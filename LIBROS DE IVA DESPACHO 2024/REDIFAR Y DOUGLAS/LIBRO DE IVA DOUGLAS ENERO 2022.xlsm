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15480" windowHeight="7860"/>
  </bookViews>
  <sheets>
    <sheet name="Compras" sheetId="6" r:id="rId1"/>
    <sheet name="Libro de Compras" sheetId="7" r:id="rId2"/>
    <sheet name="Contribuyente" sheetId="23" r:id="rId3"/>
    <sheet name="Libro de Contribuyente" sheetId="8" r:id="rId4"/>
    <sheet name="Consumidor" sheetId="9" r:id="rId5"/>
    <sheet name="Libro de Consumidor" sheetId="22" r:id="rId6"/>
    <sheet name="Hoja1" sheetId="24" r:id="rId7"/>
    <sheet name="RETENCIONES" sheetId="21" r:id="rId8"/>
    <sheet name="LIBRO DE RETENCIONES" sheetId="13" r:id="rId9"/>
    <sheet name="base de clientes" sheetId="3" r:id="rId10"/>
    <sheet name="DECLARACION" sheetId="25" r:id="rId11"/>
  </sheets>
  <externalReferences>
    <externalReference r:id="rId12"/>
  </externalReferences>
  <definedNames>
    <definedName name="_xlnm._FilterDatabase" localSheetId="8" hidden="1">'LIBRO DE RETENCIONES'!$A$1:$I$13</definedName>
    <definedName name="_xlnm.Print_Area" localSheetId="2">Contribuyente!$A$1:$E$23</definedName>
    <definedName name="SegmentaciónDeDatos_FECHA">#N/A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" i="25" l="1"/>
  <c r="J9" i="25" s="1"/>
  <c r="I4" i="25"/>
  <c r="I5" i="25" s="1"/>
  <c r="I9" i="25" s="1"/>
  <c r="G4" i="25"/>
  <c r="G9" i="25" s="1"/>
  <c r="U1162" i="22"/>
  <c r="T1162" i="22"/>
  <c r="S1162" i="22"/>
  <c r="R1162" i="22"/>
  <c r="Q1162" i="22"/>
  <c r="P1162" i="22"/>
  <c r="O1162" i="22"/>
  <c r="N1162" i="22"/>
  <c r="M1162" i="22"/>
  <c r="L1162" i="22"/>
  <c r="V1162" i="22"/>
  <c r="P1106" i="7"/>
  <c r="O1106" i="7"/>
  <c r="H1106" i="7"/>
  <c r="G14" i="25" s="1"/>
  <c r="K1106" i="7"/>
  <c r="F14" i="25" s="1"/>
  <c r="F15" i="25" s="1"/>
  <c r="F18" i="25" s="1"/>
  <c r="T1106" i="7"/>
  <c r="I18" i="25" s="1"/>
  <c r="O2120" i="8"/>
  <c r="U2120" i="8"/>
  <c r="R2120" i="8"/>
  <c r="Q2120" i="8"/>
  <c r="H4" i="25" s="1"/>
  <c r="H9" i="25" s="1"/>
  <c r="W2120" i="8"/>
  <c r="I8" i="25"/>
  <c r="I14" i="25" l="1"/>
  <c r="I15" i="25" s="1"/>
  <c r="K9" i="25"/>
  <c r="K13" i="25" s="1"/>
  <c r="K14" i="25" s="1"/>
  <c r="L14" i="25" s="1"/>
  <c r="G18" i="25" s="1"/>
  <c r="G19" i="25" s="1"/>
  <c r="H18" i="25" l="1"/>
  <c r="J18" i="25" s="1"/>
  <c r="L9" i="25"/>
  <c r="M10" i="25" s="1"/>
  <c r="L16" i="25" l="1"/>
  <c r="G103" i="24" l="1"/>
  <c r="G102" i="24"/>
  <c r="G101" i="24"/>
  <c r="G100" i="24"/>
  <c r="G99" i="24"/>
  <c r="G98" i="24"/>
  <c r="G97" i="24"/>
  <c r="G96" i="24"/>
  <c r="G95" i="24"/>
  <c r="G94" i="24"/>
  <c r="G93" i="24"/>
  <c r="G92" i="24"/>
  <c r="G91" i="24"/>
  <c r="G90" i="24"/>
  <c r="G89" i="24"/>
  <c r="G88" i="24"/>
  <c r="G87" i="24"/>
  <c r="G86" i="24"/>
  <c r="G85" i="24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 l="1"/>
  <c r="G6" i="24"/>
  <c r="G5" i="24"/>
  <c r="G4" i="24"/>
  <c r="G3" i="24"/>
  <c r="G2" i="24"/>
  <c r="G1" i="24"/>
  <c r="D9" i="23" l="1"/>
  <c r="H11" i="23" l="1"/>
  <c r="H10" i="23"/>
  <c r="D19" i="23"/>
  <c r="D15" i="23"/>
  <c r="D18" i="23" s="1"/>
  <c r="D10" i="23"/>
  <c r="D11" i="23" l="1"/>
  <c r="D9" i="6"/>
  <c r="D17" i="6" l="1"/>
  <c r="D11" i="21" l="1"/>
  <c r="I14" i="13" l="1"/>
  <c r="H14" i="13"/>
  <c r="D9" i="9" l="1"/>
  <c r="D10" i="9" s="1"/>
  <c r="D11" i="9" s="1"/>
  <c r="D22" i="9" l="1"/>
  <c r="D18" i="6" l="1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<sst xmlns="http://schemas.openxmlformats.org/spreadsheetml/2006/main" count="47842" uniqueCount="8912">
  <si>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</si>
  <si>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</si>
  <si>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</si>
  <si>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</si>
  <si>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</si>
  <si>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</si>
  <si>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</si>
  <si>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</si>
  <si>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</si>
  <si>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</si>
  <si>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</si>
  <si>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</si>
  <si>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</si>
  <si>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</si>
  <si>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</si>
  <si>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</si>
  <si>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</si>
  <si>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</si>
  <si>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</si>
  <si>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</si>
  <si>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</si>
  <si>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</si>
  <si>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</si>
  <si>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</si>
  <si>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</si>
  <si>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</si>
  <si>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</si>
  <si>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</si>
  <si>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</si>
  <si>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</si>
  <si>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</si>
  <si>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</si>
  <si>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</si>
  <si>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</si>
  <si>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</si>
  <si>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</si>
  <si>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</si>
  <si>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</si>
  <si>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</si>
  <si>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</si>
  <si>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</si>
  <si>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</si>
  <si>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</si>
  <si>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</si>
  <si>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</si>
  <si>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</si>
  <si>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</si>
  <si>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</si>
  <si>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</si>
  <si>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</si>
  <si>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</si>
  <si>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</si>
  <si>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</si>
  <si>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</si>
  <si>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</si>
  <si>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</si>
  <si>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</si>
  <si>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</si>
  <si>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</si>
  <si>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</si>
  <si>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</si>
  <si>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</si>
  <si>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</si>
  <si>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</si>
  <si>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</si>
  <si>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</si>
  <si>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</si>
  <si>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</si>
  <si>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</si>
  <si>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</si>
  <si>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</si>
  <si>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NOMBRE DE CLIENTE</t>
  </si>
  <si>
    <t>VENTA NO SUJETA</t>
  </si>
  <si>
    <t>VENTA EXENTA</t>
  </si>
  <si>
    <t>VENTA 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</si>
  <si>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</si>
  <si>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</si>
  <si>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</si>
  <si>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</si>
  <si>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</si>
  <si>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</si>
  <si>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</si>
  <si>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</si>
  <si>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</si>
  <si>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</si>
  <si>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</si>
  <si>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</si>
  <si>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</si>
  <si>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</si>
  <si>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</si>
  <si>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</si>
  <si>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</si>
  <si>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</si>
  <si>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</si>
  <si>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</si>
  <si>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</si>
  <si>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</si>
  <si>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</si>
  <si>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</si>
  <si>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</si>
  <si>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</si>
  <si>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</si>
  <si>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</si>
  <si>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11232110911025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</si>
  <si>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</si>
  <si>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</si>
  <si>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</si>
  <si>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</si>
  <si>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</si>
  <si>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</si>
  <si>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</si>
  <si>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</si>
  <si>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</si>
  <si>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</si>
  <si>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</si>
  <si>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</si>
  <si>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</si>
  <si>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</si>
  <si>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</si>
  <si>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</si>
  <si>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</si>
  <si>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</si>
  <si>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</si>
  <si>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</si>
  <si>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</si>
  <si>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</si>
  <si>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</si>
  <si>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</si>
  <si>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</si>
  <si>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</si>
  <si>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</si>
  <si>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</si>
  <si>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</si>
  <si>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</si>
  <si>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</si>
  <si>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</si>
  <si>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</si>
  <si>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</si>
  <si>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</si>
  <si>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</si>
  <si>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</si>
  <si>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</si>
  <si>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</si>
  <si>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</si>
  <si>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</si>
  <si>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</si>
  <si>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</si>
  <si>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</si>
  <si>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</si>
  <si>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</si>
  <si>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</si>
  <si>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</si>
  <si>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</si>
  <si>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</si>
  <si>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</si>
  <si>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</si>
  <si>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</si>
  <si>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</si>
  <si>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</si>
  <si>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</si>
  <si>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</si>
  <si>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</si>
  <si>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</si>
  <si>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</si>
  <si>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</si>
  <si>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</si>
  <si>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</si>
  <si>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</si>
  <si>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</si>
  <si>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</si>
  <si>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</si>
  <si>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</si>
  <si>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05121904711020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</si>
  <si>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</si>
  <si>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</si>
  <si>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</si>
  <si>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</si>
  <si>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</si>
  <si>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</si>
  <si>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</si>
  <si>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</si>
  <si>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</si>
  <si>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</si>
  <si>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</si>
  <si>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</si>
  <si>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</si>
  <si>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</si>
  <si>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</si>
  <si>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</si>
  <si>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</si>
  <si>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</si>
  <si>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</si>
  <si>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</si>
  <si>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</si>
  <si>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</si>
  <si>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</si>
  <si>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</si>
  <si>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</si>
  <si>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</si>
  <si>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</si>
  <si>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</si>
  <si>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</si>
  <si>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</si>
  <si>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</si>
  <si>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</si>
  <si>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</si>
  <si>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</si>
  <si>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</si>
  <si>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</si>
  <si>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</si>
  <si>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</si>
  <si>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</si>
  <si>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</si>
  <si>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</si>
  <si>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</si>
  <si>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</si>
  <si>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</si>
  <si>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</si>
  <si>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</si>
  <si>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</si>
  <si>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</si>
  <si>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</si>
  <si>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</si>
  <si>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</si>
  <si>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</si>
  <si>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</si>
  <si>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</si>
  <si>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</si>
  <si>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</si>
  <si>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</si>
  <si>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</si>
  <si>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</si>
  <si>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</si>
  <si>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</si>
  <si>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</si>
  <si>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</si>
  <si>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</si>
  <si>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</si>
  <si>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</si>
  <si>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</si>
  <si>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</si>
  <si>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</si>
  <si>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</si>
  <si>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</si>
  <si>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</si>
  <si>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</si>
  <si>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</si>
  <si>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</si>
  <si>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</si>
  <si>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</si>
  <si>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</si>
  <si>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</si>
  <si>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</si>
  <si>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</si>
  <si>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</si>
  <si>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</si>
  <si>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</si>
  <si>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</si>
  <si>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</si>
  <si>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</si>
  <si>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</si>
  <si>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</si>
  <si>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</si>
  <si>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</si>
  <si>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</si>
  <si>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</si>
  <si>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</si>
  <si>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</si>
  <si>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</si>
  <si>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</si>
  <si>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</si>
  <si>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</si>
  <si>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</si>
  <si>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</si>
  <si>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</si>
  <si>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</si>
  <si>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</si>
  <si>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</si>
  <si>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</si>
  <si>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</si>
  <si>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</si>
  <si>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</si>
  <si>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</si>
  <si>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</si>
  <si>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</si>
  <si>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</si>
  <si>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</si>
  <si>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</si>
  <si>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</si>
  <si>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</si>
  <si>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</si>
  <si>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</si>
  <si>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</si>
  <si>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</si>
  <si>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</si>
  <si>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</si>
  <si>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</si>
  <si>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</si>
  <si>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</si>
  <si>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</si>
  <si>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</si>
  <si>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</si>
  <si>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</si>
  <si>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</si>
  <si>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</si>
  <si>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</si>
  <si>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</si>
  <si>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</si>
  <si>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</si>
  <si>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</si>
  <si>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</si>
  <si>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</si>
  <si>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</si>
  <si>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</si>
  <si>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</si>
  <si>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</si>
  <si>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</si>
  <si>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</si>
  <si>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</si>
  <si>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</si>
  <si>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</si>
  <si>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</si>
  <si>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06141501771010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</si>
  <si>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</si>
  <si>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</si>
  <si>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</si>
  <si>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</si>
  <si>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</si>
  <si>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</si>
  <si>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</si>
  <si>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</si>
  <si>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</si>
  <si>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</si>
  <si>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</si>
  <si>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</si>
  <si>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</si>
  <si>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</si>
  <si>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</si>
  <si>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</si>
  <si>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</si>
  <si>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</si>
  <si>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</si>
  <si>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</si>
  <si>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</si>
  <si>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</si>
  <si>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</si>
  <si>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09032703721011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</si>
  <si>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</si>
  <si>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</si>
  <si>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</si>
  <si>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</si>
  <si>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</si>
  <si>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</si>
  <si>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</si>
  <si>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</si>
  <si>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</si>
  <si>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</si>
  <si>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</si>
  <si>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</si>
  <si>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</si>
  <si>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</si>
  <si>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</si>
  <si>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</si>
  <si>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</si>
  <si>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</si>
  <si>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</si>
  <si>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</si>
  <si>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</si>
  <si>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</si>
  <si>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</si>
  <si>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</si>
  <si>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</si>
  <si>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</si>
  <si>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</si>
  <si>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</si>
  <si>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</si>
  <si>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</si>
  <si>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</si>
  <si>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</si>
  <si>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</si>
  <si>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</si>
  <si>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</si>
  <si>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</si>
  <si>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</si>
  <si>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</si>
  <si>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</si>
  <si>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</si>
  <si>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</si>
  <si>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</si>
  <si>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</si>
  <si>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</si>
  <si>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</si>
  <si>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</si>
  <si>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</si>
  <si>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</si>
  <si>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</si>
  <si>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</si>
  <si>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</si>
  <si>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</si>
  <si>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</si>
  <si>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</si>
  <si>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</si>
  <si>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</si>
  <si>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</si>
  <si>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</si>
  <si>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</si>
  <si>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</si>
  <si>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</si>
  <si>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</si>
  <si>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</si>
  <si>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</si>
  <si>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</si>
  <si>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</si>
  <si>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</si>
  <si>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</si>
  <si>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</si>
  <si>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</si>
  <si>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</si>
  <si>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</si>
  <si>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</si>
  <si>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</si>
  <si>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</si>
  <si>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</si>
  <si>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</si>
  <si>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</si>
  <si>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</si>
  <si>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</si>
  <si>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</si>
  <si>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11232405650017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</si>
  <si>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</si>
  <si>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</si>
  <si>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</si>
  <si>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</si>
  <si>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</si>
  <si>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</si>
  <si>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</si>
  <si>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</si>
  <si>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</si>
  <si>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</si>
  <si>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</si>
  <si>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</si>
  <si>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</si>
  <si>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</si>
  <si>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</si>
  <si>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</si>
  <si>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</si>
  <si>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</si>
  <si>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</si>
  <si>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</si>
  <si>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</si>
  <si>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</si>
  <si>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</si>
  <si>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</si>
  <si>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</si>
  <si>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</si>
  <si>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</si>
  <si>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</si>
  <si>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</si>
  <si>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</si>
  <si>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</si>
  <si>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</si>
  <si>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</si>
  <si>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</si>
  <si>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</si>
  <si>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12021702831027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</si>
  <si>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</si>
  <si>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</si>
  <si>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</si>
  <si>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</si>
  <si>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</si>
  <si>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</si>
  <si>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</si>
  <si>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</si>
  <si>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</si>
  <si>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</si>
  <si>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</si>
  <si>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</si>
  <si>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</si>
  <si>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</si>
  <si>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</si>
  <si>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</si>
  <si>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</si>
  <si>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12082907611016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</si>
  <si>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</si>
  <si>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</si>
  <si>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</si>
  <si>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</si>
  <si>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</si>
  <si>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</si>
  <si>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</si>
  <si>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</si>
  <si>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</si>
  <si>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06141611791361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</si>
  <si>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</si>
  <si>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</si>
  <si>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</si>
  <si>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</si>
  <si>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</si>
  <si>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</si>
  <si>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</si>
  <si>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</si>
  <si>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</si>
  <si>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</si>
  <si>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</si>
  <si>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</si>
  <si>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</si>
  <si>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</si>
  <si>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</si>
  <si>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</si>
  <si>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</si>
  <si>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</si>
  <si>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</si>
  <si>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</si>
  <si>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</si>
  <si>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</si>
  <si>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</si>
  <si>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</si>
  <si>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</si>
  <si>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</si>
  <si>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</si>
  <si>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</si>
  <si>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</si>
  <si>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</si>
  <si>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</si>
  <si>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</si>
  <si>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</si>
  <si>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</si>
  <si>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</si>
  <si>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</si>
  <si>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</si>
  <si>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</si>
  <si>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</si>
  <si>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</si>
  <si>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</si>
  <si>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</si>
  <si>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</si>
  <si>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</si>
  <si>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</si>
  <si>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</si>
  <si>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</si>
  <si>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</si>
  <si>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</si>
  <si>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</si>
  <si>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</si>
  <si>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</si>
  <si>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</si>
  <si>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</si>
  <si>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</si>
  <si>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</si>
  <si>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10102008851013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</si>
  <si>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</si>
  <si>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</si>
  <si>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</si>
  <si>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</si>
  <si>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</si>
  <si>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</si>
  <si>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</si>
  <si>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</si>
  <si>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</si>
  <si>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</si>
  <si>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</si>
  <si>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</si>
  <si>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</si>
  <si>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</si>
  <si>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</si>
  <si>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</si>
  <si>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</si>
  <si>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</si>
  <si>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</si>
  <si>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06141011821248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</si>
  <si>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</si>
  <si>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</si>
  <si>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</si>
  <si>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</si>
  <si>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</si>
  <si>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</si>
  <si>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</si>
  <si>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</si>
  <si>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</si>
  <si>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</si>
  <si>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</si>
  <si>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</si>
  <si>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</si>
  <si>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</si>
  <si>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</si>
  <si>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</si>
  <si>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</si>
  <si>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</si>
  <si>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</si>
  <si>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</si>
  <si>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</si>
  <si>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</si>
  <si>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</si>
  <si>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14182405651010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</si>
  <si>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</si>
  <si>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</si>
  <si>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</si>
  <si>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</si>
  <si>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</si>
  <si>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</si>
  <si>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</si>
  <si>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</si>
  <si>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</si>
  <si>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</si>
  <si>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</si>
  <si>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</si>
  <si>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</si>
  <si>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</si>
  <si>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</si>
  <si>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</si>
  <si>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</si>
  <si>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</si>
  <si>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</si>
  <si>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</si>
  <si>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</si>
  <si>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</si>
  <si>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</si>
  <si>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</si>
  <si>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</si>
  <si>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07020302590022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</si>
  <si>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</si>
  <si>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</si>
  <si>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</si>
  <si>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</si>
  <si>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</si>
  <si>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</si>
  <si>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</si>
  <si>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</si>
  <si>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</si>
  <si>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</si>
  <si>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</si>
  <si>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06170903831035</t>
  </si>
  <si>
    <t>LEONARDO JOSE AGUILAR GARZA</t>
  </si>
  <si>
    <t>07022306610013</t>
  </si>
  <si>
    <t>PERLA JOSEFINA DE HERNANDEZ</t>
  </si>
  <si>
    <t>06142508161086</t>
  </si>
  <si>
    <t>MI SALUD S.A DE C.V.</t>
  </si>
  <si>
    <t>03051507681012</t>
  </si>
  <si>
    <t>ESPERANZA DEL CARMEN CORNEJO</t>
  </si>
  <si>
    <t>JIGGER GUADALUPE QUINTANILLA</t>
  </si>
  <si>
    <t>10102507460019</t>
  </si>
  <si>
    <t>SANTIAGO LOPEZ BAUTISTA</t>
  </si>
  <si>
    <t>06142009620060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</si>
  <si>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</si>
  <si>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</si>
  <si>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</si>
  <si>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</si>
  <si>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</si>
  <si>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</si>
  <si>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</si>
  <si>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</si>
  <si>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</si>
  <si>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</si>
  <si>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</si>
  <si>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</si>
  <si>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</si>
  <si>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</si>
  <si>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</si>
  <si>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04060304751026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</si>
  <si>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</si>
  <si>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</si>
  <si>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</si>
  <si>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</si>
  <si>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</si>
  <si>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</si>
  <si>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</si>
  <si>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</si>
  <si>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</si>
  <si>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</si>
  <si>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</si>
  <si>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</si>
  <si>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</si>
  <si>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</si>
  <si>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</si>
  <si>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</si>
  <si>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</si>
  <si>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</si>
  <si>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</si>
  <si>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</si>
  <si>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</si>
  <si>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</si>
  <si>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</si>
  <si>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</si>
  <si>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</si>
  <si>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</si>
  <si>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</si>
  <si>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</si>
  <si>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</si>
  <si>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</si>
  <si>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</si>
  <si>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</si>
  <si>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</si>
  <si>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</si>
  <si>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</si>
  <si>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</si>
  <si>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</si>
  <si>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</si>
  <si>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</si>
  <si>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</si>
  <si>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</si>
  <si>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</si>
  <si>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</si>
  <si>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</si>
  <si>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</si>
  <si>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</si>
  <si>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</si>
  <si>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</si>
  <si>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</si>
  <si>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</si>
  <si>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</si>
  <si>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</si>
  <si>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</si>
  <si>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</si>
  <si>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</si>
  <si>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14060107480013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</si>
  <si>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</si>
  <si>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</si>
  <si>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</si>
  <si>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</si>
  <si>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</si>
  <si>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</si>
  <si>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</si>
  <si>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</si>
  <si>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</si>
  <si>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06142406851096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</si>
  <si>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</si>
  <si>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</si>
  <si>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</si>
  <si>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</si>
  <si>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</si>
  <si>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</si>
  <si>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</si>
  <si>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</si>
  <si>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</si>
  <si>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</si>
  <si>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</si>
  <si>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</si>
  <si>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</si>
  <si>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</si>
  <si>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</si>
  <si>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</si>
  <si>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</si>
  <si>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</si>
  <si>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</si>
  <si>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</si>
  <si>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</si>
  <si>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</si>
  <si>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</si>
  <si>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</si>
  <si>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</si>
  <si>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</si>
  <si>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</si>
  <si>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12181106851018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</si>
  <si>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</si>
  <si>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</si>
  <si>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</si>
  <si>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</si>
  <si>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</si>
  <si>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</si>
  <si>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</si>
  <si>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</si>
  <si>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</si>
  <si>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</si>
  <si>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</si>
  <si>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</si>
  <si>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</si>
  <si>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</si>
  <si>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</si>
  <si>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</si>
  <si>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</si>
  <si>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</si>
  <si>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</si>
  <si>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</si>
  <si>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</si>
  <si>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</si>
  <si>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</si>
  <si>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</si>
  <si>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</si>
  <si>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</si>
  <si>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</si>
  <si>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</si>
  <si>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</si>
  <si>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</si>
  <si>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</si>
  <si>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</si>
  <si>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</si>
  <si>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</si>
  <si>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</si>
  <si>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</si>
  <si>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</si>
  <si>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</si>
  <si>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</si>
  <si>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</si>
  <si>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</si>
  <si>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</si>
  <si>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</si>
  <si>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</si>
  <si>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</si>
  <si>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FARMACIAS CAMILA, S.A. DE</t>
  </si>
  <si>
    <t>06141505091110</t>
  </si>
  <si>
    <t>FLORES HERNANDEZ S.A DE C.V.</t>
  </si>
  <si>
    <t>ANA LILIAN VELAZQUES</t>
  </si>
  <si>
    <t>CODEVI</t>
  </si>
  <si>
    <t>JUAN CARLOS RIVERA MENJIVAR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</si>
  <si>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</si>
  <si>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</si>
  <si>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</si>
  <si>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</si>
  <si>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</si>
  <si>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</si>
  <si>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</si>
  <si>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ESDEL, S.A. DE C.V.</t>
  </si>
  <si>
    <t>DIPROSERVI S.A DE C.V.</t>
  </si>
  <si>
    <t>13122307721012</t>
  </si>
  <si>
    <t>ALBA LILIAN MARTINEZ</t>
  </si>
  <si>
    <t>GHG S.A DE C.V.</t>
  </si>
  <si>
    <t>SERVICIOS PRIVADOS DE SALUD</t>
  </si>
  <si>
    <t>MQ SUPLEMENTOS</t>
  </si>
  <si>
    <t>06142207850045</t>
  </si>
  <si>
    <t>SERME S.A. DE C.V.</t>
  </si>
  <si>
    <t>GERSON ANTONIO LEMUS</t>
  </si>
  <si>
    <t>FARMACIA NUESTRA SEÑORA DE</t>
  </si>
  <si>
    <t>GERMAN ANTONIO BENAVIDES</t>
  </si>
  <si>
    <t>KARLA BEATRICE FIGUEROA</t>
  </si>
  <si>
    <t>TEXTILES OPICO,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</si>
  <si>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</si>
  <si>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</si>
  <si>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</si>
  <si>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</si>
  <si>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</si>
  <si>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</si>
  <si>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</si>
  <si>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</si>
  <si>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</si>
  <si>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</si>
  <si>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</si>
  <si>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</si>
  <si>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</si>
  <si>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</si>
  <si>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INVERSIONES JCSP S.A DE C.V.</t>
  </si>
  <si>
    <t>06140502860019</t>
  </si>
  <si>
    <t>CARMEN KATTAN S.A DE C.V.</t>
  </si>
  <si>
    <t>DIPROFAR, S.A. DE C.V.</t>
  </si>
  <si>
    <t>ESTER MARIA MEJIA PERLA</t>
  </si>
  <si>
    <t>11232406891011</t>
  </si>
  <si>
    <t>JUAN BAUTISTA AMAYA</t>
  </si>
  <si>
    <t>CESAR SALVADOR CONTRERAS</t>
  </si>
  <si>
    <t>11230705611014</t>
  </si>
  <si>
    <t>ROSA ELVIRA VASQUEZ</t>
  </si>
  <si>
    <t>JOSE LUIS VALLADARES</t>
  </si>
  <si>
    <t>MARTHA ELIZABETH CUELLAR</t>
  </si>
  <si>
    <t>KAREN ELIZABETH MATA</t>
  </si>
  <si>
    <t>12191102611018</t>
  </si>
  <si>
    <t>BERNARDO REYES CONTRERAS</t>
  </si>
  <si>
    <t>ANA DEL CARMEN OLIVA RAMIREZ</t>
  </si>
  <si>
    <t>FARMACIA SANTA FE S,A DE C.V.</t>
  </si>
  <si>
    <t>JOEL ESCOBAR RIVERA</t>
  </si>
  <si>
    <t>LABORATORIOS LOPEZ</t>
  </si>
  <si>
    <t>CENTRO DE CIRUGIA AMBULATORIA</t>
  </si>
  <si>
    <t>06143012931015</t>
  </si>
  <si>
    <t>HOGAR GERIATRICO SANTA LUCIA</t>
  </si>
  <si>
    <t>14081402731012</t>
  </si>
  <si>
    <t>PAUL GILBERTO ZUNIGA</t>
  </si>
  <si>
    <t>JUAN RAMON MEZA</t>
  </si>
  <si>
    <t>SIRIA MARGARITA ANDRADE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</si>
  <si>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</si>
  <si>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</si>
  <si>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</si>
  <si>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</si>
  <si>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</si>
  <si>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</si>
  <si>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</si>
  <si>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</si>
  <si>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</si>
  <si>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</si>
  <si>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</si>
  <si>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</si>
  <si>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AGROSTAR,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</si>
  <si>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</si>
  <si>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</si>
  <si>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</si>
  <si>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</si>
  <si>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</si>
  <si>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</si>
  <si>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GILMA MARIELLA URBINA DE</t>
  </si>
  <si>
    <t>14181804861014</t>
  </si>
  <si>
    <t>NANCY VICTOCTORINA CALDERON</t>
  </si>
  <si>
    <t>MONICA PAMELA CUELLAR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</si>
  <si>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</si>
  <si>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</si>
  <si>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</si>
  <si>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</si>
  <si>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</si>
  <si>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</si>
  <si>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</si>
  <si>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</si>
  <si>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INGRID NOEMI TOBIAS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</si>
  <si>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</si>
  <si>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</si>
  <si>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</si>
  <si>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</si>
  <si>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</si>
  <si>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</si>
  <si>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</si>
  <si>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</si>
  <si>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LUIS ALFONSO  MEDARDO</t>
  </si>
  <si>
    <t>ALEJANDRA GUADALUPE MOLINA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</si>
  <si>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</si>
  <si>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</si>
  <si>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</si>
  <si>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</si>
  <si>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</si>
  <si>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</si>
  <si>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SERVIFARMA</t>
  </si>
  <si>
    <t>10100210781024</t>
  </si>
  <si>
    <t>ERIKA LYNNETTE LOPEZ DE ARTIGA</t>
  </si>
  <si>
    <t>11020103790011</t>
  </si>
  <si>
    <t>BLADIMIR ERNESTO AREVALO</t>
  </si>
  <si>
    <t>ARMIDA DE GONZALEZ F. SAN</t>
  </si>
  <si>
    <t>RAUL ENRIQUE FLORES</t>
  </si>
  <si>
    <t>14082109731021</t>
  </si>
  <si>
    <t>JORGE ALBERTO LUNA</t>
  </si>
  <si>
    <t>SILVIA CRISTINA PINEDA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</si>
  <si>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</si>
  <si>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</si>
  <si>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</si>
  <si>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</si>
  <si>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</si>
  <si>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</si>
  <si>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VICTOR ALFONSO RIOS</t>
  </si>
  <si>
    <t>14162212541012</t>
  </si>
  <si>
    <t>MARIA ELENA RAMIREZ</t>
  </si>
  <si>
    <t>14051010741021</t>
  </si>
  <si>
    <t>CARLOS ISAIAS VASQUEZ DE</t>
  </si>
  <si>
    <t>GASTROENTEROLOGOS ASOCIADOS</t>
  </si>
  <si>
    <t>SERVICIOS MEDICOS INTEGRALES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</si>
  <si>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</si>
  <si>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</si>
  <si>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</si>
  <si>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</si>
  <si>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</si>
  <si>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</si>
  <si>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JUAN MENDEZ ORELLANA</t>
  </si>
  <si>
    <t>ROSA AMERICA SALAZAR PORTILLO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</si>
  <si>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</si>
  <si>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</si>
  <si>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</si>
  <si>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</si>
  <si>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</si>
  <si>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</si>
  <si>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MORENA DEL ROSARIO GONZALES</t>
  </si>
  <si>
    <t>BENJAMIN MARTINEZ BUSTILLO</t>
  </si>
  <si>
    <t>11232103721016</t>
  </si>
  <si>
    <t>FILEMON VENTURA VILLATORO</t>
  </si>
  <si>
    <t>INDUFARMA, S.A. DE C.V.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</si>
  <si>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</si>
  <si>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</si>
  <si>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</si>
  <si>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</si>
  <si>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</si>
  <si>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</si>
  <si>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</si>
  <si>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</si>
  <si>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</si>
  <si>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</si>
  <si>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</si>
  <si>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</si>
  <si>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EVELIN VICTORIA RAMIREZ</t>
  </si>
  <si>
    <t>MELVIN DIOMENES BONILLA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</si>
  <si>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</si>
  <si>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</si>
  <si>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</si>
  <si>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</si>
  <si>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</si>
  <si>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</si>
  <si>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</si>
  <si>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CRISTINA MARIA MACHUCA</t>
  </si>
  <si>
    <t>12172111600024</t>
  </si>
  <si>
    <t>FARMACIA SARAHI</t>
  </si>
  <si>
    <t>INFORMATICA &amp; TECNOLOGIA</t>
  </si>
  <si>
    <t>12171402891011</t>
  </si>
  <si>
    <t>ENRIQUE ALFONSO MENDOZA</t>
  </si>
  <si>
    <t>TRANSACCIONES URB. Y MTTO S.A</t>
  </si>
  <si>
    <t>14121211650018</t>
  </si>
  <si>
    <t>ADAN AMERICO FUENTES CANALES</t>
  </si>
  <si>
    <t>FANTACIA , S.A. DE C.V.</t>
  </si>
  <si>
    <t>MARIA TERESA YASMIN MOJICA DE</t>
  </si>
  <si>
    <t>06140511121017</t>
  </si>
  <si>
    <t>REPRESENTACIONES HERNANDEZ</t>
  </si>
  <si>
    <t>SERVICIOS MEDICOS ASOCIADOS</t>
  </si>
  <si>
    <t>PARQUE Y JARDINES DE</t>
  </si>
  <si>
    <t>DR. ENRIQUE  RODRIGUEZ</t>
  </si>
  <si>
    <t>10010104671016</t>
  </si>
  <si>
    <t>POLICLINICA BARAHONA GIL</t>
  </si>
  <si>
    <t>06142101941028</t>
  </si>
  <si>
    <t>HOGAR SANTA MARTA</t>
  </si>
  <si>
    <t>REDIFAR SA DE CV</t>
  </si>
  <si>
    <t>MOISES ADILIO ARCHILLA CHAVEZ</t>
  </si>
  <si>
    <t>06142005700036</t>
  </si>
  <si>
    <t>GERARDO ERNESTO CUENCA</t>
  </si>
  <si>
    <t>ELMER OSVALDOJIMENEZ GOMEZ</t>
  </si>
  <si>
    <t>06142812891023</t>
  </si>
  <si>
    <t>CLINICAS CANDRAY, S.A. DE</t>
  </si>
  <si>
    <t>MORENA DE LOS ANGELES LUCERO</t>
  </si>
  <si>
    <t>12172712731029</t>
  </si>
  <si>
    <t>OSCAR ALBERTO ARAYA</t>
  </si>
  <si>
    <t>FARMACIA CENTRAL</t>
  </si>
  <si>
    <t>11181712701010</t>
  </si>
  <si>
    <t>PATRICIA FERRUFINO MELARA</t>
  </si>
  <si>
    <t>05121609510010</t>
  </si>
  <si>
    <t>JUANA MANCIA MELENDEZ</t>
  </si>
  <si>
    <t>05111809821034</t>
  </si>
  <si>
    <t>ESPERANZA BEATRIZ RODEZNO</t>
  </si>
  <si>
    <t>ADUARDO MAURICIO AREVALO</t>
  </si>
  <si>
    <t>06142104901019</t>
  </si>
  <si>
    <t>PASTRANA, S.A. DE C.V.</t>
  </si>
  <si>
    <t>ROWAL PHARMACEUTICAL, S.A. DE</t>
  </si>
  <si>
    <t>MARIA ANGELA GUZMAN</t>
  </si>
  <si>
    <t>CREDIPRO,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</si>
  <si>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</si>
  <si>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</si>
  <si>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</si>
  <si>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</si>
  <si>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</si>
  <si>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</si>
  <si>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</si>
  <si>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</si>
  <si>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</si>
  <si>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</si>
  <si>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FARMACIA SANTA ISABEL</t>
  </si>
  <si>
    <t>SAHARA ARELY BONILLA EL</t>
  </si>
  <si>
    <t>06140206680031</t>
  </si>
  <si>
    <t>CARLOS ATILIIO HERNANDEZ</t>
  </si>
  <si>
    <t>HAYLER ANTONIO HERNANDEZ</t>
  </si>
  <si>
    <t>12170408811030</t>
  </si>
  <si>
    <t>ROSEMBERG ISAAC MORALES</t>
  </si>
  <si>
    <t>11112106931016</t>
  </si>
  <si>
    <t>REINA ESTER RECINOS</t>
  </si>
  <si>
    <t>GLOBAL OUTSOURCING S.A DE</t>
  </si>
  <si>
    <t>SANDRA ELIZABETH RIVERA</t>
  </si>
  <si>
    <t>HERBERTH SALVADOR ORELLANA</t>
  </si>
  <si>
    <t>SEPES S.A DE C,V</t>
  </si>
  <si>
    <t>MIDEY SARAI GARCIA</t>
  </si>
  <si>
    <t>06140911470011</t>
  </si>
  <si>
    <t>MARCO ALBERTO HUEZO</t>
  </si>
  <si>
    <t>SUSANA DEL CARMEN ABREGO</t>
  </si>
  <si>
    <t>06142909951047</t>
  </si>
  <si>
    <t>FARLAB, S.A. DE C.V.</t>
  </si>
  <si>
    <t>JUAN FRANCISCO LINARES</t>
  </si>
  <si>
    <t>06140605201014</t>
  </si>
  <si>
    <t>CLINICAS METABOLICAS S.A. DE C.V.</t>
  </si>
  <si>
    <t>MEDICAL SERVICES, S.A. DE</t>
  </si>
  <si>
    <t>MARTIN ERNESTO ARIAS</t>
  </si>
  <si>
    <t>DINA SARAVIA</t>
  </si>
  <si>
    <t>MORELIA ARICELDA ZELAYA</t>
  </si>
  <si>
    <t>06140308951015</t>
  </si>
  <si>
    <t>GUEVARA-RIVERA INVERSIONES, S.A. DE C.V.</t>
  </si>
  <si>
    <t>PEDRO DAGOBERTO SANTOS</t>
  </si>
  <si>
    <t>JUAN CARLOS VALENZUELA</t>
  </si>
  <si>
    <t>JESUS OSWALDO GUTIERREZ</t>
  </si>
  <si>
    <t>ROSA CAROLINA POLANCO DE</t>
  </si>
  <si>
    <t>VETERERINARIA ANIMAL LOOK</t>
  </si>
  <si>
    <t>06141903911074</t>
  </si>
  <si>
    <t>PROSIPLASTIC, S.A. DE C.V.</t>
  </si>
  <si>
    <t>06614041151024</t>
  </si>
  <si>
    <t>DIMEDIC, S.A. DE C.V.</t>
  </si>
  <si>
    <t>ESMERALDA ELIZABETH CHAVEZ DE</t>
  </si>
  <si>
    <t>12171807550056</t>
  </si>
  <si>
    <t>LUIS ALBERTO PORTILLO</t>
  </si>
  <si>
    <t>06190912650013</t>
  </si>
  <si>
    <t>DOUGLAS ARTURO GUEVARA</t>
  </si>
  <si>
    <t>MARIA DEL CARMEN CORTEZ DE</t>
  </si>
  <si>
    <t>12200702851011</t>
  </si>
  <si>
    <t>SANTOS BALMORE HENRIQUEZ</t>
  </si>
  <si>
    <t>ORLANDO VILLANUEVA GARICA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</si>
  <si>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</si>
  <si>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</si>
  <si>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</si>
  <si>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</si>
  <si>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</si>
  <si>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</si>
  <si>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</si>
  <si>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</si>
  <si>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</si>
  <si>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</si>
  <si>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JESMART GYM</t>
  </si>
  <si>
    <t>PATRICIA  NOHEMY MENDOZA</t>
  </si>
  <si>
    <t>CLINICA RAMIREZ PACHECO</t>
  </si>
  <si>
    <t>13161411761013</t>
  </si>
  <si>
    <t>IRIS VERONICA SORTO</t>
  </si>
  <si>
    <t>234688-3</t>
  </si>
  <si>
    <t>OSCAR WILFREDO SÁNCHEZ</t>
  </si>
  <si>
    <t>ADELA DEL CARMEN DE RIVAS</t>
  </si>
  <si>
    <t>NANCY JEANNETTE CHAVEZ DE</t>
  </si>
  <si>
    <t>DALIA ESMERALDA MONICO DE</t>
  </si>
  <si>
    <t>14181409560029</t>
  </si>
  <si>
    <t>ISMAEL PEREZ</t>
  </si>
  <si>
    <t>05120203741018</t>
  </si>
  <si>
    <t>PAULA DEL CARMEN FLORES DE</t>
  </si>
  <si>
    <t>FARMACIA BARAHONA</t>
  </si>
  <si>
    <t>14012909701016</t>
  </si>
  <si>
    <t>VICTOR MAGNO REYES</t>
  </si>
  <si>
    <t>DAVID ADOLFO ALVAREZ MORALES</t>
  </si>
  <si>
    <t>MILTON GUSTAVO DIAZ</t>
  </si>
  <si>
    <t>LUIS GERARDO BERNABEL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</si>
  <si>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</si>
  <si>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</si>
  <si>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</si>
  <si>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</si>
  <si>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</si>
  <si>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</si>
  <si>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REINA ELENA ESCOBAR DE</t>
  </si>
  <si>
    <t>FARMACIA POPULAR</t>
  </si>
  <si>
    <t>12010504741010</t>
  </si>
  <si>
    <t>ROSA DOLORES MEMBREÑO</t>
  </si>
  <si>
    <t>VENTA DE MEDICINA MICROMED</t>
  </si>
  <si>
    <t>MARIA CATALINA JAIMEZ</t>
  </si>
  <si>
    <t>06140511811137</t>
  </si>
  <si>
    <t>LAURA MARIA CASTRO VIGIL</t>
  </si>
  <si>
    <t>MIRNA ELIZABETH ESTRADA</t>
  </si>
  <si>
    <t>RUBENIA ARELI CARCAMO DE</t>
  </si>
  <si>
    <t>EDGARDO M DE JESUS DABOUB</t>
  </si>
  <si>
    <t>14120907651019</t>
  </si>
  <si>
    <t>REINA CORALIA MOLINA DE</t>
  </si>
  <si>
    <t>02100904600044</t>
  </si>
  <si>
    <t>ADALBERTO ARTURO FLORES</t>
  </si>
  <si>
    <t>LUIS ERNESTO QUIÑONEZ</t>
  </si>
  <si>
    <t>06142007580150</t>
  </si>
  <si>
    <t>FELIX GUILLERMO AGUIRRE CASTRO</t>
  </si>
  <si>
    <t>CLINICA SAN JOSE ASOCIACION</t>
  </si>
  <si>
    <t>FUTBOL RAPIDO S.A DE C.V.</t>
  </si>
  <si>
    <t>FARMACIA MEDICA</t>
  </si>
  <si>
    <t>14012304741016</t>
  </si>
  <si>
    <t>NELLY MARGOTH DE ANDINO</t>
  </si>
  <si>
    <t>FRANCISCO SANTOS ORTEGA</t>
  </si>
  <si>
    <t>JOSE RAUL GONZALES REYES</t>
  </si>
  <si>
    <t>JOAQUIN BAIRES FLORES</t>
  </si>
  <si>
    <t>10102204771013</t>
  </si>
  <si>
    <t>ZORAIDA BEATRIZ MONTERROZA DE MENDOZA</t>
  </si>
  <si>
    <t>ZULEYMA GALEANO</t>
  </si>
  <si>
    <t>LEONEL ATILIO GARCIA</t>
  </si>
  <si>
    <t>12172601061016</t>
  </si>
  <si>
    <t>INVERSIONES MEDICAS MORAZAN</t>
  </si>
  <si>
    <t>FARMACIA JESUS CRISTO</t>
  </si>
  <si>
    <t>FARMACIA EL AHORRO</t>
  </si>
  <si>
    <t>ROBERTO AXITL CABRERA SEGURA</t>
  </si>
  <si>
    <t>04250612470014</t>
  </si>
  <si>
    <t>BLANCA NOEMI MALDONADO</t>
  </si>
  <si>
    <t>ULISES MORALES VELASQUEZ</t>
  </si>
  <si>
    <t>06140903861469</t>
  </si>
  <si>
    <t>MIRIAM ARELY ZELAYA MEDRANO</t>
  </si>
  <si>
    <t>CALLES BATRES, S.A. DE C.V.</t>
  </si>
  <si>
    <t>MARTA YENIS QUINTANILLA</t>
  </si>
  <si>
    <t>MAURICIO ERNESTO CROMEYER</t>
  </si>
  <si>
    <t>FARMACIA SAN ANDRES</t>
  </si>
  <si>
    <t>02100805570013</t>
  </si>
  <si>
    <t>CLAUDIA EVANGELINA MACHON</t>
  </si>
  <si>
    <t>06141101721250</t>
  </si>
  <si>
    <t>FARMACIA LA NUEVA</t>
  </si>
  <si>
    <t>08210204881042</t>
  </si>
  <si>
    <t>RENE HUMBERTO GUZMAN</t>
  </si>
  <si>
    <t>MARIA CELSA REYES</t>
  </si>
  <si>
    <t>ALMACENADORA DEL PACIFICO</t>
  </si>
  <si>
    <t>02102106790010</t>
  </si>
  <si>
    <t>SONIA ROSIBEL TRUJILLO</t>
  </si>
  <si>
    <t>SAUL JEREMIAS PINEDA RENDEROS</t>
  </si>
  <si>
    <t>VETERINARIA MEJICANOS</t>
  </si>
  <si>
    <t>CLINICA MEDICA SAN LUCAS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</si>
  <si>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</si>
  <si>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</si>
  <si>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</si>
  <si>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</si>
  <si>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</si>
  <si>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</si>
  <si>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</si>
  <si>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</si>
  <si>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TOBIAS CHAVEZ MAYORGA</t>
  </si>
  <si>
    <t>OXI-RENT, S.A. DE C.V.</t>
  </si>
  <si>
    <t>10025066810142</t>
  </si>
  <si>
    <t>FARMACIA CEFACOR</t>
  </si>
  <si>
    <t>DISTRIBUIDORA ALQUIMIA</t>
  </si>
  <si>
    <t>MAXIMILIANO EDUARDO ARRIAZA</t>
  </si>
  <si>
    <t>SANMUR MEDICAL S.A. DE C.V.</t>
  </si>
  <si>
    <t>MARCO ANTONIO GOENS</t>
  </si>
  <si>
    <t>FARMACIA SAN LUCAS</t>
  </si>
  <si>
    <t>JUAN CARLOS ZELAYA GONZALEZ</t>
  </si>
  <si>
    <t>06140201151013</t>
  </si>
  <si>
    <t>LEMUS COMPANY S.A DE C.V</t>
  </si>
  <si>
    <t>JOSE ALBERTO PARADA</t>
  </si>
  <si>
    <t>06141203131101</t>
  </si>
  <si>
    <t>GRUPO VIDA, S.A. DE C.V.</t>
  </si>
  <si>
    <t>DOUGLAS IGNACIO VALENCIA</t>
  </si>
  <si>
    <t>JOSE LUIS GUEVARA MENDOZA</t>
  </si>
  <si>
    <t>MARIA MAGDALENA MEJIA DE</t>
  </si>
  <si>
    <t>DISTRIBUIDORA LOPEZ EL AHORRO</t>
  </si>
  <si>
    <t>09061212581021</t>
  </si>
  <si>
    <t>FARMACIA MODERNA</t>
  </si>
  <si>
    <t>FARMACIA SALUD Y VIDA</t>
  </si>
  <si>
    <t>CELIA MARIA BONILLA IRAHETA</t>
  </si>
  <si>
    <t>STANLEY MOISES MENDOZA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</si>
  <si>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</si>
  <si>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</si>
  <si>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</si>
  <si>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</si>
  <si>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</si>
  <si>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</si>
  <si>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</si>
  <si>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JOSE ERICK RAUDA</t>
  </si>
  <si>
    <t>14051505480012</t>
  </si>
  <si>
    <t>GLORIA ESTELA COTO DE</t>
  </si>
  <si>
    <t>JOSE ANTONIO ENRIQUE CORDOVA</t>
  </si>
  <si>
    <t>FARMACIA SAN ABRAHAM</t>
  </si>
  <si>
    <t>06140903921054</t>
  </si>
  <si>
    <t>FARMACIA ECHEVERRIA, S,A, DE</t>
  </si>
  <si>
    <t>VETERERINARIA KEVET</t>
  </si>
  <si>
    <t>08210412921074</t>
  </si>
  <si>
    <t>ARGENIS ANTONIO ORTIZ AGUIÑADA</t>
  </si>
  <si>
    <t>GLORIA ESTELA SALINAS DE</t>
  </si>
  <si>
    <t>06142403181022</t>
  </si>
  <si>
    <t>PHARMA SALUD, S.A. DE C.V.</t>
  </si>
  <si>
    <t>06140705520010</t>
  </si>
  <si>
    <t>SIMON BALTAZAR AGREDA</t>
  </si>
  <si>
    <t>RICARDO ANTONIO REYES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</si>
  <si>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</si>
  <si>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</si>
  <si>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</si>
  <si>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</si>
  <si>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</si>
  <si>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</si>
  <si>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</si>
  <si>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</si>
  <si>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</si>
  <si>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</si>
  <si>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</si>
  <si>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CARLOS ERNESTO LAZO MATA</t>
  </si>
  <si>
    <t>ROLAND NAPOLEON RUANO MENDOZA</t>
  </si>
  <si>
    <t>LILIAN ELIZABETH HERRERA DE</t>
  </si>
  <si>
    <t>06143012831061</t>
  </si>
  <si>
    <t>DOUGLAS JUAN PABLO AVILES</t>
  </si>
  <si>
    <t>06141205801108</t>
  </si>
  <si>
    <t>CLINICA MEDICA ROOSEVELT</t>
  </si>
  <si>
    <t>ROXANA GUADALUPE APARICIO</t>
  </si>
  <si>
    <t>ALICIA DE CONTRERAS E HIJOS,</t>
  </si>
  <si>
    <t>LUIS ARMANDO AYALA</t>
  </si>
  <si>
    <t>JOSE BALTAZAR ESCOBAR</t>
  </si>
  <si>
    <t>11150301570020</t>
  </si>
  <si>
    <t>JOSE DANIEL MENA RODRIGUEZ</t>
  </si>
  <si>
    <t>CLNICA DENTAL LOS ANGELES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</si>
  <si>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</si>
  <si>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</si>
  <si>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</si>
  <si>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</si>
  <si>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</si>
  <si>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</si>
  <si>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</si>
  <si>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JOSE MAURICIO RODRIGUEZ LUNA</t>
  </si>
  <si>
    <t>06140503721145</t>
  </si>
  <si>
    <t>JUAN ORFILIO PALMA GALDAMEZ</t>
  </si>
  <si>
    <t xml:space="preserve">JOEL ENRIQUE GUARDADO </t>
  </si>
  <si>
    <t>MANUEL ALONZO RODRIGUEZ</t>
  </si>
  <si>
    <t>FARMACIA BEETHOVEN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</si>
  <si>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</si>
  <si>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</si>
  <si>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</si>
  <si>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</si>
  <si>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</si>
  <si>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</si>
  <si>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</si>
  <si>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</si>
  <si>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</si>
  <si>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</si>
  <si>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</si>
  <si>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</si>
  <si>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</si>
  <si>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</si>
  <si>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</si>
  <si>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</si>
  <si>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</si>
  <si>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</si>
  <si>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</si>
  <si>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</si>
  <si>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</si>
  <si>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</si>
  <si>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</si>
  <si>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</si>
  <si>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</si>
  <si>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</si>
  <si>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</si>
  <si>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</si>
  <si>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</si>
  <si>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</si>
  <si>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</si>
  <si>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</si>
  <si>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</si>
  <si>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</si>
  <si>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</si>
  <si>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</si>
  <si>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</si>
  <si>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</si>
  <si>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</si>
  <si>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</si>
  <si>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12200805751015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</si>
  <si>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</si>
  <si>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</si>
  <si>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</si>
  <si>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</si>
  <si>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</si>
  <si>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</si>
  <si>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</si>
  <si>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</si>
  <si>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</si>
  <si>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</si>
  <si>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</si>
  <si>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</si>
  <si>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</si>
  <si>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</si>
  <si>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</si>
  <si>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</si>
  <si>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</si>
  <si>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</si>
  <si>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</si>
  <si>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</si>
  <si>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</si>
  <si>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</si>
  <si>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</si>
  <si>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11142011841016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</si>
  <si>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</si>
  <si>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</si>
  <si>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</si>
  <si>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</si>
  <si>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</si>
  <si>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</si>
  <si>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</si>
  <si>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</si>
  <si>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</si>
  <si>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</si>
  <si>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</si>
  <si>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</si>
  <si>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12100103741017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</si>
  <si>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</si>
  <si>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</si>
  <si>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</si>
  <si>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</si>
  <si>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</si>
  <si>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</si>
  <si>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</si>
  <si>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</si>
  <si>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</si>
  <si>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</si>
  <si>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</si>
  <si>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</si>
  <si>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</si>
  <si>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</si>
  <si>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</si>
  <si>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</si>
  <si>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</si>
  <si>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</si>
  <si>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</si>
  <si>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</si>
  <si>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</si>
  <si>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</si>
  <si>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NUBIA LISETH REVELO CORNEJO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</si>
  <si>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</si>
  <si>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</si>
  <si>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</si>
  <si>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</si>
  <si>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</si>
  <si>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</si>
  <si>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</si>
  <si>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</si>
  <si>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</si>
  <si>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</si>
  <si>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</si>
  <si>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</si>
  <si>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</si>
  <si>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</si>
  <si>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</si>
  <si>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</si>
  <si>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</si>
  <si>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</si>
  <si>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</si>
  <si>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</si>
  <si>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</si>
  <si>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</si>
  <si>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</si>
  <si>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</si>
  <si>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</si>
  <si>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</si>
  <si>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</si>
  <si>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</si>
  <si>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</si>
  <si>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</si>
  <si>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</si>
  <si>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</si>
  <si>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</si>
  <si>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</si>
  <si>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</si>
  <si>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</si>
  <si>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</si>
  <si>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</si>
  <si>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</si>
  <si>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</si>
  <si>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</si>
  <si>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</si>
  <si>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</si>
  <si>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</si>
  <si>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</si>
  <si>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</si>
  <si>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</si>
  <si>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</si>
  <si>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</si>
  <si>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</si>
  <si>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</si>
  <si>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</si>
  <si>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</si>
  <si>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</si>
  <si>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</si>
  <si>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</si>
  <si>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</si>
  <si>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</si>
  <si>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</si>
  <si>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</si>
  <si>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</si>
  <si>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</si>
  <si>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</si>
  <si>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</si>
  <si>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</si>
  <si>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</si>
  <si>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</si>
  <si>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</si>
  <si>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</si>
  <si>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</si>
  <si>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</si>
  <si>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</si>
  <si>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</si>
  <si>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</si>
  <si>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</si>
  <si>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</si>
  <si>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</si>
  <si>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</si>
  <si>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</si>
  <si>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</si>
  <si>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</si>
  <si>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</si>
  <si>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</si>
  <si>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</si>
  <si>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</si>
  <si>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</si>
  <si>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</si>
  <si>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</si>
  <si>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</si>
  <si>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</si>
  <si>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</si>
  <si>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</si>
  <si>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</si>
  <si>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</si>
  <si>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</si>
  <si>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</si>
  <si>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</si>
  <si>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</si>
  <si>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</si>
  <si>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</si>
  <si>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</si>
  <si>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</si>
  <si>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</si>
  <si>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</si>
  <si>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</si>
  <si>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</si>
  <si>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</si>
  <si>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</si>
  <si>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</si>
  <si>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</si>
  <si>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</si>
  <si>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</si>
  <si>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</si>
  <si>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</si>
  <si>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</si>
  <si>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</si>
  <si>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</si>
  <si>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</si>
  <si>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</si>
  <si>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</si>
  <si>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</si>
  <si>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</si>
  <si>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</si>
  <si>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</si>
  <si>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</si>
  <si>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</si>
  <si>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</si>
  <si>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</si>
  <si>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</si>
  <si>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</si>
  <si>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</si>
  <si>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</si>
  <si>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</si>
  <si>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</si>
  <si>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</si>
  <si>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</si>
  <si>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</si>
  <si>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</si>
  <si>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</si>
  <si>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</si>
  <si>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</si>
  <si>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</si>
  <si>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</si>
  <si>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</si>
  <si>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</si>
  <si>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</si>
  <si>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</si>
  <si>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</si>
  <si>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</si>
  <si>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</si>
  <si>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</si>
  <si>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</si>
  <si>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</si>
  <si>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</si>
  <si>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</si>
  <si>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</si>
  <si>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</si>
  <si>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</si>
  <si>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</si>
  <si>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</si>
  <si>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</si>
  <si>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</si>
  <si>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</si>
  <si>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</si>
  <si>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</si>
  <si>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</si>
  <si>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</si>
  <si>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</si>
  <si>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</si>
  <si>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</si>
  <si>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</si>
  <si>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</si>
  <si>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</si>
  <si>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</si>
  <si>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</si>
  <si>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</si>
  <si>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</si>
  <si>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</si>
  <si>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</si>
  <si>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</si>
  <si>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</si>
  <si>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</si>
  <si>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</si>
  <si>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</si>
  <si>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</si>
  <si>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</si>
  <si>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</si>
  <si>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</si>
  <si>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</si>
  <si>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</si>
  <si>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</si>
  <si>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</si>
  <si>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</si>
  <si>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</si>
  <si>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</si>
  <si>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</si>
  <si>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</si>
  <si>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</si>
  <si>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</si>
  <si>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</si>
  <si>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</si>
  <si>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</si>
  <si>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</si>
  <si>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</si>
  <si>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</si>
  <si>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</si>
  <si>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</si>
  <si>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</si>
  <si>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</si>
  <si>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</si>
  <si>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</si>
  <si>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</si>
  <si>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</si>
  <si>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</si>
  <si>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</si>
  <si>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</si>
  <si>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</si>
  <si>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</si>
  <si>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</si>
  <si>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</si>
  <si>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</si>
  <si>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</si>
  <si>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</si>
  <si>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</si>
  <si>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</si>
  <si>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</si>
  <si>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</si>
  <si>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</si>
  <si>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</si>
  <si>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</si>
  <si>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</si>
  <si>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</si>
  <si>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</si>
  <si>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</si>
  <si>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</si>
  <si>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</si>
  <si>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</si>
  <si>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</si>
  <si>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</si>
  <si>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</si>
  <si>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</si>
  <si>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</si>
  <si>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</si>
  <si>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</si>
  <si>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</si>
  <si>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</si>
  <si>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</si>
  <si>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</si>
  <si>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</si>
  <si>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</si>
  <si>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</si>
  <si>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</si>
  <si>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</si>
  <si>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</si>
  <si>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</si>
  <si>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</si>
  <si>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</si>
  <si>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</si>
  <si>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</si>
  <si>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</si>
  <si>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</si>
  <si>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</si>
  <si>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</si>
  <si>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</si>
  <si>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</si>
  <si>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</si>
  <si>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</si>
  <si>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</si>
  <si>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</si>
  <si>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</si>
  <si>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</si>
  <si>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</si>
  <si>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</si>
  <si>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</si>
  <si>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</si>
  <si>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</si>
  <si>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</si>
  <si>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</si>
  <si>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</si>
  <si>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</si>
  <si>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</si>
  <si>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</si>
  <si>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</si>
  <si>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</si>
  <si>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</si>
  <si>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</si>
  <si>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</si>
  <si>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</si>
  <si>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</si>
  <si>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</si>
  <si>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</si>
  <si>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</si>
  <si>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</si>
  <si>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</si>
  <si>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</si>
  <si>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</si>
  <si>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</si>
  <si>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</si>
  <si>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</si>
  <si>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</si>
  <si>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</si>
  <si>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</si>
  <si>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</si>
  <si>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</si>
  <si>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</si>
  <si>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</si>
  <si>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</si>
  <si>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</si>
  <si>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</si>
  <si>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</si>
  <si>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</si>
  <si>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</si>
  <si>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</si>
  <si>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</si>
  <si>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</si>
  <si>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</si>
  <si>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</si>
  <si>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</si>
  <si>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</si>
  <si>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</si>
  <si>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</si>
  <si>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</si>
  <si>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</si>
  <si>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</si>
  <si>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</si>
  <si>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</si>
  <si>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</si>
  <si>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</si>
  <si>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</si>
  <si>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</si>
  <si>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</si>
  <si>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</si>
  <si>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</si>
  <si>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</si>
  <si>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</si>
  <si>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</si>
  <si>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</si>
  <si>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</si>
  <si>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</si>
  <si>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</si>
  <si>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</si>
  <si>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</si>
  <si>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</si>
  <si>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</si>
  <si>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</si>
  <si>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</si>
  <si>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</si>
  <si>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</si>
  <si>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</si>
  <si>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</si>
  <si>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</si>
  <si>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</si>
  <si>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</si>
  <si>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</si>
  <si>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</si>
  <si>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</si>
  <si>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</si>
  <si>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</si>
  <si>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</si>
  <si>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</si>
  <si>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</si>
  <si>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</si>
  <si>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</si>
  <si>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</si>
  <si>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</si>
  <si>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</si>
  <si>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</si>
  <si>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</si>
  <si>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</si>
  <si>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</si>
  <si>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</si>
  <si>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</si>
  <si>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</si>
  <si>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</si>
  <si>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</si>
  <si>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</si>
  <si>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</si>
  <si>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</si>
  <si>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</si>
  <si>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</si>
  <si>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</si>
  <si>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</si>
  <si>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</si>
  <si>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</si>
  <si>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</si>
  <si>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</si>
  <si>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</si>
  <si>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</si>
  <si>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</si>
  <si>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</si>
  <si>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</si>
  <si>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</si>
  <si>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</si>
  <si>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</si>
  <si>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</si>
  <si>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</si>
  <si>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</si>
  <si>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</si>
  <si>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</si>
  <si>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</si>
  <si>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</si>
  <si>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</si>
  <si>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</si>
  <si>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</si>
  <si>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</si>
  <si>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</si>
  <si>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</si>
  <si>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</si>
  <si>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</si>
  <si>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</si>
  <si>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</si>
  <si>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</si>
  <si>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</si>
  <si>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</si>
  <si>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</si>
  <si>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</si>
  <si>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</si>
  <si>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</si>
  <si>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</si>
  <si>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</si>
  <si>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</si>
  <si>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</si>
  <si>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</si>
  <si>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</si>
  <si>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</si>
  <si>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</si>
  <si>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</si>
  <si>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</si>
  <si>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</si>
  <si>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</si>
  <si>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</si>
  <si>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</si>
  <si>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</si>
  <si>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</si>
  <si>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</si>
  <si>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</si>
  <si>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</si>
  <si>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</si>
  <si>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</si>
  <si>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</si>
  <si>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</si>
  <si>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</si>
  <si>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</si>
  <si>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</si>
  <si>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</si>
  <si>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</si>
  <si>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</si>
  <si>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</si>
  <si>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</si>
  <si>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</si>
  <si>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</si>
  <si>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</si>
  <si>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</si>
  <si>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</si>
  <si>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</si>
  <si>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</si>
  <si>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</si>
  <si>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</si>
  <si>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</si>
  <si>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</si>
  <si>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</si>
  <si>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</si>
  <si>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</si>
  <si>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</si>
  <si>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</si>
  <si>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</si>
  <si>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</si>
  <si>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</si>
  <si>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</si>
  <si>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</si>
  <si>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</si>
  <si>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</si>
  <si>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</si>
  <si>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</si>
  <si>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</si>
  <si>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</si>
  <si>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</si>
  <si>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</si>
  <si>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</si>
  <si>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</si>
  <si>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</si>
  <si>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</si>
  <si>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</si>
  <si>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</si>
  <si>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</si>
  <si>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</si>
  <si>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</si>
  <si>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</si>
  <si>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</si>
  <si>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</si>
  <si>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</si>
  <si>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</si>
  <si>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</si>
  <si>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</si>
  <si>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</si>
  <si>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</si>
  <si>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</si>
  <si>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</si>
  <si>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</si>
  <si>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</si>
  <si>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</si>
  <si>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</si>
  <si>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</si>
  <si>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</si>
  <si>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</si>
  <si>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</si>
  <si>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</si>
  <si>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</si>
  <si>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</si>
  <si>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</si>
  <si>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</si>
  <si>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</si>
  <si>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</si>
  <si>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</si>
  <si>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</si>
  <si>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</si>
  <si>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</si>
  <si>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</si>
  <si>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</si>
  <si>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</si>
  <si>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</si>
  <si>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</si>
  <si>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</si>
  <si>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</si>
  <si>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</si>
  <si>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</si>
  <si>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</si>
  <si>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</si>
  <si>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</si>
  <si>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</si>
  <si>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</si>
  <si>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</si>
  <si>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</si>
  <si>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</si>
  <si>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</si>
  <si>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</si>
  <si>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</si>
  <si>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</si>
  <si>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</si>
  <si>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</si>
  <si>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</si>
  <si>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</si>
  <si>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</si>
  <si>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</si>
  <si>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</si>
  <si>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</si>
  <si>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</si>
  <si>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</si>
  <si>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</si>
  <si>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</si>
  <si>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</si>
  <si>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</si>
  <si>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</si>
  <si>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</si>
  <si>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</si>
  <si>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</si>
  <si>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</si>
  <si>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</si>
  <si>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</si>
  <si>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</si>
  <si>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</si>
  <si>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</si>
  <si>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</si>
  <si>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</si>
  <si>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</si>
  <si>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</si>
  <si>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</si>
  <si>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</si>
  <si>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</si>
  <si>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</si>
  <si>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</si>
  <si>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</si>
  <si>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</si>
  <si>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</si>
  <si>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</si>
  <si>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</si>
  <si>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</si>
  <si>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</si>
  <si>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</si>
  <si>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</si>
  <si>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</si>
  <si>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</si>
  <si>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</si>
  <si>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</si>
  <si>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</si>
  <si>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</si>
  <si>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</si>
  <si>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</si>
  <si>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</si>
  <si>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</si>
  <si>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</si>
  <si>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</si>
  <si>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</si>
  <si>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</si>
  <si>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</si>
  <si>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</si>
  <si>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</si>
  <si>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</si>
  <si>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</si>
  <si>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</si>
  <si>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</si>
  <si>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</si>
  <si>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</si>
  <si>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</si>
  <si>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</si>
  <si>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</si>
  <si>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</si>
  <si>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</si>
  <si>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</si>
  <si>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</si>
  <si>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</si>
  <si>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</si>
  <si>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</si>
  <si>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</si>
  <si>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</si>
  <si>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</si>
  <si>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</si>
  <si>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</si>
  <si>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</si>
  <si>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</si>
  <si>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</si>
  <si>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</si>
  <si>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</si>
  <si>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</si>
  <si>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</si>
  <si>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</si>
  <si>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</si>
  <si>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</si>
  <si>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</si>
  <si>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</si>
  <si>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</si>
  <si>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</si>
  <si>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</si>
  <si>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</si>
  <si>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</si>
  <si>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</si>
  <si>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</si>
  <si>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</si>
  <si>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</si>
  <si>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</si>
  <si>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</si>
  <si>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</si>
  <si>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</si>
  <si>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</si>
  <si>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</si>
  <si>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</si>
  <si>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</si>
  <si>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</si>
  <si>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</si>
  <si>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</si>
  <si>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</si>
  <si>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</si>
  <si>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</si>
  <si>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</si>
  <si>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</si>
  <si>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</si>
  <si>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</si>
  <si>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</si>
  <si>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</si>
  <si>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</si>
  <si>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</si>
  <si>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</si>
  <si>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</si>
  <si>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</si>
  <si>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</si>
  <si>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</si>
  <si>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</si>
  <si>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</si>
  <si>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</si>
  <si>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</si>
  <si>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</si>
  <si>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</si>
  <si>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</si>
  <si>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</si>
  <si>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</si>
  <si>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</si>
  <si>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</si>
  <si>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</si>
  <si>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</si>
  <si>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</si>
  <si>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</si>
  <si>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</si>
  <si>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</si>
  <si>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</si>
  <si>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</si>
  <si>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</si>
  <si>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</si>
  <si>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</si>
  <si>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</si>
  <si>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</si>
  <si>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</si>
  <si>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</si>
  <si>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</si>
  <si>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</si>
  <si>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</si>
  <si>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</si>
  <si>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</si>
  <si>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</si>
  <si>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</si>
  <si>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</si>
  <si>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</si>
  <si>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</si>
  <si>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</si>
  <si>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</si>
  <si>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</si>
  <si>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</si>
  <si>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</si>
  <si>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</si>
  <si>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</si>
  <si>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</si>
  <si>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</si>
  <si>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</si>
  <si>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</si>
  <si>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</si>
  <si>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</si>
  <si>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</si>
  <si>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</si>
  <si>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</si>
  <si>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</si>
  <si>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</si>
  <si>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</si>
  <si>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</si>
  <si>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</si>
  <si>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</si>
  <si>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</si>
  <si>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</si>
  <si>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</si>
  <si>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</si>
  <si>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</si>
  <si>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</si>
  <si>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</si>
  <si>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</si>
  <si>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</si>
  <si>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</si>
  <si>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</si>
  <si>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</si>
  <si>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</si>
  <si>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</si>
  <si>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</si>
  <si>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</si>
  <si>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</si>
  <si>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</si>
  <si>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</si>
  <si>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</si>
  <si>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</si>
  <si>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</si>
  <si>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</si>
  <si>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</si>
  <si>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</si>
  <si>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</si>
  <si>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</si>
  <si>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</si>
  <si>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</si>
  <si>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</si>
  <si>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</si>
  <si>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</si>
  <si>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</si>
  <si>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</si>
  <si>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</si>
  <si>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</si>
  <si>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</si>
  <si>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</si>
  <si>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</si>
  <si>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</si>
  <si>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</si>
  <si>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</si>
  <si>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</si>
  <si>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</si>
  <si>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</si>
  <si>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</si>
  <si>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</si>
  <si>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</si>
  <si>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</si>
  <si>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</si>
  <si>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</si>
  <si>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</si>
  <si>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</si>
  <si>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</si>
  <si>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</si>
  <si>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</si>
  <si>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</si>
  <si>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</si>
  <si>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</si>
  <si>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</si>
  <si>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</si>
  <si>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</si>
  <si>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</si>
  <si>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</si>
  <si>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</si>
  <si>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</si>
  <si>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</si>
  <si>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</si>
  <si>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</si>
  <si>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</si>
  <si>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</si>
  <si>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</si>
  <si>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</si>
  <si>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</si>
  <si>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</si>
  <si>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</si>
  <si>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</si>
  <si>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</si>
  <si>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</si>
  <si>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</si>
  <si>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</si>
  <si>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</si>
  <si>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</si>
  <si>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</si>
  <si>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</si>
  <si>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</si>
  <si>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</si>
  <si>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</si>
  <si>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</si>
  <si>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</si>
  <si>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</si>
  <si>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</si>
  <si>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</si>
  <si>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</si>
  <si>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</si>
  <si>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</si>
  <si>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</si>
  <si>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</si>
  <si>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</si>
  <si>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</si>
  <si>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</si>
  <si>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</si>
  <si>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</si>
  <si>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</si>
  <si>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</si>
  <si>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</si>
  <si>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</si>
  <si>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</si>
  <si>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</si>
  <si>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</si>
  <si>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</si>
  <si>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</si>
  <si>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</si>
  <si>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</si>
  <si>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</si>
  <si>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</si>
  <si>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</si>
  <si>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</si>
  <si>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</si>
  <si>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</si>
  <si>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</si>
  <si>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</si>
  <si>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</si>
  <si>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</si>
  <si>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</si>
  <si>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</si>
  <si>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</si>
  <si>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</si>
  <si>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</si>
  <si>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</si>
  <si>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</si>
  <si>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</si>
  <si>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</si>
  <si>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</si>
  <si>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</si>
  <si>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</si>
  <si>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</si>
  <si>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</si>
  <si>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</si>
  <si>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</si>
  <si>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</si>
  <si>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</si>
  <si>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</si>
  <si>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</si>
  <si>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</si>
  <si>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</si>
  <si>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</si>
  <si>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</si>
  <si>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</si>
  <si>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</si>
  <si>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</si>
  <si>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</si>
  <si>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</si>
  <si>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</si>
  <si>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</si>
  <si>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</si>
  <si>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</si>
  <si>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</si>
  <si>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</si>
  <si>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</si>
  <si>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</si>
  <si>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</si>
  <si>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</si>
  <si>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</si>
  <si>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</si>
  <si>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</si>
  <si>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</si>
  <si>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</si>
  <si>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</si>
  <si>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</si>
  <si>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</si>
  <si>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</si>
  <si>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</si>
  <si>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</si>
  <si>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</si>
  <si>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</si>
  <si>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</si>
  <si>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</si>
  <si>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</si>
  <si>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</si>
  <si>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</si>
  <si>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</si>
  <si>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</si>
  <si>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</si>
  <si>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</si>
  <si>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</si>
  <si>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</si>
  <si>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</si>
  <si>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</si>
  <si>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</si>
  <si>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</si>
  <si>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</si>
  <si>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</si>
  <si>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</si>
  <si>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</si>
  <si>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</si>
  <si>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</si>
  <si>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</si>
  <si>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</si>
  <si>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</si>
  <si>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</si>
  <si>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</si>
  <si>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</si>
  <si>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</si>
  <si>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</si>
  <si>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</si>
  <si>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</si>
  <si>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</si>
  <si>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</si>
  <si>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</si>
  <si>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</si>
  <si>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</si>
  <si>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</si>
  <si>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</si>
  <si>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</si>
  <si>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</si>
  <si>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</si>
  <si>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</si>
  <si>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</si>
  <si>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</si>
  <si>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</si>
  <si>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</si>
  <si>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</si>
  <si>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</si>
  <si>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</si>
  <si>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</si>
  <si>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</si>
  <si>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</si>
  <si>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</si>
  <si>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</si>
  <si>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</si>
  <si>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</si>
  <si>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</si>
  <si>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</si>
  <si>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</si>
  <si>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</si>
  <si>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</si>
  <si>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</si>
  <si>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</si>
  <si>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</si>
  <si>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</si>
  <si>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</si>
  <si>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</si>
  <si>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</si>
  <si>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</si>
  <si>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</si>
  <si>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</si>
  <si>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</si>
  <si>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</si>
  <si>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</si>
  <si>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</si>
  <si>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</si>
  <si>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</si>
  <si>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</si>
  <si>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</si>
  <si>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</si>
  <si>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</si>
  <si>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</si>
  <si>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</si>
  <si>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</si>
  <si>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</si>
  <si>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</si>
  <si>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</si>
  <si>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</si>
  <si>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</si>
  <si>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</si>
  <si>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</si>
  <si>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</si>
  <si>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</si>
  <si>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</si>
  <si>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</si>
  <si>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</si>
  <si>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</si>
  <si>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</si>
  <si>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</si>
  <si>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</si>
  <si>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</si>
  <si>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</si>
  <si>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</si>
  <si>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</si>
  <si>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</si>
  <si>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</si>
  <si>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</si>
  <si>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</si>
  <si>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</si>
  <si>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</si>
  <si>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</si>
  <si>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</si>
  <si>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</si>
  <si>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</si>
  <si>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</si>
  <si>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</si>
  <si>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</si>
  <si>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</si>
  <si>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</si>
  <si>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</si>
  <si>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</si>
  <si>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</si>
  <si>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</si>
  <si>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</si>
  <si>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</si>
  <si>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</si>
  <si>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</si>
  <si>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</si>
  <si>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</si>
  <si>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</si>
  <si>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</si>
  <si>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</si>
  <si>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</si>
  <si>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</si>
  <si>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</si>
  <si>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</si>
  <si>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</si>
  <si>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</si>
  <si>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</si>
  <si>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</si>
  <si>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</si>
  <si>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</si>
  <si>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</si>
  <si>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</si>
  <si>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</si>
  <si>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</si>
  <si>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</si>
  <si>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</si>
  <si>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</si>
  <si>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</si>
  <si>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</si>
  <si>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</si>
  <si>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</si>
  <si>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</si>
  <si>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</si>
  <si>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</si>
  <si>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</si>
  <si>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</si>
  <si>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</si>
  <si>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</si>
  <si>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</si>
  <si>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</si>
  <si>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</si>
  <si>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</si>
  <si>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</si>
  <si>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</si>
  <si>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</si>
  <si>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</si>
  <si>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</si>
  <si>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</si>
  <si>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</si>
  <si>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</si>
  <si>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</si>
  <si>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</si>
  <si>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</si>
  <si>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</si>
  <si>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</si>
  <si>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</si>
  <si>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</si>
  <si>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</si>
  <si>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</si>
  <si>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</si>
  <si>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</si>
  <si>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</si>
  <si>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</si>
  <si>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</si>
  <si>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</si>
  <si>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</si>
  <si>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</si>
  <si>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</si>
  <si>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</si>
  <si>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</si>
  <si>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</si>
  <si>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</si>
  <si>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</si>
  <si>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</si>
  <si>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</si>
  <si>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</si>
  <si>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</si>
  <si>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</si>
  <si>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</si>
  <si>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</si>
  <si>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</si>
  <si>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</si>
  <si>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</si>
  <si>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</si>
  <si>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</si>
  <si>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</si>
  <si>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</si>
  <si>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</si>
  <si>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</si>
  <si>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</si>
  <si>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</si>
  <si>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</si>
  <si>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</si>
  <si>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</si>
  <si>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</si>
  <si>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</si>
  <si>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</si>
  <si>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</si>
  <si>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</si>
  <si>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</si>
  <si>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</si>
  <si>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</si>
  <si>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</si>
  <si>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</si>
  <si>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</si>
  <si>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</si>
  <si>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</si>
  <si>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</si>
  <si>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</si>
  <si>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</si>
  <si>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</si>
  <si>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</si>
  <si>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</si>
  <si>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</si>
  <si>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</si>
  <si>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</si>
  <si>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</si>
  <si>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</si>
  <si>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</si>
  <si>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</si>
  <si>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</si>
  <si>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</si>
  <si>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</si>
  <si>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</si>
  <si>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</si>
  <si>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</si>
  <si>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</si>
  <si>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</si>
  <si>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</si>
  <si>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</si>
  <si>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</si>
  <si>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</si>
  <si>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</si>
  <si>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</si>
  <si>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</si>
  <si>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</si>
  <si>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</si>
  <si>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</si>
  <si>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</si>
  <si>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</si>
  <si>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</si>
  <si>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</si>
  <si>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</si>
  <si>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</si>
  <si>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</si>
  <si>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</si>
  <si>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</si>
  <si>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</si>
  <si>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</si>
  <si>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</si>
  <si>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</si>
  <si>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</si>
  <si>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</si>
  <si>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</si>
  <si>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</si>
  <si>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</si>
  <si>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</si>
  <si>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</si>
  <si>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</si>
  <si>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</si>
  <si>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</si>
  <si>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</si>
  <si>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</si>
  <si>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</si>
  <si>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</si>
  <si>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</si>
  <si>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</si>
  <si>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</si>
  <si>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</si>
  <si>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</si>
  <si>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</si>
  <si>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</si>
  <si>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</si>
  <si>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</si>
  <si>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</si>
  <si>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</si>
  <si>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</si>
  <si>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</si>
  <si>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</si>
  <si>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</si>
  <si>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</si>
  <si>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</si>
  <si>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</si>
  <si>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</si>
  <si>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</si>
  <si>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</si>
  <si>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</si>
  <si>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</si>
  <si>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</si>
  <si>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</si>
  <si>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</si>
  <si>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</si>
  <si>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</si>
  <si>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</si>
  <si>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</si>
  <si>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</si>
  <si>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</si>
  <si>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</si>
  <si>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</si>
  <si>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</si>
  <si>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</si>
  <si>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</si>
  <si>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</si>
  <si>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</si>
  <si>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</si>
  <si>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</si>
  <si>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</si>
  <si>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</si>
  <si>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</si>
  <si>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</si>
  <si>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</si>
  <si>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</si>
  <si>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</si>
  <si>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</si>
  <si>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</si>
  <si>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</si>
  <si>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</si>
  <si>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</si>
  <si>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</si>
  <si>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</si>
  <si>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</si>
  <si>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</si>
  <si>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</si>
  <si>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</si>
  <si>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</si>
  <si>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</si>
  <si>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</si>
  <si>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</si>
  <si>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</si>
  <si>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</si>
  <si>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</si>
  <si>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</si>
  <si>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</si>
  <si>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</si>
  <si>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</si>
  <si>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</si>
  <si>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</si>
  <si>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</si>
  <si>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</si>
  <si>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</si>
  <si>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</si>
  <si>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</si>
  <si>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</si>
  <si>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</si>
  <si>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</si>
  <si>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</si>
  <si>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</si>
  <si>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</si>
  <si>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</si>
  <si>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</si>
  <si>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</si>
  <si>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</si>
  <si>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</si>
  <si>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</si>
  <si>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</si>
  <si>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</si>
  <si>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</si>
  <si>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</si>
  <si>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</si>
  <si>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</si>
  <si>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</si>
  <si>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</si>
  <si>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</si>
  <si>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</si>
  <si>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</si>
  <si>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</si>
  <si>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</si>
  <si>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</si>
  <si>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</si>
  <si>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</si>
  <si>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</si>
  <si>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</si>
  <si>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</si>
  <si>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</si>
  <si>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</si>
  <si>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</si>
  <si>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</si>
  <si>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</si>
  <si>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</si>
  <si>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</si>
  <si>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</si>
  <si>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</si>
  <si>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</si>
  <si>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</si>
  <si>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</si>
  <si>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</si>
  <si>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</si>
  <si>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</si>
  <si>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</si>
  <si>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</si>
  <si>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</si>
  <si>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</si>
  <si>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</si>
  <si>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</si>
  <si>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</si>
  <si>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</si>
  <si>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</si>
  <si>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</si>
  <si>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</si>
  <si>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</si>
  <si>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</si>
  <si>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</si>
  <si>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</si>
  <si>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</si>
  <si>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</si>
  <si>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</si>
  <si>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</si>
  <si>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</si>
  <si>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</si>
  <si>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</si>
  <si>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</si>
  <si>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</si>
  <si>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</si>
  <si>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</si>
  <si>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</si>
  <si>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</si>
  <si>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</si>
  <si>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</si>
  <si>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</si>
  <si>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</si>
  <si>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</si>
  <si>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</si>
  <si>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</si>
  <si>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</si>
  <si>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</si>
  <si>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</si>
  <si>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</si>
  <si>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</si>
  <si>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</si>
  <si>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</si>
  <si>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</si>
  <si>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</si>
  <si>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</si>
  <si>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</si>
  <si>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</si>
  <si>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</si>
  <si>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</si>
  <si>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</si>
  <si>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</si>
  <si>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</si>
  <si>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</si>
  <si>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</si>
  <si>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</si>
  <si>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</si>
  <si>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</si>
  <si>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</si>
  <si>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</si>
  <si>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</si>
  <si>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</si>
  <si>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</si>
  <si>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</si>
  <si>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</si>
  <si>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</si>
  <si>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</si>
  <si>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</si>
  <si>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</si>
  <si>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</si>
  <si>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</si>
  <si>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</si>
  <si>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</si>
  <si>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</si>
  <si>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</si>
  <si>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</si>
  <si>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</si>
  <si>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</si>
  <si>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</si>
  <si>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</si>
  <si>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</si>
  <si>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</si>
  <si>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</si>
  <si>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</si>
  <si>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</si>
  <si>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</si>
  <si>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</si>
  <si>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</si>
  <si>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</si>
  <si>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</si>
  <si>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</si>
  <si>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</si>
  <si>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</si>
  <si>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</si>
  <si>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</si>
  <si>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</si>
  <si>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</si>
  <si>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</si>
  <si>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</si>
  <si>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</si>
  <si>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</si>
  <si>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</si>
  <si>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</si>
  <si>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</si>
  <si>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</si>
  <si>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</si>
  <si>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</si>
  <si>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</si>
  <si>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</si>
  <si>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</si>
  <si>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</si>
  <si>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</si>
  <si>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</si>
  <si>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</si>
  <si>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</si>
  <si>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</si>
  <si>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</si>
  <si>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</si>
  <si>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</si>
  <si>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</si>
  <si>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</si>
  <si>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</si>
  <si>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</si>
  <si>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</si>
  <si>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</si>
  <si>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</si>
  <si>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</si>
  <si>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</si>
  <si>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</si>
  <si>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</si>
  <si>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</si>
  <si>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</si>
  <si>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</si>
  <si>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</si>
  <si>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</si>
  <si>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</si>
  <si>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</si>
  <si>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</si>
  <si>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</si>
  <si>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</si>
  <si>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</si>
  <si>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</si>
  <si>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</si>
  <si>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</si>
  <si>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</si>
  <si>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</si>
  <si>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</si>
  <si>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</si>
  <si>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</si>
  <si>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</si>
  <si>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</si>
  <si>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</si>
  <si>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</si>
  <si>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</si>
  <si>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</si>
  <si>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</si>
  <si>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</si>
  <si>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</si>
  <si>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</si>
  <si>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</si>
  <si>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</si>
  <si>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</si>
  <si>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</si>
  <si>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</si>
  <si>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</si>
  <si>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</si>
  <si>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</si>
  <si>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</si>
  <si>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</si>
  <si>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</si>
  <si>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</si>
  <si>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</si>
  <si>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</si>
  <si>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</si>
  <si>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</si>
  <si>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</si>
  <si>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</si>
  <si>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</si>
  <si>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</si>
  <si>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</si>
  <si>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</si>
  <si>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</si>
  <si>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</si>
  <si>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</si>
  <si>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</si>
  <si>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</si>
  <si>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</si>
  <si>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</si>
  <si>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</si>
  <si>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</si>
  <si>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</si>
  <si>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</si>
  <si>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</si>
  <si>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</si>
  <si>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</si>
  <si>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</si>
  <si>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</si>
  <si>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</si>
  <si>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</si>
  <si>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</si>
  <si>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</si>
  <si>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</si>
  <si>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</si>
  <si>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</si>
  <si>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</si>
  <si>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</si>
  <si>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</si>
  <si>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</si>
  <si>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</si>
  <si>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</si>
  <si>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</si>
  <si>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</si>
  <si>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</si>
  <si>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</si>
  <si>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</si>
  <si>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</si>
  <si>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</si>
  <si>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</si>
  <si>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</si>
  <si>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</si>
  <si>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</si>
  <si>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</si>
  <si>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</si>
  <si>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</si>
  <si>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</si>
  <si>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</si>
  <si>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</si>
  <si>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</si>
  <si>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</si>
  <si>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</si>
  <si>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</si>
  <si>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</si>
  <si>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</si>
  <si>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</si>
  <si>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</si>
  <si>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</si>
  <si>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</si>
  <si>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</si>
  <si>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</si>
  <si>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</si>
  <si>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</si>
  <si>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</si>
  <si>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</si>
  <si>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</si>
  <si>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</si>
  <si>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</si>
  <si>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</si>
  <si>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</si>
  <si>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</si>
  <si>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</si>
  <si>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</si>
  <si>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</si>
  <si>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</si>
  <si>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</si>
  <si>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</si>
  <si>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</si>
  <si>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</si>
  <si>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</si>
  <si>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</si>
  <si>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</si>
  <si>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</si>
  <si>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</si>
  <si>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</si>
  <si>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</si>
  <si>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</si>
  <si>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</si>
  <si>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</si>
  <si>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</si>
  <si>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</si>
  <si>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</si>
  <si>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</si>
  <si>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</si>
  <si>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</si>
  <si>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</si>
  <si>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</si>
  <si>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</si>
  <si>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</si>
  <si>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</si>
  <si>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</si>
  <si>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</si>
  <si>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</si>
  <si>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</si>
  <si>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</si>
  <si>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</si>
  <si>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</si>
  <si>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</si>
  <si>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</si>
  <si>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</si>
  <si>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</si>
  <si>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</si>
  <si>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</si>
  <si>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</si>
  <si>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</si>
  <si>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</si>
  <si>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</si>
  <si>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</si>
  <si>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</si>
  <si>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</si>
  <si>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</si>
  <si>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</si>
  <si>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</si>
  <si>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</si>
  <si>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</si>
  <si>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</si>
  <si>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</si>
  <si>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</si>
  <si>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</si>
  <si>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</si>
  <si>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</si>
  <si>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</si>
  <si>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</si>
  <si>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</si>
  <si>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</si>
  <si>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</si>
  <si>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</si>
  <si>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</si>
  <si>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</si>
  <si>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</si>
  <si>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</si>
  <si>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</si>
  <si>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</si>
  <si>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</si>
  <si>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</si>
  <si>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</si>
  <si>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</si>
  <si>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</si>
  <si>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</si>
  <si>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</si>
  <si>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</si>
  <si>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</si>
  <si>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</si>
  <si>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</si>
  <si>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</si>
  <si>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</si>
  <si>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</si>
  <si>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</si>
  <si>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</si>
  <si>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</si>
  <si>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</si>
  <si>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</si>
  <si>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</si>
  <si>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</si>
  <si>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</si>
  <si>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</si>
  <si>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</si>
  <si>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</si>
  <si>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</si>
  <si>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</si>
  <si>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</si>
  <si>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</si>
  <si>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</si>
  <si>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</si>
  <si>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</si>
  <si>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</si>
  <si>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</si>
  <si>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</si>
  <si>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</si>
  <si>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</si>
  <si>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</si>
  <si>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</si>
  <si>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</si>
  <si>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</si>
  <si>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</si>
  <si>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</si>
  <si>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</si>
  <si>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</si>
  <si>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</si>
  <si>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</si>
  <si>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</si>
  <si>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</si>
  <si>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</si>
  <si>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</si>
  <si>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</si>
  <si>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</si>
  <si>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</si>
  <si>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</si>
  <si>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</si>
  <si>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</si>
  <si>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</si>
  <si>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</si>
  <si>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</si>
  <si>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</si>
  <si>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</si>
  <si>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</si>
  <si>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</si>
  <si>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</si>
  <si>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</si>
  <si>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</si>
  <si>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</si>
  <si>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</si>
  <si>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</si>
  <si>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</si>
  <si>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</si>
  <si>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</si>
  <si>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</si>
  <si>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</si>
  <si>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</si>
  <si>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</si>
  <si>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</si>
  <si>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</si>
  <si>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</si>
  <si>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</si>
  <si>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</si>
  <si>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</si>
  <si>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</si>
  <si>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</si>
  <si>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</si>
  <si>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</si>
  <si>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</si>
  <si>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</si>
  <si>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</si>
  <si>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</si>
  <si>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</si>
  <si>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</si>
  <si>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</si>
  <si>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</si>
  <si>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</si>
  <si>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</si>
  <si>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</si>
  <si>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</si>
  <si>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</si>
  <si>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</si>
  <si>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</si>
  <si>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</si>
  <si>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</si>
  <si>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</si>
  <si>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</si>
  <si>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</si>
  <si>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</si>
  <si>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</si>
  <si>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</si>
  <si>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</si>
  <si>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</si>
  <si>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</si>
  <si>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</si>
  <si>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</si>
  <si>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</si>
  <si>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</si>
  <si>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</si>
  <si>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</si>
  <si>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</si>
  <si>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</si>
  <si>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</si>
  <si>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</si>
  <si>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</si>
  <si>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</si>
  <si>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</si>
  <si>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</si>
  <si>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</si>
  <si>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</si>
  <si>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</si>
  <si>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</si>
  <si>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</si>
  <si>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</si>
  <si>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</si>
  <si>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</si>
  <si>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</si>
  <si>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</si>
  <si>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</si>
  <si>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</si>
  <si>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</si>
  <si>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</si>
  <si>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</si>
  <si>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</si>
  <si>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</si>
  <si>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</si>
  <si>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</si>
  <si>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</si>
  <si>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</si>
  <si>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</si>
  <si>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</si>
  <si>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</si>
  <si>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</si>
  <si>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</si>
  <si>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</si>
  <si>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</si>
  <si>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</si>
  <si>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</si>
  <si>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</si>
  <si>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</si>
  <si>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</si>
  <si>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</si>
  <si>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</si>
  <si>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</si>
  <si>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</si>
  <si>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</si>
  <si>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</si>
  <si>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</si>
  <si>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</si>
  <si>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</si>
  <si>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</si>
  <si>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</si>
  <si>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</si>
  <si>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</si>
  <si>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</si>
  <si>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</si>
  <si>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</si>
  <si>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</si>
  <si>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</si>
  <si>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</si>
  <si>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</si>
  <si>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</si>
  <si>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</si>
  <si>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</si>
  <si>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</si>
  <si>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</si>
  <si>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</si>
  <si>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</si>
  <si>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</si>
  <si>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</si>
  <si>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</si>
  <si>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</si>
  <si>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</si>
  <si>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</si>
  <si>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</si>
  <si>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</si>
  <si>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</si>
  <si>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</si>
  <si>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</si>
  <si>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</si>
  <si>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</si>
  <si>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</si>
  <si>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</si>
  <si>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</si>
  <si>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</si>
  <si>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</si>
  <si>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</si>
  <si>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</si>
  <si>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</si>
  <si>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</si>
  <si>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</si>
  <si>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</si>
  <si>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</si>
  <si>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</si>
  <si>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</si>
  <si>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</si>
  <si>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</si>
  <si>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</si>
  <si>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</si>
  <si>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</si>
  <si>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</si>
  <si>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</si>
  <si>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</si>
  <si>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</si>
  <si>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</si>
  <si>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</si>
  <si>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</si>
  <si>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</si>
  <si>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</si>
  <si>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</si>
  <si>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</si>
  <si>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</si>
  <si>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</si>
  <si>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</si>
  <si>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</si>
  <si>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</si>
  <si>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</si>
  <si>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</si>
  <si>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</si>
  <si>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</si>
  <si>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</si>
  <si>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</si>
  <si>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</si>
  <si>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</si>
  <si>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</si>
  <si>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</si>
  <si>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</si>
  <si>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</si>
  <si>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</si>
  <si>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</si>
  <si>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</si>
  <si>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</si>
  <si>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</si>
  <si>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</si>
  <si>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</si>
  <si>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</si>
  <si>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</si>
  <si>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</si>
  <si>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</si>
  <si>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</si>
  <si>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</si>
  <si>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</si>
  <si>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</si>
  <si>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</si>
  <si>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</si>
  <si>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</si>
  <si>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</si>
  <si>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</si>
  <si>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</si>
  <si>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</si>
  <si>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</si>
  <si>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</si>
  <si>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</si>
  <si>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</si>
  <si>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</si>
  <si>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</si>
  <si>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</si>
  <si>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</si>
  <si>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</si>
  <si>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</si>
  <si>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</si>
  <si>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</si>
  <si>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</si>
  <si>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</si>
  <si>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</si>
  <si>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</si>
  <si>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</si>
  <si>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</si>
  <si>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</si>
  <si>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</si>
  <si>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</si>
  <si>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</si>
  <si>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</si>
  <si>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</si>
  <si>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</si>
  <si>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</si>
  <si>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</si>
  <si>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</si>
  <si>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</si>
  <si>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</si>
  <si>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</si>
  <si>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</si>
  <si>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</si>
  <si>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</si>
  <si>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</si>
  <si>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</si>
  <si>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</si>
  <si>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</si>
  <si>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</si>
  <si>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</si>
  <si>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</si>
  <si>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</si>
  <si>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</si>
  <si>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</si>
  <si>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</si>
  <si>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</si>
  <si>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</si>
  <si>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</si>
  <si>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</si>
  <si>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</si>
  <si>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</si>
  <si>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</si>
  <si>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</si>
  <si>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</si>
  <si>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</si>
  <si>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</si>
  <si>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</si>
  <si>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</si>
  <si>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</si>
  <si>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</si>
  <si>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</si>
  <si>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</si>
  <si>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</si>
  <si>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</si>
  <si>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</si>
  <si>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</si>
  <si>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</si>
  <si>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</si>
  <si>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</si>
  <si>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</si>
  <si>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</si>
  <si>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</si>
  <si>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</si>
  <si>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</si>
  <si>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</si>
  <si>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</si>
  <si>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</si>
  <si>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</si>
  <si>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</si>
  <si>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</si>
  <si>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</si>
  <si>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</si>
  <si>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</si>
  <si>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</si>
  <si>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</si>
  <si>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</si>
  <si>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</si>
  <si>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</si>
  <si>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</si>
  <si>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</si>
  <si>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</si>
  <si>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</si>
  <si>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</si>
  <si>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</si>
  <si>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</si>
  <si>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</si>
  <si>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</si>
  <si>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</si>
  <si>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</si>
  <si>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</si>
  <si>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</si>
  <si>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</si>
  <si>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</si>
  <si>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</si>
  <si>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</si>
  <si>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</si>
  <si>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</si>
  <si>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</si>
  <si>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</si>
  <si>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</si>
  <si>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</si>
  <si>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</si>
  <si>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</si>
  <si>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</si>
  <si>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</si>
  <si>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</si>
  <si>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</si>
  <si>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</si>
  <si>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</si>
  <si>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</si>
  <si>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</si>
  <si>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</si>
  <si>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</si>
  <si>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</si>
  <si>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</si>
  <si>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</si>
  <si>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</si>
  <si>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</si>
  <si>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</si>
  <si>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</si>
  <si>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</si>
  <si>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</si>
  <si>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</si>
  <si>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</si>
  <si>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</si>
  <si>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</si>
  <si>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</si>
  <si>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</si>
  <si>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</si>
  <si>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</si>
  <si>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</si>
  <si>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</si>
  <si>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</si>
  <si>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</si>
  <si>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</si>
  <si>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</si>
  <si>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</si>
  <si>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</si>
  <si>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</si>
  <si>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</si>
  <si>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</si>
  <si>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</si>
  <si>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</si>
  <si>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</si>
  <si>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</si>
  <si>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</si>
  <si>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</si>
  <si>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</si>
  <si>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</si>
  <si>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</si>
  <si>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</si>
  <si>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</si>
  <si>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</si>
  <si>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</si>
  <si>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</si>
  <si>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</si>
  <si>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</si>
  <si>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</si>
  <si>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</si>
  <si>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</si>
  <si>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</si>
  <si>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</si>
  <si>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</si>
  <si>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</si>
  <si>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</si>
  <si>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</si>
  <si>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</si>
  <si>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</si>
  <si>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</si>
  <si>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</si>
  <si>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</si>
  <si>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</si>
  <si>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</si>
  <si>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</si>
  <si>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</si>
  <si>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</si>
  <si>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</si>
  <si>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</si>
  <si>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</si>
  <si>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</si>
  <si>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</si>
  <si>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</si>
  <si>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</si>
  <si>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</si>
  <si>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</si>
  <si>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</si>
  <si>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</si>
  <si>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</si>
  <si>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</si>
  <si>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</si>
  <si>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</si>
  <si>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</si>
  <si>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</si>
  <si>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</si>
  <si>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</si>
  <si>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</si>
  <si>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</si>
  <si>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</si>
  <si>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</si>
  <si>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</si>
  <si>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</si>
  <si>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</si>
  <si>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</si>
  <si>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</si>
  <si>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</si>
  <si>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</si>
  <si>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</si>
  <si>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</si>
  <si>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</si>
  <si>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</si>
  <si>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</si>
  <si>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</si>
  <si>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</si>
  <si>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</si>
  <si>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</si>
  <si>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</si>
  <si>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</si>
  <si>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</si>
  <si>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</si>
  <si>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</si>
  <si>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</si>
  <si>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</si>
  <si>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</si>
  <si>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</si>
  <si>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</si>
  <si>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</si>
  <si>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</si>
  <si>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</si>
  <si>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</si>
  <si>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</si>
  <si>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</si>
  <si>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</si>
  <si>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</si>
  <si>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</si>
  <si>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</si>
  <si>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</si>
  <si>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</si>
  <si>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</si>
  <si>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</si>
  <si>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</si>
  <si>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</si>
  <si>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</si>
  <si>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</si>
  <si>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</si>
  <si>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</si>
  <si>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</si>
  <si>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</si>
  <si>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</si>
  <si>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</si>
  <si>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</si>
  <si>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</si>
  <si>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</si>
  <si>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</si>
  <si>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</si>
  <si>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</si>
  <si>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</si>
  <si>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</si>
  <si>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</si>
  <si>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</si>
  <si>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</si>
  <si>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</si>
  <si>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</si>
  <si>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</si>
  <si>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</si>
  <si>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</si>
  <si>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</si>
  <si>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</si>
  <si>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</si>
  <si>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</si>
  <si>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</si>
  <si>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</si>
  <si>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</si>
  <si>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</si>
  <si>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</si>
  <si>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</si>
  <si>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</si>
  <si>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</si>
  <si>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</si>
  <si>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</si>
  <si>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</si>
  <si>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</si>
  <si>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</si>
  <si>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</si>
  <si>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</si>
  <si>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</si>
  <si>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</si>
  <si>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</si>
  <si>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</si>
  <si>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</si>
  <si>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</si>
  <si>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</si>
  <si>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</si>
  <si>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</si>
  <si>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</si>
  <si>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</si>
  <si>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</si>
  <si>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</si>
  <si>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</si>
  <si>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</si>
  <si>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</si>
  <si>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</si>
  <si>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</si>
  <si>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</si>
  <si>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</si>
  <si>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</si>
  <si>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</si>
  <si>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</si>
  <si>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</si>
  <si>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</si>
  <si>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</si>
  <si>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</si>
  <si>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</si>
  <si>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</si>
  <si>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</si>
  <si>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</si>
  <si>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</si>
  <si>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</si>
  <si>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</si>
  <si>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</si>
  <si>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</si>
  <si>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</si>
  <si>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</si>
  <si>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</si>
  <si>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</si>
  <si>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</si>
  <si>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</si>
  <si>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</si>
  <si>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</si>
  <si>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</si>
  <si>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</si>
  <si>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</si>
  <si>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</si>
  <si>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</si>
  <si>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</si>
  <si>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</si>
  <si>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</si>
  <si>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</si>
  <si>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</si>
  <si>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</si>
  <si>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</si>
  <si>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</si>
  <si>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</si>
  <si>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</si>
  <si>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</si>
  <si>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</si>
  <si>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</si>
  <si>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</si>
  <si>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</si>
  <si>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</si>
  <si>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</si>
  <si>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</si>
  <si>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</si>
  <si>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</si>
  <si>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</si>
  <si>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</si>
  <si>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</si>
  <si>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</si>
  <si>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</si>
  <si>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</si>
  <si>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</si>
  <si>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</si>
  <si>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</si>
  <si>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</si>
  <si>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</si>
  <si>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</si>
  <si>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</si>
  <si>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</si>
  <si>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</si>
  <si>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</si>
  <si>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</si>
  <si>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</si>
  <si>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</si>
  <si>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</si>
  <si>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</si>
  <si>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</si>
  <si>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</si>
  <si>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</si>
  <si>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</si>
  <si>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</si>
  <si>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</si>
  <si>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</si>
  <si>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</si>
  <si>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</si>
  <si>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</si>
  <si>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</si>
  <si>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</si>
  <si>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</si>
  <si>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</si>
  <si>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</si>
  <si>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</si>
  <si>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</si>
  <si>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</si>
  <si>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</si>
  <si>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</si>
  <si>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</si>
  <si>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</si>
  <si>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</si>
  <si>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</si>
  <si>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</si>
  <si>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</si>
  <si>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</si>
  <si>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</si>
  <si>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</si>
  <si>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</si>
  <si>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</si>
  <si>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</si>
  <si>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</si>
  <si>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</si>
  <si>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</si>
  <si>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</si>
  <si>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</si>
  <si>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</si>
  <si>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</si>
  <si>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</si>
  <si>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</si>
  <si>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</si>
  <si>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</si>
  <si>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</si>
  <si>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</si>
  <si>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</si>
  <si>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</si>
  <si>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</si>
  <si>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</si>
  <si>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</si>
  <si>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</si>
  <si>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</si>
  <si>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</si>
  <si>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</si>
  <si>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</si>
  <si>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</si>
  <si>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</si>
  <si>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</si>
  <si>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</si>
  <si>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</si>
  <si>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</si>
  <si>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</si>
  <si>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</si>
  <si>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</si>
  <si>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</si>
  <si>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</si>
  <si>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</si>
  <si>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</si>
  <si>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</si>
  <si>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</si>
  <si>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</si>
  <si>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</si>
  <si>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</si>
  <si>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</si>
  <si>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</si>
  <si>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</si>
  <si>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</si>
  <si>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</si>
  <si>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</si>
  <si>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</si>
  <si>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</si>
  <si>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</si>
  <si>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</si>
  <si>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</si>
  <si>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</si>
  <si>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</si>
  <si>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</si>
  <si>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</si>
  <si>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</si>
  <si>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</si>
  <si>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</si>
  <si>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</si>
  <si>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</si>
  <si>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</si>
  <si>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</si>
  <si>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</si>
  <si>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</si>
  <si>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</si>
  <si>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</si>
  <si>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</si>
  <si>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</si>
  <si>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</si>
  <si>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</si>
  <si>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</si>
  <si>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</si>
  <si>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</si>
  <si>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</si>
  <si>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</si>
  <si>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</si>
  <si>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</si>
  <si>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</si>
  <si>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</si>
  <si>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</si>
  <si>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</si>
  <si>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</si>
  <si>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</si>
  <si>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</si>
  <si>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</si>
  <si>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</si>
  <si>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</si>
  <si>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</si>
  <si>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</si>
  <si>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</si>
  <si>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</si>
  <si>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</si>
  <si>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</si>
  <si>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</si>
  <si>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</si>
  <si>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</si>
  <si>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</si>
  <si>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</si>
  <si>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</si>
  <si>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</si>
  <si>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</si>
  <si>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</si>
  <si>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</si>
  <si>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</si>
  <si>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</si>
  <si>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</si>
  <si>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</si>
  <si>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</si>
  <si>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</si>
  <si>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</si>
  <si>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</si>
  <si>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</si>
  <si>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</si>
  <si>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</si>
  <si>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</si>
  <si>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</si>
  <si>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</si>
  <si>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</si>
  <si>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</si>
  <si>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</si>
  <si>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</si>
  <si>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</si>
  <si>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</si>
  <si>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</si>
  <si>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</si>
  <si>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</si>
  <si>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</si>
  <si>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</si>
  <si>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</si>
  <si>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</si>
  <si>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</si>
  <si>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</si>
  <si>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</si>
  <si>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</si>
  <si>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</si>
  <si>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</si>
  <si>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</si>
  <si>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</si>
  <si>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</si>
  <si>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</si>
  <si>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</si>
  <si>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</si>
  <si>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</si>
  <si>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</si>
  <si>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</si>
  <si>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</si>
  <si>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</si>
  <si>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</si>
  <si>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</si>
  <si>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</si>
  <si>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</si>
  <si>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</si>
  <si>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</si>
  <si>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</si>
  <si>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</si>
  <si>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</si>
  <si>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</si>
  <si>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</si>
  <si>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</si>
  <si>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</si>
  <si>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</si>
  <si>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</si>
  <si>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</si>
  <si>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</si>
  <si>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</si>
  <si>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</si>
  <si>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</si>
  <si>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</si>
  <si>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</si>
  <si>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</si>
  <si>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</si>
  <si>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</si>
  <si>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</si>
  <si>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</si>
  <si>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</si>
  <si>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</si>
  <si>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</si>
  <si>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</si>
  <si>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</si>
  <si>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</si>
  <si>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</si>
  <si>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</si>
  <si>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</si>
  <si>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</si>
  <si>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</si>
  <si>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</si>
  <si>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</si>
  <si>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</si>
  <si>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</si>
  <si>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</si>
  <si>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</si>
  <si>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</si>
  <si>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</si>
  <si>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</si>
  <si>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</si>
  <si>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</si>
  <si>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</si>
  <si>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</si>
  <si>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</si>
  <si>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</si>
  <si>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</si>
  <si>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</si>
  <si>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</si>
  <si>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</si>
  <si>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</si>
  <si>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</si>
  <si>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</si>
  <si>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</si>
  <si>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</si>
  <si>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</si>
  <si>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</si>
  <si>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</si>
  <si>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</si>
  <si>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</si>
  <si>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</si>
  <si>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</si>
  <si>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</si>
  <si>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</si>
  <si>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</si>
  <si>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</si>
  <si>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</si>
  <si>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</si>
  <si>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</si>
  <si>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</si>
  <si>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</si>
  <si>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</si>
  <si>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</si>
  <si>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</si>
  <si>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</si>
  <si>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</si>
  <si>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</si>
  <si>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</si>
  <si>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</si>
  <si>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</si>
  <si>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</si>
  <si>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</si>
  <si>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</si>
  <si>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</si>
  <si>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</si>
  <si>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</si>
  <si>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</si>
  <si>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</si>
  <si>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</si>
  <si>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</si>
  <si>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</si>
  <si>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</si>
  <si>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</si>
  <si>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</si>
  <si>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</si>
  <si>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</si>
  <si>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</si>
  <si>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</si>
  <si>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</si>
  <si>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</si>
  <si>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</si>
  <si>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</si>
  <si>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</si>
  <si>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</si>
  <si>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</si>
  <si>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</si>
  <si>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</si>
  <si>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</si>
  <si>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</si>
  <si>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</si>
  <si>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</si>
  <si>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</si>
  <si>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</si>
  <si>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</si>
  <si>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</si>
  <si>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</si>
  <si>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</si>
  <si>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</si>
  <si>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</si>
  <si>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</si>
  <si>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</si>
  <si>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</si>
  <si>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</si>
  <si>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</si>
  <si>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</si>
  <si>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</si>
  <si>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</si>
  <si>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</si>
  <si>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</si>
  <si>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</si>
  <si>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</si>
  <si>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</si>
  <si>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</si>
  <si>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</si>
  <si>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</si>
  <si>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</si>
  <si>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</si>
  <si>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</si>
  <si>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</si>
  <si>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</si>
  <si>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</si>
  <si>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</si>
  <si>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</si>
  <si>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</si>
  <si>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</si>
  <si>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</si>
  <si>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</si>
  <si>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</si>
  <si>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</si>
  <si>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</si>
  <si>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</si>
  <si>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</si>
  <si>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</si>
  <si>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</si>
  <si>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</si>
  <si>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</si>
  <si>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</si>
  <si>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</si>
  <si>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</si>
  <si>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</si>
  <si>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</si>
  <si>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</si>
  <si>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</si>
  <si>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</si>
  <si>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</si>
  <si>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</si>
  <si>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</si>
  <si>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</si>
  <si>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</si>
  <si>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</si>
  <si>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</si>
  <si>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</si>
  <si>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</si>
  <si>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</si>
  <si>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</si>
  <si>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</si>
  <si>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</si>
  <si>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</si>
  <si>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</si>
  <si>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</si>
  <si>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</si>
  <si>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</si>
  <si>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</si>
  <si>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</si>
  <si>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</si>
  <si>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</si>
  <si>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</si>
  <si>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</si>
  <si>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</si>
  <si>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</si>
  <si>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</si>
  <si>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</si>
  <si>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</si>
  <si>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</si>
  <si>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</si>
  <si>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</si>
  <si>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</si>
  <si>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</si>
  <si>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</si>
  <si>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</si>
  <si>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</si>
  <si>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</si>
  <si>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</si>
  <si>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</si>
  <si>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</si>
  <si>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</si>
  <si>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</si>
  <si>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</si>
  <si>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</si>
  <si>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</si>
  <si>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</si>
  <si>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</si>
  <si>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</si>
  <si>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</si>
  <si>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</si>
  <si>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</si>
  <si>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</si>
  <si>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</si>
  <si>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</si>
  <si>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</si>
  <si>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</si>
  <si>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</si>
  <si>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</si>
  <si>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</si>
  <si>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</si>
  <si>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</si>
  <si>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</si>
  <si>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</si>
  <si>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</si>
  <si>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</si>
  <si>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</si>
  <si>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</si>
  <si>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</si>
  <si>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</si>
  <si>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</si>
  <si>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</si>
  <si>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</si>
  <si>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</si>
  <si>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</si>
  <si>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</si>
  <si>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</si>
  <si>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</si>
  <si>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</si>
  <si>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</si>
  <si>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</si>
  <si>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</si>
  <si>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</si>
  <si>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</si>
  <si>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</si>
  <si>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</si>
  <si>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</si>
  <si>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</si>
  <si>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</si>
  <si>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</si>
  <si>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</si>
  <si>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</si>
  <si>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</si>
  <si>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</si>
  <si>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</si>
  <si>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</si>
  <si>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</si>
  <si>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</si>
  <si>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</si>
  <si>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</si>
  <si>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</si>
  <si>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</si>
  <si>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</si>
  <si>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</si>
  <si>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</si>
  <si>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</si>
  <si>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</si>
  <si>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</si>
  <si>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</si>
  <si>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</si>
  <si>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</si>
  <si>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</si>
  <si>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</si>
  <si>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</si>
  <si>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</si>
  <si>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</si>
  <si>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</si>
  <si>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</si>
  <si>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</si>
  <si>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</si>
  <si>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</si>
  <si>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</si>
  <si>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</si>
  <si>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</si>
  <si>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</si>
  <si>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</si>
  <si>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</si>
  <si>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</si>
  <si>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</si>
  <si>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</si>
  <si>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</si>
  <si>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</si>
  <si>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</si>
  <si>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</si>
  <si>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</si>
  <si>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</si>
  <si>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</si>
  <si>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</si>
  <si>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</si>
  <si>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</si>
  <si>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</si>
  <si>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</si>
  <si>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</si>
  <si>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</si>
  <si>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</si>
  <si>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</si>
  <si>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</si>
  <si>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</si>
  <si>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</si>
  <si>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</si>
  <si>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</si>
  <si>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</si>
  <si>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</si>
  <si>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</si>
  <si>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</si>
  <si>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</si>
  <si>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</si>
  <si>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</si>
  <si>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</si>
  <si>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</si>
  <si>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</si>
  <si>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</si>
  <si>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</si>
  <si>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</si>
  <si>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</si>
  <si>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</si>
  <si>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</si>
  <si>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</si>
  <si>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</si>
  <si>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</si>
  <si>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</si>
  <si>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</si>
  <si>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</si>
  <si>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</si>
  <si>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</si>
  <si>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</si>
  <si>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</si>
  <si>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</si>
  <si>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</si>
  <si>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</si>
  <si>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</si>
  <si>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</si>
  <si>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</si>
  <si>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</si>
  <si>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</si>
  <si>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</si>
  <si>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</si>
  <si>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</si>
  <si>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</si>
  <si>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</si>
  <si>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</si>
  <si>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</si>
  <si>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</si>
  <si>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</si>
  <si>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</si>
  <si>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</si>
  <si>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</si>
  <si>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</si>
  <si>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</si>
  <si>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</si>
  <si>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</si>
  <si>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</si>
  <si>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</si>
  <si>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</si>
  <si>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</si>
  <si>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</si>
  <si>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</si>
  <si>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</si>
  <si>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</si>
  <si>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</si>
  <si>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</si>
  <si>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</si>
  <si>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</si>
  <si>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</si>
  <si>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</si>
  <si>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</si>
  <si>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</si>
  <si>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</si>
  <si>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</si>
  <si>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</si>
  <si>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</si>
  <si>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</si>
  <si>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</si>
  <si>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</si>
  <si>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</si>
  <si>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</si>
  <si>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</si>
  <si>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</si>
  <si>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</si>
  <si>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</si>
  <si>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</si>
  <si>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</si>
  <si>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</si>
  <si>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</si>
  <si>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</si>
  <si>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</si>
  <si>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</si>
  <si>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</si>
  <si>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</si>
  <si>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</si>
  <si>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</si>
  <si>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</si>
  <si>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</si>
  <si>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</si>
  <si>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</si>
  <si>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</si>
  <si>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</si>
  <si>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</si>
  <si>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</si>
  <si>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</si>
  <si>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</si>
  <si>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</si>
  <si>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</si>
  <si>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</si>
  <si>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</si>
  <si>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</si>
  <si>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</si>
  <si>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</si>
  <si>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</si>
  <si>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</si>
  <si>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</si>
  <si>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</si>
  <si>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</si>
  <si>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</si>
  <si>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</si>
  <si>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</si>
  <si>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</si>
  <si>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</si>
  <si>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</si>
  <si>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</si>
  <si>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</si>
  <si>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</si>
  <si>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</si>
  <si>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</si>
  <si>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</si>
  <si>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</si>
  <si>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</si>
  <si>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</si>
  <si>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</si>
  <si>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</si>
  <si>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</si>
  <si>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</si>
  <si>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</si>
  <si>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</si>
  <si>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</si>
  <si>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</si>
  <si>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</si>
  <si>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</si>
  <si>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</si>
  <si>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</si>
  <si>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</si>
  <si>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</si>
  <si>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</si>
  <si>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</si>
  <si>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</si>
  <si>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</si>
  <si>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</si>
  <si>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</si>
  <si>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</si>
  <si>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</si>
  <si>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</si>
  <si>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</si>
  <si>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</si>
  <si>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</si>
  <si>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</si>
  <si>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</si>
  <si>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</si>
  <si>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</si>
  <si>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</si>
  <si>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</si>
  <si>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</si>
  <si>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</si>
  <si>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</si>
  <si>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</si>
  <si>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</si>
  <si>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</si>
  <si>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</si>
  <si>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</si>
  <si>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</si>
  <si>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</si>
  <si>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</si>
  <si>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</si>
  <si>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</si>
  <si>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</si>
  <si>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</si>
  <si>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</si>
  <si>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</si>
  <si>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</si>
  <si>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</si>
  <si>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</si>
  <si>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</si>
  <si>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</si>
  <si>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</si>
  <si>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</si>
  <si>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</si>
  <si>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</si>
  <si>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</si>
  <si>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</si>
  <si>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</si>
  <si>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</si>
  <si>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</si>
  <si>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</si>
  <si>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</si>
  <si>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</si>
  <si>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</si>
  <si>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</si>
  <si>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</si>
  <si>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</si>
  <si>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</si>
  <si>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</si>
  <si>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</si>
  <si>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</si>
  <si>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</si>
  <si>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</si>
  <si>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</si>
  <si>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</si>
  <si>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</si>
  <si>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</si>
  <si>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</si>
  <si>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</si>
  <si>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</si>
  <si>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</si>
  <si>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</si>
  <si>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</si>
  <si>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</si>
  <si>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</si>
  <si>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</si>
  <si>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</si>
  <si>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</si>
  <si>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</si>
  <si>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</si>
  <si>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</si>
  <si>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</si>
  <si>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</si>
  <si>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</si>
  <si>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</si>
  <si>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</si>
  <si>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</si>
  <si>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</si>
  <si>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</si>
  <si>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</si>
  <si>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</si>
  <si>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</si>
  <si>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</si>
  <si>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</si>
  <si>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</si>
  <si>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</si>
  <si>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</si>
  <si>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</si>
  <si>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</si>
  <si>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</si>
  <si>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</si>
  <si>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</si>
  <si>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</si>
  <si>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</si>
  <si>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</si>
  <si>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</si>
  <si>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</si>
  <si>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</si>
  <si>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</si>
  <si>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</si>
  <si>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</si>
  <si>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</si>
  <si>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</si>
  <si>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</si>
  <si>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</si>
  <si>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</si>
  <si>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</si>
  <si>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</si>
  <si>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</si>
  <si>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</si>
  <si>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</si>
  <si>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</si>
  <si>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</si>
  <si>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</si>
  <si>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</si>
  <si>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</si>
  <si>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</si>
  <si>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</si>
  <si>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</si>
  <si>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</si>
  <si>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</si>
  <si>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</si>
  <si>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</si>
  <si>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</si>
  <si>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</si>
  <si>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</si>
  <si>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</si>
  <si>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</si>
  <si>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</si>
  <si>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</si>
  <si>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</si>
  <si>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</si>
  <si>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</si>
  <si>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</si>
  <si>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</si>
  <si>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</si>
  <si>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</si>
  <si>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</si>
  <si>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</si>
  <si>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</si>
  <si>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</si>
  <si>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</si>
  <si>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</si>
  <si>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</si>
  <si>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</si>
  <si>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</si>
  <si>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</si>
  <si>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</si>
  <si>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</si>
  <si>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</si>
  <si>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</si>
  <si>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</si>
  <si>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</si>
  <si>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</si>
  <si>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</si>
  <si>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</si>
  <si>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</si>
  <si>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</si>
  <si>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</si>
  <si>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</si>
  <si>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</si>
  <si>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</si>
  <si>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</si>
  <si>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</si>
  <si>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</si>
  <si>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</si>
  <si>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</si>
  <si>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</si>
  <si>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</si>
  <si>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</si>
  <si>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</si>
  <si>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</si>
  <si>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</si>
  <si>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</si>
  <si>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</si>
  <si>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</si>
  <si>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</si>
  <si>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</si>
  <si>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</si>
  <si>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</si>
  <si>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</si>
  <si>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</si>
  <si>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</si>
  <si>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</si>
  <si>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</si>
  <si>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</si>
  <si>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</si>
  <si>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</si>
  <si>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</si>
  <si>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</si>
  <si>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</si>
  <si>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</si>
  <si>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</si>
  <si>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</si>
  <si>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</si>
  <si>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</si>
  <si>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</si>
  <si>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</si>
  <si>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</si>
  <si>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</si>
  <si>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</si>
  <si>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</si>
  <si>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</si>
  <si>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</si>
  <si>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</si>
  <si>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</si>
  <si>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</si>
  <si>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</si>
  <si>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</si>
  <si>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</si>
  <si>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</si>
  <si>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</si>
  <si>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</si>
  <si>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</si>
  <si>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</si>
  <si>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</si>
  <si>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</si>
  <si>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</si>
  <si>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</si>
  <si>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</si>
  <si>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</si>
  <si>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</si>
  <si>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</si>
  <si>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</si>
  <si>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</si>
  <si>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</si>
  <si>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</si>
  <si>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</si>
  <si>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</si>
  <si>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</si>
  <si>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</si>
  <si>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</si>
  <si>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</si>
  <si>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</si>
  <si>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</si>
  <si>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</si>
  <si>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</si>
  <si>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</si>
  <si>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</si>
  <si>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</si>
  <si>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</si>
  <si>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</si>
  <si>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</si>
  <si>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</si>
  <si>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</si>
  <si>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</si>
  <si>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</si>
  <si>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</si>
  <si>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</si>
  <si>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</si>
  <si>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</si>
  <si>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</si>
  <si>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</si>
  <si>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</si>
  <si>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</si>
  <si>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</si>
  <si>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</si>
  <si>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</si>
  <si>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</si>
  <si>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</si>
  <si>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</si>
  <si>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</si>
  <si>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</si>
  <si>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</si>
  <si>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</si>
  <si>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</si>
  <si>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</si>
  <si>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</si>
  <si>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</si>
  <si>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</si>
  <si>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</si>
  <si>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</si>
  <si>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</si>
  <si>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</si>
  <si>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</si>
  <si>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</si>
  <si>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</si>
  <si>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</si>
  <si>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</si>
  <si>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</si>
  <si>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</si>
  <si>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</si>
  <si>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</si>
  <si>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</si>
  <si>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</si>
  <si>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</si>
  <si>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</si>
  <si>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</si>
  <si>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</si>
  <si>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</si>
  <si>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</si>
  <si>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</si>
  <si>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</si>
  <si>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</si>
  <si>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</si>
  <si>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</si>
  <si>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</si>
  <si>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</si>
  <si>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</si>
  <si>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</si>
  <si>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</si>
  <si>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</si>
  <si>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</si>
  <si>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</si>
  <si>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</si>
  <si>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</si>
  <si>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</si>
  <si>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</si>
  <si>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</si>
  <si>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</si>
  <si>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</si>
  <si>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</si>
  <si>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</si>
  <si>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</si>
  <si>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</si>
  <si>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</si>
  <si>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</si>
  <si>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</si>
  <si>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</si>
  <si>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</si>
  <si>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</si>
  <si>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</si>
  <si>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</si>
  <si>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</si>
  <si>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</si>
  <si>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</si>
  <si>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</si>
  <si>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</si>
  <si>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</si>
  <si>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</si>
  <si>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</si>
  <si>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</si>
  <si>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</si>
  <si>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</si>
  <si>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</si>
  <si>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</si>
  <si>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</si>
  <si>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</si>
  <si>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</si>
  <si>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</si>
  <si>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</si>
  <si>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</si>
  <si>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</si>
  <si>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</si>
  <si>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</si>
  <si>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</si>
  <si>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</si>
  <si>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</si>
  <si>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</si>
  <si>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</si>
  <si>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</si>
  <si>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</si>
  <si>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</si>
  <si>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</si>
  <si>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</si>
  <si>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</si>
  <si>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</si>
  <si>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</si>
  <si>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</si>
  <si>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</si>
  <si>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</si>
  <si>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</si>
  <si>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</si>
  <si>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</si>
  <si>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</si>
  <si>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</si>
  <si>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</si>
  <si>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</si>
  <si>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</si>
  <si>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</si>
  <si>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</si>
  <si>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</si>
  <si>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</si>
  <si>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</si>
  <si>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</si>
  <si>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</si>
  <si>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</si>
  <si>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</si>
  <si>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</si>
  <si>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</si>
  <si>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</si>
  <si>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</si>
  <si>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</si>
  <si>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</si>
  <si>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</si>
  <si>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</si>
  <si>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</si>
  <si>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</si>
  <si>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</si>
  <si>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</si>
  <si>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</si>
  <si>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</si>
  <si>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</si>
  <si>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</si>
  <si>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</si>
  <si>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</si>
  <si>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</si>
  <si>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</si>
  <si>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</si>
  <si>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</si>
  <si>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</si>
  <si>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</si>
  <si>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</si>
  <si>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</si>
  <si>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</si>
  <si>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</si>
  <si>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</si>
  <si>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</si>
  <si>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</si>
  <si>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</si>
  <si>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</si>
  <si>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</si>
  <si>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</si>
  <si>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</si>
  <si>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</si>
  <si>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</si>
  <si>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</si>
  <si>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</si>
  <si>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</si>
  <si>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</si>
  <si>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</si>
  <si>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</si>
  <si>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</si>
  <si>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</si>
  <si>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</si>
  <si>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</si>
  <si>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</si>
  <si>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</si>
  <si>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</si>
  <si>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</si>
  <si>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</si>
  <si>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</si>
  <si>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</si>
  <si>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</si>
  <si>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</si>
  <si>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</si>
  <si>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</si>
  <si>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</si>
  <si>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</si>
  <si>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</si>
  <si>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</si>
  <si>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</si>
  <si>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</si>
  <si>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</si>
  <si>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</si>
  <si>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</si>
  <si>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</si>
  <si>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</si>
  <si>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</si>
  <si>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</si>
  <si>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</si>
  <si>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</si>
  <si>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</si>
  <si>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</si>
  <si>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</si>
  <si>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</si>
  <si>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</si>
  <si>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</si>
  <si>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</si>
  <si>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</si>
  <si>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</si>
  <si>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</si>
  <si>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</si>
  <si>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</si>
  <si>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</si>
  <si>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</si>
  <si>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</si>
  <si>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</si>
  <si>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</si>
  <si>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</si>
  <si>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</si>
  <si>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</si>
  <si>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</si>
  <si>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</si>
  <si>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</si>
  <si>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</si>
  <si>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</si>
  <si>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</si>
  <si>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</si>
  <si>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</si>
  <si>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</si>
  <si>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</si>
  <si>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</si>
  <si>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</si>
  <si>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</si>
  <si>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</si>
  <si>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</si>
  <si>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</si>
  <si>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</si>
  <si>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</si>
  <si>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</si>
  <si>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</si>
  <si>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</si>
  <si>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</si>
  <si>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</si>
  <si>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</si>
  <si>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</si>
  <si>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</si>
  <si>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</si>
  <si>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</si>
  <si>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</si>
  <si>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</si>
  <si>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</si>
  <si>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</si>
  <si>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</si>
  <si>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</si>
  <si>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</si>
  <si>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</si>
  <si>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</si>
  <si>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</si>
  <si>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</si>
  <si>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</si>
  <si>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</si>
  <si>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</si>
  <si>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</si>
  <si>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</si>
  <si>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</si>
  <si>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</si>
  <si>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</si>
  <si>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</si>
  <si>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</si>
  <si>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</si>
  <si>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</si>
  <si>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</si>
  <si>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</si>
  <si>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</si>
  <si>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</si>
  <si>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</si>
  <si>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</si>
  <si>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</si>
  <si>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</si>
  <si>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</si>
  <si>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</si>
  <si>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</si>
  <si>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</si>
  <si>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</si>
  <si>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</si>
  <si>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</si>
  <si>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</si>
  <si>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</si>
  <si>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</si>
  <si>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</si>
  <si>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</si>
  <si>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</si>
  <si>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</si>
  <si>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</si>
  <si>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</si>
  <si>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</si>
  <si>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</si>
  <si>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</si>
  <si>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</si>
  <si>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</si>
  <si>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</si>
  <si>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</si>
  <si>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</si>
  <si>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</si>
  <si>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</si>
  <si>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</si>
  <si>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</si>
  <si>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</si>
  <si>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</si>
  <si>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</si>
  <si>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</si>
  <si>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</si>
  <si>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</si>
  <si>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</si>
  <si>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</si>
  <si>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</si>
  <si>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</si>
  <si>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</si>
  <si>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</si>
  <si>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</si>
  <si>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</si>
  <si>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</si>
  <si>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</si>
  <si>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</si>
  <si>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</si>
  <si>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</si>
  <si>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</si>
  <si>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</si>
  <si>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</si>
  <si>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</si>
  <si>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</si>
  <si>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</si>
  <si>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</si>
  <si>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</si>
  <si>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</si>
  <si>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</si>
  <si>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</si>
  <si>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</si>
  <si>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</si>
  <si>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</si>
  <si>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</si>
  <si>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</si>
  <si>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</si>
  <si>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</si>
  <si>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</si>
  <si>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</si>
  <si>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</si>
  <si>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</si>
  <si>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</si>
  <si>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</si>
  <si>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</si>
  <si>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</si>
  <si>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</si>
  <si>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</si>
  <si>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</si>
  <si>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</si>
  <si>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</si>
  <si>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</si>
  <si>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</si>
  <si>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</si>
  <si>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</si>
  <si>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</si>
  <si>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</si>
  <si>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</si>
  <si>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</si>
  <si>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</si>
  <si>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</si>
  <si>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</si>
  <si>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</si>
  <si>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</si>
  <si>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</si>
  <si>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</si>
  <si>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</si>
  <si>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</si>
  <si>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</si>
  <si>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</si>
  <si>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</si>
  <si>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</si>
  <si>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</si>
  <si>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</si>
  <si>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</si>
  <si>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</si>
  <si>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</si>
  <si>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</si>
  <si>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</si>
  <si>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</si>
  <si>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</si>
  <si>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</si>
  <si>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</si>
  <si>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</si>
  <si>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</si>
  <si>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</si>
  <si>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</si>
  <si>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</si>
  <si>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</si>
  <si>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</si>
  <si>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</si>
  <si>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</si>
  <si>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</si>
  <si>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</si>
  <si>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</si>
  <si>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</si>
  <si>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</si>
  <si>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</si>
  <si>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</si>
  <si>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</si>
  <si>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</si>
  <si>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</si>
  <si>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</si>
  <si>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</si>
  <si>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</si>
  <si>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</si>
  <si>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</si>
  <si>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</si>
  <si>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</si>
  <si>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</si>
  <si>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</si>
  <si>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</si>
  <si>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</si>
  <si>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</si>
  <si>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</si>
  <si>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</si>
  <si>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</si>
  <si>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</si>
  <si>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</si>
  <si>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</si>
  <si>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</si>
  <si>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</si>
  <si>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</si>
  <si>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</si>
  <si>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</si>
  <si>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</si>
  <si>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</si>
  <si>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</si>
  <si>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</si>
  <si>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</si>
  <si>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</si>
  <si>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</si>
  <si>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</si>
  <si>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</si>
  <si>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</si>
  <si>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</si>
  <si>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</si>
  <si>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</si>
  <si>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</si>
  <si>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</si>
  <si>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</si>
  <si>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</si>
  <si>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</si>
  <si>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</si>
  <si>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</si>
  <si>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</si>
  <si>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</si>
  <si>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</si>
  <si>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</si>
  <si>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</si>
  <si>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</si>
  <si>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</si>
  <si>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</si>
  <si>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</si>
  <si>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</si>
  <si>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</si>
  <si>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</si>
  <si>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</si>
  <si>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</si>
  <si>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</si>
  <si>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</si>
  <si>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</si>
  <si>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</si>
  <si>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</si>
  <si>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</si>
  <si>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</si>
  <si>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</si>
  <si>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</si>
  <si>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</si>
  <si>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</si>
  <si>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</si>
  <si>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</si>
  <si>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</si>
  <si>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</si>
  <si>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</si>
  <si>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</si>
  <si>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</si>
  <si>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</si>
  <si>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</si>
  <si>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</si>
  <si>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</si>
  <si>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</si>
  <si>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</si>
  <si>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</si>
  <si>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</si>
  <si>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</si>
  <si>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</si>
  <si>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</si>
  <si>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</si>
  <si>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</si>
  <si>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</si>
  <si>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</si>
  <si>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</si>
  <si>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</si>
  <si>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</si>
  <si>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</si>
  <si>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</si>
  <si>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</si>
  <si>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</si>
  <si>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</si>
  <si>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</si>
  <si>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</si>
  <si>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</si>
  <si>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</si>
  <si>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</si>
  <si>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</si>
  <si>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</si>
  <si>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</si>
  <si>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</si>
  <si>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</si>
  <si>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</si>
  <si>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</si>
  <si>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</si>
  <si>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</si>
  <si>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</si>
  <si>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</si>
  <si>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</si>
  <si>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</si>
  <si>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</si>
  <si>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</si>
  <si>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</si>
  <si>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</si>
  <si>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</si>
  <si>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</si>
  <si>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</si>
  <si>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</si>
  <si>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</si>
  <si>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</si>
  <si>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</si>
  <si>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</si>
  <si>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</si>
  <si>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</si>
  <si>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</si>
  <si>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</si>
  <si>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</si>
  <si>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</si>
  <si>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</si>
  <si>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</si>
  <si>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</si>
  <si>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</si>
  <si>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</si>
  <si>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</si>
  <si>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</si>
  <si>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</si>
  <si>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</si>
  <si>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</si>
  <si>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</si>
  <si>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</si>
  <si>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</si>
  <si>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</si>
  <si>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</si>
  <si>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</si>
  <si>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</si>
  <si>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</si>
  <si>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</si>
  <si>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</si>
  <si>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</si>
  <si>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</si>
  <si>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</si>
  <si>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</si>
  <si>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</si>
  <si>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</si>
  <si>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</si>
  <si>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</si>
  <si>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</si>
  <si>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</si>
  <si>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</si>
  <si>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</si>
  <si>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</si>
  <si>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</si>
  <si>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</si>
  <si>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</si>
  <si>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</si>
  <si>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</si>
  <si>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</si>
  <si>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</si>
  <si>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</si>
  <si>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</si>
  <si>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</si>
  <si>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</si>
  <si>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</si>
  <si>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</si>
  <si>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</si>
  <si>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</si>
  <si>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</si>
  <si>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</si>
  <si>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</si>
  <si>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</si>
  <si>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</si>
  <si>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</si>
  <si>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</si>
  <si>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</si>
  <si>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</si>
  <si>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</si>
  <si>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</si>
  <si>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</si>
  <si>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</si>
  <si>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</si>
  <si>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</si>
  <si>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</si>
  <si>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</si>
  <si>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</si>
  <si>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</si>
  <si>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</si>
  <si>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</si>
  <si>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</si>
  <si>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</si>
  <si>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</si>
  <si>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</si>
  <si>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</si>
  <si>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</si>
  <si>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</si>
  <si>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</si>
  <si>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</si>
  <si>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</si>
  <si>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</si>
  <si>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</si>
  <si>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</si>
  <si>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</si>
  <si>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</si>
  <si>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</si>
  <si>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</si>
  <si>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</si>
  <si>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</si>
  <si>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</si>
  <si>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</si>
  <si>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</si>
  <si>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</si>
  <si>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</si>
  <si>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</si>
  <si>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</si>
  <si>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</si>
  <si>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</si>
  <si>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</si>
  <si>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</si>
  <si>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</si>
  <si>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</si>
  <si>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</si>
  <si>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</si>
  <si>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</si>
  <si>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</si>
  <si>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</si>
  <si>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</si>
  <si>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</si>
  <si>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</si>
  <si>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</si>
  <si>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</si>
  <si>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</si>
  <si>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</si>
  <si>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</si>
  <si>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</si>
  <si>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</si>
  <si>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</si>
  <si>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</si>
  <si>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</si>
  <si>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</si>
  <si>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</si>
  <si>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</si>
  <si>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</si>
  <si>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</si>
  <si>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</si>
  <si>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</si>
  <si>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</si>
  <si>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</si>
  <si>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</si>
  <si>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</si>
  <si>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</si>
  <si>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</si>
  <si>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</si>
  <si>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</si>
  <si>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</si>
  <si>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</si>
  <si>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</si>
  <si>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</si>
  <si>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</si>
  <si>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</si>
  <si>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</si>
  <si>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</si>
  <si>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</si>
  <si>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</si>
  <si>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</si>
  <si>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</si>
  <si>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</si>
  <si>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</si>
  <si>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</si>
  <si>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</si>
  <si>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</si>
  <si>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</si>
  <si>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</si>
  <si>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</si>
  <si>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</si>
  <si>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</si>
  <si>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</si>
  <si>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</si>
  <si>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</si>
  <si>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</si>
  <si>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</si>
  <si>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</si>
  <si>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</si>
  <si>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</si>
  <si>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</si>
  <si>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</si>
  <si>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</si>
  <si>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</si>
  <si>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</si>
  <si>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</si>
  <si>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</si>
  <si>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</si>
  <si>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</si>
  <si>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</si>
  <si>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</si>
  <si>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</si>
  <si>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</si>
  <si>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</si>
  <si>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</si>
  <si>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</si>
  <si>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</si>
  <si>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</si>
  <si>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</si>
  <si>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</si>
  <si>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</si>
  <si>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</si>
  <si>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</si>
  <si>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</si>
  <si>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</si>
  <si>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</si>
  <si>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</si>
  <si>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</si>
  <si>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</si>
  <si>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</si>
  <si>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</si>
  <si>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</si>
  <si>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</si>
  <si>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</si>
  <si>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</si>
  <si>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</si>
  <si>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</si>
  <si>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</si>
  <si>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</si>
  <si>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</si>
  <si>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</si>
  <si>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</si>
  <si>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</si>
  <si>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</si>
  <si>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</si>
  <si>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</si>
  <si>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</si>
  <si>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</si>
  <si>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</si>
  <si>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</si>
  <si>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</si>
  <si>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</si>
  <si>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</si>
  <si>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</si>
  <si>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</si>
  <si>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</si>
  <si>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</si>
  <si>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</si>
  <si>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</si>
  <si>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</si>
  <si>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</si>
  <si>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</si>
  <si>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</si>
  <si>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</si>
  <si>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</si>
  <si>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</si>
  <si>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</si>
  <si>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</si>
  <si>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</si>
  <si>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</si>
  <si>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</si>
  <si>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</si>
  <si>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</si>
  <si>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</si>
  <si>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</si>
  <si>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</si>
  <si>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</si>
  <si>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</si>
  <si>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</si>
  <si>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</si>
  <si>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</si>
  <si>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</si>
  <si>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</si>
  <si>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</si>
  <si>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</si>
  <si>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</si>
  <si>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</si>
  <si>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</si>
  <si>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</si>
  <si>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</si>
  <si>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</si>
  <si>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</si>
  <si>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</si>
  <si>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</si>
  <si>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</si>
  <si>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</si>
  <si>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</si>
  <si>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</si>
  <si>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</si>
  <si>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</si>
  <si>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</si>
  <si>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</si>
  <si>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</si>
  <si>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</si>
  <si>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</si>
  <si>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</si>
  <si>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</si>
  <si>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</si>
  <si>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</si>
  <si>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</si>
  <si>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</si>
  <si>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</si>
  <si>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</si>
  <si>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</si>
  <si>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</si>
  <si>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</si>
  <si>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</si>
  <si>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</si>
  <si>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</si>
  <si>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</si>
  <si>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</si>
  <si>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</si>
  <si>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</si>
  <si>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</si>
  <si>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</si>
  <si>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</si>
  <si>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</si>
  <si>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</si>
  <si>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</si>
  <si>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</si>
  <si>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</si>
  <si>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</si>
  <si>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</si>
  <si>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</si>
  <si>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</si>
  <si>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</si>
  <si>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</si>
  <si>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</si>
  <si>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</si>
  <si>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</si>
  <si>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</si>
  <si>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</si>
  <si>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</si>
  <si>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</si>
  <si>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</si>
  <si>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</si>
  <si>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</si>
  <si>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</si>
  <si>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</si>
  <si>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</si>
  <si>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</si>
  <si>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</si>
  <si>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</si>
  <si>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</si>
  <si>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</si>
  <si>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</si>
  <si>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</si>
  <si>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</si>
  <si>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</si>
  <si>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</si>
  <si>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</si>
  <si>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</si>
  <si>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</si>
  <si>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</si>
  <si>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</si>
  <si>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</si>
  <si>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</si>
  <si>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</si>
  <si>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</si>
  <si>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</si>
  <si>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</si>
  <si>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</si>
  <si>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</si>
  <si>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</si>
  <si>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</si>
  <si>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</si>
  <si>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</si>
  <si>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</si>
  <si>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</si>
  <si>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</si>
  <si>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</si>
  <si>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</si>
  <si>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</si>
  <si>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</si>
  <si>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</si>
  <si>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</si>
  <si>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</si>
  <si>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</si>
  <si>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</si>
  <si>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</si>
  <si>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</si>
  <si>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</si>
  <si>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</si>
  <si>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</si>
  <si>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</si>
  <si>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</si>
  <si>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</si>
  <si>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</si>
  <si>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</si>
  <si>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</si>
  <si>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</si>
  <si>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</si>
  <si>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</si>
  <si>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</si>
  <si>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</si>
  <si>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</si>
  <si>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</si>
  <si>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</si>
  <si>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</si>
  <si>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</si>
  <si>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</si>
  <si>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</si>
  <si>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</si>
  <si>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</si>
  <si>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</si>
  <si>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</si>
  <si>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</si>
  <si>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</si>
  <si>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</si>
  <si>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</si>
  <si>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</si>
  <si>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</si>
  <si>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</si>
  <si>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</si>
  <si>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</si>
  <si>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</si>
  <si>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</si>
  <si>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</si>
  <si>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</si>
  <si>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</si>
  <si>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</si>
  <si>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</si>
  <si>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</si>
  <si>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</si>
  <si>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</si>
  <si>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</si>
  <si>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</si>
  <si>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</si>
  <si>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</si>
  <si>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</si>
  <si>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</si>
  <si>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</si>
  <si>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</si>
  <si>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</si>
  <si>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</si>
  <si>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</si>
  <si>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</si>
  <si>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</si>
  <si>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</si>
  <si>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</si>
  <si>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</si>
  <si>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</si>
  <si>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</si>
  <si>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</si>
  <si>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</si>
  <si>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</si>
  <si>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</si>
  <si>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</si>
  <si>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</si>
  <si>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</si>
  <si>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</si>
  <si>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</si>
  <si>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</si>
  <si>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</si>
  <si>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</si>
  <si>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</si>
  <si>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</si>
  <si>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</si>
  <si>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</si>
  <si>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</si>
  <si>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</si>
  <si>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</si>
  <si>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</si>
  <si>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</si>
  <si>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</si>
  <si>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</si>
  <si>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</si>
  <si>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</si>
  <si>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</si>
  <si>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</si>
  <si>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</si>
  <si>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</si>
  <si>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</si>
  <si>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</si>
  <si>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</si>
  <si>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</si>
  <si>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</si>
  <si>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</si>
  <si>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</si>
  <si>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</si>
  <si>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</si>
  <si>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</si>
  <si>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</si>
  <si>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</si>
  <si>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</si>
  <si>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</si>
  <si>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</si>
  <si>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</si>
  <si>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</si>
  <si>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</si>
  <si>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</si>
  <si>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</si>
  <si>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</si>
  <si>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</si>
  <si>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</si>
  <si>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</si>
  <si>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</si>
  <si>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</si>
  <si>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</si>
  <si>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</si>
  <si>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</si>
  <si>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</si>
  <si>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</si>
  <si>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</si>
  <si>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</si>
  <si>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</si>
  <si>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</si>
  <si>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</si>
  <si>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</si>
  <si>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</si>
  <si>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</si>
  <si>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</si>
  <si>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</si>
  <si>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</si>
  <si>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</si>
  <si>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</si>
  <si>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</si>
  <si>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</si>
  <si>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</si>
  <si>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</si>
  <si>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</si>
  <si>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</si>
  <si>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</si>
  <si>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</si>
  <si>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</si>
  <si>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</si>
  <si>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</si>
  <si>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</si>
  <si>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</si>
  <si>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</si>
  <si>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</si>
  <si>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</si>
  <si>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</si>
  <si>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</si>
  <si>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</si>
  <si>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</si>
  <si>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</si>
  <si>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</si>
  <si>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</si>
  <si>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</si>
  <si>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</si>
  <si>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</si>
  <si>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</si>
  <si>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</si>
  <si>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</si>
  <si>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</si>
  <si>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</si>
  <si>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</si>
  <si>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</si>
  <si>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</si>
  <si>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</si>
  <si>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</si>
  <si>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</si>
  <si>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</si>
  <si>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</si>
  <si>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</si>
  <si>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</si>
  <si>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</si>
  <si>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</si>
  <si>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</si>
  <si>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</si>
  <si>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</si>
  <si>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</si>
  <si>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</si>
  <si>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</si>
  <si>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</si>
  <si>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</si>
  <si>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</si>
  <si>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</si>
  <si>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</si>
  <si>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</si>
  <si>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</si>
  <si>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</si>
  <si>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</si>
  <si>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</si>
  <si>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</si>
  <si>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</si>
  <si>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</si>
  <si>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</si>
  <si>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</si>
  <si>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</si>
  <si>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</si>
  <si>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</si>
  <si>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</si>
  <si>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</si>
  <si>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</si>
  <si>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</si>
  <si>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</si>
  <si>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</si>
  <si>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</si>
  <si>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</si>
  <si>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</si>
  <si>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</si>
  <si>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</si>
  <si>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</si>
  <si>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</si>
  <si>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</si>
  <si>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</si>
  <si>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</si>
  <si>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</si>
  <si>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</si>
  <si>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</si>
  <si>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</si>
  <si>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</si>
  <si>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</si>
  <si>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</si>
  <si>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</si>
  <si>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</si>
  <si>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</si>
  <si>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</si>
  <si>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</si>
  <si>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</si>
  <si>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</si>
  <si>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</si>
  <si>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</si>
  <si>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</si>
  <si>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</si>
  <si>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</si>
  <si>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</si>
  <si>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</si>
  <si>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</si>
  <si>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</si>
  <si>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</si>
  <si>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</si>
  <si>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</si>
  <si>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</si>
  <si>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</si>
  <si>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</si>
  <si>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</si>
  <si>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</si>
  <si>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</si>
  <si>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</si>
  <si>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</si>
  <si>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</si>
  <si>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</si>
  <si>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</si>
  <si>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</si>
  <si>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</si>
  <si>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</si>
  <si>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</si>
  <si>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</si>
  <si>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</si>
  <si>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</si>
  <si>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</si>
  <si>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</si>
  <si>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</si>
  <si>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</si>
  <si>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</si>
  <si>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</si>
  <si>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</si>
  <si>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</si>
  <si>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</si>
  <si>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</si>
  <si>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</si>
  <si>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</si>
  <si>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</si>
  <si>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</si>
  <si>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</si>
  <si>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</si>
  <si>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</si>
  <si>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</si>
  <si>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</si>
  <si>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</si>
  <si>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</si>
  <si>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</si>
  <si>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</si>
  <si>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</si>
  <si>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</si>
  <si>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</si>
  <si>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</si>
  <si>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</si>
  <si>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</si>
  <si>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</si>
  <si>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</si>
  <si>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</si>
  <si>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</si>
  <si>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</si>
  <si>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</si>
  <si>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</si>
  <si>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</si>
  <si>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</si>
  <si>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</si>
  <si>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</si>
  <si>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</si>
  <si>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</si>
  <si>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</si>
  <si>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</si>
  <si>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</si>
  <si>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</si>
  <si>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</si>
  <si>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</si>
  <si>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</si>
  <si>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</si>
  <si>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</si>
  <si>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</si>
  <si>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</si>
  <si>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</si>
  <si>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</si>
  <si>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</si>
  <si>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</si>
  <si>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</si>
  <si>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</si>
  <si>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</si>
  <si>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</si>
  <si>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</si>
  <si>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</si>
  <si>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</si>
  <si>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</si>
  <si>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</si>
  <si>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</si>
  <si>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</si>
  <si>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</si>
  <si>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</si>
  <si>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</si>
  <si>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</si>
  <si>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</si>
  <si>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</si>
  <si>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</si>
  <si>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</si>
  <si>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</si>
  <si>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</si>
  <si>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</si>
  <si>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</si>
  <si>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</si>
  <si>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</si>
  <si>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</si>
  <si>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</si>
  <si>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</si>
  <si>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</si>
  <si>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</si>
  <si>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</si>
  <si>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</si>
  <si>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</si>
  <si>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</si>
  <si>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</si>
  <si>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</si>
  <si>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</si>
  <si>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</si>
  <si>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</si>
  <si>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</si>
  <si>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</si>
  <si>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</si>
  <si>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</si>
  <si>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</si>
  <si>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</si>
  <si>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</si>
  <si>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</si>
  <si>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</si>
  <si>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</si>
  <si>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</si>
  <si>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</si>
  <si>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</si>
  <si>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</si>
  <si>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</si>
  <si>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</si>
  <si>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</si>
  <si>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</si>
  <si>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</si>
  <si>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</si>
  <si>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</si>
  <si>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</si>
  <si>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</si>
  <si>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</si>
  <si>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</si>
  <si>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</si>
  <si>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</si>
  <si>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</si>
  <si>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</si>
  <si>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</si>
  <si>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</si>
  <si>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</si>
  <si>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</si>
  <si>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</si>
  <si>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</si>
  <si>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</si>
  <si>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</si>
  <si>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</si>
  <si>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</si>
  <si>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</si>
  <si>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</si>
  <si>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</si>
  <si>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</si>
  <si>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</si>
  <si>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</si>
  <si>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</si>
  <si>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</si>
  <si>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</si>
  <si>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</si>
  <si>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</si>
  <si>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</si>
  <si>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</si>
  <si>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</si>
  <si>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</si>
  <si>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</si>
  <si>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</si>
  <si>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</si>
  <si>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</si>
  <si>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</si>
  <si>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</si>
  <si>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</si>
  <si>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</si>
  <si>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</si>
  <si>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</si>
  <si>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</si>
  <si>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</si>
  <si>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</si>
  <si>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</si>
  <si>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</si>
  <si>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</si>
  <si>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</si>
  <si>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</si>
  <si>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</si>
  <si>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</si>
  <si>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</si>
  <si>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</si>
  <si>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</si>
  <si>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</si>
  <si>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</si>
  <si>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</si>
  <si>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</si>
  <si>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</si>
  <si>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</si>
  <si>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</si>
  <si>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</si>
  <si>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</si>
  <si>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</si>
  <si>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</si>
  <si>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</si>
  <si>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</si>
  <si>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</si>
  <si>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</si>
  <si>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</si>
  <si>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</si>
  <si>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</si>
  <si>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</si>
  <si>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</si>
  <si>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</si>
  <si>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</si>
  <si>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</si>
  <si>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</si>
  <si>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</si>
  <si>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</si>
  <si>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</si>
  <si>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</si>
  <si>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</si>
  <si>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</si>
  <si>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</si>
  <si>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</si>
  <si>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</si>
  <si>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</si>
  <si>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</si>
  <si>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</si>
  <si>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</si>
  <si>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</si>
  <si>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</si>
  <si>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</si>
  <si>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</si>
  <si>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</si>
  <si>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</si>
  <si>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</si>
  <si>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</si>
  <si>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</si>
  <si>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</si>
  <si>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</si>
  <si>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</si>
  <si>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</si>
  <si>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</si>
  <si>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</si>
  <si>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</si>
  <si>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</si>
  <si>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</si>
  <si>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</si>
  <si>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</si>
  <si>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</si>
  <si>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</si>
  <si>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</si>
  <si>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</si>
  <si>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</si>
  <si>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</si>
  <si>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</si>
  <si>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</si>
  <si>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</si>
  <si>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</si>
  <si>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</si>
  <si>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</si>
  <si>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</si>
  <si>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</si>
  <si>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</si>
  <si>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</si>
  <si>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</si>
  <si>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</si>
  <si>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</si>
  <si>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</si>
  <si>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</si>
  <si>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</si>
  <si>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</si>
  <si>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</si>
  <si>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</si>
  <si>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</si>
  <si>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</si>
  <si>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</si>
  <si>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</si>
  <si>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</si>
  <si>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</si>
  <si>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</si>
  <si>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</si>
  <si>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</si>
  <si>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</si>
  <si>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</si>
  <si>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</si>
  <si>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</si>
  <si>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</si>
  <si>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</si>
  <si>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</si>
  <si>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</si>
  <si>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</si>
  <si>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</si>
  <si>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</si>
  <si>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</si>
  <si>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</si>
  <si>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</si>
  <si>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</si>
  <si>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</si>
  <si>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</si>
  <si>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</si>
  <si>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</si>
  <si>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</si>
  <si>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</si>
  <si>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</si>
  <si>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</si>
  <si>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</si>
  <si>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</si>
  <si>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</si>
  <si>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</si>
  <si>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</si>
  <si>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</si>
  <si>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</si>
  <si>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</si>
  <si>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</si>
  <si>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</si>
  <si>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</si>
  <si>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</si>
  <si>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</si>
  <si>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</si>
  <si>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</si>
  <si>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</si>
  <si>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</si>
  <si>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</si>
  <si>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</si>
  <si>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</si>
  <si>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</si>
  <si>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</si>
  <si>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</si>
  <si>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</si>
  <si>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</si>
  <si>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</si>
  <si>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</si>
  <si>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</si>
  <si>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</si>
  <si>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</si>
  <si>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</si>
  <si>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</si>
  <si>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</si>
  <si>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</si>
  <si>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</si>
  <si>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</si>
  <si>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</si>
  <si>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</si>
  <si>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</si>
  <si>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</si>
  <si>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</si>
  <si>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</si>
  <si>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</si>
  <si>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</si>
  <si>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</si>
  <si>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</si>
  <si>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</si>
  <si>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</si>
  <si>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</si>
  <si>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</si>
  <si>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</si>
  <si>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</si>
  <si>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</si>
  <si>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</si>
  <si>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</si>
  <si>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</si>
  <si>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</si>
  <si>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</si>
  <si>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</si>
  <si>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</si>
  <si>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</si>
  <si>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</si>
  <si>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</si>
  <si>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</si>
  <si>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</si>
  <si>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</si>
  <si>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</si>
  <si>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</si>
  <si>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</si>
  <si>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</si>
  <si>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</si>
  <si>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</si>
  <si>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</si>
  <si>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</si>
  <si>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</si>
  <si>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</si>
  <si>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</si>
  <si>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</si>
  <si>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</si>
  <si>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</si>
  <si>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</si>
  <si>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</si>
  <si>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</si>
  <si>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</si>
  <si>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</si>
  <si>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</si>
  <si>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</si>
  <si>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</si>
  <si>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</si>
  <si>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</si>
  <si>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</si>
  <si>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</si>
  <si>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</si>
  <si>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</si>
  <si>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</si>
  <si>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</si>
  <si>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</si>
  <si>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</si>
  <si>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</si>
  <si>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</si>
  <si>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</si>
  <si>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</si>
  <si>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</si>
  <si>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</si>
  <si>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</si>
  <si>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</si>
  <si>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</si>
  <si>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</si>
  <si>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</si>
  <si>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</si>
  <si>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</si>
  <si>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</si>
  <si>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</si>
  <si>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</si>
  <si>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</si>
  <si>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</si>
  <si>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</si>
  <si>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</si>
  <si>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</si>
  <si>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</si>
  <si>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</si>
  <si>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</si>
  <si>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</si>
  <si>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</si>
  <si>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</si>
  <si>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</si>
  <si>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</si>
  <si>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</si>
  <si>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</si>
  <si>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</si>
  <si>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</si>
  <si>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</si>
  <si>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</si>
  <si>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</si>
  <si>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</si>
  <si>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</si>
  <si>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</si>
  <si>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</si>
  <si>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</si>
  <si>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</si>
  <si>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</si>
  <si>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</si>
  <si>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</si>
  <si>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</si>
  <si>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</si>
  <si>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</si>
  <si>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</si>
  <si>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</si>
  <si>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</si>
  <si>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</si>
  <si>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</si>
  <si>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</si>
  <si>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</si>
  <si>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</si>
  <si>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</si>
  <si>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</si>
  <si>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</si>
  <si>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</si>
  <si>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</si>
  <si>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</si>
  <si>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</si>
  <si>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</si>
  <si>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</si>
  <si>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</si>
  <si>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</si>
  <si>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</si>
  <si>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</si>
  <si>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</si>
  <si>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</si>
  <si>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</si>
  <si>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</si>
  <si>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</si>
  <si>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</si>
  <si>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</si>
  <si>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</si>
  <si>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</si>
  <si>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</si>
  <si>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</si>
  <si>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</si>
  <si>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</si>
  <si>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</si>
  <si>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</si>
  <si>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</si>
  <si>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</si>
  <si>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</si>
  <si>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</si>
  <si>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</si>
  <si>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</si>
  <si>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</si>
  <si>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</si>
  <si>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</si>
  <si>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</si>
  <si>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</si>
  <si>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</si>
  <si>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</si>
  <si>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</si>
  <si>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</si>
  <si>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</si>
  <si>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</si>
  <si>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</si>
  <si>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</si>
  <si>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</si>
  <si>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</si>
  <si>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</si>
  <si>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</si>
  <si>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</si>
  <si>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</si>
  <si>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</si>
  <si>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</si>
  <si>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</si>
  <si>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</si>
  <si>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</si>
  <si>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</si>
  <si>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</si>
  <si>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</si>
  <si>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</si>
  <si>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</si>
  <si>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</si>
  <si>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</si>
  <si>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</si>
  <si>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</si>
  <si>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</si>
  <si>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</si>
  <si>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</si>
  <si>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</si>
  <si>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</si>
  <si>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</si>
  <si>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</si>
  <si>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</si>
  <si>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</si>
  <si>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</si>
  <si>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</si>
  <si>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</si>
  <si>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</si>
  <si>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</si>
  <si>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</si>
  <si>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</si>
  <si>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</si>
  <si>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</si>
  <si>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</si>
  <si>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</si>
  <si>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</si>
  <si>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</si>
  <si>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</si>
  <si>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</si>
  <si>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</si>
  <si>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</si>
  <si>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</si>
  <si>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</si>
  <si>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</si>
  <si>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</si>
  <si>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</si>
  <si>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</si>
  <si>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</si>
  <si>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</si>
  <si>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</si>
  <si>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</si>
  <si>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</si>
  <si>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</si>
  <si>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</si>
  <si>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</si>
  <si>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</si>
  <si>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</si>
  <si>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</si>
  <si>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</si>
  <si>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</si>
  <si>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</si>
  <si>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</si>
  <si>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</si>
  <si>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</si>
  <si>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</si>
  <si>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</si>
  <si>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</si>
  <si>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</si>
  <si>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</si>
  <si>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</si>
  <si>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</si>
  <si>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</si>
  <si>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</si>
  <si>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</si>
  <si>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</si>
  <si>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</si>
  <si>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</si>
  <si>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</si>
  <si>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</si>
  <si>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</si>
  <si>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</si>
  <si>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</si>
  <si>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</si>
  <si>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</si>
  <si>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</si>
  <si>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</si>
  <si>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</si>
  <si>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</si>
  <si>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</si>
  <si>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</si>
  <si>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</si>
  <si>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</si>
  <si>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</si>
  <si>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</si>
  <si>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</si>
  <si>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</si>
  <si>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</si>
  <si>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</si>
  <si>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</si>
  <si>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</si>
  <si>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</si>
  <si>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</si>
  <si>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</si>
  <si>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</si>
  <si>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</si>
  <si>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</si>
  <si>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</si>
  <si>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</si>
  <si>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</si>
  <si>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</si>
  <si>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</si>
  <si>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</si>
  <si>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</si>
  <si>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</si>
  <si>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</si>
  <si>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</si>
  <si>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</si>
  <si>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</si>
  <si>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</si>
  <si>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</si>
  <si>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</si>
  <si>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</si>
  <si>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</si>
  <si>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</si>
  <si>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</si>
  <si>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</si>
  <si>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</si>
  <si>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</si>
  <si>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</si>
  <si>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</si>
  <si>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</si>
  <si>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</si>
  <si>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</si>
  <si>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</si>
  <si>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</si>
  <si>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</si>
  <si>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</si>
  <si>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</si>
  <si>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</si>
  <si>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</si>
  <si>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</si>
  <si>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</si>
  <si>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</si>
  <si>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</si>
  <si>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</si>
  <si>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</si>
  <si>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</si>
  <si>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</si>
  <si>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</si>
  <si>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</si>
  <si>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</si>
  <si>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</si>
  <si>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</si>
  <si>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</si>
  <si>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</si>
  <si>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</si>
  <si>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</si>
  <si>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</si>
  <si>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</si>
  <si>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</si>
  <si>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</si>
  <si>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</si>
  <si>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</si>
  <si>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</si>
  <si>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</si>
  <si>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</si>
  <si>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</si>
  <si>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</si>
  <si>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</si>
  <si>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</si>
  <si>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</si>
  <si>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</si>
  <si>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</si>
  <si>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</si>
  <si>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</si>
  <si>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</si>
  <si>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</si>
  <si>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</si>
  <si>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</si>
  <si>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</si>
  <si>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</si>
  <si>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</si>
  <si>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</si>
  <si>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</si>
  <si>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</si>
  <si>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</si>
  <si>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</si>
  <si>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</si>
  <si>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</si>
  <si>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</si>
  <si>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</si>
  <si>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</si>
  <si>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</si>
  <si>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</si>
  <si>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</si>
  <si>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</si>
  <si>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</si>
  <si>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</si>
  <si>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</si>
  <si>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</si>
  <si>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</si>
  <si>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</si>
  <si>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</si>
  <si>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</si>
  <si>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</si>
  <si>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</si>
  <si>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</si>
  <si>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</si>
  <si>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</si>
  <si>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</si>
  <si>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</si>
  <si>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</si>
  <si>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</si>
  <si>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</si>
  <si>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</si>
  <si>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</si>
  <si>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</si>
  <si>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</si>
  <si>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</si>
  <si>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</si>
  <si>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</si>
  <si>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</si>
  <si>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</si>
  <si>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</si>
  <si>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</si>
  <si>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</si>
  <si>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</si>
  <si>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</si>
  <si>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</si>
  <si>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</si>
  <si>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</si>
  <si>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</si>
  <si>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</si>
  <si>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</si>
  <si>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</si>
  <si>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</si>
  <si>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</si>
  <si>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</si>
  <si>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</si>
  <si>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</si>
  <si>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</si>
  <si>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</si>
  <si>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</si>
  <si>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</si>
  <si>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</si>
  <si>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</si>
  <si>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</si>
  <si>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</si>
  <si>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</si>
  <si>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</si>
  <si>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</si>
  <si>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</si>
  <si>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</si>
  <si>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</si>
  <si>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</si>
  <si>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</si>
  <si>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</si>
  <si>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</si>
  <si>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</si>
  <si>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</si>
  <si>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</si>
  <si>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</si>
  <si>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</si>
  <si>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</si>
  <si>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</si>
  <si>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</si>
  <si>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</si>
  <si>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</si>
  <si>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</si>
  <si>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</si>
  <si>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</si>
  <si>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</si>
  <si>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</si>
  <si>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</si>
  <si>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</si>
  <si>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</si>
  <si>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</si>
  <si>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</si>
  <si>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</si>
  <si>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</si>
  <si>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</si>
  <si>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</si>
  <si>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</si>
  <si>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</si>
  <si>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</si>
  <si>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</si>
  <si>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</si>
  <si>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</si>
  <si>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</si>
  <si>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</si>
  <si>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</si>
  <si>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</si>
  <si>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</si>
  <si>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</si>
  <si>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</si>
  <si>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</si>
  <si>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</si>
  <si>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</si>
  <si>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</si>
  <si>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</si>
  <si>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</si>
  <si>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</si>
  <si>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</si>
  <si>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</si>
  <si>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</si>
  <si>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</si>
  <si>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</si>
  <si>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</si>
  <si>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</si>
  <si>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</si>
  <si>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</si>
  <si>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</si>
  <si>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</si>
  <si>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</si>
  <si>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</si>
  <si>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</si>
  <si>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</si>
  <si>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</si>
  <si>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</si>
  <si>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</si>
  <si>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</si>
  <si>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</si>
  <si>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</si>
  <si>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</si>
  <si>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</si>
  <si>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</si>
  <si>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</si>
  <si>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</si>
  <si>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</si>
  <si>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</si>
  <si>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</si>
  <si>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</si>
  <si>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</si>
  <si>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</si>
  <si>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</si>
  <si>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</si>
  <si>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</si>
  <si>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</si>
  <si>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</si>
  <si>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</si>
  <si>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</si>
  <si>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</si>
  <si>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</si>
  <si>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</si>
  <si>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</si>
  <si>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</si>
  <si>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</si>
  <si>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</si>
  <si>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</si>
  <si>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</si>
  <si>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</si>
  <si>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</si>
  <si>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</si>
  <si>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</si>
  <si>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</si>
  <si>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</si>
  <si>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</si>
  <si>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</si>
  <si>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</si>
  <si>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</si>
  <si>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</si>
  <si>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</si>
  <si>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</si>
  <si>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</si>
  <si>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</si>
  <si>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</si>
  <si>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</si>
  <si>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</si>
  <si>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</si>
  <si>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</si>
  <si>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</si>
  <si>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</si>
  <si>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</si>
  <si>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</si>
  <si>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</si>
  <si>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</si>
  <si>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</si>
  <si>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</si>
  <si>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</si>
  <si>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</si>
  <si>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</si>
  <si>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</si>
  <si>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</si>
  <si>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</si>
  <si>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</si>
  <si>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</si>
  <si>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</si>
  <si>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</si>
  <si>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</si>
  <si>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</si>
  <si>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</si>
  <si>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</si>
  <si>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</si>
  <si>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</si>
  <si>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</si>
  <si>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</si>
  <si>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</si>
  <si>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</si>
  <si>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</si>
  <si>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</si>
  <si>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</si>
  <si>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</si>
  <si>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</si>
  <si>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</si>
  <si>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</si>
  <si>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</si>
  <si>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</si>
  <si>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</si>
  <si>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</si>
  <si>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</si>
  <si>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</si>
  <si>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</si>
  <si>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</si>
  <si>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</si>
  <si>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</si>
  <si>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</si>
  <si>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</si>
  <si>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</si>
  <si>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</si>
  <si>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</si>
  <si>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</si>
  <si>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</si>
  <si>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</si>
  <si>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</si>
  <si>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</si>
  <si>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</si>
  <si>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</si>
  <si>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</si>
  <si>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</si>
  <si>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</si>
  <si>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</si>
  <si>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</si>
  <si>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</si>
  <si>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</si>
  <si>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</si>
  <si>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</si>
  <si>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</si>
  <si>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</si>
  <si>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</si>
  <si>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</si>
  <si>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</si>
  <si>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</si>
  <si>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</si>
  <si>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</si>
  <si>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</si>
  <si>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</si>
  <si>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</si>
  <si>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</si>
  <si>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</si>
  <si>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</si>
  <si>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</si>
  <si>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</si>
  <si>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</si>
  <si>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</si>
  <si>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</si>
  <si>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</si>
  <si>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</si>
  <si>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</si>
  <si>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</si>
  <si>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</si>
  <si>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</si>
  <si>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</si>
  <si>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</si>
  <si>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</si>
  <si>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</si>
  <si>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</si>
  <si>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</si>
  <si>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</si>
  <si>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</si>
  <si>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</si>
  <si>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</si>
  <si>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</si>
  <si>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</si>
  <si>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</si>
  <si>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</si>
  <si>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</si>
  <si>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</si>
  <si>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</si>
  <si>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</si>
  <si>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</si>
  <si>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</si>
  <si>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</si>
  <si>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</si>
  <si>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</si>
  <si>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</si>
  <si>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</si>
  <si>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</si>
  <si>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</si>
  <si>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</si>
  <si>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</si>
  <si>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</si>
  <si>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</si>
  <si>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</si>
  <si>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</si>
  <si>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</si>
  <si>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</si>
  <si>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</si>
  <si>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</si>
  <si>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</si>
  <si>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</si>
  <si>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</si>
  <si>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</si>
  <si>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</si>
  <si>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</si>
  <si>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</si>
  <si>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</si>
  <si>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</si>
  <si>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</si>
  <si>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</si>
  <si>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</si>
  <si>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</si>
  <si>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</si>
  <si>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</si>
  <si>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</si>
  <si>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</si>
  <si>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</si>
  <si>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</si>
  <si>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</si>
  <si>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</si>
  <si>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</si>
  <si>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</si>
  <si>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</si>
  <si>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</si>
  <si>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</si>
  <si>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</si>
  <si>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</si>
  <si>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</si>
  <si>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</si>
  <si>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</si>
  <si>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</si>
  <si>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</si>
  <si>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</si>
  <si>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</si>
  <si>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</si>
  <si>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</si>
  <si>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</si>
  <si>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</si>
  <si>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</si>
  <si>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</si>
  <si>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</si>
  <si>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</si>
  <si>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</si>
  <si>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</si>
  <si>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</si>
  <si>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</si>
  <si>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</si>
  <si>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</si>
  <si>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</si>
  <si>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</si>
  <si>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</si>
  <si>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</si>
  <si>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</si>
  <si>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</si>
  <si>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</si>
  <si>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</si>
  <si>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</si>
  <si>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</si>
  <si>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</si>
  <si>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</si>
  <si>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</si>
  <si>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</si>
  <si>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</si>
  <si>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</si>
  <si>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</si>
  <si>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</si>
  <si>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</si>
  <si>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</si>
  <si>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</si>
  <si>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</si>
  <si>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</si>
  <si>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</si>
  <si>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</si>
  <si>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</si>
  <si>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</si>
  <si>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</si>
  <si>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</si>
  <si>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</si>
  <si>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</si>
  <si>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</si>
  <si>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</si>
  <si>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</si>
  <si>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</si>
  <si>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</si>
  <si>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</si>
  <si>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</si>
  <si>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</si>
  <si>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</si>
  <si>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</si>
  <si>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</si>
  <si>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</si>
  <si>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</si>
  <si>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</si>
  <si>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</si>
  <si>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</si>
  <si>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</si>
  <si>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</si>
  <si>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</si>
  <si>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</si>
  <si>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</si>
  <si>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</si>
  <si>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</si>
  <si>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</si>
  <si>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</si>
  <si>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</si>
  <si>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</si>
  <si>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</si>
  <si>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</si>
  <si>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</si>
  <si>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</si>
  <si>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</si>
  <si>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</si>
  <si>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</si>
  <si>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</si>
  <si>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</si>
  <si>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</si>
  <si>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</si>
  <si>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</si>
  <si>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</si>
  <si>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</si>
  <si>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</si>
  <si>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</si>
  <si>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</si>
  <si>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</si>
  <si>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</si>
  <si>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</si>
  <si>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</si>
  <si>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</si>
  <si>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</si>
  <si>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</si>
  <si>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</si>
  <si>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</si>
  <si>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</si>
  <si>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</si>
  <si>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</si>
  <si>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</si>
  <si>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</si>
  <si>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</si>
  <si>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</si>
  <si>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</si>
  <si>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</si>
  <si>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</si>
  <si>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</si>
  <si>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</si>
  <si>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</si>
  <si>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</si>
  <si>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</si>
  <si>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</si>
  <si>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</si>
  <si>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</si>
  <si>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</si>
  <si>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</si>
  <si>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</si>
  <si>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</si>
  <si>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</si>
  <si>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</si>
  <si>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</si>
  <si>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</si>
  <si>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</si>
  <si>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</si>
  <si>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</si>
  <si>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</si>
  <si>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</si>
  <si>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</si>
  <si>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</si>
  <si>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</si>
  <si>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</si>
  <si>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</si>
  <si>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</si>
  <si>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</si>
  <si>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</si>
  <si>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</si>
  <si>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</si>
  <si>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</si>
  <si>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</si>
  <si>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</si>
  <si>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</si>
  <si>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</si>
  <si>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</si>
  <si>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</si>
  <si>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</si>
  <si>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</si>
  <si>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</si>
  <si>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</si>
  <si>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</si>
  <si>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</si>
  <si>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</si>
  <si>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</si>
  <si>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</si>
  <si>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</si>
  <si>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</si>
  <si>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</si>
  <si>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</si>
  <si>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</si>
  <si>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</si>
  <si>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</si>
  <si>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</si>
  <si>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</si>
  <si>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</si>
  <si>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</si>
  <si>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</si>
  <si>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</si>
  <si>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</si>
  <si>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</si>
  <si>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</si>
  <si>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</si>
  <si>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</si>
  <si>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</si>
  <si>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</si>
  <si>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</si>
  <si>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</si>
  <si>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</si>
  <si>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</si>
  <si>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</si>
  <si>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</si>
  <si>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</si>
  <si>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</si>
  <si>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</si>
  <si>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</si>
  <si>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</si>
  <si>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</si>
  <si>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</si>
  <si>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</si>
  <si>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</si>
  <si>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</si>
  <si>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</si>
  <si>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</si>
  <si>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</si>
  <si>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</si>
  <si>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</si>
  <si>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</si>
  <si>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</si>
  <si>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</si>
  <si>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</si>
  <si>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</si>
  <si>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</si>
  <si>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</si>
  <si>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</si>
  <si>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</si>
  <si>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</si>
  <si>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</si>
  <si>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</si>
  <si>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</si>
  <si>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</si>
  <si>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</si>
  <si>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</si>
  <si>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</si>
  <si>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</si>
  <si>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</si>
  <si>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</si>
  <si>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</si>
  <si>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</si>
  <si>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</si>
  <si>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</si>
  <si>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</si>
  <si>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</si>
  <si>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</si>
  <si>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</si>
  <si>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</si>
  <si>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</si>
  <si>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</si>
  <si>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</si>
  <si>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</si>
  <si>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</si>
  <si>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</si>
  <si>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</si>
  <si>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</si>
  <si>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</si>
  <si>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</si>
  <si>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</si>
  <si>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</si>
  <si>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</si>
  <si>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</si>
  <si>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</si>
  <si>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</si>
  <si>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</si>
  <si>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</si>
  <si>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</si>
  <si>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</si>
  <si>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</si>
  <si>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</si>
  <si>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</si>
  <si>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</si>
  <si>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</si>
  <si>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</si>
  <si>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</si>
  <si>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</si>
  <si>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</si>
  <si>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</si>
  <si>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</si>
  <si>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</si>
  <si>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</si>
  <si>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</si>
  <si>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</si>
  <si>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</si>
  <si>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</si>
  <si>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</si>
  <si>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</si>
  <si>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</si>
  <si>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</si>
  <si>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</si>
  <si>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</si>
  <si>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</si>
  <si>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</si>
  <si>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</si>
  <si>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</si>
  <si>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</si>
  <si>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</si>
  <si>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</si>
  <si>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</si>
  <si>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</si>
  <si>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</si>
  <si>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</si>
  <si>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</si>
  <si>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</si>
  <si>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</si>
  <si>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</si>
  <si>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</si>
  <si>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</si>
  <si>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</si>
  <si>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</si>
  <si>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</si>
  <si>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</si>
  <si>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</si>
  <si>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</si>
  <si>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</si>
  <si>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</si>
  <si>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</si>
  <si>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</si>
  <si>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</si>
  <si>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</si>
  <si>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</si>
  <si>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</si>
  <si>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</si>
  <si>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</si>
  <si>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</si>
  <si>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</si>
  <si>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</si>
  <si>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</si>
  <si>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</si>
  <si>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</si>
  <si>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</si>
  <si>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</si>
  <si>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</si>
  <si>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</si>
  <si>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</si>
  <si>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</si>
  <si>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</si>
  <si>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</si>
  <si>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</si>
  <si>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</si>
  <si>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</si>
  <si>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</si>
  <si>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</si>
  <si>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</si>
  <si>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</si>
  <si>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</si>
  <si>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</si>
  <si>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</si>
  <si>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</si>
  <si>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</si>
  <si>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</si>
  <si>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</si>
  <si>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</si>
  <si>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</si>
  <si>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</si>
  <si>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</si>
  <si>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</si>
  <si>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</si>
  <si>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</si>
  <si>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</si>
  <si>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</si>
  <si>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</si>
  <si>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</si>
  <si>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</si>
  <si>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</si>
  <si>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</si>
  <si>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</si>
  <si>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</si>
  <si>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</si>
  <si>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</si>
  <si>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</si>
  <si>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</si>
  <si>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</si>
  <si>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</si>
  <si>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</si>
  <si>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</si>
  <si>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</si>
  <si>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</si>
  <si>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</si>
  <si>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</si>
  <si>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</si>
  <si>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</si>
  <si>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</si>
  <si>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</si>
  <si>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</si>
  <si>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</si>
  <si>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</si>
  <si>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</si>
  <si>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</si>
  <si>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</si>
  <si>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</si>
  <si>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</si>
  <si>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</si>
  <si>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</si>
  <si>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</si>
  <si>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</si>
  <si>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</si>
  <si>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</si>
  <si>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</si>
  <si>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</si>
  <si>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</si>
  <si>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</si>
  <si>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</si>
  <si>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</si>
  <si>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</si>
  <si>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</si>
  <si>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</si>
  <si>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</si>
  <si>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</si>
  <si>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</si>
  <si>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</si>
  <si>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</si>
  <si>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</si>
  <si>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</si>
  <si>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</si>
  <si>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</si>
  <si>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</si>
  <si>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</si>
  <si>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</si>
  <si>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</si>
  <si>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</si>
  <si>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</si>
  <si>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</si>
  <si>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</si>
  <si>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</si>
  <si>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</si>
  <si>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</si>
  <si>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</si>
  <si>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</si>
  <si>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</si>
  <si>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</si>
  <si>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</si>
  <si>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</si>
  <si>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</si>
  <si>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</si>
  <si>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</si>
  <si>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</si>
  <si>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</si>
  <si>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</si>
  <si>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</si>
  <si>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</si>
  <si>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</si>
  <si>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</si>
  <si>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</si>
  <si>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</si>
  <si>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</si>
  <si>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</si>
  <si>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</si>
  <si>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</si>
  <si>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</si>
  <si>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</si>
  <si>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</si>
  <si>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</si>
  <si>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</si>
  <si>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</si>
  <si>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</si>
  <si>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</si>
  <si>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</si>
  <si>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</si>
  <si>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</si>
  <si>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</si>
  <si>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</si>
  <si>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</si>
  <si>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</si>
  <si>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</si>
  <si>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</si>
  <si>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</si>
  <si>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</si>
  <si>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</si>
  <si>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</si>
  <si>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</si>
  <si>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</si>
  <si>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</si>
  <si>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</si>
  <si>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</si>
  <si>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</si>
  <si>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</si>
  <si>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</si>
  <si>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</si>
  <si>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</si>
  <si>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</si>
  <si>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</si>
  <si>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</si>
  <si>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</si>
  <si>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</si>
  <si>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</si>
  <si>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</si>
  <si>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</si>
  <si>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</si>
  <si>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</si>
  <si>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</si>
  <si>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</si>
  <si>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</si>
  <si>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</si>
  <si>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</si>
  <si>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</si>
  <si>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</si>
  <si>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</si>
  <si>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</si>
  <si>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</si>
  <si>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</si>
  <si>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</si>
  <si>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</si>
  <si>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</si>
  <si>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</si>
  <si>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</si>
  <si>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</si>
  <si>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</si>
  <si>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</si>
  <si>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</si>
  <si>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</si>
  <si>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</si>
  <si>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</si>
  <si>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</si>
  <si>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</si>
  <si>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</si>
  <si>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</si>
  <si>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</si>
  <si>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</si>
  <si>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</si>
  <si>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</si>
  <si>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</si>
  <si>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</si>
  <si>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</si>
  <si>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</si>
  <si>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</si>
  <si>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</si>
  <si>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</si>
  <si>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</si>
  <si>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</si>
  <si>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</si>
  <si>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</si>
  <si>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</si>
  <si>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</si>
  <si>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</si>
  <si>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</si>
  <si>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</si>
  <si>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</si>
  <si>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</si>
  <si>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</si>
  <si>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</si>
  <si>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</si>
  <si>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</si>
  <si>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</si>
  <si>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</si>
  <si>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</si>
  <si>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</si>
  <si>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</si>
  <si>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</si>
  <si>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</si>
  <si>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</si>
  <si>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</si>
  <si>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</si>
  <si>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</si>
  <si>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</si>
  <si>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</si>
  <si>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</si>
  <si>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</si>
  <si>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</si>
  <si>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</si>
  <si>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</si>
  <si>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</si>
  <si>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</si>
  <si>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</si>
  <si>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</si>
  <si>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</si>
  <si>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</si>
  <si>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</si>
  <si>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</si>
  <si>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</si>
  <si>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</si>
  <si>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</si>
  <si>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</si>
  <si>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</si>
  <si>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</si>
  <si>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</si>
  <si>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</si>
  <si>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</si>
  <si>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</si>
  <si>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</si>
  <si>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</si>
  <si>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</si>
  <si>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</si>
  <si>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</si>
  <si>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</si>
  <si>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</si>
  <si>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</si>
  <si>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</si>
  <si>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</si>
  <si>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</si>
  <si>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</si>
  <si>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</si>
  <si>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</si>
  <si>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</si>
  <si>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</si>
  <si>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</si>
  <si>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</si>
  <si>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</si>
  <si>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</si>
  <si>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</si>
  <si>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</si>
  <si>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</si>
  <si>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</si>
  <si>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</si>
  <si>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</si>
  <si>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</si>
  <si>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</si>
  <si>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</si>
  <si>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</si>
  <si>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</si>
  <si>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</si>
  <si>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</si>
  <si>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</si>
  <si>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</si>
  <si>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</si>
  <si>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</si>
  <si>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</si>
  <si>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</si>
  <si>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</si>
  <si>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</si>
  <si>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</si>
  <si>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</si>
  <si>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</si>
  <si>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</si>
  <si>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</si>
  <si>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</si>
  <si>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</si>
  <si>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</si>
  <si>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</si>
  <si>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</si>
  <si>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</si>
  <si>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</si>
  <si>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</si>
  <si>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</si>
  <si>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</si>
  <si>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</si>
  <si>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</si>
  <si>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</si>
  <si>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</si>
  <si>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</si>
  <si>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</si>
  <si>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</si>
  <si>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</si>
  <si>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</si>
  <si>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</si>
  <si>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</si>
  <si>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</si>
  <si>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</si>
  <si>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</si>
  <si>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</si>
  <si>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</si>
  <si>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</si>
  <si>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</si>
  <si>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</si>
  <si>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</si>
  <si>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</si>
  <si>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</si>
  <si>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</si>
  <si>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</si>
  <si>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</si>
  <si>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</si>
  <si>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</si>
  <si>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</si>
  <si>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</si>
  <si>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</si>
  <si>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</si>
  <si>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</si>
  <si>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</si>
  <si>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</si>
  <si>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</si>
  <si>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</si>
  <si>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</si>
  <si>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</si>
  <si>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</si>
  <si>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</si>
  <si>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</si>
  <si>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</si>
  <si>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</si>
  <si>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</si>
  <si>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</si>
  <si>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</si>
  <si>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</si>
  <si>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</si>
  <si>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</si>
  <si>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</si>
  <si>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</si>
  <si>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</si>
  <si>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</si>
  <si>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</si>
  <si>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</si>
  <si>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</si>
  <si>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</si>
  <si>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</si>
  <si>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</si>
  <si>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</si>
  <si>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</si>
  <si>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</si>
  <si>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</si>
  <si>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</si>
  <si>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</si>
  <si>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</si>
  <si>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</si>
  <si>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</si>
  <si>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</si>
  <si>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</si>
  <si>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</si>
  <si>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</si>
  <si>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</si>
  <si>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</si>
  <si>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</si>
  <si>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</si>
  <si>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</si>
  <si>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</si>
  <si>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</si>
  <si>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</si>
  <si>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</si>
  <si>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</si>
  <si>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</si>
  <si>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</si>
  <si>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</si>
  <si>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</si>
  <si>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</si>
  <si>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</si>
  <si>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</si>
  <si>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</si>
  <si>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</si>
  <si>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</si>
  <si>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</si>
  <si>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</si>
  <si>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</si>
  <si>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</si>
  <si>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</si>
  <si>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</si>
  <si>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</si>
  <si>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</si>
  <si>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</si>
  <si>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</si>
  <si>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</si>
  <si>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</si>
  <si>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</si>
  <si>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</si>
  <si>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</si>
  <si>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</si>
  <si>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</si>
  <si>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</si>
  <si>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</si>
  <si>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</si>
  <si>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</si>
  <si>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</si>
  <si>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</si>
  <si>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</si>
  <si>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</si>
  <si>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</si>
  <si>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</si>
  <si>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</si>
  <si>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</si>
  <si>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</si>
  <si>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</si>
  <si>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</si>
  <si>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</si>
  <si>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</si>
  <si>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</si>
  <si>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</si>
  <si>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</si>
  <si>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</si>
  <si>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</si>
  <si>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</si>
  <si>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</si>
  <si>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</si>
  <si>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</si>
  <si>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</si>
  <si>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</si>
  <si>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</si>
  <si>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</si>
  <si>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</si>
  <si>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</si>
  <si>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</si>
  <si>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</si>
  <si>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</si>
  <si>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</si>
  <si>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</si>
  <si>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</si>
  <si>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</si>
  <si>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</si>
  <si>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</si>
  <si>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</si>
  <si>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</si>
  <si>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</si>
  <si>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</si>
  <si>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</si>
  <si>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</si>
  <si>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</si>
  <si>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</si>
  <si>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</si>
  <si>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</si>
  <si>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</si>
  <si>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</si>
  <si>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</si>
  <si>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</si>
  <si>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</si>
  <si>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</si>
  <si>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</si>
  <si>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</si>
  <si>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</si>
  <si>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</si>
  <si>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</si>
  <si>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</si>
  <si>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</si>
  <si>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</si>
  <si>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</si>
  <si>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</si>
  <si>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</si>
  <si>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</si>
  <si>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</si>
  <si>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</si>
  <si>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</si>
  <si>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</si>
  <si>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</si>
  <si>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</si>
  <si>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</si>
  <si>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</si>
  <si>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</si>
  <si>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</si>
  <si>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</si>
  <si>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</si>
  <si>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</si>
  <si>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</si>
  <si>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</si>
  <si>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</si>
  <si>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</si>
  <si>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</si>
  <si>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</si>
  <si>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</si>
  <si>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</si>
  <si>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</si>
  <si>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</si>
  <si>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</si>
  <si>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</si>
  <si>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</si>
  <si>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</si>
  <si>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</si>
  <si>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</si>
  <si>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</si>
  <si>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</si>
  <si>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</si>
  <si>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</si>
  <si>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</si>
  <si>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</si>
  <si>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</si>
  <si>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</si>
  <si>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</si>
  <si>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</si>
  <si>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</si>
  <si>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</si>
  <si>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</si>
  <si>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</si>
  <si>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</si>
  <si>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</si>
  <si>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</si>
  <si>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</si>
  <si>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</si>
  <si>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</si>
  <si>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</si>
  <si>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</si>
  <si>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</si>
  <si>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</si>
  <si>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</si>
  <si>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</si>
  <si>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</si>
  <si>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</si>
  <si>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</si>
  <si>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</si>
  <si>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</si>
  <si>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</si>
  <si>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</si>
  <si>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</si>
  <si>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</si>
  <si>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</si>
  <si>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</si>
  <si>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</si>
  <si>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</si>
  <si>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</si>
  <si>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</si>
  <si>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</si>
  <si>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</si>
  <si>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</si>
  <si>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</si>
  <si>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</si>
  <si>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</si>
  <si>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</si>
  <si>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</si>
  <si>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</si>
  <si>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</si>
  <si>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</si>
  <si>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</si>
  <si>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</si>
  <si>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</si>
  <si>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</si>
  <si>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</si>
  <si>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</si>
  <si>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</si>
  <si>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</si>
  <si>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</si>
  <si>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</si>
  <si>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</si>
  <si>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</si>
  <si>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</si>
  <si>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</si>
  <si>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</si>
  <si>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</si>
  <si>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</si>
  <si>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</si>
  <si>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</si>
  <si>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</si>
  <si>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</si>
  <si>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</si>
  <si>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</si>
  <si>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</si>
  <si>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</si>
  <si>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</si>
  <si>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</si>
  <si>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</si>
  <si>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</si>
  <si>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</si>
  <si>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</si>
  <si>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</si>
  <si>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</si>
  <si>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</si>
  <si>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</si>
  <si>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</si>
  <si>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</si>
  <si>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</si>
  <si>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</si>
  <si>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</si>
  <si>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</si>
  <si>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</si>
  <si>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</si>
  <si>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</si>
  <si>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</si>
  <si>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</si>
  <si>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</si>
  <si>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</si>
  <si>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</si>
  <si>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</si>
  <si>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</si>
  <si>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</si>
  <si>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</si>
  <si>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</si>
  <si>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</si>
  <si>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</si>
  <si>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</si>
  <si>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</si>
  <si>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</si>
  <si>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</si>
  <si>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</si>
  <si>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</si>
  <si>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</si>
  <si>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</si>
  <si>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</si>
  <si>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</si>
  <si>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</si>
  <si>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</si>
  <si>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</si>
  <si>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</si>
  <si>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</si>
  <si>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</si>
  <si>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</si>
  <si>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</si>
  <si>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</si>
  <si>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</si>
  <si>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</si>
  <si>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</si>
  <si>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</si>
  <si>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</si>
  <si>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</si>
  <si>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</si>
  <si>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</si>
  <si>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</si>
  <si>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</si>
  <si>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</si>
  <si>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</si>
  <si>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</si>
  <si>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</si>
  <si>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</si>
  <si>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</si>
  <si>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</si>
  <si>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</si>
  <si>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</si>
  <si>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</si>
  <si>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</si>
  <si>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</si>
  <si>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</si>
  <si>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</si>
  <si>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</si>
  <si>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</si>
  <si>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</si>
  <si>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</si>
  <si>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</si>
  <si>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</si>
  <si>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</si>
  <si>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</si>
  <si>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</si>
  <si>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</si>
  <si>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</si>
  <si>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</si>
  <si>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</si>
  <si>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</si>
  <si>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</si>
  <si>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</si>
  <si>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</si>
  <si>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</si>
  <si>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</si>
  <si>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</si>
  <si>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</si>
  <si>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</si>
  <si>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</si>
  <si>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</si>
  <si>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</si>
  <si>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</si>
  <si>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</si>
  <si>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</si>
  <si>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</si>
  <si>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</si>
  <si>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</si>
  <si>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</si>
  <si>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</si>
  <si>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</si>
  <si>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</si>
  <si>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</si>
  <si>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</si>
  <si>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</si>
  <si>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</si>
  <si>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</si>
  <si>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</si>
  <si>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</si>
  <si>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</si>
  <si>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</si>
  <si>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</si>
  <si>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</si>
  <si>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</si>
  <si>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</si>
  <si>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</si>
  <si>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</si>
  <si>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</si>
  <si>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</si>
  <si>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</si>
  <si>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</si>
  <si>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</si>
  <si>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</si>
  <si>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</si>
  <si>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</si>
  <si>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</si>
  <si>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</si>
  <si>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</si>
  <si>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</si>
  <si>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</si>
  <si>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</si>
  <si>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</si>
  <si>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</si>
  <si>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</si>
  <si>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</si>
  <si>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</si>
  <si>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</si>
  <si>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</si>
  <si>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</si>
  <si>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</si>
  <si>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</si>
  <si>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</si>
  <si>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</si>
  <si>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</si>
  <si>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</si>
  <si>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</si>
  <si>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</si>
  <si>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</si>
  <si>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</si>
  <si>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</si>
  <si>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</si>
  <si>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</si>
  <si>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</si>
  <si>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</si>
  <si>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</si>
  <si>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</si>
  <si>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</si>
  <si>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</si>
  <si>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</si>
  <si>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</si>
  <si>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</si>
  <si>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</si>
  <si>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</si>
  <si>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</si>
  <si>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</si>
  <si>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</si>
  <si>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</si>
  <si>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</si>
  <si>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</si>
  <si>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</si>
  <si>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</si>
  <si>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</si>
  <si>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</si>
  <si>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</si>
  <si>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</si>
  <si>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</si>
  <si>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</si>
  <si>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</si>
  <si>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</si>
  <si>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</si>
  <si>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</si>
  <si>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</si>
  <si>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</si>
  <si>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</si>
  <si>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</si>
  <si>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</si>
  <si>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</si>
  <si>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</si>
  <si>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</si>
  <si>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</si>
  <si>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</si>
  <si>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</si>
  <si>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</si>
  <si>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</si>
  <si>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</si>
  <si>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</si>
  <si>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</si>
  <si>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</si>
  <si>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</si>
  <si>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</si>
  <si>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</si>
  <si>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</si>
  <si>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</si>
  <si>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</si>
  <si>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</si>
  <si>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</si>
  <si>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</si>
  <si>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</si>
  <si>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</si>
  <si>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</si>
  <si>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</si>
  <si>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</si>
  <si>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</si>
  <si>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</si>
  <si>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</si>
  <si>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</si>
  <si>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</si>
  <si>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</si>
  <si>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</si>
  <si>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</si>
  <si>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</si>
  <si>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</si>
  <si>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</si>
  <si>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</si>
  <si>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</si>
  <si>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</si>
  <si>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0614081191043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</si>
  <si>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</si>
  <si>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</si>
  <si>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</si>
  <si>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</si>
  <si>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</si>
  <si>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11211902801017</t>
  </si>
  <si>
    <t>JOSUE BENJAMIN NUILA HERNANDEZ</t>
  </si>
  <si>
    <t>02101610741019</t>
  </si>
  <si>
    <t>ADOLFO ERNESTO MENDEZ MENDEZ</t>
  </si>
  <si>
    <t>06060306791014</t>
  </si>
  <si>
    <t>VANESSA ESMERALDA VASQUES DE ARCHINY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</si>
  <si>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</si>
  <si>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</si>
  <si>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</si>
  <si>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</si>
  <si>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</si>
  <si>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</si>
  <si>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</si>
  <si>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</si>
  <si>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</si>
  <si>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</si>
  <si>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</si>
  <si>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</si>
  <si>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</si>
  <si>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</si>
  <si>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</si>
  <si>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</si>
  <si>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</si>
  <si>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</si>
  <si>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</si>
  <si>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</si>
  <si>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</si>
  <si>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</si>
  <si>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</si>
  <si>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</si>
  <si>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</si>
  <si>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</si>
  <si>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</si>
  <si>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</si>
  <si>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</si>
  <si>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</si>
  <si>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</si>
  <si>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</si>
  <si>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</si>
  <si>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</si>
  <si>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</si>
  <si>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</si>
  <si>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</si>
  <si>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</si>
  <si>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</si>
  <si>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</si>
  <si>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</si>
  <si>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</si>
  <si>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</si>
  <si>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</si>
  <si>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</si>
  <si>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</si>
  <si>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</si>
  <si>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</si>
  <si>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</si>
  <si>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</si>
  <si>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</si>
  <si>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</si>
  <si>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</si>
  <si>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</si>
  <si>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</si>
  <si>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</si>
  <si>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</si>
  <si>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</si>
  <si>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</si>
  <si>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</si>
  <si>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</si>
  <si>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</si>
  <si>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</si>
  <si>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</si>
  <si>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</si>
  <si>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</si>
  <si>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</si>
  <si>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</si>
  <si>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14160112731016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</si>
  <si>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</si>
  <si>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</si>
  <si>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</si>
  <si>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</si>
  <si>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</si>
  <si>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</si>
  <si>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</si>
  <si>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</si>
  <si>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</si>
  <si>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</si>
  <si>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</si>
  <si>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</si>
  <si>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</si>
  <si>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</si>
  <si>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11102501891010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</si>
  <si>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</si>
  <si>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</si>
  <si>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</si>
  <si>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</si>
  <si>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</si>
  <si>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</si>
  <si>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</si>
  <si>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</si>
  <si>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</si>
  <si>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</si>
  <si>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</si>
  <si>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</si>
  <si>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</si>
  <si>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</si>
  <si>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</si>
  <si>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</si>
  <si>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</si>
  <si>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</si>
  <si>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</si>
  <si>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</si>
  <si>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</si>
  <si>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</si>
  <si>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</si>
  <si>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</si>
  <si>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</si>
  <si>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</si>
  <si>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</si>
  <si>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</si>
  <si>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</si>
  <si>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</si>
  <si>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</si>
  <si>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</si>
  <si>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</si>
  <si>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</si>
  <si>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</si>
  <si>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</si>
  <si>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</si>
  <si>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</si>
  <si>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</si>
  <si>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</si>
  <si>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</si>
  <si>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</si>
  <si>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</si>
  <si>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</si>
  <si>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</si>
  <si>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</si>
  <si>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</si>
  <si>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</si>
  <si>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</si>
  <si>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</si>
  <si>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</si>
  <si>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</si>
  <si>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</si>
  <si>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</si>
  <si>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</si>
  <si>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</si>
  <si>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</si>
  <si>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</si>
  <si>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</si>
  <si>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</si>
  <si>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</si>
  <si>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</si>
  <si>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</si>
  <si>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</si>
  <si>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</si>
  <si>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</si>
  <si>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</si>
  <si>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</si>
  <si>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</si>
  <si>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</si>
  <si>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</si>
  <si>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</si>
  <si>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</si>
  <si>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</si>
  <si>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</si>
  <si>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</si>
  <si>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</si>
  <si>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</si>
  <si>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</si>
  <si>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</si>
  <si>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</si>
  <si>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</si>
  <si>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</si>
  <si>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</si>
  <si>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</si>
  <si>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</si>
  <si>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</si>
  <si>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</si>
  <si>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</si>
  <si>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</si>
  <si>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</si>
  <si>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</si>
  <si>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</si>
  <si>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</si>
  <si>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</si>
  <si>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</si>
  <si>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</si>
  <si>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</si>
  <si>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</si>
  <si>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10101512901033</t>
  </si>
  <si>
    <t>EVER OMAR CALDERON ORELLANA</t>
  </si>
  <si>
    <t xml:space="preserve">JOSE 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</si>
  <si>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</si>
  <si>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</si>
  <si>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</si>
  <si>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</si>
  <si>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</si>
  <si>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</si>
  <si>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</si>
  <si>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</si>
  <si>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</si>
  <si>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</si>
  <si>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</si>
  <si>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</si>
  <si>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</si>
  <si>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</si>
  <si>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</si>
  <si>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</si>
  <si>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MERCANTIL FARMACÉUTICA, S.A DE C.V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</si>
  <si>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</si>
  <si>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</si>
  <si>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</si>
  <si>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</si>
  <si>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</si>
  <si>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</si>
  <si>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</si>
  <si>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</si>
  <si>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</si>
  <si>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</si>
  <si>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</si>
  <si>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</si>
  <si>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</si>
  <si>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</si>
  <si>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 xml:space="preserve">LA MAGNIFICA S.A DE C.V FARMACIA LA MAGNIFICA 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</si>
  <si>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</si>
  <si>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</si>
  <si>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</si>
  <si>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</si>
  <si>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</si>
  <si>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</si>
  <si>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</si>
  <si>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</si>
  <si>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</si>
  <si>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</si>
  <si>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</si>
  <si>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</si>
  <si>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</si>
  <si>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</si>
  <si>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</si>
  <si>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</si>
  <si>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</si>
  <si>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</si>
  <si>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</si>
  <si>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</si>
  <si>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</si>
  <si>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</si>
  <si>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</si>
  <si>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</si>
  <si>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</si>
  <si>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</si>
  <si>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</si>
  <si>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</si>
  <si>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08211711771034</t>
  </si>
  <si>
    <t>ADOLFO ABELIO GUARDADO</t>
  </si>
  <si>
    <t>12041001789101</t>
  </si>
  <si>
    <t>14051704981010</t>
  </si>
  <si>
    <t>DUI</t>
  </si>
  <si>
    <t>ENERO</t>
  </si>
  <si>
    <t>11</t>
  </si>
  <si>
    <t>15041RESIN102922020</t>
  </si>
  <si>
    <t>20SD000X</t>
  </si>
  <si>
    <t>14/01/2022</t>
  </si>
  <si>
    <t>20/01/2022</t>
  </si>
  <si>
    <t>13/01/2022</t>
  </si>
  <si>
    <t>12/01/2022</t>
  </si>
  <si>
    <t>11/01/2022</t>
  </si>
  <si>
    <t>07/01/2022</t>
  </si>
  <si>
    <t>04/01/2022</t>
  </si>
  <si>
    <t>15041RESIN459692020</t>
  </si>
  <si>
    <t>20SD001F</t>
  </si>
  <si>
    <t>03/01/2022</t>
  </si>
  <si>
    <t>10/01/2022</t>
  </si>
  <si>
    <t>17/01/2022</t>
  </si>
  <si>
    <t>22/01/2022</t>
  </si>
  <si>
    <t>24/01/2022</t>
  </si>
  <si>
    <t>27/01/2022</t>
  </si>
  <si>
    <t>31/01/2022</t>
  </si>
  <si>
    <t>20SD000F</t>
  </si>
  <si>
    <t>15041RESIN135142020</t>
  </si>
  <si>
    <t>28/01/2022</t>
  </si>
  <si>
    <t>26/01/2022</t>
  </si>
  <si>
    <t>25/01/2022</t>
  </si>
  <si>
    <t>21/01/2022</t>
  </si>
  <si>
    <t>19/01/2022</t>
  </si>
  <si>
    <t>18/01/2022</t>
  </si>
  <si>
    <t>16/01/2022</t>
  </si>
  <si>
    <t>06/01/2022</t>
  </si>
  <si>
    <t>05/01/2022</t>
  </si>
  <si>
    <t>01/01/2022</t>
  </si>
  <si>
    <t>15041RESIN405632019</t>
  </si>
  <si>
    <t>19DS001C</t>
  </si>
  <si>
    <t>06081710941019</t>
  </si>
  <si>
    <t>WILLIAM GERARDO VELASQUEZ LOPEZ</t>
  </si>
  <si>
    <t>06142802961422</t>
  </si>
  <si>
    <t>WENDY ONEYDA HERRERA</t>
  </si>
  <si>
    <t>19DS000C</t>
  </si>
  <si>
    <t>15041RESIN651712019</t>
  </si>
  <si>
    <t>02101203791044</t>
  </si>
  <si>
    <t>JESUS OSWALDO GUTIERREZ HENRIQUEZ</t>
  </si>
  <si>
    <t>06141209841074</t>
  </si>
  <si>
    <t>SIRIA MARGARITA ANDRADE BONILLA LAB. CLINICO PERFILAB</t>
  </si>
  <si>
    <t>06141102141037</t>
  </si>
  <si>
    <t xml:space="preserve">INVERSIONES DIVERSAS RG S.A. DE C.V. </t>
  </si>
  <si>
    <t>06142805801523</t>
  </si>
  <si>
    <t>JOSELYN LISBETH ORTEZ SANDOVAL</t>
  </si>
  <si>
    <t>05112711901230</t>
  </si>
  <si>
    <t>EDWIN MAURICIO RAMIREZ MELGAR</t>
  </si>
  <si>
    <t>06190802761037</t>
  </si>
  <si>
    <t>BORIS EDWIN CARRILLO GUTIERREZ</t>
  </si>
  <si>
    <t>10050609781012</t>
  </si>
  <si>
    <t>JUAN CARLOS RODRIGEZ  MEJIA CENTRO INTEGRAL PARA MANEJO DEL DOLOR</t>
  </si>
  <si>
    <t>04162801801014</t>
  </si>
  <si>
    <t>MARIA ELIZABETH MONTOYA DE COREA</t>
  </si>
  <si>
    <t>09062801660019</t>
  </si>
  <si>
    <t>DR. JOSE FINLANDER ROSALES OSEGUEDA ONCOLOGIA Y CANCER RESEARCH</t>
  </si>
  <si>
    <t>11231707731013</t>
  </si>
  <si>
    <t>LENY MAYENCI SANTOS DE PEREZ</t>
  </si>
  <si>
    <t>06082305821029</t>
  </si>
  <si>
    <t>ESMERALDA ELIZABETH CHAVEZ DE ALBANEZ</t>
  </si>
  <si>
    <t>06142210201034</t>
  </si>
  <si>
    <t>VITAE EL SALVADOR</t>
  </si>
  <si>
    <t>05062802490010</t>
  </si>
  <si>
    <t>GUILLERMO ARRIOLA DISTRIBUIDORA ARRIOLA</t>
  </si>
  <si>
    <t>06143006101027</t>
  </si>
  <si>
    <t>ROWALT PHARMACEUTICAL, S.A DE C.V.</t>
  </si>
  <si>
    <t>06142003701019</t>
  </si>
  <si>
    <t>JOSE ANTONIO ENRIQUE CORDOVA POSADA</t>
  </si>
  <si>
    <t>06143005171080</t>
  </si>
  <si>
    <t>NEFROLOGIA CLINICA Y OTROS SERVICIOS, S.A DE C.V.</t>
  </si>
  <si>
    <t>30/01/2022</t>
  </si>
  <si>
    <t>08/01/2022</t>
  </si>
  <si>
    <t>3</t>
  </si>
  <si>
    <t>06141504931050</t>
  </si>
  <si>
    <t>PROMEPASA, S.A DE C.V.</t>
  </si>
  <si>
    <t>06141204520011</t>
  </si>
  <si>
    <t>JOSE ELISEO ORELLANA ORELLANA</t>
  </si>
  <si>
    <t>07091204851019</t>
  </si>
  <si>
    <t>DR LUIS BALTAZAR GUZMAN RODRÍGEZ</t>
  </si>
  <si>
    <t>06142312641136</t>
  </si>
  <si>
    <t>MATILDE ESTELA VALLE</t>
  </si>
  <si>
    <t>12171206131017</t>
  </si>
  <si>
    <t>DROGUERIA SCHUBERT</t>
  </si>
  <si>
    <t>06141211211100</t>
  </si>
  <si>
    <t>INVERSIONES LUK</t>
  </si>
  <si>
    <t>04162801801018</t>
  </si>
  <si>
    <t>01012609821088</t>
  </si>
  <si>
    <t>HENDY MAURICIO MAGAÑA LOPEZ</t>
  </si>
  <si>
    <t>06141907171054</t>
  </si>
  <si>
    <t>CESMI S.A. DE C.V.</t>
  </si>
  <si>
    <t>08151004931014</t>
  </si>
  <si>
    <t>LUIS ROBERTO VELASQUEZ RAMOS</t>
  </si>
  <si>
    <t>06140806951020</t>
  </si>
  <si>
    <t>SERVICIOS INTEGRALES MEDICOS CENTRO MEDICO LOURDES</t>
  </si>
  <si>
    <t>05031610151010</t>
  </si>
  <si>
    <t>GRUPO DUARTE LOPEZ S.A DE C.V.</t>
  </si>
  <si>
    <t>04071405751037</t>
  </si>
  <si>
    <t>JOSE ERICK RAUDA QUIJADA</t>
  </si>
  <si>
    <t>07022701211013</t>
  </si>
  <si>
    <t>CENTRO DE CIRUGIA AMBULATORIA SAN JOSE S.A DE C.V.</t>
  </si>
  <si>
    <t>08192610821010</t>
  </si>
  <si>
    <t xml:space="preserve">MORENA DE LOS ANGELES LUCERO VALLE </t>
  </si>
  <si>
    <t>08050308761017</t>
  </si>
  <si>
    <t>MARTA ELVIRA RUBIO PADILLA</t>
  </si>
  <si>
    <t>06143005051093</t>
  </si>
  <si>
    <t>CENTRO DE ENFERMEDADES RENALES DE EL SALVADOR S.A DE C.V. CENERSAL</t>
  </si>
  <si>
    <t>06072704721016</t>
  </si>
  <si>
    <t>SONIA ELIZABETH ALFARO LOPEZ CLINICA HEMEONCOLOGICA</t>
  </si>
  <si>
    <t>06141308670025</t>
  </si>
  <si>
    <t xml:space="preserve">LIZETH BEATRIZ CHAVEZ DE ALFARO </t>
  </si>
  <si>
    <t>6143010031041</t>
  </si>
  <si>
    <t>08152705851011</t>
  </si>
  <si>
    <t>DR JOSE ENMANUEL PINEDA MARTINEZ</t>
  </si>
  <si>
    <t>06141007760062</t>
  </si>
  <si>
    <t>SALVADOR JOSE MAURICIO HERNANDEZ PEREZ SOHO LAS CASCADAS</t>
  </si>
  <si>
    <t>06142506791376</t>
  </si>
  <si>
    <t xml:space="preserve">MARIO JONATAN UGARTE RECINOS </t>
  </si>
  <si>
    <t>06140311201024</t>
  </si>
  <si>
    <t xml:space="preserve">BIOSER EL SALVADOR </t>
  </si>
  <si>
    <t>06141312041035</t>
  </si>
  <si>
    <t>INSABARIC S.A. DE C.V.</t>
  </si>
  <si>
    <t>06140410181043</t>
  </si>
  <si>
    <t xml:space="preserve">CENTRO INTEGRAL DE ENFERMEDADES RENALES </t>
  </si>
  <si>
    <t>10100711861028</t>
  </si>
  <si>
    <t xml:space="preserve">ERIKHA MARICELA QUINTANILLA ESTRADA CLINICA SAN MIGUEL ARCANGEL </t>
  </si>
  <si>
    <t>06143910031041</t>
  </si>
  <si>
    <t>HOSPITAL DE LA PIEL S.A DE C.V.</t>
  </si>
  <si>
    <t>11220301630016</t>
  </si>
  <si>
    <t>DINA DEL CARMEN SARAVIA DE ARGUETA DISTRIBUIDORA MAHANAIM</t>
  </si>
  <si>
    <t>06191001781032</t>
  </si>
  <si>
    <t>ANA GERALDINA GOMEZ FUENTES</t>
  </si>
  <si>
    <t>06141710871412</t>
  </si>
  <si>
    <t>JOSE EFRAÍN CONRADO GARMENDEZ FARMACIA BOSQUES DE LA PAZ</t>
  </si>
  <si>
    <t>06142305871029</t>
  </si>
  <si>
    <t xml:space="preserve">CLAUDIA LIZETH NAVARRETE RIVERA </t>
  </si>
  <si>
    <t>06171109670013</t>
  </si>
  <si>
    <t>ANA PATRICIA POLIO VIDA DE ÁNGEL</t>
  </si>
  <si>
    <t>06140111171074</t>
  </si>
  <si>
    <t>INJERTO CAPILAR S.A. DE C.V. DHI DIRECT HAIR IMPLANTATION</t>
  </si>
  <si>
    <t>06142407741154</t>
  </si>
  <si>
    <t>IRMA JEANNETTE CORTEZ DE MOLINA</t>
  </si>
  <si>
    <t>06161711691036</t>
  </si>
  <si>
    <t>GLADYS ELIZABETH HERNANDEZ DE SANCHEZ GLADYS HERNANDEZ</t>
  </si>
  <si>
    <t>03150912550024</t>
  </si>
  <si>
    <t xml:space="preserve">MARTHA RUT JAIME DE DUARTE </t>
  </si>
  <si>
    <t>06142107801015</t>
  </si>
  <si>
    <t xml:space="preserve">ROBERTO AXITL CABRERA SEGURA </t>
  </si>
  <si>
    <t>07070404671018</t>
  </si>
  <si>
    <t>JOSE JULIO PÉREZ MOZ</t>
  </si>
  <si>
    <t>06142004211031</t>
  </si>
  <si>
    <t>STANMA S.A. DE C.V.</t>
  </si>
  <si>
    <t>06131110731026</t>
  </si>
  <si>
    <t>SELVIN VALDEMAR LOPEZ</t>
  </si>
  <si>
    <t>06142110721278</t>
  </si>
  <si>
    <t>JENNY LISSETE CASTRO DE HERNÁNDEZ</t>
  </si>
  <si>
    <t>06142802141018</t>
  </si>
  <si>
    <t>MEDICAL SERVICES S.A DE C.V.</t>
  </si>
  <si>
    <t>06102702640013</t>
  </si>
  <si>
    <t>JOSE FRANCISCO MANZUR HENRIQUEZ</t>
  </si>
  <si>
    <t>06150201711014</t>
  </si>
  <si>
    <t>JUAN ERNESTO REYES LOPEZ</t>
  </si>
  <si>
    <t>13142106881012</t>
  </si>
  <si>
    <t>DR RAFAEL RIVAS RAMOS</t>
  </si>
  <si>
    <t>07020102731049</t>
  </si>
  <si>
    <t>DRA KATIA MARIA PARADA CUNZA</t>
  </si>
  <si>
    <t>04502607791027</t>
  </si>
  <si>
    <t>AMERICARES FOUNDATION INC</t>
  </si>
  <si>
    <t>06142111141070</t>
  </si>
  <si>
    <t>02101111550067</t>
  </si>
  <si>
    <t>SALVADOR MAURICIO RAMIREZ PEÑA</t>
  </si>
  <si>
    <t>06081309981059</t>
  </si>
  <si>
    <t>MARLON FERNANDO RIVAS LARIOS</t>
  </si>
  <si>
    <t>06141202191082</t>
  </si>
  <si>
    <t>MEDICOS MIRANDA MARTINEZ MEZA S.A. DE C.V. MEDIMART</t>
  </si>
  <si>
    <t>06140903570090</t>
  </si>
  <si>
    <t>ANDRES ORLANDO VILLANUEVA GARCÍA</t>
  </si>
  <si>
    <t>06140112871290</t>
  </si>
  <si>
    <t>CLAUDIA MORENA ARTIGA DE VIVAS</t>
  </si>
  <si>
    <t>06141103971688</t>
  </si>
  <si>
    <t>JOHANNA BEATRIZ GOMEZ DE GUEVARA</t>
  </si>
  <si>
    <t>01010310750017</t>
  </si>
  <si>
    <t>CENTRO CLINICO HOSPITALARIO S.A DE C.V. HOSPITAL CECLISA</t>
  </si>
  <si>
    <t>06141710740026</t>
  </si>
  <si>
    <t>JOSE ENRIQUE HERNANDEZ PEREZ</t>
  </si>
  <si>
    <t>02070401871018</t>
  </si>
  <si>
    <t>CARLOS ADELSO LANDAVERDE CARPIO</t>
  </si>
  <si>
    <t>11051310701012</t>
  </si>
  <si>
    <t>RAFAEL EDGARDO LOPEZ BERMUDEZ</t>
  </si>
  <si>
    <t>06121906641016</t>
  </si>
  <si>
    <t>JUAN CARLOS LOVO BARAHORA</t>
  </si>
  <si>
    <t>06140611891332</t>
  </si>
  <si>
    <t>KAREN DESIREE MENJIVAR EGUIZABAL VTA DE MEDICINA CIUDAD CREDISSA</t>
  </si>
  <si>
    <t>06141303530020</t>
  </si>
  <si>
    <t>JOSE ANTONIO RAMOS MENJIVAR</t>
  </si>
  <si>
    <t>03061409881017</t>
  </si>
  <si>
    <t>NATALIA NOHEMY ORANTES</t>
  </si>
  <si>
    <t>06141301620016</t>
  </si>
  <si>
    <t>DE VERONICA ROXANA GONZALEZ DE HERNANDEZ DUQUE</t>
  </si>
  <si>
    <t>06141406831137</t>
  </si>
  <si>
    <t>DRA IRIS REBECA CAMPOS CASTRO</t>
  </si>
  <si>
    <t>94502607791027</t>
  </si>
  <si>
    <t>06142507661042</t>
  </si>
  <si>
    <t>TONY EDWIN ALFARO</t>
  </si>
  <si>
    <t>06140402470025</t>
  </si>
  <si>
    <t xml:space="preserve">ROBERTO ANTONIO ALAS MEJIA </t>
  </si>
  <si>
    <t>05</t>
  </si>
  <si>
    <t>15041RESIN427142018</t>
  </si>
  <si>
    <t>18SD000T</t>
  </si>
  <si>
    <t>23060856</t>
  </si>
  <si>
    <t>LIC ADELA DEL CARMEN RIVAS CLINICA RIVAS</t>
  </si>
  <si>
    <t>07/10/2021</t>
  </si>
  <si>
    <t>23/10/2021</t>
  </si>
  <si>
    <t>23/11/2021</t>
  </si>
  <si>
    <t>21DS000C</t>
  </si>
  <si>
    <t>25/11/2021</t>
  </si>
  <si>
    <t>30/11/2021</t>
  </si>
  <si>
    <t>03/12/2021</t>
  </si>
  <si>
    <t>21DS000U</t>
  </si>
  <si>
    <t>07/12/2021</t>
  </si>
  <si>
    <t>15/12/2021</t>
  </si>
  <si>
    <t>18/12/2021</t>
  </si>
  <si>
    <t>21/12/2021</t>
  </si>
  <si>
    <t>06142201151032</t>
  </si>
  <si>
    <t xml:space="preserve">DROGERIA ALTERNATIVA FARMACEUTICO </t>
  </si>
  <si>
    <t>23/12/2021</t>
  </si>
  <si>
    <t>24/12/2021</t>
  </si>
  <si>
    <t>27/12/2021</t>
  </si>
  <si>
    <t>29/12/2021</t>
  </si>
  <si>
    <t>30/12/2021</t>
  </si>
  <si>
    <t>02/01/2022</t>
  </si>
  <si>
    <t>20SD000C</t>
  </si>
  <si>
    <t>19DS000U</t>
  </si>
  <si>
    <t>17DS000U</t>
  </si>
  <si>
    <t>06140707071018</t>
  </si>
  <si>
    <t>DROGUERIA PIERRI, S.A DE C.V.</t>
  </si>
  <si>
    <t>06141407151059</t>
  </si>
  <si>
    <t>FARMEX INTERNACIONAL S.A DE C.V.</t>
  </si>
  <si>
    <t>08110405590010</t>
  </si>
  <si>
    <t>ZOILA RUBIDIA CASTILLO DE HERNÁNDEZ</t>
  </si>
  <si>
    <t>15/01/2022</t>
  </si>
  <si>
    <t>06191006781014</t>
  </si>
  <si>
    <t>SONIA GUADALUPE A DE. ELIAS</t>
  </si>
  <si>
    <t>20SD003C</t>
  </si>
  <si>
    <t>06143010011024</t>
  </si>
  <si>
    <t>CASTILLO LANE MEDICAL S.A DE C.V.</t>
  </si>
  <si>
    <t>50470-0</t>
  </si>
  <si>
    <t>06141505911020</t>
  </si>
  <si>
    <t>21DS000E</t>
  </si>
  <si>
    <t>622</t>
  </si>
  <si>
    <t>10024-2</t>
  </si>
  <si>
    <t>19DS000E</t>
  </si>
  <si>
    <t>4361</t>
  </si>
  <si>
    <t>550-9</t>
  </si>
  <si>
    <t>275</t>
  </si>
  <si>
    <t>276</t>
  </si>
  <si>
    <t>06140206091035</t>
  </si>
  <si>
    <t>DISTRIBUIDORA VAZ, S.A. DE C.V.</t>
  </si>
  <si>
    <t>07/01/2021</t>
  </si>
  <si>
    <t>29/01/2022</t>
  </si>
  <si>
    <t>FEBRERO</t>
  </si>
  <si>
    <t>MARZO</t>
  </si>
  <si>
    <t>01/03/2022</t>
  </si>
  <si>
    <t>28/02/2022</t>
  </si>
  <si>
    <t>06031011741015</t>
  </si>
  <si>
    <t>YVES PORTILLO CANALES</t>
  </si>
  <si>
    <t>05111408620029</t>
  </si>
  <si>
    <t>CELIA IRMA RUBIO DE MANZANO</t>
  </si>
  <si>
    <t>25/02/2022</t>
  </si>
  <si>
    <t>06140703710037</t>
  </si>
  <si>
    <t>DELIA ELENA OSORIO CALDERON</t>
  </si>
  <si>
    <t>24/02/2022</t>
  </si>
  <si>
    <t>05022102730012</t>
  </si>
  <si>
    <t>CARLOS GILBERTO RIVAS</t>
  </si>
  <si>
    <t>23/02/2022</t>
  </si>
  <si>
    <t>06141512570104</t>
  </si>
  <si>
    <t>RICARDO JOSE PAZ CASTELLANOS</t>
  </si>
  <si>
    <t>06141911621023</t>
  </si>
  <si>
    <t>ANA RUTH RAMOS BARRERA</t>
  </si>
  <si>
    <t>22/02/2022</t>
  </si>
  <si>
    <t>06141909811206</t>
  </si>
  <si>
    <t>CARLOS EDUARDO CAMPOS</t>
  </si>
  <si>
    <t>21/02/2022</t>
  </si>
  <si>
    <t>06142109670012</t>
  </si>
  <si>
    <t>DELMI MARGARITA DE IGLESIAS</t>
  </si>
  <si>
    <t>01030705681023</t>
  </si>
  <si>
    <t>ANA MIRIAM DUEÑAS</t>
  </si>
  <si>
    <t>08051903811016</t>
  </si>
  <si>
    <t>JUAN CARLOS ARTIGA MONTALVO</t>
  </si>
  <si>
    <t>02101504711062</t>
  </si>
  <si>
    <t>MRINA ELIZABETH ESTRADA MERINO</t>
  </si>
  <si>
    <t>01080109201011</t>
  </si>
  <si>
    <t>R ROSALES INVERSIONES S.A. DE C.V.</t>
  </si>
  <si>
    <t>18/02/2022</t>
  </si>
  <si>
    <t>06140611710033</t>
  </si>
  <si>
    <t>RICARDO OLMEDO SANCHEZ</t>
  </si>
  <si>
    <t>17/02/2022</t>
  </si>
  <si>
    <t>06141404630043</t>
  </si>
  <si>
    <t>RICARDO ALEJANDRO PATIÑO</t>
  </si>
  <si>
    <t>06142508661070</t>
  </si>
  <si>
    <t>EDGARD MAURICIO DE JESUS DABOUB VALDEZ</t>
  </si>
  <si>
    <t>07110904931018</t>
  </si>
  <si>
    <t>VICTOR JESUS CORNEJO ESCOBAR</t>
  </si>
  <si>
    <t>16/02/2022</t>
  </si>
  <si>
    <t>06141904771435</t>
  </si>
  <si>
    <t>HERBERT EMILIO SALAZAR HERNANDEZ</t>
  </si>
  <si>
    <t>06142010721092</t>
  </si>
  <si>
    <t>ANA LIDIA BENITEZ DE CRUZ</t>
  </si>
  <si>
    <t>15/02/2022</t>
  </si>
  <si>
    <t>12170810861086</t>
  </si>
  <si>
    <t>ALEJANDRO ANTONIO CHAVEZ PARADA</t>
  </si>
  <si>
    <t>03061503681030</t>
  </si>
  <si>
    <t>SONIA ELIZABETH CASTELLANO AREVALO</t>
  </si>
  <si>
    <t>14/02/2022</t>
  </si>
  <si>
    <t>06140504690014</t>
  </si>
  <si>
    <t>LUCAS OSWALDO MIRALDA MARTINEZ</t>
  </si>
  <si>
    <t>12/02/2022</t>
  </si>
  <si>
    <t>11/02/2022</t>
  </si>
  <si>
    <t>95012103751012</t>
  </si>
  <si>
    <t>CLAUDIA EUNICE PORTILLO RODRIGUEZ</t>
  </si>
  <si>
    <t>10/02/2022</t>
  </si>
  <si>
    <t>94832309630018</t>
  </si>
  <si>
    <t>SANDRA PATRICIA CASTANEDA DE MORALES</t>
  </si>
  <si>
    <t>09/02/2022</t>
  </si>
  <si>
    <t>06140911181027</t>
  </si>
  <si>
    <t>HPQ S.A. DE C.V.</t>
  </si>
  <si>
    <t>06141410871062</t>
  </si>
  <si>
    <t>ANDREA CRISTINA CASTRO CARRANZA</t>
  </si>
  <si>
    <t>08/02/2022</t>
  </si>
  <si>
    <t>06142012570023</t>
  </si>
  <si>
    <t>RICARDO ANTONIO GOMEZ GONZALEZ</t>
  </si>
  <si>
    <t>05111703660018</t>
  </si>
  <si>
    <t>JOSE ERIBERTO GUERRERO CHACOR</t>
  </si>
  <si>
    <t>06140304901037</t>
  </si>
  <si>
    <t>ENRIMAR S.A. DE C.V.</t>
  </si>
  <si>
    <t>06141309831246</t>
  </si>
  <si>
    <t>HUGO OMAR MARROQUIN MARTINEZ</t>
  </si>
  <si>
    <t>07/02/2022</t>
  </si>
  <si>
    <t>05/02/2022</t>
  </si>
  <si>
    <t>04/02/2022</t>
  </si>
  <si>
    <t>11160510821016</t>
  </si>
  <si>
    <t>JAIME ARTURO CARDENAS</t>
  </si>
  <si>
    <t>05110711761053</t>
  </si>
  <si>
    <t>MARIA CORINA VALLE DE ORELLANA</t>
  </si>
  <si>
    <t>03/02/2022</t>
  </si>
  <si>
    <t>07150203671021</t>
  </si>
  <si>
    <t>PATRICIA JUDITH HERRERA DE VILLAFRANCO</t>
  </si>
  <si>
    <t>13191006791017</t>
  </si>
  <si>
    <t>EFRAIN TORRES FLORES</t>
  </si>
  <si>
    <t>06142805771012</t>
  </si>
  <si>
    <t>RAFAEL ANTONIO OLIVARES ACOSTA</t>
  </si>
  <si>
    <t>06142708861341</t>
  </si>
  <si>
    <t>02/02/2022</t>
  </si>
  <si>
    <t>02103010650017</t>
  </si>
  <si>
    <t>ROSA CAROLINA POLANCO DE MEIER</t>
  </si>
  <si>
    <t>06140212620048</t>
  </si>
  <si>
    <t>CARLOS ROBERTO PORTILLO MONTALVO</t>
  </si>
  <si>
    <t>26/02/2022</t>
  </si>
  <si>
    <t>01/02/2022</t>
  </si>
  <si>
    <t>05/11/2021</t>
  </si>
  <si>
    <t>05/12/2021</t>
  </si>
  <si>
    <t>09/12/2021</t>
  </si>
  <si>
    <t>16/12/2021</t>
  </si>
  <si>
    <t>20/12/2021</t>
  </si>
  <si>
    <t>25/12/2021</t>
  </si>
  <si>
    <t>09/01/2022</t>
  </si>
  <si>
    <t>06141604071016</t>
  </si>
  <si>
    <t>CARS LAND, S.A. DE C.V.</t>
  </si>
  <si>
    <t>23/01/2022</t>
  </si>
  <si>
    <t>02072404811019</t>
  </si>
  <si>
    <t>JOSE ADAN SALAZAR MARTINEZ</t>
  </si>
  <si>
    <t>06141907161115</t>
  </si>
  <si>
    <t>GRANADOS CRUZ, S.A. DE C.V.</t>
  </si>
  <si>
    <t>06141902091038</t>
  </si>
  <si>
    <t>PRODUCTOS DE DIAGNOSTICO Y LABORATORIO, S.A. DE C.V.</t>
  </si>
  <si>
    <t>07021610061012</t>
  </si>
  <si>
    <t>INVERSIONES RIVERA, S.A. DE C.V.</t>
  </si>
  <si>
    <t>06141911560155</t>
  </si>
  <si>
    <t>SANDRA PATRICIA RAMOS DE RAMOS</t>
  </si>
  <si>
    <t>21DSD000U</t>
  </si>
  <si>
    <t>06140410021046</t>
  </si>
  <si>
    <t>GRUPO 3 INVERSIONES S.A. DE C.V.</t>
  </si>
  <si>
    <t>19/02/2022</t>
  </si>
  <si>
    <t>06141710891014</t>
  </si>
  <si>
    <t>EUROSALVADOREÑA, S.A. DE C.V.</t>
  </si>
  <si>
    <t>05151101771039</t>
  </si>
  <si>
    <t>GRICELDA ELIZABETH RIVERA DE GALDAMEZ</t>
  </si>
  <si>
    <t>06081908831022</t>
  </si>
  <si>
    <t>IRMA TERESA FLORES DE GARCIA</t>
  </si>
  <si>
    <t>06142807901142</t>
  </si>
  <si>
    <t>MARIO ERNESTO GARCIA COTO</t>
  </si>
  <si>
    <t>16/03/2022</t>
  </si>
  <si>
    <t>28/03/2022</t>
  </si>
  <si>
    <t>22/03/2022</t>
  </si>
  <si>
    <t>15/03/2022</t>
  </si>
  <si>
    <t>10/03/2022</t>
  </si>
  <si>
    <t>08/03/2022</t>
  </si>
  <si>
    <t>07/03/2022</t>
  </si>
  <si>
    <t>04/03/2022</t>
  </si>
  <si>
    <t>01</t>
  </si>
  <si>
    <t>31/03/2022</t>
  </si>
  <si>
    <t>29/03/2022</t>
  </si>
  <si>
    <t>25/03/2022</t>
  </si>
  <si>
    <t>24/03/2022</t>
  </si>
  <si>
    <t>23/03/2022</t>
  </si>
  <si>
    <t>21/03/2022</t>
  </si>
  <si>
    <t>18/03/2022</t>
  </si>
  <si>
    <t>17/03/2022</t>
  </si>
  <si>
    <t>14/03/2022</t>
  </si>
  <si>
    <t>11/03/2022</t>
  </si>
  <si>
    <t>09/03/2022</t>
  </si>
  <si>
    <t>03/03/2021</t>
  </si>
  <si>
    <t>02/03/2022</t>
  </si>
  <si>
    <t>06140203751352</t>
  </si>
  <si>
    <t>02101710550034</t>
  </si>
  <si>
    <t>OSCAR ALFREDO GOMEZ</t>
  </si>
  <si>
    <t>30/03/2022</t>
  </si>
  <si>
    <t>12071307821010</t>
  </si>
  <si>
    <t>DENIS ASAEL COCAR SANTOS</t>
  </si>
  <si>
    <t>09061712791014</t>
  </si>
  <si>
    <t>06140404670108</t>
  </si>
  <si>
    <t>CARLOS ARTURO ROMERO GUERRA</t>
  </si>
  <si>
    <t>10071303811012</t>
  </si>
  <si>
    <t>CRISTIAN BALMORE ROMERO CAASTRO</t>
  </si>
  <si>
    <t>08222804731018</t>
  </si>
  <si>
    <t>LUIS ORLANDO MOLINA GALAN</t>
  </si>
  <si>
    <t>06142208131037</t>
  </si>
  <si>
    <t>F &amp; Y GROUP, S.A. DE C.V.</t>
  </si>
  <si>
    <t>94111705821016</t>
  </si>
  <si>
    <t>NERBERT ARNOLDO GARAY CORNEJO</t>
  </si>
  <si>
    <t>02101601741065</t>
  </si>
  <si>
    <t>LUIS ALONSO HERNANDEZ MAGAÑA</t>
  </si>
  <si>
    <t>06140812731198</t>
  </si>
  <si>
    <t>NAPOLEON AVENDAÑO CHACON</t>
  </si>
  <si>
    <t>06140801831344</t>
  </si>
  <si>
    <t>SAMUEL ALEXANDER FLORES ALEMAN</t>
  </si>
  <si>
    <t>06140508710019</t>
  </si>
  <si>
    <t>JOSE ROBERTO MEJIA MARTINEZ</t>
  </si>
  <si>
    <t>06142508711132</t>
  </si>
  <si>
    <t>JOSE LUIS VALLADARES HERNANDEZ</t>
  </si>
  <si>
    <t>03161907881010</t>
  </si>
  <si>
    <t>YENARA PATRICIA GUEVARA GOMEZ</t>
  </si>
  <si>
    <t>02103007761016</t>
  </si>
  <si>
    <t>NELSON ARMANDO ALONZO MEDRANO</t>
  </si>
  <si>
    <t>10061507671010</t>
  </si>
  <si>
    <t>ANA VILMA AMAYA DE GARCIA</t>
  </si>
  <si>
    <t>06140305181038</t>
  </si>
  <si>
    <t>GRUPO M &amp; R</t>
  </si>
  <si>
    <t>03/03/2022</t>
  </si>
  <si>
    <t>26/03/2022</t>
  </si>
  <si>
    <t>19/03/2022</t>
  </si>
  <si>
    <t>12/03/2022</t>
  </si>
  <si>
    <t>06111406510016</t>
  </si>
  <si>
    <t>ROBERTO RAMIREZ SANTOS</t>
  </si>
  <si>
    <t>06141409091045</t>
  </si>
  <si>
    <t>DISTRIBUIDORA DE PRODUCTOS FARMACEUTICOS, S.A. DE C.V.</t>
  </si>
  <si>
    <t>06142110041129</t>
  </si>
  <si>
    <t>CASA VERDE DEL VALLE, S.A. DE C.V.</t>
  </si>
  <si>
    <t>27/02/2022</t>
  </si>
  <si>
    <t>06140309081062</t>
  </si>
  <si>
    <t>S &amp; H DESIGN, S.A. DE C.V.</t>
  </si>
  <si>
    <t>21SD000U</t>
  </si>
  <si>
    <t>06/03/2022</t>
  </si>
  <si>
    <t>06142907211097</t>
  </si>
  <si>
    <t>LOYALTY GROUP, S.A. DE C.V.</t>
  </si>
  <si>
    <t>14050105781016</t>
  </si>
  <si>
    <t>BLANCA LUZ NUÑEZ MELENDEZ</t>
  </si>
  <si>
    <t>13/03/2022</t>
  </si>
  <si>
    <t>06142308830027</t>
  </si>
  <si>
    <t>06141803111043</t>
  </si>
  <si>
    <t>AGRIVEST, S.A. DE C.V.</t>
  </si>
  <si>
    <t>94052301671014</t>
  </si>
  <si>
    <t>DAE KI KIM</t>
  </si>
  <si>
    <t>REDIFAR, S.A. DE C.V.</t>
  </si>
  <si>
    <t>NEGOCIOS MULTIPLES, S.A. DE C.V.</t>
  </si>
  <si>
    <t>385</t>
  </si>
  <si>
    <t>390</t>
  </si>
  <si>
    <t>485</t>
  </si>
  <si>
    <t>20SD000E</t>
  </si>
  <si>
    <t>9406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</si>
  <si>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</si>
  <si>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</si>
  <si>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</si>
  <si>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</si>
  <si>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</si>
  <si>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</si>
  <si>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</si>
  <si>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</si>
  <si>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</si>
  <si>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29/04/2022</t>
  </si>
  <si>
    <t>28/04/2022</t>
  </si>
  <si>
    <t>27/04/2022</t>
  </si>
  <si>
    <t>25/04/2022</t>
  </si>
  <si>
    <t>23/04/2022</t>
  </si>
  <si>
    <t>22/04/2022</t>
  </si>
  <si>
    <t>21/04/2022</t>
  </si>
  <si>
    <t>20/04/2022</t>
  </si>
  <si>
    <t>19/04/2022</t>
  </si>
  <si>
    <t>18/04/2022</t>
  </si>
  <si>
    <t>13/04/2022</t>
  </si>
  <si>
    <t>12/04/2022</t>
  </si>
  <si>
    <t>11/04/2022</t>
  </si>
  <si>
    <t>08/04/2022</t>
  </si>
  <si>
    <t>07/04/2022</t>
  </si>
  <si>
    <t>06/04/2022</t>
  </si>
  <si>
    <t>05/04/2022</t>
  </si>
  <si>
    <t>04/04/2022</t>
  </si>
  <si>
    <t>01/04/2022</t>
  </si>
  <si>
    <t>14/04/2022</t>
  </si>
  <si>
    <t>048066422</t>
  </si>
  <si>
    <t>05111504191014</t>
  </si>
  <si>
    <t>PROVETSA, S.A. DE C.V.</t>
  </si>
  <si>
    <t>004181939</t>
  </si>
  <si>
    <t>CESAR IVAN URQUIZA RAMIREZ</t>
  </si>
  <si>
    <t>26/04/2022</t>
  </si>
  <si>
    <t>06141703061081</t>
  </si>
  <si>
    <t>INTERNATIONAL CONSULTING INSTITUTE S.A. DE C.V.</t>
  </si>
  <si>
    <t>06141710630099</t>
  </si>
  <si>
    <t>ROSA MARGARITA DURAN DE COLORADO</t>
  </si>
  <si>
    <t>019839301</t>
  </si>
  <si>
    <t>026445820</t>
  </si>
  <si>
    <t>08061805691016</t>
  </si>
  <si>
    <t>ALVARO GUILLERMO SANCHEZ CHAVEZ</t>
  </si>
  <si>
    <t>023447530</t>
  </si>
  <si>
    <t>038816728</t>
  </si>
  <si>
    <t>10102606211010</t>
  </si>
  <si>
    <t>ONCOSAVI</t>
  </si>
  <si>
    <t>10/04/2022</t>
  </si>
  <si>
    <t>05120502771012</t>
  </si>
  <si>
    <t>CARLOS ROBERTO QUINO CERNA</t>
  </si>
  <si>
    <t>000794196</t>
  </si>
  <si>
    <t>019866552</t>
  </si>
  <si>
    <t>ANA LILIAN VELASQUEZ DE ARGUETA</t>
  </si>
  <si>
    <t>06141509480057</t>
  </si>
  <si>
    <t>RICARDO OSCAR ALFARO</t>
  </si>
  <si>
    <t>06140107211045</t>
  </si>
  <si>
    <t>HM CLINIC S.A. DE C.V.</t>
  </si>
  <si>
    <t>27/03/2022</t>
  </si>
  <si>
    <t>02/04/2022</t>
  </si>
  <si>
    <t>0614231261011</t>
  </si>
  <si>
    <t>RODRIGO ARGUETA ECHEGOYEN</t>
  </si>
  <si>
    <t>06143004081029</t>
  </si>
  <si>
    <t>INSUMED, S.A. DE C.V.</t>
  </si>
  <si>
    <t>09/04/2022</t>
  </si>
  <si>
    <t>06142310871037</t>
  </si>
  <si>
    <t>HAROLD FRANCISCO GONZALEZ MEJIA</t>
  </si>
  <si>
    <t>007339078</t>
  </si>
  <si>
    <t>30/04/2022</t>
  </si>
  <si>
    <t>12172503161010</t>
  </si>
  <si>
    <t>06141111881019</t>
  </si>
  <si>
    <t>DILLANPAZ, S.A. DE C.V.</t>
  </si>
  <si>
    <t>16419</t>
  </si>
  <si>
    <t>15163</t>
  </si>
  <si>
    <t>15318</t>
  </si>
  <si>
    <t>31/05/2022</t>
  </si>
  <si>
    <t>30/05/2022</t>
  </si>
  <si>
    <t>27/05/2022</t>
  </si>
  <si>
    <t>26/05/2022</t>
  </si>
  <si>
    <t>25/05/2022</t>
  </si>
  <si>
    <t>24/05/2022</t>
  </si>
  <si>
    <t>23/05/2022</t>
  </si>
  <si>
    <t>20/05/2022</t>
  </si>
  <si>
    <t>19/05/2022</t>
  </si>
  <si>
    <t>18/05/2022</t>
  </si>
  <si>
    <t>17/05/2022</t>
  </si>
  <si>
    <t>16/05/2022</t>
  </si>
  <si>
    <t>15/05/2022</t>
  </si>
  <si>
    <t>13/05/2022</t>
  </si>
  <si>
    <t>12/05/2022</t>
  </si>
  <si>
    <t>11/05/2022</t>
  </si>
  <si>
    <t>06/05/2022</t>
  </si>
  <si>
    <t>05/05/2022</t>
  </si>
  <si>
    <t>04/05/2022</t>
  </si>
  <si>
    <t>03/05/2022</t>
  </si>
  <si>
    <t>02/05/2022</t>
  </si>
  <si>
    <t>06181004500016</t>
  </si>
  <si>
    <t>GUILLERMO PALENCIA</t>
  </si>
  <si>
    <t>032501171</t>
  </si>
  <si>
    <t>ANA MARCELA ALVARADO RIVERA</t>
  </si>
  <si>
    <t>03142309580055</t>
  </si>
  <si>
    <t>RAUL ERNESTO GUTIERREZ PALOMO</t>
  </si>
  <si>
    <t>024227145</t>
  </si>
  <si>
    <t>06143110570041</t>
  </si>
  <si>
    <t>ALEX FUENTES VALENCIA</t>
  </si>
  <si>
    <t>02100508851075</t>
  </si>
  <si>
    <t>WALTER ALEXIS URRUTIA</t>
  </si>
  <si>
    <t>06140710831376</t>
  </si>
  <si>
    <t>CARLOS BENJAMIN SERRANO MORALES</t>
  </si>
  <si>
    <t>06141703201061</t>
  </si>
  <si>
    <t>M&amp;H RADIOLOGIA, S.A. DE C.V.</t>
  </si>
  <si>
    <t>006360149</t>
  </si>
  <si>
    <t>022015445</t>
  </si>
  <si>
    <t>021499599</t>
  </si>
  <si>
    <t>06081610861026</t>
  </si>
  <si>
    <t>JONNATHAN JACOO MARROQUIN</t>
  </si>
  <si>
    <t>06142210211110</t>
  </si>
  <si>
    <t>GRUPO KARE AT HOME, S.A. DE C.V.</t>
  </si>
  <si>
    <t>06141507211130</t>
  </si>
  <si>
    <t>ARGUETA FLORES, S.A. DE C.V.</t>
  </si>
  <si>
    <t>13133</t>
  </si>
  <si>
    <t>11092702580019</t>
  </si>
  <si>
    <t>JULIA AMADA SARAVIA VELA</t>
  </si>
  <si>
    <t>11232012690010</t>
  </si>
  <si>
    <t>MANUEL RIGOBERTO SOTO</t>
  </si>
  <si>
    <t>14/05/2022</t>
  </si>
  <si>
    <t>06142202840037</t>
  </si>
  <si>
    <t>OLINSER, S.A. DE C.V.</t>
  </si>
  <si>
    <t>07070103821014</t>
  </si>
  <si>
    <t>MIDEY SARAI GARCIA SANDOVAL</t>
  </si>
  <si>
    <t>06140707811259</t>
  </si>
  <si>
    <t>ALICIA MARIA NAVARRETE DE ACOSTA</t>
  </si>
  <si>
    <t>06142101161049</t>
  </si>
  <si>
    <t>SERVICIOS MEDICOS Y ASOCIADOS A&amp;O, S.A. DE C.V.</t>
  </si>
  <si>
    <t>05121507671012</t>
  </si>
  <si>
    <t>EDGARDO ENRIQUE AQUINO SANCHEZ</t>
  </si>
  <si>
    <t>11231109681028</t>
  </si>
  <si>
    <t>LUCIA GLORIBEL DUANES DE APARICIO</t>
  </si>
  <si>
    <t>002557273</t>
  </si>
  <si>
    <t>WILBER ALEXANDER MEZA COLINDRES</t>
  </si>
  <si>
    <t>010355041</t>
  </si>
  <si>
    <t>JOSE FRANCISCO VELASQUEZ DIMAS</t>
  </si>
  <si>
    <t>002586531</t>
  </si>
  <si>
    <t>09/05/2022</t>
  </si>
  <si>
    <t>22SD000U</t>
  </si>
  <si>
    <t>07/05/2022</t>
  </si>
  <si>
    <t>08/05/2022</t>
  </si>
  <si>
    <t>06142607121061</t>
  </si>
  <si>
    <t>COMPUSHOP DE EL SALVADOR, S.A. DE C.V.</t>
  </si>
  <si>
    <t>10/05/2022</t>
  </si>
  <si>
    <t>06142210751158</t>
  </si>
  <si>
    <t>JOSE ALEXIS MINEROS ROSALES</t>
  </si>
  <si>
    <t>06140107640055</t>
  </si>
  <si>
    <t>REPRESENTACIONES ARCA, S.A.</t>
  </si>
  <si>
    <t>20SD000 C</t>
  </si>
  <si>
    <t>28/05/2022</t>
  </si>
  <si>
    <t>10011106631018</t>
  </si>
  <si>
    <t>JUIANA MERINO ORELLANA</t>
  </si>
  <si>
    <t>02/06/2022</t>
  </si>
  <si>
    <t>03/06/2022</t>
  </si>
  <si>
    <t>06/06/2022</t>
  </si>
  <si>
    <t>08/06/2022</t>
  </si>
  <si>
    <t>16/06/2022</t>
  </si>
  <si>
    <t>20/06/2022</t>
  </si>
  <si>
    <t>22/06/2022</t>
  </si>
  <si>
    <t>29/06/2022</t>
  </si>
  <si>
    <t>28/06/2022</t>
  </si>
  <si>
    <t>09/06/2022</t>
  </si>
  <si>
    <t>01/06/2022</t>
  </si>
  <si>
    <t>30/06/2022</t>
  </si>
  <si>
    <t>27/06/2022</t>
  </si>
  <si>
    <t>24/06/2022</t>
  </si>
  <si>
    <t>23/06/2022</t>
  </si>
  <si>
    <t>21/06/2022</t>
  </si>
  <si>
    <t>15/06/2022</t>
  </si>
  <si>
    <t>14/06/2022</t>
  </si>
  <si>
    <t>13/06/2022</t>
  </si>
  <si>
    <t>10/06/2022</t>
  </si>
  <si>
    <t>07/06/2022</t>
  </si>
  <si>
    <t>06142701211040</t>
  </si>
  <si>
    <t>SISTEMAS INTEGRADOS DE SALUD EMPRESARIAL</t>
  </si>
  <si>
    <t>03082010641010</t>
  </si>
  <si>
    <t>ALBA LORENA HERNANDEZ</t>
  </si>
  <si>
    <t>12172607831018</t>
  </si>
  <si>
    <t>EDDA LEONOR VELASQUEZ DE CORTEZ</t>
  </si>
  <si>
    <t>06140911560065</t>
  </si>
  <si>
    <t>ROSA AMELIA GARZONA DE BONILLA</t>
  </si>
  <si>
    <t>02102008041010</t>
  </si>
  <si>
    <t>IMÁGENES DIAGNOSTICAS GUERRA DIAZ</t>
  </si>
  <si>
    <t>045049455</t>
  </si>
  <si>
    <t>NATALA STEPHANIE PACHECO DE LOPEZ</t>
  </si>
  <si>
    <t>03031810580013</t>
  </si>
  <si>
    <t>GLADYS SEGURA VALLADARES DE CABRERA</t>
  </si>
  <si>
    <t>021072185</t>
  </si>
  <si>
    <t>DANILO STANLEY ESCOBAR NOYOA</t>
  </si>
  <si>
    <t>013918288</t>
  </si>
  <si>
    <t>EDGAR ARTURO PERDOMO FLORES</t>
  </si>
  <si>
    <t>05112312510017</t>
  </si>
  <si>
    <t>OSCAR DAVID FRANCO CARCAMO</t>
  </si>
  <si>
    <t>06140804211037</t>
  </si>
  <si>
    <t>AVANT PHARMACEUTICAL, S.A. DE C.V.</t>
  </si>
  <si>
    <t>22SD000C</t>
  </si>
  <si>
    <t>07102510891026</t>
  </si>
  <si>
    <t>WILLIAMS ANTONIO BARRERA LOBO</t>
  </si>
  <si>
    <t>21ds000c</t>
  </si>
  <si>
    <t>20SD0003C</t>
  </si>
  <si>
    <t>02101105660016</t>
  </si>
  <si>
    <t>MIGUEL ANGEL ORTEGA ORTEGA</t>
  </si>
  <si>
    <t>26/06/2022</t>
  </si>
  <si>
    <t>06140407951016</t>
  </si>
  <si>
    <t>DROGUERIA MASTERS, S.A. DE C.V.</t>
  </si>
  <si>
    <t>854</t>
  </si>
  <si>
    <t>29/07/2022</t>
  </si>
  <si>
    <t>28/07/2022</t>
  </si>
  <si>
    <t>27/07/2022</t>
  </si>
  <si>
    <t>041978424</t>
  </si>
  <si>
    <t>GEOVANNI ALEXANDER MORENO FUENTES</t>
  </si>
  <si>
    <t>25/07/2022</t>
  </si>
  <si>
    <t>22/07/2022</t>
  </si>
  <si>
    <t>23/07/2022</t>
  </si>
  <si>
    <t>21/07/2022</t>
  </si>
  <si>
    <t>20/07/2022</t>
  </si>
  <si>
    <t>19/07/2022</t>
  </si>
  <si>
    <t>06140403221080</t>
  </si>
  <si>
    <t>NEURO SYSTEMS. S.A. DE C.V.</t>
  </si>
  <si>
    <t>18/07/2022</t>
  </si>
  <si>
    <t>15/07/2022</t>
  </si>
  <si>
    <t>06142901101044</t>
  </si>
  <si>
    <t>CENTRO DE IMÁGENES MAMARIAS, S.A. DE C.V.</t>
  </si>
  <si>
    <t>016930344</t>
  </si>
  <si>
    <t>06140410771061</t>
  </si>
  <si>
    <t>JUAN CARLOS MARTINEZ MARTINEZ</t>
  </si>
  <si>
    <t>14/07/2022</t>
  </si>
  <si>
    <t>13/07/2022</t>
  </si>
  <si>
    <t>12/07/2022</t>
  </si>
  <si>
    <t>11/07/2022</t>
  </si>
  <si>
    <t>93932401711028</t>
  </si>
  <si>
    <t>CARLOS MARIO OSORIO CORDERO</t>
  </si>
  <si>
    <t>08/07/2022</t>
  </si>
  <si>
    <t>07/07/2022</t>
  </si>
  <si>
    <t>06/07/2022</t>
  </si>
  <si>
    <t>05/07/2022</t>
  </si>
  <si>
    <t>12172508681039</t>
  </si>
  <si>
    <t>04/07/2022</t>
  </si>
  <si>
    <t>06142204221023</t>
  </si>
  <si>
    <t>MEDISERR S.A. DE C.V.</t>
  </si>
  <si>
    <t>01/07/2022</t>
  </si>
  <si>
    <t>031709548</t>
  </si>
  <si>
    <t>AZALEA MAISOL LOPEZ GALLEGOS</t>
  </si>
  <si>
    <t>06140905161103</t>
  </si>
  <si>
    <t>RODILLOS AVANZADOS, S.A. DE C.V.</t>
  </si>
  <si>
    <t>26/07/2022</t>
  </si>
  <si>
    <t>06140203211064</t>
  </si>
  <si>
    <t>PROFERCO, S.A. DE C.V.</t>
  </si>
  <si>
    <t>03/07/2022</t>
  </si>
  <si>
    <t>09/07/2022</t>
  </si>
  <si>
    <t>04100306901019</t>
  </si>
  <si>
    <t>MARVIN ERNESÑTO SANTOS GALDAMEZ</t>
  </si>
  <si>
    <t>10/07/2022</t>
  </si>
  <si>
    <t>06141811151011</t>
  </si>
  <si>
    <t>MAYRO EL SALVADOR, S.A. DE C.V.</t>
  </si>
  <si>
    <t>16/07/2022</t>
  </si>
  <si>
    <t>22SD001C</t>
  </si>
  <si>
    <t>15041RESIN553512022</t>
  </si>
  <si>
    <t>31/08/2022</t>
  </si>
  <si>
    <t>30/08/2022</t>
  </si>
  <si>
    <t>26/08/2022</t>
  </si>
  <si>
    <t>25/08/2022</t>
  </si>
  <si>
    <t>23/08/2022</t>
  </si>
  <si>
    <t>22/08/2022</t>
  </si>
  <si>
    <t>19/08/2022</t>
  </si>
  <si>
    <t>17/08/2022</t>
  </si>
  <si>
    <t>15/08/2022</t>
  </si>
  <si>
    <t>12/08/2022</t>
  </si>
  <si>
    <t>10/08/2022</t>
  </si>
  <si>
    <t>08/08/2022</t>
  </si>
  <si>
    <t>08</t>
  </si>
  <si>
    <t>2022</t>
  </si>
  <si>
    <t>/</t>
  </si>
  <si>
    <t>31</t>
  </si>
  <si>
    <t>29/08/2022</t>
  </si>
  <si>
    <t>24/08/2022</t>
  </si>
  <si>
    <t>18/08/2022</t>
  </si>
  <si>
    <t>16/08/2022</t>
  </si>
  <si>
    <t>11/08/2022</t>
  </si>
  <si>
    <t>09/08/2022</t>
  </si>
  <si>
    <t>03/08/2022</t>
  </si>
  <si>
    <t>02/08/2022</t>
  </si>
  <si>
    <t>01/08/2022</t>
  </si>
  <si>
    <t>21DS000F</t>
  </si>
  <si>
    <t>exentas.</t>
  </si>
  <si>
    <t>CCF</t>
  </si>
  <si>
    <t>FAC</t>
  </si>
  <si>
    <t>EX</t>
  </si>
  <si>
    <t>TOTAL</t>
  </si>
  <si>
    <t>DECLARACION</t>
  </si>
  <si>
    <t>PCTA</t>
  </si>
  <si>
    <t>rete</t>
  </si>
  <si>
    <t>compras</t>
  </si>
  <si>
    <t>FOVIA</t>
  </si>
  <si>
    <t>ccf  mas fac</t>
  </si>
  <si>
    <t>neto</t>
  </si>
  <si>
    <t>iva</t>
  </si>
  <si>
    <t>PROPO</t>
  </si>
  <si>
    <t>retencion</t>
  </si>
  <si>
    <t>DOUGLAS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</si>
</sst>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6" formatCode="_(&quot;$&quot;* #,##0.00_);_(&quot;$&quot;* \(#,##0.0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8"/>
      <color theme="1"/>
      <name val="Berlin Sans FB Demi"/>
      <family val="2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b/>
      <sz val="9"/>
      <color theme="1"/>
      <name val="Berlin Sans FB Demi"/>
      <family val="2"/>
    </font>
    <font>
      <sz val="11"/>
      <color theme="0"/>
      <name val="Berlin Sans FB Demi"/>
      <family val="2"/>
    </font>
    <font>
      <sz val="48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4" tint="0.79998168889431442"/>
        <bgColor theme="0" tint="-0.149998474074526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mediumGray">
        <bgColor theme="2" tint="-0.499984740745262"/>
      </patternFill>
    </fill>
    <fill>
      <patternFill patternType="mediumGray">
        <bgColor theme="0" tint="-0.499984740745262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4" tint="0.39997558519241921"/>
      </left>
      <right/>
      <top style="thin">
        <color theme="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1"/>
      </top>
      <bottom/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46">
    <xf numFmtId="0" fontId="0" fillId="0" borderId="0" xfId="0"/>
    <xf numFmtId="49" fontId="0" fillId="0" borderId="0" xfId="0" applyNumberFormat="1"/>
    <xf numFmtId="0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0" fontId="0" fillId="0" borderId="0" xfId="0" applyAlignment="1"/>
    <xf numFmtId="0" fontId="5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44" fontId="7" fillId="0" borderId="5" xfId="1" applyFont="1" applyBorder="1" applyAlignment="1">
      <alignment horizontal="right"/>
    </xf>
    <xf numFmtId="0" fontId="5" fillId="2" borderId="4" xfId="0" applyFont="1" applyFill="1" applyBorder="1" applyAlignment="1">
      <alignment horizontal="center"/>
    </xf>
    <xf numFmtId="49" fontId="7" fillId="2" borderId="5" xfId="0" applyNumberFormat="1" applyFont="1" applyFill="1" applyBorder="1" applyAlignment="1">
      <alignment horizontal="center"/>
    </xf>
    <xf numFmtId="49" fontId="7" fillId="0" borderId="5" xfId="0" applyNumberFormat="1" applyFont="1" applyBorder="1" applyAlignment="1">
      <alignment horizontal="right"/>
    </xf>
    <xf numFmtId="49" fontId="7" fillId="0" borderId="5" xfId="0" applyNumberFormat="1" applyFont="1" applyFill="1" applyBorder="1" applyAlignment="1">
      <alignment horizontal="center"/>
    </xf>
    <xf numFmtId="0" fontId="7" fillId="0" borderId="5" xfId="1" applyNumberFormat="1" applyFont="1" applyFill="1" applyBorder="1" applyAlignment="1"/>
    <xf numFmtId="44" fontId="7" fillId="0" borderId="5" xfId="1" applyFont="1" applyFill="1" applyBorder="1" applyAlignment="1">
      <alignment horizontal="right"/>
    </xf>
    <xf numFmtId="0" fontId="7" fillId="0" borderId="5" xfId="1" applyNumberFormat="1" applyFont="1" applyBorder="1" applyAlignment="1"/>
    <xf numFmtId="44" fontId="7" fillId="0" borderId="5" xfId="1" applyNumberFormat="1" applyFont="1" applyBorder="1" applyAlignment="1">
      <alignment horizontal="right"/>
    </xf>
    <xf numFmtId="49" fontId="7" fillId="0" borderId="6" xfId="1" applyNumberFormat="1" applyFont="1" applyBorder="1" applyAlignment="1">
      <alignment horizontal="right"/>
    </xf>
    <xf numFmtId="49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7" fillId="0" borderId="5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7" xfId="0" applyNumberFormat="1" applyFont="1" applyBorder="1"/>
    <xf numFmtId="44" fontId="0" fillId="0" borderId="0" xfId="0" applyNumberFormat="1"/>
    <xf numFmtId="0" fontId="0" fillId="0" borderId="0" xfId="0" applyBorder="1"/>
    <xf numFmtId="49" fontId="0" fillId="0" borderId="8" xfId="0" applyNumberFormat="1" applyFont="1" applyBorder="1"/>
    <xf numFmtId="49" fontId="3" fillId="0" borderId="9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7" fillId="2" borderId="5" xfId="0" applyFont="1" applyFill="1" applyBorder="1" applyAlignment="1">
      <alignment horizontal="center"/>
    </xf>
    <xf numFmtId="44" fontId="7" fillId="2" borderId="5" xfId="1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0" fillId="0" borderId="0" xfId="0" quotePrefix="1"/>
    <xf numFmtId="49" fontId="0" fillId="0" borderId="0" xfId="0" quotePrefix="1" applyNumberFormat="1"/>
    <xf numFmtId="0" fontId="10" fillId="3" borderId="0" xfId="0" applyFont="1" applyFill="1" applyBorder="1" applyAlignment="1">
      <alignment horizontal="right"/>
    </xf>
    <xf numFmtId="0" fontId="5" fillId="4" borderId="4" xfId="0" applyFont="1" applyFill="1" applyBorder="1" applyAlignment="1">
      <alignment horizontal="center"/>
    </xf>
    <xf numFmtId="49" fontId="5" fillId="4" borderId="10" xfId="0" applyNumberFormat="1" applyFont="1" applyFill="1" applyBorder="1" applyAlignment="1">
      <alignment horizontal="center"/>
    </xf>
    <xf numFmtId="44" fontId="7" fillId="4" borderId="5" xfId="1" applyFont="1" applyFill="1" applyBorder="1" applyAlignment="1">
      <alignment horizontal="right"/>
    </xf>
    <xf numFmtId="49" fontId="3" fillId="0" borderId="0" xfId="0" applyNumberFormat="1" applyFont="1"/>
    <xf numFmtId="49" fontId="9" fillId="0" borderId="5" xfId="0" applyNumberFormat="1" applyFont="1" applyBorder="1" applyAlignment="1">
      <alignment horizontal="center"/>
    </xf>
    <xf numFmtId="49" fontId="7" fillId="0" borderId="12" xfId="1" applyNumberFormat="1" applyFont="1" applyBorder="1" applyAlignment="1">
      <alignment horizontal="right"/>
    </xf>
    <xf numFmtId="14" fontId="12" fillId="0" borderId="5" xfId="0" applyNumberFormat="1" applyFont="1" applyBorder="1" applyAlignment="1">
      <alignment horizontal="center"/>
    </xf>
    <xf numFmtId="49" fontId="12" fillId="0" borderId="5" xfId="0" applyNumberFormat="1" applyFont="1" applyBorder="1" applyAlignment="1">
      <alignment horizontal="center"/>
    </xf>
    <xf numFmtId="49" fontId="7" fillId="0" borderId="11" xfId="1" applyNumberFormat="1" applyFont="1" applyBorder="1" applyAlignment="1">
      <alignment horizontal="right"/>
    </xf>
    <xf numFmtId="44" fontId="0" fillId="0" borderId="0" xfId="1" applyFont="1" applyBorder="1"/>
    <xf numFmtId="14" fontId="0" fillId="0" borderId="0" xfId="0" quotePrefix="1" applyNumberFormat="1"/>
    <xf numFmtId="0" fontId="0" fillId="5" borderId="13" xfId="0" quotePrefix="1" applyFont="1" applyFill="1" applyBorder="1"/>
    <xf numFmtId="0" fontId="0" fillId="6" borderId="13" xfId="0" quotePrefix="1" applyFont="1" applyFill="1" applyBorder="1"/>
    <xf numFmtId="0" fontId="0" fillId="0" borderId="13" xfId="0" quotePrefix="1" applyFont="1" applyBorder="1"/>
    <xf numFmtId="49" fontId="0" fillId="0" borderId="13" xfId="0" quotePrefix="1" applyNumberFormat="1" applyFont="1" applyBorder="1"/>
    <xf numFmtId="44" fontId="0" fillId="0" borderId="0" xfId="1" quotePrefix="1" applyFont="1"/>
    <xf numFmtId="49" fontId="0" fillId="0" borderId="14" xfId="0" quotePrefix="1" applyNumberFormat="1" applyFont="1" applyBorder="1"/>
    <xf numFmtId="49" fontId="0" fillId="0" borderId="15" xfId="0" applyNumberFormat="1" applyFont="1" applyBorder="1"/>
    <xf numFmtId="49" fontId="0" fillId="0" borderId="16" xfId="0" applyNumberFormat="1" applyFont="1" applyBorder="1"/>
    <xf numFmtId="49" fontId="5" fillId="7" borderId="17" xfId="0" applyNumberFormat="1" applyFont="1" applyFill="1" applyBorder="1" applyAlignment="1">
      <alignment horizontal="center"/>
    </xf>
    <xf numFmtId="0" fontId="0" fillId="8" borderId="0" xfId="0" applyFill="1"/>
    <xf numFmtId="44" fontId="0" fillId="8" borderId="0" xfId="1" applyFont="1" applyFill="1"/>
    <xf numFmtId="0" fontId="0" fillId="9" borderId="0" xfId="0" applyFill="1"/>
    <xf numFmtId="44" fontId="0" fillId="9" borderId="0" xfId="1" applyFont="1" applyFill="1"/>
    <xf numFmtId="49" fontId="13" fillId="11" borderId="11" xfId="1" applyNumberFormat="1" applyFont="1" applyFill="1" applyBorder="1" applyAlignment="1">
      <alignment horizontal="right"/>
    </xf>
    <xf numFmtId="0" fontId="10" fillId="12" borderId="4" xfId="0" applyFont="1" applyFill="1" applyBorder="1" applyAlignment="1">
      <alignment horizontal="center"/>
    </xf>
    <xf numFmtId="49" fontId="13" fillId="12" borderId="5" xfId="0" applyNumberFormat="1" applyFont="1" applyFill="1" applyBorder="1" applyAlignment="1">
      <alignment horizontal="center"/>
    </xf>
    <xf numFmtId="49" fontId="10" fillId="12" borderId="5" xfId="0" applyNumberFormat="1" applyFont="1" applyFill="1" applyBorder="1" applyAlignment="1">
      <alignment horizontal="right"/>
    </xf>
    <xf numFmtId="0" fontId="13" fillId="12" borderId="5" xfId="0" applyNumberFormat="1" applyFont="1" applyFill="1" applyBorder="1" applyAlignment="1">
      <alignment horizontal="center"/>
    </xf>
    <xf numFmtId="49" fontId="10" fillId="12" borderId="10" xfId="0" applyNumberFormat="1" applyFont="1" applyFill="1" applyBorder="1" applyAlignment="1">
      <alignment horizontal="center"/>
    </xf>
    <xf numFmtId="44" fontId="13" fillId="12" borderId="5" xfId="1" applyFont="1" applyFill="1" applyBorder="1" applyAlignment="1">
      <alignment horizontal="right"/>
    </xf>
    <xf numFmtId="44" fontId="13" fillId="12" borderId="6" xfId="1" applyFont="1" applyFill="1" applyBorder="1" applyAlignment="1">
      <alignment horizontal="right"/>
    </xf>
    <xf numFmtId="49" fontId="12" fillId="0" borderId="5" xfId="0" quotePrefix="1" applyNumberFormat="1" applyFont="1" applyBorder="1" applyAlignment="1">
      <alignment horizontal="center"/>
    </xf>
    <xf numFmtId="164" fontId="0" fillId="0" borderId="0" xfId="0" applyNumberFormat="1" applyFont="1" applyAlignment="1">
      <alignment horizontal="left" indent="4"/>
    </xf>
    <xf numFmtId="44" fontId="0" fillId="0" borderId="0" xfId="0" applyNumberFormat="1" applyFont="1" applyAlignment="1">
      <alignment horizontal="left" indent="4"/>
    </xf>
    <xf numFmtId="44" fontId="7" fillId="0" borderId="5" xfId="1" applyFont="1" applyBorder="1" applyAlignment="1"/>
    <xf numFmtId="0" fontId="0" fillId="13" borderId="0" xfId="0" applyFill="1"/>
    <xf numFmtId="44" fontId="0" fillId="13" borderId="0" xfId="1" applyFont="1" applyFill="1"/>
    <xf numFmtId="0" fontId="0" fillId="14" borderId="0" xfId="0" applyFill="1"/>
    <xf numFmtId="44" fontId="0" fillId="14" borderId="0" xfId="1" applyFont="1" applyFill="1"/>
    <xf numFmtId="0" fontId="0" fillId="15" borderId="0" xfId="0" applyFill="1"/>
    <xf numFmtId="44" fontId="0" fillId="15" borderId="0" xfId="1" applyFont="1" applyFill="1"/>
    <xf numFmtId="0" fontId="10" fillId="3" borderId="0" xfId="0" applyFont="1" applyFill="1" applyAlignment="1">
      <alignment horizontal="right"/>
    </xf>
    <xf numFmtId="0" fontId="10" fillId="10" borderId="4" xfId="0" applyFont="1" applyFill="1" applyBorder="1" applyAlignment="1">
      <alignment horizontal="center"/>
    </xf>
    <xf numFmtId="14" fontId="0" fillId="0" borderId="0" xfId="1" applyNumberFormat="1" applyFont="1"/>
    <xf numFmtId="0" fontId="11" fillId="3" borderId="0" xfId="0" applyFont="1" applyFill="1" applyAlignment="1">
      <alignment horizontal="right"/>
    </xf>
    <xf numFmtId="49" fontId="7" fillId="0" borderId="5" xfId="0" applyNumberFormat="1" applyFont="1" applyBorder="1" applyAlignment="1">
      <alignment horizontal="center"/>
    </xf>
    <xf numFmtId="0" fontId="13" fillId="4" borderId="5" xfId="0" quotePrefix="1" applyFont="1" applyFill="1" applyBorder="1" applyAlignment="1">
      <alignment horizontal="center"/>
    </xf>
    <xf numFmtId="0" fontId="0" fillId="0" borderId="0" xfId="1" applyNumberFormat="1" applyFont="1"/>
    <xf numFmtId="0" fontId="7" fillId="0" borderId="5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49" fontId="13" fillId="10" borderId="5" xfId="1" quotePrefix="1" applyNumberFormat="1" applyFont="1" applyFill="1" applyBorder="1" applyAlignment="1">
      <alignment horizontal="center"/>
    </xf>
    <xf numFmtId="0" fontId="0" fillId="0" borderId="0" xfId="1" applyNumberFormat="1" applyFont="1" applyFill="1" applyBorder="1"/>
    <xf numFmtId="49" fontId="0" fillId="0" borderId="18" xfId="0" applyNumberFormat="1" applyBorder="1"/>
    <xf numFmtId="0" fontId="0" fillId="0" borderId="18" xfId="0" applyBorder="1"/>
    <xf numFmtId="44" fontId="0" fillId="0" borderId="0" xfId="1" applyFont="1" applyFill="1" applyBorder="1"/>
    <xf numFmtId="44" fontId="7" fillId="16" borderId="5" xfId="1" applyFont="1" applyFill="1" applyBorder="1" applyAlignment="1">
      <alignment horizontal="right"/>
    </xf>
    <xf numFmtId="49" fontId="7" fillId="0" borderId="5" xfId="1" applyNumberFormat="1" applyFont="1" applyBorder="1" applyAlignment="1"/>
    <xf numFmtId="49" fontId="7" fillId="0" borderId="6" xfId="0" applyNumberFormat="1" applyFont="1" applyBorder="1" applyAlignment="1">
      <alignment horizontal="right"/>
    </xf>
    <xf numFmtId="49" fontId="13" fillId="10" borderId="5" xfId="0" applyNumberFormat="1" applyFont="1" applyFill="1" applyBorder="1" applyAlignment="1">
      <alignment horizontal="center"/>
    </xf>
    <xf numFmtId="49" fontId="0" fillId="9" borderId="0" xfId="0" applyNumberFormat="1" applyFill="1"/>
    <xf numFmtId="49" fontId="0" fillId="8" borderId="0" xfId="0" applyNumberFormat="1" applyFill="1"/>
    <xf numFmtId="44" fontId="14" fillId="0" borderId="19" xfId="1" applyFont="1" applyBorder="1" applyAlignment="1">
      <alignment horizontal="center" vertical="center"/>
    </xf>
    <xf numFmtId="44" fontId="14" fillId="0" borderId="20" xfId="1" applyFont="1" applyBorder="1" applyAlignment="1">
      <alignment horizontal="center" vertical="center"/>
    </xf>
    <xf numFmtId="44" fontId="14" fillId="0" borderId="21" xfId="1" applyFont="1" applyBorder="1" applyAlignment="1">
      <alignment horizontal="center" vertical="center"/>
    </xf>
    <xf numFmtId="17" fontId="0" fillId="0" borderId="20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44" fontId="3" fillId="0" borderId="22" xfId="1" applyFont="1" applyBorder="1" applyAlignment="1">
      <alignment horizontal="center" vertical="center"/>
    </xf>
    <xf numFmtId="44" fontId="3" fillId="17" borderId="19" xfId="1" applyFont="1" applyFill="1" applyBorder="1" applyAlignment="1">
      <alignment horizontal="center" vertical="center"/>
    </xf>
    <xf numFmtId="44" fontId="3" fillId="17" borderId="21" xfId="1" applyFont="1" applyFill="1" applyBorder="1" applyAlignment="1">
      <alignment horizontal="center" vertical="center"/>
    </xf>
    <xf numFmtId="44" fontId="14" fillId="0" borderId="23" xfId="1" applyFont="1" applyBorder="1" applyAlignment="1">
      <alignment horizontal="center" vertical="center"/>
    </xf>
    <xf numFmtId="44" fontId="14" fillId="0" borderId="0" xfId="1" applyFont="1" applyBorder="1" applyAlignment="1">
      <alignment horizontal="center" vertical="center"/>
    </xf>
    <xf numFmtId="44" fontId="14" fillId="0" borderId="24" xfId="1" applyFont="1" applyBorder="1" applyAlignment="1">
      <alignment horizontal="center" vertical="center"/>
    </xf>
    <xf numFmtId="44" fontId="3" fillId="0" borderId="25" xfId="1" applyFont="1" applyBorder="1" applyAlignment="1">
      <alignment horizontal="center" vertical="center"/>
    </xf>
    <xf numFmtId="44" fontId="3" fillId="17" borderId="26" xfId="1" applyFont="1" applyFill="1" applyBorder="1" applyAlignment="1">
      <alignment horizontal="center" vertical="center"/>
    </xf>
    <xf numFmtId="44" fontId="3" fillId="17" borderId="27" xfId="1" applyFont="1" applyFill="1" applyBorder="1" applyAlignment="1">
      <alignment horizontal="center" vertical="center"/>
    </xf>
    <xf numFmtId="44" fontId="0" fillId="0" borderId="28" xfId="1" applyFont="1" applyBorder="1"/>
    <xf numFmtId="44" fontId="0" fillId="0" borderId="23" xfId="1" applyFont="1" applyBorder="1"/>
    <xf numFmtId="44" fontId="0" fillId="0" borderId="23" xfId="1" applyFont="1" applyBorder="1" applyAlignment="1">
      <alignment vertical="center"/>
    </xf>
    <xf numFmtId="44" fontId="0" fillId="0" borderId="24" xfId="1" applyFont="1" applyBorder="1" applyAlignment="1">
      <alignment vertical="center"/>
    </xf>
    <xf numFmtId="44" fontId="0" fillId="4" borderId="28" xfId="1" applyFont="1" applyFill="1" applyBorder="1"/>
    <xf numFmtId="44" fontId="3" fillId="0" borderId="22" xfId="1" applyFont="1" applyBorder="1" applyAlignment="1">
      <alignment vertical="center"/>
    </xf>
    <xf numFmtId="44" fontId="15" fillId="0" borderId="25" xfId="1" applyFont="1" applyBorder="1" applyAlignment="1">
      <alignment vertical="center"/>
    </xf>
    <xf numFmtId="44" fontId="15" fillId="0" borderId="22" xfId="1" applyFont="1" applyBorder="1" applyAlignment="1">
      <alignment horizontal="center" vertical="center"/>
    </xf>
    <xf numFmtId="44" fontId="3" fillId="18" borderId="22" xfId="1" applyFont="1" applyFill="1" applyBorder="1" applyAlignment="1">
      <alignment horizontal="center" vertical="center"/>
    </xf>
    <xf numFmtId="44" fontId="15" fillId="0" borderId="25" xfId="1" applyFont="1" applyBorder="1" applyAlignment="1">
      <alignment horizontal="center" vertical="center"/>
    </xf>
    <xf numFmtId="44" fontId="3" fillId="18" borderId="25" xfId="1" applyFont="1" applyFill="1" applyBorder="1" applyAlignment="1">
      <alignment horizontal="center" vertical="center"/>
    </xf>
    <xf numFmtId="44" fontId="0" fillId="0" borderId="0" xfId="1" applyFont="1" applyBorder="1" applyAlignment="1">
      <alignment vertical="center"/>
    </xf>
    <xf numFmtId="0" fontId="0" fillId="0" borderId="3" xfId="0" applyBorder="1"/>
    <xf numFmtId="0" fontId="3" fillId="0" borderId="1" xfId="0" applyFont="1" applyBorder="1" applyAlignment="1">
      <alignment horizontal="center"/>
    </xf>
    <xf numFmtId="44" fontId="0" fillId="0" borderId="2" xfId="1" applyFont="1" applyBorder="1"/>
    <xf numFmtId="44" fontId="0" fillId="0" borderId="24" xfId="1" applyFont="1" applyBorder="1"/>
    <xf numFmtId="44" fontId="3" fillId="0" borderId="29" xfId="1" applyFont="1" applyBorder="1" applyAlignment="1">
      <alignment vertical="center"/>
    </xf>
    <xf numFmtId="0" fontId="0" fillId="0" borderId="28" xfId="0" applyBorder="1"/>
    <xf numFmtId="0" fontId="0" fillId="0" borderId="23" xfId="0" applyBorder="1"/>
    <xf numFmtId="44" fontId="3" fillId="0" borderId="24" xfId="1" applyFont="1" applyBorder="1"/>
    <xf numFmtId="166" fontId="0" fillId="0" borderId="25" xfId="0" applyNumberFormat="1" applyBorder="1"/>
    <xf numFmtId="44" fontId="0" fillId="0" borderId="25" xfId="1" applyFont="1" applyBorder="1"/>
    <xf numFmtId="44" fontId="0" fillId="0" borderId="26" xfId="1" applyFont="1" applyBorder="1"/>
    <xf numFmtId="44" fontId="0" fillId="0" borderId="27" xfId="1" applyFont="1" applyBorder="1"/>
    <xf numFmtId="44" fontId="15" fillId="0" borderId="0" xfId="1" applyFont="1" applyBorder="1"/>
    <xf numFmtId="44" fontId="0" fillId="4" borderId="1" xfId="1" applyFont="1" applyFill="1" applyBorder="1"/>
    <xf numFmtId="44" fontId="14" fillId="0" borderId="26" xfId="1" applyFont="1" applyBorder="1" applyAlignment="1">
      <alignment horizontal="center" vertical="center"/>
    </xf>
    <xf numFmtId="44" fontId="14" fillId="0" borderId="30" xfId="1" applyFont="1" applyBorder="1" applyAlignment="1">
      <alignment horizontal="center" vertical="center"/>
    </xf>
    <xf numFmtId="44" fontId="14" fillId="0" borderId="27" xfId="1" applyFont="1" applyBorder="1" applyAlignment="1">
      <alignment horizontal="center" vertical="center"/>
    </xf>
    <xf numFmtId="0" fontId="0" fillId="0" borderId="30" xfId="0" applyBorder="1"/>
    <xf numFmtId="44" fontId="0" fillId="0" borderId="30" xfId="1" applyFont="1" applyBorder="1"/>
    <xf numFmtId="44" fontId="0" fillId="0" borderId="30" xfId="1" applyFont="1" applyBorder="1" applyAlignment="1">
      <alignment vertical="center"/>
    </xf>
    <xf numFmtId="44" fontId="0" fillId="0" borderId="27" xfId="1" applyFont="1" applyBorder="1" applyAlignment="1">
      <alignment vertical="center"/>
    </xf>
    <xf numFmtId="0" fontId="0" fillId="0" borderId="0" xfId="0" applyNumberFormat="1" applyFont="1"/>
  </cellXfs>
  <cellStyles count="2">
    <cellStyle name="Moneda" xfId="1" builtinId="4"/>
    <cellStyle name="Normal" xfId="0" builtinId="0"/>
  </cellStyles>
  <dxfs count="53"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165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base de cliente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425822</xdr:colOff>
      <xdr:row>22</xdr:row>
      <xdr:rowOff>125815</xdr:rowOff>
    </xdr:from>
    <xdr:to>
      <xdr:col>3</xdr:col>
      <xdr:colOff>1322293</xdr:colOff>
      <xdr:row>23</xdr:row>
      <xdr:rowOff>159432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157640" y="4394747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22</xdr:row>
      <xdr:rowOff>123265</xdr:rowOff>
    </xdr:from>
    <xdr:to>
      <xdr:col>2</xdr:col>
      <xdr:colOff>145676</xdr:colOff>
      <xdr:row>23</xdr:row>
      <xdr:rowOff>156882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930087" y="393326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24</xdr:row>
      <xdr:rowOff>179293</xdr:rowOff>
    </xdr:from>
    <xdr:to>
      <xdr:col>3</xdr:col>
      <xdr:colOff>784412</xdr:colOff>
      <xdr:row>26</xdr:row>
      <xdr:rowOff>145675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467972" y="4370293"/>
          <a:ext cx="12550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  <a:solidFill>
          <a:schemeClr val="tx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414616</xdr:colOff>
      <xdr:row>20</xdr:row>
      <xdr:rowOff>89647</xdr:rowOff>
    </xdr:from>
    <xdr:to>
      <xdr:col>3</xdr:col>
      <xdr:colOff>44822</xdr:colOff>
      <xdr:row>21</xdr:row>
      <xdr:rowOff>123264</xdr:rowOff>
    </xdr:to>
    <xdr:sp macro="[1]!LimpiarContri" textlink="">
      <xdr:nvSpPr>
        <xdr:cNvPr id="2" name="1 Bisel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1176616" y="377582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437027</xdr:colOff>
      <xdr:row>21</xdr:row>
      <xdr:rowOff>100853</xdr:rowOff>
    </xdr:from>
    <xdr:to>
      <xdr:col>3</xdr:col>
      <xdr:colOff>1333498</xdr:colOff>
      <xdr:row>22</xdr:row>
      <xdr:rowOff>134470</xdr:rowOff>
    </xdr:to>
    <xdr:sp macro="[1]!DatosContr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2465852" y="39775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588818" y="1065067"/>
          <a:ext cx="3334616" cy="2802949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414616</xdr:colOff>
      <xdr:row>20</xdr:row>
      <xdr:rowOff>89647</xdr:rowOff>
    </xdr:from>
    <xdr:to>
      <xdr:col>3</xdr:col>
      <xdr:colOff>44822</xdr:colOff>
      <xdr:row>21</xdr:row>
      <xdr:rowOff>123264</xdr:rowOff>
    </xdr:to>
    <xdr:sp macro="[1]!LimpiarContri" textlink="">
      <xdr:nvSpPr>
        <xdr:cNvPr id="5" name="4 Bisel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176616" y="377582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571499" y="134471"/>
          <a:ext cx="3349438" cy="739588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327770</xdr:colOff>
      <xdr:row>21</xdr:row>
      <xdr:rowOff>167528</xdr:rowOff>
    </xdr:from>
    <xdr:to>
      <xdr:col>7</xdr:col>
      <xdr:colOff>462241</xdr:colOff>
      <xdr:row>22</xdr:row>
      <xdr:rowOff>201145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5370417" y="4986057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4</xdr:col>
      <xdr:colOff>264456</xdr:colOff>
      <xdr:row>22</xdr:row>
      <xdr:rowOff>2802</xdr:rowOff>
    </xdr:from>
    <xdr:to>
      <xdr:col>5</xdr:col>
      <xdr:colOff>634251</xdr:colOff>
      <xdr:row>23</xdr:row>
      <xdr:rowOff>25213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4018427" y="5011831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504265</xdr:colOff>
      <xdr:row>0</xdr:row>
      <xdr:rowOff>78441</xdr:rowOff>
    </xdr:from>
    <xdr:to>
      <xdr:col>4</xdr:col>
      <xdr:colOff>134470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504265" y="78441"/>
          <a:ext cx="3384176" cy="739588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CONSUMIDOR FINAL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xmlns="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425822</xdr:colOff>
      <xdr:row>13</xdr:row>
      <xdr:rowOff>134472</xdr:rowOff>
    </xdr:from>
    <xdr:to>
      <xdr:col>3</xdr:col>
      <xdr:colOff>1322293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xmlns="" id="{2278F800-71E6-4A6F-B439-CAD22C6C1457}"/>
            </a:ext>
          </a:extLst>
        </xdr:cNvPr>
        <xdr:cNvSpPr/>
      </xdr:nvSpPr>
      <xdr:spPr>
        <a:xfrm>
          <a:off x="2149847" y="402067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xmlns="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xmlns="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Tabla1" displayName="Tabla1" ref="A3:T1106" totalsRowCount="1">
  <autoFilter ref="A3:T1105">
    <filterColumn colId="0">
      <filters>
        <filter val="AGOSTO"/>
      </filters>
    </filterColumn>
    <filterColumn colId="18">
      <filters>
        <filter val="19DS000U"/>
        <filter val="21DS000C"/>
        <filter val="21DS000F"/>
        <filter val="21DS000U"/>
        <filter val="22SD000U"/>
      </filters>
    </filterColumn>
  </autoFilter>
  <tableColumns count="20">
    <tableColumn id="1" name="MES" totalsRowLabel="Total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totalsRowFunction="sum" totalsRowDxfId="10" dataCellStyle="Moneda"/>
    <tableColumn id="9" name="I. EXENTAS" totalsRowDxfId="9" dataCellStyle="Moneda"/>
    <tableColumn id="10" name="IMPOR EX" totalsRowDxfId="8" dataCellStyle="Moneda"/>
    <tableColumn id="11" name="C. GRAVADA" totalsRowFunction="sum" totalsRowDxfId="7" dataCellStyle="Moneda"/>
    <tableColumn id="12" name="INTER GRAVA" totalsRowDxfId="6" dataCellStyle="Moneda"/>
    <tableColumn id="13" name="IMPOR BIENES" totalsRowDxfId="5" dataCellStyle="Moneda"/>
    <tableColumn id="14" name="IMPOR SERV" totalsRowDxfId="4" dataCellStyle="Moneda"/>
    <tableColumn id="15" name="IVA" totalsRowFunction="sum" totalsRowDxfId="3" dataCellStyle="Moneda"/>
    <tableColumn id="16" name="TOTAL C." totalsRowFunction="sum" totalsRowDxfId="2" dataCellStyle="Moneda"/>
    <tableColumn id="20" name="DUI" dataDxfId="52" totalsRowDxfId="1" dataCellStyle="Moneda"/>
    <tableColumn id="17" name="ANEXO 3"/>
    <tableColumn id="19" name="SERIE"/>
    <tableColumn id="18" name="PERCEPCIONES" totalsRowFunction="sum" totalsRowDxfId="0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E2:W2120" totalsRowCount="1">
  <autoFilter ref="E2:W2119">
    <filterColumn colId="0">
      <filters>
        <filter val="AGOSTO"/>
      </filters>
    </filterColumn>
    <filterColumn colId="8">
      <filters blank="1">
        <filter val="01010310750017"/>
        <filter val="01012609821088"/>
        <filter val="01080109201011"/>
        <filter val="02100508851075"/>
        <filter val="02101111550067"/>
        <filter val="02101203791044"/>
        <filter val="02101207920015"/>
        <filter val="02101602941017"/>
        <filter val="02102110041017"/>
        <filter val="02103007761016"/>
        <filter val="022015445"/>
        <filter val="03121406801023"/>
        <filter val="03142309580055"/>
        <filter val="04071405751037"/>
        <filter val="04162801801018"/>
        <filter val="05062802490010"/>
        <filter val="06031011741015"/>
        <filter val="06081710941019"/>
        <filter val="06082305821029"/>
        <filter val="06102702640013"/>
        <filter val="06130407761017"/>
        <filter val="06140111171074"/>
        <filter val="06140205121038"/>
        <filter val="06140305181038"/>
        <filter val="06140404670108"/>
        <filter val="06140410181043"/>
        <filter val="06140504690014"/>
        <filter val="06140511881038"/>
        <filter val="06140706460139"/>
        <filter val="06140711061086"/>
        <filter val="06140801831344"/>
        <filter val="06140803791110"/>
        <filter val="06140812091091"/>
        <filter val="06140903570090"/>
        <filter val="06141001680070"/>
        <filter val="06141007760062"/>
        <filter val="06141102141037"/>
        <filter val="06141103971688"/>
        <filter val="06141409640014"/>
        <filter val="06141502051029"/>
        <filter val="06141505911029"/>
        <filter val="06141509480057"/>
        <filter val="06141605121041"/>
        <filter val="06141609201015"/>
        <filter val="06141611951030"/>
        <filter val="06141710740026"/>
        <filter val="06141710871412"/>
        <filter val="06141809801351"/>
        <filter val="06141903911074"/>
        <filter val="06141904771435"/>
        <filter val="06141907171056"/>
        <filter val="06141911621023"/>
        <filter val="06142004211031"/>
        <filter val="06142101161049"/>
        <filter val="06142101931049"/>
        <filter val="06142107801015"/>
        <filter val="06142110721278"/>
        <filter val="06142111141070"/>
        <filter val="06142204221023"/>
        <filter val="06142210201034"/>
        <filter val="06142405850104"/>
        <filter val="06142506791376"/>
        <filter val="06142508161086"/>
        <filter val="06142709750018"/>
        <filter val="06143009760036"/>
        <filter val="06143010031041"/>
        <filter val="06161711691036"/>
        <filter val="06171109670013"/>
        <filter val="07022701211013"/>
        <filter val="07091204851019"/>
        <filter val="08061805691016"/>
        <filter val="08152705851011"/>
        <filter val="08191601731036"/>
        <filter val="09040806661010"/>
        <filter val="09062801660019"/>
        <filter val="10102606211010"/>
        <filter val="11092702580019"/>
        <filter val="11211902801017"/>
        <filter val="11220301630016"/>
        <filter val="12170908861068"/>
        <filter val="12171206131017"/>
        <filter val="13142106881012"/>
        <filter val="94111705821016"/>
        <filter val="94502607791027"/>
      </filters>
    </filterColumn>
  </autoFilter>
  <tableColumns count="19">
    <tableColumn id="19" name="MES" totalsRowLabel="Total"/>
    <tableColumn id="2" name="FECHA" dataDxfId="51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/>
    <tableColumn id="10" name="NOMBRE DE CLIENTE"/>
    <tableColumn id="11" name="VENTA EXENTA" totalsRowFunction="sum" totalsRowDxfId="15"/>
    <tableColumn id="12" name="VENTA NO SUJETA"/>
    <tableColumn id="13" name="V. GRAVADA" totalsRowFunction="sum" totalsRowDxfId="14"/>
    <tableColumn id="14" name="D.FISCAL" totalsRowFunction="sum" dataDxfId="33" totalsRowDxfId="13" dataCellStyle="Moneda"/>
    <tableColumn id="15" name="V CTA DE 3"/>
    <tableColumn id="16" name="D. FISCAL A 3"/>
    <tableColumn id="17" name="VENTA TOTAL" totalsRowFunction="sum" totalsRowDxfId="12"/>
    <tableColumn id="1" name="DUI" dataDxfId="50" totalsRowDxfId="11" dataCellStyle="Moneda"/>
    <tableColumn id="18" name="ANEXO" totalsRowFunction="count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1162" totalsRowCount="1">
  <autoFilter ref="A2:V1161">
    <filterColumn colId="0">
      <filters>
        <filter val="AGOSTO"/>
      </filters>
    </filterColumn>
  </autoFilter>
  <sortState ref="A3:V1043">
    <sortCondition ref="F2:F1043"/>
  </sortState>
  <tableColumns count="22">
    <tableColumn id="1" name="MES" totalsRowLabel="Total"/>
    <tableColumn id="2" name="FECHA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 totalsRowFunction="sum" totalsRowDxfId="32"/>
    <tableColumn id="13" name="VENTAS NO" totalsRowFunction="sum" totalsRowDxfId="31"/>
    <tableColumn id="14" name="V NO SUJETAS" totalsRowFunction="sum" totalsRowDxfId="30"/>
    <tableColumn id="15" name="V GRAVADAS" totalsRowFunction="sum" totalsRowDxfId="29"/>
    <tableColumn id="16" name="EX IN CA" totalsRowFunction="sum" totalsRowDxfId="28"/>
    <tableColumn id="17" name="EX OUT CA" totalsRowFunction="sum" totalsRowDxfId="27"/>
    <tableColumn id="18" name="EX SERVICE" totalsRowFunction="sum" totalsRowDxfId="26"/>
    <tableColumn id="19" name="V ZONA FRAN" totalsRowFunction="sum" totalsRowDxfId="25"/>
    <tableColumn id="20" name="V CTA A 3ERO" totalsRowFunction="sum" totalsRowDxfId="24"/>
    <tableColumn id="21" name="TOTAL VENTA" totalsRowFunction="sum" totalsRowDxfId="23"/>
    <tableColumn id="22" name="ANEXO" totalsRowFunction="count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14" totalsRowCount="1" headerRowDxfId="49" headerRowBorderDxfId="48" tableBorderDxfId="47">
  <autoFilter ref="A1:J13">
    <filterColumn colId="0">
      <filters>
        <filter val="ABRIL"/>
      </filters>
    </filterColumn>
  </autoFilter>
  <tableColumns count="10">
    <tableColumn id="1" name="Mes" totalsRowLabel="Total" dataDxfId="46"/>
    <tableColumn id="10" name="NCR" dataDxfId="45"/>
    <tableColumn id="2" name="NIT Agente" dataDxfId="44"/>
    <tableColumn id="3" name="Fecha de emisión" dataDxfId="43"/>
    <tableColumn id="4" name="Tipo de documento" dataDxfId="42"/>
    <tableColumn id="5" name="Serie" dataDxfId="41"/>
    <tableColumn id="6" name="Número de documento" dataDxfId="40"/>
    <tableColumn id="7" name="Monto sujeto" totalsRowFunction="sum" dataDxfId="39" totalsRowDxfId="38" dataCellStyle="Moneda"/>
    <tableColumn id="8" name="Monto Retención 1%" totalsRowFunction="sum" dataDxfId="37" totalsRowDxfId="36" dataCellStyle="Moneda"/>
    <tableColumn id="9" name="Número de anexo" dataDxfId="3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B5047" totalsRowShown="0">
  <autoFilter ref="A1:B5047"/>
  <tableColumns count="2">
    <tableColumn id="1" name="NIT" dataDxfId="34"/>
    <tableColumn id="2" name="PROVEED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23"/>
  <sheetViews>
    <sheetView showGridLines="0" tabSelected="1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35" t="s">
        <v>17</v>
      </c>
      <c r="D3" s="61" t="s">
        <v>8611</v>
      </c>
      <c r="XFD3" t="s">
        <v>8126</v>
      </c>
    </row>
    <row r="4" spans="2:6 16384:16384" x14ac:dyDescent="0.25">
      <c r="B4" s="35" t="s">
        <v>2</v>
      </c>
      <c r="D4" s="62" t="s">
        <v>8874</v>
      </c>
      <c r="XFD4" t="s">
        <v>8387</v>
      </c>
    </row>
    <row r="5" spans="2:6 16384:16384" hidden="1" x14ac:dyDescent="0.25">
      <c r="B5" s="35" t="s">
        <v>3</v>
      </c>
      <c r="D5" s="63" t="s">
        <v>1</v>
      </c>
      <c r="XFD5" t="s">
        <v>8388</v>
      </c>
    </row>
    <row r="6" spans="2:6 16384:16384" ht="15" hidden="1" customHeight="1" x14ac:dyDescent="0.25">
      <c r="B6" s="35" t="s">
        <v>4</v>
      </c>
      <c r="D6" s="63" t="s">
        <v>0</v>
      </c>
      <c r="XFD6" t="s">
        <v>8607</v>
      </c>
    </row>
    <row r="7" spans="2:6 16384:16384" x14ac:dyDescent="0.25">
      <c r="B7" s="35" t="s">
        <v>5</v>
      </c>
      <c r="C7">
        <v>469</v>
      </c>
      <c r="D7" s="64"/>
      <c r="XFD7" t="s">
        <v>8608</v>
      </c>
    </row>
    <row r="8" spans="2:6 16384:16384" x14ac:dyDescent="0.25">
      <c r="B8" s="35" t="s">
        <v>6</v>
      </c>
      <c r="D8" s="65" t="s">
        <v>1576</v>
      </c>
      <c r="XFD8" t="s">
        <v>8609</v>
      </c>
    </row>
    <row r="9" spans="2:6 16384:16384" x14ac:dyDescent="0.25">
      <c r="B9" s="35" t="s">
        <v>70</v>
      </c>
      <c r="D9" s="32" t="str">
        <f>IFERROR(VLOOKUP(D8,Tabla4[#All],2,0),"")</f>
        <v>C IMBERTON, S.A.DE C.V.</v>
      </c>
      <c r="XFD9" t="s">
        <v>8610</v>
      </c>
    </row>
    <row r="10" spans="2:6 16384:16384" x14ac:dyDescent="0.25">
      <c r="B10" s="35" t="s">
        <v>7</v>
      </c>
      <c r="D10" s="9">
        <v>0</v>
      </c>
      <c r="F10" s="3"/>
      <c r="XFD10" t="s">
        <v>8611</v>
      </c>
    </row>
    <row r="11" spans="2:6 16384:16384" hidden="1" x14ac:dyDescent="0.25">
      <c r="B11" s="35" t="s">
        <v>8</v>
      </c>
      <c r="D11" s="9">
        <v>0</v>
      </c>
      <c r="F11" s="3"/>
      <c r="XFD11" t="s">
        <v>8612</v>
      </c>
    </row>
    <row r="12" spans="2:6 16384:16384" hidden="1" x14ac:dyDescent="0.25">
      <c r="B12" s="35" t="s">
        <v>9</v>
      </c>
      <c r="D12" s="9">
        <v>0</v>
      </c>
      <c r="F12" s="3"/>
      <c r="XFD12" t="s">
        <v>8613</v>
      </c>
    </row>
    <row r="13" spans="2:6 16384:16384" x14ac:dyDescent="0.25">
      <c r="B13" s="35" t="s">
        <v>10</v>
      </c>
      <c r="D13" s="66"/>
      <c r="F13" s="24"/>
    </row>
    <row r="14" spans="2:6 16384:16384" x14ac:dyDescent="0.25">
      <c r="B14" s="35" t="s">
        <v>11</v>
      </c>
      <c r="D14" s="9">
        <v>0</v>
      </c>
      <c r="F14" s="3"/>
      <c r="XFD14" t="s">
        <v>8615</v>
      </c>
    </row>
    <row r="15" spans="2:6 16384:16384" x14ac:dyDescent="0.25">
      <c r="B15" s="35" t="s">
        <v>13</v>
      </c>
      <c r="D15" s="9">
        <v>0</v>
      </c>
      <c r="F15" s="3"/>
    </row>
    <row r="16" spans="2:6 16384:16384" x14ac:dyDescent="0.25">
      <c r="B16" s="35" t="s">
        <v>12</v>
      </c>
      <c r="D16" s="9">
        <v>0</v>
      </c>
      <c r="F16" s="3"/>
    </row>
    <row r="17" spans="2:6" x14ac:dyDescent="0.25">
      <c r="B17" s="35" t="s">
        <v>14</v>
      </c>
      <c r="D17" s="9">
        <f>+(D16++D15+D14+D13)*0.13</f>
        <v>0</v>
      </c>
      <c r="F17" s="3"/>
    </row>
    <row r="18" spans="2:6" x14ac:dyDescent="0.25">
      <c r="B18" s="35" t="s">
        <v>15</v>
      </c>
      <c r="D18" s="9">
        <f>+SUBTOTAL(9,D10,D11,D12,D13,D14,D15,D16,D17)</f>
        <v>0</v>
      </c>
      <c r="F18" s="3"/>
    </row>
    <row r="19" spans="2:6" x14ac:dyDescent="0.25">
      <c r="B19" s="35" t="s">
        <v>8125</v>
      </c>
      <c r="D19" s="44" t="s">
        <v>8046</v>
      </c>
    </row>
    <row r="20" spans="2:6" x14ac:dyDescent="0.25">
      <c r="B20" s="35" t="s">
        <v>16</v>
      </c>
      <c r="D20" s="44" t="s">
        <v>8200</v>
      </c>
    </row>
    <row r="21" spans="2:6" x14ac:dyDescent="0.25">
      <c r="B21" s="35" t="s">
        <v>68</v>
      </c>
      <c r="D21" s="44" t="s">
        <v>8345</v>
      </c>
      <c r="F21" s="3"/>
    </row>
    <row r="22" spans="2:6" ht="15.75" thickBot="1" x14ac:dyDescent="0.3">
      <c r="B22" s="35" t="s">
        <v>8050</v>
      </c>
      <c r="D22" s="67">
        <v>31.16</v>
      </c>
      <c r="F22" s="3"/>
    </row>
    <row r="23" spans="2:6" x14ac:dyDescent="0.25">
      <c r="F23" s="3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>
      <formula1>0</formula1>
      <formula2>10000000</formula2>
    </dataValidation>
    <dataValidation type="list" allowBlank="1" showInputMessage="1" showErrorMessage="1" sqref="D6">
      <formula1>"03,05,11"</formula1>
    </dataValidation>
    <dataValidation type="list" allowBlank="1" showInputMessage="1" showErrorMessage="1" sqref="D3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</sheetPr>
  <dimension ref="A3:U1106"/>
  <sheetViews>
    <sheetView topLeftCell="A4" workbookViewId="0">
      <selection activeCell="A4" sqref="A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4" customWidth="1"/>
    <col min="8" max="8" width="13.140625" style="3" customWidth="1"/>
    <col min="9" max="9" width="12.5703125" style="3" customWidth="1"/>
    <col min="10" max="10" width="11.85546875" style="3" customWidth="1"/>
    <col min="11" max="11" width="14.28515625" style="3" customWidth="1"/>
    <col min="12" max="12" width="15.140625" style="3" customWidth="1"/>
    <col min="13" max="13" width="15.85546875" style="3" customWidth="1"/>
    <col min="14" max="14" width="14.140625" style="3" customWidth="1"/>
    <col min="15" max="15" width="12.85546875" style="3" customWidth="1"/>
    <col min="16" max="17" width="14.140625" style="3" customWidth="1"/>
    <col min="18" max="19" width="11.42578125" customWidth="1"/>
    <col min="20" max="20" width="11.42578125" style="3"/>
  </cols>
  <sheetData>
    <row r="3" spans="1:20" x14ac:dyDescent="0.25">
      <c r="A3" t="s">
        <v>17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70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12</v>
      </c>
      <c r="O3" s="3" t="s">
        <v>14</v>
      </c>
      <c r="P3" s="3" t="s">
        <v>15</v>
      </c>
      <c r="Q3" s="3" t="s">
        <v>8125</v>
      </c>
      <c r="R3" t="s">
        <v>16</v>
      </c>
      <c r="S3" t="s">
        <v>68</v>
      </c>
      <c r="T3" s="3" t="s">
        <v>8049</v>
      </c>
    </row>
    <row r="4" spans="1:20" x14ac:dyDescent="0.25">
      <c r="A4" t="s">
        <v>8611</v>
      </c>
      <c r="B4" t="s">
        <v>8874</v>
      </c>
      <c r="C4" t="s">
        <v>1</v>
      </c>
      <c r="D4" t="s">
        <v>0</v>
      </c>
      <c r="E4">
        <v>1326851</v>
      </c>
      <c r="F4" t="s">
        <v>1576</v>
      </c>
      <c r="G4" t="s">
        <v>1577</v>
      </c>
      <c r="H4" s="3">
        <v>0</v>
      </c>
      <c r="I4" s="3">
        <v>0</v>
      </c>
      <c r="J4" s="3">
        <v>0</v>
      </c>
      <c r="K4" s="3">
        <v>3115.95</v>
      </c>
      <c r="L4" s="3">
        <v>0</v>
      </c>
      <c r="M4" s="3">
        <v>0</v>
      </c>
      <c r="N4" s="3">
        <v>0</v>
      </c>
      <c r="O4" s="3">
        <v>405.07349999999997</v>
      </c>
      <c r="P4" s="3">
        <v>3521.0234999999998</v>
      </c>
      <c r="R4" t="s">
        <v>8200</v>
      </c>
      <c r="S4" t="s">
        <v>8345</v>
      </c>
      <c r="T4" s="3">
        <v>31.16</v>
      </c>
    </row>
    <row r="5" spans="1:20" x14ac:dyDescent="0.25">
      <c r="A5" t="s">
        <v>8611</v>
      </c>
      <c r="B5" t="s">
        <v>8887</v>
      </c>
      <c r="C5" t="s">
        <v>1</v>
      </c>
      <c r="D5" t="s">
        <v>0</v>
      </c>
      <c r="E5">
        <v>1329966</v>
      </c>
      <c r="F5" t="s">
        <v>1576</v>
      </c>
      <c r="G5" t="s">
        <v>1577</v>
      </c>
      <c r="H5" s="3">
        <v>0</v>
      </c>
      <c r="I5" s="3">
        <v>0</v>
      </c>
      <c r="J5" s="3">
        <v>0</v>
      </c>
      <c r="K5" s="3">
        <v>1523.41</v>
      </c>
      <c r="L5" s="3">
        <v>0</v>
      </c>
      <c r="M5" s="3">
        <v>0</v>
      </c>
      <c r="N5" s="3">
        <v>0</v>
      </c>
      <c r="O5" s="3">
        <v>198.04330000000002</v>
      </c>
      <c r="P5" s="3">
        <v>1721.4533000000001</v>
      </c>
      <c r="R5" t="s">
        <v>8200</v>
      </c>
      <c r="S5" t="s">
        <v>8345</v>
      </c>
      <c r="T5" s="3">
        <v>15.23</v>
      </c>
    </row>
    <row r="6" spans="1:20" x14ac:dyDescent="0.25">
      <c r="A6" t="s">
        <v>8611</v>
      </c>
      <c r="B6" t="s">
        <v>8887</v>
      </c>
      <c r="C6" t="s">
        <v>1</v>
      </c>
      <c r="D6" t="s">
        <v>0</v>
      </c>
      <c r="E6">
        <v>1329962</v>
      </c>
      <c r="F6" t="s">
        <v>1576</v>
      </c>
      <c r="G6" t="s">
        <v>1577</v>
      </c>
      <c r="H6" s="3">
        <v>0</v>
      </c>
      <c r="I6" s="3">
        <v>0</v>
      </c>
      <c r="J6" s="3">
        <v>0</v>
      </c>
      <c r="K6" s="3">
        <v>1493.88</v>
      </c>
      <c r="L6" s="3">
        <v>0</v>
      </c>
      <c r="M6" s="3">
        <v>0</v>
      </c>
      <c r="N6" s="3">
        <v>0</v>
      </c>
      <c r="O6" s="3">
        <v>194.20440000000002</v>
      </c>
      <c r="P6" s="3">
        <v>1688.0844000000002</v>
      </c>
      <c r="R6" t="s">
        <v>8200</v>
      </c>
      <c r="S6" t="s">
        <v>8345</v>
      </c>
      <c r="T6" s="3">
        <v>14.94</v>
      </c>
    </row>
    <row r="7" spans="1:20" x14ac:dyDescent="0.25">
      <c r="A7" t="s">
        <v>8611</v>
      </c>
      <c r="B7" t="s">
        <v>8887</v>
      </c>
      <c r="C7" t="s">
        <v>1</v>
      </c>
      <c r="D7" t="s">
        <v>0</v>
      </c>
      <c r="E7">
        <v>1332546</v>
      </c>
      <c r="F7" t="s">
        <v>1576</v>
      </c>
      <c r="G7" t="s">
        <v>1577</v>
      </c>
      <c r="H7" s="3">
        <v>0</v>
      </c>
      <c r="I7" s="3">
        <v>0</v>
      </c>
      <c r="J7" s="3">
        <v>0</v>
      </c>
      <c r="K7" s="3">
        <v>3990</v>
      </c>
      <c r="L7" s="3">
        <v>0</v>
      </c>
      <c r="M7" s="3">
        <v>0</v>
      </c>
      <c r="N7" s="3">
        <v>0</v>
      </c>
      <c r="O7" s="3">
        <v>518.70000000000005</v>
      </c>
      <c r="P7" s="3">
        <v>4508.7</v>
      </c>
      <c r="R7" t="s">
        <v>8200</v>
      </c>
      <c r="S7" t="s">
        <v>8345</v>
      </c>
      <c r="T7" s="3">
        <v>39.9</v>
      </c>
    </row>
    <row r="8" spans="1:20" hidden="1" x14ac:dyDescent="0.25">
      <c r="A8" t="s">
        <v>8611</v>
      </c>
      <c r="B8" t="s">
        <v>8887</v>
      </c>
      <c r="C8" t="s">
        <v>1</v>
      </c>
      <c r="D8" t="s">
        <v>0</v>
      </c>
      <c r="E8">
        <v>1520</v>
      </c>
      <c r="F8" t="s">
        <v>131</v>
      </c>
      <c r="G8" t="s">
        <v>132</v>
      </c>
      <c r="H8" s="3">
        <v>0</v>
      </c>
      <c r="I8" s="3">
        <v>0</v>
      </c>
      <c r="J8" s="3">
        <v>0</v>
      </c>
      <c r="K8" s="3">
        <v>431.75</v>
      </c>
      <c r="L8" s="3">
        <v>0</v>
      </c>
      <c r="M8" s="3">
        <v>0</v>
      </c>
      <c r="N8" s="3">
        <v>0</v>
      </c>
      <c r="O8" s="3">
        <v>56.127500000000005</v>
      </c>
      <c r="P8" s="3">
        <v>487.8775</v>
      </c>
      <c r="R8" t="s">
        <v>8200</v>
      </c>
      <c r="S8" t="s">
        <v>8046</v>
      </c>
      <c r="T8" s="3">
        <v>0</v>
      </c>
    </row>
    <row r="9" spans="1:20" x14ac:dyDescent="0.25">
      <c r="A9" t="s">
        <v>8611</v>
      </c>
      <c r="B9" t="s">
        <v>8887</v>
      </c>
      <c r="C9" t="s">
        <v>1</v>
      </c>
      <c r="D9" t="s">
        <v>0</v>
      </c>
      <c r="E9">
        <v>993025</v>
      </c>
      <c r="F9" t="s">
        <v>2440</v>
      </c>
      <c r="G9" t="s">
        <v>2441</v>
      </c>
      <c r="H9" s="3">
        <v>0</v>
      </c>
      <c r="I9" s="3">
        <v>0</v>
      </c>
      <c r="J9" s="3">
        <v>0</v>
      </c>
      <c r="K9" s="3">
        <v>602.09</v>
      </c>
      <c r="L9" s="3">
        <v>0</v>
      </c>
      <c r="M9" s="3">
        <v>0</v>
      </c>
      <c r="N9" s="3">
        <v>0</v>
      </c>
      <c r="O9" s="3">
        <v>78.27170000000001</v>
      </c>
      <c r="P9" s="3">
        <v>680.36170000000004</v>
      </c>
      <c r="R9" t="s">
        <v>8200</v>
      </c>
      <c r="S9" t="s">
        <v>8359</v>
      </c>
      <c r="T9" s="3">
        <v>6.02</v>
      </c>
    </row>
    <row r="10" spans="1:20" hidden="1" x14ac:dyDescent="0.25">
      <c r="A10" t="s">
        <v>8611</v>
      </c>
      <c r="B10" t="s">
        <v>8873</v>
      </c>
      <c r="C10" t="s">
        <v>1</v>
      </c>
      <c r="D10" t="s">
        <v>0</v>
      </c>
      <c r="E10">
        <v>271</v>
      </c>
      <c r="F10" t="s">
        <v>8500</v>
      </c>
      <c r="G10" t="s">
        <v>8501</v>
      </c>
      <c r="H10" s="3">
        <v>0</v>
      </c>
      <c r="I10" s="3">
        <v>0</v>
      </c>
      <c r="J10" s="3">
        <v>0</v>
      </c>
      <c r="K10" s="3">
        <v>690.27</v>
      </c>
      <c r="L10" s="3">
        <v>0</v>
      </c>
      <c r="M10" s="3">
        <v>0</v>
      </c>
      <c r="N10" s="3">
        <v>0</v>
      </c>
      <c r="O10" s="3">
        <v>89.735100000000003</v>
      </c>
      <c r="P10" s="3">
        <v>780.00509999999997</v>
      </c>
      <c r="R10" t="s">
        <v>8200</v>
      </c>
      <c r="S10" t="s">
        <v>8046</v>
      </c>
      <c r="T10" s="3">
        <v>0</v>
      </c>
    </row>
    <row r="11" spans="1:20" hidden="1" x14ac:dyDescent="0.25">
      <c r="A11" t="s">
        <v>8611</v>
      </c>
      <c r="B11" t="s">
        <v>8875</v>
      </c>
      <c r="C11" t="s">
        <v>1</v>
      </c>
      <c r="D11" t="s">
        <v>0</v>
      </c>
      <c r="E11">
        <v>1121</v>
      </c>
      <c r="F11" t="s">
        <v>8350</v>
      </c>
      <c r="G11" t="s">
        <v>8351</v>
      </c>
      <c r="H11" s="3">
        <v>0</v>
      </c>
      <c r="I11" s="3">
        <v>0</v>
      </c>
      <c r="J11" s="3">
        <v>0</v>
      </c>
      <c r="K11" s="3">
        <v>186.01</v>
      </c>
      <c r="L11" s="3">
        <v>0</v>
      </c>
      <c r="M11" s="3">
        <v>0</v>
      </c>
      <c r="N11" s="3">
        <v>0</v>
      </c>
      <c r="O11" s="3">
        <v>24.1813</v>
      </c>
      <c r="P11" s="3">
        <v>210.19129999999998</v>
      </c>
      <c r="R11" t="s">
        <v>8200</v>
      </c>
      <c r="S11" t="s">
        <v>8046</v>
      </c>
      <c r="T11" s="3">
        <v>0</v>
      </c>
    </row>
    <row r="12" spans="1:20" hidden="1" x14ac:dyDescent="0.25">
      <c r="A12" t="s">
        <v>8611</v>
      </c>
      <c r="B12" t="s">
        <v>8875</v>
      </c>
      <c r="C12" t="s">
        <v>1</v>
      </c>
      <c r="D12" t="s">
        <v>0</v>
      </c>
      <c r="E12">
        <v>1656</v>
      </c>
      <c r="F12" t="s">
        <v>294</v>
      </c>
      <c r="G12" t="s">
        <v>295</v>
      </c>
      <c r="H12" s="3">
        <v>0</v>
      </c>
      <c r="I12" s="3">
        <v>0</v>
      </c>
      <c r="J12" s="3">
        <v>0</v>
      </c>
      <c r="K12" s="3">
        <v>325.22000000000003</v>
      </c>
      <c r="L12" s="3">
        <v>0</v>
      </c>
      <c r="M12" s="3">
        <v>0</v>
      </c>
      <c r="N12" s="3">
        <v>0</v>
      </c>
      <c r="O12" s="3">
        <v>42.278600000000004</v>
      </c>
      <c r="P12" s="3">
        <v>367.49860000000001</v>
      </c>
      <c r="R12" t="s">
        <v>8200</v>
      </c>
      <c r="S12" t="s">
        <v>8046</v>
      </c>
      <c r="T12" s="3">
        <v>0</v>
      </c>
    </row>
    <row r="13" spans="1:20" hidden="1" x14ac:dyDescent="0.25">
      <c r="A13" t="s">
        <v>8611</v>
      </c>
      <c r="B13" t="s">
        <v>8891</v>
      </c>
      <c r="C13" t="s">
        <v>1</v>
      </c>
      <c r="D13" t="s">
        <v>0</v>
      </c>
      <c r="E13">
        <v>1329</v>
      </c>
      <c r="F13" t="s">
        <v>131</v>
      </c>
      <c r="G13" t="s">
        <v>132</v>
      </c>
      <c r="H13" s="3">
        <v>0</v>
      </c>
      <c r="I13" s="3">
        <v>0</v>
      </c>
      <c r="J13" s="3">
        <v>0</v>
      </c>
      <c r="K13" s="3">
        <v>2587.7600000000002</v>
      </c>
      <c r="L13" s="3">
        <v>0</v>
      </c>
      <c r="M13" s="3">
        <v>0</v>
      </c>
      <c r="N13" s="3">
        <v>0</v>
      </c>
      <c r="O13" s="3">
        <v>336.40880000000004</v>
      </c>
      <c r="P13" s="3">
        <v>2924.1688000000004</v>
      </c>
      <c r="R13" t="s">
        <v>8200</v>
      </c>
      <c r="S13" t="s">
        <v>8046</v>
      </c>
      <c r="T13" s="3">
        <v>0</v>
      </c>
    </row>
    <row r="14" spans="1:20" x14ac:dyDescent="0.25">
      <c r="A14" t="s">
        <v>8611</v>
      </c>
      <c r="B14" t="s">
        <v>8880</v>
      </c>
      <c r="C14" t="s">
        <v>1</v>
      </c>
      <c r="D14" t="s">
        <v>0</v>
      </c>
      <c r="E14">
        <v>5203</v>
      </c>
      <c r="F14" t="s">
        <v>2436</v>
      </c>
      <c r="G14" t="s">
        <v>2437</v>
      </c>
      <c r="H14" s="3">
        <v>0</v>
      </c>
      <c r="I14" s="3">
        <v>0</v>
      </c>
      <c r="J14" s="3">
        <v>0</v>
      </c>
      <c r="K14" s="3">
        <v>776.05</v>
      </c>
      <c r="L14" s="3">
        <v>0</v>
      </c>
      <c r="M14" s="3">
        <v>0</v>
      </c>
      <c r="N14" s="3">
        <v>0</v>
      </c>
      <c r="O14" s="3">
        <v>100.8865</v>
      </c>
      <c r="P14" s="3">
        <v>876.93649999999991</v>
      </c>
      <c r="R14" t="s">
        <v>8200</v>
      </c>
      <c r="S14" t="s">
        <v>8750</v>
      </c>
      <c r="T14" s="3">
        <v>7.76</v>
      </c>
    </row>
    <row r="15" spans="1:20" x14ac:dyDescent="0.25">
      <c r="A15" t="s">
        <v>8611</v>
      </c>
      <c r="B15" t="s">
        <v>8891</v>
      </c>
      <c r="C15" t="s">
        <v>1</v>
      </c>
      <c r="D15" t="s">
        <v>0</v>
      </c>
      <c r="E15">
        <v>64180</v>
      </c>
      <c r="F15" t="s">
        <v>2998</v>
      </c>
      <c r="G15" t="s">
        <v>2999</v>
      </c>
      <c r="H15" s="3">
        <v>0</v>
      </c>
      <c r="I15" s="3">
        <v>0</v>
      </c>
      <c r="J15" s="3">
        <v>0</v>
      </c>
      <c r="K15" s="3">
        <v>1334.61</v>
      </c>
      <c r="L15" s="3">
        <v>0</v>
      </c>
      <c r="M15" s="3">
        <v>0</v>
      </c>
      <c r="N15" s="3">
        <v>0</v>
      </c>
      <c r="O15" s="3">
        <v>173.49930000000001</v>
      </c>
      <c r="P15" s="3">
        <v>1508.1092999999998</v>
      </c>
      <c r="R15" t="s">
        <v>8200</v>
      </c>
      <c r="S15" t="s">
        <v>8345</v>
      </c>
      <c r="T15" s="3">
        <v>13.35</v>
      </c>
    </row>
    <row r="16" spans="1:20" x14ac:dyDescent="0.25">
      <c r="A16" t="s">
        <v>8611</v>
      </c>
      <c r="B16" t="s">
        <v>8891</v>
      </c>
      <c r="C16" t="s">
        <v>1</v>
      </c>
      <c r="D16" t="s">
        <v>0</v>
      </c>
      <c r="E16">
        <v>835</v>
      </c>
      <c r="F16" t="s">
        <v>1200</v>
      </c>
      <c r="G16" t="s">
        <v>1201</v>
      </c>
      <c r="H16" s="3">
        <v>0</v>
      </c>
      <c r="I16" s="3">
        <v>0</v>
      </c>
      <c r="J16" s="3">
        <v>0</v>
      </c>
      <c r="K16" s="3">
        <v>6041.6</v>
      </c>
      <c r="L16" s="3">
        <v>0</v>
      </c>
      <c r="M16" s="3">
        <v>0</v>
      </c>
      <c r="N16" s="3">
        <v>0</v>
      </c>
      <c r="O16" s="3">
        <v>785.40800000000013</v>
      </c>
      <c r="P16" s="3">
        <v>6827.0080000000007</v>
      </c>
      <c r="R16" t="s">
        <v>8200</v>
      </c>
      <c r="S16" t="s">
        <v>8341</v>
      </c>
      <c r="T16" s="3">
        <v>60.42</v>
      </c>
    </row>
    <row r="17" spans="1:20" x14ac:dyDescent="0.25">
      <c r="A17" t="s">
        <v>8611</v>
      </c>
      <c r="B17" t="s">
        <v>8891</v>
      </c>
      <c r="C17" t="s">
        <v>1</v>
      </c>
      <c r="D17" t="s">
        <v>0</v>
      </c>
      <c r="E17">
        <v>848</v>
      </c>
      <c r="F17" t="s">
        <v>1200</v>
      </c>
      <c r="G17" t="s">
        <v>1201</v>
      </c>
      <c r="H17" s="3">
        <v>0</v>
      </c>
      <c r="I17" s="3">
        <v>0</v>
      </c>
      <c r="J17" s="3">
        <v>0</v>
      </c>
      <c r="K17" s="3">
        <v>3813.1</v>
      </c>
      <c r="L17" s="3">
        <v>0</v>
      </c>
      <c r="M17" s="3">
        <v>0</v>
      </c>
      <c r="N17" s="3">
        <v>0</v>
      </c>
      <c r="O17" s="3">
        <v>495.70300000000003</v>
      </c>
      <c r="P17" s="3">
        <v>4308.8029999999999</v>
      </c>
      <c r="R17" t="s">
        <v>8200</v>
      </c>
      <c r="S17" t="s">
        <v>8341</v>
      </c>
      <c r="T17" s="3">
        <v>38.14</v>
      </c>
    </row>
    <row r="18" spans="1:20" x14ac:dyDescent="0.25">
      <c r="A18" t="s">
        <v>8611</v>
      </c>
      <c r="B18" t="s">
        <v>8818</v>
      </c>
      <c r="C18" t="s">
        <v>1</v>
      </c>
      <c r="D18" t="s">
        <v>0</v>
      </c>
      <c r="E18">
        <v>793</v>
      </c>
      <c r="F18" t="s">
        <v>1200</v>
      </c>
      <c r="G18" t="s">
        <v>1201</v>
      </c>
      <c r="H18" s="3">
        <v>0</v>
      </c>
      <c r="I18" s="3">
        <v>0</v>
      </c>
      <c r="J18" s="3">
        <v>0</v>
      </c>
      <c r="K18" s="3">
        <v>336</v>
      </c>
      <c r="L18" s="3">
        <v>0</v>
      </c>
      <c r="M18" s="3">
        <v>0</v>
      </c>
      <c r="N18" s="3">
        <v>0</v>
      </c>
      <c r="O18" s="3">
        <v>43.68</v>
      </c>
      <c r="P18" s="3">
        <v>379.68</v>
      </c>
      <c r="R18" t="s">
        <v>8200</v>
      </c>
      <c r="S18" t="s">
        <v>8341</v>
      </c>
      <c r="T18" s="3">
        <v>3.36</v>
      </c>
    </row>
    <row r="19" spans="1:20" x14ac:dyDescent="0.25">
      <c r="A19" t="s">
        <v>8611</v>
      </c>
      <c r="B19" t="s">
        <v>8881</v>
      </c>
      <c r="C19" t="s">
        <v>1</v>
      </c>
      <c r="D19" t="s">
        <v>0</v>
      </c>
      <c r="E19">
        <v>799</v>
      </c>
      <c r="F19" t="s">
        <v>1200</v>
      </c>
      <c r="G19" t="s">
        <v>1201</v>
      </c>
      <c r="H19" s="3">
        <v>0</v>
      </c>
      <c r="I19" s="3">
        <v>0</v>
      </c>
      <c r="J19" s="3">
        <v>0</v>
      </c>
      <c r="K19" s="3">
        <v>1222</v>
      </c>
      <c r="L19" s="3">
        <v>0</v>
      </c>
      <c r="M19" s="3">
        <v>0</v>
      </c>
      <c r="N19" s="3">
        <v>0</v>
      </c>
      <c r="O19" s="3">
        <v>158.86000000000001</v>
      </c>
      <c r="P19" s="3">
        <v>1380.8600000000001</v>
      </c>
      <c r="R19" t="s">
        <v>8200</v>
      </c>
      <c r="S19" t="s">
        <v>8341</v>
      </c>
      <c r="T19" s="3">
        <v>12.22</v>
      </c>
    </row>
    <row r="20" spans="1:20" x14ac:dyDescent="0.25">
      <c r="A20" t="s">
        <v>8611</v>
      </c>
      <c r="B20" t="s">
        <v>8876</v>
      </c>
      <c r="C20" t="s">
        <v>1</v>
      </c>
      <c r="D20" t="s">
        <v>0</v>
      </c>
      <c r="E20">
        <v>867</v>
      </c>
      <c r="F20" t="s">
        <v>1200</v>
      </c>
      <c r="G20" t="s">
        <v>1201</v>
      </c>
      <c r="H20" s="3">
        <v>0</v>
      </c>
      <c r="I20" s="3">
        <v>0</v>
      </c>
      <c r="J20" s="3">
        <v>0</v>
      </c>
      <c r="K20" s="3">
        <v>2500</v>
      </c>
      <c r="L20" s="3">
        <v>0</v>
      </c>
      <c r="M20" s="3">
        <v>0</v>
      </c>
      <c r="N20" s="3">
        <v>0</v>
      </c>
      <c r="O20" s="3">
        <v>325</v>
      </c>
      <c r="P20" s="3">
        <v>2825</v>
      </c>
      <c r="R20" t="s">
        <v>8200</v>
      </c>
      <c r="S20" t="s">
        <v>8341</v>
      </c>
      <c r="T20" s="3">
        <v>25</v>
      </c>
    </row>
    <row r="21" spans="1:20" x14ac:dyDescent="0.25">
      <c r="A21" t="s">
        <v>8611</v>
      </c>
      <c r="B21" t="s">
        <v>8876</v>
      </c>
      <c r="C21" t="s">
        <v>1</v>
      </c>
      <c r="D21" t="s">
        <v>0</v>
      </c>
      <c r="E21">
        <v>1036</v>
      </c>
      <c r="F21" t="s">
        <v>1200</v>
      </c>
      <c r="G21" t="s">
        <v>1201</v>
      </c>
      <c r="H21" s="3">
        <v>0</v>
      </c>
      <c r="I21" s="3">
        <v>0</v>
      </c>
      <c r="J21" s="3">
        <v>0</v>
      </c>
      <c r="K21" s="3">
        <v>2536.3000000000002</v>
      </c>
      <c r="L21" s="3">
        <v>0</v>
      </c>
      <c r="M21" s="3">
        <v>0</v>
      </c>
      <c r="N21" s="3">
        <v>0</v>
      </c>
      <c r="O21" s="3">
        <v>329.71900000000005</v>
      </c>
      <c r="P21" s="3">
        <v>2866.0190000000002</v>
      </c>
      <c r="R21" t="s">
        <v>8200</v>
      </c>
      <c r="S21" t="s">
        <v>8341</v>
      </c>
      <c r="T21" s="3">
        <v>25.37</v>
      </c>
    </row>
    <row r="22" spans="1:20" x14ac:dyDescent="0.25">
      <c r="A22" t="s">
        <v>8611</v>
      </c>
      <c r="B22" t="s">
        <v>8886</v>
      </c>
      <c r="C22" t="s">
        <v>1</v>
      </c>
      <c r="D22" t="s">
        <v>0</v>
      </c>
      <c r="E22">
        <v>1168</v>
      </c>
      <c r="F22" t="s">
        <v>1200</v>
      </c>
      <c r="G22" t="s">
        <v>1201</v>
      </c>
      <c r="H22" s="3">
        <v>0</v>
      </c>
      <c r="I22" s="3">
        <v>0</v>
      </c>
      <c r="J22" s="3">
        <v>0</v>
      </c>
      <c r="K22" s="3">
        <v>2700</v>
      </c>
      <c r="L22" s="3">
        <v>0</v>
      </c>
      <c r="M22" s="3">
        <v>0</v>
      </c>
      <c r="N22" s="3">
        <v>0</v>
      </c>
      <c r="O22" s="3">
        <v>351</v>
      </c>
      <c r="P22" s="3">
        <v>3051</v>
      </c>
      <c r="R22" t="s">
        <v>8200</v>
      </c>
      <c r="S22" t="s">
        <v>8341</v>
      </c>
      <c r="T22" s="3">
        <v>27</v>
      </c>
    </row>
    <row r="23" spans="1:20" x14ac:dyDescent="0.25">
      <c r="A23" t="s">
        <v>8611</v>
      </c>
      <c r="B23" t="s">
        <v>8886</v>
      </c>
      <c r="C23" t="s">
        <v>1</v>
      </c>
      <c r="D23" t="s">
        <v>0</v>
      </c>
      <c r="E23">
        <v>1136</v>
      </c>
      <c r="F23" t="s">
        <v>1200</v>
      </c>
      <c r="G23" t="s">
        <v>1201</v>
      </c>
      <c r="H23" s="3">
        <v>0</v>
      </c>
      <c r="I23" s="3">
        <v>0</v>
      </c>
      <c r="J23" s="3">
        <v>0</v>
      </c>
      <c r="K23" s="3">
        <v>3507</v>
      </c>
      <c r="L23" s="3">
        <v>0</v>
      </c>
      <c r="M23" s="3">
        <v>0</v>
      </c>
      <c r="N23" s="3">
        <v>0</v>
      </c>
      <c r="O23" s="3">
        <v>455.91</v>
      </c>
      <c r="P23" s="3">
        <v>3962.91</v>
      </c>
      <c r="R23" t="s">
        <v>8200</v>
      </c>
      <c r="S23" t="s">
        <v>8341</v>
      </c>
      <c r="T23" s="3">
        <v>35.07</v>
      </c>
    </row>
    <row r="24" spans="1:20" x14ac:dyDescent="0.25">
      <c r="A24" t="s">
        <v>8611</v>
      </c>
      <c r="B24" t="s">
        <v>8870</v>
      </c>
      <c r="C24" t="s">
        <v>1</v>
      </c>
      <c r="D24" t="s">
        <v>0</v>
      </c>
      <c r="E24">
        <v>1172</v>
      </c>
      <c r="F24" t="s">
        <v>1200</v>
      </c>
      <c r="G24" t="s">
        <v>1201</v>
      </c>
      <c r="H24" s="3">
        <v>0</v>
      </c>
      <c r="I24" s="3">
        <v>0</v>
      </c>
      <c r="J24" s="3">
        <v>0</v>
      </c>
      <c r="K24" s="3">
        <v>3300</v>
      </c>
      <c r="L24" s="3">
        <v>0</v>
      </c>
      <c r="M24" s="3">
        <v>0</v>
      </c>
      <c r="N24" s="3">
        <v>0</v>
      </c>
      <c r="O24" s="3">
        <v>429</v>
      </c>
      <c r="P24" s="3">
        <v>3729</v>
      </c>
      <c r="R24" t="s">
        <v>8200</v>
      </c>
      <c r="S24" t="s">
        <v>8341</v>
      </c>
      <c r="T24" s="3">
        <v>33</v>
      </c>
    </row>
    <row r="25" spans="1:20" x14ac:dyDescent="0.25">
      <c r="A25" t="s">
        <v>8611</v>
      </c>
      <c r="B25" t="s">
        <v>8870</v>
      </c>
      <c r="C25" t="s">
        <v>1</v>
      </c>
      <c r="D25" t="s">
        <v>0</v>
      </c>
      <c r="E25">
        <v>1231</v>
      </c>
      <c r="F25" t="s">
        <v>1200</v>
      </c>
      <c r="G25" t="s">
        <v>1201</v>
      </c>
      <c r="H25" s="3">
        <v>0</v>
      </c>
      <c r="I25" s="3">
        <v>0</v>
      </c>
      <c r="J25" s="3">
        <v>0</v>
      </c>
      <c r="K25" s="3">
        <v>3780.9</v>
      </c>
      <c r="L25" s="3">
        <v>0</v>
      </c>
      <c r="M25" s="3">
        <v>0</v>
      </c>
      <c r="N25" s="3">
        <v>0</v>
      </c>
      <c r="O25" s="3">
        <v>491.51700000000005</v>
      </c>
      <c r="P25" s="3">
        <v>4272.4170000000004</v>
      </c>
      <c r="R25" t="s">
        <v>8200</v>
      </c>
      <c r="S25" t="s">
        <v>8341</v>
      </c>
      <c r="T25" s="3">
        <v>37.81</v>
      </c>
    </row>
    <row r="26" spans="1:20" hidden="1" x14ac:dyDescent="0.25">
      <c r="A26" t="s">
        <v>8611</v>
      </c>
      <c r="B26" t="s">
        <v>8893</v>
      </c>
      <c r="C26" t="s">
        <v>1</v>
      </c>
      <c r="D26" t="s">
        <v>0</v>
      </c>
      <c r="E26">
        <v>5002</v>
      </c>
      <c r="F26" t="s">
        <v>2436</v>
      </c>
      <c r="G26" t="s">
        <v>2437</v>
      </c>
      <c r="H26" s="3">
        <v>0</v>
      </c>
      <c r="I26" s="3">
        <v>0</v>
      </c>
      <c r="J26" s="3">
        <v>0</v>
      </c>
      <c r="K26" s="3">
        <v>51.91</v>
      </c>
      <c r="L26" s="3">
        <v>0</v>
      </c>
      <c r="M26" s="3">
        <v>0</v>
      </c>
      <c r="N26" s="3">
        <v>0</v>
      </c>
      <c r="O26" s="3">
        <v>6.7482999999999995</v>
      </c>
      <c r="P26" s="3">
        <v>58.658299999999997</v>
      </c>
      <c r="R26" t="s">
        <v>8200</v>
      </c>
      <c r="S26" t="s">
        <v>8046</v>
      </c>
      <c r="T26" s="3">
        <v>0</v>
      </c>
    </row>
    <row r="27" spans="1:20" x14ac:dyDescent="0.25">
      <c r="A27" t="s">
        <v>8611</v>
      </c>
      <c r="B27" t="s">
        <v>8888</v>
      </c>
      <c r="C27" t="s">
        <v>1</v>
      </c>
      <c r="D27" t="s">
        <v>0</v>
      </c>
      <c r="E27">
        <v>1000</v>
      </c>
      <c r="F27" t="s">
        <v>1200</v>
      </c>
      <c r="G27" t="s">
        <v>1201</v>
      </c>
      <c r="H27" s="3">
        <v>0</v>
      </c>
      <c r="I27" s="3">
        <v>0</v>
      </c>
      <c r="J27" s="3">
        <v>0</v>
      </c>
      <c r="K27" s="3">
        <v>1116.8</v>
      </c>
      <c r="L27" s="3">
        <v>0</v>
      </c>
      <c r="M27" s="3">
        <v>0</v>
      </c>
      <c r="N27" s="3">
        <v>0</v>
      </c>
      <c r="O27" s="3">
        <v>145.184</v>
      </c>
      <c r="P27" s="3">
        <v>1261.9839999999999</v>
      </c>
      <c r="R27" t="s">
        <v>8200</v>
      </c>
      <c r="S27" t="s">
        <v>8341</v>
      </c>
      <c r="T27" s="3">
        <v>11.17</v>
      </c>
    </row>
    <row r="28" spans="1:20" x14ac:dyDescent="0.25">
      <c r="A28" t="s">
        <v>8611</v>
      </c>
      <c r="B28" t="s">
        <v>8888</v>
      </c>
      <c r="C28" t="s">
        <v>1</v>
      </c>
      <c r="D28" t="s">
        <v>0</v>
      </c>
      <c r="E28">
        <v>999</v>
      </c>
      <c r="F28" t="s">
        <v>1200</v>
      </c>
      <c r="G28" t="s">
        <v>1201</v>
      </c>
      <c r="H28" s="3">
        <v>0</v>
      </c>
      <c r="I28" s="3">
        <v>0</v>
      </c>
      <c r="J28" s="3">
        <v>0</v>
      </c>
      <c r="K28" s="3">
        <v>5487.34</v>
      </c>
      <c r="L28" s="3">
        <v>0</v>
      </c>
      <c r="M28" s="3">
        <v>0</v>
      </c>
      <c r="N28" s="3">
        <v>0</v>
      </c>
      <c r="O28" s="3">
        <v>713.35419999999999</v>
      </c>
      <c r="P28" s="3">
        <v>6200.6941999999999</v>
      </c>
      <c r="R28" t="s">
        <v>8200</v>
      </c>
      <c r="S28" t="s">
        <v>8341</v>
      </c>
      <c r="T28" s="3">
        <v>54.88</v>
      </c>
    </row>
    <row r="29" spans="1:20" x14ac:dyDescent="0.25">
      <c r="A29" t="s">
        <v>8611</v>
      </c>
      <c r="B29" t="s">
        <v>8877</v>
      </c>
      <c r="C29" t="s">
        <v>1</v>
      </c>
      <c r="D29" t="s">
        <v>0</v>
      </c>
      <c r="E29">
        <v>65862</v>
      </c>
      <c r="F29" t="s">
        <v>2998</v>
      </c>
      <c r="G29" t="s">
        <v>2999</v>
      </c>
      <c r="H29" s="3">
        <v>0</v>
      </c>
      <c r="I29" s="3">
        <v>0</v>
      </c>
      <c r="J29" s="3">
        <v>0</v>
      </c>
      <c r="K29" s="3">
        <v>712.5</v>
      </c>
      <c r="L29" s="3">
        <v>0</v>
      </c>
      <c r="M29" s="3">
        <v>0</v>
      </c>
      <c r="N29" s="3">
        <v>0</v>
      </c>
      <c r="O29" s="3">
        <v>92.625</v>
      </c>
      <c r="P29" s="3">
        <v>805.125</v>
      </c>
      <c r="R29" t="s">
        <v>8200</v>
      </c>
      <c r="S29" t="s">
        <v>8345</v>
      </c>
      <c r="T29" s="3">
        <v>7.13</v>
      </c>
    </row>
    <row r="30" spans="1:20" hidden="1" x14ac:dyDescent="0.25">
      <c r="A30" t="s">
        <v>8611</v>
      </c>
      <c r="B30" t="s">
        <v>8889</v>
      </c>
      <c r="C30" t="s">
        <v>1</v>
      </c>
      <c r="D30" t="s">
        <v>0</v>
      </c>
      <c r="E30">
        <v>949</v>
      </c>
      <c r="F30" t="s">
        <v>1200</v>
      </c>
      <c r="G30" t="s">
        <v>1201</v>
      </c>
      <c r="H30" s="3">
        <v>0</v>
      </c>
      <c r="I30" s="3">
        <v>0</v>
      </c>
      <c r="J30" s="3">
        <v>0</v>
      </c>
      <c r="K30" s="3">
        <v>44</v>
      </c>
      <c r="L30" s="3">
        <v>0</v>
      </c>
      <c r="M30" s="3">
        <v>0</v>
      </c>
      <c r="N30" s="3">
        <v>0</v>
      </c>
      <c r="O30" s="3">
        <v>5.7200000000000006</v>
      </c>
      <c r="P30" s="3">
        <v>49.72</v>
      </c>
      <c r="R30" t="s">
        <v>8200</v>
      </c>
      <c r="S30" t="s">
        <v>8046</v>
      </c>
      <c r="T30" s="3">
        <v>0</v>
      </c>
    </row>
    <row r="31" spans="1:20" hidden="1" x14ac:dyDescent="0.25">
      <c r="A31" t="s">
        <v>8611</v>
      </c>
      <c r="B31" t="s">
        <v>8890</v>
      </c>
      <c r="C31" t="s">
        <v>1</v>
      </c>
      <c r="D31" t="s">
        <v>0</v>
      </c>
      <c r="E31">
        <v>5285</v>
      </c>
      <c r="F31" t="s">
        <v>2436</v>
      </c>
      <c r="G31" t="s">
        <v>2437</v>
      </c>
      <c r="H31" s="3">
        <v>0</v>
      </c>
      <c r="I31" s="3">
        <v>0</v>
      </c>
      <c r="J31" s="3">
        <v>0</v>
      </c>
      <c r="K31" s="3">
        <v>181.5</v>
      </c>
      <c r="L31" s="3">
        <v>0</v>
      </c>
      <c r="M31" s="3">
        <v>0</v>
      </c>
      <c r="N31" s="3">
        <v>0</v>
      </c>
      <c r="O31" s="3">
        <v>23.595000000000002</v>
      </c>
      <c r="P31" s="3">
        <v>205.095</v>
      </c>
      <c r="R31" t="s">
        <v>8200</v>
      </c>
      <c r="S31" t="s">
        <v>8046</v>
      </c>
      <c r="T31" s="3">
        <v>0</v>
      </c>
    </row>
    <row r="32" spans="1:20" hidden="1" x14ac:dyDescent="0.25">
      <c r="A32" t="s">
        <v>8611</v>
      </c>
      <c r="B32" t="s">
        <v>8878</v>
      </c>
      <c r="C32" t="s">
        <v>1</v>
      </c>
      <c r="D32" t="s">
        <v>0</v>
      </c>
      <c r="E32">
        <v>320487</v>
      </c>
      <c r="F32" t="s">
        <v>2701</v>
      </c>
      <c r="G32" t="s">
        <v>2702</v>
      </c>
      <c r="H32" s="3">
        <v>0</v>
      </c>
      <c r="I32" s="3">
        <v>0</v>
      </c>
      <c r="J32" s="3">
        <v>0</v>
      </c>
      <c r="K32" s="3">
        <v>212.42</v>
      </c>
      <c r="L32" s="3">
        <v>0</v>
      </c>
      <c r="M32" s="3">
        <v>0</v>
      </c>
      <c r="N32" s="3">
        <v>0</v>
      </c>
      <c r="O32" s="3">
        <v>27.614599999999999</v>
      </c>
      <c r="P32" s="3">
        <v>240.03459999999998</v>
      </c>
      <c r="R32" t="s">
        <v>8200</v>
      </c>
      <c r="S32" t="s">
        <v>8046</v>
      </c>
      <c r="T32" s="3">
        <v>0</v>
      </c>
    </row>
    <row r="33" spans="1:21" hidden="1" x14ac:dyDescent="0.25">
      <c r="A33" t="s">
        <v>8611</v>
      </c>
      <c r="B33" t="s">
        <v>8890</v>
      </c>
      <c r="C33" t="s">
        <v>1</v>
      </c>
      <c r="D33" t="s">
        <v>0</v>
      </c>
      <c r="E33">
        <v>34540</v>
      </c>
      <c r="F33" t="s">
        <v>3019</v>
      </c>
      <c r="G33" t="s">
        <v>3020</v>
      </c>
      <c r="H33" s="3">
        <v>0</v>
      </c>
      <c r="I33" s="3">
        <v>0</v>
      </c>
      <c r="J33" s="3">
        <v>0</v>
      </c>
      <c r="K33" s="3">
        <v>309.02</v>
      </c>
      <c r="L33" s="3">
        <v>0</v>
      </c>
      <c r="M33" s="3">
        <v>0</v>
      </c>
      <c r="N33" s="3">
        <v>0</v>
      </c>
      <c r="O33" s="3">
        <v>40.172599999999996</v>
      </c>
      <c r="P33" s="3">
        <v>349.19259999999997</v>
      </c>
      <c r="R33" t="s">
        <v>8200</v>
      </c>
      <c r="S33" t="s">
        <v>8046</v>
      </c>
      <c r="T33" s="3">
        <v>0</v>
      </c>
    </row>
    <row r="34" spans="1:21" hidden="1" x14ac:dyDescent="0.25">
      <c r="A34" t="s">
        <v>8611</v>
      </c>
      <c r="B34" t="s">
        <v>8879</v>
      </c>
      <c r="C34" t="s">
        <v>1</v>
      </c>
      <c r="D34" t="s">
        <v>0</v>
      </c>
      <c r="E34">
        <v>2204</v>
      </c>
      <c r="F34" t="s">
        <v>2635</v>
      </c>
      <c r="G34" t="s">
        <v>2636</v>
      </c>
      <c r="H34" s="3">
        <v>0</v>
      </c>
      <c r="I34" s="3">
        <v>0</v>
      </c>
      <c r="J34" s="3">
        <v>0</v>
      </c>
      <c r="K34" s="3">
        <v>176.99</v>
      </c>
      <c r="L34" s="3">
        <v>0</v>
      </c>
      <c r="M34" s="3">
        <v>0</v>
      </c>
      <c r="N34" s="3">
        <v>0</v>
      </c>
      <c r="O34" s="3">
        <v>23.008700000000001</v>
      </c>
      <c r="P34" s="3">
        <v>199.99870000000001</v>
      </c>
      <c r="R34" t="s">
        <v>8200</v>
      </c>
      <c r="S34" t="s">
        <v>8046</v>
      </c>
      <c r="T34" s="3">
        <v>0</v>
      </c>
    </row>
    <row r="35" spans="1:21" hidden="1" x14ac:dyDescent="0.25">
      <c r="A35" t="s">
        <v>8611</v>
      </c>
      <c r="B35" t="s">
        <v>8879</v>
      </c>
      <c r="C35" t="s">
        <v>1</v>
      </c>
      <c r="D35" t="s">
        <v>0</v>
      </c>
      <c r="E35">
        <v>1357</v>
      </c>
      <c r="F35" t="s">
        <v>8865</v>
      </c>
      <c r="G35" t="s">
        <v>8866</v>
      </c>
      <c r="H35" s="3">
        <v>0</v>
      </c>
      <c r="I35" s="3">
        <v>0</v>
      </c>
      <c r="J35" s="3">
        <v>0</v>
      </c>
      <c r="K35" s="3">
        <v>140.54</v>
      </c>
      <c r="L35" s="3">
        <v>0</v>
      </c>
      <c r="M35" s="3">
        <v>0</v>
      </c>
      <c r="N35" s="3">
        <v>0</v>
      </c>
      <c r="O35" s="3">
        <v>18.270199999999999</v>
      </c>
      <c r="P35" s="3">
        <v>158.81019999999998</v>
      </c>
      <c r="R35" t="s">
        <v>8200</v>
      </c>
      <c r="S35" t="s">
        <v>8046</v>
      </c>
      <c r="T35" s="3">
        <v>0</v>
      </c>
    </row>
    <row r="36" spans="1:21" x14ac:dyDescent="0.25">
      <c r="A36" t="s">
        <v>8611</v>
      </c>
      <c r="B36" t="s">
        <v>8879</v>
      </c>
      <c r="C36" t="s">
        <v>1</v>
      </c>
      <c r="D36" t="s">
        <v>0</v>
      </c>
      <c r="E36">
        <v>915</v>
      </c>
      <c r="F36" t="s">
        <v>1200</v>
      </c>
      <c r="G36" t="s">
        <v>1201</v>
      </c>
      <c r="H36" s="3">
        <v>0</v>
      </c>
      <c r="I36" s="3">
        <v>0</v>
      </c>
      <c r="J36" s="3">
        <v>0</v>
      </c>
      <c r="K36" s="3">
        <v>1980</v>
      </c>
      <c r="L36" s="3">
        <v>0</v>
      </c>
      <c r="M36" s="3">
        <v>0</v>
      </c>
      <c r="N36" s="3">
        <v>0</v>
      </c>
      <c r="O36" s="3">
        <v>257.40000000000003</v>
      </c>
      <c r="P36" s="3">
        <v>2237.4</v>
      </c>
      <c r="R36" t="s">
        <v>8200</v>
      </c>
      <c r="S36" t="s">
        <v>8895</v>
      </c>
      <c r="T36" s="3">
        <v>19.8</v>
      </c>
    </row>
    <row r="37" spans="1:21" x14ac:dyDescent="0.25">
      <c r="A37" t="s">
        <v>8611</v>
      </c>
      <c r="B37" t="s">
        <v>8880</v>
      </c>
      <c r="C37" t="s">
        <v>1</v>
      </c>
      <c r="D37" t="s">
        <v>0</v>
      </c>
      <c r="E37">
        <v>18664</v>
      </c>
      <c r="F37" t="s">
        <v>1519</v>
      </c>
      <c r="G37" t="s">
        <v>1520</v>
      </c>
      <c r="H37" s="3">
        <v>0</v>
      </c>
      <c r="I37" s="3">
        <v>0</v>
      </c>
      <c r="J37" s="3">
        <v>0</v>
      </c>
      <c r="K37" s="3">
        <v>2205.7800000000002</v>
      </c>
      <c r="L37" s="3">
        <v>0</v>
      </c>
      <c r="M37" s="3">
        <v>0</v>
      </c>
      <c r="N37" s="3">
        <v>0</v>
      </c>
      <c r="O37" s="3">
        <v>286.75140000000005</v>
      </c>
      <c r="P37" s="3">
        <v>2492.5314000000003</v>
      </c>
      <c r="R37" t="s">
        <v>8200</v>
      </c>
      <c r="S37" t="s">
        <v>8341</v>
      </c>
      <c r="T37" s="3">
        <v>22.06</v>
      </c>
    </row>
    <row r="38" spans="1:21" hidden="1" x14ac:dyDescent="0.25">
      <c r="A38" t="s">
        <v>8611</v>
      </c>
      <c r="B38" t="s">
        <v>8880</v>
      </c>
      <c r="C38" t="s">
        <v>1</v>
      </c>
      <c r="D38" t="s">
        <v>0</v>
      </c>
      <c r="E38">
        <v>6915</v>
      </c>
      <c r="F38" t="s">
        <v>2256</v>
      </c>
      <c r="G38" t="s">
        <v>2257</v>
      </c>
      <c r="H38" s="3">
        <v>0</v>
      </c>
      <c r="I38" s="3">
        <v>0</v>
      </c>
      <c r="J38" s="3">
        <v>0</v>
      </c>
      <c r="K38" s="3">
        <v>85.3</v>
      </c>
      <c r="L38" s="3">
        <v>0</v>
      </c>
      <c r="M38" s="3">
        <v>0</v>
      </c>
      <c r="N38" s="3">
        <v>0</v>
      </c>
      <c r="O38" s="3">
        <v>11.089</v>
      </c>
      <c r="P38" s="3">
        <v>96.388999999999996</v>
      </c>
      <c r="R38" t="s">
        <v>8200</v>
      </c>
      <c r="S38" t="s">
        <v>8046</v>
      </c>
      <c r="T38" s="3">
        <v>0</v>
      </c>
    </row>
    <row r="39" spans="1:21" x14ac:dyDescent="0.25">
      <c r="A39" t="s">
        <v>8611</v>
      </c>
      <c r="B39" t="s">
        <v>8891</v>
      </c>
      <c r="C39" t="s">
        <v>1</v>
      </c>
      <c r="D39" t="s">
        <v>0</v>
      </c>
      <c r="E39">
        <v>6874</v>
      </c>
      <c r="F39" t="s">
        <v>2256</v>
      </c>
      <c r="G39" t="s">
        <v>2257</v>
      </c>
      <c r="H39" s="3">
        <v>0</v>
      </c>
      <c r="I39" s="3">
        <v>0</v>
      </c>
      <c r="J39" s="3">
        <v>0</v>
      </c>
      <c r="K39" s="3">
        <v>910.54</v>
      </c>
      <c r="L39" s="3">
        <v>0</v>
      </c>
      <c r="M39" s="3">
        <v>0</v>
      </c>
      <c r="N39" s="3">
        <v>0</v>
      </c>
      <c r="O39" s="3">
        <v>118.3702</v>
      </c>
      <c r="P39" s="3">
        <v>1028.9102</v>
      </c>
      <c r="R39" t="s">
        <v>8200</v>
      </c>
      <c r="S39" t="s">
        <v>8750</v>
      </c>
      <c r="T39" s="3">
        <v>9.11</v>
      </c>
    </row>
    <row r="40" spans="1:21" hidden="1" x14ac:dyDescent="0.25">
      <c r="A40" t="s">
        <v>8611</v>
      </c>
      <c r="B40" t="s">
        <v>8880</v>
      </c>
      <c r="C40" t="s">
        <v>1</v>
      </c>
      <c r="D40" t="s">
        <v>0</v>
      </c>
      <c r="E40">
        <v>52415</v>
      </c>
      <c r="F40" t="s">
        <v>3120</v>
      </c>
      <c r="G40" t="s">
        <v>3121</v>
      </c>
      <c r="H40" s="3">
        <v>0</v>
      </c>
      <c r="I40" s="3">
        <v>0</v>
      </c>
      <c r="J40" s="3">
        <v>0</v>
      </c>
      <c r="K40" s="3">
        <v>210.9</v>
      </c>
      <c r="L40" s="3">
        <v>0</v>
      </c>
      <c r="M40" s="3">
        <v>0</v>
      </c>
      <c r="N40" s="3">
        <v>0</v>
      </c>
      <c r="O40" s="3">
        <v>27.417000000000002</v>
      </c>
      <c r="P40" s="3">
        <v>238.31700000000001</v>
      </c>
      <c r="R40" t="s">
        <v>8200</v>
      </c>
      <c r="S40" t="s">
        <v>8046</v>
      </c>
      <c r="T40" s="3">
        <v>0</v>
      </c>
    </row>
    <row r="41" spans="1:21" hidden="1" x14ac:dyDescent="0.25">
      <c r="A41" t="s">
        <v>8611</v>
      </c>
      <c r="B41" t="s">
        <v>8880</v>
      </c>
      <c r="C41" t="s">
        <v>1</v>
      </c>
      <c r="D41" t="s">
        <v>0</v>
      </c>
      <c r="E41">
        <v>19550</v>
      </c>
      <c r="F41" t="s">
        <v>8383</v>
      </c>
      <c r="G41" t="s">
        <v>8384</v>
      </c>
      <c r="H41" s="3">
        <v>0</v>
      </c>
      <c r="I41" s="3">
        <v>0</v>
      </c>
      <c r="J41" s="3">
        <v>0</v>
      </c>
      <c r="K41" s="3">
        <v>261.57</v>
      </c>
      <c r="L41" s="3">
        <v>0</v>
      </c>
      <c r="M41" s="3">
        <v>0</v>
      </c>
      <c r="N41" s="3">
        <v>0</v>
      </c>
      <c r="O41" s="3">
        <v>34.004100000000001</v>
      </c>
      <c r="P41" s="3">
        <v>295.57409999999999</v>
      </c>
      <c r="R41" t="s">
        <v>8200</v>
      </c>
      <c r="S41" t="s">
        <v>8046</v>
      </c>
      <c r="T41" s="3">
        <v>0</v>
      </c>
    </row>
    <row r="42" spans="1:21" hidden="1" x14ac:dyDescent="0.25">
      <c r="A42" t="s">
        <v>8611</v>
      </c>
      <c r="B42" t="s">
        <v>8880</v>
      </c>
      <c r="C42" t="s">
        <v>1</v>
      </c>
      <c r="D42" t="s">
        <v>0</v>
      </c>
      <c r="E42">
        <v>5245</v>
      </c>
      <c r="F42" t="s">
        <v>2436</v>
      </c>
      <c r="G42" t="s">
        <v>2437</v>
      </c>
      <c r="H42" s="3">
        <v>0</v>
      </c>
      <c r="I42" s="3">
        <v>0</v>
      </c>
      <c r="J42" s="3">
        <v>0</v>
      </c>
      <c r="K42" s="3">
        <v>54.6</v>
      </c>
      <c r="L42" s="3">
        <v>0</v>
      </c>
      <c r="M42" s="3">
        <v>0</v>
      </c>
      <c r="N42" s="3">
        <v>0</v>
      </c>
      <c r="O42" s="3">
        <v>7.0980000000000008</v>
      </c>
      <c r="P42" s="3">
        <v>61.698</v>
      </c>
      <c r="R42" t="s">
        <v>8200</v>
      </c>
      <c r="S42" t="s">
        <v>8046</v>
      </c>
      <c r="T42" s="3">
        <v>0</v>
      </c>
    </row>
    <row r="43" spans="1:21" hidden="1" x14ac:dyDescent="0.25">
      <c r="A43" t="s">
        <v>8611</v>
      </c>
      <c r="B43" t="s">
        <v>8893</v>
      </c>
      <c r="C43" t="s">
        <v>1</v>
      </c>
      <c r="D43" t="s">
        <v>0</v>
      </c>
      <c r="E43">
        <v>5004</v>
      </c>
      <c r="F43" t="s">
        <v>2436</v>
      </c>
      <c r="G43" t="s">
        <v>2437</v>
      </c>
      <c r="H43" s="3">
        <v>0</v>
      </c>
      <c r="I43" s="3">
        <v>0</v>
      </c>
      <c r="J43" s="3">
        <v>0</v>
      </c>
      <c r="K43" s="3">
        <v>65.010000000000005</v>
      </c>
      <c r="L43" s="3">
        <v>0</v>
      </c>
      <c r="M43" s="3">
        <v>0</v>
      </c>
      <c r="N43" s="3">
        <v>0</v>
      </c>
      <c r="O43" s="3">
        <v>8.4513000000000016</v>
      </c>
      <c r="P43" s="3">
        <v>73.461300000000008</v>
      </c>
      <c r="R43" t="s">
        <v>8200</v>
      </c>
      <c r="S43" t="s">
        <v>8046</v>
      </c>
      <c r="T43" s="3">
        <v>0</v>
      </c>
    </row>
    <row r="44" spans="1:21" x14ac:dyDescent="0.25">
      <c r="A44" t="s">
        <v>8611</v>
      </c>
      <c r="B44" t="s">
        <v>8893</v>
      </c>
      <c r="C44" t="s">
        <v>1</v>
      </c>
      <c r="D44" t="s">
        <v>0</v>
      </c>
      <c r="E44">
        <v>5003</v>
      </c>
      <c r="F44" t="s">
        <v>2436</v>
      </c>
      <c r="G44" t="s">
        <v>2437</v>
      </c>
      <c r="H44" s="3">
        <v>0</v>
      </c>
      <c r="I44" s="3">
        <v>0</v>
      </c>
      <c r="J44" s="3">
        <v>0</v>
      </c>
      <c r="K44" s="3">
        <v>160.38999999999999</v>
      </c>
      <c r="L44" s="3">
        <v>0</v>
      </c>
      <c r="M44" s="3">
        <v>0</v>
      </c>
      <c r="N44" s="3">
        <v>0</v>
      </c>
      <c r="O44" s="3">
        <v>20.8507</v>
      </c>
      <c r="P44" s="3">
        <v>181.24069999999998</v>
      </c>
      <c r="R44" t="s">
        <v>8200</v>
      </c>
      <c r="S44" t="s">
        <v>8750</v>
      </c>
      <c r="T44" s="3">
        <v>1.6</v>
      </c>
    </row>
    <row r="45" spans="1:21" x14ac:dyDescent="0.25">
      <c r="A45" t="s">
        <v>8611</v>
      </c>
      <c r="B45" t="s">
        <v>8893</v>
      </c>
      <c r="C45" t="s">
        <v>1</v>
      </c>
      <c r="D45" t="s">
        <v>0</v>
      </c>
      <c r="E45">
        <v>5018</v>
      </c>
      <c r="F45" t="s">
        <v>2436</v>
      </c>
      <c r="G45" t="s">
        <v>2437</v>
      </c>
      <c r="H45" s="3">
        <v>0</v>
      </c>
      <c r="I45" s="3">
        <v>0</v>
      </c>
      <c r="J45" s="3">
        <v>0</v>
      </c>
      <c r="K45" s="3">
        <v>312.25</v>
      </c>
      <c r="L45" s="3">
        <v>0</v>
      </c>
      <c r="M45" s="3">
        <v>0</v>
      </c>
      <c r="N45" s="3">
        <v>0</v>
      </c>
      <c r="O45" s="3">
        <v>40.592500000000001</v>
      </c>
      <c r="P45" s="3">
        <v>352.84249999999997</v>
      </c>
      <c r="R45" t="s">
        <v>8200</v>
      </c>
      <c r="S45" t="s">
        <v>8750</v>
      </c>
      <c r="T45" s="3">
        <v>3.12</v>
      </c>
    </row>
    <row r="46" spans="1:21" hidden="1" x14ac:dyDescent="0.25">
      <c r="A46" t="s">
        <v>8611</v>
      </c>
      <c r="B46" t="s">
        <v>8765</v>
      </c>
      <c r="C46" t="s">
        <v>1</v>
      </c>
      <c r="D46" t="s">
        <v>0</v>
      </c>
      <c r="E46">
        <v>5005</v>
      </c>
      <c r="F46" t="s">
        <v>2436</v>
      </c>
      <c r="G46" t="s">
        <v>2437</v>
      </c>
      <c r="H46" s="3">
        <v>0</v>
      </c>
      <c r="I46" s="3">
        <v>0</v>
      </c>
      <c r="J46" s="3">
        <v>0</v>
      </c>
      <c r="K46" s="3">
        <v>28.37</v>
      </c>
      <c r="L46" s="3">
        <v>0</v>
      </c>
      <c r="M46" s="3">
        <v>0</v>
      </c>
      <c r="N46" s="3">
        <v>0</v>
      </c>
      <c r="O46" s="3">
        <v>3.6881000000000004</v>
      </c>
      <c r="P46" s="3">
        <v>32.058100000000003</v>
      </c>
      <c r="Q46"/>
      <c r="R46" t="s">
        <v>8200</v>
      </c>
      <c r="S46" s="3" t="s">
        <v>8046</v>
      </c>
      <c r="T46" s="3">
        <v>0</v>
      </c>
    </row>
    <row r="47" spans="1:21" hidden="1" x14ac:dyDescent="0.25">
      <c r="A47" t="s">
        <v>8610</v>
      </c>
      <c r="B47" t="s">
        <v>8765</v>
      </c>
      <c r="C47" t="s">
        <v>1</v>
      </c>
      <c r="D47" t="s">
        <v>0</v>
      </c>
      <c r="E47">
        <v>256</v>
      </c>
      <c r="F47" t="s">
        <v>1511</v>
      </c>
      <c r="G47" t="s">
        <v>1512</v>
      </c>
      <c r="H47" s="3">
        <v>0</v>
      </c>
      <c r="I47" s="3">
        <v>0</v>
      </c>
      <c r="J47" s="3">
        <v>0</v>
      </c>
      <c r="K47" s="3">
        <v>1430</v>
      </c>
      <c r="L47" s="3">
        <v>0</v>
      </c>
      <c r="M47" s="3">
        <v>0</v>
      </c>
      <c r="N47" s="3">
        <v>0</v>
      </c>
      <c r="O47" s="3">
        <v>185.9</v>
      </c>
      <c r="P47" s="3">
        <v>1615.9</v>
      </c>
      <c r="Q47" t="s">
        <v>8046</v>
      </c>
      <c r="R47" t="s">
        <v>8200</v>
      </c>
      <c r="S47" s="3" t="s">
        <v>8046</v>
      </c>
      <c r="T47" s="3">
        <v>0</v>
      </c>
      <c r="U47" s="3"/>
    </row>
    <row r="48" spans="1:21" hidden="1" x14ac:dyDescent="0.25">
      <c r="A48" t="s">
        <v>8610</v>
      </c>
      <c r="B48" t="s">
        <v>8818</v>
      </c>
      <c r="C48" t="s">
        <v>1</v>
      </c>
      <c r="D48" t="s">
        <v>0</v>
      </c>
      <c r="E48">
        <v>782</v>
      </c>
      <c r="F48" t="s">
        <v>1200</v>
      </c>
      <c r="G48" t="s">
        <v>1201</v>
      </c>
      <c r="H48" s="3">
        <v>0</v>
      </c>
      <c r="I48" s="3">
        <v>0</v>
      </c>
      <c r="J48" s="3">
        <v>0</v>
      </c>
      <c r="K48" s="3">
        <v>823</v>
      </c>
      <c r="L48" s="3">
        <v>0</v>
      </c>
      <c r="M48" s="3">
        <v>0</v>
      </c>
      <c r="N48" s="3">
        <v>0</v>
      </c>
      <c r="O48" s="3">
        <v>106.99000000000001</v>
      </c>
      <c r="P48" s="3">
        <v>929.99</v>
      </c>
      <c r="Q48" t="s">
        <v>8046</v>
      </c>
      <c r="R48" t="s">
        <v>8200</v>
      </c>
      <c r="S48" s="3" t="s">
        <v>8341</v>
      </c>
      <c r="T48" s="3">
        <v>8.23</v>
      </c>
      <c r="U48" s="3"/>
    </row>
    <row r="49" spans="1:21" hidden="1" x14ac:dyDescent="0.25">
      <c r="A49" t="s">
        <v>8610</v>
      </c>
      <c r="B49" t="s">
        <v>8818</v>
      </c>
      <c r="C49" t="s">
        <v>1</v>
      </c>
      <c r="D49" t="s">
        <v>0</v>
      </c>
      <c r="E49">
        <v>783</v>
      </c>
      <c r="F49" t="s">
        <v>1200</v>
      </c>
      <c r="G49" t="s">
        <v>1201</v>
      </c>
      <c r="H49" s="3">
        <v>0</v>
      </c>
      <c r="I49" s="3">
        <v>0</v>
      </c>
      <c r="J49" s="3">
        <v>0</v>
      </c>
      <c r="K49" s="3">
        <v>273</v>
      </c>
      <c r="L49" s="3">
        <v>0</v>
      </c>
      <c r="M49" s="3">
        <v>0</v>
      </c>
      <c r="N49" s="3">
        <v>0</v>
      </c>
      <c r="O49" s="3">
        <v>35.49</v>
      </c>
      <c r="P49" s="3">
        <v>308.49</v>
      </c>
      <c r="Q49" t="s">
        <v>8046</v>
      </c>
      <c r="R49" t="s">
        <v>8200</v>
      </c>
      <c r="S49" s="3" t="s">
        <v>8341</v>
      </c>
      <c r="T49" s="3">
        <v>2.73</v>
      </c>
      <c r="U49" s="3"/>
    </row>
    <row r="50" spans="1:21" hidden="1" x14ac:dyDescent="0.25">
      <c r="A50" t="s">
        <v>8610</v>
      </c>
      <c r="B50" t="s">
        <v>8818</v>
      </c>
      <c r="C50" t="s">
        <v>1</v>
      </c>
      <c r="D50" t="s">
        <v>0</v>
      </c>
      <c r="E50">
        <v>1637</v>
      </c>
      <c r="F50" t="s">
        <v>936</v>
      </c>
      <c r="G50" t="s">
        <v>937</v>
      </c>
      <c r="H50" s="3">
        <v>0</v>
      </c>
      <c r="I50" s="3">
        <v>0</v>
      </c>
      <c r="J50" s="3">
        <v>0</v>
      </c>
      <c r="K50" s="3">
        <v>55.22</v>
      </c>
      <c r="L50" s="3">
        <v>0</v>
      </c>
      <c r="M50" s="3">
        <v>0</v>
      </c>
      <c r="N50" s="3">
        <v>0</v>
      </c>
      <c r="O50" s="3">
        <v>7.1786000000000003</v>
      </c>
      <c r="P50" s="3">
        <v>62.398600000000002</v>
      </c>
      <c r="Q50" t="s">
        <v>8046</v>
      </c>
      <c r="R50" t="s">
        <v>8200</v>
      </c>
      <c r="S50" s="3" t="s">
        <v>8046</v>
      </c>
      <c r="T50" s="3">
        <v>0</v>
      </c>
      <c r="U50" s="3"/>
    </row>
    <row r="51" spans="1:21" hidden="1" x14ac:dyDescent="0.25">
      <c r="A51" t="s">
        <v>8610</v>
      </c>
      <c r="B51" t="s">
        <v>8819</v>
      </c>
      <c r="C51" t="s">
        <v>1</v>
      </c>
      <c r="D51" t="s">
        <v>0</v>
      </c>
      <c r="E51">
        <v>3369</v>
      </c>
      <c r="F51" t="s">
        <v>3089</v>
      </c>
      <c r="G51" t="s">
        <v>3090</v>
      </c>
      <c r="H51" s="3">
        <v>0</v>
      </c>
      <c r="I51" s="3">
        <v>0</v>
      </c>
      <c r="J51" s="3">
        <v>0</v>
      </c>
      <c r="K51" s="3">
        <v>485.85</v>
      </c>
      <c r="L51" s="3">
        <v>0</v>
      </c>
      <c r="M51" s="3">
        <v>0</v>
      </c>
      <c r="N51" s="3">
        <v>0</v>
      </c>
      <c r="O51" s="3">
        <v>63.160500000000006</v>
      </c>
      <c r="P51" s="3">
        <v>549.01049999999998</v>
      </c>
      <c r="Q51" t="s">
        <v>8046</v>
      </c>
      <c r="R51" t="s">
        <v>8200</v>
      </c>
      <c r="S51" s="3" t="s">
        <v>8807</v>
      </c>
      <c r="T51" s="3">
        <v>4.8600000000000003</v>
      </c>
      <c r="U51" s="3"/>
    </row>
    <row r="52" spans="1:21" hidden="1" x14ac:dyDescent="0.25">
      <c r="A52" t="s">
        <v>8610</v>
      </c>
      <c r="B52" t="s">
        <v>8819</v>
      </c>
      <c r="C52" t="s">
        <v>1</v>
      </c>
      <c r="D52" t="s">
        <v>0</v>
      </c>
      <c r="E52">
        <v>3370</v>
      </c>
      <c r="F52" t="s">
        <v>3089</v>
      </c>
      <c r="G52" t="s">
        <v>3090</v>
      </c>
      <c r="H52" s="3">
        <v>0</v>
      </c>
      <c r="I52" s="3">
        <v>0</v>
      </c>
      <c r="J52" s="3">
        <v>0</v>
      </c>
      <c r="K52" s="3">
        <v>30.75</v>
      </c>
      <c r="L52" s="3">
        <v>0</v>
      </c>
      <c r="M52" s="3">
        <v>0</v>
      </c>
      <c r="N52" s="3">
        <v>0</v>
      </c>
      <c r="O52" s="3">
        <v>3.9975000000000001</v>
      </c>
      <c r="P52" s="3">
        <v>34.747500000000002</v>
      </c>
      <c r="Q52" t="s">
        <v>8046</v>
      </c>
      <c r="R52" t="s">
        <v>8200</v>
      </c>
      <c r="S52" s="3" t="s">
        <v>8046</v>
      </c>
      <c r="T52" s="3">
        <v>0</v>
      </c>
      <c r="U52" s="3"/>
    </row>
    <row r="53" spans="1:21" hidden="1" x14ac:dyDescent="0.25">
      <c r="A53" t="s">
        <v>8610</v>
      </c>
      <c r="B53" t="s">
        <v>8819</v>
      </c>
      <c r="C53" t="s">
        <v>1</v>
      </c>
      <c r="D53" t="s">
        <v>0</v>
      </c>
      <c r="E53">
        <v>24362</v>
      </c>
      <c r="F53" t="s">
        <v>7602</v>
      </c>
      <c r="G53" t="s">
        <v>7603</v>
      </c>
      <c r="H53" s="3">
        <v>0</v>
      </c>
      <c r="I53" s="3">
        <v>0</v>
      </c>
      <c r="J53" s="3">
        <v>0</v>
      </c>
      <c r="K53" s="3">
        <v>17.52</v>
      </c>
      <c r="L53" s="3">
        <v>0</v>
      </c>
      <c r="M53" s="3">
        <v>0</v>
      </c>
      <c r="N53" s="3">
        <v>0</v>
      </c>
      <c r="O53" s="3">
        <v>2.2776000000000001</v>
      </c>
      <c r="P53" s="3">
        <v>19.797599999999999</v>
      </c>
      <c r="Q53" t="s">
        <v>8046</v>
      </c>
      <c r="R53" t="s">
        <v>8200</v>
      </c>
      <c r="S53" s="3" t="s">
        <v>8046</v>
      </c>
      <c r="T53" s="3">
        <v>0</v>
      </c>
      <c r="U53" s="3"/>
    </row>
    <row r="54" spans="1:21" hidden="1" x14ac:dyDescent="0.25">
      <c r="A54" t="s">
        <v>8610</v>
      </c>
      <c r="B54" t="s">
        <v>8819</v>
      </c>
      <c r="C54" t="s">
        <v>1</v>
      </c>
      <c r="D54" t="s">
        <v>0</v>
      </c>
      <c r="E54">
        <v>37</v>
      </c>
      <c r="F54" t="s">
        <v>1742</v>
      </c>
      <c r="G54" t="s">
        <v>1743</v>
      </c>
      <c r="H54" s="3">
        <v>0</v>
      </c>
      <c r="I54" s="3">
        <v>0</v>
      </c>
      <c r="J54" s="3">
        <v>0</v>
      </c>
      <c r="K54" s="3">
        <v>40</v>
      </c>
      <c r="L54" s="3">
        <v>0</v>
      </c>
      <c r="M54" s="3">
        <v>0</v>
      </c>
      <c r="N54" s="3">
        <v>0</v>
      </c>
      <c r="O54" s="3">
        <v>5.2</v>
      </c>
      <c r="P54" s="3">
        <v>45.2</v>
      </c>
      <c r="Q54" t="s">
        <v>8046</v>
      </c>
      <c r="R54" t="s">
        <v>8200</v>
      </c>
      <c r="S54" s="3" t="s">
        <v>8046</v>
      </c>
      <c r="T54" s="3">
        <v>0</v>
      </c>
      <c r="U54" s="3"/>
    </row>
    <row r="55" spans="1:21" hidden="1" x14ac:dyDescent="0.25">
      <c r="A55" t="s">
        <v>8610</v>
      </c>
      <c r="B55" t="s">
        <v>8819</v>
      </c>
      <c r="C55" t="s">
        <v>1</v>
      </c>
      <c r="D55" t="s">
        <v>0</v>
      </c>
      <c r="E55">
        <v>3650</v>
      </c>
      <c r="F55" t="s">
        <v>1586</v>
      </c>
      <c r="G55" t="s">
        <v>1587</v>
      </c>
      <c r="H55" s="3">
        <v>1.93</v>
      </c>
      <c r="I55" s="3">
        <v>0</v>
      </c>
      <c r="J55" s="3">
        <v>0</v>
      </c>
      <c r="K55" s="3">
        <v>33.69</v>
      </c>
      <c r="L55" s="3">
        <v>0</v>
      </c>
      <c r="M55" s="3">
        <v>0</v>
      </c>
      <c r="N55" s="3">
        <v>0</v>
      </c>
      <c r="O55" s="3">
        <v>4.3796999999999997</v>
      </c>
      <c r="P55" s="3">
        <v>39.999699999999997</v>
      </c>
      <c r="Q55" t="s">
        <v>8046</v>
      </c>
      <c r="R55" t="s">
        <v>8200</v>
      </c>
      <c r="S55" s="3" t="s">
        <v>8046</v>
      </c>
      <c r="T55" s="3">
        <v>0</v>
      </c>
      <c r="U55" s="3"/>
    </row>
    <row r="56" spans="1:21" hidden="1" x14ac:dyDescent="0.25">
      <c r="A56" t="s">
        <v>8610</v>
      </c>
      <c r="B56" t="s">
        <v>8820</v>
      </c>
      <c r="C56" t="s">
        <v>1</v>
      </c>
      <c r="D56" t="s">
        <v>0</v>
      </c>
      <c r="E56">
        <v>34934</v>
      </c>
      <c r="F56" t="s">
        <v>1540</v>
      </c>
      <c r="G56" t="s">
        <v>1541</v>
      </c>
      <c r="H56" s="3">
        <v>1.64</v>
      </c>
      <c r="I56" s="3">
        <v>0</v>
      </c>
      <c r="J56" s="3">
        <v>0</v>
      </c>
      <c r="K56" s="3">
        <v>29.52</v>
      </c>
      <c r="L56" s="3">
        <v>0</v>
      </c>
      <c r="M56" s="3">
        <v>0</v>
      </c>
      <c r="N56" s="3">
        <v>0</v>
      </c>
      <c r="O56" s="3">
        <v>3.8376000000000001</v>
      </c>
      <c r="P56" s="3">
        <v>34.997599999999998</v>
      </c>
      <c r="Q56" t="s">
        <v>8046</v>
      </c>
      <c r="R56" t="s">
        <v>8200</v>
      </c>
      <c r="S56" s="3" t="s">
        <v>8046</v>
      </c>
      <c r="T56" s="3">
        <v>0</v>
      </c>
      <c r="U56" s="3"/>
    </row>
    <row r="57" spans="1:21" hidden="1" x14ac:dyDescent="0.25">
      <c r="A57" t="s">
        <v>8610</v>
      </c>
      <c r="B57" t="s">
        <v>8820</v>
      </c>
      <c r="C57" t="s">
        <v>1</v>
      </c>
      <c r="D57" t="s">
        <v>0</v>
      </c>
      <c r="E57">
        <v>684</v>
      </c>
      <c r="F57" t="s">
        <v>1200</v>
      </c>
      <c r="G57" t="s">
        <v>1201</v>
      </c>
      <c r="H57" s="3">
        <v>0</v>
      </c>
      <c r="I57" s="3">
        <v>0</v>
      </c>
      <c r="J57" s="3">
        <v>0</v>
      </c>
      <c r="K57" s="3">
        <v>3599.6</v>
      </c>
      <c r="L57" s="3">
        <v>0</v>
      </c>
      <c r="M57" s="3">
        <v>0</v>
      </c>
      <c r="N57" s="3">
        <v>0</v>
      </c>
      <c r="O57" s="3">
        <v>467.94799999999998</v>
      </c>
      <c r="P57" s="3">
        <v>4067.5479999999998</v>
      </c>
      <c r="Q57" t="s">
        <v>8046</v>
      </c>
      <c r="R57" t="s">
        <v>8200</v>
      </c>
      <c r="S57" s="3" t="s">
        <v>8341</v>
      </c>
      <c r="T57" s="3">
        <v>36</v>
      </c>
      <c r="U57" s="3"/>
    </row>
    <row r="58" spans="1:21" hidden="1" x14ac:dyDescent="0.25">
      <c r="A58" t="s">
        <v>8610</v>
      </c>
      <c r="B58" t="s">
        <v>8820</v>
      </c>
      <c r="C58" t="s">
        <v>1</v>
      </c>
      <c r="D58" t="s">
        <v>0</v>
      </c>
      <c r="E58">
        <v>717</v>
      </c>
      <c r="F58" t="s">
        <v>1200</v>
      </c>
      <c r="G58" t="s">
        <v>1201</v>
      </c>
      <c r="H58" s="3">
        <v>0</v>
      </c>
      <c r="I58" s="3">
        <v>0</v>
      </c>
      <c r="J58" s="3">
        <v>0</v>
      </c>
      <c r="K58" s="3">
        <v>7174.12</v>
      </c>
      <c r="L58" s="3">
        <v>0</v>
      </c>
      <c r="M58" s="3">
        <v>0</v>
      </c>
      <c r="N58" s="3">
        <v>0</v>
      </c>
      <c r="O58" s="3">
        <v>932.63560000000007</v>
      </c>
      <c r="P58" s="3">
        <v>8106.7556000000004</v>
      </c>
      <c r="Q58" t="s">
        <v>8046</v>
      </c>
      <c r="R58" t="s">
        <v>8200</v>
      </c>
      <c r="S58" s="3" t="s">
        <v>8341</v>
      </c>
      <c r="T58" s="3">
        <v>71.739999999999995</v>
      </c>
      <c r="U58" s="3"/>
    </row>
    <row r="59" spans="1:21" hidden="1" x14ac:dyDescent="0.25">
      <c r="A59" t="s">
        <v>8610</v>
      </c>
      <c r="B59" t="s">
        <v>8820</v>
      </c>
      <c r="C59" t="s">
        <v>1</v>
      </c>
      <c r="D59" t="s">
        <v>0</v>
      </c>
      <c r="E59">
        <v>883</v>
      </c>
      <c r="F59" t="s">
        <v>8350</v>
      </c>
      <c r="G59" t="s">
        <v>8351</v>
      </c>
      <c r="H59" s="3">
        <v>0</v>
      </c>
      <c r="I59" s="3">
        <v>0</v>
      </c>
      <c r="J59" s="3">
        <v>0</v>
      </c>
      <c r="K59" s="3">
        <v>474.63</v>
      </c>
      <c r="L59" s="3">
        <v>0</v>
      </c>
      <c r="M59" s="3">
        <v>0</v>
      </c>
      <c r="N59" s="3">
        <v>0</v>
      </c>
      <c r="O59" s="3">
        <v>61.701900000000002</v>
      </c>
      <c r="P59" s="3">
        <v>536.33190000000002</v>
      </c>
      <c r="Q59" t="s">
        <v>8046</v>
      </c>
      <c r="R59" t="s">
        <v>8200</v>
      </c>
      <c r="S59" s="3" t="s">
        <v>8046</v>
      </c>
      <c r="T59" s="3">
        <v>0</v>
      </c>
      <c r="U59" s="3"/>
    </row>
    <row r="60" spans="1:21" hidden="1" x14ac:dyDescent="0.25">
      <c r="A60" t="s">
        <v>8610</v>
      </c>
      <c r="B60" t="s">
        <v>8857</v>
      </c>
      <c r="C60" t="s">
        <v>1</v>
      </c>
      <c r="D60" t="s">
        <v>0</v>
      </c>
      <c r="E60">
        <v>869</v>
      </c>
      <c r="F60" t="s">
        <v>8350</v>
      </c>
      <c r="G60" t="s">
        <v>8351</v>
      </c>
      <c r="H60" s="3">
        <v>0</v>
      </c>
      <c r="I60" s="3">
        <v>0</v>
      </c>
      <c r="J60" s="3">
        <v>0</v>
      </c>
      <c r="K60" s="3">
        <v>151.86000000000001</v>
      </c>
      <c r="L60" s="3">
        <v>0</v>
      </c>
      <c r="M60" s="3">
        <v>0</v>
      </c>
      <c r="N60" s="3">
        <v>0</v>
      </c>
      <c r="O60" s="3">
        <v>19.741800000000001</v>
      </c>
      <c r="P60" s="3">
        <v>171.60180000000003</v>
      </c>
      <c r="Q60" t="s">
        <v>8046</v>
      </c>
      <c r="R60" t="s">
        <v>8200</v>
      </c>
      <c r="S60" s="3" t="s">
        <v>8046</v>
      </c>
      <c r="T60" s="3">
        <v>0</v>
      </c>
      <c r="U60" s="3"/>
    </row>
    <row r="61" spans="1:21" hidden="1" x14ac:dyDescent="0.25">
      <c r="A61" t="s">
        <v>8610</v>
      </c>
      <c r="B61" t="s">
        <v>8857</v>
      </c>
      <c r="C61" t="s">
        <v>1</v>
      </c>
      <c r="D61" t="s">
        <v>0</v>
      </c>
      <c r="E61">
        <v>1555</v>
      </c>
      <c r="F61" t="s">
        <v>2635</v>
      </c>
      <c r="G61" t="s">
        <v>2636</v>
      </c>
      <c r="H61" s="3">
        <v>0</v>
      </c>
      <c r="I61" s="3">
        <v>0</v>
      </c>
      <c r="J61" s="3">
        <v>0</v>
      </c>
      <c r="K61" s="3">
        <v>26.55</v>
      </c>
      <c r="L61" s="3">
        <v>0</v>
      </c>
      <c r="M61" s="3">
        <v>0</v>
      </c>
      <c r="N61" s="3">
        <v>0</v>
      </c>
      <c r="O61" s="3">
        <v>3.4515000000000002</v>
      </c>
      <c r="P61" s="3">
        <v>30.0015</v>
      </c>
      <c r="Q61" t="s">
        <v>8046</v>
      </c>
      <c r="R61" t="s">
        <v>8200</v>
      </c>
      <c r="S61" s="3" t="s">
        <v>8046</v>
      </c>
      <c r="T61" s="3">
        <v>0</v>
      </c>
      <c r="U61" s="3"/>
    </row>
    <row r="62" spans="1:21" hidden="1" x14ac:dyDescent="0.25">
      <c r="A62" t="s">
        <v>8610</v>
      </c>
      <c r="B62" t="s">
        <v>8857</v>
      </c>
      <c r="C62" t="s">
        <v>1</v>
      </c>
      <c r="D62" t="s">
        <v>0</v>
      </c>
      <c r="E62">
        <v>7347</v>
      </c>
      <c r="F62" t="s">
        <v>5339</v>
      </c>
      <c r="G62" t="s">
        <v>5340</v>
      </c>
      <c r="H62" s="3">
        <v>0</v>
      </c>
      <c r="I62" s="3">
        <v>0</v>
      </c>
      <c r="J62" s="3">
        <v>0</v>
      </c>
      <c r="K62" s="3">
        <v>183.6</v>
      </c>
      <c r="L62" s="3">
        <v>0</v>
      </c>
      <c r="M62" s="3">
        <v>0</v>
      </c>
      <c r="N62" s="3">
        <v>0</v>
      </c>
      <c r="O62" s="3">
        <v>23.867999999999999</v>
      </c>
      <c r="P62" s="3">
        <v>207.46799999999999</v>
      </c>
      <c r="Q62" t="s">
        <v>8046</v>
      </c>
      <c r="R62" t="s">
        <v>8200</v>
      </c>
      <c r="S62" s="3" t="s">
        <v>8046</v>
      </c>
      <c r="T62" s="3">
        <v>0</v>
      </c>
      <c r="U62" s="3"/>
    </row>
    <row r="63" spans="1:21" hidden="1" x14ac:dyDescent="0.25">
      <c r="A63" t="s">
        <v>8610</v>
      </c>
      <c r="B63" t="s">
        <v>8857</v>
      </c>
      <c r="C63" t="s">
        <v>1</v>
      </c>
      <c r="D63" t="s">
        <v>0</v>
      </c>
      <c r="E63">
        <v>1230276</v>
      </c>
      <c r="F63" t="s">
        <v>1531</v>
      </c>
      <c r="G63" t="s">
        <v>1532</v>
      </c>
      <c r="H63" s="3">
        <v>1.5</v>
      </c>
      <c r="I63" s="3">
        <v>0</v>
      </c>
      <c r="J63" s="3">
        <v>0</v>
      </c>
      <c r="K63" s="3">
        <v>27</v>
      </c>
      <c r="L63" s="3">
        <v>0</v>
      </c>
      <c r="M63" s="3">
        <v>0</v>
      </c>
      <c r="N63" s="3">
        <v>0</v>
      </c>
      <c r="O63" s="3">
        <v>3.5100000000000002</v>
      </c>
      <c r="P63" s="3">
        <v>32.01</v>
      </c>
      <c r="Q63" t="s">
        <v>8046</v>
      </c>
      <c r="R63" t="s">
        <v>8200</v>
      </c>
      <c r="S63" s="3" t="s">
        <v>8046</v>
      </c>
      <c r="T63" s="3">
        <v>0</v>
      </c>
      <c r="U63" s="3"/>
    </row>
    <row r="64" spans="1:21" hidden="1" x14ac:dyDescent="0.25">
      <c r="A64" t="s">
        <v>8610</v>
      </c>
      <c r="B64" t="s">
        <v>8857</v>
      </c>
      <c r="C64" t="s">
        <v>1</v>
      </c>
      <c r="D64" t="s">
        <v>0</v>
      </c>
      <c r="E64">
        <v>509691</v>
      </c>
      <c r="F64" t="s">
        <v>1501</v>
      </c>
      <c r="G64" t="s">
        <v>1502</v>
      </c>
      <c r="H64" s="3">
        <v>1.97</v>
      </c>
      <c r="I64" s="3">
        <v>0</v>
      </c>
      <c r="J64" s="3">
        <v>0</v>
      </c>
      <c r="K64" s="3">
        <v>33.659999999999997</v>
      </c>
      <c r="L64" s="3">
        <v>0</v>
      </c>
      <c r="M64" s="3">
        <v>0</v>
      </c>
      <c r="N64" s="3">
        <v>0</v>
      </c>
      <c r="O64" s="3">
        <v>4.3757999999999999</v>
      </c>
      <c r="P64" s="3">
        <v>40.005799999999994</v>
      </c>
      <c r="Q64" t="s">
        <v>8046</v>
      </c>
      <c r="R64" t="s">
        <v>8200</v>
      </c>
      <c r="S64" s="3" t="s">
        <v>8046</v>
      </c>
      <c r="T64" s="3">
        <v>0</v>
      </c>
      <c r="U64" s="3"/>
    </row>
    <row r="65" spans="1:21" hidden="1" x14ac:dyDescent="0.25">
      <c r="A65" t="s">
        <v>8610</v>
      </c>
      <c r="B65" t="s">
        <v>8823</v>
      </c>
      <c r="C65" t="s">
        <v>1</v>
      </c>
      <c r="D65" t="s">
        <v>0</v>
      </c>
      <c r="E65">
        <v>15334</v>
      </c>
      <c r="F65" t="s">
        <v>8365</v>
      </c>
      <c r="G65" t="s">
        <v>8366</v>
      </c>
      <c r="H65" s="3">
        <v>1.41</v>
      </c>
      <c r="I65" s="3">
        <v>0</v>
      </c>
      <c r="J65" s="3">
        <v>0</v>
      </c>
      <c r="K65" s="3">
        <v>25.3</v>
      </c>
      <c r="L65" s="3">
        <v>0</v>
      </c>
      <c r="M65" s="3">
        <v>0</v>
      </c>
      <c r="N65" s="3">
        <v>0</v>
      </c>
      <c r="O65" s="3">
        <v>3.2890000000000001</v>
      </c>
      <c r="P65" s="3">
        <v>29.999000000000002</v>
      </c>
      <c r="Q65" t="s">
        <v>8046</v>
      </c>
      <c r="R65" t="s">
        <v>8200</v>
      </c>
      <c r="S65" s="3" t="s">
        <v>8046</v>
      </c>
      <c r="T65" s="3">
        <v>0</v>
      </c>
      <c r="U65" s="3"/>
    </row>
    <row r="66" spans="1:21" hidden="1" x14ac:dyDescent="0.25">
      <c r="A66" t="s">
        <v>8610</v>
      </c>
      <c r="B66" t="s">
        <v>8823</v>
      </c>
      <c r="C66" t="s">
        <v>1</v>
      </c>
      <c r="D66" t="s">
        <v>0</v>
      </c>
      <c r="E66">
        <v>37816</v>
      </c>
      <c r="F66" t="s">
        <v>1522</v>
      </c>
      <c r="G66" t="s">
        <v>1523</v>
      </c>
      <c r="H66" s="3">
        <v>1.41</v>
      </c>
      <c r="I66" s="3">
        <v>0</v>
      </c>
      <c r="J66" s="3">
        <v>0</v>
      </c>
      <c r="K66" s="3">
        <v>25.3</v>
      </c>
      <c r="L66" s="3">
        <v>0</v>
      </c>
      <c r="M66" s="3">
        <v>0</v>
      </c>
      <c r="N66" s="3">
        <v>0</v>
      </c>
      <c r="O66" s="3">
        <v>3.2890000000000001</v>
      </c>
      <c r="P66" s="3">
        <v>29.999000000000002</v>
      </c>
      <c r="Q66" t="s">
        <v>8046</v>
      </c>
      <c r="R66" t="s">
        <v>8200</v>
      </c>
      <c r="S66" s="3" t="s">
        <v>8046</v>
      </c>
      <c r="T66" s="3">
        <v>0</v>
      </c>
      <c r="U66" s="3"/>
    </row>
    <row r="67" spans="1:21" hidden="1" x14ac:dyDescent="0.25">
      <c r="A67" t="s">
        <v>8610</v>
      </c>
      <c r="B67" t="s">
        <v>8823</v>
      </c>
      <c r="C67" t="s">
        <v>1</v>
      </c>
      <c r="D67" t="s">
        <v>0</v>
      </c>
      <c r="E67">
        <v>1565</v>
      </c>
      <c r="F67" t="s">
        <v>936</v>
      </c>
      <c r="G67" t="s">
        <v>937</v>
      </c>
      <c r="H67" s="3">
        <v>0</v>
      </c>
      <c r="I67" s="3">
        <v>0</v>
      </c>
      <c r="J67" s="3">
        <v>0</v>
      </c>
      <c r="K67" s="3">
        <v>20.21</v>
      </c>
      <c r="L67" s="3">
        <v>0</v>
      </c>
      <c r="M67" s="3">
        <v>0</v>
      </c>
      <c r="N67" s="3">
        <v>0</v>
      </c>
      <c r="O67" s="3">
        <v>2.6273000000000004</v>
      </c>
      <c r="P67" s="3">
        <v>22.837300000000003</v>
      </c>
      <c r="Q67" t="s">
        <v>8046</v>
      </c>
      <c r="R67" t="s">
        <v>8200</v>
      </c>
      <c r="S67" s="3" t="s">
        <v>8046</v>
      </c>
      <c r="T67" s="3">
        <v>0</v>
      </c>
      <c r="U67" s="3"/>
    </row>
    <row r="68" spans="1:21" hidden="1" x14ac:dyDescent="0.25">
      <c r="A68" t="s">
        <v>8610</v>
      </c>
      <c r="B68" t="s">
        <v>8824</v>
      </c>
      <c r="C68" t="s">
        <v>1</v>
      </c>
      <c r="D68" t="s">
        <v>0</v>
      </c>
      <c r="E68">
        <v>1963</v>
      </c>
      <c r="F68" t="s">
        <v>119</v>
      </c>
      <c r="G68" t="s">
        <v>120</v>
      </c>
      <c r="H68" s="3">
        <v>0</v>
      </c>
      <c r="I68" s="3">
        <v>0</v>
      </c>
      <c r="J68" s="3">
        <v>0</v>
      </c>
      <c r="K68" s="3">
        <v>54.8</v>
      </c>
      <c r="L68" s="3">
        <v>0</v>
      </c>
      <c r="M68" s="3">
        <v>0</v>
      </c>
      <c r="N68" s="3">
        <v>0</v>
      </c>
      <c r="O68" s="3">
        <v>7.1239999999999997</v>
      </c>
      <c r="P68" s="3">
        <v>61.923999999999999</v>
      </c>
      <c r="Q68" t="s">
        <v>8046</v>
      </c>
      <c r="R68" t="s">
        <v>8200</v>
      </c>
      <c r="S68" s="3" t="s">
        <v>8046</v>
      </c>
      <c r="T68" s="3">
        <v>0</v>
      </c>
      <c r="U68" s="3"/>
    </row>
    <row r="69" spans="1:21" hidden="1" x14ac:dyDescent="0.25">
      <c r="A69" t="s">
        <v>8610</v>
      </c>
      <c r="B69" t="s">
        <v>8824</v>
      </c>
      <c r="C69" t="s">
        <v>1</v>
      </c>
      <c r="D69" t="s">
        <v>0</v>
      </c>
      <c r="E69">
        <v>588</v>
      </c>
      <c r="F69" t="s">
        <v>1200</v>
      </c>
      <c r="G69" t="s">
        <v>1201</v>
      </c>
      <c r="H69" s="3">
        <v>0</v>
      </c>
      <c r="I69" s="3">
        <v>0</v>
      </c>
      <c r="J69" s="3">
        <v>0</v>
      </c>
      <c r="K69" s="3">
        <v>44</v>
      </c>
      <c r="L69" s="3">
        <v>0</v>
      </c>
      <c r="M69" s="3">
        <v>0</v>
      </c>
      <c r="N69" s="3">
        <v>0</v>
      </c>
      <c r="O69" s="3">
        <v>5.7200000000000006</v>
      </c>
      <c r="P69" s="3">
        <v>49.72</v>
      </c>
      <c r="Q69" t="s">
        <v>8046</v>
      </c>
      <c r="R69" t="s">
        <v>8200</v>
      </c>
      <c r="S69" s="3" t="s">
        <v>8046</v>
      </c>
      <c r="T69" s="3">
        <v>0</v>
      </c>
      <c r="U69" s="3"/>
    </row>
    <row r="70" spans="1:21" hidden="1" x14ac:dyDescent="0.25">
      <c r="A70" t="s">
        <v>8610</v>
      </c>
      <c r="B70" t="s">
        <v>8824</v>
      </c>
      <c r="C70" t="s">
        <v>1</v>
      </c>
      <c r="D70" t="s">
        <v>0</v>
      </c>
      <c r="E70">
        <v>9547</v>
      </c>
      <c r="G70" t="s">
        <v>1489</v>
      </c>
      <c r="H70" s="3">
        <v>1.69</v>
      </c>
      <c r="I70" s="3">
        <v>0</v>
      </c>
      <c r="J70" s="3">
        <v>0</v>
      </c>
      <c r="K70" s="3">
        <v>30.36</v>
      </c>
      <c r="L70" s="3">
        <v>0</v>
      </c>
      <c r="M70" s="3">
        <v>0</v>
      </c>
      <c r="N70" s="3">
        <v>0</v>
      </c>
      <c r="O70" s="3">
        <v>3.9468000000000001</v>
      </c>
      <c r="P70" s="3">
        <v>35.9968</v>
      </c>
      <c r="Q70" t="s">
        <v>8673</v>
      </c>
      <c r="R70" t="s">
        <v>8200</v>
      </c>
      <c r="S70" s="3" t="s">
        <v>8046</v>
      </c>
      <c r="T70" s="3">
        <v>0</v>
      </c>
      <c r="U70" s="3"/>
    </row>
    <row r="71" spans="1:21" hidden="1" x14ac:dyDescent="0.25">
      <c r="A71" t="s">
        <v>8610</v>
      </c>
      <c r="B71" t="s">
        <v>8826</v>
      </c>
      <c r="C71" t="s">
        <v>1</v>
      </c>
      <c r="D71" t="s">
        <v>0</v>
      </c>
      <c r="E71">
        <v>165606</v>
      </c>
      <c r="F71" t="s">
        <v>2378</v>
      </c>
      <c r="G71" t="s">
        <v>2379</v>
      </c>
      <c r="H71" s="3">
        <v>1.83</v>
      </c>
      <c r="I71" s="3">
        <v>0</v>
      </c>
      <c r="J71" s="3">
        <v>0</v>
      </c>
      <c r="K71" s="3">
        <v>33.770000000000003</v>
      </c>
      <c r="L71" s="3">
        <v>0</v>
      </c>
      <c r="M71" s="3">
        <v>0</v>
      </c>
      <c r="N71" s="3">
        <v>0</v>
      </c>
      <c r="O71" s="3">
        <v>4.3901000000000003</v>
      </c>
      <c r="P71" s="3">
        <v>39.990099999999998</v>
      </c>
      <c r="Q71" t="s">
        <v>8046</v>
      </c>
      <c r="R71" t="s">
        <v>8200</v>
      </c>
      <c r="S71" s="3" t="s">
        <v>8046</v>
      </c>
      <c r="T71" s="3">
        <v>0</v>
      </c>
      <c r="U71" s="3"/>
    </row>
    <row r="72" spans="1:21" hidden="1" x14ac:dyDescent="0.25">
      <c r="A72" t="s">
        <v>8610</v>
      </c>
      <c r="B72" t="s">
        <v>8826</v>
      </c>
      <c r="C72" t="s">
        <v>1</v>
      </c>
      <c r="D72" t="s">
        <v>0</v>
      </c>
      <c r="E72">
        <v>5596</v>
      </c>
      <c r="F72" t="s">
        <v>1653</v>
      </c>
      <c r="G72" t="s">
        <v>1654</v>
      </c>
      <c r="H72" s="3">
        <v>1.62</v>
      </c>
      <c r="I72" s="3">
        <v>0</v>
      </c>
      <c r="J72" s="3">
        <v>0</v>
      </c>
      <c r="K72" s="3">
        <v>29.54</v>
      </c>
      <c r="L72" s="3">
        <v>0</v>
      </c>
      <c r="M72" s="3">
        <v>0</v>
      </c>
      <c r="N72" s="3">
        <v>0</v>
      </c>
      <c r="O72" s="3">
        <v>3.8401999999999998</v>
      </c>
      <c r="P72" s="3">
        <v>35.0002</v>
      </c>
      <c r="Q72" t="s">
        <v>8046</v>
      </c>
      <c r="R72" t="s">
        <v>8200</v>
      </c>
      <c r="S72" s="3" t="s">
        <v>8046</v>
      </c>
      <c r="T72" s="3">
        <v>0</v>
      </c>
      <c r="U72" s="3"/>
    </row>
    <row r="73" spans="1:21" hidden="1" x14ac:dyDescent="0.25">
      <c r="A73" t="s">
        <v>8610</v>
      </c>
      <c r="B73" t="s">
        <v>8826</v>
      </c>
      <c r="C73" t="s">
        <v>1</v>
      </c>
      <c r="D73" t="s">
        <v>0</v>
      </c>
      <c r="E73">
        <v>3439</v>
      </c>
      <c r="F73" t="s">
        <v>1670</v>
      </c>
      <c r="G73" t="s">
        <v>1671</v>
      </c>
      <c r="H73" s="3">
        <v>0.89</v>
      </c>
      <c r="I73" s="3">
        <v>0</v>
      </c>
      <c r="J73" s="3">
        <v>0</v>
      </c>
      <c r="K73" s="3">
        <v>16.91</v>
      </c>
      <c r="L73" s="3">
        <v>0</v>
      </c>
      <c r="M73" s="3">
        <v>0</v>
      </c>
      <c r="N73" s="3">
        <v>0</v>
      </c>
      <c r="O73" s="3">
        <v>2.1983000000000001</v>
      </c>
      <c r="P73" s="3">
        <v>19.9983</v>
      </c>
      <c r="Q73" t="s">
        <v>8046</v>
      </c>
      <c r="R73" t="s">
        <v>8200</v>
      </c>
      <c r="S73" s="3" t="s">
        <v>8046</v>
      </c>
      <c r="T73" s="3">
        <v>0</v>
      </c>
      <c r="U73" s="3"/>
    </row>
    <row r="74" spans="1:21" hidden="1" x14ac:dyDescent="0.25">
      <c r="A74" t="s">
        <v>8610</v>
      </c>
      <c r="B74" t="s">
        <v>8826</v>
      </c>
      <c r="C74" t="s">
        <v>1</v>
      </c>
      <c r="D74" t="s">
        <v>0</v>
      </c>
      <c r="E74">
        <v>566</v>
      </c>
      <c r="F74" t="s">
        <v>1200</v>
      </c>
      <c r="G74" t="s">
        <v>1201</v>
      </c>
      <c r="H74" s="3">
        <v>0</v>
      </c>
      <c r="I74" s="3">
        <v>0</v>
      </c>
      <c r="J74" s="3">
        <v>0</v>
      </c>
      <c r="K74" s="3">
        <v>1500</v>
      </c>
      <c r="L74" s="3">
        <v>0</v>
      </c>
      <c r="M74" s="3">
        <v>0</v>
      </c>
      <c r="N74" s="3">
        <v>0</v>
      </c>
      <c r="O74" s="3">
        <v>195</v>
      </c>
      <c r="P74" s="3">
        <v>1695</v>
      </c>
      <c r="Q74" t="s">
        <v>8046</v>
      </c>
      <c r="R74" t="s">
        <v>8200</v>
      </c>
      <c r="S74" s="3" t="s">
        <v>8341</v>
      </c>
      <c r="T74" s="3">
        <v>15</v>
      </c>
      <c r="U74" s="3"/>
    </row>
    <row r="75" spans="1:21" hidden="1" x14ac:dyDescent="0.25">
      <c r="A75" t="s">
        <v>8610</v>
      </c>
      <c r="B75" t="s">
        <v>8826</v>
      </c>
      <c r="C75" t="s">
        <v>1</v>
      </c>
      <c r="D75" t="s">
        <v>0</v>
      </c>
      <c r="E75">
        <v>2149</v>
      </c>
      <c r="F75" t="s">
        <v>8363</v>
      </c>
      <c r="G75" t="s">
        <v>8364</v>
      </c>
      <c r="H75" s="3">
        <v>0</v>
      </c>
      <c r="I75" s="3">
        <v>0</v>
      </c>
      <c r="J75" s="3">
        <v>0</v>
      </c>
      <c r="K75" s="3">
        <v>95.65</v>
      </c>
      <c r="L75" s="3">
        <v>0</v>
      </c>
      <c r="M75" s="3">
        <v>0</v>
      </c>
      <c r="N75" s="3">
        <v>0</v>
      </c>
      <c r="O75" s="3">
        <v>12.434500000000002</v>
      </c>
      <c r="P75" s="3">
        <v>108.08450000000001</v>
      </c>
      <c r="Q75" t="s">
        <v>8046</v>
      </c>
      <c r="R75" t="s">
        <v>8200</v>
      </c>
      <c r="S75" s="3" t="s">
        <v>8046</v>
      </c>
      <c r="T75" s="3">
        <v>0</v>
      </c>
      <c r="U75" s="3"/>
    </row>
    <row r="76" spans="1:21" hidden="1" x14ac:dyDescent="0.25">
      <c r="A76" t="s">
        <v>8610</v>
      </c>
      <c r="B76" t="s">
        <v>8827</v>
      </c>
      <c r="C76" t="s">
        <v>1</v>
      </c>
      <c r="D76" t="s">
        <v>0</v>
      </c>
      <c r="E76">
        <v>1174</v>
      </c>
      <c r="F76" t="s">
        <v>131</v>
      </c>
      <c r="G76" t="s">
        <v>132</v>
      </c>
      <c r="H76" s="3">
        <v>0</v>
      </c>
      <c r="I76" s="3">
        <v>0</v>
      </c>
      <c r="J76" s="3">
        <v>0</v>
      </c>
      <c r="K76" s="3">
        <v>249.03</v>
      </c>
      <c r="L76" s="3">
        <v>0</v>
      </c>
      <c r="M76" s="3">
        <v>0</v>
      </c>
      <c r="N76" s="3">
        <v>0</v>
      </c>
      <c r="O76" s="3">
        <v>32.373899999999999</v>
      </c>
      <c r="P76" s="3">
        <v>281.40390000000002</v>
      </c>
      <c r="Q76" t="s">
        <v>8046</v>
      </c>
      <c r="R76" t="s">
        <v>8200</v>
      </c>
      <c r="S76" s="3" t="s">
        <v>8046</v>
      </c>
      <c r="T76" s="3">
        <v>0</v>
      </c>
      <c r="U76" s="3"/>
    </row>
    <row r="77" spans="1:21" hidden="1" x14ac:dyDescent="0.25">
      <c r="A77" t="s">
        <v>8610</v>
      </c>
      <c r="B77" t="s">
        <v>8827</v>
      </c>
      <c r="C77" t="s">
        <v>1</v>
      </c>
      <c r="D77" t="s">
        <v>0</v>
      </c>
      <c r="E77">
        <v>1502</v>
      </c>
      <c r="F77" t="s">
        <v>936</v>
      </c>
      <c r="G77" t="s">
        <v>937</v>
      </c>
      <c r="H77" s="3">
        <v>0</v>
      </c>
      <c r="I77" s="3">
        <v>0</v>
      </c>
      <c r="J77" s="3">
        <v>0</v>
      </c>
      <c r="K77" s="3">
        <v>100.49</v>
      </c>
      <c r="L77" s="3">
        <v>0</v>
      </c>
      <c r="M77" s="3">
        <v>0</v>
      </c>
      <c r="N77" s="3">
        <v>0</v>
      </c>
      <c r="O77" s="3">
        <v>13.063699999999999</v>
      </c>
      <c r="P77" s="3">
        <v>113.55369999999999</v>
      </c>
      <c r="Q77" t="s">
        <v>8046</v>
      </c>
      <c r="R77" t="s">
        <v>8200</v>
      </c>
      <c r="S77" s="3" t="s">
        <v>8046</v>
      </c>
      <c r="T77" s="3">
        <v>0</v>
      </c>
      <c r="U77" s="3"/>
    </row>
    <row r="78" spans="1:21" hidden="1" x14ac:dyDescent="0.25">
      <c r="A78" t="s">
        <v>8610</v>
      </c>
      <c r="B78" t="s">
        <v>8827</v>
      </c>
      <c r="C78" t="s">
        <v>1</v>
      </c>
      <c r="D78" t="s">
        <v>0</v>
      </c>
      <c r="E78">
        <v>201</v>
      </c>
      <c r="F78" t="s">
        <v>8668</v>
      </c>
      <c r="G78" t="s">
        <v>8669</v>
      </c>
      <c r="H78" s="3">
        <v>0</v>
      </c>
      <c r="I78" s="3">
        <v>0</v>
      </c>
      <c r="J78" s="3">
        <v>0</v>
      </c>
      <c r="K78" s="3">
        <v>20</v>
      </c>
      <c r="L78" s="3">
        <v>0</v>
      </c>
      <c r="M78" s="3">
        <v>0</v>
      </c>
      <c r="N78" s="3">
        <v>0</v>
      </c>
      <c r="O78" s="3">
        <v>2.6</v>
      </c>
      <c r="P78" s="3">
        <v>22.6</v>
      </c>
      <c r="Q78" t="s">
        <v>8046</v>
      </c>
      <c r="R78" t="s">
        <v>8200</v>
      </c>
      <c r="S78" s="3" t="s">
        <v>8046</v>
      </c>
      <c r="T78" s="3">
        <v>0</v>
      </c>
      <c r="U78" s="3"/>
    </row>
    <row r="79" spans="1:21" hidden="1" x14ac:dyDescent="0.25">
      <c r="A79" t="s">
        <v>8610</v>
      </c>
      <c r="B79" t="s">
        <v>8827</v>
      </c>
      <c r="C79" t="s">
        <v>1</v>
      </c>
      <c r="D79" t="s">
        <v>0</v>
      </c>
      <c r="E79">
        <v>4272</v>
      </c>
      <c r="F79" t="s">
        <v>736</v>
      </c>
      <c r="G79" t="s">
        <v>737</v>
      </c>
      <c r="H79" s="3">
        <v>0</v>
      </c>
      <c r="I79" s="3">
        <v>0</v>
      </c>
      <c r="J79" s="3">
        <v>0</v>
      </c>
      <c r="K79" s="3">
        <v>175</v>
      </c>
      <c r="L79" s="3">
        <v>0</v>
      </c>
      <c r="M79" s="3">
        <v>0</v>
      </c>
      <c r="N79" s="3">
        <v>0</v>
      </c>
      <c r="O79" s="3">
        <v>22.75</v>
      </c>
      <c r="P79" s="3">
        <v>197.75</v>
      </c>
      <c r="Q79" t="s">
        <v>8046</v>
      </c>
      <c r="R79" t="s">
        <v>8200</v>
      </c>
      <c r="S79" s="3" t="s">
        <v>8046</v>
      </c>
      <c r="T79" s="3">
        <v>0</v>
      </c>
      <c r="U79" s="3"/>
    </row>
    <row r="80" spans="1:21" hidden="1" x14ac:dyDescent="0.25">
      <c r="A80" t="s">
        <v>8610</v>
      </c>
      <c r="B80" t="s">
        <v>8828</v>
      </c>
      <c r="C80" t="s">
        <v>1</v>
      </c>
      <c r="D80" t="s">
        <v>0</v>
      </c>
      <c r="E80">
        <v>16340</v>
      </c>
      <c r="F80" t="s">
        <v>8507</v>
      </c>
      <c r="G80" t="s">
        <v>8508</v>
      </c>
      <c r="H80" s="3">
        <v>1.97</v>
      </c>
      <c r="I80" s="3">
        <v>0</v>
      </c>
      <c r="J80" s="3">
        <v>0</v>
      </c>
      <c r="K80" s="3">
        <v>33.65</v>
      </c>
      <c r="L80" s="3">
        <v>0</v>
      </c>
      <c r="M80" s="3">
        <v>0</v>
      </c>
      <c r="N80" s="3">
        <v>0</v>
      </c>
      <c r="O80" s="3">
        <v>4.3745000000000003</v>
      </c>
      <c r="P80" s="3">
        <v>39.994499999999995</v>
      </c>
      <c r="Q80" t="s">
        <v>8046</v>
      </c>
      <c r="R80" t="s">
        <v>8200</v>
      </c>
      <c r="S80" s="3" t="s">
        <v>8046</v>
      </c>
      <c r="T80" s="3">
        <v>0</v>
      </c>
      <c r="U80" s="3"/>
    </row>
    <row r="81" spans="1:21" hidden="1" x14ac:dyDescent="0.25">
      <c r="A81" t="s">
        <v>8610</v>
      </c>
      <c r="B81" t="s">
        <v>8828</v>
      </c>
      <c r="C81" t="s">
        <v>1</v>
      </c>
      <c r="D81" t="s">
        <v>0</v>
      </c>
      <c r="E81">
        <v>345</v>
      </c>
      <c r="F81" t="s">
        <v>278</v>
      </c>
      <c r="G81" t="s">
        <v>279</v>
      </c>
      <c r="H81" s="3">
        <v>0</v>
      </c>
      <c r="I81" s="3">
        <v>0</v>
      </c>
      <c r="J81" s="3">
        <v>0</v>
      </c>
      <c r="K81" s="3">
        <v>163</v>
      </c>
      <c r="L81" s="3">
        <v>0</v>
      </c>
      <c r="M81" s="3">
        <v>0</v>
      </c>
      <c r="N81" s="3">
        <v>0</v>
      </c>
      <c r="O81" s="3">
        <v>21.19</v>
      </c>
      <c r="P81" s="3">
        <v>184.19</v>
      </c>
      <c r="Q81" t="s">
        <v>8046</v>
      </c>
      <c r="R81" t="s">
        <v>8200</v>
      </c>
      <c r="S81" s="3" t="s">
        <v>8046</v>
      </c>
      <c r="T81" s="3">
        <v>0</v>
      </c>
      <c r="U81" s="3"/>
    </row>
    <row r="82" spans="1:21" hidden="1" x14ac:dyDescent="0.25">
      <c r="A82" t="s">
        <v>8610</v>
      </c>
      <c r="B82" t="s">
        <v>8831</v>
      </c>
      <c r="C82" t="s">
        <v>1</v>
      </c>
      <c r="D82" t="s">
        <v>0</v>
      </c>
      <c r="E82">
        <v>1486035</v>
      </c>
      <c r="F82" t="s">
        <v>1576</v>
      </c>
      <c r="G82" t="s">
        <v>1577</v>
      </c>
      <c r="H82" s="3">
        <v>0</v>
      </c>
      <c r="I82" s="3">
        <v>0</v>
      </c>
      <c r="J82" s="3">
        <v>0</v>
      </c>
      <c r="K82" s="3">
        <v>63.26</v>
      </c>
      <c r="L82" s="3">
        <v>0</v>
      </c>
      <c r="M82" s="3">
        <v>0</v>
      </c>
      <c r="N82" s="3">
        <v>0</v>
      </c>
      <c r="O82" s="3">
        <v>8.2238000000000007</v>
      </c>
      <c r="P82" s="3">
        <v>71.483800000000002</v>
      </c>
      <c r="Q82" t="s">
        <v>8046</v>
      </c>
      <c r="R82" t="s">
        <v>8200</v>
      </c>
      <c r="S82" s="3" t="s">
        <v>8046</v>
      </c>
      <c r="T82" s="3">
        <v>0</v>
      </c>
      <c r="U82" s="3"/>
    </row>
    <row r="83" spans="1:21" hidden="1" x14ac:dyDescent="0.25">
      <c r="A83" t="s">
        <v>8610</v>
      </c>
      <c r="B83" t="s">
        <v>8828</v>
      </c>
      <c r="C83" t="s">
        <v>1</v>
      </c>
      <c r="D83" t="s">
        <v>0</v>
      </c>
      <c r="E83">
        <v>374011</v>
      </c>
      <c r="F83" t="s">
        <v>2436</v>
      </c>
      <c r="G83" t="s">
        <v>2437</v>
      </c>
      <c r="H83" s="3">
        <v>0</v>
      </c>
      <c r="I83" s="3">
        <v>0</v>
      </c>
      <c r="J83" s="3">
        <v>0</v>
      </c>
      <c r="K83" s="3">
        <v>421.34</v>
      </c>
      <c r="L83" s="3">
        <v>0</v>
      </c>
      <c r="M83" s="3">
        <v>0</v>
      </c>
      <c r="N83" s="3">
        <v>0</v>
      </c>
      <c r="O83" s="3">
        <v>54.7742</v>
      </c>
      <c r="P83" s="3">
        <v>476.11419999999998</v>
      </c>
      <c r="Q83" t="s">
        <v>8046</v>
      </c>
      <c r="R83" t="s">
        <v>8200</v>
      </c>
      <c r="S83" s="3" t="s">
        <v>8750</v>
      </c>
      <c r="T83" s="3">
        <v>4.21</v>
      </c>
      <c r="U83" s="3"/>
    </row>
    <row r="84" spans="1:21" hidden="1" x14ac:dyDescent="0.25">
      <c r="A84" t="s">
        <v>8610</v>
      </c>
      <c r="B84" t="s">
        <v>8828</v>
      </c>
      <c r="C84" t="s">
        <v>1</v>
      </c>
      <c r="D84" t="s">
        <v>0</v>
      </c>
      <c r="E84">
        <v>8683</v>
      </c>
      <c r="F84" t="s">
        <v>8510</v>
      </c>
      <c r="G84" t="s">
        <v>8511</v>
      </c>
      <c r="H84" s="3">
        <v>0</v>
      </c>
      <c r="I84" s="3">
        <v>0</v>
      </c>
      <c r="J84" s="3">
        <v>0</v>
      </c>
      <c r="K84" s="3">
        <v>165.61</v>
      </c>
      <c r="L84" s="3">
        <v>0</v>
      </c>
      <c r="M84" s="3">
        <v>0</v>
      </c>
      <c r="N84" s="3">
        <v>0</v>
      </c>
      <c r="O84" s="3">
        <v>21.529300000000003</v>
      </c>
      <c r="P84" s="3">
        <v>187.13930000000002</v>
      </c>
      <c r="Q84" t="s">
        <v>8046</v>
      </c>
      <c r="R84" t="s">
        <v>8200</v>
      </c>
      <c r="S84" s="3" t="s">
        <v>8046</v>
      </c>
      <c r="T84" s="3">
        <v>0</v>
      </c>
      <c r="U84" s="3"/>
    </row>
    <row r="85" spans="1:21" hidden="1" x14ac:dyDescent="0.25">
      <c r="A85" t="s">
        <v>8610</v>
      </c>
      <c r="B85" t="s">
        <v>8828</v>
      </c>
      <c r="C85" t="s">
        <v>1</v>
      </c>
      <c r="D85" t="s">
        <v>0</v>
      </c>
      <c r="E85">
        <v>2599</v>
      </c>
      <c r="F85" t="s">
        <v>3089</v>
      </c>
      <c r="G85" t="s">
        <v>3090</v>
      </c>
      <c r="H85" s="3">
        <v>0</v>
      </c>
      <c r="I85" s="3">
        <v>0</v>
      </c>
      <c r="J85" s="3">
        <v>0</v>
      </c>
      <c r="K85" s="3">
        <v>106.46</v>
      </c>
      <c r="L85" s="3">
        <v>0</v>
      </c>
      <c r="M85" s="3">
        <v>0</v>
      </c>
      <c r="N85" s="3">
        <v>0</v>
      </c>
      <c r="O85" s="3">
        <v>13.8398</v>
      </c>
      <c r="P85" s="3">
        <v>120.29979999999999</v>
      </c>
      <c r="Q85" t="s">
        <v>8046</v>
      </c>
      <c r="R85" t="s">
        <v>8200</v>
      </c>
      <c r="S85" s="3" t="s">
        <v>8807</v>
      </c>
      <c r="T85" s="3">
        <v>1.06</v>
      </c>
      <c r="U85" s="3"/>
    </row>
    <row r="86" spans="1:21" hidden="1" x14ac:dyDescent="0.25">
      <c r="A86" t="s">
        <v>8610</v>
      </c>
      <c r="B86" t="s">
        <v>8828</v>
      </c>
      <c r="C86" t="s">
        <v>1</v>
      </c>
      <c r="D86" t="s">
        <v>0</v>
      </c>
      <c r="E86">
        <v>2617</v>
      </c>
      <c r="F86" t="s">
        <v>3089</v>
      </c>
      <c r="G86" t="s">
        <v>3090</v>
      </c>
      <c r="H86" s="3">
        <v>0</v>
      </c>
      <c r="I86" s="3">
        <v>0</v>
      </c>
      <c r="J86" s="3">
        <v>0</v>
      </c>
      <c r="K86" s="3">
        <v>242.92</v>
      </c>
      <c r="L86" s="3">
        <v>0</v>
      </c>
      <c r="M86" s="3">
        <v>0</v>
      </c>
      <c r="N86" s="3">
        <v>0</v>
      </c>
      <c r="O86" s="3">
        <v>31.579599999999999</v>
      </c>
      <c r="P86" s="3">
        <v>274.49959999999999</v>
      </c>
      <c r="Q86" t="s">
        <v>8046</v>
      </c>
      <c r="R86" t="s">
        <v>8200</v>
      </c>
      <c r="S86" s="3" t="s">
        <v>8807</v>
      </c>
      <c r="T86" s="3">
        <v>2.4300000000000002</v>
      </c>
      <c r="U86" s="3"/>
    </row>
    <row r="87" spans="1:21" hidden="1" x14ac:dyDescent="0.25">
      <c r="A87" t="s">
        <v>8610</v>
      </c>
      <c r="B87" t="s">
        <v>8828</v>
      </c>
      <c r="C87" t="s">
        <v>1</v>
      </c>
      <c r="D87" t="s">
        <v>0</v>
      </c>
      <c r="E87">
        <v>4614</v>
      </c>
      <c r="F87" t="s">
        <v>1705</v>
      </c>
      <c r="G87" t="s">
        <v>1706</v>
      </c>
      <c r="H87" s="3">
        <v>0</v>
      </c>
      <c r="I87" s="3">
        <v>0</v>
      </c>
      <c r="J87" s="3">
        <v>0</v>
      </c>
      <c r="K87" s="3">
        <v>671.25</v>
      </c>
      <c r="L87" s="3">
        <v>0</v>
      </c>
      <c r="M87" s="3">
        <v>0</v>
      </c>
      <c r="N87" s="3">
        <v>0</v>
      </c>
      <c r="O87" s="3">
        <v>87.262500000000003</v>
      </c>
      <c r="P87" s="3">
        <v>758.51250000000005</v>
      </c>
      <c r="Q87" t="s">
        <v>8046</v>
      </c>
      <c r="R87" t="s">
        <v>8200</v>
      </c>
      <c r="S87" s="3" t="s">
        <v>8046</v>
      </c>
      <c r="T87" s="3">
        <v>0</v>
      </c>
      <c r="U87" s="3"/>
    </row>
    <row r="88" spans="1:21" hidden="1" x14ac:dyDescent="0.25">
      <c r="A88" t="s">
        <v>8610</v>
      </c>
      <c r="B88" t="s">
        <v>8827</v>
      </c>
      <c r="C88" t="s">
        <v>1</v>
      </c>
      <c r="D88" t="s">
        <v>0</v>
      </c>
      <c r="E88">
        <v>489241</v>
      </c>
      <c r="F88" t="s">
        <v>1546</v>
      </c>
      <c r="G88" t="s">
        <v>1547</v>
      </c>
      <c r="H88" s="3">
        <v>1.33</v>
      </c>
      <c r="I88" s="3">
        <v>0</v>
      </c>
      <c r="J88" s="3">
        <v>0</v>
      </c>
      <c r="K88" s="3">
        <v>25.37</v>
      </c>
      <c r="L88" s="3">
        <v>0</v>
      </c>
      <c r="M88" s="3">
        <v>0</v>
      </c>
      <c r="N88" s="3">
        <v>0</v>
      </c>
      <c r="O88" s="3">
        <v>3.2981000000000003</v>
      </c>
      <c r="P88" s="3">
        <v>29.998100000000004</v>
      </c>
      <c r="Q88" t="s">
        <v>8046</v>
      </c>
      <c r="R88" t="s">
        <v>8200</v>
      </c>
      <c r="S88" s="3" t="s">
        <v>8046</v>
      </c>
      <c r="T88" s="3">
        <v>0</v>
      </c>
      <c r="U88" s="3"/>
    </row>
    <row r="89" spans="1:21" hidden="1" x14ac:dyDescent="0.25">
      <c r="A89" t="s">
        <v>8610</v>
      </c>
      <c r="B89" t="s">
        <v>8827</v>
      </c>
      <c r="C89" t="s">
        <v>1</v>
      </c>
      <c r="D89" s="33" t="s">
        <v>8333</v>
      </c>
      <c r="E89">
        <v>6295</v>
      </c>
      <c r="F89" t="s">
        <v>3019</v>
      </c>
      <c r="G89" t="s">
        <v>3020</v>
      </c>
      <c r="H89" s="3">
        <v>0</v>
      </c>
      <c r="I89" s="3">
        <v>0</v>
      </c>
      <c r="J89" s="3">
        <v>0</v>
      </c>
      <c r="K89" s="3">
        <v>6.73</v>
      </c>
      <c r="L89" s="3">
        <v>0</v>
      </c>
      <c r="M89" s="3">
        <v>0</v>
      </c>
      <c r="N89" s="3">
        <v>0</v>
      </c>
      <c r="O89" s="3">
        <v>0.87490000000000012</v>
      </c>
      <c r="P89" s="3">
        <v>7.6049000000000007</v>
      </c>
      <c r="Q89" t="s">
        <v>8046</v>
      </c>
      <c r="R89" t="s">
        <v>8200</v>
      </c>
      <c r="S89" s="3" t="s">
        <v>8046</v>
      </c>
      <c r="T89" s="3">
        <v>0</v>
      </c>
      <c r="U89" s="3"/>
    </row>
    <row r="90" spans="1:21" hidden="1" x14ac:dyDescent="0.25">
      <c r="A90" t="s">
        <v>8610</v>
      </c>
      <c r="B90" t="s">
        <v>8827</v>
      </c>
      <c r="C90" t="s">
        <v>1</v>
      </c>
      <c r="D90" t="s">
        <v>0</v>
      </c>
      <c r="E90">
        <v>33310</v>
      </c>
      <c r="F90" t="s">
        <v>3019</v>
      </c>
      <c r="G90" t="s">
        <v>3020</v>
      </c>
      <c r="H90" s="3">
        <v>0</v>
      </c>
      <c r="I90" s="3">
        <v>0</v>
      </c>
      <c r="J90" s="3">
        <v>0</v>
      </c>
      <c r="K90" s="3">
        <v>6.73</v>
      </c>
      <c r="L90" s="3">
        <v>0</v>
      </c>
      <c r="M90" s="3">
        <v>0</v>
      </c>
      <c r="N90" s="3">
        <v>0</v>
      </c>
      <c r="O90" s="3">
        <v>0.87490000000000012</v>
      </c>
      <c r="P90" s="3">
        <v>7.6049000000000007</v>
      </c>
      <c r="Q90" t="s">
        <v>8046</v>
      </c>
      <c r="R90" t="s">
        <v>8200</v>
      </c>
      <c r="S90" s="3" t="s">
        <v>8046</v>
      </c>
      <c r="T90" s="3">
        <v>0</v>
      </c>
      <c r="U90" s="3"/>
    </row>
    <row r="91" spans="1:21" hidden="1" x14ac:dyDescent="0.25">
      <c r="A91" t="s">
        <v>8610</v>
      </c>
      <c r="B91" t="s">
        <v>8827</v>
      </c>
      <c r="C91" t="s">
        <v>1</v>
      </c>
      <c r="D91" s="33" t="s">
        <v>8333</v>
      </c>
      <c r="E91">
        <v>6287</v>
      </c>
      <c r="F91" t="s">
        <v>3019</v>
      </c>
      <c r="G91" t="s">
        <v>3020</v>
      </c>
      <c r="H91" s="3">
        <v>0</v>
      </c>
      <c r="I91" s="3">
        <v>0</v>
      </c>
      <c r="J91" s="3">
        <v>0</v>
      </c>
      <c r="K91" s="3">
        <v>128.88</v>
      </c>
      <c r="L91" s="3">
        <v>0</v>
      </c>
      <c r="M91" s="3">
        <v>0</v>
      </c>
      <c r="N91" s="3">
        <v>0</v>
      </c>
      <c r="O91" s="3">
        <v>16.7544</v>
      </c>
      <c r="P91" s="3">
        <v>145.6344</v>
      </c>
      <c r="Q91" t="s">
        <v>8046</v>
      </c>
      <c r="R91" t="s">
        <v>8200</v>
      </c>
      <c r="S91" s="3" t="s">
        <v>8046</v>
      </c>
      <c r="T91" s="3">
        <v>0</v>
      </c>
      <c r="U91" s="3"/>
    </row>
    <row r="92" spans="1:21" hidden="1" x14ac:dyDescent="0.25">
      <c r="A92" t="s">
        <v>8610</v>
      </c>
      <c r="B92" t="s">
        <v>8827</v>
      </c>
      <c r="C92" t="s">
        <v>1</v>
      </c>
      <c r="D92" t="s">
        <v>0</v>
      </c>
      <c r="E92">
        <v>33305</v>
      </c>
      <c r="F92" t="s">
        <v>3019</v>
      </c>
      <c r="G92" t="s">
        <v>3020</v>
      </c>
      <c r="H92" s="3">
        <v>0</v>
      </c>
      <c r="I92" s="3">
        <v>0</v>
      </c>
      <c r="J92" s="3">
        <v>0</v>
      </c>
      <c r="K92" s="3">
        <v>127.75</v>
      </c>
      <c r="L92" s="3">
        <v>0</v>
      </c>
      <c r="M92" s="3">
        <v>0</v>
      </c>
      <c r="N92" s="3">
        <v>0</v>
      </c>
      <c r="O92" s="3">
        <v>16.607500000000002</v>
      </c>
      <c r="P92" s="3">
        <v>144.35750000000002</v>
      </c>
      <c r="Q92" t="s">
        <v>8046</v>
      </c>
      <c r="R92" t="s">
        <v>8200</v>
      </c>
      <c r="S92" s="3" t="s">
        <v>8341</v>
      </c>
      <c r="T92" s="3">
        <v>1.28</v>
      </c>
      <c r="U92" s="3"/>
    </row>
    <row r="93" spans="1:21" hidden="1" x14ac:dyDescent="0.25">
      <c r="A93" t="s">
        <v>8610</v>
      </c>
      <c r="B93" t="s">
        <v>8828</v>
      </c>
      <c r="C93" t="s">
        <v>1</v>
      </c>
      <c r="D93" t="s">
        <v>0</v>
      </c>
      <c r="E93">
        <v>4305</v>
      </c>
      <c r="F93" t="s">
        <v>1610</v>
      </c>
      <c r="G93" t="s">
        <v>1611</v>
      </c>
      <c r="H93" s="3">
        <v>0</v>
      </c>
      <c r="I93" s="3">
        <v>0</v>
      </c>
      <c r="J93" s="3">
        <v>0</v>
      </c>
      <c r="K93" s="3">
        <v>80.28</v>
      </c>
      <c r="L93" s="3">
        <v>0</v>
      </c>
      <c r="M93" s="3">
        <v>0</v>
      </c>
      <c r="N93" s="3">
        <v>0</v>
      </c>
      <c r="O93" s="3">
        <v>10.436400000000001</v>
      </c>
      <c r="P93" s="3">
        <v>90.716400000000007</v>
      </c>
      <c r="Q93" t="s">
        <v>8046</v>
      </c>
      <c r="R93" t="s">
        <v>8200</v>
      </c>
      <c r="S93" s="3" t="s">
        <v>8046</v>
      </c>
      <c r="T93" s="3">
        <v>0</v>
      </c>
      <c r="U93" s="3"/>
    </row>
    <row r="94" spans="1:21" hidden="1" x14ac:dyDescent="0.25">
      <c r="A94" t="s">
        <v>8610</v>
      </c>
      <c r="B94" t="s">
        <v>8831</v>
      </c>
      <c r="C94" t="s">
        <v>1</v>
      </c>
      <c r="D94" t="s">
        <v>0</v>
      </c>
      <c r="E94">
        <v>36714</v>
      </c>
      <c r="F94" t="s">
        <v>1522</v>
      </c>
      <c r="G94" t="s">
        <v>1523</v>
      </c>
      <c r="H94" s="3">
        <v>1.27</v>
      </c>
      <c r="I94" s="3">
        <v>0</v>
      </c>
      <c r="J94" s="3">
        <v>0</v>
      </c>
      <c r="K94" s="3">
        <v>22.77</v>
      </c>
      <c r="L94" s="3">
        <v>0</v>
      </c>
      <c r="M94" s="3">
        <v>0</v>
      </c>
      <c r="N94" s="3">
        <v>0</v>
      </c>
      <c r="O94" s="3">
        <v>2.9601000000000002</v>
      </c>
      <c r="P94" s="3">
        <v>27.0001</v>
      </c>
      <c r="Q94" t="s">
        <v>8046</v>
      </c>
      <c r="R94" t="s">
        <v>8200</v>
      </c>
      <c r="S94" s="3" t="s">
        <v>8046</v>
      </c>
      <c r="T94" s="3">
        <v>0</v>
      </c>
      <c r="U94" s="3"/>
    </row>
    <row r="95" spans="1:21" hidden="1" x14ac:dyDescent="0.25">
      <c r="A95" t="s">
        <v>8610</v>
      </c>
      <c r="B95" t="s">
        <v>8831</v>
      </c>
      <c r="C95" t="s">
        <v>1</v>
      </c>
      <c r="D95" t="s">
        <v>0</v>
      </c>
      <c r="E95">
        <v>36666</v>
      </c>
      <c r="F95" t="s">
        <v>1522</v>
      </c>
      <c r="G95" t="s">
        <v>1523</v>
      </c>
      <c r="H95" s="3">
        <v>3.23</v>
      </c>
      <c r="I95" s="3">
        <v>0</v>
      </c>
      <c r="J95" s="3">
        <v>0</v>
      </c>
      <c r="K95" s="3">
        <v>55.55</v>
      </c>
      <c r="L95" s="3">
        <v>0</v>
      </c>
      <c r="M95" s="3">
        <v>0</v>
      </c>
      <c r="N95" s="3">
        <v>0</v>
      </c>
      <c r="O95" s="3">
        <v>7.2214999999999998</v>
      </c>
      <c r="P95" s="3">
        <v>66.001499999999993</v>
      </c>
      <c r="Q95" t="s">
        <v>8046</v>
      </c>
      <c r="R95" t="s">
        <v>8200</v>
      </c>
      <c r="S95" s="3" t="s">
        <v>8046</v>
      </c>
      <c r="T95" s="3">
        <v>0</v>
      </c>
      <c r="U95" s="3"/>
    </row>
    <row r="96" spans="1:21" hidden="1" x14ac:dyDescent="0.25">
      <c r="A96" t="s">
        <v>8610</v>
      </c>
      <c r="B96" t="s">
        <v>8867</v>
      </c>
      <c r="C96" t="s">
        <v>1</v>
      </c>
      <c r="D96" t="s">
        <v>0</v>
      </c>
      <c r="E96">
        <v>3184695</v>
      </c>
      <c r="F96" t="s">
        <v>1494</v>
      </c>
      <c r="G96" t="s">
        <v>1495</v>
      </c>
      <c r="H96" s="3">
        <v>0</v>
      </c>
      <c r="I96" s="3">
        <v>0</v>
      </c>
      <c r="J96" s="3">
        <v>0</v>
      </c>
      <c r="K96" s="3">
        <v>79.489999999999995</v>
      </c>
      <c r="L96" s="3">
        <v>0</v>
      </c>
      <c r="M96" s="3">
        <v>0</v>
      </c>
      <c r="N96" s="3">
        <v>0</v>
      </c>
      <c r="O96" s="3">
        <v>10.3337</v>
      </c>
      <c r="P96" s="3">
        <v>89.823700000000002</v>
      </c>
      <c r="Q96" t="s">
        <v>8046</v>
      </c>
      <c r="R96" t="s">
        <v>8200</v>
      </c>
      <c r="S96" s="3" t="s">
        <v>8046</v>
      </c>
      <c r="T96" s="3">
        <v>0</v>
      </c>
      <c r="U96" s="3"/>
    </row>
    <row r="97" spans="1:21" hidden="1" x14ac:dyDescent="0.25">
      <c r="A97" t="s">
        <v>8610</v>
      </c>
      <c r="B97" t="s">
        <v>8867</v>
      </c>
      <c r="C97" t="s">
        <v>1</v>
      </c>
      <c r="D97" t="s">
        <v>0</v>
      </c>
      <c r="E97">
        <v>2393254</v>
      </c>
      <c r="F97" t="s">
        <v>1494</v>
      </c>
      <c r="G97" t="s">
        <v>1495</v>
      </c>
      <c r="H97" s="3">
        <v>0</v>
      </c>
      <c r="I97" s="3">
        <v>0</v>
      </c>
      <c r="J97" s="3">
        <v>0</v>
      </c>
      <c r="K97" s="3">
        <v>39.82</v>
      </c>
      <c r="L97" s="3">
        <v>0</v>
      </c>
      <c r="M97" s="3">
        <v>0</v>
      </c>
      <c r="N97" s="3">
        <v>0</v>
      </c>
      <c r="O97" s="3">
        <v>5.1766000000000005</v>
      </c>
      <c r="P97" s="3">
        <v>44.996600000000001</v>
      </c>
      <c r="Q97" t="s">
        <v>8046</v>
      </c>
      <c r="R97" t="s">
        <v>8200</v>
      </c>
      <c r="S97" s="3" t="s">
        <v>8046</v>
      </c>
      <c r="T97" s="3">
        <v>0</v>
      </c>
      <c r="U97" s="3"/>
    </row>
    <row r="98" spans="1:21" hidden="1" x14ac:dyDescent="0.25">
      <c r="A98" t="s">
        <v>8610</v>
      </c>
      <c r="B98" t="s">
        <v>8832</v>
      </c>
      <c r="C98" t="s">
        <v>1</v>
      </c>
      <c r="D98" t="s">
        <v>0</v>
      </c>
      <c r="E98">
        <v>25</v>
      </c>
      <c r="F98" t="s">
        <v>7902</v>
      </c>
      <c r="G98" t="s">
        <v>7903</v>
      </c>
      <c r="H98" s="3">
        <v>0</v>
      </c>
      <c r="I98" s="3">
        <v>0</v>
      </c>
      <c r="J98" s="3">
        <v>0</v>
      </c>
      <c r="K98" s="3">
        <v>9.86</v>
      </c>
      <c r="L98" s="3">
        <v>0</v>
      </c>
      <c r="M98" s="3">
        <v>0</v>
      </c>
      <c r="N98" s="3">
        <v>0</v>
      </c>
      <c r="O98" s="3">
        <v>1.2818000000000001</v>
      </c>
      <c r="P98" s="3">
        <v>11.1418</v>
      </c>
      <c r="Q98" t="s">
        <v>8046</v>
      </c>
      <c r="R98" t="s">
        <v>8200</v>
      </c>
      <c r="S98" s="3" t="s">
        <v>8046</v>
      </c>
      <c r="T98" s="3">
        <v>0</v>
      </c>
      <c r="U98" s="3"/>
    </row>
    <row r="99" spans="1:21" hidden="1" x14ac:dyDescent="0.25">
      <c r="A99" t="s">
        <v>8610</v>
      </c>
      <c r="B99" t="s">
        <v>8832</v>
      </c>
      <c r="C99" t="s">
        <v>1</v>
      </c>
      <c r="D99" t="s">
        <v>0</v>
      </c>
      <c r="E99">
        <v>2102</v>
      </c>
      <c r="F99" t="s">
        <v>1670</v>
      </c>
      <c r="G99" t="s">
        <v>1671</v>
      </c>
      <c r="H99" s="3">
        <v>1.1599999999999999</v>
      </c>
      <c r="I99" s="3">
        <v>0</v>
      </c>
      <c r="J99" s="3">
        <v>0</v>
      </c>
      <c r="K99" s="3">
        <v>21.1</v>
      </c>
      <c r="L99" s="3">
        <v>0</v>
      </c>
      <c r="M99" s="3">
        <v>0</v>
      </c>
      <c r="N99" s="3">
        <v>0</v>
      </c>
      <c r="O99" s="3">
        <v>2.7430000000000003</v>
      </c>
      <c r="P99" s="3">
        <v>25.003</v>
      </c>
      <c r="Q99" t="s">
        <v>8046</v>
      </c>
      <c r="R99" t="s">
        <v>8200</v>
      </c>
      <c r="S99" s="3" t="s">
        <v>8046</v>
      </c>
      <c r="T99" s="3">
        <v>0</v>
      </c>
      <c r="U99" s="3"/>
    </row>
    <row r="100" spans="1:21" hidden="1" x14ac:dyDescent="0.25">
      <c r="A100" t="s">
        <v>8610</v>
      </c>
      <c r="B100" t="s">
        <v>8832</v>
      </c>
      <c r="C100" t="s">
        <v>1</v>
      </c>
      <c r="D100" t="s">
        <v>0</v>
      </c>
      <c r="E100">
        <v>1485608</v>
      </c>
      <c r="F100" t="s">
        <v>1576</v>
      </c>
      <c r="G100" t="s">
        <v>1577</v>
      </c>
      <c r="H100" s="3">
        <v>0</v>
      </c>
      <c r="I100" s="3">
        <v>0</v>
      </c>
      <c r="J100" s="3">
        <v>0</v>
      </c>
      <c r="K100" s="3">
        <v>334.32</v>
      </c>
      <c r="L100" s="3">
        <v>0</v>
      </c>
      <c r="M100" s="3">
        <v>0</v>
      </c>
      <c r="N100" s="3">
        <v>0</v>
      </c>
      <c r="O100" s="3">
        <v>43.461599999999997</v>
      </c>
      <c r="P100" s="3">
        <v>377.78159999999997</v>
      </c>
      <c r="Q100" t="s">
        <v>8046</v>
      </c>
      <c r="R100" t="s">
        <v>8200</v>
      </c>
      <c r="S100" s="3" t="s">
        <v>8345</v>
      </c>
      <c r="T100" s="3">
        <v>3.34</v>
      </c>
    </row>
    <row r="101" spans="1:21" hidden="1" x14ac:dyDescent="0.25">
      <c r="A101" t="s">
        <v>8610</v>
      </c>
      <c r="B101" t="s">
        <v>8832</v>
      </c>
      <c r="C101" t="s">
        <v>1</v>
      </c>
      <c r="D101" t="s">
        <v>0</v>
      </c>
      <c r="E101">
        <v>2102</v>
      </c>
      <c r="F101" t="s">
        <v>8583</v>
      </c>
      <c r="G101" t="s">
        <v>8584</v>
      </c>
      <c r="H101" s="3">
        <v>0</v>
      </c>
      <c r="I101" s="3">
        <v>0</v>
      </c>
      <c r="J101" s="3">
        <v>0</v>
      </c>
      <c r="K101" s="3">
        <v>265.83999999999997</v>
      </c>
      <c r="L101" s="3">
        <v>0</v>
      </c>
      <c r="M101" s="3">
        <v>0</v>
      </c>
      <c r="N101" s="3">
        <v>0</v>
      </c>
      <c r="O101" s="3">
        <v>34.559199999999997</v>
      </c>
      <c r="P101" s="3">
        <v>300.39919999999995</v>
      </c>
      <c r="Q101" t="s">
        <v>8046</v>
      </c>
      <c r="R101" t="s">
        <v>8200</v>
      </c>
      <c r="S101" s="3" t="s">
        <v>8046</v>
      </c>
      <c r="T101" s="3">
        <v>0</v>
      </c>
      <c r="U101" s="3"/>
    </row>
    <row r="102" spans="1:21" hidden="1" x14ac:dyDescent="0.25">
      <c r="A102" t="s">
        <v>8610</v>
      </c>
      <c r="B102" t="s">
        <v>8832</v>
      </c>
      <c r="C102" t="s">
        <v>1</v>
      </c>
      <c r="D102" t="s">
        <v>0</v>
      </c>
      <c r="E102">
        <v>610336</v>
      </c>
      <c r="F102" t="s">
        <v>1501</v>
      </c>
      <c r="G102" t="s">
        <v>1502</v>
      </c>
      <c r="H102" s="3">
        <v>1.97</v>
      </c>
      <c r="I102" s="3">
        <v>0</v>
      </c>
      <c r="J102" s="3">
        <v>0</v>
      </c>
      <c r="K102" s="3">
        <v>33.659999999999997</v>
      </c>
      <c r="L102" s="3">
        <v>0</v>
      </c>
      <c r="M102" s="3">
        <v>0</v>
      </c>
      <c r="N102" s="3">
        <v>0</v>
      </c>
      <c r="O102" s="3">
        <v>4.3757999999999999</v>
      </c>
      <c r="P102" s="3">
        <v>40.005799999999994</v>
      </c>
      <c r="Q102" t="s">
        <v>8046</v>
      </c>
      <c r="R102" t="s">
        <v>8200</v>
      </c>
      <c r="S102" s="3" t="s">
        <v>8046</v>
      </c>
      <c r="T102" s="3">
        <v>0</v>
      </c>
      <c r="U102" s="3"/>
    </row>
    <row r="103" spans="1:21" hidden="1" x14ac:dyDescent="0.25">
      <c r="A103" t="s">
        <v>8610</v>
      </c>
      <c r="B103" t="s">
        <v>8832</v>
      </c>
      <c r="C103" t="s">
        <v>1</v>
      </c>
      <c r="D103" t="s">
        <v>0</v>
      </c>
      <c r="E103">
        <v>2947833</v>
      </c>
      <c r="F103" t="s">
        <v>1494</v>
      </c>
      <c r="G103" t="s">
        <v>1495</v>
      </c>
      <c r="H103" s="3">
        <v>0</v>
      </c>
      <c r="I103" s="3">
        <v>0</v>
      </c>
      <c r="J103" s="3">
        <v>0</v>
      </c>
      <c r="K103" s="3">
        <v>51.01</v>
      </c>
      <c r="L103" s="3">
        <v>0</v>
      </c>
      <c r="M103" s="3">
        <v>0</v>
      </c>
      <c r="N103" s="3">
        <v>0</v>
      </c>
      <c r="O103" s="3">
        <v>6.6312999999999995</v>
      </c>
      <c r="P103" s="3">
        <v>57.641300000000001</v>
      </c>
      <c r="Q103" t="s">
        <v>8046</v>
      </c>
      <c r="R103" t="s">
        <v>8200</v>
      </c>
      <c r="S103" s="3" t="s">
        <v>8046</v>
      </c>
      <c r="T103" s="3">
        <v>0</v>
      </c>
      <c r="U103" s="3"/>
    </row>
    <row r="104" spans="1:21" hidden="1" x14ac:dyDescent="0.25">
      <c r="A104" t="s">
        <v>8610</v>
      </c>
      <c r="B104" t="s">
        <v>8838</v>
      </c>
      <c r="C104" t="s">
        <v>1</v>
      </c>
      <c r="D104" t="s">
        <v>0</v>
      </c>
      <c r="E104">
        <v>21323</v>
      </c>
      <c r="F104" t="s">
        <v>1544</v>
      </c>
      <c r="G104" t="s">
        <v>1545</v>
      </c>
      <c r="H104" s="3">
        <v>0</v>
      </c>
      <c r="I104" s="3">
        <v>0</v>
      </c>
      <c r="J104" s="3">
        <v>0</v>
      </c>
      <c r="K104" s="3">
        <v>367.37</v>
      </c>
      <c r="L104" s="3">
        <v>0</v>
      </c>
      <c r="M104" s="3">
        <v>0</v>
      </c>
      <c r="N104" s="3">
        <v>0</v>
      </c>
      <c r="O104" s="3">
        <v>47.758099999999999</v>
      </c>
      <c r="P104" s="3">
        <v>415.12810000000002</v>
      </c>
      <c r="Q104" t="s">
        <v>8046</v>
      </c>
      <c r="R104" t="s">
        <v>8200</v>
      </c>
      <c r="S104" s="3" t="s">
        <v>8046</v>
      </c>
      <c r="T104" s="3">
        <v>0</v>
      </c>
      <c r="U104" s="3"/>
    </row>
    <row r="105" spans="1:21" hidden="1" x14ac:dyDescent="0.25">
      <c r="A105" t="s">
        <v>8610</v>
      </c>
      <c r="B105" t="s">
        <v>8838</v>
      </c>
      <c r="C105" t="s">
        <v>1</v>
      </c>
      <c r="D105" t="s">
        <v>0</v>
      </c>
      <c r="E105">
        <v>1139</v>
      </c>
      <c r="F105" t="s">
        <v>131</v>
      </c>
      <c r="G105" t="s">
        <v>132</v>
      </c>
      <c r="H105" s="3">
        <v>0</v>
      </c>
      <c r="I105" s="3">
        <v>0</v>
      </c>
      <c r="J105" s="3">
        <v>0</v>
      </c>
      <c r="K105" s="3">
        <v>1103.8699999999999</v>
      </c>
      <c r="L105" s="3">
        <v>0</v>
      </c>
      <c r="M105" s="3">
        <v>0</v>
      </c>
      <c r="N105" s="3">
        <v>0</v>
      </c>
      <c r="O105" s="3">
        <v>143.50309999999999</v>
      </c>
      <c r="P105" s="3">
        <v>1247.3730999999998</v>
      </c>
      <c r="Q105" t="s">
        <v>8046</v>
      </c>
      <c r="R105" t="s">
        <v>8200</v>
      </c>
      <c r="S105" s="3" t="s">
        <v>8046</v>
      </c>
      <c r="T105" s="3">
        <v>0</v>
      </c>
      <c r="U105" s="3"/>
    </row>
    <row r="106" spans="1:21" hidden="1" x14ac:dyDescent="0.25">
      <c r="A106" t="s">
        <v>8610</v>
      </c>
      <c r="B106" t="s">
        <v>8838</v>
      </c>
      <c r="C106" t="s">
        <v>1</v>
      </c>
      <c r="D106" t="s">
        <v>0</v>
      </c>
      <c r="E106">
        <v>32961</v>
      </c>
      <c r="F106" t="s">
        <v>3019</v>
      </c>
      <c r="G106" t="s">
        <v>3020</v>
      </c>
      <c r="H106" s="3">
        <v>0</v>
      </c>
      <c r="I106" s="3">
        <v>0</v>
      </c>
      <c r="J106" s="3">
        <v>0</v>
      </c>
      <c r="K106" s="3">
        <v>274.3</v>
      </c>
      <c r="L106" s="3">
        <v>0</v>
      </c>
      <c r="M106" s="3">
        <v>0</v>
      </c>
      <c r="N106" s="3">
        <v>0</v>
      </c>
      <c r="O106" s="3">
        <v>35.659000000000006</v>
      </c>
      <c r="P106" s="3">
        <v>309.959</v>
      </c>
      <c r="Q106" t="s">
        <v>8046</v>
      </c>
      <c r="R106" t="s">
        <v>8200</v>
      </c>
      <c r="S106" s="3" t="s">
        <v>8341</v>
      </c>
      <c r="T106" s="3">
        <v>2.74</v>
      </c>
      <c r="U106" s="3"/>
    </row>
    <row r="107" spans="1:21" hidden="1" x14ac:dyDescent="0.25">
      <c r="A107" t="s">
        <v>8610</v>
      </c>
      <c r="B107" t="s">
        <v>8838</v>
      </c>
      <c r="C107" t="s">
        <v>1</v>
      </c>
      <c r="D107" t="s">
        <v>0</v>
      </c>
      <c r="E107">
        <v>442</v>
      </c>
      <c r="F107" t="s">
        <v>1200</v>
      </c>
      <c r="G107" t="s">
        <v>1201</v>
      </c>
      <c r="H107" s="3">
        <v>0</v>
      </c>
      <c r="I107" s="3">
        <v>0</v>
      </c>
      <c r="J107" s="3">
        <v>0</v>
      </c>
      <c r="K107" s="3">
        <v>6774.4</v>
      </c>
      <c r="L107" s="3">
        <v>0</v>
      </c>
      <c r="M107" s="3">
        <v>0</v>
      </c>
      <c r="N107" s="3">
        <v>0</v>
      </c>
      <c r="O107" s="3">
        <v>880.67200000000003</v>
      </c>
      <c r="P107" s="3">
        <v>7655.0720000000001</v>
      </c>
      <c r="Q107" t="s">
        <v>8046</v>
      </c>
      <c r="R107" t="s">
        <v>8200</v>
      </c>
      <c r="S107" s="3" t="s">
        <v>8341</v>
      </c>
      <c r="T107" s="3">
        <v>67.739999999999995</v>
      </c>
      <c r="U107" s="3"/>
    </row>
    <row r="108" spans="1:21" hidden="1" x14ac:dyDescent="0.25">
      <c r="A108" t="s">
        <v>8610</v>
      </c>
      <c r="B108" t="s">
        <v>8838</v>
      </c>
      <c r="C108" t="s">
        <v>1</v>
      </c>
      <c r="D108" t="s">
        <v>0</v>
      </c>
      <c r="E108">
        <v>1140</v>
      </c>
      <c r="F108" t="s">
        <v>8865</v>
      </c>
      <c r="G108" t="s">
        <v>8866</v>
      </c>
      <c r="H108" s="3">
        <v>0</v>
      </c>
      <c r="I108" s="3">
        <v>0</v>
      </c>
      <c r="J108" s="3">
        <v>0</v>
      </c>
      <c r="K108" s="3">
        <v>298.3</v>
      </c>
      <c r="L108" s="3">
        <v>0</v>
      </c>
      <c r="M108" s="3">
        <v>0</v>
      </c>
      <c r="N108" s="3">
        <v>0</v>
      </c>
      <c r="O108" s="3">
        <v>38.779000000000003</v>
      </c>
      <c r="P108" s="3">
        <v>337.07900000000001</v>
      </c>
      <c r="Q108" t="s">
        <v>8046</v>
      </c>
      <c r="R108" t="s">
        <v>8200</v>
      </c>
      <c r="S108" s="3" t="s">
        <v>8046</v>
      </c>
      <c r="T108" s="3">
        <v>0</v>
      </c>
      <c r="U108" s="3"/>
    </row>
    <row r="109" spans="1:21" hidden="1" x14ac:dyDescent="0.25">
      <c r="A109" t="s">
        <v>8610</v>
      </c>
      <c r="B109" t="s">
        <v>8838</v>
      </c>
      <c r="C109" t="s">
        <v>1</v>
      </c>
      <c r="D109" t="s">
        <v>0</v>
      </c>
      <c r="E109">
        <v>310</v>
      </c>
      <c r="F109" t="s">
        <v>8504</v>
      </c>
      <c r="G109" t="s">
        <v>8505</v>
      </c>
      <c r="H109" s="3">
        <v>0</v>
      </c>
      <c r="I109" s="3">
        <v>0</v>
      </c>
      <c r="J109" s="3">
        <v>0</v>
      </c>
      <c r="K109" s="3">
        <v>168.58</v>
      </c>
      <c r="L109" s="3">
        <v>0</v>
      </c>
      <c r="M109" s="3">
        <v>0</v>
      </c>
      <c r="N109" s="3">
        <v>0</v>
      </c>
      <c r="O109" s="3">
        <v>21.915400000000002</v>
      </c>
      <c r="P109" s="3">
        <v>190.49540000000002</v>
      </c>
      <c r="Q109" t="s">
        <v>8046</v>
      </c>
      <c r="R109" t="s">
        <v>8200</v>
      </c>
      <c r="S109" s="3" t="s">
        <v>8046</v>
      </c>
      <c r="T109" s="3">
        <v>0</v>
      </c>
      <c r="U109" s="3"/>
    </row>
    <row r="110" spans="1:21" hidden="1" x14ac:dyDescent="0.25">
      <c r="A110" t="s">
        <v>8610</v>
      </c>
      <c r="B110" t="s">
        <v>8838</v>
      </c>
      <c r="C110" t="s">
        <v>1</v>
      </c>
      <c r="D110" t="s">
        <v>0</v>
      </c>
      <c r="E110">
        <v>492014</v>
      </c>
      <c r="F110" t="s">
        <v>1517</v>
      </c>
      <c r="G110" t="s">
        <v>1518</v>
      </c>
      <c r="H110" s="3">
        <v>0</v>
      </c>
      <c r="I110" s="3">
        <v>0</v>
      </c>
      <c r="J110" s="3">
        <v>0</v>
      </c>
      <c r="K110" s="3">
        <v>15.84</v>
      </c>
      <c r="L110" s="3">
        <v>0</v>
      </c>
      <c r="M110" s="3">
        <v>0</v>
      </c>
      <c r="N110" s="3">
        <v>0</v>
      </c>
      <c r="O110" s="3">
        <v>2.0592000000000001</v>
      </c>
      <c r="P110" s="3">
        <v>17.8992</v>
      </c>
      <c r="Q110" t="s">
        <v>8046</v>
      </c>
      <c r="R110" t="s">
        <v>8200</v>
      </c>
      <c r="S110" s="3" t="s">
        <v>8046</v>
      </c>
      <c r="T110" s="3">
        <v>0</v>
      </c>
      <c r="U110" s="3"/>
    </row>
    <row r="111" spans="1:21" hidden="1" x14ac:dyDescent="0.25">
      <c r="A111" t="s">
        <v>8610</v>
      </c>
      <c r="B111" t="s">
        <v>8838</v>
      </c>
      <c r="C111" t="s">
        <v>1</v>
      </c>
      <c r="D111" t="s">
        <v>0</v>
      </c>
      <c r="E111">
        <v>14537</v>
      </c>
      <c r="F111" t="s">
        <v>8365</v>
      </c>
      <c r="G111" t="s">
        <v>8366</v>
      </c>
      <c r="H111" s="3">
        <v>1.65</v>
      </c>
      <c r="I111" s="3">
        <v>0</v>
      </c>
      <c r="J111" s="3">
        <v>0</v>
      </c>
      <c r="K111" s="3">
        <v>29.52</v>
      </c>
      <c r="L111" s="3">
        <v>0</v>
      </c>
      <c r="M111" s="3">
        <v>0</v>
      </c>
      <c r="N111" s="3">
        <v>0</v>
      </c>
      <c r="O111" s="3">
        <v>3.8376000000000001</v>
      </c>
      <c r="P111" s="3">
        <v>35.007599999999996</v>
      </c>
      <c r="Q111" t="s">
        <v>8046</v>
      </c>
      <c r="R111" t="s">
        <v>8200</v>
      </c>
      <c r="S111" s="3" t="s">
        <v>8046</v>
      </c>
      <c r="T111" s="3">
        <v>0</v>
      </c>
      <c r="U111" s="3"/>
    </row>
    <row r="112" spans="1:21" hidden="1" x14ac:dyDescent="0.25">
      <c r="A112" t="s">
        <v>8610</v>
      </c>
      <c r="B112" t="s">
        <v>8838</v>
      </c>
      <c r="C112" t="s">
        <v>1</v>
      </c>
      <c r="D112" t="s">
        <v>0</v>
      </c>
      <c r="E112">
        <v>457</v>
      </c>
      <c r="F112" t="s">
        <v>1200</v>
      </c>
      <c r="G112" t="s">
        <v>1201</v>
      </c>
      <c r="H112" s="3">
        <v>0</v>
      </c>
      <c r="I112" s="3">
        <v>0</v>
      </c>
      <c r="J112" s="3">
        <v>0</v>
      </c>
      <c r="K112" s="3">
        <v>150</v>
      </c>
      <c r="L112" s="3">
        <v>0</v>
      </c>
      <c r="M112" s="3">
        <v>0</v>
      </c>
      <c r="N112" s="3">
        <v>0</v>
      </c>
      <c r="O112" s="3">
        <v>19.5</v>
      </c>
      <c r="P112" s="3">
        <v>169.5</v>
      </c>
      <c r="Q112" t="s">
        <v>8046</v>
      </c>
      <c r="R112" t="s">
        <v>8200</v>
      </c>
      <c r="S112" s="3" t="s">
        <v>8341</v>
      </c>
      <c r="T112" s="3">
        <v>1.5</v>
      </c>
      <c r="U112" s="3"/>
    </row>
    <row r="113" spans="1:21" hidden="1" x14ac:dyDescent="0.25">
      <c r="A113" t="s">
        <v>8610</v>
      </c>
      <c r="B113" t="s">
        <v>8839</v>
      </c>
      <c r="C113" t="s">
        <v>1</v>
      </c>
      <c r="D113" t="s">
        <v>0</v>
      </c>
      <c r="E113">
        <v>409</v>
      </c>
      <c r="F113" t="s">
        <v>1200</v>
      </c>
      <c r="G113" t="s">
        <v>1201</v>
      </c>
      <c r="H113" s="3">
        <v>0</v>
      </c>
      <c r="I113" s="3">
        <v>0</v>
      </c>
      <c r="J113" s="3">
        <v>0</v>
      </c>
      <c r="K113" s="3">
        <v>300</v>
      </c>
      <c r="L113" s="3">
        <v>0</v>
      </c>
      <c r="M113" s="3">
        <v>0</v>
      </c>
      <c r="N113" s="3">
        <v>0</v>
      </c>
      <c r="O113" s="3">
        <v>39</v>
      </c>
      <c r="P113" s="3">
        <v>339</v>
      </c>
      <c r="Q113" t="s">
        <v>8046</v>
      </c>
      <c r="R113" t="s">
        <v>8200</v>
      </c>
      <c r="S113" s="3" t="s">
        <v>8341</v>
      </c>
      <c r="T113" s="3">
        <v>3</v>
      </c>
      <c r="U113" s="3"/>
    </row>
    <row r="114" spans="1:21" hidden="1" x14ac:dyDescent="0.25">
      <c r="A114" t="s">
        <v>8610</v>
      </c>
      <c r="B114" t="s">
        <v>8839</v>
      </c>
      <c r="C114" t="s">
        <v>1</v>
      </c>
      <c r="D114" t="s">
        <v>0</v>
      </c>
      <c r="E114">
        <v>46408</v>
      </c>
      <c r="F114" t="s">
        <v>2998</v>
      </c>
      <c r="G114" t="s">
        <v>2999</v>
      </c>
      <c r="H114" s="3">
        <v>0</v>
      </c>
      <c r="I114" s="3">
        <v>0</v>
      </c>
      <c r="J114" s="3">
        <v>0</v>
      </c>
      <c r="K114" s="3">
        <v>156.25</v>
      </c>
      <c r="L114" s="3">
        <v>0</v>
      </c>
      <c r="M114" s="3">
        <v>0</v>
      </c>
      <c r="N114" s="3">
        <v>0</v>
      </c>
      <c r="O114" s="3">
        <v>20.3125</v>
      </c>
      <c r="P114" s="3">
        <v>176.5625</v>
      </c>
      <c r="Q114" t="s">
        <v>8046</v>
      </c>
      <c r="R114" t="s">
        <v>8200</v>
      </c>
      <c r="S114" s="3" t="s">
        <v>8345</v>
      </c>
      <c r="T114" s="3">
        <v>1.56</v>
      </c>
      <c r="U114" s="3"/>
    </row>
    <row r="115" spans="1:21" hidden="1" x14ac:dyDescent="0.25">
      <c r="A115" t="s">
        <v>8610</v>
      </c>
      <c r="B115" t="s">
        <v>8839</v>
      </c>
      <c r="C115" t="s">
        <v>1</v>
      </c>
      <c r="D115" t="s">
        <v>0</v>
      </c>
      <c r="E115">
        <v>1483957</v>
      </c>
      <c r="F115" t="s">
        <v>1576</v>
      </c>
      <c r="G115" t="s">
        <v>1577</v>
      </c>
      <c r="H115" s="3">
        <v>0</v>
      </c>
      <c r="I115" s="3">
        <v>0</v>
      </c>
      <c r="J115" s="3">
        <v>0</v>
      </c>
      <c r="K115" s="3">
        <v>363.75</v>
      </c>
      <c r="L115" s="3">
        <v>0</v>
      </c>
      <c r="M115" s="3">
        <v>0</v>
      </c>
      <c r="N115" s="3">
        <v>0</v>
      </c>
      <c r="O115" s="3">
        <v>47.287500000000001</v>
      </c>
      <c r="P115" s="3">
        <v>411.03750000000002</v>
      </c>
      <c r="Q115" t="s">
        <v>8046</v>
      </c>
      <c r="R115" t="s">
        <v>8200</v>
      </c>
      <c r="S115" s="3" t="s">
        <v>8345</v>
      </c>
      <c r="T115" s="3">
        <v>3.64</v>
      </c>
      <c r="U115" s="3"/>
    </row>
    <row r="116" spans="1:21" hidden="1" x14ac:dyDescent="0.25">
      <c r="A116" t="s">
        <v>8610</v>
      </c>
      <c r="B116" t="s">
        <v>8839</v>
      </c>
      <c r="C116" t="s">
        <v>1</v>
      </c>
      <c r="D116" t="s">
        <v>0</v>
      </c>
      <c r="E116">
        <v>37</v>
      </c>
      <c r="F116" t="s">
        <v>8371</v>
      </c>
      <c r="G116" t="s">
        <v>8372</v>
      </c>
      <c r="H116" s="3">
        <v>0</v>
      </c>
      <c r="I116" s="3">
        <v>0</v>
      </c>
      <c r="J116" s="3">
        <v>0</v>
      </c>
      <c r="K116" s="3">
        <v>84.07</v>
      </c>
      <c r="L116" s="3">
        <v>0</v>
      </c>
      <c r="M116" s="3">
        <v>0</v>
      </c>
      <c r="N116" s="3">
        <v>0</v>
      </c>
      <c r="O116" s="3">
        <v>10.9291</v>
      </c>
      <c r="P116" s="3">
        <v>94.999099999999999</v>
      </c>
      <c r="Q116" t="s">
        <v>8046</v>
      </c>
      <c r="R116" t="s">
        <v>8200</v>
      </c>
      <c r="S116" s="3" t="s">
        <v>8046</v>
      </c>
      <c r="T116" s="3">
        <v>0</v>
      </c>
      <c r="U116" s="3"/>
    </row>
    <row r="117" spans="1:21" hidden="1" x14ac:dyDescent="0.25">
      <c r="A117" t="s">
        <v>8610</v>
      </c>
      <c r="B117" t="s">
        <v>8839</v>
      </c>
      <c r="C117" t="s">
        <v>1</v>
      </c>
      <c r="D117" t="s">
        <v>0</v>
      </c>
      <c r="E117">
        <v>2094</v>
      </c>
      <c r="F117" t="s">
        <v>8583</v>
      </c>
      <c r="G117" t="s">
        <v>8584</v>
      </c>
      <c r="H117" s="3">
        <v>0</v>
      </c>
      <c r="I117" s="3">
        <v>0</v>
      </c>
      <c r="J117" s="3">
        <v>0</v>
      </c>
      <c r="K117" s="3">
        <v>54.51</v>
      </c>
      <c r="L117" s="3">
        <v>0</v>
      </c>
      <c r="M117" s="3">
        <v>0</v>
      </c>
      <c r="N117" s="3">
        <v>0</v>
      </c>
      <c r="O117" s="3">
        <v>7.0862999999999996</v>
      </c>
      <c r="P117" s="3">
        <v>61.596299999999999</v>
      </c>
      <c r="Q117" t="s">
        <v>8046</v>
      </c>
      <c r="R117" t="s">
        <v>8200</v>
      </c>
      <c r="S117" s="3" t="s">
        <v>8046</v>
      </c>
      <c r="T117" s="3">
        <v>0</v>
      </c>
      <c r="U117" s="3"/>
    </row>
    <row r="118" spans="1:21" hidden="1" x14ac:dyDescent="0.25">
      <c r="A118" t="s">
        <v>8610</v>
      </c>
      <c r="B118" t="s">
        <v>8839</v>
      </c>
      <c r="C118" t="s">
        <v>1</v>
      </c>
      <c r="D118" t="s">
        <v>0</v>
      </c>
      <c r="E118">
        <v>609856</v>
      </c>
      <c r="F118" t="s">
        <v>1501</v>
      </c>
      <c r="G118" t="s">
        <v>1502</v>
      </c>
      <c r="H118" s="3">
        <v>1.72</v>
      </c>
      <c r="I118" s="3">
        <v>0</v>
      </c>
      <c r="J118" s="3">
        <v>0</v>
      </c>
      <c r="K118" s="3">
        <v>29.45</v>
      </c>
      <c r="L118" s="3">
        <v>0</v>
      </c>
      <c r="M118" s="3">
        <v>0</v>
      </c>
      <c r="N118" s="3">
        <v>0</v>
      </c>
      <c r="O118" s="3">
        <v>3.8285</v>
      </c>
      <c r="P118" s="3">
        <v>34.9985</v>
      </c>
      <c r="Q118" t="s">
        <v>8046</v>
      </c>
      <c r="R118" t="s">
        <v>8200</v>
      </c>
      <c r="S118" s="3" t="s">
        <v>8046</v>
      </c>
      <c r="T118" s="3">
        <v>0</v>
      </c>
      <c r="U118" s="3"/>
    </row>
    <row r="119" spans="1:21" hidden="1" x14ac:dyDescent="0.25">
      <c r="A119" t="s">
        <v>8610</v>
      </c>
      <c r="B119" t="s">
        <v>8840</v>
      </c>
      <c r="C119" t="s">
        <v>1</v>
      </c>
      <c r="D119" t="s">
        <v>0</v>
      </c>
      <c r="E119">
        <v>30356511</v>
      </c>
      <c r="F119" t="s">
        <v>1494</v>
      </c>
      <c r="G119" t="s">
        <v>1495</v>
      </c>
      <c r="H119" s="3">
        <v>0</v>
      </c>
      <c r="I119" s="3">
        <v>0</v>
      </c>
      <c r="J119" s="3">
        <v>0</v>
      </c>
      <c r="K119" s="3">
        <v>118.54</v>
      </c>
      <c r="L119" s="3">
        <v>0</v>
      </c>
      <c r="M119" s="3">
        <v>0</v>
      </c>
      <c r="N119" s="3">
        <v>0</v>
      </c>
      <c r="O119" s="3">
        <v>15.410200000000001</v>
      </c>
      <c r="P119" s="3">
        <v>133.9502</v>
      </c>
      <c r="Q119" t="s">
        <v>8046</v>
      </c>
      <c r="R119" t="s">
        <v>8200</v>
      </c>
      <c r="S119" s="3" t="s">
        <v>8046</v>
      </c>
      <c r="T119" s="3">
        <v>0</v>
      </c>
      <c r="U119" s="3"/>
    </row>
    <row r="120" spans="1:21" hidden="1" x14ac:dyDescent="0.25">
      <c r="A120" t="s">
        <v>8610</v>
      </c>
      <c r="B120" t="s">
        <v>8840</v>
      </c>
      <c r="C120" t="s">
        <v>1</v>
      </c>
      <c r="D120" t="s">
        <v>0</v>
      </c>
      <c r="E120">
        <v>35834</v>
      </c>
      <c r="F120" t="s">
        <v>1522</v>
      </c>
      <c r="G120" t="s">
        <v>1523</v>
      </c>
      <c r="H120" s="3">
        <v>1.46</v>
      </c>
      <c r="I120" s="3">
        <v>0</v>
      </c>
      <c r="J120" s="3">
        <v>0</v>
      </c>
      <c r="K120" s="3">
        <v>26.14</v>
      </c>
      <c r="L120" s="3">
        <v>0</v>
      </c>
      <c r="M120" s="3">
        <v>0</v>
      </c>
      <c r="N120" s="3">
        <v>0</v>
      </c>
      <c r="O120" s="3">
        <v>3.3982000000000001</v>
      </c>
      <c r="P120" s="3">
        <v>30.998200000000001</v>
      </c>
      <c r="Q120" t="s">
        <v>8046</v>
      </c>
      <c r="R120" t="s">
        <v>8200</v>
      </c>
      <c r="S120" s="3" t="s">
        <v>8046</v>
      </c>
      <c r="T120" s="3">
        <v>0</v>
      </c>
      <c r="U120" s="3"/>
    </row>
    <row r="121" spans="1:21" hidden="1" x14ac:dyDescent="0.25">
      <c r="A121" t="s">
        <v>8610</v>
      </c>
      <c r="B121" t="s">
        <v>8840</v>
      </c>
      <c r="C121" t="s">
        <v>1</v>
      </c>
      <c r="D121" t="s">
        <v>0</v>
      </c>
      <c r="E121">
        <v>1483399</v>
      </c>
      <c r="F121" t="s">
        <v>1576</v>
      </c>
      <c r="G121" t="s">
        <v>1577</v>
      </c>
      <c r="H121" s="3">
        <v>0</v>
      </c>
      <c r="I121" s="3">
        <v>0</v>
      </c>
      <c r="J121" s="3">
        <v>0</v>
      </c>
      <c r="K121" s="3">
        <v>485.35</v>
      </c>
      <c r="L121" s="3">
        <v>0</v>
      </c>
      <c r="M121" s="3">
        <v>0</v>
      </c>
      <c r="N121" s="3">
        <v>0</v>
      </c>
      <c r="O121" s="3">
        <v>63.095500000000008</v>
      </c>
      <c r="P121" s="3">
        <v>548.44550000000004</v>
      </c>
      <c r="Q121" t="s">
        <v>8046</v>
      </c>
      <c r="R121" t="s">
        <v>8200</v>
      </c>
      <c r="S121" s="3" t="s">
        <v>8345</v>
      </c>
      <c r="T121" s="3">
        <v>4.8499999999999996</v>
      </c>
      <c r="U121" s="3"/>
    </row>
    <row r="122" spans="1:21" hidden="1" x14ac:dyDescent="0.25">
      <c r="A122" t="s">
        <v>8610</v>
      </c>
      <c r="B122" t="s">
        <v>8840</v>
      </c>
      <c r="C122" t="s">
        <v>1</v>
      </c>
      <c r="D122" t="s">
        <v>0</v>
      </c>
      <c r="E122">
        <v>1483392</v>
      </c>
      <c r="F122" t="s">
        <v>1576</v>
      </c>
      <c r="G122" t="s">
        <v>1577</v>
      </c>
      <c r="H122" s="3">
        <v>0</v>
      </c>
      <c r="I122" s="3">
        <v>0</v>
      </c>
      <c r="J122" s="3">
        <v>0</v>
      </c>
      <c r="K122" s="3">
        <v>1104</v>
      </c>
      <c r="L122" s="3">
        <v>0</v>
      </c>
      <c r="M122" s="3">
        <v>0</v>
      </c>
      <c r="N122" s="3">
        <v>0</v>
      </c>
      <c r="O122" s="3">
        <v>143.52000000000001</v>
      </c>
      <c r="P122" s="3">
        <v>1247.52</v>
      </c>
      <c r="Q122" t="s">
        <v>8046</v>
      </c>
      <c r="R122" t="s">
        <v>8200</v>
      </c>
      <c r="S122" s="3" t="s">
        <v>8341</v>
      </c>
      <c r="T122" s="3">
        <v>11.04</v>
      </c>
      <c r="U122" s="3"/>
    </row>
    <row r="123" spans="1:21" hidden="1" x14ac:dyDescent="0.25">
      <c r="A123" t="s">
        <v>8610</v>
      </c>
      <c r="B123" t="s">
        <v>8840</v>
      </c>
      <c r="C123" t="s">
        <v>1</v>
      </c>
      <c r="D123" t="s">
        <v>0</v>
      </c>
      <c r="E123">
        <v>1483390</v>
      </c>
      <c r="F123" t="s">
        <v>1576</v>
      </c>
      <c r="G123" t="s">
        <v>1577</v>
      </c>
      <c r="H123" s="3">
        <v>0</v>
      </c>
      <c r="I123" s="3">
        <v>0</v>
      </c>
      <c r="J123" s="3">
        <v>0</v>
      </c>
      <c r="K123" s="3">
        <v>309.25</v>
      </c>
      <c r="L123" s="3">
        <v>0</v>
      </c>
      <c r="M123" s="3">
        <v>0</v>
      </c>
      <c r="N123" s="3">
        <v>0</v>
      </c>
      <c r="O123" s="3">
        <v>40.202500000000001</v>
      </c>
      <c r="P123" s="3">
        <v>349.45249999999999</v>
      </c>
      <c r="Q123" t="s">
        <v>8046</v>
      </c>
      <c r="R123" t="s">
        <v>8200</v>
      </c>
      <c r="S123" s="3" t="s">
        <v>8345</v>
      </c>
      <c r="T123" s="3">
        <v>3.09</v>
      </c>
      <c r="U123" s="3"/>
    </row>
    <row r="124" spans="1:21" hidden="1" x14ac:dyDescent="0.25">
      <c r="A124" t="s">
        <v>8610</v>
      </c>
      <c r="B124" t="s">
        <v>8840</v>
      </c>
      <c r="C124" t="s">
        <v>1</v>
      </c>
      <c r="D124" t="s">
        <v>0</v>
      </c>
      <c r="E124">
        <v>32715</v>
      </c>
      <c r="F124" t="s">
        <v>3019</v>
      </c>
      <c r="G124" t="s">
        <v>3020</v>
      </c>
      <c r="H124" s="3">
        <v>0</v>
      </c>
      <c r="I124" s="3">
        <v>0</v>
      </c>
      <c r="J124" s="3">
        <v>0</v>
      </c>
      <c r="K124" s="3">
        <v>513.85</v>
      </c>
      <c r="L124" s="3">
        <v>0</v>
      </c>
      <c r="M124" s="3">
        <v>0</v>
      </c>
      <c r="N124" s="3">
        <v>0</v>
      </c>
      <c r="O124" s="3">
        <v>66.8005</v>
      </c>
      <c r="P124" s="3">
        <v>580.65049999999997</v>
      </c>
      <c r="Q124" t="s">
        <v>8046</v>
      </c>
      <c r="R124" t="s">
        <v>8200</v>
      </c>
      <c r="S124" s="3" t="s">
        <v>8341</v>
      </c>
      <c r="T124" s="3">
        <v>5.14</v>
      </c>
      <c r="U124" s="3"/>
    </row>
    <row r="125" spans="1:21" hidden="1" x14ac:dyDescent="0.25">
      <c r="A125" t="s">
        <v>8610</v>
      </c>
      <c r="B125" t="s">
        <v>8841</v>
      </c>
      <c r="C125" t="s">
        <v>1</v>
      </c>
      <c r="D125" t="s">
        <v>0</v>
      </c>
      <c r="E125">
        <v>664</v>
      </c>
      <c r="F125" t="s">
        <v>8350</v>
      </c>
      <c r="G125" t="s">
        <v>8351</v>
      </c>
      <c r="H125" s="3">
        <v>0</v>
      </c>
      <c r="I125" s="3">
        <v>0</v>
      </c>
      <c r="J125" s="3">
        <v>0</v>
      </c>
      <c r="K125" s="3">
        <v>46.02</v>
      </c>
      <c r="L125" s="3">
        <v>0</v>
      </c>
      <c r="M125" s="3">
        <v>0</v>
      </c>
      <c r="N125" s="3">
        <v>0</v>
      </c>
      <c r="O125" s="3">
        <v>5.9826000000000006</v>
      </c>
      <c r="P125" s="3">
        <v>52.002600000000001</v>
      </c>
      <c r="Q125" t="s">
        <v>8046</v>
      </c>
      <c r="R125" t="s">
        <v>8200</v>
      </c>
      <c r="S125" s="3" t="s">
        <v>8046</v>
      </c>
      <c r="T125" s="3">
        <v>0</v>
      </c>
      <c r="U125" s="3"/>
    </row>
    <row r="126" spans="1:21" hidden="1" x14ac:dyDescent="0.25">
      <c r="A126" t="s">
        <v>8610</v>
      </c>
      <c r="B126" t="s">
        <v>8841</v>
      </c>
      <c r="C126" t="s">
        <v>1</v>
      </c>
      <c r="D126" t="s">
        <v>0</v>
      </c>
      <c r="E126">
        <v>565485</v>
      </c>
      <c r="F126" t="s">
        <v>1620</v>
      </c>
      <c r="G126" t="s">
        <v>1621</v>
      </c>
      <c r="H126" s="3">
        <v>2.02</v>
      </c>
      <c r="I126" s="3">
        <v>0</v>
      </c>
      <c r="J126" s="3">
        <v>0</v>
      </c>
      <c r="K126" s="3">
        <v>36.270000000000003</v>
      </c>
      <c r="L126" s="3">
        <v>0</v>
      </c>
      <c r="M126" s="3">
        <v>0</v>
      </c>
      <c r="N126" s="3">
        <v>0</v>
      </c>
      <c r="O126" s="3">
        <v>4.7151000000000005</v>
      </c>
      <c r="P126" s="3">
        <v>43.005100000000006</v>
      </c>
      <c r="Q126" t="s">
        <v>8046</v>
      </c>
      <c r="R126" t="s">
        <v>8200</v>
      </c>
      <c r="S126" s="3" t="s">
        <v>8046</v>
      </c>
      <c r="T126" s="3">
        <v>0</v>
      </c>
      <c r="U126" s="3"/>
    </row>
    <row r="127" spans="1:21" hidden="1" x14ac:dyDescent="0.25">
      <c r="A127" t="s">
        <v>8610</v>
      </c>
      <c r="B127" t="s">
        <v>8841</v>
      </c>
      <c r="C127" t="s">
        <v>1</v>
      </c>
      <c r="D127" t="s">
        <v>0</v>
      </c>
      <c r="E127">
        <v>35609</v>
      </c>
      <c r="F127" t="s">
        <v>1522</v>
      </c>
      <c r="G127" t="s">
        <v>1523</v>
      </c>
      <c r="H127" s="3">
        <v>1.41</v>
      </c>
      <c r="I127" s="3">
        <v>0</v>
      </c>
      <c r="J127" s="3">
        <v>0</v>
      </c>
      <c r="K127" s="3">
        <v>25.3</v>
      </c>
      <c r="L127" s="3">
        <v>0</v>
      </c>
      <c r="M127" s="3">
        <v>0</v>
      </c>
      <c r="N127" s="3">
        <v>0</v>
      </c>
      <c r="O127" s="3">
        <v>3.2890000000000001</v>
      </c>
      <c r="P127" s="3">
        <v>29.999000000000002</v>
      </c>
      <c r="Q127" t="s">
        <v>8046</v>
      </c>
      <c r="R127" t="s">
        <v>8200</v>
      </c>
      <c r="S127" s="3" t="s">
        <v>8046</v>
      </c>
      <c r="T127" s="3">
        <v>0</v>
      </c>
      <c r="U127" s="3"/>
    </row>
    <row r="128" spans="1:21" hidden="1" x14ac:dyDescent="0.25">
      <c r="A128" t="s">
        <v>8610</v>
      </c>
      <c r="B128" t="s">
        <v>8841</v>
      </c>
      <c r="C128" t="s">
        <v>1</v>
      </c>
      <c r="D128" t="s">
        <v>0</v>
      </c>
      <c r="E128">
        <v>1</v>
      </c>
      <c r="F128" t="s">
        <v>7902</v>
      </c>
      <c r="G128" t="s">
        <v>7903</v>
      </c>
      <c r="H128" s="3">
        <v>0</v>
      </c>
      <c r="I128" s="3">
        <v>0</v>
      </c>
      <c r="J128" s="3">
        <v>0</v>
      </c>
      <c r="K128" s="3">
        <v>200.79</v>
      </c>
      <c r="L128" s="3">
        <v>0</v>
      </c>
      <c r="M128" s="3">
        <v>0</v>
      </c>
      <c r="N128" s="3">
        <v>0</v>
      </c>
      <c r="O128" s="3">
        <v>26.102699999999999</v>
      </c>
      <c r="P128" s="3">
        <v>226.89269999999999</v>
      </c>
      <c r="Q128" t="s">
        <v>8046</v>
      </c>
      <c r="R128" t="s">
        <v>8200</v>
      </c>
      <c r="S128" s="3" t="s">
        <v>8046</v>
      </c>
      <c r="T128" s="3">
        <v>0</v>
      </c>
      <c r="U128" s="3"/>
    </row>
    <row r="129" spans="1:21" hidden="1" x14ac:dyDescent="0.25">
      <c r="A129" t="s">
        <v>8610</v>
      </c>
      <c r="B129" t="s">
        <v>8841</v>
      </c>
      <c r="C129" t="s">
        <v>1</v>
      </c>
      <c r="D129" t="s">
        <v>0</v>
      </c>
      <c r="E129">
        <v>507180</v>
      </c>
      <c r="F129" t="s">
        <v>1501</v>
      </c>
      <c r="G129" t="s">
        <v>1502</v>
      </c>
      <c r="H129" s="3">
        <v>1.97</v>
      </c>
      <c r="I129" s="3">
        <v>0</v>
      </c>
      <c r="J129" s="3">
        <v>0</v>
      </c>
      <c r="K129" s="3">
        <v>33.659999999999997</v>
      </c>
      <c r="L129" s="3">
        <v>0</v>
      </c>
      <c r="M129" s="3">
        <v>0</v>
      </c>
      <c r="N129" s="3">
        <v>0</v>
      </c>
      <c r="O129" s="3">
        <v>4.3757999999999999</v>
      </c>
      <c r="P129" s="3">
        <v>40.005799999999994</v>
      </c>
      <c r="Q129" t="s">
        <v>8046</v>
      </c>
      <c r="R129" t="s">
        <v>8200</v>
      </c>
      <c r="S129" s="3" t="s">
        <v>8046</v>
      </c>
      <c r="T129" s="3">
        <v>0</v>
      </c>
      <c r="U129" s="3"/>
    </row>
    <row r="130" spans="1:21" hidden="1" x14ac:dyDescent="0.25">
      <c r="A130" t="s">
        <v>8610</v>
      </c>
      <c r="B130" t="s">
        <v>8841</v>
      </c>
      <c r="C130" t="s">
        <v>1</v>
      </c>
      <c r="D130" t="s">
        <v>0</v>
      </c>
      <c r="E130">
        <v>3104980</v>
      </c>
      <c r="F130" t="s">
        <v>1494</v>
      </c>
      <c r="G130" t="s">
        <v>1495</v>
      </c>
      <c r="H130" s="3">
        <v>0</v>
      </c>
      <c r="I130" s="3">
        <v>0</v>
      </c>
      <c r="J130" s="3">
        <v>0</v>
      </c>
      <c r="K130" s="3">
        <v>151</v>
      </c>
      <c r="L130" s="3">
        <v>0</v>
      </c>
      <c r="M130" s="3">
        <v>0</v>
      </c>
      <c r="N130" s="3">
        <v>0</v>
      </c>
      <c r="O130" s="3">
        <v>19.63</v>
      </c>
      <c r="P130" s="3">
        <v>170.63</v>
      </c>
      <c r="Q130" t="s">
        <v>8046</v>
      </c>
      <c r="R130" t="s">
        <v>8200</v>
      </c>
      <c r="S130" s="3" t="s">
        <v>8046</v>
      </c>
      <c r="T130" s="3">
        <v>0</v>
      </c>
      <c r="U130" s="3"/>
    </row>
    <row r="131" spans="1:21" hidden="1" x14ac:dyDescent="0.25">
      <c r="A131" t="s">
        <v>8610</v>
      </c>
      <c r="B131" t="s">
        <v>8864</v>
      </c>
      <c r="C131" t="s">
        <v>1</v>
      </c>
      <c r="D131" t="s">
        <v>0</v>
      </c>
      <c r="E131">
        <v>2973347</v>
      </c>
      <c r="F131" t="s">
        <v>1494</v>
      </c>
      <c r="G131" t="s">
        <v>1495</v>
      </c>
      <c r="H131" s="3">
        <v>0</v>
      </c>
      <c r="I131" s="3">
        <v>0</v>
      </c>
      <c r="J131" s="3">
        <v>0</v>
      </c>
      <c r="K131" s="3">
        <v>73.709999999999994</v>
      </c>
      <c r="L131" s="3">
        <v>0</v>
      </c>
      <c r="M131" s="3">
        <v>0</v>
      </c>
      <c r="N131" s="3">
        <v>0</v>
      </c>
      <c r="O131" s="3">
        <v>9.5823</v>
      </c>
      <c r="P131" s="3">
        <v>83.292299999999997</v>
      </c>
      <c r="Q131" t="s">
        <v>8046</v>
      </c>
      <c r="R131" t="s">
        <v>8200</v>
      </c>
      <c r="S131" s="3" t="s">
        <v>8046</v>
      </c>
      <c r="T131" s="3">
        <v>0</v>
      </c>
      <c r="U131" s="3"/>
    </row>
    <row r="132" spans="1:21" hidden="1" x14ac:dyDescent="0.25">
      <c r="A132" t="s">
        <v>8610</v>
      </c>
      <c r="B132" t="s">
        <v>8864</v>
      </c>
      <c r="C132" t="s">
        <v>1</v>
      </c>
      <c r="D132" t="s">
        <v>0</v>
      </c>
      <c r="E132">
        <v>2973348</v>
      </c>
      <c r="F132" t="s">
        <v>1494</v>
      </c>
      <c r="G132" t="s">
        <v>1495</v>
      </c>
      <c r="H132" s="3">
        <v>0</v>
      </c>
      <c r="I132" s="3">
        <v>0</v>
      </c>
      <c r="J132" s="3">
        <v>0</v>
      </c>
      <c r="K132" s="3">
        <v>51.65</v>
      </c>
      <c r="L132" s="3">
        <v>0</v>
      </c>
      <c r="M132" s="3">
        <v>0</v>
      </c>
      <c r="N132" s="3">
        <v>0</v>
      </c>
      <c r="O132" s="3">
        <v>6.7145000000000001</v>
      </c>
      <c r="P132" s="3">
        <v>58.3645</v>
      </c>
      <c r="Q132" t="s">
        <v>8046</v>
      </c>
      <c r="R132" t="s">
        <v>8200</v>
      </c>
      <c r="S132" s="3" t="s">
        <v>8046</v>
      </c>
      <c r="T132" s="3">
        <v>0</v>
      </c>
      <c r="U132" s="3"/>
    </row>
    <row r="133" spans="1:21" hidden="1" x14ac:dyDescent="0.25">
      <c r="A133" t="s">
        <v>8610</v>
      </c>
      <c r="B133" t="s">
        <v>8861</v>
      </c>
      <c r="C133" t="s">
        <v>1</v>
      </c>
      <c r="D133" t="s">
        <v>0</v>
      </c>
      <c r="E133">
        <v>27427</v>
      </c>
      <c r="F133" t="s">
        <v>1850</v>
      </c>
      <c r="G133" t="s">
        <v>1851</v>
      </c>
      <c r="H133" s="3">
        <v>0</v>
      </c>
      <c r="I133" s="3">
        <v>0</v>
      </c>
      <c r="J133" s="3">
        <v>0</v>
      </c>
      <c r="K133" s="3">
        <v>126.12</v>
      </c>
      <c r="L133" s="3">
        <v>0</v>
      </c>
      <c r="M133" s="3">
        <v>0</v>
      </c>
      <c r="N133" s="3">
        <v>0</v>
      </c>
      <c r="O133" s="3">
        <v>16.395600000000002</v>
      </c>
      <c r="P133" s="3">
        <v>142.51560000000001</v>
      </c>
      <c r="Q133" t="s">
        <v>8046</v>
      </c>
      <c r="R133" t="s">
        <v>8200</v>
      </c>
      <c r="S133" s="3" t="s">
        <v>8046</v>
      </c>
      <c r="T133" s="3">
        <v>0</v>
      </c>
      <c r="U133" s="3"/>
    </row>
    <row r="134" spans="1:21" hidden="1" x14ac:dyDescent="0.25">
      <c r="A134" t="s">
        <v>8610</v>
      </c>
      <c r="B134" t="s">
        <v>8861</v>
      </c>
      <c r="C134" t="s">
        <v>1</v>
      </c>
      <c r="D134" t="s">
        <v>0</v>
      </c>
      <c r="E134">
        <v>76</v>
      </c>
      <c r="F134" t="s">
        <v>8862</v>
      </c>
      <c r="G134" t="s">
        <v>8863</v>
      </c>
      <c r="H134" s="3">
        <v>0</v>
      </c>
      <c r="I134" s="3">
        <v>0</v>
      </c>
      <c r="J134" s="3">
        <v>0</v>
      </c>
      <c r="K134" s="3">
        <v>14.16</v>
      </c>
      <c r="L134" s="3">
        <v>0</v>
      </c>
      <c r="M134" s="3">
        <v>0</v>
      </c>
      <c r="N134" s="3">
        <v>0</v>
      </c>
      <c r="O134" s="3">
        <v>1.8408</v>
      </c>
      <c r="P134" s="3">
        <v>16.000800000000002</v>
      </c>
      <c r="Q134" t="s">
        <v>8046</v>
      </c>
      <c r="R134" t="s">
        <v>8200</v>
      </c>
      <c r="S134" s="3" t="s">
        <v>8046</v>
      </c>
      <c r="T134" s="3">
        <v>0</v>
      </c>
      <c r="U134" s="3"/>
    </row>
    <row r="135" spans="1:21" hidden="1" x14ac:dyDescent="0.25">
      <c r="A135" t="s">
        <v>8610</v>
      </c>
      <c r="B135" t="s">
        <v>8861</v>
      </c>
      <c r="C135" t="s">
        <v>1</v>
      </c>
      <c r="D135" t="s">
        <v>0</v>
      </c>
      <c r="E135">
        <v>987505</v>
      </c>
      <c r="F135" t="s">
        <v>2440</v>
      </c>
      <c r="G135" t="s">
        <v>2441</v>
      </c>
      <c r="H135" s="3">
        <v>0</v>
      </c>
      <c r="I135" s="3">
        <v>0</v>
      </c>
      <c r="J135" s="3">
        <v>0</v>
      </c>
      <c r="K135" s="3">
        <v>708.1</v>
      </c>
      <c r="L135" s="3">
        <v>0</v>
      </c>
      <c r="M135" s="3">
        <v>0</v>
      </c>
      <c r="N135" s="3">
        <v>0</v>
      </c>
      <c r="O135" s="3">
        <v>92.053000000000011</v>
      </c>
      <c r="P135" s="3">
        <v>800.15300000000002</v>
      </c>
      <c r="Q135" t="s">
        <v>8046</v>
      </c>
      <c r="R135" t="s">
        <v>8200</v>
      </c>
      <c r="S135" s="3" t="s">
        <v>8046</v>
      </c>
      <c r="T135" s="3">
        <v>0</v>
      </c>
      <c r="U135" s="3"/>
    </row>
    <row r="136" spans="1:21" hidden="1" x14ac:dyDescent="0.25">
      <c r="A136" t="s">
        <v>8610</v>
      </c>
      <c r="B136" t="s">
        <v>8844</v>
      </c>
      <c r="C136" t="s">
        <v>1</v>
      </c>
      <c r="D136" t="s">
        <v>0</v>
      </c>
      <c r="E136">
        <v>1070</v>
      </c>
      <c r="F136" t="s">
        <v>131</v>
      </c>
      <c r="G136" t="s">
        <v>132</v>
      </c>
      <c r="H136" s="3">
        <v>0</v>
      </c>
      <c r="I136" s="3">
        <v>0</v>
      </c>
      <c r="J136" s="3">
        <v>0</v>
      </c>
      <c r="K136" s="3">
        <v>1393.36</v>
      </c>
      <c r="L136" s="3">
        <v>0</v>
      </c>
      <c r="M136" s="3">
        <v>0</v>
      </c>
      <c r="N136" s="3">
        <v>0</v>
      </c>
      <c r="O136" s="3">
        <v>181.13679999999999</v>
      </c>
      <c r="P136" s="3">
        <v>1574.4967999999999</v>
      </c>
      <c r="Q136" t="s">
        <v>8046</v>
      </c>
      <c r="R136" t="s">
        <v>8200</v>
      </c>
      <c r="S136" s="3" t="s">
        <v>8046</v>
      </c>
      <c r="T136" s="3">
        <v>0</v>
      </c>
      <c r="U136" s="3"/>
    </row>
    <row r="137" spans="1:21" hidden="1" x14ac:dyDescent="0.25">
      <c r="A137" t="s">
        <v>8610</v>
      </c>
      <c r="B137" t="s">
        <v>8844</v>
      </c>
      <c r="C137" t="s">
        <v>1</v>
      </c>
      <c r="D137" t="s">
        <v>0</v>
      </c>
      <c r="E137">
        <v>1227015</v>
      </c>
      <c r="F137" t="s">
        <v>1531</v>
      </c>
      <c r="G137" t="s">
        <v>1532</v>
      </c>
      <c r="H137" s="3">
        <v>1.53</v>
      </c>
      <c r="I137" s="3">
        <v>0</v>
      </c>
      <c r="J137" s="3">
        <v>0</v>
      </c>
      <c r="K137" s="3">
        <v>27.85</v>
      </c>
      <c r="L137" s="3">
        <v>0</v>
      </c>
      <c r="M137" s="3">
        <v>0</v>
      </c>
      <c r="N137" s="3">
        <v>0</v>
      </c>
      <c r="O137" s="3">
        <v>3.6205000000000003</v>
      </c>
      <c r="P137" s="3">
        <v>33.000500000000002</v>
      </c>
      <c r="Q137" t="s">
        <v>8046</v>
      </c>
      <c r="R137" t="s">
        <v>8200</v>
      </c>
      <c r="S137" s="3" t="s">
        <v>8046</v>
      </c>
      <c r="T137" s="3">
        <v>0</v>
      </c>
      <c r="U137" s="3"/>
    </row>
    <row r="138" spans="1:21" hidden="1" x14ac:dyDescent="0.25">
      <c r="A138" t="s">
        <v>8610</v>
      </c>
      <c r="B138" t="s">
        <v>8844</v>
      </c>
      <c r="C138" t="s">
        <v>1</v>
      </c>
      <c r="D138" t="s">
        <v>0</v>
      </c>
      <c r="E138">
        <v>540168</v>
      </c>
      <c r="F138" t="s">
        <v>2376</v>
      </c>
      <c r="G138" t="s">
        <v>2377</v>
      </c>
      <c r="H138" s="3">
        <v>0</v>
      </c>
      <c r="I138" s="3">
        <v>0</v>
      </c>
      <c r="J138" s="3">
        <v>0</v>
      </c>
      <c r="K138" s="3">
        <v>190.28</v>
      </c>
      <c r="L138" s="3">
        <v>0</v>
      </c>
      <c r="M138" s="3">
        <v>0</v>
      </c>
      <c r="N138" s="3">
        <v>0</v>
      </c>
      <c r="O138" s="3">
        <v>24.7364</v>
      </c>
      <c r="P138" s="3">
        <v>215.0164</v>
      </c>
      <c r="Q138" t="s">
        <v>8046</v>
      </c>
      <c r="R138" t="s">
        <v>8200</v>
      </c>
      <c r="S138" s="3" t="s">
        <v>8046</v>
      </c>
      <c r="T138" s="3">
        <v>0</v>
      </c>
      <c r="U138" s="3"/>
    </row>
    <row r="139" spans="1:21" hidden="1" x14ac:dyDescent="0.25">
      <c r="A139" t="s">
        <v>8610</v>
      </c>
      <c r="B139" t="s">
        <v>8844</v>
      </c>
      <c r="C139" t="s">
        <v>1</v>
      </c>
      <c r="D139" t="s">
        <v>0</v>
      </c>
      <c r="E139">
        <v>387694</v>
      </c>
      <c r="F139" t="s">
        <v>1546</v>
      </c>
      <c r="G139" t="s">
        <v>1547</v>
      </c>
      <c r="H139" s="3">
        <v>3.08</v>
      </c>
      <c r="I139" s="3">
        <v>0</v>
      </c>
      <c r="J139" s="3">
        <v>0</v>
      </c>
      <c r="K139" s="3">
        <v>59.22</v>
      </c>
      <c r="L139" s="3">
        <v>0</v>
      </c>
      <c r="M139" s="3">
        <v>0</v>
      </c>
      <c r="N139" s="3">
        <v>0</v>
      </c>
      <c r="O139" s="3">
        <v>7.6985999999999999</v>
      </c>
      <c r="P139" s="3">
        <v>69.998599999999996</v>
      </c>
      <c r="Q139" t="s">
        <v>8046</v>
      </c>
      <c r="R139" t="s">
        <v>8200</v>
      </c>
      <c r="S139" s="3" t="s">
        <v>8046</v>
      </c>
      <c r="T139" s="3">
        <v>0</v>
      </c>
      <c r="U139" s="3"/>
    </row>
    <row r="140" spans="1:21" hidden="1" x14ac:dyDescent="0.25">
      <c r="A140" t="s">
        <v>8610</v>
      </c>
      <c r="B140" t="s">
        <v>8845</v>
      </c>
      <c r="C140" t="s">
        <v>1</v>
      </c>
      <c r="D140" t="s">
        <v>0</v>
      </c>
      <c r="E140">
        <v>40426</v>
      </c>
      <c r="G140" t="s">
        <v>1489</v>
      </c>
      <c r="H140" s="3">
        <v>1.81</v>
      </c>
      <c r="I140" s="3">
        <v>0</v>
      </c>
      <c r="J140" s="3">
        <v>0</v>
      </c>
      <c r="K140" s="3">
        <v>30.85</v>
      </c>
      <c r="L140" s="3">
        <v>0</v>
      </c>
      <c r="M140" s="3">
        <v>0</v>
      </c>
      <c r="N140" s="3">
        <v>0</v>
      </c>
      <c r="O140" s="3">
        <v>4.0105000000000004</v>
      </c>
      <c r="P140" s="3">
        <v>36.670500000000004</v>
      </c>
      <c r="Q140" t="s">
        <v>8673</v>
      </c>
      <c r="R140" t="s">
        <v>8200</v>
      </c>
      <c r="S140" s="3" t="s">
        <v>8046</v>
      </c>
      <c r="T140" s="3">
        <v>0</v>
      </c>
      <c r="U140" s="3"/>
    </row>
    <row r="141" spans="1:21" hidden="1" x14ac:dyDescent="0.25">
      <c r="A141" t="s">
        <v>8610</v>
      </c>
      <c r="B141" t="s">
        <v>8847</v>
      </c>
      <c r="C141" t="s">
        <v>1</v>
      </c>
      <c r="D141" t="s">
        <v>0</v>
      </c>
      <c r="E141">
        <v>206</v>
      </c>
      <c r="F141" t="s">
        <v>1200</v>
      </c>
      <c r="G141" t="s">
        <v>1201</v>
      </c>
      <c r="H141" s="3">
        <v>0</v>
      </c>
      <c r="I141" s="3">
        <v>0</v>
      </c>
      <c r="J141" s="3">
        <v>0</v>
      </c>
      <c r="K141" s="3">
        <v>133.5</v>
      </c>
      <c r="L141" s="3">
        <v>0</v>
      </c>
      <c r="M141" s="3">
        <v>0</v>
      </c>
      <c r="N141" s="3">
        <v>0</v>
      </c>
      <c r="O141" s="3">
        <v>17.355</v>
      </c>
      <c r="P141" s="3">
        <v>150.85499999999999</v>
      </c>
      <c r="Q141" t="s">
        <v>8046</v>
      </c>
      <c r="R141" t="s">
        <v>8200</v>
      </c>
      <c r="S141" s="3" t="s">
        <v>8341</v>
      </c>
      <c r="T141" s="3">
        <v>1.34</v>
      </c>
      <c r="U141" s="3"/>
    </row>
    <row r="142" spans="1:21" hidden="1" x14ac:dyDescent="0.25">
      <c r="A142" t="s">
        <v>8610</v>
      </c>
      <c r="B142" t="s">
        <v>8845</v>
      </c>
      <c r="C142" t="s">
        <v>1</v>
      </c>
      <c r="D142" t="s">
        <v>0</v>
      </c>
      <c r="E142">
        <v>274</v>
      </c>
      <c r="F142" t="s">
        <v>1200</v>
      </c>
      <c r="G142" t="s">
        <v>1201</v>
      </c>
      <c r="H142" s="3">
        <v>0</v>
      </c>
      <c r="I142" s="3">
        <v>0</v>
      </c>
      <c r="J142" s="3">
        <v>0</v>
      </c>
      <c r="K142" s="3">
        <v>2653.5</v>
      </c>
      <c r="L142" s="3">
        <v>0</v>
      </c>
      <c r="M142" s="3">
        <v>0</v>
      </c>
      <c r="N142" s="3">
        <v>0</v>
      </c>
      <c r="O142" s="3">
        <v>344.95499999999998</v>
      </c>
      <c r="P142" s="3">
        <v>2998.4549999999999</v>
      </c>
      <c r="Q142" t="s">
        <v>8046</v>
      </c>
      <c r="R142" t="s">
        <v>8200</v>
      </c>
      <c r="S142" s="3" t="s">
        <v>8341</v>
      </c>
      <c r="T142" s="3">
        <v>26.54</v>
      </c>
      <c r="U142" s="3"/>
    </row>
    <row r="143" spans="1:21" hidden="1" x14ac:dyDescent="0.25">
      <c r="A143" t="s">
        <v>8610</v>
      </c>
      <c r="B143" t="s">
        <v>8845</v>
      </c>
      <c r="C143" t="s">
        <v>1</v>
      </c>
      <c r="D143" t="s">
        <v>0</v>
      </c>
      <c r="E143">
        <v>987193</v>
      </c>
      <c r="F143" t="s">
        <v>2440</v>
      </c>
      <c r="G143" t="s">
        <v>2441</v>
      </c>
      <c r="H143" s="3">
        <v>0</v>
      </c>
      <c r="I143" s="3">
        <v>0</v>
      </c>
      <c r="J143" s="3">
        <v>0</v>
      </c>
      <c r="K143" s="3">
        <v>259.06</v>
      </c>
      <c r="L143" s="3">
        <v>0</v>
      </c>
      <c r="M143" s="3">
        <v>0</v>
      </c>
      <c r="N143" s="3">
        <v>0</v>
      </c>
      <c r="O143" s="3">
        <v>33.677800000000005</v>
      </c>
      <c r="P143" s="3">
        <v>292.73779999999999</v>
      </c>
      <c r="Q143" t="s">
        <v>8046</v>
      </c>
      <c r="R143" t="s">
        <v>8200</v>
      </c>
      <c r="S143" s="3" t="s">
        <v>8359</v>
      </c>
      <c r="T143" s="3">
        <v>2.59</v>
      </c>
      <c r="U143" s="3"/>
    </row>
    <row r="144" spans="1:21" hidden="1" x14ac:dyDescent="0.25">
      <c r="A144" t="s">
        <v>8610</v>
      </c>
      <c r="B144" t="s">
        <v>8845</v>
      </c>
      <c r="C144" t="s">
        <v>1</v>
      </c>
      <c r="D144" t="s">
        <v>0</v>
      </c>
      <c r="E144">
        <v>987183</v>
      </c>
      <c r="F144" t="s">
        <v>2440</v>
      </c>
      <c r="G144" t="s">
        <v>2441</v>
      </c>
      <c r="H144" s="3">
        <v>0</v>
      </c>
      <c r="I144" s="3">
        <v>0</v>
      </c>
      <c r="J144" s="3">
        <v>0</v>
      </c>
      <c r="K144" s="3">
        <v>441.91</v>
      </c>
      <c r="L144" s="3">
        <v>0</v>
      </c>
      <c r="M144" s="3">
        <v>0</v>
      </c>
      <c r="N144" s="3">
        <v>0</v>
      </c>
      <c r="O144" s="3">
        <v>57.448300000000003</v>
      </c>
      <c r="P144" s="3">
        <v>499.35830000000004</v>
      </c>
      <c r="Q144" t="s">
        <v>8046</v>
      </c>
      <c r="R144" t="s">
        <v>8200</v>
      </c>
      <c r="S144" s="3" t="s">
        <v>8359</v>
      </c>
      <c r="T144" s="3">
        <v>4.24</v>
      </c>
      <c r="U144" s="3"/>
    </row>
    <row r="145" spans="1:21" hidden="1" x14ac:dyDescent="0.25">
      <c r="A145" t="s">
        <v>8610</v>
      </c>
      <c r="B145" t="s">
        <v>8845</v>
      </c>
      <c r="C145" t="s">
        <v>1</v>
      </c>
      <c r="D145" t="s">
        <v>0</v>
      </c>
      <c r="E145">
        <v>373432</v>
      </c>
      <c r="F145" t="s">
        <v>2436</v>
      </c>
      <c r="G145" t="s">
        <v>2437</v>
      </c>
      <c r="H145" s="3">
        <v>0</v>
      </c>
      <c r="I145" s="3">
        <v>0</v>
      </c>
      <c r="J145" s="3">
        <v>0</v>
      </c>
      <c r="K145" s="3">
        <v>142.04</v>
      </c>
      <c r="L145" s="3">
        <v>0</v>
      </c>
      <c r="M145" s="3">
        <v>0</v>
      </c>
      <c r="N145" s="3">
        <v>0</v>
      </c>
      <c r="O145" s="3">
        <v>18.465199999999999</v>
      </c>
      <c r="P145" s="3">
        <v>160.5052</v>
      </c>
      <c r="Q145" t="s">
        <v>8046</v>
      </c>
      <c r="R145" t="s">
        <v>8200</v>
      </c>
      <c r="S145" s="3" t="s">
        <v>8750</v>
      </c>
      <c r="T145" s="3">
        <v>1.42</v>
      </c>
      <c r="U145" s="3"/>
    </row>
    <row r="146" spans="1:21" hidden="1" x14ac:dyDescent="0.25">
      <c r="A146" t="s">
        <v>8610</v>
      </c>
      <c r="B146" t="s">
        <v>8845</v>
      </c>
      <c r="C146" t="s">
        <v>1</v>
      </c>
      <c r="D146" t="s">
        <v>0</v>
      </c>
      <c r="E146">
        <v>35001</v>
      </c>
      <c r="F146" t="s">
        <v>1522</v>
      </c>
      <c r="G146" t="s">
        <v>1523</v>
      </c>
      <c r="H146" s="3">
        <v>1.65</v>
      </c>
      <c r="I146" s="3">
        <v>0</v>
      </c>
      <c r="J146" s="3">
        <v>0</v>
      </c>
      <c r="K146" s="3">
        <v>29.51</v>
      </c>
      <c r="L146" s="3">
        <v>0</v>
      </c>
      <c r="M146" s="3">
        <v>0</v>
      </c>
      <c r="N146" s="3">
        <v>0</v>
      </c>
      <c r="O146" s="3">
        <v>3.8363000000000005</v>
      </c>
      <c r="P146" s="3">
        <v>34.996299999999998</v>
      </c>
      <c r="Q146" t="s">
        <v>8046</v>
      </c>
      <c r="R146" t="s">
        <v>8200</v>
      </c>
      <c r="S146" s="3" t="s">
        <v>8046</v>
      </c>
      <c r="T146" s="3">
        <v>0</v>
      </c>
      <c r="U146" s="3"/>
    </row>
    <row r="147" spans="1:21" hidden="1" x14ac:dyDescent="0.25">
      <c r="A147" t="s">
        <v>8610</v>
      </c>
      <c r="B147" t="s">
        <v>8845</v>
      </c>
      <c r="C147" t="s">
        <v>1</v>
      </c>
      <c r="D147" t="s">
        <v>0</v>
      </c>
      <c r="E147">
        <v>98803953</v>
      </c>
      <c r="F147" t="s">
        <v>3587</v>
      </c>
      <c r="G147" t="s">
        <v>3588</v>
      </c>
      <c r="H147" s="3">
        <v>0</v>
      </c>
      <c r="I147" s="3">
        <v>0</v>
      </c>
      <c r="J147" s="3">
        <v>0</v>
      </c>
      <c r="K147" s="3">
        <v>39.57</v>
      </c>
      <c r="L147" s="3">
        <v>0</v>
      </c>
      <c r="M147" s="3">
        <v>0</v>
      </c>
      <c r="N147" s="3">
        <v>0</v>
      </c>
      <c r="O147" s="3">
        <v>5.1440999999999999</v>
      </c>
      <c r="P147" s="3">
        <v>44.714100000000002</v>
      </c>
      <c r="Q147" t="s">
        <v>8046</v>
      </c>
      <c r="R147" t="s">
        <v>8200</v>
      </c>
      <c r="S147" s="3" t="s">
        <v>8046</v>
      </c>
      <c r="T147" s="3">
        <v>0</v>
      </c>
      <c r="U147" s="3"/>
    </row>
    <row r="148" spans="1:21" hidden="1" x14ac:dyDescent="0.25">
      <c r="A148" t="s">
        <v>8610</v>
      </c>
      <c r="B148" t="s">
        <v>8846</v>
      </c>
      <c r="C148" t="s">
        <v>1</v>
      </c>
      <c r="D148" t="s">
        <v>0</v>
      </c>
      <c r="E148">
        <v>1159</v>
      </c>
      <c r="F148" t="s">
        <v>8192</v>
      </c>
      <c r="G148" t="s">
        <v>8193</v>
      </c>
      <c r="H148" s="3">
        <v>0</v>
      </c>
      <c r="I148" s="3">
        <v>0</v>
      </c>
      <c r="J148" s="3">
        <v>0</v>
      </c>
      <c r="K148" s="3">
        <v>106.9</v>
      </c>
      <c r="L148" s="3">
        <v>0</v>
      </c>
      <c r="M148" s="3">
        <v>0</v>
      </c>
      <c r="N148" s="3">
        <v>0</v>
      </c>
      <c r="O148" s="3">
        <v>13.897000000000002</v>
      </c>
      <c r="P148" s="3">
        <v>120.79700000000001</v>
      </c>
      <c r="Q148" t="s">
        <v>8046</v>
      </c>
      <c r="R148" t="s">
        <v>8200</v>
      </c>
      <c r="S148" s="3" t="s">
        <v>8046</v>
      </c>
      <c r="T148" s="3">
        <v>0</v>
      </c>
      <c r="U148" s="3"/>
    </row>
    <row r="149" spans="1:21" hidden="1" x14ac:dyDescent="0.25">
      <c r="A149" t="s">
        <v>8610</v>
      </c>
      <c r="B149" t="s">
        <v>8846</v>
      </c>
      <c r="C149" t="s">
        <v>1</v>
      </c>
      <c r="D149" t="s">
        <v>0</v>
      </c>
      <c r="E149">
        <v>986991</v>
      </c>
      <c r="F149" t="s">
        <v>2440</v>
      </c>
      <c r="G149" t="s">
        <v>2441</v>
      </c>
      <c r="H149" s="3">
        <v>0</v>
      </c>
      <c r="I149" s="3">
        <v>0</v>
      </c>
      <c r="J149" s="3">
        <v>0</v>
      </c>
      <c r="K149" s="3">
        <v>160.65</v>
      </c>
      <c r="L149" s="3">
        <v>0</v>
      </c>
      <c r="M149" s="3">
        <v>0</v>
      </c>
      <c r="N149" s="3">
        <v>0</v>
      </c>
      <c r="O149" s="3">
        <v>20.884500000000003</v>
      </c>
      <c r="P149" s="3">
        <v>181.53450000000001</v>
      </c>
      <c r="Q149" t="s">
        <v>8046</v>
      </c>
      <c r="R149" t="s">
        <v>8200</v>
      </c>
      <c r="S149" s="3" t="s">
        <v>8359</v>
      </c>
      <c r="T149" s="3">
        <v>1.61</v>
      </c>
      <c r="U149" s="3"/>
    </row>
    <row r="150" spans="1:21" hidden="1" x14ac:dyDescent="0.25">
      <c r="A150" t="s">
        <v>8610</v>
      </c>
      <c r="B150" t="s">
        <v>8846</v>
      </c>
      <c r="C150" t="s">
        <v>1</v>
      </c>
      <c r="D150" t="s">
        <v>0</v>
      </c>
      <c r="E150">
        <v>50498</v>
      </c>
      <c r="F150" t="s">
        <v>3178</v>
      </c>
      <c r="G150" t="s">
        <v>3179</v>
      </c>
      <c r="H150" s="3">
        <v>0</v>
      </c>
      <c r="I150" s="3">
        <v>0</v>
      </c>
      <c r="J150" s="3">
        <v>0</v>
      </c>
      <c r="K150" s="3">
        <v>128.46</v>
      </c>
      <c r="L150" s="3">
        <v>0</v>
      </c>
      <c r="M150" s="3">
        <v>0</v>
      </c>
      <c r="N150" s="3">
        <v>0</v>
      </c>
      <c r="O150" s="3">
        <v>16.699800000000003</v>
      </c>
      <c r="P150" s="3">
        <v>145.15980000000002</v>
      </c>
      <c r="Q150" t="s">
        <v>8046</v>
      </c>
      <c r="R150" t="s">
        <v>8200</v>
      </c>
      <c r="S150" s="3" t="s">
        <v>8358</v>
      </c>
      <c r="T150" s="3">
        <v>1.28</v>
      </c>
      <c r="U150" s="3"/>
    </row>
    <row r="151" spans="1:21" hidden="1" x14ac:dyDescent="0.25">
      <c r="A151" t="s">
        <v>8610</v>
      </c>
      <c r="B151" t="s">
        <v>8846</v>
      </c>
      <c r="C151" t="s">
        <v>1</v>
      </c>
      <c r="D151" t="s">
        <v>0</v>
      </c>
      <c r="E151">
        <v>71070160</v>
      </c>
      <c r="F151" t="s">
        <v>3344</v>
      </c>
      <c r="G151" t="s">
        <v>1635</v>
      </c>
      <c r="H151" s="3">
        <v>0</v>
      </c>
      <c r="I151" s="3">
        <v>0</v>
      </c>
      <c r="J151" s="3">
        <v>0</v>
      </c>
      <c r="K151" s="3">
        <v>190.06</v>
      </c>
      <c r="L151" s="3">
        <v>0</v>
      </c>
      <c r="M151" s="3">
        <v>0</v>
      </c>
      <c r="N151" s="3">
        <v>0</v>
      </c>
      <c r="O151" s="3">
        <v>24.707800000000002</v>
      </c>
      <c r="P151" s="3">
        <v>214.76779999999999</v>
      </c>
      <c r="Q151" t="s">
        <v>8046</v>
      </c>
      <c r="R151" t="s">
        <v>8200</v>
      </c>
      <c r="S151" s="3" t="s">
        <v>8046</v>
      </c>
      <c r="T151" s="3">
        <v>0</v>
      </c>
      <c r="U151" s="3"/>
    </row>
    <row r="152" spans="1:21" hidden="1" x14ac:dyDescent="0.25">
      <c r="A152" t="s">
        <v>8610</v>
      </c>
      <c r="B152" t="s">
        <v>8847</v>
      </c>
      <c r="C152" t="s">
        <v>1</v>
      </c>
      <c r="D152" t="s">
        <v>0</v>
      </c>
      <c r="E152">
        <v>1037</v>
      </c>
      <c r="F152" t="s">
        <v>1630</v>
      </c>
      <c r="G152" t="s">
        <v>1631</v>
      </c>
      <c r="H152" s="3">
        <v>0</v>
      </c>
      <c r="I152" s="3">
        <v>0</v>
      </c>
      <c r="J152" s="3">
        <v>0</v>
      </c>
      <c r="K152" s="3">
        <v>57.52</v>
      </c>
      <c r="L152" s="3">
        <v>0</v>
      </c>
      <c r="M152" s="3">
        <v>0</v>
      </c>
      <c r="N152" s="3">
        <v>0</v>
      </c>
      <c r="O152" s="3">
        <v>7.4776000000000007</v>
      </c>
      <c r="P152" s="3">
        <v>64.997600000000006</v>
      </c>
      <c r="Q152" t="s">
        <v>8046</v>
      </c>
      <c r="R152" t="s">
        <v>8200</v>
      </c>
      <c r="S152" s="3" t="s">
        <v>8046</v>
      </c>
      <c r="T152" s="3">
        <v>0</v>
      </c>
      <c r="U152" s="3"/>
    </row>
    <row r="153" spans="1:21" hidden="1" x14ac:dyDescent="0.25">
      <c r="A153" t="s">
        <v>8610</v>
      </c>
      <c r="B153" t="s">
        <v>8847</v>
      </c>
      <c r="C153" t="s">
        <v>1</v>
      </c>
      <c r="D153" t="s">
        <v>0</v>
      </c>
      <c r="E153">
        <v>21161</v>
      </c>
      <c r="F153" t="s">
        <v>1544</v>
      </c>
      <c r="G153" t="s">
        <v>1545</v>
      </c>
      <c r="H153" s="3">
        <v>0</v>
      </c>
      <c r="I153" s="3">
        <v>0</v>
      </c>
      <c r="J153" s="3">
        <v>0</v>
      </c>
      <c r="K153" s="3">
        <v>200.02</v>
      </c>
      <c r="L153" s="3">
        <v>0</v>
      </c>
      <c r="M153" s="3">
        <v>0</v>
      </c>
      <c r="N153" s="3">
        <v>0</v>
      </c>
      <c r="O153" s="3">
        <v>26.002600000000001</v>
      </c>
      <c r="P153" s="3">
        <v>226.02260000000001</v>
      </c>
      <c r="Q153" t="s">
        <v>8046</v>
      </c>
      <c r="R153" t="s">
        <v>8200</v>
      </c>
      <c r="S153" s="3" t="s">
        <v>8046</v>
      </c>
      <c r="T153" s="3">
        <v>0</v>
      </c>
      <c r="U153" s="3"/>
    </row>
    <row r="154" spans="1:21" hidden="1" x14ac:dyDescent="0.25">
      <c r="A154" t="s">
        <v>8610</v>
      </c>
      <c r="B154" t="s">
        <v>8847</v>
      </c>
      <c r="C154" t="s">
        <v>1</v>
      </c>
      <c r="D154" t="s">
        <v>0</v>
      </c>
      <c r="E154">
        <v>318</v>
      </c>
      <c r="F154" t="s">
        <v>278</v>
      </c>
      <c r="G154" t="s">
        <v>279</v>
      </c>
      <c r="H154" s="3">
        <v>0</v>
      </c>
      <c r="I154" s="3">
        <v>0</v>
      </c>
      <c r="J154" s="3">
        <v>0</v>
      </c>
      <c r="K154" s="3">
        <v>100</v>
      </c>
      <c r="L154" s="3">
        <v>0</v>
      </c>
      <c r="M154" s="3">
        <v>0</v>
      </c>
      <c r="N154" s="3">
        <v>0</v>
      </c>
      <c r="O154" s="3">
        <v>13</v>
      </c>
      <c r="P154" s="3">
        <v>113</v>
      </c>
      <c r="Q154" t="s">
        <v>8046</v>
      </c>
      <c r="R154" t="s">
        <v>8200</v>
      </c>
      <c r="S154" s="3" t="s">
        <v>8046</v>
      </c>
      <c r="T154" s="3">
        <v>0</v>
      </c>
      <c r="U154" s="3"/>
    </row>
    <row r="155" spans="1:21" hidden="1" x14ac:dyDescent="0.25">
      <c r="A155" t="s">
        <v>8610</v>
      </c>
      <c r="B155" t="s">
        <v>8847</v>
      </c>
      <c r="C155" t="s">
        <v>1</v>
      </c>
      <c r="D155" t="s">
        <v>0</v>
      </c>
      <c r="E155">
        <v>1975</v>
      </c>
      <c r="F155" t="s">
        <v>7902</v>
      </c>
      <c r="G155" t="s">
        <v>7903</v>
      </c>
      <c r="H155" s="3">
        <v>0</v>
      </c>
      <c r="I155" s="3">
        <v>0</v>
      </c>
      <c r="J155" s="3">
        <v>0</v>
      </c>
      <c r="K155" s="3">
        <v>68.900000000000006</v>
      </c>
      <c r="L155" s="3">
        <v>0</v>
      </c>
      <c r="M155" s="3">
        <v>0</v>
      </c>
      <c r="N155" s="3">
        <v>0</v>
      </c>
      <c r="O155" s="3">
        <v>8.9570000000000007</v>
      </c>
      <c r="P155" s="3">
        <v>77.856999999999999</v>
      </c>
      <c r="Q155" t="s">
        <v>8046</v>
      </c>
      <c r="R155" t="s">
        <v>8200</v>
      </c>
      <c r="S155" s="3" t="s">
        <v>8046</v>
      </c>
      <c r="T155" s="3">
        <v>0</v>
      </c>
      <c r="U155" s="3"/>
    </row>
    <row r="156" spans="1:21" hidden="1" x14ac:dyDescent="0.25">
      <c r="A156" t="s">
        <v>8610</v>
      </c>
      <c r="B156" t="s">
        <v>8847</v>
      </c>
      <c r="C156" t="s">
        <v>1</v>
      </c>
      <c r="D156" t="s">
        <v>0</v>
      </c>
      <c r="E156">
        <v>26577</v>
      </c>
      <c r="F156" t="s">
        <v>1540</v>
      </c>
      <c r="G156" t="s">
        <v>1541</v>
      </c>
      <c r="H156" s="3">
        <v>1.41</v>
      </c>
      <c r="I156" s="3">
        <v>0</v>
      </c>
      <c r="J156" s="3">
        <v>0</v>
      </c>
      <c r="K156" s="3">
        <v>25.3</v>
      </c>
      <c r="L156" s="3">
        <v>0</v>
      </c>
      <c r="M156" s="3">
        <v>0</v>
      </c>
      <c r="N156" s="3">
        <v>0</v>
      </c>
      <c r="O156" s="3">
        <v>3.2890000000000001</v>
      </c>
      <c r="P156" s="3">
        <v>29.999000000000002</v>
      </c>
      <c r="Q156" t="s">
        <v>8046</v>
      </c>
      <c r="R156" t="s">
        <v>8200</v>
      </c>
      <c r="S156" s="3" t="s">
        <v>8046</v>
      </c>
      <c r="T156" s="3">
        <v>0</v>
      </c>
      <c r="U156" s="3"/>
    </row>
    <row r="157" spans="1:21" hidden="1" x14ac:dyDescent="0.25">
      <c r="A157" t="s">
        <v>8610</v>
      </c>
      <c r="B157" t="s">
        <v>8847</v>
      </c>
      <c r="C157" t="s">
        <v>1</v>
      </c>
      <c r="D157" t="s">
        <v>0</v>
      </c>
      <c r="E157">
        <v>204</v>
      </c>
      <c r="F157" t="s">
        <v>1200</v>
      </c>
      <c r="G157" t="s">
        <v>1201</v>
      </c>
      <c r="H157" s="3">
        <v>0</v>
      </c>
      <c r="I157" s="3">
        <v>0</v>
      </c>
      <c r="J157" s="3">
        <v>0</v>
      </c>
      <c r="K157" s="3">
        <v>4550</v>
      </c>
      <c r="L157" s="3">
        <v>0</v>
      </c>
      <c r="M157" s="3">
        <v>0</v>
      </c>
      <c r="N157" s="3">
        <v>0</v>
      </c>
      <c r="O157" s="3">
        <v>591.5</v>
      </c>
      <c r="P157" s="3">
        <v>5141.5</v>
      </c>
      <c r="Q157" t="s">
        <v>8046</v>
      </c>
      <c r="R157" t="s">
        <v>8200</v>
      </c>
      <c r="S157" s="3" t="s">
        <v>8341</v>
      </c>
      <c r="T157" s="3">
        <v>45.5</v>
      </c>
      <c r="U157" s="3"/>
    </row>
    <row r="158" spans="1:21" hidden="1" x14ac:dyDescent="0.25">
      <c r="A158" t="s">
        <v>8610</v>
      </c>
      <c r="B158" t="s">
        <v>8849</v>
      </c>
      <c r="C158" t="s">
        <v>1</v>
      </c>
      <c r="D158" t="s">
        <v>0</v>
      </c>
      <c r="E158">
        <v>467903</v>
      </c>
      <c r="F158" t="s">
        <v>1620</v>
      </c>
      <c r="G158" t="s">
        <v>1621</v>
      </c>
      <c r="H158" s="3">
        <v>1.64</v>
      </c>
      <c r="I158" s="3">
        <v>0</v>
      </c>
      <c r="J158" s="3">
        <v>0</v>
      </c>
      <c r="K158" s="3">
        <v>29.52</v>
      </c>
      <c r="L158" s="3">
        <v>0</v>
      </c>
      <c r="M158" s="3">
        <v>0</v>
      </c>
      <c r="N158" s="3">
        <v>0</v>
      </c>
      <c r="O158" s="3">
        <v>3.8376000000000001</v>
      </c>
      <c r="P158" s="3">
        <v>34.997599999999998</v>
      </c>
      <c r="Q158" t="s">
        <v>8046</v>
      </c>
      <c r="R158" t="s">
        <v>8200</v>
      </c>
      <c r="S158" s="3" t="s">
        <v>8046</v>
      </c>
      <c r="T158" s="3">
        <v>0</v>
      </c>
      <c r="U158" s="3"/>
    </row>
    <row r="159" spans="1:21" hidden="1" x14ac:dyDescent="0.25">
      <c r="A159" t="s">
        <v>8610</v>
      </c>
      <c r="B159" t="s">
        <v>8849</v>
      </c>
      <c r="C159" t="s">
        <v>1</v>
      </c>
      <c r="D159" t="s">
        <v>0</v>
      </c>
      <c r="E159">
        <v>253</v>
      </c>
      <c r="F159" t="s">
        <v>2635</v>
      </c>
      <c r="G159" t="s">
        <v>2636</v>
      </c>
      <c r="H159" s="3">
        <v>0</v>
      </c>
      <c r="I159" s="3">
        <v>0</v>
      </c>
      <c r="J159" s="3">
        <v>0</v>
      </c>
      <c r="K159" s="3">
        <v>29.47</v>
      </c>
      <c r="L159" s="3">
        <v>0</v>
      </c>
      <c r="M159" s="3">
        <v>0</v>
      </c>
      <c r="N159" s="3">
        <v>0</v>
      </c>
      <c r="O159" s="3">
        <v>3.8311000000000002</v>
      </c>
      <c r="P159" s="3">
        <v>33.301099999999998</v>
      </c>
      <c r="Q159" t="s">
        <v>8046</v>
      </c>
      <c r="R159" t="s">
        <v>8200</v>
      </c>
      <c r="S159" s="3" t="s">
        <v>8046</v>
      </c>
      <c r="T159" s="3">
        <v>0</v>
      </c>
      <c r="U159" s="3"/>
    </row>
    <row r="160" spans="1:21" hidden="1" x14ac:dyDescent="0.25">
      <c r="A160" t="s">
        <v>8610</v>
      </c>
      <c r="B160" t="s">
        <v>8849</v>
      </c>
      <c r="C160" t="s">
        <v>1</v>
      </c>
      <c r="D160" t="s">
        <v>0</v>
      </c>
      <c r="E160">
        <v>56618</v>
      </c>
      <c r="F160" t="s">
        <v>2998</v>
      </c>
      <c r="G160" t="s">
        <v>2999</v>
      </c>
      <c r="H160" s="3">
        <v>0</v>
      </c>
      <c r="I160" s="3">
        <v>0</v>
      </c>
      <c r="J160" s="3">
        <v>0</v>
      </c>
      <c r="K160" s="3">
        <v>473.68</v>
      </c>
      <c r="L160" s="3">
        <v>0</v>
      </c>
      <c r="M160" s="3">
        <v>0</v>
      </c>
      <c r="N160" s="3">
        <v>0</v>
      </c>
      <c r="O160" s="3">
        <v>61.578400000000002</v>
      </c>
      <c r="P160" s="3">
        <v>535.25840000000005</v>
      </c>
      <c r="Q160" t="s">
        <v>8046</v>
      </c>
      <c r="R160" t="s">
        <v>8200</v>
      </c>
      <c r="S160" s="3" t="s">
        <v>8345</v>
      </c>
      <c r="T160" s="3">
        <v>4.74</v>
      </c>
      <c r="U160" s="3"/>
    </row>
    <row r="161" spans="1:21" hidden="1" x14ac:dyDescent="0.25">
      <c r="A161" t="s">
        <v>8610</v>
      </c>
      <c r="B161" t="s">
        <v>8860</v>
      </c>
      <c r="C161" t="s">
        <v>1</v>
      </c>
      <c r="D161" t="s">
        <v>0</v>
      </c>
      <c r="E161">
        <v>34433</v>
      </c>
      <c r="F161" t="s">
        <v>1522</v>
      </c>
      <c r="G161" t="s">
        <v>1523</v>
      </c>
      <c r="H161" s="3">
        <v>0.94</v>
      </c>
      <c r="I161" s="3">
        <v>0</v>
      </c>
      <c r="J161" s="3">
        <v>0</v>
      </c>
      <c r="K161" s="3">
        <v>16.87</v>
      </c>
      <c r="L161" s="3">
        <v>0</v>
      </c>
      <c r="M161" s="3">
        <v>0</v>
      </c>
      <c r="N161" s="3">
        <v>0</v>
      </c>
      <c r="O161" s="3">
        <v>2.1931000000000003</v>
      </c>
      <c r="P161" s="3">
        <v>20.003100000000003</v>
      </c>
      <c r="Q161" t="s">
        <v>8046</v>
      </c>
      <c r="R161" t="s">
        <v>8200</v>
      </c>
      <c r="S161" s="3" t="s">
        <v>8046</v>
      </c>
      <c r="T161" s="3">
        <v>0</v>
      </c>
      <c r="U161" s="3"/>
    </row>
    <row r="162" spans="1:21" hidden="1" x14ac:dyDescent="0.25">
      <c r="A162" t="s">
        <v>8610</v>
      </c>
      <c r="B162" t="s">
        <v>8860</v>
      </c>
      <c r="C162" t="s">
        <v>1</v>
      </c>
      <c r="D162" t="s">
        <v>0</v>
      </c>
      <c r="E162">
        <v>521236</v>
      </c>
      <c r="F162" t="s">
        <v>1552</v>
      </c>
      <c r="G162" t="s">
        <v>1553</v>
      </c>
      <c r="H162" s="3">
        <v>2.17</v>
      </c>
      <c r="I162" s="3">
        <v>0</v>
      </c>
      <c r="J162" s="3">
        <v>0</v>
      </c>
      <c r="K162" s="3">
        <v>41.44</v>
      </c>
      <c r="L162" s="3">
        <v>0</v>
      </c>
      <c r="M162" s="3">
        <v>0</v>
      </c>
      <c r="N162" s="3">
        <v>0</v>
      </c>
      <c r="O162" s="3">
        <v>5.3872</v>
      </c>
      <c r="P162" s="3">
        <v>48.997199999999999</v>
      </c>
      <c r="Q162" t="s">
        <v>8046</v>
      </c>
      <c r="R162" t="s">
        <v>8200</v>
      </c>
      <c r="S162" s="3" t="s">
        <v>8046</v>
      </c>
      <c r="T162" s="3">
        <v>0</v>
      </c>
      <c r="U162" s="3"/>
    </row>
    <row r="163" spans="1:21" hidden="1" x14ac:dyDescent="0.25">
      <c r="A163" t="s">
        <v>8610</v>
      </c>
      <c r="B163" t="s">
        <v>8852</v>
      </c>
      <c r="C163" t="s">
        <v>1</v>
      </c>
      <c r="D163" t="s">
        <v>0</v>
      </c>
      <c r="E163">
        <v>16683</v>
      </c>
      <c r="F163" t="s">
        <v>1519</v>
      </c>
      <c r="G163" t="s">
        <v>1520</v>
      </c>
      <c r="H163" s="3">
        <v>0</v>
      </c>
      <c r="I163" s="3">
        <v>0</v>
      </c>
      <c r="J163" s="3">
        <v>0</v>
      </c>
      <c r="K163" s="3">
        <v>2326.5</v>
      </c>
      <c r="L163" s="3">
        <v>0</v>
      </c>
      <c r="M163" s="3">
        <v>0</v>
      </c>
      <c r="N163" s="3">
        <v>0</v>
      </c>
      <c r="O163" s="3">
        <v>302.44499999999999</v>
      </c>
      <c r="P163" s="3">
        <v>2628.9450000000002</v>
      </c>
      <c r="Q163" t="s">
        <v>8046</v>
      </c>
      <c r="R163" t="s">
        <v>8200</v>
      </c>
      <c r="S163" s="3" t="s">
        <v>8341</v>
      </c>
      <c r="T163" s="3">
        <v>23.27</v>
      </c>
      <c r="U163" s="3"/>
    </row>
    <row r="164" spans="1:21" hidden="1" x14ac:dyDescent="0.25">
      <c r="A164" t="s">
        <v>8610</v>
      </c>
      <c r="B164" t="s">
        <v>8775</v>
      </c>
      <c r="C164" t="s">
        <v>1</v>
      </c>
      <c r="D164" t="s">
        <v>0</v>
      </c>
      <c r="E164">
        <v>3583</v>
      </c>
      <c r="F164" t="s">
        <v>1653</v>
      </c>
      <c r="G164" t="s">
        <v>1654</v>
      </c>
      <c r="H164" s="3">
        <v>0.93</v>
      </c>
      <c r="I164" s="3">
        <v>0</v>
      </c>
      <c r="J164" s="3">
        <v>0</v>
      </c>
      <c r="K164" s="3">
        <v>16.88</v>
      </c>
      <c r="L164" s="3">
        <v>0</v>
      </c>
      <c r="M164" s="3">
        <v>0</v>
      </c>
      <c r="N164" s="3">
        <v>0</v>
      </c>
      <c r="O164" s="3">
        <v>2.1943999999999999</v>
      </c>
      <c r="P164" s="3">
        <v>20.004399999999997</v>
      </c>
      <c r="Q164" t="s">
        <v>8046</v>
      </c>
      <c r="R164" t="s">
        <v>8200</v>
      </c>
      <c r="S164" s="3" t="s">
        <v>8046</v>
      </c>
      <c r="T164" s="3">
        <v>0</v>
      </c>
      <c r="U164" s="3"/>
    </row>
    <row r="165" spans="1:21" hidden="1" x14ac:dyDescent="0.25">
      <c r="A165" t="s">
        <v>8610</v>
      </c>
      <c r="B165" t="s">
        <v>8775</v>
      </c>
      <c r="C165" t="s">
        <v>1</v>
      </c>
      <c r="D165" t="s">
        <v>0</v>
      </c>
      <c r="E165">
        <v>180</v>
      </c>
      <c r="F165" t="s">
        <v>1200</v>
      </c>
      <c r="G165" t="s">
        <v>1201</v>
      </c>
      <c r="H165" s="3">
        <v>0</v>
      </c>
      <c r="I165" s="3">
        <v>0</v>
      </c>
      <c r="J165" s="3">
        <v>0</v>
      </c>
      <c r="K165" s="3">
        <v>7272.7</v>
      </c>
      <c r="L165" s="3">
        <v>0</v>
      </c>
      <c r="M165" s="3">
        <v>0</v>
      </c>
      <c r="N165" s="3">
        <v>0</v>
      </c>
      <c r="O165" s="3">
        <v>945.45100000000002</v>
      </c>
      <c r="P165" s="3">
        <v>8218.1509999999998</v>
      </c>
      <c r="Q165" t="s">
        <v>8046</v>
      </c>
      <c r="R165" t="s">
        <v>8200</v>
      </c>
      <c r="S165" s="3" t="s">
        <v>8341</v>
      </c>
      <c r="T165" s="3">
        <v>72.739999999999995</v>
      </c>
      <c r="U165" s="3"/>
    </row>
    <row r="166" spans="1:21" hidden="1" x14ac:dyDescent="0.25">
      <c r="A166" t="s">
        <v>8610</v>
      </c>
      <c r="B166" t="s">
        <v>8775</v>
      </c>
      <c r="C166" t="s">
        <v>1</v>
      </c>
      <c r="D166" t="s">
        <v>0</v>
      </c>
      <c r="E166">
        <v>18926</v>
      </c>
      <c r="F166" t="s">
        <v>8383</v>
      </c>
      <c r="G166" t="s">
        <v>8384</v>
      </c>
      <c r="H166" s="3">
        <v>0</v>
      </c>
      <c r="I166" s="3">
        <v>0</v>
      </c>
      <c r="J166" s="3">
        <v>0</v>
      </c>
      <c r="K166" s="3">
        <v>461.05</v>
      </c>
      <c r="L166" s="3">
        <v>0</v>
      </c>
      <c r="M166" s="3">
        <v>0</v>
      </c>
      <c r="N166" s="3">
        <v>0</v>
      </c>
      <c r="O166" s="3">
        <v>59.936500000000002</v>
      </c>
      <c r="P166" s="3">
        <v>520.98649999999998</v>
      </c>
      <c r="Q166" t="s">
        <v>8046</v>
      </c>
      <c r="R166" t="s">
        <v>8200</v>
      </c>
      <c r="S166" s="3" t="s">
        <v>8046</v>
      </c>
      <c r="T166" s="3">
        <v>0</v>
      </c>
      <c r="U166" s="3"/>
    </row>
    <row r="167" spans="1:21" hidden="1" x14ac:dyDescent="0.25">
      <c r="A167" t="s">
        <v>8610</v>
      </c>
      <c r="B167" t="s">
        <v>8772</v>
      </c>
      <c r="C167" t="s">
        <v>1</v>
      </c>
      <c r="D167" t="s">
        <v>0</v>
      </c>
      <c r="E167">
        <v>968</v>
      </c>
      <c r="F167" t="s">
        <v>131</v>
      </c>
      <c r="G167" t="s">
        <v>132</v>
      </c>
      <c r="H167" s="3">
        <v>0</v>
      </c>
      <c r="I167" s="3">
        <v>0</v>
      </c>
      <c r="J167" s="3">
        <v>0</v>
      </c>
      <c r="K167" s="3">
        <v>79.650000000000006</v>
      </c>
      <c r="L167" s="3">
        <v>0</v>
      </c>
      <c r="M167" s="3">
        <v>0</v>
      </c>
      <c r="N167" s="3">
        <v>0</v>
      </c>
      <c r="O167" s="3">
        <v>10.354500000000002</v>
      </c>
      <c r="P167" s="3">
        <v>90.004500000000007</v>
      </c>
      <c r="Q167" t="s">
        <v>8046</v>
      </c>
      <c r="R167" t="s">
        <v>8200</v>
      </c>
      <c r="S167" s="3" t="s">
        <v>8046</v>
      </c>
      <c r="T167" s="3">
        <v>0</v>
      </c>
      <c r="U167" s="3"/>
    </row>
    <row r="168" spans="1:21" hidden="1" x14ac:dyDescent="0.25">
      <c r="A168" t="s">
        <v>8610</v>
      </c>
      <c r="B168" t="s">
        <v>8772</v>
      </c>
      <c r="C168" t="s">
        <v>1</v>
      </c>
      <c r="D168" t="s">
        <v>0</v>
      </c>
      <c r="E168">
        <v>15</v>
      </c>
      <c r="F168" t="s">
        <v>8363</v>
      </c>
      <c r="G168" t="s">
        <v>8364</v>
      </c>
      <c r="H168" s="3">
        <v>0</v>
      </c>
      <c r="I168" s="3">
        <v>0</v>
      </c>
      <c r="J168" s="3">
        <v>0</v>
      </c>
      <c r="K168" s="3">
        <v>10.55</v>
      </c>
      <c r="L168" s="3">
        <v>0</v>
      </c>
      <c r="M168" s="3">
        <v>0</v>
      </c>
      <c r="N168" s="3">
        <v>0</v>
      </c>
      <c r="O168" s="3">
        <v>1.3715000000000002</v>
      </c>
      <c r="P168" s="3">
        <v>11.921500000000002</v>
      </c>
      <c r="Q168" t="s">
        <v>8046</v>
      </c>
      <c r="R168" t="s">
        <v>8200</v>
      </c>
      <c r="S168" s="3" t="s">
        <v>8046</v>
      </c>
      <c r="T168" s="3">
        <v>0</v>
      </c>
      <c r="U168" s="3"/>
    </row>
    <row r="169" spans="1:21" hidden="1" x14ac:dyDescent="0.25">
      <c r="A169" t="s">
        <v>8610</v>
      </c>
      <c r="B169" t="s">
        <v>8772</v>
      </c>
      <c r="C169" t="s">
        <v>1</v>
      </c>
      <c r="D169" t="s">
        <v>0</v>
      </c>
      <c r="E169">
        <v>963</v>
      </c>
      <c r="F169" t="s">
        <v>131</v>
      </c>
      <c r="G169" t="s">
        <v>132</v>
      </c>
      <c r="H169" s="3">
        <v>0</v>
      </c>
      <c r="I169" s="3">
        <v>0</v>
      </c>
      <c r="J169" s="3">
        <v>0</v>
      </c>
      <c r="K169" s="3">
        <v>398.58</v>
      </c>
      <c r="L169" s="3">
        <v>0</v>
      </c>
      <c r="M169" s="3">
        <v>0</v>
      </c>
      <c r="N169" s="3">
        <v>0</v>
      </c>
      <c r="O169" s="3">
        <v>51.815399999999997</v>
      </c>
      <c r="P169" s="3">
        <v>450.3954</v>
      </c>
      <c r="Q169" t="s">
        <v>8046</v>
      </c>
      <c r="R169" t="s">
        <v>8200</v>
      </c>
      <c r="S169" s="3" t="s">
        <v>8046</v>
      </c>
      <c r="T169" s="3">
        <v>0</v>
      </c>
      <c r="U169" s="3"/>
    </row>
    <row r="170" spans="1:21" hidden="1" x14ac:dyDescent="0.25">
      <c r="A170" t="s">
        <v>8610</v>
      </c>
      <c r="B170" t="s">
        <v>8772</v>
      </c>
      <c r="C170" t="s">
        <v>1</v>
      </c>
      <c r="D170" t="s">
        <v>0</v>
      </c>
      <c r="E170">
        <v>514</v>
      </c>
      <c r="F170" t="s">
        <v>7846</v>
      </c>
      <c r="G170" t="s">
        <v>7847</v>
      </c>
      <c r="H170" s="3">
        <v>0</v>
      </c>
      <c r="I170" s="3">
        <v>0</v>
      </c>
      <c r="J170" s="3">
        <v>0</v>
      </c>
      <c r="K170" s="3">
        <v>61.95</v>
      </c>
      <c r="L170" s="3">
        <v>0</v>
      </c>
      <c r="M170" s="3">
        <v>0</v>
      </c>
      <c r="N170" s="3">
        <v>0</v>
      </c>
      <c r="O170" s="3">
        <v>8.0535000000000014</v>
      </c>
      <c r="P170" s="3">
        <v>70.003500000000003</v>
      </c>
      <c r="Q170" t="s">
        <v>8046</v>
      </c>
      <c r="R170" t="s">
        <v>8200</v>
      </c>
      <c r="S170" s="3" t="s">
        <v>8046</v>
      </c>
      <c r="T170" s="3">
        <v>0</v>
      </c>
      <c r="U170" s="3"/>
    </row>
    <row r="171" spans="1:21" hidden="1" x14ac:dyDescent="0.25">
      <c r="A171" t="s">
        <v>8610</v>
      </c>
      <c r="B171" t="s">
        <v>8775</v>
      </c>
      <c r="C171" t="s">
        <v>1</v>
      </c>
      <c r="D171" t="s">
        <v>0</v>
      </c>
      <c r="E171">
        <v>8432</v>
      </c>
      <c r="F171" t="s">
        <v>1527</v>
      </c>
      <c r="G171" t="s">
        <v>1528</v>
      </c>
      <c r="H171" s="3">
        <v>0</v>
      </c>
      <c r="I171" s="3">
        <v>0</v>
      </c>
      <c r="J171" s="3">
        <v>0</v>
      </c>
      <c r="K171" s="3">
        <v>482.3</v>
      </c>
      <c r="L171" s="3">
        <v>0</v>
      </c>
      <c r="M171" s="3">
        <v>0</v>
      </c>
      <c r="N171" s="3">
        <v>0</v>
      </c>
      <c r="O171" s="3">
        <v>62.699000000000005</v>
      </c>
      <c r="P171" s="3">
        <v>544.99900000000002</v>
      </c>
      <c r="Q171" t="s">
        <v>8046</v>
      </c>
      <c r="R171" t="s">
        <v>8200</v>
      </c>
      <c r="S171" s="3" t="s">
        <v>8046</v>
      </c>
      <c r="T171" s="3">
        <v>0</v>
      </c>
      <c r="U171" s="3"/>
    </row>
    <row r="172" spans="1:21" hidden="1" x14ac:dyDescent="0.25">
      <c r="A172" t="s">
        <v>8610</v>
      </c>
      <c r="B172" t="s">
        <v>8776</v>
      </c>
      <c r="C172" t="s">
        <v>1</v>
      </c>
      <c r="D172" t="s">
        <v>0</v>
      </c>
      <c r="E172">
        <v>372805</v>
      </c>
      <c r="F172" t="s">
        <v>2436</v>
      </c>
      <c r="G172" t="s">
        <v>2437</v>
      </c>
      <c r="H172" s="3">
        <v>0</v>
      </c>
      <c r="I172" s="3">
        <v>0</v>
      </c>
      <c r="J172" s="3">
        <v>0</v>
      </c>
      <c r="K172" s="3">
        <v>776.05</v>
      </c>
      <c r="L172" s="3">
        <v>0</v>
      </c>
      <c r="M172" s="3">
        <v>0</v>
      </c>
      <c r="N172" s="3">
        <v>0</v>
      </c>
      <c r="O172" s="3">
        <v>100.8865</v>
      </c>
      <c r="P172" s="3">
        <v>876.93649999999991</v>
      </c>
      <c r="Q172" t="s">
        <v>8046</v>
      </c>
      <c r="R172" t="s">
        <v>8200</v>
      </c>
      <c r="S172" s="3" t="s">
        <v>8750</v>
      </c>
      <c r="T172" s="3">
        <v>7.76</v>
      </c>
      <c r="U172" s="3"/>
    </row>
    <row r="173" spans="1:21" hidden="1" x14ac:dyDescent="0.25">
      <c r="A173" t="s">
        <v>8610</v>
      </c>
      <c r="B173" t="s">
        <v>8814</v>
      </c>
      <c r="C173" t="s">
        <v>1</v>
      </c>
      <c r="D173" t="s">
        <v>0</v>
      </c>
      <c r="E173">
        <v>1855</v>
      </c>
      <c r="F173" t="s">
        <v>8363</v>
      </c>
      <c r="G173" t="s">
        <v>8364</v>
      </c>
      <c r="H173" s="3">
        <v>0</v>
      </c>
      <c r="I173" s="3">
        <v>0</v>
      </c>
      <c r="J173" s="3">
        <v>0</v>
      </c>
      <c r="K173" s="3">
        <v>13.66</v>
      </c>
      <c r="L173" s="3">
        <v>0</v>
      </c>
      <c r="M173" s="3">
        <v>0</v>
      </c>
      <c r="N173" s="3">
        <v>0</v>
      </c>
      <c r="O173" s="3">
        <v>1.7758</v>
      </c>
      <c r="P173" s="3">
        <v>15.4358</v>
      </c>
      <c r="Q173" t="s">
        <v>8046</v>
      </c>
      <c r="R173" t="s">
        <v>8200</v>
      </c>
      <c r="S173" s="3" t="s">
        <v>8046</v>
      </c>
      <c r="T173" s="3">
        <v>0</v>
      </c>
      <c r="U173" s="3"/>
    </row>
    <row r="174" spans="1:21" hidden="1" x14ac:dyDescent="0.25">
      <c r="A174" t="s">
        <v>8610</v>
      </c>
      <c r="B174" t="s">
        <v>8782</v>
      </c>
      <c r="C174" t="s">
        <v>1</v>
      </c>
      <c r="D174" t="s">
        <v>0</v>
      </c>
      <c r="E174">
        <v>77399</v>
      </c>
      <c r="F174" t="s">
        <v>1626</v>
      </c>
      <c r="G174" t="s">
        <v>1627</v>
      </c>
      <c r="H174" s="3">
        <v>3.16</v>
      </c>
      <c r="I174" s="3">
        <v>0</v>
      </c>
      <c r="J174" s="3">
        <v>0</v>
      </c>
      <c r="K174" s="3">
        <v>59.15</v>
      </c>
      <c r="L174" s="3">
        <v>0</v>
      </c>
      <c r="M174" s="3">
        <v>0</v>
      </c>
      <c r="N174" s="3">
        <v>0</v>
      </c>
      <c r="O174" s="3">
        <v>7.6894999999999998</v>
      </c>
      <c r="P174" s="3">
        <v>69.999499999999998</v>
      </c>
      <c r="Q174" t="s">
        <v>8046</v>
      </c>
      <c r="R174" t="s">
        <v>8200</v>
      </c>
      <c r="S174" s="3" t="s">
        <v>8046</v>
      </c>
      <c r="T174" s="3">
        <v>0</v>
      </c>
      <c r="U174" s="3"/>
    </row>
    <row r="175" spans="1:21" hidden="1" x14ac:dyDescent="0.25">
      <c r="A175" t="s">
        <v>8610</v>
      </c>
      <c r="B175" t="s">
        <v>8773</v>
      </c>
      <c r="C175" t="s">
        <v>1</v>
      </c>
      <c r="D175" t="s">
        <v>0</v>
      </c>
      <c r="E175">
        <v>1776</v>
      </c>
      <c r="F175" t="s">
        <v>8858</v>
      </c>
      <c r="G175" t="s">
        <v>8859</v>
      </c>
      <c r="H175" s="3">
        <v>0</v>
      </c>
      <c r="I175" s="3">
        <v>0</v>
      </c>
      <c r="J175" s="3">
        <v>0</v>
      </c>
      <c r="K175" s="3">
        <v>26.86</v>
      </c>
      <c r="L175" s="3">
        <v>0</v>
      </c>
      <c r="M175" s="3">
        <v>0</v>
      </c>
      <c r="N175" s="3">
        <v>0</v>
      </c>
      <c r="O175" s="3">
        <v>3.4918</v>
      </c>
      <c r="P175" s="3">
        <v>30.351800000000001</v>
      </c>
      <c r="Q175" t="s">
        <v>8046</v>
      </c>
      <c r="R175" t="s">
        <v>8200</v>
      </c>
      <c r="S175" s="3" t="s">
        <v>8046</v>
      </c>
      <c r="T175" s="3">
        <v>0</v>
      </c>
      <c r="U175" s="3"/>
    </row>
    <row r="176" spans="1:21" hidden="1" x14ac:dyDescent="0.25">
      <c r="A176" t="s">
        <v>8610</v>
      </c>
      <c r="B176" t="s">
        <v>8731</v>
      </c>
      <c r="C176" t="s">
        <v>1</v>
      </c>
      <c r="D176" t="s">
        <v>0</v>
      </c>
      <c r="E176">
        <v>13513</v>
      </c>
      <c r="F176" t="s">
        <v>3202</v>
      </c>
      <c r="G176" t="s">
        <v>3203</v>
      </c>
      <c r="H176" s="3">
        <v>0</v>
      </c>
      <c r="I176" s="3">
        <v>0</v>
      </c>
      <c r="J176" s="3">
        <v>0</v>
      </c>
      <c r="K176" s="3">
        <v>30.58</v>
      </c>
      <c r="L176" s="3">
        <v>0</v>
      </c>
      <c r="M176" s="3">
        <v>0</v>
      </c>
      <c r="N176" s="3">
        <v>0</v>
      </c>
      <c r="O176" s="3">
        <v>3.9754</v>
      </c>
      <c r="P176" s="3">
        <v>34.555399999999999</v>
      </c>
      <c r="Q176" t="s">
        <v>8046</v>
      </c>
      <c r="R176" t="s">
        <v>8200</v>
      </c>
      <c r="S176" s="3" t="s">
        <v>8046</v>
      </c>
      <c r="T176" s="3">
        <v>0</v>
      </c>
      <c r="U176" s="3"/>
    </row>
    <row r="177" spans="1:21" hidden="1" x14ac:dyDescent="0.25">
      <c r="A177" t="s">
        <v>8610</v>
      </c>
      <c r="B177" t="s">
        <v>8701</v>
      </c>
      <c r="C177" t="s">
        <v>1</v>
      </c>
      <c r="D177" t="s">
        <v>0</v>
      </c>
      <c r="E177">
        <v>9</v>
      </c>
      <c r="F177" t="s">
        <v>6536</v>
      </c>
      <c r="G177" t="s">
        <v>6537</v>
      </c>
      <c r="H177" s="3">
        <v>0</v>
      </c>
      <c r="I177" s="3">
        <v>0</v>
      </c>
      <c r="J177" s="3">
        <v>0</v>
      </c>
      <c r="K177" s="3">
        <v>553.1</v>
      </c>
      <c r="L177" s="3">
        <v>0</v>
      </c>
      <c r="M177" s="3">
        <v>0</v>
      </c>
      <c r="N177" s="3">
        <v>0</v>
      </c>
      <c r="O177" s="3">
        <v>71.903000000000006</v>
      </c>
      <c r="P177" s="3">
        <v>625.00300000000004</v>
      </c>
      <c r="Q177" t="s">
        <v>8046</v>
      </c>
      <c r="R177" t="s">
        <v>8200</v>
      </c>
      <c r="S177" s="3" t="s">
        <v>8046</v>
      </c>
      <c r="T177" s="3">
        <v>0</v>
      </c>
      <c r="U177" s="3"/>
    </row>
    <row r="178" spans="1:21" hidden="1" x14ac:dyDescent="0.25">
      <c r="A178" t="s">
        <v>8609</v>
      </c>
      <c r="B178" t="s">
        <v>8775</v>
      </c>
      <c r="C178" t="s">
        <v>1</v>
      </c>
      <c r="D178" t="s">
        <v>0</v>
      </c>
      <c r="E178">
        <v>986351</v>
      </c>
      <c r="F178" t="s">
        <v>2440</v>
      </c>
      <c r="G178" t="s">
        <v>2441</v>
      </c>
      <c r="H178" s="3">
        <v>0</v>
      </c>
      <c r="I178" s="3">
        <v>0</v>
      </c>
      <c r="J178" s="3">
        <v>0</v>
      </c>
      <c r="K178" s="3">
        <v>712.97</v>
      </c>
      <c r="L178" s="3">
        <v>0</v>
      </c>
      <c r="M178" s="3">
        <v>0</v>
      </c>
      <c r="N178" s="3">
        <v>0</v>
      </c>
      <c r="O178" s="3">
        <v>92.68610000000001</v>
      </c>
      <c r="P178" s="3">
        <v>805.65610000000004</v>
      </c>
      <c r="Q178" t="s">
        <v>8046</v>
      </c>
      <c r="R178" t="s">
        <v>8200</v>
      </c>
      <c r="S178" s="3" t="s">
        <v>8359</v>
      </c>
      <c r="T178" s="3">
        <v>7.13</v>
      </c>
      <c r="U178" s="3"/>
    </row>
    <row r="179" spans="1:21" hidden="1" x14ac:dyDescent="0.25">
      <c r="A179" t="s">
        <v>8609</v>
      </c>
      <c r="B179" t="s">
        <v>8775</v>
      </c>
      <c r="C179" t="s">
        <v>1</v>
      </c>
      <c r="D179" t="s">
        <v>0</v>
      </c>
      <c r="E179">
        <v>1308</v>
      </c>
      <c r="F179" t="s">
        <v>3089</v>
      </c>
      <c r="G179" t="s">
        <v>3090</v>
      </c>
      <c r="H179" s="3">
        <v>0</v>
      </c>
      <c r="I179" s="3">
        <v>0</v>
      </c>
      <c r="J179" s="3">
        <v>0</v>
      </c>
      <c r="K179" s="3">
        <v>122.63</v>
      </c>
      <c r="L179" s="3">
        <v>0</v>
      </c>
      <c r="M179" s="3">
        <v>0</v>
      </c>
      <c r="N179" s="3">
        <v>0</v>
      </c>
      <c r="O179" s="3">
        <v>15.9419</v>
      </c>
      <c r="P179" s="3">
        <v>138.5719</v>
      </c>
      <c r="Q179" t="s">
        <v>8046</v>
      </c>
      <c r="R179" t="s">
        <v>8200</v>
      </c>
      <c r="S179" s="3" t="s">
        <v>8807</v>
      </c>
      <c r="T179" s="3">
        <v>1.23</v>
      </c>
      <c r="U179" s="3"/>
    </row>
    <row r="180" spans="1:21" hidden="1" x14ac:dyDescent="0.25">
      <c r="A180" t="s">
        <v>8609</v>
      </c>
      <c r="B180" t="s">
        <v>8771</v>
      </c>
      <c r="C180" t="s">
        <v>1</v>
      </c>
      <c r="D180" t="s">
        <v>0</v>
      </c>
      <c r="E180">
        <v>23877</v>
      </c>
      <c r="F180" t="s">
        <v>1732</v>
      </c>
      <c r="G180" t="s">
        <v>1733</v>
      </c>
      <c r="H180" s="3">
        <v>1.78</v>
      </c>
      <c r="I180" s="3">
        <v>0</v>
      </c>
      <c r="J180" s="3">
        <v>0</v>
      </c>
      <c r="K180" s="3">
        <v>32.049999999999997</v>
      </c>
      <c r="L180" s="3">
        <v>0</v>
      </c>
      <c r="M180" s="3">
        <v>0</v>
      </c>
      <c r="N180" s="3">
        <v>0</v>
      </c>
      <c r="O180" s="3">
        <v>4.1665000000000001</v>
      </c>
      <c r="P180" s="3">
        <v>37.996499999999997</v>
      </c>
      <c r="Q180" t="s">
        <v>8046</v>
      </c>
      <c r="R180" t="s">
        <v>8200</v>
      </c>
      <c r="S180" s="3" t="s">
        <v>8046</v>
      </c>
      <c r="T180" s="3">
        <v>0</v>
      </c>
      <c r="U180" s="3"/>
    </row>
    <row r="181" spans="1:21" hidden="1" x14ac:dyDescent="0.25">
      <c r="A181" t="s">
        <v>8609</v>
      </c>
      <c r="B181" t="s">
        <v>8771</v>
      </c>
      <c r="C181" t="s">
        <v>1</v>
      </c>
      <c r="D181" t="s">
        <v>0</v>
      </c>
      <c r="E181">
        <v>752082</v>
      </c>
      <c r="F181" t="s">
        <v>39</v>
      </c>
      <c r="G181" t="s">
        <v>1596</v>
      </c>
      <c r="H181" s="3">
        <v>1.19</v>
      </c>
      <c r="I181" s="3">
        <v>0</v>
      </c>
      <c r="J181" s="3">
        <v>0</v>
      </c>
      <c r="K181" s="3">
        <v>21.07</v>
      </c>
      <c r="L181" s="3">
        <v>0</v>
      </c>
      <c r="M181" s="3">
        <v>0</v>
      </c>
      <c r="N181" s="3">
        <v>0</v>
      </c>
      <c r="O181" s="3">
        <v>2.7391000000000001</v>
      </c>
      <c r="P181" s="3">
        <v>24.999100000000002</v>
      </c>
      <c r="Q181" t="s">
        <v>8046</v>
      </c>
      <c r="R181" t="s">
        <v>8200</v>
      </c>
      <c r="S181" s="3" t="s">
        <v>8046</v>
      </c>
      <c r="T181" s="3">
        <v>0</v>
      </c>
      <c r="U181" s="3"/>
    </row>
    <row r="182" spans="1:21" hidden="1" x14ac:dyDescent="0.25">
      <c r="A182" t="s">
        <v>8609</v>
      </c>
      <c r="B182" t="s">
        <v>8771</v>
      </c>
      <c r="C182" t="s">
        <v>1</v>
      </c>
      <c r="D182" t="s">
        <v>0</v>
      </c>
      <c r="E182">
        <v>33819</v>
      </c>
      <c r="F182" t="s">
        <v>1522</v>
      </c>
      <c r="G182" t="s">
        <v>1523</v>
      </c>
      <c r="H182" s="3">
        <v>1.65</v>
      </c>
      <c r="I182" s="3">
        <v>0</v>
      </c>
      <c r="J182" s="3">
        <v>0</v>
      </c>
      <c r="K182" s="3">
        <v>29.51</v>
      </c>
      <c r="L182" s="3">
        <v>0</v>
      </c>
      <c r="M182" s="3">
        <v>0</v>
      </c>
      <c r="N182" s="3">
        <v>0</v>
      </c>
      <c r="O182" s="3">
        <v>3.8363000000000005</v>
      </c>
      <c r="P182" s="3">
        <v>34.996299999999998</v>
      </c>
      <c r="Q182" t="s">
        <v>8046</v>
      </c>
      <c r="R182" t="s">
        <v>8200</v>
      </c>
      <c r="S182" s="3" t="s">
        <v>8046</v>
      </c>
      <c r="T182" s="3">
        <v>0</v>
      </c>
      <c r="U182" s="3"/>
    </row>
    <row r="183" spans="1:21" hidden="1" x14ac:dyDescent="0.25">
      <c r="A183" t="s">
        <v>8609</v>
      </c>
      <c r="B183" t="s">
        <v>8771</v>
      </c>
      <c r="C183" t="s">
        <v>1</v>
      </c>
      <c r="D183" t="s">
        <v>0</v>
      </c>
      <c r="E183">
        <v>387</v>
      </c>
      <c r="F183" t="s">
        <v>1457</v>
      </c>
      <c r="G183" t="s">
        <v>8600</v>
      </c>
      <c r="H183" s="3">
        <v>0</v>
      </c>
      <c r="I183" s="3">
        <v>0</v>
      </c>
      <c r="J183" s="3">
        <v>0</v>
      </c>
      <c r="K183" s="3">
        <v>110</v>
      </c>
      <c r="L183" s="3">
        <v>0</v>
      </c>
      <c r="M183" s="3">
        <v>0</v>
      </c>
      <c r="N183" s="3">
        <v>0</v>
      </c>
      <c r="O183" s="3">
        <v>14.3</v>
      </c>
      <c r="P183" s="3">
        <v>124.3</v>
      </c>
      <c r="Q183" t="s">
        <v>8046</v>
      </c>
      <c r="R183" t="s">
        <v>8200</v>
      </c>
      <c r="S183" s="3" t="s">
        <v>8046</v>
      </c>
      <c r="T183" s="3">
        <v>0</v>
      </c>
      <c r="U183" s="3"/>
    </row>
    <row r="184" spans="1:21" hidden="1" x14ac:dyDescent="0.25">
      <c r="A184" t="s">
        <v>8609</v>
      </c>
      <c r="B184" t="s">
        <v>8772</v>
      </c>
      <c r="C184" t="s">
        <v>1</v>
      </c>
      <c r="D184" t="s">
        <v>0</v>
      </c>
      <c r="E184">
        <v>1477221</v>
      </c>
      <c r="F184" t="s">
        <v>1576</v>
      </c>
      <c r="G184" t="s">
        <v>1577</v>
      </c>
      <c r="H184" s="3">
        <v>0</v>
      </c>
      <c r="I184" s="3">
        <v>0</v>
      </c>
      <c r="J184" s="3">
        <v>0</v>
      </c>
      <c r="K184" s="3">
        <v>415.8</v>
      </c>
      <c r="L184" s="3">
        <v>0</v>
      </c>
      <c r="M184" s="3">
        <v>0</v>
      </c>
      <c r="N184" s="3">
        <v>0</v>
      </c>
      <c r="O184" s="3">
        <v>54.054000000000002</v>
      </c>
      <c r="P184" s="3">
        <v>469.85400000000004</v>
      </c>
      <c r="Q184" t="s">
        <v>8046</v>
      </c>
      <c r="R184" t="s">
        <v>8200</v>
      </c>
      <c r="S184" s="3" t="s">
        <v>8345</v>
      </c>
      <c r="T184" s="3">
        <v>4.16</v>
      </c>
      <c r="U184" s="3"/>
    </row>
    <row r="185" spans="1:21" hidden="1" x14ac:dyDescent="0.25">
      <c r="A185" t="s">
        <v>8609</v>
      </c>
      <c r="B185" t="s">
        <v>8772</v>
      </c>
      <c r="C185" t="s">
        <v>1</v>
      </c>
      <c r="D185" t="s">
        <v>0</v>
      </c>
      <c r="E185">
        <v>33548</v>
      </c>
      <c r="F185" t="s">
        <v>1522</v>
      </c>
      <c r="G185" t="s">
        <v>1523</v>
      </c>
      <c r="H185" s="3">
        <v>0.94</v>
      </c>
      <c r="I185" s="3">
        <v>0</v>
      </c>
      <c r="J185" s="3">
        <v>0</v>
      </c>
      <c r="K185" s="3">
        <v>16.87</v>
      </c>
      <c r="L185" s="3">
        <v>0</v>
      </c>
      <c r="M185" s="3">
        <v>0</v>
      </c>
      <c r="N185" s="3">
        <v>0</v>
      </c>
      <c r="O185" s="3">
        <v>2.1931000000000003</v>
      </c>
      <c r="P185" s="3">
        <v>20.003100000000003</v>
      </c>
      <c r="Q185" t="s">
        <v>8046</v>
      </c>
      <c r="R185" t="s">
        <v>8200</v>
      </c>
      <c r="S185" s="3" t="s">
        <v>8046</v>
      </c>
      <c r="T185" s="3">
        <v>0</v>
      </c>
      <c r="U185" s="3"/>
    </row>
    <row r="186" spans="1:21" hidden="1" x14ac:dyDescent="0.25">
      <c r="A186" t="s">
        <v>8609</v>
      </c>
      <c r="B186" t="s">
        <v>8772</v>
      </c>
      <c r="C186" t="s">
        <v>1</v>
      </c>
      <c r="D186" t="s">
        <v>0</v>
      </c>
      <c r="E186">
        <v>2969</v>
      </c>
      <c r="F186" t="s">
        <v>762</v>
      </c>
      <c r="G186" t="s">
        <v>763</v>
      </c>
      <c r="H186" s="3">
        <v>0</v>
      </c>
      <c r="I186" s="3">
        <v>0</v>
      </c>
      <c r="J186" s="3">
        <v>0</v>
      </c>
      <c r="K186" s="3">
        <v>176.4</v>
      </c>
      <c r="L186" s="3">
        <v>0</v>
      </c>
      <c r="M186" s="3">
        <v>0</v>
      </c>
      <c r="N186" s="3">
        <v>0</v>
      </c>
      <c r="O186" s="3">
        <v>22.932000000000002</v>
      </c>
      <c r="P186" s="3">
        <v>199.33199999999999</v>
      </c>
      <c r="Q186" t="s">
        <v>8046</v>
      </c>
      <c r="R186" t="s">
        <v>8200</v>
      </c>
      <c r="S186" s="3" t="s">
        <v>8046</v>
      </c>
      <c r="T186" s="3">
        <v>0</v>
      </c>
      <c r="U186" s="3"/>
    </row>
    <row r="187" spans="1:21" hidden="1" x14ac:dyDescent="0.25">
      <c r="A187" t="s">
        <v>8609</v>
      </c>
      <c r="B187" t="s">
        <v>8772</v>
      </c>
      <c r="C187" t="s">
        <v>1</v>
      </c>
      <c r="D187" t="s">
        <v>0</v>
      </c>
      <c r="E187">
        <v>162</v>
      </c>
      <c r="F187" t="s">
        <v>8815</v>
      </c>
      <c r="G187" t="s">
        <v>8816</v>
      </c>
      <c r="H187" s="3">
        <v>0</v>
      </c>
      <c r="I187" s="3">
        <v>0</v>
      </c>
      <c r="J187" s="3">
        <v>0</v>
      </c>
      <c r="K187" s="3">
        <v>51.77</v>
      </c>
      <c r="L187" s="3">
        <v>0</v>
      </c>
      <c r="M187" s="3">
        <v>0</v>
      </c>
      <c r="N187" s="3">
        <v>0</v>
      </c>
      <c r="O187" s="3">
        <v>6.7301000000000002</v>
      </c>
      <c r="P187" s="3">
        <v>58.500100000000003</v>
      </c>
      <c r="Q187" t="s">
        <v>8046</v>
      </c>
      <c r="R187" t="s">
        <v>8200</v>
      </c>
      <c r="S187" s="3" t="s">
        <v>8046</v>
      </c>
      <c r="T187" s="3">
        <v>0</v>
      </c>
      <c r="U187" s="3"/>
    </row>
    <row r="188" spans="1:21" hidden="1" x14ac:dyDescent="0.25">
      <c r="A188" t="s">
        <v>8609</v>
      </c>
      <c r="B188" t="s">
        <v>8776</v>
      </c>
      <c r="C188" t="s">
        <v>1</v>
      </c>
      <c r="D188" t="s">
        <v>0</v>
      </c>
      <c r="E188">
        <v>57833</v>
      </c>
      <c r="F188" t="s">
        <v>1655</v>
      </c>
      <c r="G188" t="s">
        <v>1656</v>
      </c>
      <c r="H188" s="3">
        <v>1.88</v>
      </c>
      <c r="I188" s="3">
        <v>0</v>
      </c>
      <c r="J188" s="3">
        <v>0</v>
      </c>
      <c r="K188" s="3">
        <v>33.729999999999997</v>
      </c>
      <c r="L188" s="3">
        <v>0</v>
      </c>
      <c r="M188" s="3">
        <v>0</v>
      </c>
      <c r="N188" s="3">
        <v>0</v>
      </c>
      <c r="O188" s="3">
        <v>4.3849</v>
      </c>
      <c r="P188" s="3">
        <v>39.994900000000001</v>
      </c>
      <c r="Q188" t="s">
        <v>8046</v>
      </c>
      <c r="R188" t="s">
        <v>8200</v>
      </c>
      <c r="S188" s="3" t="s">
        <v>8046</v>
      </c>
      <c r="T188" s="3">
        <v>0</v>
      </c>
      <c r="U188" s="3"/>
    </row>
    <row r="189" spans="1:21" hidden="1" x14ac:dyDescent="0.25">
      <c r="A189" t="s">
        <v>8609</v>
      </c>
      <c r="B189" t="s">
        <v>8776</v>
      </c>
      <c r="C189" t="s">
        <v>1</v>
      </c>
      <c r="D189" t="s">
        <v>0</v>
      </c>
      <c r="E189">
        <v>33404</v>
      </c>
      <c r="F189" t="s">
        <v>1522</v>
      </c>
      <c r="G189" t="s">
        <v>1523</v>
      </c>
      <c r="H189" s="3">
        <v>0.94</v>
      </c>
      <c r="I189" s="3">
        <v>0</v>
      </c>
      <c r="J189" s="3">
        <v>0</v>
      </c>
      <c r="K189" s="3">
        <v>16.87</v>
      </c>
      <c r="L189" s="3">
        <v>0</v>
      </c>
      <c r="M189" s="3">
        <v>0</v>
      </c>
      <c r="N189" s="3">
        <v>0</v>
      </c>
      <c r="O189" s="3">
        <v>2.1931000000000003</v>
      </c>
      <c r="P189" s="3">
        <v>20.003100000000003</v>
      </c>
      <c r="Q189" t="s">
        <v>8046</v>
      </c>
      <c r="R189" t="s">
        <v>8200</v>
      </c>
      <c r="S189" s="3" t="s">
        <v>8046</v>
      </c>
      <c r="T189" s="3">
        <v>0</v>
      </c>
      <c r="U189" s="3"/>
    </row>
    <row r="190" spans="1:21" hidden="1" x14ac:dyDescent="0.25">
      <c r="A190" t="s">
        <v>8609</v>
      </c>
      <c r="B190" t="s">
        <v>8776</v>
      </c>
      <c r="C190" t="s">
        <v>1</v>
      </c>
      <c r="D190" t="s">
        <v>0</v>
      </c>
      <c r="E190">
        <v>16373</v>
      </c>
      <c r="F190" t="s">
        <v>1670</v>
      </c>
      <c r="G190" t="s">
        <v>1671</v>
      </c>
      <c r="H190" s="3">
        <v>0.46</v>
      </c>
      <c r="I190" s="3">
        <v>0</v>
      </c>
      <c r="J190" s="3">
        <v>0</v>
      </c>
      <c r="K190" s="3">
        <v>8.44</v>
      </c>
      <c r="L190" s="3">
        <v>0</v>
      </c>
      <c r="M190" s="3">
        <v>0</v>
      </c>
      <c r="N190" s="3">
        <v>0</v>
      </c>
      <c r="O190" s="3">
        <v>1.0972</v>
      </c>
      <c r="P190" s="3">
        <v>9.9971999999999994</v>
      </c>
      <c r="Q190" t="s">
        <v>8046</v>
      </c>
      <c r="R190" t="s">
        <v>8200</v>
      </c>
      <c r="S190" s="3" t="s">
        <v>8046</v>
      </c>
      <c r="T190" s="3">
        <v>0</v>
      </c>
      <c r="U190" s="3"/>
    </row>
    <row r="191" spans="1:21" hidden="1" x14ac:dyDescent="0.25">
      <c r="A191" t="s">
        <v>8609</v>
      </c>
      <c r="B191" t="s">
        <v>8776</v>
      </c>
      <c r="C191" t="s">
        <v>1</v>
      </c>
      <c r="D191" t="s">
        <v>0</v>
      </c>
      <c r="E191">
        <v>98225</v>
      </c>
      <c r="F191" t="s">
        <v>1670</v>
      </c>
      <c r="G191" t="s">
        <v>1671</v>
      </c>
      <c r="H191" s="3">
        <v>2.37</v>
      </c>
      <c r="I191" s="3">
        <v>0</v>
      </c>
      <c r="J191" s="3">
        <v>0</v>
      </c>
      <c r="K191" s="3">
        <v>43.04</v>
      </c>
      <c r="L191" s="3">
        <v>0</v>
      </c>
      <c r="M191" s="3">
        <v>0</v>
      </c>
      <c r="N191" s="3">
        <v>0</v>
      </c>
      <c r="O191" s="3">
        <v>5.5952000000000002</v>
      </c>
      <c r="P191" s="3">
        <v>51.005199999999995</v>
      </c>
      <c r="Q191" t="s">
        <v>8046</v>
      </c>
      <c r="R191" t="s">
        <v>8200</v>
      </c>
      <c r="S191" s="3" t="s">
        <v>8046</v>
      </c>
      <c r="T191" s="3">
        <v>0</v>
      </c>
      <c r="U191" s="3"/>
    </row>
    <row r="192" spans="1:21" hidden="1" x14ac:dyDescent="0.25">
      <c r="A192" t="s">
        <v>8609</v>
      </c>
      <c r="B192" t="s">
        <v>8776</v>
      </c>
      <c r="C192" t="s">
        <v>1</v>
      </c>
      <c r="D192" t="s">
        <v>0</v>
      </c>
      <c r="E192">
        <v>68</v>
      </c>
      <c r="F192" t="s">
        <v>1200</v>
      </c>
      <c r="G192" t="s">
        <v>1201</v>
      </c>
      <c r="H192" s="3">
        <v>0</v>
      </c>
      <c r="I192" s="3">
        <v>0</v>
      </c>
      <c r="J192" s="3">
        <v>0</v>
      </c>
      <c r="K192" s="3">
        <v>3077</v>
      </c>
      <c r="L192" s="3">
        <v>0</v>
      </c>
      <c r="M192" s="3">
        <v>0</v>
      </c>
      <c r="N192" s="3">
        <v>0</v>
      </c>
      <c r="O192" s="3">
        <v>400.01</v>
      </c>
      <c r="P192" s="3">
        <v>3477.01</v>
      </c>
      <c r="Q192" t="s">
        <v>8046</v>
      </c>
      <c r="R192" t="s">
        <v>8200</v>
      </c>
      <c r="S192" s="3" t="s">
        <v>8341</v>
      </c>
      <c r="T192" s="3">
        <v>30.77</v>
      </c>
      <c r="U192" s="3"/>
    </row>
    <row r="193" spans="1:21" hidden="1" x14ac:dyDescent="0.25">
      <c r="A193" t="s">
        <v>8609</v>
      </c>
      <c r="B193" t="s">
        <v>8776</v>
      </c>
      <c r="C193" t="s">
        <v>1</v>
      </c>
      <c r="D193" t="s">
        <v>0</v>
      </c>
      <c r="E193">
        <v>2579</v>
      </c>
      <c r="F193" t="s">
        <v>2256</v>
      </c>
      <c r="G193" t="s">
        <v>2257</v>
      </c>
      <c r="H193" s="3">
        <v>0</v>
      </c>
      <c r="I193" s="3">
        <v>0</v>
      </c>
      <c r="J193" s="3">
        <v>0</v>
      </c>
      <c r="K193" s="3">
        <v>225.1</v>
      </c>
      <c r="L193" s="3">
        <v>0</v>
      </c>
      <c r="M193" s="3">
        <v>0</v>
      </c>
      <c r="N193" s="3">
        <v>0</v>
      </c>
      <c r="O193" s="3">
        <v>29.263000000000002</v>
      </c>
      <c r="P193" s="3">
        <v>254.363</v>
      </c>
      <c r="Q193" t="s">
        <v>8046</v>
      </c>
      <c r="R193" t="s">
        <v>8200</v>
      </c>
      <c r="S193" s="3" t="s">
        <v>8750</v>
      </c>
      <c r="T193" s="3">
        <v>2.25</v>
      </c>
      <c r="U193" s="3"/>
    </row>
    <row r="194" spans="1:21" hidden="1" x14ac:dyDescent="0.25">
      <c r="A194" t="s">
        <v>8609</v>
      </c>
      <c r="B194" t="s">
        <v>8776</v>
      </c>
      <c r="C194" t="s">
        <v>1</v>
      </c>
      <c r="D194" t="s">
        <v>0</v>
      </c>
      <c r="E194">
        <v>1476527</v>
      </c>
      <c r="F194" t="s">
        <v>1576</v>
      </c>
      <c r="G194" t="s">
        <v>1577</v>
      </c>
      <c r="H194" s="3">
        <v>0</v>
      </c>
      <c r="I194" s="3">
        <v>0</v>
      </c>
      <c r="J194" s="3">
        <v>0</v>
      </c>
      <c r="K194" s="3">
        <v>2334</v>
      </c>
      <c r="L194" s="3">
        <v>0</v>
      </c>
      <c r="M194" s="3">
        <v>0</v>
      </c>
      <c r="N194" s="3">
        <v>0</v>
      </c>
      <c r="O194" s="3">
        <v>303.42</v>
      </c>
      <c r="P194" s="3">
        <v>2637.42</v>
      </c>
      <c r="Q194" t="s">
        <v>8046</v>
      </c>
      <c r="R194" t="s">
        <v>8200</v>
      </c>
      <c r="S194" s="3" t="s">
        <v>8345</v>
      </c>
      <c r="T194" s="3">
        <v>23.34</v>
      </c>
      <c r="U194" s="3"/>
    </row>
    <row r="195" spans="1:21" hidden="1" x14ac:dyDescent="0.25">
      <c r="A195" t="s">
        <v>8609</v>
      </c>
      <c r="B195" t="s">
        <v>8814</v>
      </c>
      <c r="C195" t="s">
        <v>1</v>
      </c>
      <c r="D195" t="s">
        <v>0</v>
      </c>
      <c r="E195">
        <v>954</v>
      </c>
      <c r="F195" t="s">
        <v>131</v>
      </c>
      <c r="G195" t="s">
        <v>132</v>
      </c>
      <c r="H195" s="3">
        <v>0</v>
      </c>
      <c r="I195" s="3">
        <v>0</v>
      </c>
      <c r="J195" s="3">
        <v>0</v>
      </c>
      <c r="K195" s="3">
        <v>671.94</v>
      </c>
      <c r="L195" s="3">
        <v>0</v>
      </c>
      <c r="M195" s="3">
        <v>0</v>
      </c>
      <c r="N195" s="3">
        <v>0</v>
      </c>
      <c r="O195" s="3">
        <v>87.352200000000011</v>
      </c>
      <c r="P195" s="3">
        <v>759.29220000000009</v>
      </c>
      <c r="Q195" t="s">
        <v>8046</v>
      </c>
      <c r="R195" t="s">
        <v>8200</v>
      </c>
      <c r="S195" s="3" t="s">
        <v>8046</v>
      </c>
      <c r="T195" s="3">
        <v>0</v>
      </c>
      <c r="U195" s="3"/>
    </row>
    <row r="196" spans="1:21" hidden="1" x14ac:dyDescent="0.25">
      <c r="A196" t="s">
        <v>8609</v>
      </c>
      <c r="B196" t="s">
        <v>8814</v>
      </c>
      <c r="C196" t="s">
        <v>1</v>
      </c>
      <c r="D196" t="s">
        <v>0</v>
      </c>
      <c r="E196">
        <v>780</v>
      </c>
      <c r="F196" t="s">
        <v>95</v>
      </c>
      <c r="G196" t="s">
        <v>96</v>
      </c>
      <c r="H196" s="3">
        <v>0</v>
      </c>
      <c r="I196" s="3">
        <v>0</v>
      </c>
      <c r="J196" s="3">
        <v>0</v>
      </c>
      <c r="K196" s="3">
        <v>71.56</v>
      </c>
      <c r="L196" s="3">
        <v>0</v>
      </c>
      <c r="M196" s="3">
        <v>0</v>
      </c>
      <c r="N196" s="3">
        <v>0</v>
      </c>
      <c r="O196" s="3">
        <v>9.3028000000000013</v>
      </c>
      <c r="P196" s="3">
        <v>80.862800000000007</v>
      </c>
      <c r="Q196" t="s">
        <v>8046</v>
      </c>
      <c r="R196" t="s">
        <v>8200</v>
      </c>
      <c r="S196" s="3" t="s">
        <v>8046</v>
      </c>
      <c r="T196" s="3">
        <v>0</v>
      </c>
      <c r="U196" s="3"/>
    </row>
    <row r="197" spans="1:21" hidden="1" x14ac:dyDescent="0.25">
      <c r="A197" t="s">
        <v>8609</v>
      </c>
      <c r="B197" t="s">
        <v>8777</v>
      </c>
      <c r="C197" t="s">
        <v>1</v>
      </c>
      <c r="D197" t="s">
        <v>0</v>
      </c>
      <c r="E197">
        <v>6574</v>
      </c>
      <c r="F197" t="s">
        <v>8812</v>
      </c>
      <c r="G197" t="s">
        <v>8813</v>
      </c>
      <c r="H197" s="3">
        <v>1.95</v>
      </c>
      <c r="I197" s="3">
        <v>0</v>
      </c>
      <c r="J197" s="3">
        <v>0</v>
      </c>
      <c r="K197" s="3">
        <v>33.67</v>
      </c>
      <c r="L197" s="3">
        <v>0</v>
      </c>
      <c r="M197" s="3">
        <v>0</v>
      </c>
      <c r="N197" s="3">
        <v>0</v>
      </c>
      <c r="O197" s="3">
        <v>4.3771000000000004</v>
      </c>
      <c r="P197" s="3">
        <v>39.997100000000003</v>
      </c>
      <c r="Q197" t="s">
        <v>8046</v>
      </c>
      <c r="R197" t="s">
        <v>8200</v>
      </c>
      <c r="S197" s="3" t="s">
        <v>8046</v>
      </c>
      <c r="T197" s="3">
        <v>0</v>
      </c>
      <c r="U197" s="3"/>
    </row>
    <row r="198" spans="1:21" hidden="1" x14ac:dyDescent="0.25">
      <c r="A198" t="s">
        <v>8609</v>
      </c>
      <c r="B198" t="s">
        <v>8777</v>
      </c>
      <c r="C198" t="s">
        <v>1</v>
      </c>
      <c r="D198" t="s">
        <v>0</v>
      </c>
      <c r="E198">
        <v>1475615</v>
      </c>
      <c r="F198" t="s">
        <v>1576</v>
      </c>
      <c r="G198" t="s">
        <v>1577</v>
      </c>
      <c r="H198" s="3">
        <v>0</v>
      </c>
      <c r="I198" s="3">
        <v>0</v>
      </c>
      <c r="J198" s="3">
        <v>0</v>
      </c>
      <c r="K198" s="3">
        <v>975</v>
      </c>
      <c r="L198" s="3">
        <v>0</v>
      </c>
      <c r="M198" s="3">
        <v>0</v>
      </c>
      <c r="N198" s="3">
        <v>0</v>
      </c>
      <c r="O198" s="3">
        <v>126.75</v>
      </c>
      <c r="P198" s="3">
        <v>1101.75</v>
      </c>
      <c r="Q198" t="s">
        <v>8046</v>
      </c>
      <c r="R198" t="s">
        <v>8200</v>
      </c>
      <c r="S198" s="3" t="s">
        <v>8345</v>
      </c>
      <c r="T198" s="3">
        <v>9.75</v>
      </c>
      <c r="U198" s="3"/>
    </row>
    <row r="199" spans="1:21" hidden="1" x14ac:dyDescent="0.25">
      <c r="A199" t="s">
        <v>8609</v>
      </c>
      <c r="B199" t="s">
        <v>8777</v>
      </c>
      <c r="C199" t="s">
        <v>1</v>
      </c>
      <c r="D199" t="s">
        <v>0</v>
      </c>
      <c r="E199">
        <v>1475606</v>
      </c>
      <c r="F199" t="s">
        <v>1576</v>
      </c>
      <c r="G199" t="s">
        <v>1577</v>
      </c>
      <c r="H199" s="3">
        <v>0</v>
      </c>
      <c r="I199" s="3">
        <v>0</v>
      </c>
      <c r="J199" s="3">
        <v>0</v>
      </c>
      <c r="K199" s="3">
        <v>96.26</v>
      </c>
      <c r="L199" s="3">
        <v>0</v>
      </c>
      <c r="M199" s="3">
        <v>0</v>
      </c>
      <c r="N199" s="3">
        <v>0</v>
      </c>
      <c r="O199" s="3">
        <v>12.513800000000002</v>
      </c>
      <c r="P199" s="3">
        <v>108.77380000000001</v>
      </c>
      <c r="Q199" t="s">
        <v>8046</v>
      </c>
      <c r="R199" t="s">
        <v>8200</v>
      </c>
      <c r="S199" s="3" t="s">
        <v>8046</v>
      </c>
      <c r="T199" s="3">
        <v>0</v>
      </c>
      <c r="U199" s="3"/>
    </row>
    <row r="200" spans="1:21" hidden="1" x14ac:dyDescent="0.25">
      <c r="A200" t="s">
        <v>8609</v>
      </c>
      <c r="B200" t="s">
        <v>8777</v>
      </c>
      <c r="C200" t="s">
        <v>1</v>
      </c>
      <c r="D200" t="s">
        <v>0</v>
      </c>
      <c r="E200">
        <v>1475672</v>
      </c>
      <c r="F200" t="s">
        <v>1576</v>
      </c>
      <c r="G200" t="s">
        <v>1577</v>
      </c>
      <c r="H200" s="3">
        <v>0</v>
      </c>
      <c r="I200" s="3">
        <v>0</v>
      </c>
      <c r="J200" s="3">
        <v>0</v>
      </c>
      <c r="K200" s="3">
        <v>1045.25</v>
      </c>
      <c r="L200" s="3">
        <v>0</v>
      </c>
      <c r="M200" s="3">
        <v>0</v>
      </c>
      <c r="N200" s="3">
        <v>0</v>
      </c>
      <c r="O200" s="3">
        <v>135.88249999999999</v>
      </c>
      <c r="P200" s="3">
        <v>1181.1324999999999</v>
      </c>
      <c r="Q200" t="s">
        <v>8046</v>
      </c>
      <c r="R200" t="s">
        <v>8200</v>
      </c>
      <c r="S200" s="3" t="s">
        <v>8345</v>
      </c>
      <c r="T200" s="3">
        <v>10.45</v>
      </c>
      <c r="U200" s="3"/>
    </row>
    <row r="201" spans="1:21" hidden="1" x14ac:dyDescent="0.25">
      <c r="A201" t="s">
        <v>8609</v>
      </c>
      <c r="B201" t="s">
        <v>8777</v>
      </c>
      <c r="C201" t="s">
        <v>1</v>
      </c>
      <c r="D201" t="s">
        <v>0</v>
      </c>
      <c r="E201">
        <v>1475613</v>
      </c>
      <c r="F201" t="s">
        <v>1576</v>
      </c>
      <c r="G201" t="s">
        <v>1577</v>
      </c>
      <c r="H201" s="3">
        <v>0</v>
      </c>
      <c r="I201" s="3">
        <v>0</v>
      </c>
      <c r="J201" s="3">
        <v>0</v>
      </c>
      <c r="K201" s="3">
        <v>434.25</v>
      </c>
      <c r="L201" s="3">
        <v>0</v>
      </c>
      <c r="M201" s="3">
        <v>0</v>
      </c>
      <c r="N201" s="3">
        <v>0</v>
      </c>
      <c r="O201" s="3">
        <v>56.452500000000001</v>
      </c>
      <c r="P201" s="3">
        <v>490.70249999999999</v>
      </c>
      <c r="Q201" t="s">
        <v>8046</v>
      </c>
      <c r="R201" t="s">
        <v>8200</v>
      </c>
      <c r="S201" s="3" t="s">
        <v>8345</v>
      </c>
      <c r="T201" s="3">
        <v>4.34</v>
      </c>
      <c r="U201" s="3"/>
    </row>
    <row r="202" spans="1:21" hidden="1" x14ac:dyDescent="0.25">
      <c r="A202" t="s">
        <v>8609</v>
      </c>
      <c r="B202" t="s">
        <v>8777</v>
      </c>
      <c r="C202" t="s">
        <v>1</v>
      </c>
      <c r="D202" t="s">
        <v>0</v>
      </c>
      <c r="E202">
        <v>485995</v>
      </c>
      <c r="F202" t="s">
        <v>1546</v>
      </c>
      <c r="G202" t="s">
        <v>1547</v>
      </c>
      <c r="H202" s="3">
        <v>2.2599999999999998</v>
      </c>
      <c r="I202" s="3">
        <v>0</v>
      </c>
      <c r="J202" s="3">
        <v>0</v>
      </c>
      <c r="K202" s="3">
        <v>43.14</v>
      </c>
      <c r="L202" s="3">
        <v>0</v>
      </c>
      <c r="M202" s="3">
        <v>0</v>
      </c>
      <c r="N202" s="3">
        <v>0</v>
      </c>
      <c r="O202" s="3">
        <v>5.6082000000000001</v>
      </c>
      <c r="P202" s="3">
        <v>51.008200000000002</v>
      </c>
      <c r="Q202" t="s">
        <v>8046</v>
      </c>
      <c r="R202" t="s">
        <v>8200</v>
      </c>
      <c r="S202" s="3" t="s">
        <v>8046</v>
      </c>
      <c r="T202" s="3">
        <v>0</v>
      </c>
      <c r="U202" s="3"/>
    </row>
    <row r="203" spans="1:21" hidden="1" x14ac:dyDescent="0.25">
      <c r="A203" t="s">
        <v>8609</v>
      </c>
      <c r="B203" t="s">
        <v>8777</v>
      </c>
      <c r="C203" t="s">
        <v>1</v>
      </c>
      <c r="D203" t="s">
        <v>0</v>
      </c>
      <c r="E203">
        <v>432</v>
      </c>
      <c r="F203" t="s">
        <v>8598</v>
      </c>
      <c r="G203" t="s">
        <v>8599</v>
      </c>
      <c r="H203" s="3">
        <v>0</v>
      </c>
      <c r="I203" s="3">
        <v>0</v>
      </c>
      <c r="J203" s="3">
        <v>0</v>
      </c>
      <c r="K203" s="3">
        <v>58.75</v>
      </c>
      <c r="L203" s="3">
        <v>0</v>
      </c>
      <c r="M203" s="3">
        <v>0</v>
      </c>
      <c r="N203" s="3">
        <v>0</v>
      </c>
      <c r="O203" s="3">
        <v>7.6375000000000002</v>
      </c>
      <c r="P203" s="3">
        <v>66.387500000000003</v>
      </c>
      <c r="Q203" t="s">
        <v>8046</v>
      </c>
      <c r="R203" t="s">
        <v>8200</v>
      </c>
      <c r="S203" s="3" t="s">
        <v>8046</v>
      </c>
      <c r="T203" s="3">
        <v>0</v>
      </c>
      <c r="U203" s="3"/>
    </row>
    <row r="204" spans="1:21" hidden="1" x14ac:dyDescent="0.25">
      <c r="A204" t="s">
        <v>8609</v>
      </c>
      <c r="B204" t="s">
        <v>8778</v>
      </c>
      <c r="C204" t="s">
        <v>1</v>
      </c>
      <c r="D204" t="s">
        <v>0</v>
      </c>
      <c r="E204">
        <v>561340</v>
      </c>
      <c r="F204" t="s">
        <v>1546</v>
      </c>
      <c r="G204" t="s">
        <v>1547</v>
      </c>
      <c r="H204" s="3">
        <v>0.7</v>
      </c>
      <c r="I204" s="3">
        <v>0</v>
      </c>
      <c r="J204" s="3">
        <v>0</v>
      </c>
      <c r="K204" s="3">
        <v>12.66</v>
      </c>
      <c r="L204" s="3">
        <v>0</v>
      </c>
      <c r="M204" s="3">
        <v>0</v>
      </c>
      <c r="N204" s="3">
        <v>0</v>
      </c>
      <c r="O204" s="3">
        <v>1.6458000000000002</v>
      </c>
      <c r="P204" s="3">
        <v>15.005799999999999</v>
      </c>
      <c r="Q204" t="s">
        <v>8046</v>
      </c>
      <c r="R204" t="s">
        <v>8200</v>
      </c>
      <c r="S204" s="3" t="s">
        <v>8046</v>
      </c>
      <c r="T204" s="3">
        <v>0</v>
      </c>
      <c r="U204" s="3"/>
    </row>
    <row r="205" spans="1:21" hidden="1" x14ac:dyDescent="0.25">
      <c r="A205" t="s">
        <v>8609</v>
      </c>
      <c r="B205" t="s">
        <v>8778</v>
      </c>
      <c r="C205" t="s">
        <v>1</v>
      </c>
      <c r="D205" t="s">
        <v>0</v>
      </c>
      <c r="E205">
        <v>13650</v>
      </c>
      <c r="F205" t="s">
        <v>1670</v>
      </c>
      <c r="G205" t="s">
        <v>1671</v>
      </c>
      <c r="H205" s="3">
        <v>1.62</v>
      </c>
      <c r="I205" s="3">
        <v>0</v>
      </c>
      <c r="J205" s="3">
        <v>0</v>
      </c>
      <c r="K205" s="3">
        <v>29.54</v>
      </c>
      <c r="L205" s="3">
        <v>0</v>
      </c>
      <c r="M205" s="3">
        <v>0</v>
      </c>
      <c r="N205" s="3">
        <v>0</v>
      </c>
      <c r="O205" s="3">
        <v>3.8401999999999998</v>
      </c>
      <c r="P205" s="3">
        <v>35.0002</v>
      </c>
      <c r="Q205" t="s">
        <v>8046</v>
      </c>
      <c r="R205" t="s">
        <v>8200</v>
      </c>
      <c r="S205" s="3" t="s">
        <v>8046</v>
      </c>
      <c r="T205" s="3">
        <v>0</v>
      </c>
      <c r="U205" s="3"/>
    </row>
    <row r="206" spans="1:21" hidden="1" x14ac:dyDescent="0.25">
      <c r="A206" t="s">
        <v>8609</v>
      </c>
      <c r="B206" t="s">
        <v>8778</v>
      </c>
      <c r="C206" t="s">
        <v>1</v>
      </c>
      <c r="D206" t="s">
        <v>0</v>
      </c>
      <c r="E206">
        <v>1475570</v>
      </c>
      <c r="F206" t="s">
        <v>1576</v>
      </c>
      <c r="G206" t="s">
        <v>1577</v>
      </c>
      <c r="H206" s="3">
        <v>0</v>
      </c>
      <c r="I206" s="3">
        <v>0</v>
      </c>
      <c r="J206" s="3">
        <v>0</v>
      </c>
      <c r="K206" s="3">
        <v>93.51</v>
      </c>
      <c r="L206" s="3">
        <v>0</v>
      </c>
      <c r="M206" s="3">
        <v>0</v>
      </c>
      <c r="N206" s="3">
        <v>0</v>
      </c>
      <c r="O206" s="3">
        <v>12.156300000000002</v>
      </c>
      <c r="P206" s="3">
        <v>105.66630000000001</v>
      </c>
      <c r="Q206" t="s">
        <v>8046</v>
      </c>
      <c r="R206" t="s">
        <v>8200</v>
      </c>
      <c r="S206" s="3">
        <v>0</v>
      </c>
      <c r="T206" s="3">
        <v>0</v>
      </c>
      <c r="U206" s="3"/>
    </row>
    <row r="207" spans="1:21" hidden="1" x14ac:dyDescent="0.25">
      <c r="A207" t="s">
        <v>8609</v>
      </c>
      <c r="B207" t="s">
        <v>8778</v>
      </c>
      <c r="C207" t="s">
        <v>1</v>
      </c>
      <c r="D207" t="s">
        <v>0</v>
      </c>
      <c r="E207">
        <v>1475582</v>
      </c>
      <c r="F207" t="s">
        <v>1576</v>
      </c>
      <c r="G207" t="s">
        <v>1577</v>
      </c>
      <c r="H207" s="3">
        <v>0</v>
      </c>
      <c r="I207" s="3">
        <v>0</v>
      </c>
      <c r="J207" s="3">
        <v>0</v>
      </c>
      <c r="K207" s="3">
        <v>846.03</v>
      </c>
      <c r="L207" s="3">
        <v>0</v>
      </c>
      <c r="M207" s="3">
        <v>0</v>
      </c>
      <c r="N207" s="3">
        <v>0</v>
      </c>
      <c r="O207" s="3">
        <v>109.98390000000001</v>
      </c>
      <c r="P207" s="3">
        <v>956.01389999999992</v>
      </c>
      <c r="Q207" t="s">
        <v>8046</v>
      </c>
      <c r="R207" t="s">
        <v>8200</v>
      </c>
      <c r="S207" s="3" t="s">
        <v>8345</v>
      </c>
      <c r="T207" s="3">
        <v>8.4600000000000009</v>
      </c>
      <c r="U207" s="3"/>
    </row>
    <row r="208" spans="1:21" hidden="1" x14ac:dyDescent="0.25">
      <c r="A208" t="s">
        <v>8609</v>
      </c>
      <c r="B208" t="s">
        <v>8778</v>
      </c>
      <c r="C208" t="s">
        <v>1</v>
      </c>
      <c r="D208" t="s">
        <v>0</v>
      </c>
      <c r="E208">
        <v>1475216</v>
      </c>
      <c r="F208" t="s">
        <v>1576</v>
      </c>
      <c r="G208" t="s">
        <v>1577</v>
      </c>
      <c r="H208" s="3">
        <v>0</v>
      </c>
      <c r="I208" s="3">
        <v>0</v>
      </c>
      <c r="J208" s="3">
        <v>0</v>
      </c>
      <c r="K208" s="3">
        <v>1167</v>
      </c>
      <c r="L208" s="3">
        <v>0</v>
      </c>
      <c r="M208" s="3">
        <v>0</v>
      </c>
      <c r="N208" s="3">
        <v>0</v>
      </c>
      <c r="O208" s="3">
        <v>151.71</v>
      </c>
      <c r="P208" s="3">
        <v>1318.71</v>
      </c>
      <c r="Q208" t="s">
        <v>8046</v>
      </c>
      <c r="R208" t="s">
        <v>8200</v>
      </c>
      <c r="S208" s="3" t="s">
        <v>8345</v>
      </c>
      <c r="T208" s="3">
        <v>11.67</v>
      </c>
      <c r="U208" s="3"/>
    </row>
    <row r="209" spans="1:21" hidden="1" x14ac:dyDescent="0.25">
      <c r="A209" t="s">
        <v>8609</v>
      </c>
      <c r="B209" t="s">
        <v>8778</v>
      </c>
      <c r="C209" t="s">
        <v>1</v>
      </c>
      <c r="D209" t="s">
        <v>0</v>
      </c>
      <c r="E209">
        <v>1475568</v>
      </c>
      <c r="F209" t="s">
        <v>1576</v>
      </c>
      <c r="G209" t="s">
        <v>1577</v>
      </c>
      <c r="H209" s="3">
        <v>0</v>
      </c>
      <c r="I209" s="3">
        <v>0</v>
      </c>
      <c r="J209" s="3">
        <v>0</v>
      </c>
      <c r="K209" s="3">
        <v>1579.61</v>
      </c>
      <c r="L209" s="3">
        <v>0</v>
      </c>
      <c r="M209" s="3">
        <v>0</v>
      </c>
      <c r="N209" s="3">
        <v>0</v>
      </c>
      <c r="O209" s="3">
        <v>205.3493</v>
      </c>
      <c r="P209" s="3">
        <v>1784.9593</v>
      </c>
      <c r="Q209" t="s">
        <v>8046</v>
      </c>
      <c r="R209" t="s">
        <v>8200</v>
      </c>
      <c r="S209" s="3" t="s">
        <v>8345</v>
      </c>
      <c r="T209" s="3">
        <v>15.8</v>
      </c>
      <c r="U209" s="3"/>
    </row>
    <row r="210" spans="1:21" hidden="1" x14ac:dyDescent="0.25">
      <c r="A210" t="s">
        <v>8609</v>
      </c>
      <c r="B210" t="s">
        <v>8778</v>
      </c>
      <c r="C210" t="s">
        <v>1</v>
      </c>
      <c r="D210" t="s">
        <v>0</v>
      </c>
      <c r="E210">
        <v>1475566</v>
      </c>
      <c r="F210" t="s">
        <v>1576</v>
      </c>
      <c r="G210" t="s">
        <v>1577</v>
      </c>
      <c r="H210" s="3">
        <v>0</v>
      </c>
      <c r="I210" s="3">
        <v>0</v>
      </c>
      <c r="J210" s="3">
        <v>0</v>
      </c>
      <c r="K210" s="3">
        <v>67.23</v>
      </c>
      <c r="L210" s="3">
        <v>0</v>
      </c>
      <c r="M210" s="3">
        <v>0</v>
      </c>
      <c r="N210" s="3">
        <v>0</v>
      </c>
      <c r="O210" s="3">
        <v>8.7399000000000004</v>
      </c>
      <c r="P210" s="3">
        <v>75.96990000000001</v>
      </c>
      <c r="Q210" t="s">
        <v>8046</v>
      </c>
      <c r="R210" t="s">
        <v>8200</v>
      </c>
      <c r="S210" s="3" t="s">
        <v>8046</v>
      </c>
      <c r="T210" s="3">
        <v>0</v>
      </c>
      <c r="U210" s="3"/>
    </row>
    <row r="211" spans="1:21" hidden="1" x14ac:dyDescent="0.25">
      <c r="A211" t="s">
        <v>8609</v>
      </c>
      <c r="B211" t="s">
        <v>8770</v>
      </c>
      <c r="C211" t="s">
        <v>1</v>
      </c>
      <c r="D211" s="33" t="s">
        <v>8333</v>
      </c>
      <c r="E211">
        <v>5739</v>
      </c>
      <c r="F211" t="s">
        <v>3019</v>
      </c>
      <c r="G211" t="s">
        <v>3020</v>
      </c>
      <c r="H211" s="3">
        <v>0</v>
      </c>
      <c r="I211" s="3">
        <v>0</v>
      </c>
      <c r="J211" s="3">
        <v>0</v>
      </c>
      <c r="K211" s="3">
        <v>249.99</v>
      </c>
      <c r="L211" s="3">
        <v>0</v>
      </c>
      <c r="M211" s="3">
        <v>0</v>
      </c>
      <c r="N211" s="3">
        <v>0</v>
      </c>
      <c r="O211" s="3">
        <v>32.498699999999999</v>
      </c>
      <c r="P211" s="3">
        <v>282.48869999999999</v>
      </c>
      <c r="Q211" t="s">
        <v>8046</v>
      </c>
      <c r="R211" t="s">
        <v>8200</v>
      </c>
      <c r="S211" s="3" t="s">
        <v>8046</v>
      </c>
      <c r="T211" s="3">
        <v>0</v>
      </c>
      <c r="U211" s="3"/>
    </row>
    <row r="212" spans="1:21" hidden="1" x14ac:dyDescent="0.25">
      <c r="A212" t="s">
        <v>8609</v>
      </c>
      <c r="B212" t="s">
        <v>8770</v>
      </c>
      <c r="C212" t="s">
        <v>1</v>
      </c>
      <c r="D212" t="s">
        <v>0</v>
      </c>
      <c r="E212">
        <v>31424</v>
      </c>
      <c r="F212" t="s">
        <v>3019</v>
      </c>
      <c r="G212" t="s">
        <v>3020</v>
      </c>
      <c r="H212" s="3">
        <v>0</v>
      </c>
      <c r="I212" s="3">
        <v>0</v>
      </c>
      <c r="J212" s="3">
        <v>0</v>
      </c>
      <c r="K212" s="3">
        <v>247.79</v>
      </c>
      <c r="L212" s="3">
        <v>0</v>
      </c>
      <c r="M212" s="3">
        <v>0</v>
      </c>
      <c r="N212" s="3">
        <v>0</v>
      </c>
      <c r="O212" s="3">
        <v>32.212699999999998</v>
      </c>
      <c r="P212" s="3">
        <v>280.0027</v>
      </c>
      <c r="Q212" t="s">
        <v>8046</v>
      </c>
      <c r="R212" t="s">
        <v>8200</v>
      </c>
      <c r="S212" s="3" t="s">
        <v>8341</v>
      </c>
      <c r="T212" s="3">
        <v>2.48</v>
      </c>
      <c r="U212" s="3"/>
    </row>
    <row r="213" spans="1:21" hidden="1" x14ac:dyDescent="0.25">
      <c r="A213" t="s">
        <v>8609</v>
      </c>
      <c r="B213" t="s">
        <v>8770</v>
      </c>
      <c r="C213" t="s">
        <v>1</v>
      </c>
      <c r="D213" s="33" t="s">
        <v>8333</v>
      </c>
      <c r="E213">
        <v>5741</v>
      </c>
      <c r="F213" t="s">
        <v>3019</v>
      </c>
      <c r="G213" t="s">
        <v>3020</v>
      </c>
      <c r="H213" s="3">
        <v>0</v>
      </c>
      <c r="I213" s="3">
        <v>0</v>
      </c>
      <c r="J213" s="3">
        <v>0</v>
      </c>
      <c r="K213" s="3">
        <v>77.73</v>
      </c>
      <c r="L213" s="3">
        <v>0</v>
      </c>
      <c r="M213" s="3">
        <v>0</v>
      </c>
      <c r="N213" s="3">
        <v>0</v>
      </c>
      <c r="O213" s="3">
        <v>10.104900000000001</v>
      </c>
      <c r="P213" s="3">
        <v>87.834900000000005</v>
      </c>
      <c r="Q213" t="s">
        <v>8046</v>
      </c>
      <c r="R213" t="s">
        <v>8200</v>
      </c>
      <c r="S213" s="3" t="s">
        <v>8046</v>
      </c>
      <c r="T213" s="3">
        <v>0</v>
      </c>
      <c r="U213" s="3"/>
    </row>
    <row r="214" spans="1:21" hidden="1" x14ac:dyDescent="0.25">
      <c r="A214" t="s">
        <v>8609</v>
      </c>
      <c r="B214" t="s">
        <v>8770</v>
      </c>
      <c r="C214" t="s">
        <v>1</v>
      </c>
      <c r="D214" t="s">
        <v>0</v>
      </c>
      <c r="E214">
        <v>31426</v>
      </c>
      <c r="F214" t="s">
        <v>3019</v>
      </c>
      <c r="G214" t="s">
        <v>3020</v>
      </c>
      <c r="H214" s="3">
        <v>0</v>
      </c>
      <c r="I214" s="3">
        <v>0</v>
      </c>
      <c r="J214" s="3">
        <v>0</v>
      </c>
      <c r="K214" s="3">
        <v>77.73</v>
      </c>
      <c r="L214" s="3">
        <v>0</v>
      </c>
      <c r="M214" s="3">
        <v>0</v>
      </c>
      <c r="N214" s="3">
        <v>0</v>
      </c>
      <c r="O214" s="3">
        <v>10.104900000000001</v>
      </c>
      <c r="P214" s="3">
        <v>87.834900000000005</v>
      </c>
      <c r="Q214" t="s">
        <v>8046</v>
      </c>
      <c r="R214" t="s">
        <v>8200</v>
      </c>
      <c r="S214" s="3" t="s">
        <v>8046</v>
      </c>
      <c r="T214" s="3">
        <v>0</v>
      </c>
      <c r="U214" s="3"/>
    </row>
    <row r="215" spans="1:21" hidden="1" x14ac:dyDescent="0.25">
      <c r="A215" t="s">
        <v>8609</v>
      </c>
      <c r="B215" t="s">
        <v>8770</v>
      </c>
      <c r="C215" t="s">
        <v>1</v>
      </c>
      <c r="D215" s="33" t="s">
        <v>8333</v>
      </c>
      <c r="E215">
        <v>5740</v>
      </c>
      <c r="F215" t="s">
        <v>3019</v>
      </c>
      <c r="G215" t="s">
        <v>3020</v>
      </c>
      <c r="H215" s="3">
        <v>0</v>
      </c>
      <c r="I215" s="3">
        <v>0</v>
      </c>
      <c r="J215" s="3">
        <v>0</v>
      </c>
      <c r="K215" s="3">
        <v>5.07</v>
      </c>
      <c r="L215" s="3">
        <v>0</v>
      </c>
      <c r="M215" s="3">
        <v>0</v>
      </c>
      <c r="N215" s="3">
        <v>0</v>
      </c>
      <c r="O215" s="3">
        <v>0.65910000000000002</v>
      </c>
      <c r="P215" s="3">
        <v>5.7291000000000007</v>
      </c>
      <c r="Q215" t="s">
        <v>8046</v>
      </c>
      <c r="R215" t="s">
        <v>8200</v>
      </c>
      <c r="S215" s="3" t="s">
        <v>8046</v>
      </c>
      <c r="T215" s="3">
        <v>0</v>
      </c>
      <c r="U215" s="3"/>
    </row>
    <row r="216" spans="1:21" hidden="1" x14ac:dyDescent="0.25">
      <c r="A216" t="s">
        <v>8609</v>
      </c>
      <c r="B216" t="s">
        <v>8770</v>
      </c>
      <c r="C216" t="s">
        <v>1</v>
      </c>
      <c r="D216" t="s">
        <v>0</v>
      </c>
      <c r="E216">
        <v>31425</v>
      </c>
      <c r="F216" t="s">
        <v>3019</v>
      </c>
      <c r="G216" t="s">
        <v>3020</v>
      </c>
      <c r="H216" s="3">
        <v>0</v>
      </c>
      <c r="I216" s="3">
        <v>0</v>
      </c>
      <c r="J216" s="3">
        <v>0</v>
      </c>
      <c r="K216" s="3">
        <v>5.07</v>
      </c>
      <c r="L216" s="3">
        <v>0</v>
      </c>
      <c r="M216" s="3">
        <v>0</v>
      </c>
      <c r="N216" s="3">
        <v>0</v>
      </c>
      <c r="O216" s="3">
        <v>0.65910000000000002</v>
      </c>
      <c r="P216" s="3">
        <v>5.7291000000000007</v>
      </c>
      <c r="Q216" t="s">
        <v>8046</v>
      </c>
      <c r="R216" t="s">
        <v>8200</v>
      </c>
      <c r="S216" s="3" t="s">
        <v>8046</v>
      </c>
      <c r="T216" s="3">
        <v>0</v>
      </c>
      <c r="U216" s="3"/>
    </row>
    <row r="217" spans="1:21" hidden="1" x14ac:dyDescent="0.25">
      <c r="A217" t="s">
        <v>8609</v>
      </c>
      <c r="B217" t="s">
        <v>8770</v>
      </c>
      <c r="C217" t="s">
        <v>1</v>
      </c>
      <c r="D217" t="s">
        <v>0</v>
      </c>
      <c r="E217">
        <v>3</v>
      </c>
      <c r="F217" t="s">
        <v>1200</v>
      </c>
      <c r="G217" t="s">
        <v>1201</v>
      </c>
      <c r="H217" s="3">
        <v>0</v>
      </c>
      <c r="I217" s="3">
        <v>0</v>
      </c>
      <c r="J217" s="3">
        <v>0</v>
      </c>
      <c r="K217" s="3">
        <v>2112</v>
      </c>
      <c r="L217" s="3">
        <v>0</v>
      </c>
      <c r="M217" s="3">
        <v>0</v>
      </c>
      <c r="N217" s="3">
        <v>0</v>
      </c>
      <c r="O217" s="3">
        <v>274.56</v>
      </c>
      <c r="P217" s="3">
        <v>2386.56</v>
      </c>
      <c r="Q217" t="s">
        <v>8046</v>
      </c>
      <c r="R217" t="s">
        <v>8200</v>
      </c>
      <c r="S217" s="3" t="s">
        <v>8358</v>
      </c>
      <c r="T217" s="3">
        <v>21.12</v>
      </c>
      <c r="U217" s="3"/>
    </row>
    <row r="218" spans="1:21" hidden="1" x14ac:dyDescent="0.25">
      <c r="A218" t="s">
        <v>8609</v>
      </c>
      <c r="B218" t="s">
        <v>8770</v>
      </c>
      <c r="C218" t="s">
        <v>1</v>
      </c>
      <c r="D218" t="s">
        <v>0</v>
      </c>
      <c r="E218">
        <v>985264</v>
      </c>
      <c r="F218" t="s">
        <v>2440</v>
      </c>
      <c r="G218" t="s">
        <v>2441</v>
      </c>
      <c r="H218" s="3">
        <v>0</v>
      </c>
      <c r="I218" s="3">
        <v>0</v>
      </c>
      <c r="J218" s="3">
        <v>0</v>
      </c>
      <c r="K218" s="3">
        <v>323.87</v>
      </c>
      <c r="L218" s="3">
        <v>0</v>
      </c>
      <c r="M218" s="3">
        <v>0</v>
      </c>
      <c r="N218" s="3">
        <v>0</v>
      </c>
      <c r="O218" s="3">
        <v>42.103100000000005</v>
      </c>
      <c r="P218" s="3">
        <v>365.97309999999999</v>
      </c>
      <c r="Q218" t="s">
        <v>8046</v>
      </c>
      <c r="R218" t="s">
        <v>8200</v>
      </c>
      <c r="S218" s="3" t="s">
        <v>8359</v>
      </c>
      <c r="T218" s="3">
        <v>3.24</v>
      </c>
      <c r="U218" s="3"/>
    </row>
    <row r="219" spans="1:21" hidden="1" x14ac:dyDescent="0.25">
      <c r="A219" t="s">
        <v>8609</v>
      </c>
      <c r="B219" t="s">
        <v>8779</v>
      </c>
      <c r="C219" t="s">
        <v>1</v>
      </c>
      <c r="D219" t="s">
        <v>0</v>
      </c>
      <c r="E219">
        <v>1984</v>
      </c>
      <c r="F219" t="s">
        <v>2256</v>
      </c>
      <c r="G219" t="s">
        <v>2257</v>
      </c>
      <c r="H219" s="3">
        <v>0</v>
      </c>
      <c r="I219" s="3">
        <v>0</v>
      </c>
      <c r="J219" s="3">
        <v>0</v>
      </c>
      <c r="K219" s="3">
        <v>295.29000000000002</v>
      </c>
      <c r="L219" s="3">
        <v>0</v>
      </c>
      <c r="M219" s="3">
        <v>0</v>
      </c>
      <c r="N219" s="3">
        <v>0</v>
      </c>
      <c r="O219" s="3">
        <v>38.387700000000002</v>
      </c>
      <c r="P219" s="3">
        <v>333.67770000000002</v>
      </c>
      <c r="Q219" t="s">
        <v>8046</v>
      </c>
      <c r="R219" t="s">
        <v>8200</v>
      </c>
      <c r="S219" s="3" t="s">
        <v>8750</v>
      </c>
      <c r="T219" s="3">
        <v>2.95</v>
      </c>
      <c r="U219" s="3"/>
    </row>
    <row r="220" spans="1:21" hidden="1" x14ac:dyDescent="0.25">
      <c r="A220" t="s">
        <v>8609</v>
      </c>
      <c r="B220" t="s">
        <v>8779</v>
      </c>
      <c r="C220" t="s">
        <v>1</v>
      </c>
      <c r="D220" t="s">
        <v>0</v>
      </c>
      <c r="E220">
        <v>7150</v>
      </c>
      <c r="G220" t="s">
        <v>1489</v>
      </c>
      <c r="H220" s="3">
        <v>2.37</v>
      </c>
      <c r="I220" s="3">
        <v>0</v>
      </c>
      <c r="J220" s="3">
        <v>0</v>
      </c>
      <c r="K220" s="3">
        <v>43.04</v>
      </c>
      <c r="L220" s="3">
        <v>0</v>
      </c>
      <c r="M220" s="3">
        <v>0</v>
      </c>
      <c r="N220" s="3">
        <v>0</v>
      </c>
      <c r="O220" s="3">
        <v>5.5952000000000002</v>
      </c>
      <c r="P220" s="3">
        <v>51.005199999999995</v>
      </c>
      <c r="Q220" t="s">
        <v>8673</v>
      </c>
      <c r="R220" t="s">
        <v>8200</v>
      </c>
      <c r="S220" s="3" t="s">
        <v>8046</v>
      </c>
      <c r="T220" s="3">
        <v>0</v>
      </c>
      <c r="U220" s="3"/>
    </row>
    <row r="221" spans="1:21" hidden="1" x14ac:dyDescent="0.25">
      <c r="A221" t="s">
        <v>8609</v>
      </c>
      <c r="B221" t="s">
        <v>8779</v>
      </c>
      <c r="C221" t="s">
        <v>1</v>
      </c>
      <c r="D221" t="s">
        <v>0</v>
      </c>
      <c r="E221">
        <v>31696</v>
      </c>
      <c r="F221" t="s">
        <v>2897</v>
      </c>
      <c r="G221" t="s">
        <v>2898</v>
      </c>
      <c r="H221" s="3">
        <v>1.1499999999999999</v>
      </c>
      <c r="I221" s="3">
        <v>0</v>
      </c>
      <c r="J221" s="3">
        <v>0</v>
      </c>
      <c r="K221" s="3">
        <v>21.11</v>
      </c>
      <c r="L221" s="3">
        <v>0</v>
      </c>
      <c r="M221" s="3">
        <v>0</v>
      </c>
      <c r="N221" s="3">
        <v>0</v>
      </c>
      <c r="O221" s="3">
        <v>2.7443</v>
      </c>
      <c r="P221" s="3">
        <v>25.004299999999997</v>
      </c>
      <c r="Q221" t="s">
        <v>8046</v>
      </c>
      <c r="R221" t="s">
        <v>8200</v>
      </c>
      <c r="S221" s="3" t="s">
        <v>8046</v>
      </c>
      <c r="T221" s="3">
        <v>0</v>
      </c>
      <c r="U221" s="3"/>
    </row>
    <row r="222" spans="1:21" hidden="1" x14ac:dyDescent="0.25">
      <c r="A222" t="s">
        <v>8609</v>
      </c>
      <c r="B222" t="s">
        <v>8779</v>
      </c>
      <c r="C222" t="s">
        <v>1</v>
      </c>
      <c r="D222" t="s">
        <v>0</v>
      </c>
      <c r="E222">
        <v>21416</v>
      </c>
      <c r="F222" t="s">
        <v>6478</v>
      </c>
      <c r="G222" t="s">
        <v>6479</v>
      </c>
      <c r="H222" s="3">
        <v>1.88</v>
      </c>
      <c r="I222" s="3">
        <v>0</v>
      </c>
      <c r="J222" s="3">
        <v>0</v>
      </c>
      <c r="K222" s="3">
        <v>33.729999999999997</v>
      </c>
      <c r="L222" s="3">
        <v>0</v>
      </c>
      <c r="M222" s="3">
        <v>0</v>
      </c>
      <c r="N222" s="3">
        <v>0</v>
      </c>
      <c r="O222" s="3">
        <v>4.3849</v>
      </c>
      <c r="P222" s="3">
        <v>39.994900000000001</v>
      </c>
      <c r="Q222" t="s">
        <v>8046</v>
      </c>
      <c r="R222" t="s">
        <v>8200</v>
      </c>
      <c r="S222" s="3" t="s">
        <v>8046</v>
      </c>
      <c r="T222" s="3">
        <v>0</v>
      </c>
      <c r="U222" s="3"/>
    </row>
    <row r="223" spans="1:21" hidden="1" x14ac:dyDescent="0.25">
      <c r="A223" t="s">
        <v>8609</v>
      </c>
      <c r="B223" t="s">
        <v>8769</v>
      </c>
      <c r="C223" t="s">
        <v>1</v>
      </c>
      <c r="D223" t="s">
        <v>0</v>
      </c>
      <c r="E223">
        <v>2950824</v>
      </c>
      <c r="F223" t="s">
        <v>1494</v>
      </c>
      <c r="G223" t="s">
        <v>1495</v>
      </c>
      <c r="H223" s="3">
        <v>0</v>
      </c>
      <c r="I223" s="3">
        <v>0</v>
      </c>
      <c r="J223" s="3">
        <v>0</v>
      </c>
      <c r="K223" s="3">
        <v>10.49</v>
      </c>
      <c r="L223" s="3">
        <v>0</v>
      </c>
      <c r="M223" s="3">
        <v>0</v>
      </c>
      <c r="N223" s="3">
        <v>0</v>
      </c>
      <c r="O223" s="3">
        <v>1.3637000000000001</v>
      </c>
      <c r="P223" s="3">
        <v>11.8537</v>
      </c>
      <c r="Q223" t="s">
        <v>8046</v>
      </c>
      <c r="R223" t="s">
        <v>8200</v>
      </c>
      <c r="S223" s="3" t="s">
        <v>8046</v>
      </c>
      <c r="T223" s="3">
        <v>0</v>
      </c>
      <c r="U223" s="3"/>
    </row>
    <row r="224" spans="1:21" hidden="1" x14ac:dyDescent="0.25">
      <c r="A224" t="s">
        <v>8609</v>
      </c>
      <c r="B224" t="s">
        <v>8769</v>
      </c>
      <c r="C224" t="s">
        <v>1</v>
      </c>
      <c r="D224" t="s">
        <v>0</v>
      </c>
      <c r="E224">
        <v>3083320</v>
      </c>
      <c r="F224" t="s">
        <v>1494</v>
      </c>
      <c r="G224" t="s">
        <v>1495</v>
      </c>
      <c r="H224" s="3">
        <v>0</v>
      </c>
      <c r="I224" s="3">
        <v>0</v>
      </c>
      <c r="J224" s="3">
        <v>0</v>
      </c>
      <c r="K224" s="3">
        <v>6.99</v>
      </c>
      <c r="L224" s="3">
        <v>0</v>
      </c>
      <c r="M224" s="3">
        <v>0</v>
      </c>
      <c r="N224" s="3">
        <v>0</v>
      </c>
      <c r="O224" s="3">
        <v>0.90870000000000006</v>
      </c>
      <c r="P224" s="3">
        <v>7.8986999999999998</v>
      </c>
      <c r="Q224" t="s">
        <v>8046</v>
      </c>
      <c r="R224" t="s">
        <v>8200</v>
      </c>
      <c r="S224" s="3" t="s">
        <v>8046</v>
      </c>
      <c r="T224" s="3">
        <v>0</v>
      </c>
      <c r="U224" s="3"/>
    </row>
    <row r="225" spans="1:21" hidden="1" x14ac:dyDescent="0.25">
      <c r="A225" t="s">
        <v>8609</v>
      </c>
      <c r="B225" t="s">
        <v>8769</v>
      </c>
      <c r="C225" t="s">
        <v>1</v>
      </c>
      <c r="D225" t="s">
        <v>0</v>
      </c>
      <c r="E225">
        <v>14605</v>
      </c>
      <c r="F225" t="s">
        <v>1670</v>
      </c>
      <c r="G225" t="s">
        <v>1671</v>
      </c>
      <c r="H225" s="3">
        <v>1.39</v>
      </c>
      <c r="I225" s="3">
        <v>0</v>
      </c>
      <c r="J225" s="3">
        <v>0</v>
      </c>
      <c r="K225" s="3">
        <v>25.32</v>
      </c>
      <c r="L225" s="3">
        <v>0</v>
      </c>
      <c r="M225" s="3">
        <v>0</v>
      </c>
      <c r="N225" s="3">
        <v>0</v>
      </c>
      <c r="O225" s="3">
        <v>3.2916000000000003</v>
      </c>
      <c r="P225" s="3">
        <v>30.0016</v>
      </c>
      <c r="Q225" t="s">
        <v>8046</v>
      </c>
      <c r="R225" t="s">
        <v>8200</v>
      </c>
      <c r="S225" s="3" t="s">
        <v>8046</v>
      </c>
      <c r="T225" s="3">
        <v>0</v>
      </c>
      <c r="U225" s="3"/>
    </row>
    <row r="226" spans="1:21" hidden="1" x14ac:dyDescent="0.25">
      <c r="A226" t="s">
        <v>8609</v>
      </c>
      <c r="B226" t="s">
        <v>8769</v>
      </c>
      <c r="C226" t="s">
        <v>1</v>
      </c>
      <c r="D226" t="s">
        <v>0</v>
      </c>
      <c r="E226">
        <v>1473612</v>
      </c>
      <c r="F226" t="s">
        <v>1576</v>
      </c>
      <c r="G226" t="s">
        <v>1577</v>
      </c>
      <c r="H226" s="3">
        <v>0</v>
      </c>
      <c r="I226" s="3">
        <v>0</v>
      </c>
      <c r="J226" s="3">
        <v>0</v>
      </c>
      <c r="K226" s="3">
        <v>266.76</v>
      </c>
      <c r="L226" s="3">
        <v>0</v>
      </c>
      <c r="M226" s="3">
        <v>0</v>
      </c>
      <c r="N226" s="3">
        <v>0</v>
      </c>
      <c r="O226" s="3">
        <v>34.678800000000003</v>
      </c>
      <c r="P226" s="3">
        <v>301.43880000000001</v>
      </c>
      <c r="Q226" t="s">
        <v>8046</v>
      </c>
      <c r="R226" t="s">
        <v>8200</v>
      </c>
      <c r="S226" s="3" t="s">
        <v>8345</v>
      </c>
      <c r="T226" s="3">
        <v>2.67</v>
      </c>
      <c r="U226" s="3"/>
    </row>
    <row r="227" spans="1:21" hidden="1" x14ac:dyDescent="0.25">
      <c r="A227" t="s">
        <v>8609</v>
      </c>
      <c r="B227" t="s">
        <v>8768</v>
      </c>
      <c r="C227" t="s">
        <v>1</v>
      </c>
      <c r="D227" t="s">
        <v>0</v>
      </c>
      <c r="E227">
        <v>1473613</v>
      </c>
      <c r="F227" t="s">
        <v>1576</v>
      </c>
      <c r="G227" t="s">
        <v>1577</v>
      </c>
      <c r="H227" s="3">
        <v>0</v>
      </c>
      <c r="I227" s="3">
        <v>0</v>
      </c>
      <c r="J227" s="3">
        <v>0</v>
      </c>
      <c r="K227" s="3">
        <v>342.5</v>
      </c>
      <c r="L227" s="3">
        <v>0</v>
      </c>
      <c r="M227" s="3">
        <v>0</v>
      </c>
      <c r="N227" s="3">
        <v>0</v>
      </c>
      <c r="O227" s="3">
        <v>44.524999999999999</v>
      </c>
      <c r="P227" s="3">
        <v>387.02499999999998</v>
      </c>
      <c r="Q227" t="s">
        <v>8046</v>
      </c>
      <c r="R227" t="s">
        <v>8200</v>
      </c>
      <c r="S227" s="3" t="s">
        <v>8345</v>
      </c>
      <c r="T227" s="3">
        <v>3.43</v>
      </c>
      <c r="U227" s="3"/>
    </row>
    <row r="228" spans="1:21" hidden="1" x14ac:dyDescent="0.25">
      <c r="A228" t="s">
        <v>8609</v>
      </c>
      <c r="B228" t="s">
        <v>8768</v>
      </c>
      <c r="C228" t="s">
        <v>1</v>
      </c>
      <c r="D228" t="s">
        <v>0</v>
      </c>
      <c r="E228">
        <v>55</v>
      </c>
      <c r="F228" t="s">
        <v>7195</v>
      </c>
      <c r="G228" t="s">
        <v>7196</v>
      </c>
      <c r="H228" s="3">
        <v>0</v>
      </c>
      <c r="I228" s="3">
        <v>0</v>
      </c>
      <c r="J228" s="3">
        <v>0</v>
      </c>
      <c r="K228" s="3">
        <v>97.8</v>
      </c>
      <c r="L228" s="3">
        <v>0</v>
      </c>
      <c r="M228" s="3">
        <v>0</v>
      </c>
      <c r="N228" s="3">
        <v>0</v>
      </c>
      <c r="O228" s="3">
        <v>12.714</v>
      </c>
      <c r="P228" s="3">
        <v>110.514</v>
      </c>
      <c r="Q228" t="s">
        <v>8046</v>
      </c>
      <c r="R228" t="s">
        <v>8200</v>
      </c>
      <c r="S228" s="3" t="s">
        <v>8046</v>
      </c>
      <c r="T228" s="3">
        <v>0</v>
      </c>
      <c r="U228" s="3"/>
    </row>
    <row r="229" spans="1:21" hidden="1" x14ac:dyDescent="0.25">
      <c r="A229" t="s">
        <v>8609</v>
      </c>
      <c r="B229" t="s">
        <v>8768</v>
      </c>
      <c r="C229" t="s">
        <v>1</v>
      </c>
      <c r="D229" t="s">
        <v>0</v>
      </c>
      <c r="E229">
        <v>18529</v>
      </c>
      <c r="F229" t="s">
        <v>8383</v>
      </c>
      <c r="G229" t="s">
        <v>8384</v>
      </c>
      <c r="H229" s="3">
        <v>0</v>
      </c>
      <c r="I229" s="3">
        <v>0</v>
      </c>
      <c r="J229" s="3">
        <v>0</v>
      </c>
      <c r="K229" s="3">
        <v>225.2</v>
      </c>
      <c r="L229" s="3">
        <v>0</v>
      </c>
      <c r="M229" s="3">
        <v>0</v>
      </c>
      <c r="N229" s="3">
        <v>0</v>
      </c>
      <c r="O229" s="3">
        <v>29.276</v>
      </c>
      <c r="P229" s="3">
        <v>254.476</v>
      </c>
      <c r="Q229" t="s">
        <v>8046</v>
      </c>
      <c r="R229" t="s">
        <v>8200</v>
      </c>
      <c r="S229" s="3" t="s">
        <v>8046</v>
      </c>
      <c r="T229" s="3">
        <v>0</v>
      </c>
      <c r="U229" s="3"/>
    </row>
    <row r="230" spans="1:21" hidden="1" x14ac:dyDescent="0.25">
      <c r="A230" t="s">
        <v>8609</v>
      </c>
      <c r="B230" t="s">
        <v>8768</v>
      </c>
      <c r="C230" t="s">
        <v>1</v>
      </c>
      <c r="D230" t="s">
        <v>0</v>
      </c>
      <c r="E230">
        <v>9917</v>
      </c>
      <c r="F230" t="s">
        <v>1200</v>
      </c>
      <c r="G230" t="s">
        <v>1201</v>
      </c>
      <c r="H230" s="3">
        <v>0</v>
      </c>
      <c r="I230" s="3">
        <v>0</v>
      </c>
      <c r="J230" s="3">
        <v>0</v>
      </c>
      <c r="K230" s="3">
        <v>140</v>
      </c>
      <c r="L230" s="3">
        <v>0</v>
      </c>
      <c r="M230" s="3">
        <v>0</v>
      </c>
      <c r="N230" s="3">
        <v>0</v>
      </c>
      <c r="O230" s="3">
        <v>18.2</v>
      </c>
      <c r="P230" s="3">
        <v>158.19999999999999</v>
      </c>
      <c r="Q230" t="s">
        <v>8046</v>
      </c>
      <c r="R230" t="s">
        <v>8200</v>
      </c>
      <c r="S230" s="3" t="s">
        <v>8358</v>
      </c>
      <c r="T230" s="3">
        <v>1.4</v>
      </c>
      <c r="U230" s="3"/>
    </row>
    <row r="231" spans="1:21" hidden="1" x14ac:dyDescent="0.25">
      <c r="A231" t="s">
        <v>8609</v>
      </c>
      <c r="B231" t="s">
        <v>8780</v>
      </c>
      <c r="C231" t="s">
        <v>1</v>
      </c>
      <c r="D231" t="s">
        <v>0</v>
      </c>
      <c r="E231">
        <v>499421</v>
      </c>
      <c r="F231" t="s">
        <v>1567</v>
      </c>
      <c r="G231" t="s">
        <v>1568</v>
      </c>
      <c r="H231" s="3">
        <v>1.91</v>
      </c>
      <c r="I231" s="3">
        <v>0</v>
      </c>
      <c r="J231" s="3">
        <v>0</v>
      </c>
      <c r="K231" s="3">
        <v>33.700000000000003</v>
      </c>
      <c r="L231" s="3">
        <v>0</v>
      </c>
      <c r="M231" s="3">
        <v>0</v>
      </c>
      <c r="N231" s="3">
        <v>0</v>
      </c>
      <c r="O231" s="3">
        <v>4.3810000000000002</v>
      </c>
      <c r="P231" s="3">
        <v>39.991</v>
      </c>
      <c r="Q231" t="s">
        <v>8046</v>
      </c>
      <c r="R231" t="s">
        <v>8200</v>
      </c>
      <c r="S231" s="3" t="s">
        <v>8046</v>
      </c>
      <c r="T231" s="3">
        <v>0</v>
      </c>
      <c r="U231" s="3"/>
    </row>
    <row r="232" spans="1:21" hidden="1" x14ac:dyDescent="0.25">
      <c r="A232" t="s">
        <v>8609</v>
      </c>
      <c r="B232" t="s">
        <v>8780</v>
      </c>
      <c r="C232" t="s">
        <v>1</v>
      </c>
      <c r="D232" t="s">
        <v>0</v>
      </c>
      <c r="E232">
        <v>14843</v>
      </c>
      <c r="F232" t="s">
        <v>3074</v>
      </c>
      <c r="G232" t="s">
        <v>3075</v>
      </c>
      <c r="H232" s="3">
        <v>0</v>
      </c>
      <c r="I232" s="3">
        <v>0</v>
      </c>
      <c r="J232" s="3">
        <v>0</v>
      </c>
      <c r="K232" s="3">
        <v>439.55</v>
      </c>
      <c r="L232" s="3">
        <v>0</v>
      </c>
      <c r="M232" s="3">
        <v>0</v>
      </c>
      <c r="N232" s="3">
        <v>0</v>
      </c>
      <c r="O232" s="3">
        <v>57.141500000000001</v>
      </c>
      <c r="P232" s="3">
        <v>496.69150000000002</v>
      </c>
      <c r="Q232" t="s">
        <v>8046</v>
      </c>
      <c r="R232" t="s">
        <v>8200</v>
      </c>
      <c r="S232" s="3" t="s">
        <v>8811</v>
      </c>
      <c r="T232" s="3">
        <v>4.4000000000000004</v>
      </c>
      <c r="U232" s="3"/>
    </row>
    <row r="233" spans="1:21" hidden="1" x14ac:dyDescent="0.25">
      <c r="A233" t="s">
        <v>8609</v>
      </c>
      <c r="B233" t="s">
        <v>8780</v>
      </c>
      <c r="C233" t="s">
        <v>1</v>
      </c>
      <c r="D233" t="s">
        <v>0</v>
      </c>
      <c r="E233">
        <v>984487</v>
      </c>
      <c r="F233" t="s">
        <v>2440</v>
      </c>
      <c r="G233" t="s">
        <v>2441</v>
      </c>
      <c r="H233" s="3">
        <v>0</v>
      </c>
      <c r="I233" s="3">
        <v>0</v>
      </c>
      <c r="J233" s="3">
        <v>0</v>
      </c>
      <c r="K233" s="3">
        <v>291.75</v>
      </c>
      <c r="L233" s="3">
        <v>0</v>
      </c>
      <c r="M233" s="3">
        <v>0</v>
      </c>
      <c r="N233" s="3">
        <v>0</v>
      </c>
      <c r="O233" s="3">
        <v>37.927500000000002</v>
      </c>
      <c r="P233" s="3">
        <v>329.67750000000001</v>
      </c>
      <c r="Q233" t="s">
        <v>8046</v>
      </c>
      <c r="R233" t="s">
        <v>8200</v>
      </c>
      <c r="S233" s="3" t="s">
        <v>8359</v>
      </c>
      <c r="T233" s="3">
        <v>2.92</v>
      </c>
      <c r="U233" s="3"/>
    </row>
    <row r="234" spans="1:21" hidden="1" x14ac:dyDescent="0.25">
      <c r="A234" t="s">
        <v>8609</v>
      </c>
      <c r="B234" t="s">
        <v>8781</v>
      </c>
      <c r="C234" t="s">
        <v>1</v>
      </c>
      <c r="D234" t="s">
        <v>0</v>
      </c>
      <c r="E234">
        <v>97613</v>
      </c>
      <c r="F234" t="s">
        <v>1670</v>
      </c>
      <c r="G234" t="s">
        <v>1671</v>
      </c>
      <c r="H234" s="3">
        <v>0.93</v>
      </c>
      <c r="I234" s="3">
        <v>0</v>
      </c>
      <c r="J234" s="3">
        <v>0</v>
      </c>
      <c r="K234" s="3">
        <v>16.88</v>
      </c>
      <c r="L234" s="3">
        <v>0</v>
      </c>
      <c r="M234" s="3">
        <v>0</v>
      </c>
      <c r="N234" s="3">
        <v>0</v>
      </c>
      <c r="O234" s="3">
        <v>2.1943999999999999</v>
      </c>
      <c r="P234" s="3">
        <v>20.004399999999997</v>
      </c>
      <c r="Q234" t="s">
        <v>8046</v>
      </c>
      <c r="R234" t="s">
        <v>8200</v>
      </c>
      <c r="S234" s="3" t="s">
        <v>8046</v>
      </c>
      <c r="T234" s="3">
        <v>0</v>
      </c>
      <c r="U234" s="3"/>
    </row>
    <row r="235" spans="1:21" hidden="1" x14ac:dyDescent="0.25">
      <c r="A235" t="s">
        <v>8609</v>
      </c>
      <c r="B235" t="s">
        <v>8781</v>
      </c>
      <c r="C235" t="s">
        <v>1</v>
      </c>
      <c r="D235" t="s">
        <v>0</v>
      </c>
      <c r="E235">
        <v>469304</v>
      </c>
      <c r="F235" t="s">
        <v>1552</v>
      </c>
      <c r="G235" t="s">
        <v>1553</v>
      </c>
      <c r="H235" s="3">
        <v>2.35</v>
      </c>
      <c r="I235" s="3">
        <v>0</v>
      </c>
      <c r="J235" s="3">
        <v>0</v>
      </c>
      <c r="K235" s="3">
        <v>44.85</v>
      </c>
      <c r="L235" s="3">
        <v>0</v>
      </c>
      <c r="M235" s="3">
        <v>0</v>
      </c>
      <c r="N235" s="3">
        <v>0</v>
      </c>
      <c r="O235" s="3">
        <v>5.8305000000000007</v>
      </c>
      <c r="P235" s="3">
        <v>53.030500000000004</v>
      </c>
      <c r="Q235" t="s">
        <v>8046</v>
      </c>
      <c r="R235" t="s">
        <v>8200</v>
      </c>
      <c r="S235" s="3" t="s">
        <v>8046</v>
      </c>
      <c r="T235" s="3">
        <v>0</v>
      </c>
      <c r="U235" s="3"/>
    </row>
    <row r="236" spans="1:21" hidden="1" x14ac:dyDescent="0.25">
      <c r="A236" t="s">
        <v>8609</v>
      </c>
      <c r="B236" t="s">
        <v>8781</v>
      </c>
      <c r="C236" t="s">
        <v>1</v>
      </c>
      <c r="D236" t="s">
        <v>0</v>
      </c>
      <c r="E236">
        <v>919</v>
      </c>
      <c r="F236" t="s">
        <v>1630</v>
      </c>
      <c r="G236" t="s">
        <v>1631</v>
      </c>
      <c r="H236" s="3">
        <v>0</v>
      </c>
      <c r="I236" s="3">
        <v>0</v>
      </c>
      <c r="J236" s="3">
        <v>0</v>
      </c>
      <c r="K236" s="3">
        <v>49.56</v>
      </c>
      <c r="L236" s="3">
        <v>0</v>
      </c>
      <c r="M236" s="3">
        <v>0</v>
      </c>
      <c r="N236" s="3">
        <v>0</v>
      </c>
      <c r="O236" s="3">
        <v>6.4428000000000001</v>
      </c>
      <c r="P236" s="3">
        <v>56.002800000000001</v>
      </c>
      <c r="Q236" t="s">
        <v>8046</v>
      </c>
      <c r="R236" t="s">
        <v>8200</v>
      </c>
      <c r="S236" s="3" t="s">
        <v>8046</v>
      </c>
      <c r="T236" s="3">
        <v>0</v>
      </c>
      <c r="U236" s="3"/>
    </row>
    <row r="237" spans="1:21" hidden="1" x14ac:dyDescent="0.25">
      <c r="A237" t="s">
        <v>8609</v>
      </c>
      <c r="B237" t="s">
        <v>8781</v>
      </c>
      <c r="C237" t="s">
        <v>1</v>
      </c>
      <c r="D237" t="s">
        <v>0</v>
      </c>
      <c r="E237">
        <v>274</v>
      </c>
      <c r="F237" t="s">
        <v>278</v>
      </c>
      <c r="G237" t="s">
        <v>279</v>
      </c>
      <c r="H237" s="3">
        <v>0</v>
      </c>
      <c r="I237" s="3">
        <v>0</v>
      </c>
      <c r="J237" s="3">
        <v>0</v>
      </c>
      <c r="K237" s="3">
        <v>270.7</v>
      </c>
      <c r="L237" s="3">
        <v>0</v>
      </c>
      <c r="M237" s="3">
        <v>0</v>
      </c>
      <c r="N237" s="3">
        <v>0</v>
      </c>
      <c r="O237" s="3">
        <v>35.191000000000003</v>
      </c>
      <c r="P237" s="3">
        <v>305.89099999999996</v>
      </c>
      <c r="Q237" t="s">
        <v>8046</v>
      </c>
      <c r="R237" t="s">
        <v>8200</v>
      </c>
      <c r="S237" s="3" t="s">
        <v>8046</v>
      </c>
      <c r="T237" s="3">
        <v>0</v>
      </c>
      <c r="U237" s="3"/>
    </row>
    <row r="238" spans="1:21" hidden="1" x14ac:dyDescent="0.25">
      <c r="A238" t="s">
        <v>8609</v>
      </c>
      <c r="B238" t="s">
        <v>8781</v>
      </c>
      <c r="C238" t="s">
        <v>1</v>
      </c>
      <c r="D238" t="s">
        <v>0</v>
      </c>
      <c r="E238">
        <v>40</v>
      </c>
      <c r="F238" t="s">
        <v>1597</v>
      </c>
      <c r="G238" t="s">
        <v>1598</v>
      </c>
      <c r="H238" s="3">
        <v>0</v>
      </c>
      <c r="I238" s="3">
        <v>0</v>
      </c>
      <c r="J238" s="3">
        <v>0</v>
      </c>
      <c r="K238" s="3">
        <v>157</v>
      </c>
      <c r="L238" s="3">
        <v>0</v>
      </c>
      <c r="M238" s="3">
        <v>0</v>
      </c>
      <c r="N238" s="3">
        <v>0</v>
      </c>
      <c r="O238" s="3">
        <v>20.41</v>
      </c>
      <c r="P238" s="3">
        <v>177.41</v>
      </c>
      <c r="Q238" t="s">
        <v>8046</v>
      </c>
      <c r="R238" t="s">
        <v>8200</v>
      </c>
      <c r="S238" s="3" t="s">
        <v>8046</v>
      </c>
      <c r="T238" s="3">
        <v>0</v>
      </c>
      <c r="U238" s="3"/>
    </row>
    <row r="239" spans="1:21" hidden="1" x14ac:dyDescent="0.25">
      <c r="A239" t="s">
        <v>8609</v>
      </c>
      <c r="B239" t="s">
        <v>8781</v>
      </c>
      <c r="C239" t="s">
        <v>1</v>
      </c>
      <c r="D239" t="s">
        <v>0</v>
      </c>
      <c r="E239">
        <v>9854</v>
      </c>
      <c r="F239" t="s">
        <v>1200</v>
      </c>
      <c r="G239" t="s">
        <v>1201</v>
      </c>
      <c r="H239" s="3">
        <v>0</v>
      </c>
      <c r="I239" s="3">
        <v>0</v>
      </c>
      <c r="J239" s="3">
        <v>0</v>
      </c>
      <c r="K239" s="3">
        <v>2841.64</v>
      </c>
      <c r="L239" s="3">
        <v>0</v>
      </c>
      <c r="M239" s="3">
        <v>0</v>
      </c>
      <c r="N239" s="3">
        <v>0</v>
      </c>
      <c r="O239" s="3">
        <v>369.41320000000002</v>
      </c>
      <c r="P239" s="3">
        <v>3211.0531999999998</v>
      </c>
      <c r="Q239" t="s">
        <v>8046</v>
      </c>
      <c r="R239" t="s">
        <v>8200</v>
      </c>
      <c r="S239" s="3" t="s">
        <v>8358</v>
      </c>
      <c r="T239" s="3">
        <v>28.42</v>
      </c>
      <c r="U239" s="3"/>
    </row>
    <row r="240" spans="1:21" hidden="1" x14ac:dyDescent="0.25">
      <c r="A240" t="s">
        <v>8609</v>
      </c>
      <c r="B240" t="s">
        <v>8781</v>
      </c>
      <c r="C240" t="s">
        <v>1</v>
      </c>
      <c r="D240" t="s">
        <v>0</v>
      </c>
      <c r="E240">
        <v>9881</v>
      </c>
      <c r="F240" t="s">
        <v>1200</v>
      </c>
      <c r="G240" t="s">
        <v>1201</v>
      </c>
      <c r="H240" s="3">
        <v>0</v>
      </c>
      <c r="I240" s="3">
        <v>0</v>
      </c>
      <c r="J240" s="3">
        <v>0</v>
      </c>
      <c r="K240" s="3">
        <v>1784.4</v>
      </c>
      <c r="L240" s="3">
        <v>0</v>
      </c>
      <c r="M240" s="3">
        <v>0</v>
      </c>
      <c r="N240" s="3">
        <v>0</v>
      </c>
      <c r="O240" s="3">
        <v>231.97200000000001</v>
      </c>
      <c r="P240" s="3">
        <v>2016.3720000000001</v>
      </c>
      <c r="Q240" t="s">
        <v>8046</v>
      </c>
      <c r="R240" t="s">
        <v>8200</v>
      </c>
      <c r="S240" s="3" t="s">
        <v>8358</v>
      </c>
      <c r="T240" s="3">
        <v>17.84</v>
      </c>
      <c r="U240" s="3"/>
    </row>
    <row r="241" spans="1:21" hidden="1" x14ac:dyDescent="0.25">
      <c r="A241" t="s">
        <v>8609</v>
      </c>
      <c r="B241" t="s">
        <v>8781</v>
      </c>
      <c r="C241" t="s">
        <v>1</v>
      </c>
      <c r="D241" t="s">
        <v>0</v>
      </c>
      <c r="E241">
        <v>9855</v>
      </c>
      <c r="F241" t="s">
        <v>1200</v>
      </c>
      <c r="G241" t="s">
        <v>1201</v>
      </c>
      <c r="H241" s="3">
        <v>0</v>
      </c>
      <c r="I241" s="3">
        <v>0</v>
      </c>
      <c r="J241" s="3">
        <v>0</v>
      </c>
      <c r="K241" s="3">
        <v>1062.72</v>
      </c>
      <c r="L241" s="3">
        <v>0</v>
      </c>
      <c r="M241" s="3">
        <v>0</v>
      </c>
      <c r="N241" s="3">
        <v>0</v>
      </c>
      <c r="O241" s="3">
        <v>138.15360000000001</v>
      </c>
      <c r="P241" s="3">
        <v>1200.8736000000001</v>
      </c>
      <c r="Q241" t="s">
        <v>8046</v>
      </c>
      <c r="R241" t="s">
        <v>8200</v>
      </c>
      <c r="S241" s="3" t="s">
        <v>8358</v>
      </c>
      <c r="T241" s="3">
        <v>10.62</v>
      </c>
      <c r="U241" s="3"/>
    </row>
    <row r="242" spans="1:21" hidden="1" x14ac:dyDescent="0.25">
      <c r="A242" t="s">
        <v>8609</v>
      </c>
      <c r="B242" t="s">
        <v>8781</v>
      </c>
      <c r="C242" t="s">
        <v>1</v>
      </c>
      <c r="D242" t="s">
        <v>0</v>
      </c>
      <c r="E242">
        <v>302124</v>
      </c>
      <c r="F242" t="s">
        <v>2788</v>
      </c>
      <c r="G242" t="s">
        <v>2789</v>
      </c>
      <c r="H242" s="3">
        <v>0</v>
      </c>
      <c r="I242" s="3">
        <v>0</v>
      </c>
      <c r="J242" s="3">
        <v>0</v>
      </c>
      <c r="K242" s="3">
        <v>5.7</v>
      </c>
      <c r="L242" s="3">
        <v>0</v>
      </c>
      <c r="M242" s="3">
        <v>0</v>
      </c>
      <c r="N242" s="3">
        <v>0</v>
      </c>
      <c r="O242" s="3">
        <v>0.7410000000000001</v>
      </c>
      <c r="P242" s="3">
        <v>6.4410000000000007</v>
      </c>
      <c r="Q242" t="s">
        <v>8046</v>
      </c>
      <c r="R242" t="s">
        <v>8200</v>
      </c>
      <c r="S242" s="3" t="s">
        <v>8046</v>
      </c>
      <c r="T242" s="3">
        <v>0</v>
      </c>
      <c r="U242" s="3"/>
    </row>
    <row r="243" spans="1:21" hidden="1" x14ac:dyDescent="0.25">
      <c r="A243" t="s">
        <v>8609</v>
      </c>
      <c r="B243" t="s">
        <v>8781</v>
      </c>
      <c r="C243" t="s">
        <v>1</v>
      </c>
      <c r="D243" t="s">
        <v>0</v>
      </c>
      <c r="E243">
        <v>5024486</v>
      </c>
      <c r="F243" t="s">
        <v>1501</v>
      </c>
      <c r="G243" t="s">
        <v>1502</v>
      </c>
      <c r="H243" s="3">
        <v>2.2000000000000002</v>
      </c>
      <c r="I243" s="3">
        <v>0</v>
      </c>
      <c r="J243" s="3">
        <v>0</v>
      </c>
      <c r="K243" s="3">
        <v>37.880000000000003</v>
      </c>
      <c r="L243" s="3">
        <v>0</v>
      </c>
      <c r="M243" s="3">
        <v>0</v>
      </c>
      <c r="N243" s="3">
        <v>0</v>
      </c>
      <c r="O243" s="3">
        <v>4.9244000000000003</v>
      </c>
      <c r="P243" s="3">
        <v>45.004400000000004</v>
      </c>
      <c r="Q243" t="s">
        <v>8046</v>
      </c>
      <c r="R243" t="s">
        <v>8200</v>
      </c>
      <c r="S243" s="3" t="s">
        <v>8046</v>
      </c>
      <c r="T243" s="3">
        <v>0</v>
      </c>
      <c r="U243" s="3"/>
    </row>
    <row r="244" spans="1:21" hidden="1" x14ac:dyDescent="0.25">
      <c r="A244" t="s">
        <v>8609</v>
      </c>
      <c r="B244" t="s">
        <v>8781</v>
      </c>
      <c r="C244" t="s">
        <v>1</v>
      </c>
      <c r="D244" s="33" t="s">
        <v>8333</v>
      </c>
      <c r="E244">
        <v>8021</v>
      </c>
      <c r="F244" t="s">
        <v>1519</v>
      </c>
      <c r="G244" t="s">
        <v>1520</v>
      </c>
      <c r="H244" s="3">
        <v>0</v>
      </c>
      <c r="I244" s="3">
        <v>0</v>
      </c>
      <c r="J244" s="3">
        <v>0</v>
      </c>
      <c r="K244" s="3">
        <v>34.200000000000003</v>
      </c>
      <c r="L244" s="3">
        <v>0</v>
      </c>
      <c r="M244" s="3">
        <v>0</v>
      </c>
      <c r="N244" s="3">
        <v>0</v>
      </c>
      <c r="O244" s="3">
        <v>4.4460000000000006</v>
      </c>
      <c r="P244" s="3">
        <v>38.646000000000001</v>
      </c>
      <c r="Q244" t="s">
        <v>8046</v>
      </c>
      <c r="R244" t="s">
        <v>8200</v>
      </c>
      <c r="S244" s="3" t="s">
        <v>8046</v>
      </c>
      <c r="T244" s="3">
        <v>0</v>
      </c>
      <c r="U244" s="3"/>
    </row>
    <row r="245" spans="1:21" hidden="1" x14ac:dyDescent="0.25">
      <c r="A245" t="s">
        <v>8609</v>
      </c>
      <c r="B245" t="s">
        <v>8781</v>
      </c>
      <c r="C245" t="s">
        <v>1</v>
      </c>
      <c r="D245" t="s">
        <v>0</v>
      </c>
      <c r="E245">
        <v>15828</v>
      </c>
      <c r="F245" t="s">
        <v>1519</v>
      </c>
      <c r="G245" t="s">
        <v>1520</v>
      </c>
      <c r="H245" s="3">
        <v>0</v>
      </c>
      <c r="I245" s="3">
        <v>0</v>
      </c>
      <c r="J245" s="3">
        <v>0</v>
      </c>
      <c r="K245" s="3">
        <v>987.62</v>
      </c>
      <c r="L245" s="3">
        <v>0</v>
      </c>
      <c r="M245" s="3">
        <v>0</v>
      </c>
      <c r="N245" s="3">
        <v>0</v>
      </c>
      <c r="O245" s="3">
        <v>128.39060000000001</v>
      </c>
      <c r="P245" s="3">
        <v>1116.0106000000001</v>
      </c>
      <c r="Q245" t="s">
        <v>8046</v>
      </c>
      <c r="R245" t="s">
        <v>8200</v>
      </c>
      <c r="S245" s="3" t="s">
        <v>8810</v>
      </c>
      <c r="T245" s="3">
        <v>9.8800000000000008</v>
      </c>
      <c r="U245" s="3"/>
    </row>
    <row r="246" spans="1:21" hidden="1" x14ac:dyDescent="0.25">
      <c r="A246" t="s">
        <v>8609</v>
      </c>
      <c r="B246" t="s">
        <v>8781</v>
      </c>
      <c r="C246" t="s">
        <v>1</v>
      </c>
      <c r="D246" t="s">
        <v>0</v>
      </c>
      <c r="E246">
        <v>95419</v>
      </c>
      <c r="F246" t="s">
        <v>1670</v>
      </c>
      <c r="G246" t="s">
        <v>1671</v>
      </c>
      <c r="H246" s="3">
        <v>1.48</v>
      </c>
      <c r="I246" s="3">
        <v>0</v>
      </c>
      <c r="J246" s="3">
        <v>0</v>
      </c>
      <c r="K246" s="3">
        <v>27.01</v>
      </c>
      <c r="L246" s="3">
        <v>0</v>
      </c>
      <c r="M246" s="3">
        <v>0</v>
      </c>
      <c r="N246" s="3">
        <v>0</v>
      </c>
      <c r="O246" s="3">
        <v>3.5113000000000003</v>
      </c>
      <c r="P246" s="3">
        <v>32.001300000000001</v>
      </c>
      <c r="Q246" t="s">
        <v>8046</v>
      </c>
      <c r="R246" t="s">
        <v>8200</v>
      </c>
      <c r="S246" s="3" t="s">
        <v>8046</v>
      </c>
      <c r="T246" s="3">
        <v>0</v>
      </c>
      <c r="U246" s="3"/>
    </row>
    <row r="247" spans="1:21" hidden="1" x14ac:dyDescent="0.25">
      <c r="A247" t="s">
        <v>8609</v>
      </c>
      <c r="B247" t="s">
        <v>8781</v>
      </c>
      <c r="C247" t="s">
        <v>1</v>
      </c>
      <c r="D247" t="s">
        <v>0</v>
      </c>
      <c r="E247">
        <v>821</v>
      </c>
      <c r="F247" t="s">
        <v>131</v>
      </c>
      <c r="G247" t="s">
        <v>132</v>
      </c>
      <c r="H247" s="3">
        <v>0</v>
      </c>
      <c r="I247" s="3">
        <v>0</v>
      </c>
      <c r="J247" s="3">
        <v>0</v>
      </c>
      <c r="K247" s="3">
        <v>1005.31</v>
      </c>
      <c r="L247" s="3">
        <v>0</v>
      </c>
      <c r="M247" s="3">
        <v>0</v>
      </c>
      <c r="N247" s="3">
        <v>0</v>
      </c>
      <c r="O247" s="3">
        <v>130.69030000000001</v>
      </c>
      <c r="P247" s="3">
        <v>1136.0002999999999</v>
      </c>
      <c r="Q247" t="s">
        <v>8046</v>
      </c>
      <c r="R247" t="s">
        <v>8200</v>
      </c>
      <c r="S247" s="3" t="s">
        <v>8046</v>
      </c>
      <c r="T247" s="3">
        <v>0</v>
      </c>
      <c r="U247" s="3"/>
    </row>
    <row r="248" spans="1:21" hidden="1" x14ac:dyDescent="0.25">
      <c r="A248" t="s">
        <v>8609</v>
      </c>
      <c r="B248" t="s">
        <v>8782</v>
      </c>
      <c r="C248" t="s">
        <v>1</v>
      </c>
      <c r="D248" t="s">
        <v>0</v>
      </c>
      <c r="E248">
        <v>7446</v>
      </c>
      <c r="F248" t="s">
        <v>7602</v>
      </c>
      <c r="G248" t="s">
        <v>7603</v>
      </c>
      <c r="H248" s="3">
        <v>0</v>
      </c>
      <c r="I248" s="3">
        <v>0</v>
      </c>
      <c r="J248" s="3">
        <v>0</v>
      </c>
      <c r="K248" s="3">
        <v>20.46</v>
      </c>
      <c r="L248" s="3">
        <v>0</v>
      </c>
      <c r="M248" s="3">
        <v>0</v>
      </c>
      <c r="N248" s="3">
        <v>0</v>
      </c>
      <c r="O248" s="3">
        <v>2.6598000000000002</v>
      </c>
      <c r="P248" s="3">
        <v>23.119800000000001</v>
      </c>
      <c r="Q248" t="s">
        <v>8046</v>
      </c>
      <c r="R248" t="s">
        <v>8200</v>
      </c>
      <c r="S248" s="3" t="s">
        <v>8046</v>
      </c>
      <c r="T248" s="3">
        <v>0</v>
      </c>
      <c r="U248" s="3"/>
    </row>
    <row r="249" spans="1:21" hidden="1" x14ac:dyDescent="0.25">
      <c r="A249" t="s">
        <v>8609</v>
      </c>
      <c r="B249" t="s">
        <v>8782</v>
      </c>
      <c r="C249" t="s">
        <v>1</v>
      </c>
      <c r="D249" t="s">
        <v>0</v>
      </c>
      <c r="E249">
        <v>4505</v>
      </c>
      <c r="F249" t="s">
        <v>95</v>
      </c>
      <c r="G249" t="s">
        <v>96</v>
      </c>
      <c r="H249" s="3">
        <v>0</v>
      </c>
      <c r="I249" s="3">
        <v>0</v>
      </c>
      <c r="J249" s="3">
        <v>0</v>
      </c>
      <c r="K249" s="3">
        <v>11.28</v>
      </c>
      <c r="L249" s="3">
        <v>0</v>
      </c>
      <c r="M249" s="3">
        <v>0</v>
      </c>
      <c r="N249" s="3">
        <v>0</v>
      </c>
      <c r="O249" s="3">
        <v>1.4663999999999999</v>
      </c>
      <c r="P249" s="3">
        <v>12.7464</v>
      </c>
      <c r="Q249" t="s">
        <v>8046</v>
      </c>
      <c r="R249" t="s">
        <v>8200</v>
      </c>
      <c r="S249" s="3" t="s">
        <v>8046</v>
      </c>
      <c r="T249" s="3">
        <v>0</v>
      </c>
      <c r="U249" s="3"/>
    </row>
    <row r="250" spans="1:21" hidden="1" x14ac:dyDescent="0.25">
      <c r="A250" t="s">
        <v>8609</v>
      </c>
      <c r="B250" t="s">
        <v>8782</v>
      </c>
      <c r="C250" t="s">
        <v>1</v>
      </c>
      <c r="D250" t="s">
        <v>0</v>
      </c>
      <c r="E250">
        <v>1346160</v>
      </c>
      <c r="F250" t="s">
        <v>1531</v>
      </c>
      <c r="G250" t="s">
        <v>1532</v>
      </c>
      <c r="H250" s="3">
        <v>1.95</v>
      </c>
      <c r="I250" s="3">
        <v>0</v>
      </c>
      <c r="J250" s="3">
        <v>0</v>
      </c>
      <c r="K250" s="3">
        <v>35.44</v>
      </c>
      <c r="L250" s="3">
        <v>0</v>
      </c>
      <c r="M250" s="3">
        <v>0</v>
      </c>
      <c r="N250" s="3">
        <v>0</v>
      </c>
      <c r="O250" s="3">
        <v>4.6071999999999997</v>
      </c>
      <c r="P250" s="3">
        <v>41.997199999999999</v>
      </c>
      <c r="Q250" t="s">
        <v>8046</v>
      </c>
      <c r="R250" t="s">
        <v>8200</v>
      </c>
      <c r="S250" s="3" t="s">
        <v>8046</v>
      </c>
      <c r="T250" s="3">
        <v>0</v>
      </c>
      <c r="U250" s="3"/>
    </row>
    <row r="251" spans="1:21" hidden="1" x14ac:dyDescent="0.25">
      <c r="A251" t="s">
        <v>8609</v>
      </c>
      <c r="B251" t="s">
        <v>8782</v>
      </c>
      <c r="C251" t="s">
        <v>1</v>
      </c>
      <c r="D251" t="s">
        <v>0</v>
      </c>
      <c r="E251">
        <v>496</v>
      </c>
      <c r="F251" t="s">
        <v>1159</v>
      </c>
      <c r="G251" t="s">
        <v>1160</v>
      </c>
      <c r="H251" s="3">
        <v>0</v>
      </c>
      <c r="I251" s="3">
        <v>0</v>
      </c>
      <c r="J251" s="3">
        <v>0</v>
      </c>
      <c r="K251" s="3">
        <v>951.45</v>
      </c>
      <c r="L251" s="3">
        <v>0</v>
      </c>
      <c r="M251" s="3">
        <v>0</v>
      </c>
      <c r="N251" s="3">
        <v>0</v>
      </c>
      <c r="O251" s="3">
        <v>123.6885</v>
      </c>
      <c r="P251" s="3">
        <v>1075.1385</v>
      </c>
      <c r="Q251" t="s">
        <v>8046</v>
      </c>
      <c r="R251" t="s">
        <v>8200</v>
      </c>
      <c r="S251" s="3" t="s">
        <v>8046</v>
      </c>
      <c r="T251" s="3">
        <v>0</v>
      </c>
      <c r="U251" s="3"/>
    </row>
    <row r="252" spans="1:21" hidden="1" x14ac:dyDescent="0.25">
      <c r="A252" t="s">
        <v>8609</v>
      </c>
      <c r="B252" t="s">
        <v>8782</v>
      </c>
      <c r="C252" t="s">
        <v>1</v>
      </c>
      <c r="D252" t="s">
        <v>0</v>
      </c>
      <c r="E252">
        <v>336</v>
      </c>
      <c r="F252" t="s">
        <v>1457</v>
      </c>
      <c r="G252" t="s">
        <v>8600</v>
      </c>
      <c r="H252" s="3">
        <v>0</v>
      </c>
      <c r="I252" s="3">
        <v>0</v>
      </c>
      <c r="J252" s="3">
        <v>0</v>
      </c>
      <c r="K252" s="3">
        <v>28</v>
      </c>
      <c r="L252" s="3">
        <v>0</v>
      </c>
      <c r="M252" s="3">
        <v>0</v>
      </c>
      <c r="N252" s="3">
        <v>0</v>
      </c>
      <c r="O252" s="3">
        <v>3.64</v>
      </c>
      <c r="P252" s="3">
        <v>31.64</v>
      </c>
      <c r="Q252" t="s">
        <v>8046</v>
      </c>
      <c r="R252" t="s">
        <v>8200</v>
      </c>
      <c r="S252" s="3" t="s">
        <v>8046</v>
      </c>
      <c r="T252" s="3">
        <v>0</v>
      </c>
      <c r="U252" s="3"/>
    </row>
    <row r="253" spans="1:21" hidden="1" x14ac:dyDescent="0.25">
      <c r="A253" t="s">
        <v>8609</v>
      </c>
      <c r="B253" t="s">
        <v>8782</v>
      </c>
      <c r="C253" t="s">
        <v>1</v>
      </c>
      <c r="D253" t="s">
        <v>0</v>
      </c>
      <c r="E253">
        <v>56524</v>
      </c>
      <c r="F253" t="s">
        <v>1655</v>
      </c>
      <c r="G253" t="s">
        <v>1656</v>
      </c>
      <c r="H253" s="3">
        <v>1.1200000000000001</v>
      </c>
      <c r="I253" s="3">
        <v>0</v>
      </c>
      <c r="J253" s="3">
        <v>0</v>
      </c>
      <c r="K253" s="3">
        <v>21.13</v>
      </c>
      <c r="L253" s="3">
        <v>0</v>
      </c>
      <c r="M253" s="3">
        <v>0</v>
      </c>
      <c r="N253" s="3">
        <v>0</v>
      </c>
      <c r="O253" s="3">
        <v>2.7469000000000001</v>
      </c>
      <c r="P253" s="3">
        <v>24.9969</v>
      </c>
      <c r="Q253" t="s">
        <v>8046</v>
      </c>
      <c r="R253" t="s">
        <v>8200</v>
      </c>
      <c r="S253" s="3" t="s">
        <v>8046</v>
      </c>
      <c r="T253" s="3">
        <v>0</v>
      </c>
      <c r="U253" s="3"/>
    </row>
    <row r="254" spans="1:21" hidden="1" x14ac:dyDescent="0.25">
      <c r="A254" t="s">
        <v>8609</v>
      </c>
      <c r="B254" t="s">
        <v>8782</v>
      </c>
      <c r="C254" t="s">
        <v>1</v>
      </c>
      <c r="D254" t="s">
        <v>0</v>
      </c>
      <c r="E254">
        <v>3648</v>
      </c>
      <c r="F254" t="s">
        <v>1565</v>
      </c>
      <c r="G254" t="s">
        <v>1566</v>
      </c>
      <c r="H254" s="3">
        <v>0</v>
      </c>
      <c r="I254" s="3">
        <v>0</v>
      </c>
      <c r="J254" s="3">
        <v>0</v>
      </c>
      <c r="K254" s="3">
        <v>73.45</v>
      </c>
      <c r="L254" s="3">
        <v>0</v>
      </c>
      <c r="M254" s="3">
        <v>0</v>
      </c>
      <c r="N254" s="3">
        <v>0</v>
      </c>
      <c r="O254" s="3">
        <v>9.5485000000000007</v>
      </c>
      <c r="P254" s="3">
        <v>82.998500000000007</v>
      </c>
      <c r="Q254" t="s">
        <v>8046</v>
      </c>
      <c r="R254" t="s">
        <v>8200</v>
      </c>
      <c r="S254" s="3" t="s">
        <v>8046</v>
      </c>
      <c r="T254" s="3">
        <v>0</v>
      </c>
      <c r="U254" s="3"/>
    </row>
    <row r="255" spans="1:21" hidden="1" x14ac:dyDescent="0.25">
      <c r="A255" t="s">
        <v>8609</v>
      </c>
      <c r="B255" t="s">
        <v>8783</v>
      </c>
      <c r="C255" t="s">
        <v>1</v>
      </c>
      <c r="D255" t="s">
        <v>0</v>
      </c>
      <c r="E255">
        <v>20255</v>
      </c>
      <c r="F255" t="s">
        <v>1732</v>
      </c>
      <c r="G255" t="s">
        <v>1733</v>
      </c>
      <c r="H255" s="3">
        <v>0.48</v>
      </c>
      <c r="I255" s="3">
        <v>0</v>
      </c>
      <c r="J255" s="3">
        <v>0</v>
      </c>
      <c r="K255" s="3">
        <v>8.42</v>
      </c>
      <c r="L255" s="3">
        <v>0</v>
      </c>
      <c r="M255" s="3">
        <v>0</v>
      </c>
      <c r="N255" s="3">
        <v>0</v>
      </c>
      <c r="O255" s="3">
        <v>1.0946</v>
      </c>
      <c r="P255" s="3">
        <v>9.9946000000000002</v>
      </c>
      <c r="Q255" t="s">
        <v>8046</v>
      </c>
      <c r="R255" t="s">
        <v>8200</v>
      </c>
      <c r="S255" s="3" t="s">
        <v>8046</v>
      </c>
      <c r="T255" s="3">
        <v>0</v>
      </c>
      <c r="U255" s="3"/>
    </row>
    <row r="256" spans="1:21" hidden="1" x14ac:dyDescent="0.25">
      <c r="A256" t="s">
        <v>8609</v>
      </c>
      <c r="B256" t="s">
        <v>8783</v>
      </c>
      <c r="C256" t="s">
        <v>1</v>
      </c>
      <c r="D256" t="s">
        <v>0</v>
      </c>
      <c r="E256">
        <v>302012</v>
      </c>
      <c r="F256" t="s">
        <v>2788</v>
      </c>
      <c r="G256" t="s">
        <v>2789</v>
      </c>
      <c r="H256" s="3">
        <v>0</v>
      </c>
      <c r="I256" s="3">
        <v>0</v>
      </c>
      <c r="J256" s="3">
        <v>0</v>
      </c>
      <c r="K256" s="3">
        <v>23.75</v>
      </c>
      <c r="L256" s="3">
        <v>0</v>
      </c>
      <c r="M256" s="3">
        <v>0</v>
      </c>
      <c r="N256" s="3">
        <v>0</v>
      </c>
      <c r="O256" s="3">
        <v>3.0874999999999999</v>
      </c>
      <c r="P256" s="3">
        <v>26.837499999999999</v>
      </c>
      <c r="Q256" t="s">
        <v>8046</v>
      </c>
      <c r="R256" t="s">
        <v>8200</v>
      </c>
      <c r="S256" s="3" t="s">
        <v>8046</v>
      </c>
      <c r="T256" s="3">
        <v>0</v>
      </c>
      <c r="U256" s="3"/>
    </row>
    <row r="257" spans="1:21" hidden="1" x14ac:dyDescent="0.25">
      <c r="A257" t="s">
        <v>8609</v>
      </c>
      <c r="B257" t="s">
        <v>8783</v>
      </c>
      <c r="C257" t="s">
        <v>1</v>
      </c>
      <c r="D257" t="s">
        <v>0</v>
      </c>
      <c r="E257">
        <v>3872</v>
      </c>
      <c r="F257" t="s">
        <v>8668</v>
      </c>
      <c r="G257" t="s">
        <v>8669</v>
      </c>
      <c r="H257" s="3">
        <v>0</v>
      </c>
      <c r="I257" s="3">
        <v>0</v>
      </c>
      <c r="J257" s="3">
        <v>0</v>
      </c>
      <c r="K257" s="3">
        <v>36</v>
      </c>
      <c r="L257" s="3">
        <v>0</v>
      </c>
      <c r="M257" s="3">
        <v>0</v>
      </c>
      <c r="N257" s="3">
        <v>0</v>
      </c>
      <c r="O257" s="3">
        <v>4.68</v>
      </c>
      <c r="P257" s="3">
        <v>40.68</v>
      </c>
      <c r="Q257" t="s">
        <v>8046</v>
      </c>
      <c r="R257" t="s">
        <v>8200</v>
      </c>
      <c r="S257" s="3" t="s">
        <v>8046</v>
      </c>
      <c r="T257" s="3">
        <v>0</v>
      </c>
      <c r="U257" s="3"/>
    </row>
    <row r="258" spans="1:21" hidden="1" x14ac:dyDescent="0.25">
      <c r="A258" t="s">
        <v>8609</v>
      </c>
      <c r="B258" t="s">
        <v>8783</v>
      </c>
      <c r="C258" t="s">
        <v>1</v>
      </c>
      <c r="D258" t="s">
        <v>0</v>
      </c>
      <c r="E258">
        <v>2134592</v>
      </c>
      <c r="F258" t="s">
        <v>1501</v>
      </c>
      <c r="G258" t="s">
        <v>1502</v>
      </c>
      <c r="H258" s="3">
        <v>1.64</v>
      </c>
      <c r="I258" s="3">
        <v>0</v>
      </c>
      <c r="J258" s="3">
        <v>0</v>
      </c>
      <c r="K258" s="3">
        <v>29.52</v>
      </c>
      <c r="L258" s="3">
        <v>0</v>
      </c>
      <c r="M258" s="3">
        <v>0</v>
      </c>
      <c r="N258" s="3">
        <v>0</v>
      </c>
      <c r="O258" s="3">
        <v>3.8376000000000001</v>
      </c>
      <c r="P258" s="3">
        <v>34.997599999999998</v>
      </c>
      <c r="Q258" t="s">
        <v>8046</v>
      </c>
      <c r="R258" t="s">
        <v>8200</v>
      </c>
      <c r="S258" s="3" t="s">
        <v>8046</v>
      </c>
      <c r="T258" s="3">
        <v>0</v>
      </c>
      <c r="U258" s="3"/>
    </row>
    <row r="259" spans="1:21" hidden="1" x14ac:dyDescent="0.25">
      <c r="A259" t="s">
        <v>8609</v>
      </c>
      <c r="B259" t="s">
        <v>8783</v>
      </c>
      <c r="C259" t="s">
        <v>1</v>
      </c>
      <c r="D259" t="s">
        <v>0</v>
      </c>
      <c r="E259">
        <v>81</v>
      </c>
      <c r="F259" t="s">
        <v>8808</v>
      </c>
      <c r="G259" t="s">
        <v>8809</v>
      </c>
      <c r="H259" s="3">
        <v>0</v>
      </c>
      <c r="I259" s="3">
        <v>0</v>
      </c>
      <c r="J259" s="3">
        <v>0</v>
      </c>
      <c r="K259" s="3">
        <v>185.84</v>
      </c>
      <c r="L259" s="3">
        <v>0</v>
      </c>
      <c r="M259" s="3">
        <v>0</v>
      </c>
      <c r="N259" s="3">
        <v>0</v>
      </c>
      <c r="O259" s="3">
        <v>24.159200000000002</v>
      </c>
      <c r="P259" s="3">
        <v>209.9992</v>
      </c>
      <c r="Q259" t="s">
        <v>8046</v>
      </c>
      <c r="R259" t="s">
        <v>8200</v>
      </c>
      <c r="S259" s="3" t="s">
        <v>8046</v>
      </c>
      <c r="T259" s="3">
        <v>0</v>
      </c>
      <c r="U259" s="3"/>
    </row>
    <row r="260" spans="1:21" hidden="1" x14ac:dyDescent="0.25">
      <c r="A260" t="s">
        <v>8609</v>
      </c>
      <c r="B260" t="s">
        <v>8783</v>
      </c>
      <c r="C260" t="s">
        <v>1</v>
      </c>
      <c r="D260" t="s">
        <v>0</v>
      </c>
      <c r="E260">
        <v>316059</v>
      </c>
      <c r="F260" t="s">
        <v>2701</v>
      </c>
      <c r="G260" t="s">
        <v>2702</v>
      </c>
      <c r="H260" s="3">
        <v>0</v>
      </c>
      <c r="I260" s="3">
        <v>0</v>
      </c>
      <c r="J260" s="3">
        <v>0</v>
      </c>
      <c r="K260" s="3">
        <v>94.25</v>
      </c>
      <c r="L260" s="3">
        <v>0</v>
      </c>
      <c r="M260" s="3">
        <v>0</v>
      </c>
      <c r="N260" s="3">
        <v>0</v>
      </c>
      <c r="O260" s="3">
        <v>12.252500000000001</v>
      </c>
      <c r="P260" s="3">
        <v>106.5025</v>
      </c>
      <c r="Q260" t="s">
        <v>8046</v>
      </c>
      <c r="R260" t="s">
        <v>8200</v>
      </c>
      <c r="S260" s="3" t="s">
        <v>8046</v>
      </c>
      <c r="T260" s="3">
        <v>0</v>
      </c>
      <c r="U260" s="3"/>
    </row>
    <row r="261" spans="1:21" hidden="1" x14ac:dyDescent="0.25">
      <c r="A261" t="s">
        <v>8609</v>
      </c>
      <c r="B261" t="s">
        <v>8783</v>
      </c>
      <c r="C261" t="s">
        <v>1</v>
      </c>
      <c r="D261" t="s">
        <v>0</v>
      </c>
      <c r="E261">
        <v>12956</v>
      </c>
      <c r="F261" t="s">
        <v>2635</v>
      </c>
      <c r="G261" t="s">
        <v>2636</v>
      </c>
      <c r="H261" s="3">
        <v>0</v>
      </c>
      <c r="I261" s="3">
        <v>0</v>
      </c>
      <c r="J261" s="3">
        <v>0</v>
      </c>
      <c r="K261" s="3">
        <v>243.54</v>
      </c>
      <c r="L261" s="3">
        <v>0</v>
      </c>
      <c r="M261" s="3">
        <v>0</v>
      </c>
      <c r="N261" s="3">
        <v>0</v>
      </c>
      <c r="O261" s="3">
        <v>31.6602</v>
      </c>
      <c r="P261" s="3">
        <v>275.2002</v>
      </c>
      <c r="Q261" t="s">
        <v>8046</v>
      </c>
      <c r="R261" t="s">
        <v>8200</v>
      </c>
      <c r="S261" s="3" t="s">
        <v>8345</v>
      </c>
      <c r="T261" s="3">
        <v>2.44</v>
      </c>
      <c r="U261" s="3"/>
    </row>
    <row r="262" spans="1:21" hidden="1" x14ac:dyDescent="0.25">
      <c r="A262" t="s">
        <v>8609</v>
      </c>
      <c r="B262" t="s">
        <v>8783</v>
      </c>
      <c r="C262" t="s">
        <v>1</v>
      </c>
      <c r="D262" t="s">
        <v>0</v>
      </c>
      <c r="E262">
        <v>372102</v>
      </c>
      <c r="F262" t="s">
        <v>2436</v>
      </c>
      <c r="G262" t="s">
        <v>2437</v>
      </c>
      <c r="H262" s="3">
        <v>0</v>
      </c>
      <c r="I262" s="3">
        <v>0</v>
      </c>
      <c r="J262" s="3">
        <v>0</v>
      </c>
      <c r="K262" s="3">
        <v>189.24</v>
      </c>
      <c r="L262" s="3">
        <v>0</v>
      </c>
      <c r="M262" s="3">
        <v>0</v>
      </c>
      <c r="N262" s="3">
        <v>0</v>
      </c>
      <c r="O262" s="3">
        <v>24.601200000000002</v>
      </c>
      <c r="P262" s="3">
        <v>213.84120000000001</v>
      </c>
      <c r="Q262" t="s">
        <v>8046</v>
      </c>
      <c r="R262" t="s">
        <v>8200</v>
      </c>
      <c r="S262" s="3" t="s">
        <v>8046</v>
      </c>
      <c r="T262" s="3">
        <v>0</v>
      </c>
      <c r="U262" s="3"/>
    </row>
    <row r="263" spans="1:21" hidden="1" x14ac:dyDescent="0.25">
      <c r="A263" t="s">
        <v>8609</v>
      </c>
      <c r="B263" t="s">
        <v>8783</v>
      </c>
      <c r="C263" t="s">
        <v>1</v>
      </c>
      <c r="D263" t="s">
        <v>0</v>
      </c>
      <c r="E263">
        <v>372101</v>
      </c>
      <c r="F263" t="s">
        <v>2436</v>
      </c>
      <c r="G263" t="s">
        <v>2437</v>
      </c>
      <c r="H263" s="3">
        <v>0</v>
      </c>
      <c r="I263" s="3">
        <v>0</v>
      </c>
      <c r="J263" s="3">
        <v>0</v>
      </c>
      <c r="K263" s="3">
        <v>12.28</v>
      </c>
      <c r="L263" s="3">
        <v>0</v>
      </c>
      <c r="M263" s="3">
        <v>0</v>
      </c>
      <c r="N263" s="3">
        <v>0</v>
      </c>
      <c r="O263" s="3">
        <v>1.5964</v>
      </c>
      <c r="P263" s="3">
        <v>13.8764</v>
      </c>
      <c r="Q263" t="s">
        <v>8046</v>
      </c>
      <c r="R263" t="s">
        <v>8200</v>
      </c>
      <c r="S263" s="3" t="s">
        <v>8046</v>
      </c>
      <c r="T263" s="3">
        <v>0</v>
      </c>
      <c r="U263" s="3"/>
    </row>
    <row r="264" spans="1:21" hidden="1" x14ac:dyDescent="0.25">
      <c r="A264" t="s">
        <v>8609</v>
      </c>
      <c r="B264" t="s">
        <v>8783</v>
      </c>
      <c r="C264" t="s">
        <v>1</v>
      </c>
      <c r="D264" t="s">
        <v>0</v>
      </c>
      <c r="E264">
        <v>3607</v>
      </c>
      <c r="F264" t="s">
        <v>1565</v>
      </c>
      <c r="G264" t="s">
        <v>1566</v>
      </c>
      <c r="H264" s="3">
        <v>0</v>
      </c>
      <c r="I264" s="3">
        <v>0</v>
      </c>
      <c r="J264" s="3">
        <v>0</v>
      </c>
      <c r="K264" s="3">
        <v>212.4</v>
      </c>
      <c r="L264" s="3">
        <v>0</v>
      </c>
      <c r="M264" s="3">
        <v>0</v>
      </c>
      <c r="N264" s="3">
        <v>0</v>
      </c>
      <c r="O264" s="3">
        <v>27.612000000000002</v>
      </c>
      <c r="P264" s="3">
        <v>240.012</v>
      </c>
      <c r="Q264" t="s">
        <v>8046</v>
      </c>
      <c r="R264" t="s">
        <v>8200</v>
      </c>
      <c r="S264" s="3" t="s">
        <v>8046</v>
      </c>
      <c r="T264" s="3">
        <v>0</v>
      </c>
      <c r="U264" s="3"/>
    </row>
    <row r="265" spans="1:21" hidden="1" x14ac:dyDescent="0.25">
      <c r="A265" t="s">
        <v>8609</v>
      </c>
      <c r="B265" t="s">
        <v>8783</v>
      </c>
      <c r="C265" t="s">
        <v>1</v>
      </c>
      <c r="D265" t="s">
        <v>0</v>
      </c>
      <c r="E265">
        <v>893</v>
      </c>
      <c r="F265" t="s">
        <v>1630</v>
      </c>
      <c r="G265" t="s">
        <v>1631</v>
      </c>
      <c r="H265" s="3">
        <v>0</v>
      </c>
      <c r="I265" s="3">
        <v>0</v>
      </c>
      <c r="J265" s="3">
        <v>0</v>
      </c>
      <c r="K265" s="3">
        <v>49.56</v>
      </c>
      <c r="L265" s="3">
        <v>0</v>
      </c>
      <c r="M265" s="3">
        <v>0</v>
      </c>
      <c r="N265" s="3">
        <v>0</v>
      </c>
      <c r="O265" s="3">
        <v>6.4428000000000001</v>
      </c>
      <c r="P265" s="3">
        <v>56.002800000000001</v>
      </c>
      <c r="Q265" t="s">
        <v>8046</v>
      </c>
      <c r="R265" t="s">
        <v>8200</v>
      </c>
      <c r="S265" s="3" t="s">
        <v>8046</v>
      </c>
      <c r="T265" s="3">
        <v>0</v>
      </c>
      <c r="U265" s="3"/>
    </row>
    <row r="266" spans="1:21" hidden="1" x14ac:dyDescent="0.25">
      <c r="A266" t="s">
        <v>8609</v>
      </c>
      <c r="B266" t="s">
        <v>8783</v>
      </c>
      <c r="C266" t="s">
        <v>1</v>
      </c>
      <c r="D266" t="s">
        <v>0</v>
      </c>
      <c r="E266">
        <v>372103</v>
      </c>
      <c r="F266" t="s">
        <v>2436</v>
      </c>
      <c r="G266" t="s">
        <v>2437</v>
      </c>
      <c r="H266" s="3">
        <v>0</v>
      </c>
      <c r="I266" s="3">
        <v>0</v>
      </c>
      <c r="J266" s="3">
        <v>0</v>
      </c>
      <c r="K266" s="3">
        <v>191.54</v>
      </c>
      <c r="L266" s="3">
        <v>0</v>
      </c>
      <c r="M266" s="3">
        <v>0</v>
      </c>
      <c r="N266" s="3">
        <v>0</v>
      </c>
      <c r="O266" s="3">
        <v>24.900199999999998</v>
      </c>
      <c r="P266" s="3">
        <v>216.4402</v>
      </c>
      <c r="Q266" t="s">
        <v>8046</v>
      </c>
      <c r="R266" t="s">
        <v>8200</v>
      </c>
      <c r="S266" s="3" t="s">
        <v>8750</v>
      </c>
      <c r="T266" s="3">
        <v>1.92</v>
      </c>
      <c r="U266" s="3"/>
    </row>
    <row r="267" spans="1:21" hidden="1" x14ac:dyDescent="0.25">
      <c r="A267" t="s">
        <v>8609</v>
      </c>
      <c r="B267" t="s">
        <v>8773</v>
      </c>
      <c r="C267" t="s">
        <v>1</v>
      </c>
      <c r="D267" t="s">
        <v>0</v>
      </c>
      <c r="E267">
        <v>1987083</v>
      </c>
      <c r="F267" t="s">
        <v>1501</v>
      </c>
      <c r="G267" t="s">
        <v>1502</v>
      </c>
      <c r="H267" s="3">
        <v>1.41</v>
      </c>
      <c r="I267" s="3">
        <v>0</v>
      </c>
      <c r="J267" s="3">
        <v>0</v>
      </c>
      <c r="K267" s="3">
        <v>25.3</v>
      </c>
      <c r="L267" s="3">
        <v>0</v>
      </c>
      <c r="M267" s="3">
        <v>0</v>
      </c>
      <c r="N267" s="3">
        <v>0</v>
      </c>
      <c r="O267" s="3">
        <v>3.2890000000000001</v>
      </c>
      <c r="P267" s="3">
        <v>29.999000000000002</v>
      </c>
      <c r="Q267" t="s">
        <v>8046</v>
      </c>
      <c r="R267" t="s">
        <v>8200</v>
      </c>
      <c r="S267" s="3" t="s">
        <v>8046</v>
      </c>
      <c r="T267" s="3">
        <v>0</v>
      </c>
      <c r="U267" s="3"/>
    </row>
    <row r="268" spans="1:21" hidden="1" x14ac:dyDescent="0.25">
      <c r="A268" t="s">
        <v>8609</v>
      </c>
      <c r="B268" t="s">
        <v>8773</v>
      </c>
      <c r="C268" t="s">
        <v>1</v>
      </c>
      <c r="D268" t="s">
        <v>0</v>
      </c>
      <c r="E268">
        <v>2132870</v>
      </c>
      <c r="F268" t="s">
        <v>1501</v>
      </c>
      <c r="G268" t="s">
        <v>1502</v>
      </c>
      <c r="H268" s="3">
        <v>5.37</v>
      </c>
      <c r="I268" s="3">
        <v>0</v>
      </c>
      <c r="J268" s="3">
        <v>0</v>
      </c>
      <c r="K268" s="3">
        <v>41.33</v>
      </c>
      <c r="L268" s="3">
        <v>0</v>
      </c>
      <c r="M268" s="3">
        <v>0</v>
      </c>
      <c r="N268" s="3">
        <v>0</v>
      </c>
      <c r="O268" s="3">
        <v>5.3728999999999996</v>
      </c>
      <c r="P268" s="3">
        <v>52.072899999999997</v>
      </c>
      <c r="Q268" t="s">
        <v>8046</v>
      </c>
      <c r="R268" t="s">
        <v>8200</v>
      </c>
      <c r="S268" s="3" t="s">
        <v>8046</v>
      </c>
      <c r="T268" s="3">
        <v>0</v>
      </c>
      <c r="U268" s="3"/>
    </row>
    <row r="269" spans="1:21" hidden="1" x14ac:dyDescent="0.25">
      <c r="A269" t="s">
        <v>8609</v>
      </c>
      <c r="B269" t="s">
        <v>8773</v>
      </c>
      <c r="C269" t="s">
        <v>1</v>
      </c>
      <c r="D269" t="s">
        <v>0</v>
      </c>
      <c r="E269">
        <v>1469843</v>
      </c>
      <c r="F269" t="s">
        <v>1576</v>
      </c>
      <c r="G269" t="s">
        <v>1577</v>
      </c>
      <c r="H269" s="3">
        <v>0</v>
      </c>
      <c r="I269" s="3">
        <v>0</v>
      </c>
      <c r="J269" s="3">
        <v>0</v>
      </c>
      <c r="K269" s="3">
        <v>146.4</v>
      </c>
      <c r="L269" s="3">
        <v>0</v>
      </c>
      <c r="M269" s="3">
        <v>0</v>
      </c>
      <c r="N269" s="3">
        <v>0</v>
      </c>
      <c r="O269" s="3">
        <v>19.032</v>
      </c>
      <c r="P269" s="3">
        <v>165.43200000000002</v>
      </c>
      <c r="Q269" t="s">
        <v>8046</v>
      </c>
      <c r="R269" t="s">
        <v>8200</v>
      </c>
      <c r="S269" s="3" t="s">
        <v>8345</v>
      </c>
      <c r="T269" s="3">
        <v>1.46</v>
      </c>
      <c r="U269" s="3"/>
    </row>
    <row r="270" spans="1:21" hidden="1" x14ac:dyDescent="0.25">
      <c r="A270" t="s">
        <v>8609</v>
      </c>
      <c r="B270" t="s">
        <v>8773</v>
      </c>
      <c r="C270" t="s">
        <v>1</v>
      </c>
      <c r="D270" t="s">
        <v>0</v>
      </c>
      <c r="E270">
        <v>1618</v>
      </c>
      <c r="F270" t="s">
        <v>1653</v>
      </c>
      <c r="G270" t="s">
        <v>1654</v>
      </c>
      <c r="H270" s="3">
        <v>1.1499999999999999</v>
      </c>
      <c r="I270" s="3">
        <v>0</v>
      </c>
      <c r="J270" s="3">
        <v>0</v>
      </c>
      <c r="K270" s="3">
        <v>21.1</v>
      </c>
      <c r="L270" s="3">
        <v>0</v>
      </c>
      <c r="M270" s="3">
        <v>0</v>
      </c>
      <c r="N270" s="3">
        <v>0</v>
      </c>
      <c r="O270" s="3">
        <v>2.7430000000000003</v>
      </c>
      <c r="P270" s="3">
        <v>24.993000000000002</v>
      </c>
      <c r="Q270" t="s">
        <v>8046</v>
      </c>
      <c r="R270" t="s">
        <v>8200</v>
      </c>
      <c r="S270" s="3" t="s">
        <v>8046</v>
      </c>
      <c r="T270" s="3">
        <v>0</v>
      </c>
      <c r="U270" s="3"/>
    </row>
    <row r="271" spans="1:21" hidden="1" x14ac:dyDescent="0.25">
      <c r="A271" t="s">
        <v>8609</v>
      </c>
      <c r="B271" t="s">
        <v>8773</v>
      </c>
      <c r="C271" t="s">
        <v>1</v>
      </c>
      <c r="D271" t="s">
        <v>0</v>
      </c>
      <c r="E271">
        <v>301924</v>
      </c>
      <c r="F271" t="s">
        <v>2788</v>
      </c>
      <c r="G271" t="s">
        <v>2789</v>
      </c>
      <c r="H271" s="3">
        <v>0</v>
      </c>
      <c r="I271" s="3">
        <v>0</v>
      </c>
      <c r="J271" s="3">
        <v>0</v>
      </c>
      <c r="K271" s="3">
        <v>68.150000000000006</v>
      </c>
      <c r="L271" s="3">
        <v>0</v>
      </c>
      <c r="M271" s="3">
        <v>0</v>
      </c>
      <c r="N271" s="3">
        <v>0</v>
      </c>
      <c r="O271" s="3">
        <v>8.8595000000000006</v>
      </c>
      <c r="P271" s="3">
        <v>77.009500000000003</v>
      </c>
      <c r="Q271" t="s">
        <v>8046</v>
      </c>
      <c r="R271" t="s">
        <v>8200</v>
      </c>
      <c r="S271" s="3" t="s">
        <v>8046</v>
      </c>
      <c r="T271" s="3">
        <v>0</v>
      </c>
      <c r="U271" s="3"/>
    </row>
    <row r="272" spans="1:21" hidden="1" x14ac:dyDescent="0.25">
      <c r="A272" t="s">
        <v>8609</v>
      </c>
      <c r="B272" t="s">
        <v>8773</v>
      </c>
      <c r="C272" t="s">
        <v>1</v>
      </c>
      <c r="D272" t="s">
        <v>0</v>
      </c>
      <c r="E272">
        <v>30713</v>
      </c>
      <c r="F272" t="s">
        <v>1522</v>
      </c>
      <c r="G272" t="s">
        <v>1523</v>
      </c>
      <c r="H272" s="3">
        <v>2.93</v>
      </c>
      <c r="I272" s="3">
        <v>0</v>
      </c>
      <c r="J272" s="3">
        <v>0</v>
      </c>
      <c r="K272" s="3">
        <v>50.5</v>
      </c>
      <c r="L272" s="3">
        <v>0</v>
      </c>
      <c r="M272" s="3">
        <v>0</v>
      </c>
      <c r="N272" s="3">
        <v>0</v>
      </c>
      <c r="O272" s="3">
        <v>6.5650000000000004</v>
      </c>
      <c r="P272" s="3">
        <v>59.994999999999997</v>
      </c>
      <c r="Q272" t="s">
        <v>8046</v>
      </c>
      <c r="R272" t="s">
        <v>8200</v>
      </c>
      <c r="S272" s="3" t="s">
        <v>8046</v>
      </c>
      <c r="T272" s="3">
        <v>0</v>
      </c>
      <c r="U272" s="3"/>
    </row>
    <row r="273" spans="1:21" hidden="1" x14ac:dyDescent="0.25">
      <c r="A273" t="s">
        <v>8609</v>
      </c>
      <c r="B273" t="s">
        <v>8773</v>
      </c>
      <c r="C273" t="s">
        <v>1</v>
      </c>
      <c r="D273" t="s">
        <v>0</v>
      </c>
      <c r="E273">
        <v>18424</v>
      </c>
      <c r="F273" t="s">
        <v>8383</v>
      </c>
      <c r="G273" t="s">
        <v>8384</v>
      </c>
      <c r="H273" s="3">
        <v>0</v>
      </c>
      <c r="I273" s="3">
        <v>0</v>
      </c>
      <c r="J273" s="3">
        <v>0</v>
      </c>
      <c r="K273" s="3">
        <v>86.45</v>
      </c>
      <c r="L273" s="3">
        <v>0</v>
      </c>
      <c r="M273" s="3">
        <v>0</v>
      </c>
      <c r="N273" s="3">
        <v>0</v>
      </c>
      <c r="O273" s="3">
        <v>11.2385</v>
      </c>
      <c r="P273" s="3">
        <v>97.688500000000005</v>
      </c>
      <c r="Q273" t="s">
        <v>8046</v>
      </c>
      <c r="R273" t="s">
        <v>8200</v>
      </c>
      <c r="S273" s="3" t="s">
        <v>8046</v>
      </c>
      <c r="T273" s="3">
        <v>0</v>
      </c>
      <c r="U273" s="3"/>
    </row>
    <row r="274" spans="1:21" hidden="1" x14ac:dyDescent="0.25">
      <c r="A274" t="s">
        <v>8609</v>
      </c>
      <c r="B274" t="s">
        <v>8773</v>
      </c>
      <c r="C274" t="s">
        <v>1</v>
      </c>
      <c r="D274" t="s">
        <v>0</v>
      </c>
      <c r="E274">
        <v>18442</v>
      </c>
      <c r="F274" t="s">
        <v>8383</v>
      </c>
      <c r="G274" t="s">
        <v>8384</v>
      </c>
      <c r="H274" s="3">
        <v>0</v>
      </c>
      <c r="I274" s="3">
        <v>0</v>
      </c>
      <c r="J274" s="3">
        <v>0</v>
      </c>
      <c r="K274" s="3">
        <v>112.34</v>
      </c>
      <c r="L274" s="3">
        <v>0</v>
      </c>
      <c r="M274" s="3">
        <v>0</v>
      </c>
      <c r="N274" s="3">
        <v>0</v>
      </c>
      <c r="O274" s="3">
        <v>14.604200000000001</v>
      </c>
      <c r="P274" s="3">
        <v>126.94420000000001</v>
      </c>
      <c r="Q274" t="s">
        <v>8046</v>
      </c>
      <c r="R274" t="s">
        <v>8200</v>
      </c>
      <c r="S274" s="3" t="s">
        <v>8046</v>
      </c>
      <c r="T274" s="3">
        <v>0</v>
      </c>
      <c r="U274" s="3"/>
    </row>
    <row r="275" spans="1:21" hidden="1" x14ac:dyDescent="0.25">
      <c r="A275" t="s">
        <v>8609</v>
      </c>
      <c r="B275" t="s">
        <v>8773</v>
      </c>
      <c r="C275" t="s">
        <v>1</v>
      </c>
      <c r="D275" t="s">
        <v>0</v>
      </c>
      <c r="E275">
        <v>30749</v>
      </c>
      <c r="F275" t="s">
        <v>3019</v>
      </c>
      <c r="G275" t="s">
        <v>3020</v>
      </c>
      <c r="H275" s="3">
        <v>0</v>
      </c>
      <c r="I275" s="3">
        <v>0</v>
      </c>
      <c r="J275" s="3">
        <v>0</v>
      </c>
      <c r="K275" s="3">
        <v>677.86</v>
      </c>
      <c r="L275" s="3">
        <v>0</v>
      </c>
      <c r="M275" s="3">
        <v>0</v>
      </c>
      <c r="N275" s="3">
        <v>0</v>
      </c>
      <c r="O275" s="3">
        <v>88.121800000000007</v>
      </c>
      <c r="P275" s="3">
        <v>765.98180000000002</v>
      </c>
      <c r="Q275" t="s">
        <v>8046</v>
      </c>
      <c r="R275" t="s">
        <v>8200</v>
      </c>
      <c r="S275" s="3" t="s">
        <v>8341</v>
      </c>
      <c r="T275" s="3">
        <v>6.78</v>
      </c>
      <c r="U275" s="3"/>
    </row>
    <row r="276" spans="1:21" hidden="1" x14ac:dyDescent="0.25">
      <c r="A276" t="s">
        <v>8609</v>
      </c>
      <c r="B276" t="s">
        <v>8773</v>
      </c>
      <c r="C276" t="s">
        <v>1</v>
      </c>
      <c r="D276" t="s">
        <v>0</v>
      </c>
      <c r="E276">
        <v>206982</v>
      </c>
      <c r="F276" t="s">
        <v>1646</v>
      </c>
      <c r="G276" t="s">
        <v>1647</v>
      </c>
      <c r="H276" s="3">
        <v>0</v>
      </c>
      <c r="I276" s="3">
        <v>0</v>
      </c>
      <c r="J276" s="3">
        <v>0</v>
      </c>
      <c r="K276" s="3">
        <v>660</v>
      </c>
      <c r="L276" s="3">
        <v>0</v>
      </c>
      <c r="M276" s="3">
        <v>0</v>
      </c>
      <c r="N276" s="3">
        <v>0</v>
      </c>
      <c r="O276" s="3">
        <v>85.8</v>
      </c>
      <c r="P276" s="3">
        <v>745.8</v>
      </c>
      <c r="Q276" t="s">
        <v>8046</v>
      </c>
      <c r="R276" t="s">
        <v>8200</v>
      </c>
      <c r="S276" s="3" t="s">
        <v>8046</v>
      </c>
      <c r="T276" s="3">
        <v>0</v>
      </c>
      <c r="U276" s="3"/>
    </row>
    <row r="277" spans="1:21" hidden="1" x14ac:dyDescent="0.25">
      <c r="A277" t="s">
        <v>8609</v>
      </c>
      <c r="B277" t="s">
        <v>8767</v>
      </c>
      <c r="C277" t="s">
        <v>1</v>
      </c>
      <c r="D277" t="s">
        <v>0</v>
      </c>
      <c r="E277">
        <v>12934</v>
      </c>
      <c r="F277" t="s">
        <v>2635</v>
      </c>
      <c r="G277" t="s">
        <v>2636</v>
      </c>
      <c r="H277" s="3">
        <v>0</v>
      </c>
      <c r="I277" s="3">
        <v>0</v>
      </c>
      <c r="J277" s="3">
        <v>0</v>
      </c>
      <c r="K277" s="3">
        <v>194.47</v>
      </c>
      <c r="L277" s="3">
        <v>0</v>
      </c>
      <c r="M277" s="3">
        <v>0</v>
      </c>
      <c r="N277" s="3">
        <v>0</v>
      </c>
      <c r="O277" s="3">
        <v>25.281100000000002</v>
      </c>
      <c r="P277" s="3">
        <v>219.75110000000001</v>
      </c>
      <c r="Q277" t="s">
        <v>8046</v>
      </c>
      <c r="R277" t="s">
        <v>8200</v>
      </c>
      <c r="S277" s="3" t="s">
        <v>8345</v>
      </c>
      <c r="T277" s="3">
        <v>1.94</v>
      </c>
      <c r="U277" s="3"/>
    </row>
    <row r="278" spans="1:21" hidden="1" x14ac:dyDescent="0.25">
      <c r="A278" t="s">
        <v>8609</v>
      </c>
      <c r="B278" t="s">
        <v>8767</v>
      </c>
      <c r="C278" t="s">
        <v>1</v>
      </c>
      <c r="D278" t="s">
        <v>0</v>
      </c>
      <c r="E278">
        <v>912</v>
      </c>
      <c r="F278" t="s">
        <v>2256</v>
      </c>
      <c r="G278" t="s">
        <v>2257</v>
      </c>
      <c r="H278" s="3">
        <v>0</v>
      </c>
      <c r="I278" s="3">
        <v>0</v>
      </c>
      <c r="J278" s="3">
        <v>0</v>
      </c>
      <c r="K278" s="3">
        <v>148.32</v>
      </c>
      <c r="L278" s="3">
        <v>0</v>
      </c>
      <c r="M278" s="3">
        <v>0</v>
      </c>
      <c r="N278" s="3">
        <v>0</v>
      </c>
      <c r="O278" s="3">
        <v>19.281600000000001</v>
      </c>
      <c r="P278" s="3">
        <v>167.60159999999999</v>
      </c>
      <c r="Q278" t="s">
        <v>8046</v>
      </c>
      <c r="R278" t="s">
        <v>8200</v>
      </c>
      <c r="S278" s="3" t="s">
        <v>8750</v>
      </c>
      <c r="T278" s="3">
        <v>1.48</v>
      </c>
      <c r="U278" s="3"/>
    </row>
    <row r="279" spans="1:21" hidden="1" x14ac:dyDescent="0.25">
      <c r="A279" t="s">
        <v>8609</v>
      </c>
      <c r="B279" t="s">
        <v>8767</v>
      </c>
      <c r="C279" t="s">
        <v>1</v>
      </c>
      <c r="D279" t="s">
        <v>0</v>
      </c>
      <c r="E279">
        <v>1093382</v>
      </c>
      <c r="F279" t="s">
        <v>1576</v>
      </c>
      <c r="G279" t="s">
        <v>1577</v>
      </c>
      <c r="H279" s="3">
        <v>0</v>
      </c>
      <c r="I279" s="3">
        <v>0</v>
      </c>
      <c r="J279" s="3">
        <v>0</v>
      </c>
      <c r="K279" s="3">
        <v>123.76</v>
      </c>
      <c r="L279" s="3">
        <v>0</v>
      </c>
      <c r="M279" s="3">
        <v>0</v>
      </c>
      <c r="N279" s="3">
        <v>0</v>
      </c>
      <c r="O279" s="3">
        <v>16.088800000000003</v>
      </c>
      <c r="P279" s="3">
        <v>139.84880000000001</v>
      </c>
      <c r="Q279" t="s">
        <v>8046</v>
      </c>
      <c r="R279" t="s">
        <v>8200</v>
      </c>
      <c r="S279" s="3" t="s">
        <v>8345</v>
      </c>
      <c r="T279" s="3">
        <v>1.24</v>
      </c>
      <c r="U279" s="3"/>
    </row>
    <row r="280" spans="1:21" hidden="1" x14ac:dyDescent="0.25">
      <c r="A280" t="s">
        <v>8609</v>
      </c>
      <c r="B280" t="s">
        <v>8767</v>
      </c>
      <c r="C280" t="s">
        <v>1</v>
      </c>
      <c r="D280" t="s">
        <v>0</v>
      </c>
      <c r="E280">
        <v>27331</v>
      </c>
      <c r="F280" t="s">
        <v>3251</v>
      </c>
      <c r="G280" t="s">
        <v>3252</v>
      </c>
      <c r="H280" s="3">
        <v>0</v>
      </c>
      <c r="I280" s="3">
        <v>0</v>
      </c>
      <c r="J280" s="3">
        <v>0</v>
      </c>
      <c r="K280" s="3">
        <v>92.32</v>
      </c>
      <c r="L280" s="3">
        <v>0</v>
      </c>
      <c r="M280" s="3">
        <v>0</v>
      </c>
      <c r="N280" s="3">
        <v>0</v>
      </c>
      <c r="O280" s="3">
        <v>12.0016</v>
      </c>
      <c r="P280" s="3">
        <v>104.32159999999999</v>
      </c>
      <c r="Q280" t="s">
        <v>8046</v>
      </c>
      <c r="R280" t="s">
        <v>8200</v>
      </c>
      <c r="S280" s="3" t="s">
        <v>8046</v>
      </c>
      <c r="T280" s="3">
        <v>0</v>
      </c>
      <c r="U280" s="3"/>
    </row>
    <row r="281" spans="1:21" hidden="1" x14ac:dyDescent="0.25">
      <c r="A281" t="s">
        <v>8609</v>
      </c>
      <c r="B281" t="s">
        <v>8767</v>
      </c>
      <c r="C281" t="s">
        <v>1</v>
      </c>
      <c r="D281" t="s">
        <v>0</v>
      </c>
      <c r="E281">
        <v>530715</v>
      </c>
      <c r="F281" t="s">
        <v>2376</v>
      </c>
      <c r="G281" t="s">
        <v>2377</v>
      </c>
      <c r="H281" s="3">
        <v>0</v>
      </c>
      <c r="I281" s="3">
        <v>0</v>
      </c>
      <c r="J281" s="3">
        <v>0</v>
      </c>
      <c r="K281" s="3">
        <v>189.25</v>
      </c>
      <c r="L281" s="3">
        <v>0</v>
      </c>
      <c r="M281" s="3">
        <v>0</v>
      </c>
      <c r="N281" s="3">
        <v>0</v>
      </c>
      <c r="O281" s="3">
        <v>24.602499999999999</v>
      </c>
      <c r="P281" s="3">
        <v>213.85249999999999</v>
      </c>
      <c r="Q281" t="s">
        <v>8046</v>
      </c>
      <c r="R281" t="s">
        <v>8200</v>
      </c>
      <c r="S281" s="3" t="s">
        <v>8046</v>
      </c>
      <c r="T281" s="3">
        <v>0</v>
      </c>
      <c r="U281" s="3"/>
    </row>
    <row r="282" spans="1:21" hidden="1" x14ac:dyDescent="0.25">
      <c r="A282" t="s">
        <v>8609</v>
      </c>
      <c r="B282" t="s">
        <v>8767</v>
      </c>
      <c r="C282" t="s">
        <v>1</v>
      </c>
      <c r="D282" t="s">
        <v>0</v>
      </c>
      <c r="E282">
        <v>73</v>
      </c>
      <c r="F282" t="s">
        <v>8368</v>
      </c>
      <c r="G282" t="s">
        <v>8369</v>
      </c>
      <c r="H282" s="3">
        <v>0</v>
      </c>
      <c r="I282" s="3">
        <v>0</v>
      </c>
      <c r="J282" s="3">
        <v>0</v>
      </c>
      <c r="K282" s="3">
        <v>216.81</v>
      </c>
      <c r="L282" s="3">
        <v>0</v>
      </c>
      <c r="M282" s="3">
        <v>0</v>
      </c>
      <c r="N282" s="3">
        <v>0</v>
      </c>
      <c r="O282" s="3">
        <v>28.185300000000002</v>
      </c>
      <c r="P282" s="3">
        <v>244.99530000000001</v>
      </c>
      <c r="Q282" t="s">
        <v>8046</v>
      </c>
      <c r="R282" t="s">
        <v>8200</v>
      </c>
      <c r="S282" s="3" t="s">
        <v>8046</v>
      </c>
      <c r="T282" s="3">
        <v>0</v>
      </c>
      <c r="U282" s="3"/>
    </row>
    <row r="283" spans="1:21" hidden="1" x14ac:dyDescent="0.25">
      <c r="A283" t="s">
        <v>8609</v>
      </c>
      <c r="B283" t="s">
        <v>8767</v>
      </c>
      <c r="C283" t="s">
        <v>1</v>
      </c>
      <c r="D283" t="s">
        <v>0</v>
      </c>
      <c r="E283">
        <v>31194</v>
      </c>
      <c r="F283" t="s">
        <v>2433</v>
      </c>
      <c r="G283" t="s">
        <v>2434</v>
      </c>
      <c r="H283" s="3">
        <v>0</v>
      </c>
      <c r="I283" s="3">
        <v>0</v>
      </c>
      <c r="J283" s="3">
        <v>0</v>
      </c>
      <c r="K283" s="3">
        <v>60.28</v>
      </c>
      <c r="L283" s="3">
        <v>0</v>
      </c>
      <c r="M283" s="3">
        <v>0</v>
      </c>
      <c r="N283" s="3">
        <v>0</v>
      </c>
      <c r="O283" s="3">
        <v>7.8364000000000003</v>
      </c>
      <c r="P283" s="3">
        <v>68.116399999999999</v>
      </c>
      <c r="Q283" t="s">
        <v>8046</v>
      </c>
      <c r="R283" t="s">
        <v>8200</v>
      </c>
      <c r="S283" s="3" t="s">
        <v>8046</v>
      </c>
      <c r="T283" s="3">
        <v>0</v>
      </c>
      <c r="U283" s="3"/>
    </row>
    <row r="284" spans="1:21" hidden="1" x14ac:dyDescent="0.25">
      <c r="A284" t="s">
        <v>8609</v>
      </c>
      <c r="B284" t="s">
        <v>8767</v>
      </c>
      <c r="C284" t="s">
        <v>1</v>
      </c>
      <c r="D284" t="s">
        <v>0</v>
      </c>
      <c r="E284">
        <v>1021724</v>
      </c>
      <c r="F284" t="s">
        <v>5422</v>
      </c>
      <c r="G284" t="s">
        <v>5423</v>
      </c>
      <c r="H284" s="3">
        <v>0</v>
      </c>
      <c r="I284" s="3">
        <v>0</v>
      </c>
      <c r="J284" s="3">
        <v>0</v>
      </c>
      <c r="K284" s="3">
        <v>42.57</v>
      </c>
      <c r="L284" s="3">
        <v>0</v>
      </c>
      <c r="M284" s="3">
        <v>0</v>
      </c>
      <c r="N284" s="3">
        <v>0</v>
      </c>
      <c r="O284" s="3">
        <v>5.5341000000000005</v>
      </c>
      <c r="P284" s="3">
        <v>48.104100000000003</v>
      </c>
      <c r="Q284" t="s">
        <v>8046</v>
      </c>
      <c r="R284" t="s">
        <v>8200</v>
      </c>
      <c r="S284" s="3" t="s">
        <v>8046</v>
      </c>
      <c r="T284" s="3">
        <v>0</v>
      </c>
      <c r="U284" s="3"/>
    </row>
    <row r="285" spans="1:21" hidden="1" x14ac:dyDescent="0.25">
      <c r="A285" t="s">
        <v>8609</v>
      </c>
      <c r="B285" t="s">
        <v>8767</v>
      </c>
      <c r="C285" t="s">
        <v>1</v>
      </c>
      <c r="D285" t="s">
        <v>0</v>
      </c>
      <c r="E285">
        <v>19012</v>
      </c>
      <c r="F285" t="s">
        <v>1732</v>
      </c>
      <c r="G285" t="s">
        <v>1733</v>
      </c>
      <c r="H285" s="3">
        <v>2.2200000000000002</v>
      </c>
      <c r="I285" s="3">
        <v>0</v>
      </c>
      <c r="J285" s="3">
        <v>0</v>
      </c>
      <c r="K285" s="3">
        <v>39.76</v>
      </c>
      <c r="L285" s="3">
        <v>0</v>
      </c>
      <c r="M285" s="3">
        <v>0</v>
      </c>
      <c r="N285" s="3">
        <v>0</v>
      </c>
      <c r="O285" s="3">
        <v>5.1688000000000001</v>
      </c>
      <c r="P285" s="3">
        <v>47.148799999999994</v>
      </c>
      <c r="Q285" t="s">
        <v>8046</v>
      </c>
      <c r="R285" t="s">
        <v>8200</v>
      </c>
      <c r="S285" s="3" t="s">
        <v>8046</v>
      </c>
      <c r="T285" s="3">
        <v>0</v>
      </c>
      <c r="U285" s="3"/>
    </row>
    <row r="286" spans="1:21" hidden="1" x14ac:dyDescent="0.25">
      <c r="A286" t="s">
        <v>8609</v>
      </c>
      <c r="B286" t="s">
        <v>8767</v>
      </c>
      <c r="C286" t="s">
        <v>1</v>
      </c>
      <c r="D286" t="s">
        <v>0</v>
      </c>
      <c r="E286">
        <v>12868</v>
      </c>
      <c r="F286" t="s">
        <v>2635</v>
      </c>
      <c r="G286" t="s">
        <v>2636</v>
      </c>
      <c r="H286" s="3">
        <v>0</v>
      </c>
      <c r="I286" s="3">
        <v>0</v>
      </c>
      <c r="J286" s="3">
        <v>0</v>
      </c>
      <c r="K286" s="3">
        <v>221.24</v>
      </c>
      <c r="L286" s="3">
        <v>0</v>
      </c>
      <c r="M286" s="3">
        <v>0</v>
      </c>
      <c r="N286" s="3">
        <v>0</v>
      </c>
      <c r="O286" s="3">
        <v>28.761200000000002</v>
      </c>
      <c r="P286" s="3">
        <v>250.00120000000001</v>
      </c>
      <c r="Q286" t="s">
        <v>8046</v>
      </c>
      <c r="R286" t="s">
        <v>8200</v>
      </c>
      <c r="S286" s="3" t="s">
        <v>8345</v>
      </c>
      <c r="T286" s="3">
        <v>2.21</v>
      </c>
      <c r="U286" s="3"/>
    </row>
    <row r="287" spans="1:21" hidden="1" x14ac:dyDescent="0.25">
      <c r="A287" t="s">
        <v>8609</v>
      </c>
      <c r="B287" t="s">
        <v>8767</v>
      </c>
      <c r="C287" t="s">
        <v>1</v>
      </c>
      <c r="D287" t="s">
        <v>0</v>
      </c>
      <c r="E287">
        <v>247</v>
      </c>
      <c r="F287" t="s">
        <v>8350</v>
      </c>
      <c r="G287" t="s">
        <v>8351</v>
      </c>
      <c r="H287" s="3">
        <v>0</v>
      </c>
      <c r="I287" s="3">
        <v>0</v>
      </c>
      <c r="J287" s="3">
        <v>0</v>
      </c>
      <c r="K287" s="3">
        <v>164.38</v>
      </c>
      <c r="L287" s="3">
        <v>0</v>
      </c>
      <c r="M287" s="3">
        <v>0</v>
      </c>
      <c r="N287" s="3">
        <v>0</v>
      </c>
      <c r="O287" s="3">
        <v>21.369399999999999</v>
      </c>
      <c r="P287" s="3">
        <v>185.74939999999998</v>
      </c>
      <c r="Q287" t="s">
        <v>8046</v>
      </c>
      <c r="R287" t="s">
        <v>8200</v>
      </c>
      <c r="S287" s="3" t="s">
        <v>8046</v>
      </c>
      <c r="T287" s="3">
        <v>0</v>
      </c>
      <c r="U287" s="3"/>
    </row>
    <row r="288" spans="1:21" hidden="1" x14ac:dyDescent="0.25">
      <c r="A288" t="s">
        <v>8609</v>
      </c>
      <c r="B288" t="s">
        <v>8767</v>
      </c>
      <c r="C288" t="s">
        <v>1</v>
      </c>
      <c r="D288" t="s">
        <v>0</v>
      </c>
      <c r="E288">
        <v>1469229</v>
      </c>
      <c r="F288" t="s">
        <v>1576</v>
      </c>
      <c r="G288" t="s">
        <v>1577</v>
      </c>
      <c r="H288" s="3">
        <v>0</v>
      </c>
      <c r="I288" s="3">
        <v>0</v>
      </c>
      <c r="J288" s="3">
        <v>0</v>
      </c>
      <c r="K288" s="3">
        <v>42.17</v>
      </c>
      <c r="L288" s="3">
        <v>0</v>
      </c>
      <c r="M288" s="3">
        <v>0</v>
      </c>
      <c r="N288" s="3">
        <v>0</v>
      </c>
      <c r="O288" s="3">
        <v>5.4821</v>
      </c>
      <c r="P288" s="3">
        <v>47.652100000000004</v>
      </c>
      <c r="Q288" t="s">
        <v>8046</v>
      </c>
      <c r="R288" t="s">
        <v>8200</v>
      </c>
      <c r="S288" s="3" t="s">
        <v>8046</v>
      </c>
      <c r="T288" s="3">
        <v>0</v>
      </c>
      <c r="U288" s="3"/>
    </row>
    <row r="289" spans="1:21" hidden="1" x14ac:dyDescent="0.25">
      <c r="A289" t="s">
        <v>8609</v>
      </c>
      <c r="B289" t="s">
        <v>8767</v>
      </c>
      <c r="C289" t="s">
        <v>1</v>
      </c>
      <c r="D289" t="s">
        <v>0</v>
      </c>
      <c r="E289">
        <v>1469264</v>
      </c>
      <c r="F289" t="s">
        <v>1576</v>
      </c>
      <c r="G289" t="s">
        <v>1577</v>
      </c>
      <c r="H289" s="3">
        <v>0</v>
      </c>
      <c r="I289" s="3">
        <v>0</v>
      </c>
      <c r="J289" s="3">
        <v>0</v>
      </c>
      <c r="K289" s="3">
        <v>147.6</v>
      </c>
      <c r="L289" s="3">
        <v>0</v>
      </c>
      <c r="M289" s="3">
        <v>0</v>
      </c>
      <c r="N289" s="3">
        <v>0</v>
      </c>
      <c r="O289" s="3">
        <v>19.187999999999999</v>
      </c>
      <c r="P289" s="3">
        <v>166.78799999999998</v>
      </c>
      <c r="Q289" t="s">
        <v>8046</v>
      </c>
      <c r="R289" t="s">
        <v>8200</v>
      </c>
      <c r="S289" s="3" t="s">
        <v>8345</v>
      </c>
      <c r="T289" s="3">
        <v>1.48</v>
      </c>
      <c r="U289" s="3"/>
    </row>
    <row r="290" spans="1:21" hidden="1" x14ac:dyDescent="0.25">
      <c r="A290" t="s">
        <v>8609</v>
      </c>
      <c r="B290" t="s">
        <v>8784</v>
      </c>
      <c r="C290" t="s">
        <v>1</v>
      </c>
      <c r="D290" t="s">
        <v>0</v>
      </c>
      <c r="E290">
        <v>1426</v>
      </c>
      <c r="F290" t="s">
        <v>8805</v>
      </c>
      <c r="G290" t="s">
        <v>8806</v>
      </c>
      <c r="H290" s="3">
        <v>0</v>
      </c>
      <c r="I290" s="3">
        <v>0</v>
      </c>
      <c r="J290" s="3">
        <v>0</v>
      </c>
      <c r="K290" s="3">
        <v>102.21</v>
      </c>
      <c r="L290" s="3">
        <v>0</v>
      </c>
      <c r="M290" s="3">
        <v>0</v>
      </c>
      <c r="N290" s="3">
        <v>0</v>
      </c>
      <c r="O290" s="3">
        <v>13.2873</v>
      </c>
      <c r="P290" s="3">
        <v>115.4973</v>
      </c>
      <c r="Q290" t="s">
        <v>8046</v>
      </c>
      <c r="R290" t="s">
        <v>8200</v>
      </c>
      <c r="S290" s="3" t="s">
        <v>8046</v>
      </c>
      <c r="T290" s="3">
        <v>0</v>
      </c>
      <c r="U290" s="3"/>
    </row>
    <row r="291" spans="1:21" hidden="1" x14ac:dyDescent="0.25">
      <c r="A291" t="s">
        <v>8609</v>
      </c>
      <c r="B291" t="s">
        <v>8784</v>
      </c>
      <c r="C291" t="s">
        <v>1</v>
      </c>
      <c r="D291" t="s">
        <v>0</v>
      </c>
      <c r="E291">
        <v>1996</v>
      </c>
      <c r="F291" t="s">
        <v>1597</v>
      </c>
      <c r="G291" t="s">
        <v>1598</v>
      </c>
      <c r="H291" s="3">
        <v>0</v>
      </c>
      <c r="I291" s="3">
        <v>0</v>
      </c>
      <c r="J291" s="3">
        <v>0</v>
      </c>
      <c r="K291" s="3">
        <v>36.5</v>
      </c>
      <c r="L291" s="3">
        <v>0</v>
      </c>
      <c r="M291" s="3">
        <v>0</v>
      </c>
      <c r="N291" s="3">
        <v>0</v>
      </c>
      <c r="O291" s="3">
        <v>4.7450000000000001</v>
      </c>
      <c r="P291" s="3">
        <v>41.244999999999997</v>
      </c>
      <c r="Q291" t="s">
        <v>8046</v>
      </c>
      <c r="R291" t="s">
        <v>8200</v>
      </c>
      <c r="S291" s="3" t="s">
        <v>8046</v>
      </c>
      <c r="T291" s="3">
        <v>0</v>
      </c>
      <c r="U291" s="3"/>
    </row>
    <row r="292" spans="1:21" hidden="1" x14ac:dyDescent="0.25">
      <c r="A292" t="s">
        <v>8609</v>
      </c>
      <c r="B292" t="s">
        <v>8784</v>
      </c>
      <c r="C292" t="s">
        <v>1</v>
      </c>
      <c r="D292" t="s">
        <v>0</v>
      </c>
      <c r="E292">
        <v>44417</v>
      </c>
      <c r="F292" t="s">
        <v>3120</v>
      </c>
      <c r="G292" t="s">
        <v>3121</v>
      </c>
      <c r="H292" s="3">
        <v>0</v>
      </c>
      <c r="I292" s="3">
        <v>0</v>
      </c>
      <c r="J292" s="3">
        <v>0</v>
      </c>
      <c r="K292" s="3">
        <v>148.32</v>
      </c>
      <c r="L292" s="3">
        <v>0</v>
      </c>
      <c r="M292" s="3">
        <v>0</v>
      </c>
      <c r="N292" s="3">
        <v>0</v>
      </c>
      <c r="O292" s="3">
        <v>19.281600000000001</v>
      </c>
      <c r="P292" s="3">
        <v>167.60159999999999</v>
      </c>
      <c r="Q292" t="s">
        <v>8046</v>
      </c>
      <c r="R292" t="s">
        <v>8200</v>
      </c>
      <c r="S292" s="3" t="s">
        <v>8341</v>
      </c>
      <c r="T292" s="3">
        <v>1.48</v>
      </c>
      <c r="U292" s="3"/>
    </row>
    <row r="293" spans="1:21" hidden="1" x14ac:dyDescent="0.25">
      <c r="A293" t="s">
        <v>8609</v>
      </c>
      <c r="B293" t="s">
        <v>8784</v>
      </c>
      <c r="C293" t="s">
        <v>1</v>
      </c>
      <c r="D293" t="s">
        <v>0</v>
      </c>
      <c r="E293">
        <v>4951</v>
      </c>
      <c r="G293" t="s">
        <v>1489</v>
      </c>
      <c r="H293" s="3">
        <v>1.39</v>
      </c>
      <c r="I293" s="3">
        <v>0</v>
      </c>
      <c r="J293" s="3">
        <v>0</v>
      </c>
      <c r="K293" s="3">
        <v>25.32</v>
      </c>
      <c r="L293" s="3">
        <v>0</v>
      </c>
      <c r="M293" s="3">
        <v>0</v>
      </c>
      <c r="N293" s="3">
        <v>0</v>
      </c>
      <c r="O293" s="3">
        <v>3.2916000000000003</v>
      </c>
      <c r="P293" s="3">
        <v>30.0016</v>
      </c>
      <c r="Q293" t="s">
        <v>8673</v>
      </c>
      <c r="R293" t="s">
        <v>8200</v>
      </c>
      <c r="S293" s="3" t="s">
        <v>8046</v>
      </c>
      <c r="T293" s="3">
        <v>0</v>
      </c>
      <c r="U293" s="3"/>
    </row>
    <row r="294" spans="1:21" hidden="1" x14ac:dyDescent="0.25">
      <c r="A294" t="s">
        <v>8609</v>
      </c>
      <c r="B294" t="s">
        <v>8784</v>
      </c>
      <c r="C294" t="s">
        <v>1</v>
      </c>
      <c r="D294" t="s">
        <v>0</v>
      </c>
      <c r="E294">
        <v>184674</v>
      </c>
      <c r="F294" t="s">
        <v>2901</v>
      </c>
      <c r="G294" t="s">
        <v>2902</v>
      </c>
      <c r="H294" s="3">
        <v>0</v>
      </c>
      <c r="I294" s="3">
        <v>0</v>
      </c>
      <c r="J294" s="3">
        <v>0</v>
      </c>
      <c r="K294" s="3">
        <v>20.777000000000001</v>
      </c>
      <c r="L294" s="3">
        <v>0</v>
      </c>
      <c r="M294" s="3">
        <v>0</v>
      </c>
      <c r="N294" s="3">
        <v>0</v>
      </c>
      <c r="O294" s="3">
        <v>2.7010100000000001</v>
      </c>
      <c r="P294" s="3">
        <v>23.478010000000001</v>
      </c>
      <c r="Q294" t="s">
        <v>8046</v>
      </c>
      <c r="R294" t="s">
        <v>8200</v>
      </c>
      <c r="S294" s="3" t="s">
        <v>8046</v>
      </c>
      <c r="T294" s="3">
        <v>0</v>
      </c>
      <c r="U294" s="3"/>
    </row>
    <row r="295" spans="1:21" hidden="1" x14ac:dyDescent="0.25">
      <c r="A295" t="s">
        <v>8609</v>
      </c>
      <c r="B295" t="s">
        <v>8766</v>
      </c>
      <c r="C295" t="s">
        <v>1</v>
      </c>
      <c r="D295" t="s">
        <v>0</v>
      </c>
      <c r="E295">
        <v>1021331</v>
      </c>
      <c r="F295" t="s">
        <v>5422</v>
      </c>
      <c r="G295" t="s">
        <v>5423</v>
      </c>
      <c r="H295" s="3">
        <v>0</v>
      </c>
      <c r="I295" s="3">
        <v>0</v>
      </c>
      <c r="J295" s="3">
        <v>0</v>
      </c>
      <c r="K295" s="3">
        <v>15.43</v>
      </c>
      <c r="L295" s="3">
        <v>0</v>
      </c>
      <c r="M295" s="3">
        <v>0</v>
      </c>
      <c r="N295" s="3">
        <v>0</v>
      </c>
      <c r="O295" s="3">
        <v>2.0059</v>
      </c>
      <c r="P295" s="3">
        <v>17.4359</v>
      </c>
      <c r="Q295" t="s">
        <v>8046</v>
      </c>
      <c r="R295" t="s">
        <v>8200</v>
      </c>
      <c r="S295" s="3" t="s">
        <v>8046</v>
      </c>
      <c r="T295" s="3">
        <v>0</v>
      </c>
      <c r="U295" s="3"/>
    </row>
    <row r="296" spans="1:21" hidden="1" x14ac:dyDescent="0.25">
      <c r="A296" t="s">
        <v>8609</v>
      </c>
      <c r="B296" t="s">
        <v>8766</v>
      </c>
      <c r="C296" t="s">
        <v>1</v>
      </c>
      <c r="D296" t="s">
        <v>0</v>
      </c>
      <c r="E296">
        <v>9745</v>
      </c>
      <c r="F296" t="s">
        <v>1200</v>
      </c>
      <c r="G296" t="s">
        <v>1201</v>
      </c>
      <c r="H296" s="3">
        <v>0</v>
      </c>
      <c r="I296" s="3">
        <v>0</v>
      </c>
      <c r="J296" s="3">
        <v>0</v>
      </c>
      <c r="K296" s="3">
        <v>2758.76</v>
      </c>
      <c r="L296" s="3">
        <v>0</v>
      </c>
      <c r="M296" s="3">
        <v>0</v>
      </c>
      <c r="N296" s="3">
        <v>0</v>
      </c>
      <c r="O296" s="3">
        <v>358.63880000000006</v>
      </c>
      <c r="P296" s="3">
        <v>3117.3988000000004</v>
      </c>
      <c r="Q296" t="s">
        <v>8046</v>
      </c>
      <c r="R296" t="s">
        <v>8200</v>
      </c>
      <c r="S296" s="3" t="s">
        <v>8358</v>
      </c>
      <c r="T296" s="3">
        <v>27.58</v>
      </c>
      <c r="U296" s="3"/>
    </row>
    <row r="297" spans="1:21" hidden="1" x14ac:dyDescent="0.25">
      <c r="A297" t="s">
        <v>8609</v>
      </c>
      <c r="B297" t="s">
        <v>8766</v>
      </c>
      <c r="C297" t="s">
        <v>1</v>
      </c>
      <c r="D297" t="s">
        <v>0</v>
      </c>
      <c r="E297">
        <v>9731</v>
      </c>
      <c r="F297" t="s">
        <v>1200</v>
      </c>
      <c r="G297" t="s">
        <v>1201</v>
      </c>
      <c r="H297" s="3">
        <v>0</v>
      </c>
      <c r="I297" s="3">
        <v>0</v>
      </c>
      <c r="J297" s="3">
        <v>0</v>
      </c>
      <c r="K297" s="3">
        <v>600</v>
      </c>
      <c r="L297" s="3">
        <v>0</v>
      </c>
      <c r="M297" s="3">
        <v>0</v>
      </c>
      <c r="N297" s="3">
        <v>0</v>
      </c>
      <c r="O297" s="3">
        <v>78</v>
      </c>
      <c r="P297" s="3">
        <v>678</v>
      </c>
      <c r="Q297" t="s">
        <v>8046</v>
      </c>
      <c r="R297" t="s">
        <v>8200</v>
      </c>
      <c r="S297" s="3" t="s">
        <v>8358</v>
      </c>
      <c r="T297" s="3">
        <v>6</v>
      </c>
      <c r="U297" s="3"/>
    </row>
    <row r="298" spans="1:21" hidden="1" x14ac:dyDescent="0.25">
      <c r="A298" t="s">
        <v>8609</v>
      </c>
      <c r="B298" t="s">
        <v>8766</v>
      </c>
      <c r="C298" t="s">
        <v>1</v>
      </c>
      <c r="D298" t="s">
        <v>0</v>
      </c>
      <c r="E298">
        <v>2829</v>
      </c>
      <c r="F298" t="s">
        <v>762</v>
      </c>
      <c r="G298" t="s">
        <v>763</v>
      </c>
      <c r="H298" s="3">
        <v>0</v>
      </c>
      <c r="I298" s="3">
        <v>0</v>
      </c>
      <c r="J298" s="3">
        <v>0</v>
      </c>
      <c r="K298" s="3">
        <v>460.66</v>
      </c>
      <c r="L298" s="3">
        <v>0</v>
      </c>
      <c r="M298" s="3">
        <v>0</v>
      </c>
      <c r="N298" s="3">
        <v>0</v>
      </c>
      <c r="O298" s="3">
        <v>59.885800000000003</v>
      </c>
      <c r="P298" s="3">
        <v>520.54579999999999</v>
      </c>
      <c r="Q298" t="s">
        <v>8046</v>
      </c>
      <c r="R298" t="s">
        <v>8200</v>
      </c>
      <c r="S298" s="3" t="s">
        <v>8046</v>
      </c>
      <c r="T298" s="3">
        <v>0</v>
      </c>
      <c r="U298" s="3"/>
    </row>
    <row r="299" spans="1:21" hidden="1" x14ac:dyDescent="0.25">
      <c r="A299" t="s">
        <v>8609</v>
      </c>
      <c r="B299" t="s">
        <v>8766</v>
      </c>
      <c r="C299" t="s">
        <v>1</v>
      </c>
      <c r="D299" t="s">
        <v>0</v>
      </c>
      <c r="E299">
        <v>4322</v>
      </c>
      <c r="F299" t="s">
        <v>1686</v>
      </c>
      <c r="G299" t="s">
        <v>1687</v>
      </c>
      <c r="H299" s="3">
        <v>0</v>
      </c>
      <c r="I299" s="3">
        <v>0</v>
      </c>
      <c r="J299" s="3">
        <v>0</v>
      </c>
      <c r="K299" s="3">
        <v>9.9600000000000009</v>
      </c>
      <c r="L299" s="3">
        <v>0</v>
      </c>
      <c r="M299" s="3">
        <v>0</v>
      </c>
      <c r="N299" s="3">
        <v>0</v>
      </c>
      <c r="O299" s="3">
        <v>1.2948000000000002</v>
      </c>
      <c r="P299" s="3">
        <v>11.254800000000001</v>
      </c>
      <c r="Q299" t="s">
        <v>8046</v>
      </c>
      <c r="R299" t="s">
        <v>8200</v>
      </c>
      <c r="S299" s="3" t="s">
        <v>8046</v>
      </c>
      <c r="T299" s="3">
        <v>0</v>
      </c>
      <c r="U299" s="3"/>
    </row>
    <row r="300" spans="1:21" hidden="1" x14ac:dyDescent="0.25">
      <c r="A300" t="s">
        <v>8609</v>
      </c>
      <c r="B300" t="s">
        <v>8766</v>
      </c>
      <c r="C300" t="s">
        <v>1</v>
      </c>
      <c r="D300" t="s">
        <v>0</v>
      </c>
      <c r="E300">
        <v>184668</v>
      </c>
      <c r="F300" t="s">
        <v>2901</v>
      </c>
      <c r="G300" t="s">
        <v>2902</v>
      </c>
      <c r="H300" s="3">
        <v>0</v>
      </c>
      <c r="I300" s="3">
        <v>0</v>
      </c>
      <c r="J300" s="3">
        <v>0</v>
      </c>
      <c r="K300" s="3">
        <v>57.7</v>
      </c>
      <c r="L300" s="3">
        <v>0</v>
      </c>
      <c r="M300" s="3">
        <v>0</v>
      </c>
      <c r="N300" s="3">
        <v>0</v>
      </c>
      <c r="O300" s="3">
        <v>7.5010000000000003</v>
      </c>
      <c r="P300" s="3">
        <v>65.201000000000008</v>
      </c>
      <c r="Q300" t="s">
        <v>8046</v>
      </c>
      <c r="R300" t="s">
        <v>8200</v>
      </c>
      <c r="S300" s="3" t="s">
        <v>8046</v>
      </c>
      <c r="T300" s="3">
        <v>0</v>
      </c>
      <c r="U300" s="3"/>
    </row>
    <row r="301" spans="1:21" hidden="1" x14ac:dyDescent="0.25">
      <c r="A301" t="s">
        <v>8609</v>
      </c>
      <c r="B301" t="s">
        <v>8766</v>
      </c>
      <c r="C301" t="s">
        <v>1</v>
      </c>
      <c r="D301" t="s">
        <v>0</v>
      </c>
      <c r="E301">
        <v>4435</v>
      </c>
      <c r="F301" t="s">
        <v>1705</v>
      </c>
      <c r="G301" t="s">
        <v>1706</v>
      </c>
      <c r="H301" s="3">
        <v>0</v>
      </c>
      <c r="I301" s="3">
        <v>0</v>
      </c>
      <c r="J301" s="3">
        <v>0</v>
      </c>
      <c r="K301" s="3">
        <v>671.25</v>
      </c>
      <c r="L301" s="3">
        <v>0</v>
      </c>
      <c r="M301" s="3">
        <v>0</v>
      </c>
      <c r="N301" s="3">
        <v>0</v>
      </c>
      <c r="O301" s="3">
        <v>87.262500000000003</v>
      </c>
      <c r="P301" s="3">
        <v>758.51250000000005</v>
      </c>
      <c r="Q301" t="s">
        <v>8046</v>
      </c>
      <c r="R301" t="s">
        <v>8200</v>
      </c>
      <c r="S301" s="3" t="s">
        <v>8046</v>
      </c>
      <c r="T301" s="3">
        <v>0</v>
      </c>
      <c r="U301" s="3"/>
    </row>
    <row r="302" spans="1:21" hidden="1" x14ac:dyDescent="0.25">
      <c r="A302" t="s">
        <v>8609</v>
      </c>
      <c r="B302" t="s">
        <v>8766</v>
      </c>
      <c r="C302" t="s">
        <v>1</v>
      </c>
      <c r="D302" t="s">
        <v>0</v>
      </c>
      <c r="E302">
        <v>315697</v>
      </c>
      <c r="F302" t="s">
        <v>2701</v>
      </c>
      <c r="G302" t="s">
        <v>2702</v>
      </c>
      <c r="H302" s="3">
        <v>0</v>
      </c>
      <c r="I302" s="3">
        <v>0</v>
      </c>
      <c r="J302" s="3">
        <v>0</v>
      </c>
      <c r="K302" s="3">
        <v>229.93</v>
      </c>
      <c r="L302" s="3">
        <v>0</v>
      </c>
      <c r="M302" s="3">
        <v>0</v>
      </c>
      <c r="N302" s="3">
        <v>0</v>
      </c>
      <c r="O302" s="3">
        <v>29.890900000000002</v>
      </c>
      <c r="P302" s="3">
        <v>259.82089999999999</v>
      </c>
      <c r="Q302" t="s">
        <v>8046</v>
      </c>
      <c r="R302" t="s">
        <v>8200</v>
      </c>
      <c r="S302" s="3" t="s">
        <v>8750</v>
      </c>
      <c r="T302" s="3">
        <v>2.2999999999999998</v>
      </c>
      <c r="U302" s="3"/>
    </row>
    <row r="303" spans="1:21" hidden="1" x14ac:dyDescent="0.25">
      <c r="A303" t="s">
        <v>8609</v>
      </c>
      <c r="B303" t="s">
        <v>8766</v>
      </c>
      <c r="C303" t="s">
        <v>1</v>
      </c>
      <c r="D303" t="s">
        <v>0</v>
      </c>
      <c r="E303">
        <v>206</v>
      </c>
      <c r="F303" t="s">
        <v>8350</v>
      </c>
      <c r="G303" t="s">
        <v>8351</v>
      </c>
      <c r="H303" s="3">
        <v>0</v>
      </c>
      <c r="I303" s="3">
        <v>0</v>
      </c>
      <c r="J303" s="3">
        <v>0</v>
      </c>
      <c r="K303" s="3">
        <v>155.75</v>
      </c>
      <c r="L303" s="3">
        <v>0</v>
      </c>
      <c r="M303" s="3">
        <v>0</v>
      </c>
      <c r="N303" s="3">
        <v>0</v>
      </c>
      <c r="O303" s="3">
        <v>20.247500000000002</v>
      </c>
      <c r="P303" s="3">
        <v>175.9975</v>
      </c>
      <c r="Q303" t="s">
        <v>8046</v>
      </c>
      <c r="R303" t="s">
        <v>8200</v>
      </c>
      <c r="S303" s="3" t="s">
        <v>8046</v>
      </c>
      <c r="T303" s="3">
        <v>0</v>
      </c>
      <c r="U303" s="3"/>
    </row>
    <row r="304" spans="1:21" hidden="1" x14ac:dyDescent="0.25">
      <c r="A304" t="s">
        <v>8609</v>
      </c>
      <c r="B304" t="s">
        <v>8764</v>
      </c>
      <c r="C304" t="s">
        <v>1</v>
      </c>
      <c r="D304" t="s">
        <v>0</v>
      </c>
      <c r="E304">
        <v>1467186</v>
      </c>
      <c r="F304" t="s">
        <v>1576</v>
      </c>
      <c r="G304" t="s">
        <v>1577</v>
      </c>
      <c r="H304" s="3">
        <v>0</v>
      </c>
      <c r="I304" s="3">
        <v>0</v>
      </c>
      <c r="J304" s="3">
        <v>0</v>
      </c>
      <c r="K304" s="3">
        <v>434.25</v>
      </c>
      <c r="L304" s="3">
        <v>0</v>
      </c>
      <c r="M304" s="3">
        <v>0</v>
      </c>
      <c r="N304" s="3">
        <v>0</v>
      </c>
      <c r="O304" s="3">
        <v>56.452500000000001</v>
      </c>
      <c r="P304" s="3">
        <v>490.70249999999999</v>
      </c>
      <c r="Q304" t="s">
        <v>8046</v>
      </c>
      <c r="R304" t="s">
        <v>8200</v>
      </c>
      <c r="S304" s="3" t="s">
        <v>8345</v>
      </c>
      <c r="T304" s="3">
        <v>4.34</v>
      </c>
      <c r="U304" s="3"/>
    </row>
    <row r="305" spans="1:21" hidden="1" x14ac:dyDescent="0.25">
      <c r="A305" t="s">
        <v>8609</v>
      </c>
      <c r="B305" t="s">
        <v>8764</v>
      </c>
      <c r="C305" t="s">
        <v>1</v>
      </c>
      <c r="D305" t="s">
        <v>0</v>
      </c>
      <c r="E305">
        <v>850</v>
      </c>
      <c r="F305" t="s">
        <v>1630</v>
      </c>
      <c r="G305" t="s">
        <v>1631</v>
      </c>
      <c r="H305" s="3">
        <v>0</v>
      </c>
      <c r="I305" s="3">
        <v>0</v>
      </c>
      <c r="J305" s="3">
        <v>0</v>
      </c>
      <c r="K305" s="3">
        <v>57.52</v>
      </c>
      <c r="L305" s="3">
        <v>0</v>
      </c>
      <c r="M305" s="3">
        <v>0</v>
      </c>
      <c r="N305" s="3">
        <v>0</v>
      </c>
      <c r="O305" s="3">
        <v>7.4776000000000007</v>
      </c>
      <c r="P305" s="3">
        <v>64.997600000000006</v>
      </c>
      <c r="Q305" t="s">
        <v>8046</v>
      </c>
      <c r="R305" t="s">
        <v>8200</v>
      </c>
      <c r="S305" s="3" t="s">
        <v>8046</v>
      </c>
      <c r="T305" s="3">
        <v>0</v>
      </c>
      <c r="U305" s="3"/>
    </row>
    <row r="306" spans="1:21" hidden="1" x14ac:dyDescent="0.25">
      <c r="A306" t="s">
        <v>8609</v>
      </c>
      <c r="B306" t="s">
        <v>8764</v>
      </c>
      <c r="C306" t="s">
        <v>1</v>
      </c>
      <c r="D306" t="s">
        <v>0</v>
      </c>
      <c r="E306">
        <v>183</v>
      </c>
      <c r="F306" t="s">
        <v>8350</v>
      </c>
      <c r="G306" t="s">
        <v>8351</v>
      </c>
      <c r="H306" s="3">
        <v>0</v>
      </c>
      <c r="I306" s="3">
        <v>0</v>
      </c>
      <c r="J306" s="3">
        <v>0</v>
      </c>
      <c r="K306" s="3">
        <v>330.97</v>
      </c>
      <c r="L306" s="3">
        <v>0</v>
      </c>
      <c r="M306" s="3">
        <v>0</v>
      </c>
      <c r="N306" s="3">
        <v>0</v>
      </c>
      <c r="O306" s="3">
        <v>43.026100000000007</v>
      </c>
      <c r="P306" s="3">
        <v>373.99610000000001</v>
      </c>
      <c r="Q306" t="s">
        <v>8046</v>
      </c>
      <c r="R306" t="s">
        <v>8200</v>
      </c>
      <c r="S306" s="3" t="s">
        <v>8046</v>
      </c>
      <c r="T306" s="3">
        <v>0</v>
      </c>
      <c r="U306" s="3"/>
    </row>
    <row r="307" spans="1:21" hidden="1" x14ac:dyDescent="0.25">
      <c r="A307" t="s">
        <v>8609</v>
      </c>
      <c r="B307" t="s">
        <v>8774</v>
      </c>
      <c r="C307" t="s">
        <v>1</v>
      </c>
      <c r="D307" t="s">
        <v>0</v>
      </c>
      <c r="E307">
        <v>23389451</v>
      </c>
      <c r="F307" t="s">
        <v>1494</v>
      </c>
      <c r="G307" t="s">
        <v>1495</v>
      </c>
      <c r="H307" s="3">
        <v>0</v>
      </c>
      <c r="I307" s="3">
        <v>0</v>
      </c>
      <c r="J307" s="3">
        <v>0</v>
      </c>
      <c r="K307" s="3">
        <v>6.77</v>
      </c>
      <c r="L307" s="3">
        <v>0</v>
      </c>
      <c r="M307" s="3">
        <v>0</v>
      </c>
      <c r="N307" s="3">
        <v>0</v>
      </c>
      <c r="O307" s="3">
        <v>0.88009999999999999</v>
      </c>
      <c r="P307" s="3">
        <v>7.6500999999999992</v>
      </c>
      <c r="Q307" t="s">
        <v>8046</v>
      </c>
      <c r="R307" t="s">
        <v>8200</v>
      </c>
      <c r="S307" s="3" t="s">
        <v>8046</v>
      </c>
      <c r="T307" s="3">
        <v>0</v>
      </c>
      <c r="U307" s="3"/>
    </row>
    <row r="308" spans="1:21" hidden="1" x14ac:dyDescent="0.25">
      <c r="A308" t="s">
        <v>8609</v>
      </c>
      <c r="B308" t="s">
        <v>8764</v>
      </c>
      <c r="C308" t="s">
        <v>1</v>
      </c>
      <c r="D308" t="s">
        <v>0</v>
      </c>
      <c r="E308">
        <v>2742832</v>
      </c>
      <c r="F308" t="s">
        <v>1494</v>
      </c>
      <c r="G308" t="s">
        <v>1495</v>
      </c>
      <c r="H308" s="3">
        <v>0</v>
      </c>
      <c r="I308" s="3">
        <v>0</v>
      </c>
      <c r="J308" s="3">
        <v>0</v>
      </c>
      <c r="K308" s="3">
        <v>2.2599999999999998</v>
      </c>
      <c r="L308" s="3">
        <v>0</v>
      </c>
      <c r="M308" s="3">
        <v>0</v>
      </c>
      <c r="N308" s="3">
        <v>0</v>
      </c>
      <c r="O308" s="3">
        <v>0.29380000000000001</v>
      </c>
      <c r="P308" s="3">
        <v>2.5537999999999998</v>
      </c>
      <c r="Q308" t="s">
        <v>8046</v>
      </c>
      <c r="R308" t="s">
        <v>8200</v>
      </c>
      <c r="S308" s="3" t="s">
        <v>8046</v>
      </c>
      <c r="T308" s="3">
        <v>0</v>
      </c>
      <c r="U308" s="3"/>
    </row>
    <row r="309" spans="1:21" hidden="1" x14ac:dyDescent="0.25">
      <c r="A309" t="s">
        <v>8609</v>
      </c>
      <c r="B309" t="s">
        <v>8764</v>
      </c>
      <c r="C309" t="s">
        <v>1</v>
      </c>
      <c r="D309" t="s">
        <v>0</v>
      </c>
      <c r="E309">
        <v>18036</v>
      </c>
      <c r="F309" t="s">
        <v>1732</v>
      </c>
      <c r="G309" t="s">
        <v>1733</v>
      </c>
      <c r="H309" s="3">
        <v>2.17</v>
      </c>
      <c r="I309" s="3">
        <v>0</v>
      </c>
      <c r="J309" s="3">
        <v>0</v>
      </c>
      <c r="K309" s="3">
        <v>37.9</v>
      </c>
      <c r="L309" s="3">
        <v>0</v>
      </c>
      <c r="M309" s="3">
        <v>0</v>
      </c>
      <c r="N309" s="3">
        <v>0</v>
      </c>
      <c r="O309" s="3">
        <v>4.9269999999999996</v>
      </c>
      <c r="P309" s="3">
        <v>44.997</v>
      </c>
      <c r="Q309" t="s">
        <v>8046</v>
      </c>
      <c r="R309" t="s">
        <v>8200</v>
      </c>
      <c r="S309" s="3" t="s">
        <v>8046</v>
      </c>
      <c r="T309" s="3">
        <v>0</v>
      </c>
      <c r="U309" s="3"/>
    </row>
    <row r="310" spans="1:21" hidden="1" x14ac:dyDescent="0.25">
      <c r="A310" t="s">
        <v>8609</v>
      </c>
      <c r="B310" t="s">
        <v>8764</v>
      </c>
      <c r="C310" t="s">
        <v>1</v>
      </c>
      <c r="D310" t="s">
        <v>0</v>
      </c>
      <c r="E310">
        <v>83274</v>
      </c>
      <c r="F310" t="s">
        <v>1670</v>
      </c>
      <c r="G310" t="s">
        <v>1671</v>
      </c>
      <c r="H310" s="3">
        <v>0.7</v>
      </c>
      <c r="I310" s="3">
        <v>0</v>
      </c>
      <c r="J310" s="3">
        <v>0</v>
      </c>
      <c r="K310" s="3">
        <v>12.65</v>
      </c>
      <c r="L310" s="3">
        <v>0</v>
      </c>
      <c r="M310" s="3">
        <v>0</v>
      </c>
      <c r="N310" s="3">
        <v>0</v>
      </c>
      <c r="O310" s="3">
        <v>1.6445000000000001</v>
      </c>
      <c r="P310" s="3">
        <v>14.9945</v>
      </c>
      <c r="Q310" t="s">
        <v>8046</v>
      </c>
      <c r="R310" t="s">
        <v>8200</v>
      </c>
      <c r="S310" s="3" t="s">
        <v>8046</v>
      </c>
      <c r="T310" s="3">
        <v>0</v>
      </c>
      <c r="U310" s="3"/>
    </row>
    <row r="311" spans="1:21" hidden="1" x14ac:dyDescent="0.25">
      <c r="A311" t="s">
        <v>8609</v>
      </c>
      <c r="B311" t="s">
        <v>8764</v>
      </c>
      <c r="C311" t="s">
        <v>1</v>
      </c>
      <c r="D311" t="s">
        <v>0</v>
      </c>
      <c r="E311">
        <v>66203</v>
      </c>
      <c r="F311" t="s">
        <v>1626</v>
      </c>
      <c r="G311" t="s">
        <v>1627</v>
      </c>
      <c r="H311" s="3">
        <v>1.41</v>
      </c>
      <c r="I311" s="3">
        <v>0</v>
      </c>
      <c r="J311" s="3">
        <v>0</v>
      </c>
      <c r="K311" s="3">
        <v>25.3</v>
      </c>
      <c r="L311" s="3">
        <v>0</v>
      </c>
      <c r="M311" s="3">
        <v>0</v>
      </c>
      <c r="N311" s="3">
        <v>0</v>
      </c>
      <c r="O311" s="3">
        <v>3.2890000000000001</v>
      </c>
      <c r="P311" s="3">
        <v>29.999000000000002</v>
      </c>
      <c r="Q311" t="s">
        <v>8046</v>
      </c>
      <c r="R311" t="s">
        <v>8200</v>
      </c>
      <c r="S311" s="3" t="s">
        <v>8046</v>
      </c>
      <c r="T311" s="3">
        <v>0</v>
      </c>
      <c r="U311" s="3"/>
    </row>
    <row r="312" spans="1:21" hidden="1" x14ac:dyDescent="0.25">
      <c r="A312" t="s">
        <v>8609</v>
      </c>
      <c r="B312" t="s">
        <v>8764</v>
      </c>
      <c r="C312" t="s">
        <v>1</v>
      </c>
      <c r="D312" t="s">
        <v>0</v>
      </c>
      <c r="E312">
        <v>11696</v>
      </c>
      <c r="F312" t="s">
        <v>1540</v>
      </c>
      <c r="G312" t="s">
        <v>1541</v>
      </c>
      <c r="H312" s="3">
        <v>0.94</v>
      </c>
      <c r="I312" s="3">
        <v>0</v>
      </c>
      <c r="J312" s="3">
        <v>0</v>
      </c>
      <c r="K312" s="3">
        <v>16.87</v>
      </c>
      <c r="L312" s="3">
        <v>0</v>
      </c>
      <c r="M312" s="3">
        <v>0</v>
      </c>
      <c r="N312" s="3">
        <v>0</v>
      </c>
      <c r="O312" s="3">
        <v>2.1931000000000003</v>
      </c>
      <c r="P312" s="3">
        <v>20.003100000000003</v>
      </c>
      <c r="Q312" t="s">
        <v>8046</v>
      </c>
      <c r="R312" t="s">
        <v>8200</v>
      </c>
      <c r="S312" s="3" t="s">
        <v>8046</v>
      </c>
      <c r="T312" s="3">
        <v>0</v>
      </c>
      <c r="U312" s="3"/>
    </row>
    <row r="313" spans="1:21" hidden="1" x14ac:dyDescent="0.25">
      <c r="A313" t="s">
        <v>8609</v>
      </c>
      <c r="B313" t="s">
        <v>8774</v>
      </c>
      <c r="C313" t="s">
        <v>1</v>
      </c>
      <c r="D313" t="s">
        <v>0</v>
      </c>
      <c r="E313">
        <v>1813</v>
      </c>
      <c r="F313" t="s">
        <v>7902</v>
      </c>
      <c r="G313" t="s">
        <v>7903</v>
      </c>
      <c r="H313" s="3">
        <v>0</v>
      </c>
      <c r="I313" s="3">
        <v>0</v>
      </c>
      <c r="J313" s="3">
        <v>0</v>
      </c>
      <c r="K313" s="3">
        <v>28.1</v>
      </c>
      <c r="L313" s="3">
        <v>0</v>
      </c>
      <c r="M313" s="3">
        <v>0</v>
      </c>
      <c r="N313" s="3">
        <v>0</v>
      </c>
      <c r="O313" s="3">
        <v>3.6530000000000005</v>
      </c>
      <c r="P313" s="3">
        <v>31.753</v>
      </c>
      <c r="Q313" t="s">
        <v>8046</v>
      </c>
      <c r="R313" t="s">
        <v>8200</v>
      </c>
      <c r="S313" s="3" t="s">
        <v>8046</v>
      </c>
      <c r="T313" s="3">
        <v>0</v>
      </c>
      <c r="U313" s="3"/>
    </row>
    <row r="314" spans="1:21" hidden="1" x14ac:dyDescent="0.25">
      <c r="A314" t="s">
        <v>8609</v>
      </c>
      <c r="B314" t="s">
        <v>8774</v>
      </c>
      <c r="C314" t="s">
        <v>1</v>
      </c>
      <c r="D314" t="s">
        <v>0</v>
      </c>
      <c r="E314">
        <v>12507</v>
      </c>
      <c r="F314" t="s">
        <v>2635</v>
      </c>
      <c r="G314" t="s">
        <v>2636</v>
      </c>
      <c r="H314" s="3">
        <v>0</v>
      </c>
      <c r="I314" s="3">
        <v>0</v>
      </c>
      <c r="J314" s="3">
        <v>0</v>
      </c>
      <c r="K314" s="3">
        <v>50</v>
      </c>
      <c r="L314" s="3">
        <v>0</v>
      </c>
      <c r="M314" s="3">
        <v>0</v>
      </c>
      <c r="N314" s="3">
        <v>0</v>
      </c>
      <c r="O314" s="3">
        <v>6.5</v>
      </c>
      <c r="P314" s="3">
        <v>56.5</v>
      </c>
      <c r="Q314" t="s">
        <v>8046</v>
      </c>
      <c r="R314" t="s">
        <v>8200</v>
      </c>
      <c r="S314" s="3" t="s">
        <v>8046</v>
      </c>
      <c r="T314" s="3">
        <v>0</v>
      </c>
      <c r="U314" s="3"/>
    </row>
    <row r="315" spans="1:21" hidden="1" x14ac:dyDescent="0.25">
      <c r="A315" t="s">
        <v>8609</v>
      </c>
      <c r="B315" t="s">
        <v>8774</v>
      </c>
      <c r="C315" t="s">
        <v>1</v>
      </c>
      <c r="D315" t="s">
        <v>0</v>
      </c>
      <c r="E315">
        <v>137</v>
      </c>
      <c r="F315" t="s">
        <v>8350</v>
      </c>
      <c r="G315" t="s">
        <v>8351</v>
      </c>
      <c r="H315" s="3">
        <v>0</v>
      </c>
      <c r="I315" s="3">
        <v>0</v>
      </c>
      <c r="J315" s="3">
        <v>0</v>
      </c>
      <c r="K315" s="3">
        <v>92.04</v>
      </c>
      <c r="L315" s="3">
        <v>0</v>
      </c>
      <c r="M315" s="3">
        <v>0</v>
      </c>
      <c r="N315" s="3">
        <v>0</v>
      </c>
      <c r="O315" s="3">
        <v>11.965200000000001</v>
      </c>
      <c r="P315" s="3">
        <v>104.0052</v>
      </c>
      <c r="Q315" t="s">
        <v>8046</v>
      </c>
      <c r="R315" t="s">
        <v>8200</v>
      </c>
      <c r="S315" s="3" t="s">
        <v>8046</v>
      </c>
      <c r="T315" s="3">
        <v>0</v>
      </c>
      <c r="U315" s="3"/>
    </row>
    <row r="316" spans="1:21" hidden="1" x14ac:dyDescent="0.25">
      <c r="A316" t="s">
        <v>8609</v>
      </c>
      <c r="B316" t="s">
        <v>8774</v>
      </c>
      <c r="C316" t="s">
        <v>1</v>
      </c>
      <c r="D316" t="s">
        <v>0</v>
      </c>
      <c r="E316">
        <v>43184</v>
      </c>
      <c r="F316" t="s">
        <v>3120</v>
      </c>
      <c r="G316" t="s">
        <v>3121</v>
      </c>
      <c r="H316" s="3">
        <v>0</v>
      </c>
      <c r="I316" s="3">
        <v>0</v>
      </c>
      <c r="J316" s="3">
        <v>0</v>
      </c>
      <c r="K316" s="3">
        <v>68.86</v>
      </c>
      <c r="L316" s="3">
        <v>0</v>
      </c>
      <c r="M316" s="3">
        <v>0</v>
      </c>
      <c r="N316" s="3">
        <v>0</v>
      </c>
      <c r="O316" s="3">
        <v>8.9518000000000004</v>
      </c>
      <c r="P316" s="3">
        <v>77.811800000000005</v>
      </c>
      <c r="Q316" t="s">
        <v>8046</v>
      </c>
      <c r="R316" t="s">
        <v>8200</v>
      </c>
      <c r="S316" s="3" t="s">
        <v>8046</v>
      </c>
      <c r="T316" s="3">
        <v>0</v>
      </c>
      <c r="U316" s="3"/>
    </row>
    <row r="317" spans="1:21" hidden="1" x14ac:dyDescent="0.25">
      <c r="A317" t="s">
        <v>8609</v>
      </c>
      <c r="B317" s="33" t="s">
        <v>8681</v>
      </c>
      <c r="C317" t="s">
        <v>1</v>
      </c>
      <c r="D317" t="s">
        <v>0</v>
      </c>
      <c r="E317">
        <v>2747137</v>
      </c>
      <c r="F317" t="s">
        <v>1494</v>
      </c>
      <c r="G317" t="s">
        <v>1495</v>
      </c>
      <c r="H317" s="3">
        <v>0</v>
      </c>
      <c r="I317" s="3">
        <v>0</v>
      </c>
      <c r="J317" s="3">
        <v>0</v>
      </c>
      <c r="K317" s="3">
        <v>34.07</v>
      </c>
      <c r="L317" s="3">
        <v>0</v>
      </c>
      <c r="M317" s="3">
        <v>0</v>
      </c>
      <c r="N317" s="3">
        <v>0</v>
      </c>
      <c r="O317" s="3">
        <v>4.4291</v>
      </c>
      <c r="P317" s="3">
        <v>38.499099999999999</v>
      </c>
      <c r="Q317" t="s">
        <v>8046</v>
      </c>
      <c r="R317" t="s">
        <v>8200</v>
      </c>
      <c r="S317" s="3" t="s">
        <v>8046</v>
      </c>
      <c r="T317" s="3">
        <v>0</v>
      </c>
      <c r="U317" s="3"/>
    </row>
    <row r="318" spans="1:21" hidden="1" x14ac:dyDescent="0.25">
      <c r="A318" t="s">
        <v>8609</v>
      </c>
      <c r="B318" t="s">
        <v>8681</v>
      </c>
      <c r="C318" t="s">
        <v>1</v>
      </c>
      <c r="D318" t="s">
        <v>0</v>
      </c>
      <c r="E318">
        <v>1465259</v>
      </c>
      <c r="F318" t="s">
        <v>1576</v>
      </c>
      <c r="G318" t="s">
        <v>1577</v>
      </c>
      <c r="H318" s="3">
        <v>0</v>
      </c>
      <c r="I318" s="3">
        <v>0</v>
      </c>
      <c r="J318" s="3">
        <v>0</v>
      </c>
      <c r="K318" s="3">
        <v>43.08</v>
      </c>
      <c r="L318" s="3">
        <v>0</v>
      </c>
      <c r="M318" s="3">
        <v>0</v>
      </c>
      <c r="N318" s="3">
        <v>0</v>
      </c>
      <c r="O318" s="3">
        <v>5.6003999999999996</v>
      </c>
      <c r="P318" s="3">
        <v>48.680399999999999</v>
      </c>
      <c r="Q318" t="s">
        <v>8046</v>
      </c>
      <c r="R318" t="s">
        <v>8200</v>
      </c>
      <c r="S318" s="3">
        <v>0</v>
      </c>
      <c r="T318" s="3">
        <v>0</v>
      </c>
      <c r="U318" s="3"/>
    </row>
    <row r="319" spans="1:21" hidden="1" x14ac:dyDescent="0.25">
      <c r="A319" t="s">
        <v>8609</v>
      </c>
      <c r="B319" t="s">
        <v>8681</v>
      </c>
      <c r="C319" t="s">
        <v>1</v>
      </c>
      <c r="D319" t="s">
        <v>0</v>
      </c>
      <c r="E319">
        <v>57326</v>
      </c>
      <c r="F319" t="s">
        <v>1636</v>
      </c>
      <c r="G319" t="s">
        <v>1637</v>
      </c>
      <c r="H319" s="3">
        <v>0.93</v>
      </c>
      <c r="I319" s="3">
        <v>0</v>
      </c>
      <c r="J319" s="3">
        <v>0</v>
      </c>
      <c r="K319" s="3">
        <v>16.88</v>
      </c>
      <c r="L319" s="3">
        <v>0</v>
      </c>
      <c r="M319" s="3">
        <v>0</v>
      </c>
      <c r="N319" s="3">
        <v>0</v>
      </c>
      <c r="O319" s="3">
        <v>2.1943999999999999</v>
      </c>
      <c r="P319" s="3">
        <v>20.004399999999997</v>
      </c>
      <c r="Q319" t="s">
        <v>8046</v>
      </c>
      <c r="R319" t="s">
        <v>8200</v>
      </c>
      <c r="S319" s="3" t="s">
        <v>8046</v>
      </c>
      <c r="T319" s="3">
        <v>0</v>
      </c>
      <c r="U319" s="3"/>
    </row>
    <row r="320" spans="1:21" hidden="1" x14ac:dyDescent="0.25">
      <c r="A320" t="s">
        <v>8609</v>
      </c>
      <c r="B320" t="s">
        <v>8681</v>
      </c>
      <c r="C320" t="s">
        <v>1</v>
      </c>
      <c r="D320" t="s">
        <v>0</v>
      </c>
      <c r="E320">
        <v>407389</v>
      </c>
      <c r="F320" t="s">
        <v>1620</v>
      </c>
      <c r="G320" t="s">
        <v>1621</v>
      </c>
      <c r="H320" s="3">
        <v>1.74</v>
      </c>
      <c r="I320" s="3">
        <v>0</v>
      </c>
      <c r="J320" s="3">
        <v>0</v>
      </c>
      <c r="K320" s="3">
        <v>31.21</v>
      </c>
      <c r="L320" s="3">
        <v>0</v>
      </c>
      <c r="M320" s="3">
        <v>0</v>
      </c>
      <c r="N320" s="3">
        <v>0</v>
      </c>
      <c r="O320" s="3">
        <v>4.0573000000000006</v>
      </c>
      <c r="P320" s="3">
        <v>37.007300000000001</v>
      </c>
      <c r="Q320" t="s">
        <v>8046</v>
      </c>
      <c r="R320" t="s">
        <v>8200</v>
      </c>
      <c r="S320" s="3" t="s">
        <v>8046</v>
      </c>
      <c r="T320" s="3">
        <v>0</v>
      </c>
      <c r="U320" s="3"/>
    </row>
    <row r="321" spans="1:21" hidden="1" x14ac:dyDescent="0.25">
      <c r="A321" t="s">
        <v>8609</v>
      </c>
      <c r="B321" t="s">
        <v>8681</v>
      </c>
      <c r="C321" t="s">
        <v>1</v>
      </c>
      <c r="D321" t="s">
        <v>0</v>
      </c>
      <c r="E321">
        <v>528067</v>
      </c>
      <c r="F321" t="s">
        <v>2376</v>
      </c>
      <c r="G321" t="s">
        <v>2377</v>
      </c>
      <c r="H321" s="3">
        <v>0</v>
      </c>
      <c r="I321" s="3">
        <v>0</v>
      </c>
      <c r="J321" s="3">
        <v>0</v>
      </c>
      <c r="K321" s="3">
        <v>8.69</v>
      </c>
      <c r="L321" s="3">
        <v>0</v>
      </c>
      <c r="M321" s="3">
        <v>0</v>
      </c>
      <c r="N321" s="3">
        <v>0</v>
      </c>
      <c r="O321" s="3">
        <v>1.1296999999999999</v>
      </c>
      <c r="P321" s="3">
        <v>9.8196999999999992</v>
      </c>
      <c r="Q321" t="s">
        <v>8046</v>
      </c>
      <c r="R321" t="s">
        <v>8200</v>
      </c>
      <c r="S321" s="3" t="s">
        <v>8046</v>
      </c>
      <c r="T321" s="3">
        <v>0</v>
      </c>
      <c r="U321" s="3"/>
    </row>
    <row r="322" spans="1:21" hidden="1" x14ac:dyDescent="0.25">
      <c r="A322" t="s">
        <v>8609</v>
      </c>
      <c r="B322" t="s">
        <v>8681</v>
      </c>
      <c r="C322" t="s">
        <v>1</v>
      </c>
      <c r="D322" t="s">
        <v>0</v>
      </c>
      <c r="E322">
        <v>528070</v>
      </c>
      <c r="F322" t="s">
        <v>2376</v>
      </c>
      <c r="G322" t="s">
        <v>2377</v>
      </c>
      <c r="H322" s="3">
        <v>0</v>
      </c>
      <c r="I322" s="3">
        <v>0</v>
      </c>
      <c r="J322" s="3">
        <v>0</v>
      </c>
      <c r="K322" s="3">
        <v>29.08</v>
      </c>
      <c r="L322" s="3">
        <v>0</v>
      </c>
      <c r="M322" s="3">
        <v>0</v>
      </c>
      <c r="N322" s="3">
        <v>0</v>
      </c>
      <c r="O322" s="3">
        <v>3.7803999999999998</v>
      </c>
      <c r="P322" s="3">
        <v>32.860399999999998</v>
      </c>
      <c r="Q322" t="s">
        <v>8046</v>
      </c>
      <c r="R322" t="s">
        <v>8200</v>
      </c>
      <c r="S322" s="3" t="s">
        <v>8046</v>
      </c>
      <c r="T322" s="3">
        <v>0</v>
      </c>
      <c r="U322" s="3"/>
    </row>
    <row r="323" spans="1:21" hidden="1" x14ac:dyDescent="0.25">
      <c r="A323" t="s">
        <v>8609</v>
      </c>
      <c r="B323" s="33" t="s">
        <v>8682</v>
      </c>
      <c r="C323" t="s">
        <v>1</v>
      </c>
      <c r="D323" t="s">
        <v>0</v>
      </c>
      <c r="E323">
        <v>12324</v>
      </c>
      <c r="F323" t="s">
        <v>2635</v>
      </c>
      <c r="G323" t="s">
        <v>2636</v>
      </c>
      <c r="H323" s="3">
        <v>0</v>
      </c>
      <c r="I323" s="3">
        <v>0</v>
      </c>
      <c r="J323" s="3">
        <v>0</v>
      </c>
      <c r="K323" s="3">
        <v>162.83000000000001</v>
      </c>
      <c r="L323" s="3">
        <v>0</v>
      </c>
      <c r="M323" s="3">
        <v>0</v>
      </c>
      <c r="N323" s="3">
        <v>0</v>
      </c>
      <c r="O323" s="3">
        <v>21.167900000000003</v>
      </c>
      <c r="P323" s="3">
        <v>183.99790000000002</v>
      </c>
      <c r="Q323" t="s">
        <v>8046</v>
      </c>
      <c r="R323" t="s">
        <v>8200</v>
      </c>
      <c r="S323" s="3" t="s">
        <v>8345</v>
      </c>
      <c r="T323" s="3">
        <v>1.63</v>
      </c>
      <c r="U323" s="3"/>
    </row>
    <row r="324" spans="1:21" hidden="1" x14ac:dyDescent="0.25">
      <c r="A324" t="s">
        <v>8609</v>
      </c>
      <c r="B324" s="33" t="s">
        <v>8683</v>
      </c>
      <c r="C324" t="s">
        <v>1</v>
      </c>
      <c r="D324" t="s">
        <v>0</v>
      </c>
      <c r="E324">
        <v>8754</v>
      </c>
      <c r="F324" t="s">
        <v>1571</v>
      </c>
      <c r="G324" t="s">
        <v>1572</v>
      </c>
      <c r="H324" s="3">
        <v>0</v>
      </c>
      <c r="I324" s="3">
        <v>0</v>
      </c>
      <c r="J324" s="3">
        <v>0</v>
      </c>
      <c r="K324" s="3">
        <v>7.96</v>
      </c>
      <c r="L324" s="3">
        <v>0</v>
      </c>
      <c r="M324" s="3">
        <v>0</v>
      </c>
      <c r="N324" s="3">
        <v>0</v>
      </c>
      <c r="O324" s="3">
        <v>1.0347999999999999</v>
      </c>
      <c r="P324" s="3">
        <v>8.9947999999999997</v>
      </c>
      <c r="Q324" t="s">
        <v>8046</v>
      </c>
      <c r="R324" t="s">
        <v>8200</v>
      </c>
      <c r="S324" s="3" t="s">
        <v>8046</v>
      </c>
      <c r="T324" s="3">
        <v>0</v>
      </c>
      <c r="U324" s="3"/>
    </row>
    <row r="325" spans="1:21" hidden="1" x14ac:dyDescent="0.25">
      <c r="A325" t="s">
        <v>8609</v>
      </c>
      <c r="B325" s="33" t="s">
        <v>8684</v>
      </c>
      <c r="C325" t="s">
        <v>1</v>
      </c>
      <c r="D325" t="s">
        <v>0</v>
      </c>
      <c r="E325">
        <v>28478</v>
      </c>
      <c r="F325" t="s">
        <v>1522</v>
      </c>
      <c r="G325" t="s">
        <v>1523</v>
      </c>
      <c r="H325" s="3">
        <v>1.55</v>
      </c>
      <c r="I325" s="3">
        <v>0</v>
      </c>
      <c r="J325" s="3">
        <v>0</v>
      </c>
      <c r="K325" s="3">
        <v>27.83</v>
      </c>
      <c r="L325" s="3">
        <v>0</v>
      </c>
      <c r="M325" s="3">
        <v>0</v>
      </c>
      <c r="N325" s="3">
        <v>0</v>
      </c>
      <c r="O325" s="3">
        <v>3.6179000000000001</v>
      </c>
      <c r="P325" s="3">
        <v>32.997900000000001</v>
      </c>
      <c r="Q325" t="s">
        <v>8046</v>
      </c>
      <c r="R325" t="s">
        <v>8200</v>
      </c>
      <c r="S325" s="3" t="s">
        <v>8046</v>
      </c>
      <c r="T325" s="3">
        <v>0</v>
      </c>
      <c r="U325" s="3"/>
    </row>
    <row r="326" spans="1:21" hidden="1" x14ac:dyDescent="0.25">
      <c r="A326" t="s">
        <v>8609</v>
      </c>
      <c r="B326" t="s">
        <v>8694</v>
      </c>
      <c r="C326" t="s">
        <v>1</v>
      </c>
      <c r="D326" t="s">
        <v>0</v>
      </c>
      <c r="E326">
        <v>10121</v>
      </c>
      <c r="F326" t="s">
        <v>1778</v>
      </c>
      <c r="G326" t="s">
        <v>1779</v>
      </c>
      <c r="H326" s="3">
        <v>0</v>
      </c>
      <c r="I326" s="3">
        <v>0</v>
      </c>
      <c r="J326" s="3">
        <v>0</v>
      </c>
      <c r="K326" s="3">
        <v>380.55</v>
      </c>
      <c r="L326" s="3">
        <v>0</v>
      </c>
      <c r="M326" s="3">
        <v>0</v>
      </c>
      <c r="N326" s="3">
        <v>0</v>
      </c>
      <c r="O326" s="3">
        <v>49.471500000000006</v>
      </c>
      <c r="P326" s="3">
        <v>430.0215</v>
      </c>
      <c r="Q326" t="s">
        <v>8046</v>
      </c>
      <c r="R326" t="s">
        <v>8200</v>
      </c>
      <c r="S326" s="3" t="s">
        <v>8807</v>
      </c>
      <c r="T326" s="3">
        <v>3.81</v>
      </c>
      <c r="U326" s="3"/>
    </row>
    <row r="327" spans="1:21" hidden="1" x14ac:dyDescent="0.25">
      <c r="A327" t="s">
        <v>8609</v>
      </c>
      <c r="B327" s="33" t="s">
        <v>8749</v>
      </c>
      <c r="C327" t="s">
        <v>1</v>
      </c>
      <c r="D327" t="s">
        <v>0</v>
      </c>
      <c r="E327">
        <v>6982</v>
      </c>
      <c r="F327" t="s">
        <v>8510</v>
      </c>
      <c r="G327" t="s">
        <v>8511</v>
      </c>
      <c r="H327" s="3">
        <v>0</v>
      </c>
      <c r="I327" s="3">
        <v>0</v>
      </c>
      <c r="J327" s="3">
        <v>0</v>
      </c>
      <c r="K327" s="3">
        <v>40.81</v>
      </c>
      <c r="L327" s="3">
        <v>0</v>
      </c>
      <c r="M327" s="3">
        <v>0</v>
      </c>
      <c r="N327" s="3">
        <v>0</v>
      </c>
      <c r="O327" s="3">
        <v>5.3053000000000008</v>
      </c>
      <c r="P327" s="3">
        <v>46.115300000000005</v>
      </c>
      <c r="Q327" t="s">
        <v>8046</v>
      </c>
      <c r="R327" t="s">
        <v>8200</v>
      </c>
      <c r="S327" s="3" t="s">
        <v>8046</v>
      </c>
      <c r="T327" s="3">
        <v>0</v>
      </c>
      <c r="U327" s="3"/>
    </row>
    <row r="328" spans="1:21" hidden="1" x14ac:dyDescent="0.25">
      <c r="A328" t="s">
        <v>8609</v>
      </c>
      <c r="B328" s="33" t="s">
        <v>8749</v>
      </c>
      <c r="C328" t="s">
        <v>1</v>
      </c>
      <c r="D328" t="s">
        <v>0</v>
      </c>
      <c r="E328">
        <v>313757</v>
      </c>
      <c r="F328" t="s">
        <v>2701</v>
      </c>
      <c r="G328" t="s">
        <v>2702</v>
      </c>
      <c r="H328" s="3">
        <v>0</v>
      </c>
      <c r="I328" s="3">
        <v>0</v>
      </c>
      <c r="J328" s="3">
        <v>0</v>
      </c>
      <c r="K328" s="3">
        <v>147.09</v>
      </c>
      <c r="L328" s="3">
        <v>0</v>
      </c>
      <c r="M328" s="3">
        <v>0</v>
      </c>
      <c r="N328" s="3">
        <v>0</v>
      </c>
      <c r="O328" s="3">
        <v>19.121700000000001</v>
      </c>
      <c r="P328" s="3">
        <v>166.21170000000001</v>
      </c>
      <c r="Q328" t="s">
        <v>8046</v>
      </c>
      <c r="R328" t="s">
        <v>8200</v>
      </c>
      <c r="S328" s="3" t="s">
        <v>8750</v>
      </c>
      <c r="T328" s="3">
        <v>0</v>
      </c>
      <c r="U328" s="3"/>
    </row>
    <row r="329" spans="1:21" hidden="1" x14ac:dyDescent="0.25">
      <c r="A329" t="s">
        <v>8609</v>
      </c>
      <c r="B329" t="s">
        <v>8699</v>
      </c>
      <c r="C329" t="s">
        <v>1</v>
      </c>
      <c r="D329" t="s">
        <v>0</v>
      </c>
      <c r="E329">
        <v>6979</v>
      </c>
      <c r="F329" t="s">
        <v>8510</v>
      </c>
      <c r="G329" t="s">
        <v>8511</v>
      </c>
      <c r="H329" s="3">
        <v>0</v>
      </c>
      <c r="I329" s="3">
        <v>0</v>
      </c>
      <c r="J329" s="3">
        <v>0</v>
      </c>
      <c r="K329" s="3">
        <v>247.5</v>
      </c>
      <c r="L329" s="3">
        <v>0</v>
      </c>
      <c r="M329" s="3">
        <v>0</v>
      </c>
      <c r="N329" s="3">
        <v>0</v>
      </c>
      <c r="O329" s="3">
        <v>32.175000000000004</v>
      </c>
      <c r="P329" s="3">
        <v>279.67500000000001</v>
      </c>
      <c r="Q329" t="s">
        <v>8046</v>
      </c>
      <c r="R329" t="s">
        <v>8200</v>
      </c>
      <c r="S329" s="3" t="s">
        <v>8046</v>
      </c>
      <c r="T329" s="3">
        <v>0</v>
      </c>
      <c r="U329" s="3"/>
    </row>
    <row r="330" spans="1:21" hidden="1" x14ac:dyDescent="0.25">
      <c r="A330" t="s">
        <v>8609</v>
      </c>
      <c r="B330" t="s">
        <v>8699</v>
      </c>
      <c r="C330" t="s">
        <v>1</v>
      </c>
      <c r="D330" t="s">
        <v>0</v>
      </c>
      <c r="E330">
        <v>41424</v>
      </c>
      <c r="F330" t="s">
        <v>1616</v>
      </c>
      <c r="G330" t="s">
        <v>1617</v>
      </c>
      <c r="H330" s="3">
        <v>2</v>
      </c>
      <c r="I330" s="3">
        <v>0</v>
      </c>
      <c r="J330" s="3">
        <v>0</v>
      </c>
      <c r="K330" s="3">
        <v>34.96</v>
      </c>
      <c r="L330" s="3">
        <v>0</v>
      </c>
      <c r="M330" s="3">
        <v>0</v>
      </c>
      <c r="N330" s="3">
        <v>0</v>
      </c>
      <c r="O330" s="3">
        <v>4.5448000000000004</v>
      </c>
      <c r="P330" s="3">
        <v>41.504800000000003</v>
      </c>
      <c r="Q330" t="s">
        <v>8046</v>
      </c>
      <c r="R330" t="s">
        <v>8200</v>
      </c>
      <c r="S330" s="3" t="s">
        <v>8046</v>
      </c>
      <c r="T330" s="3">
        <v>0</v>
      </c>
      <c r="U330" s="3"/>
    </row>
    <row r="331" spans="1:21" hidden="1" x14ac:dyDescent="0.25">
      <c r="A331" t="s">
        <v>8609</v>
      </c>
      <c r="B331" t="s">
        <v>8699</v>
      </c>
      <c r="C331" t="s">
        <v>1</v>
      </c>
      <c r="D331" t="s">
        <v>0</v>
      </c>
      <c r="E331">
        <v>1454331</v>
      </c>
      <c r="F331" t="s">
        <v>1576</v>
      </c>
      <c r="G331" t="s">
        <v>1577</v>
      </c>
      <c r="H331" s="3">
        <v>0</v>
      </c>
      <c r="I331" s="3">
        <v>0</v>
      </c>
      <c r="J331" s="3">
        <v>0</v>
      </c>
      <c r="K331" s="3">
        <v>418.25</v>
      </c>
      <c r="L331" s="3">
        <v>0</v>
      </c>
      <c r="M331" s="3">
        <v>0</v>
      </c>
      <c r="N331" s="3">
        <v>0</v>
      </c>
      <c r="O331" s="3">
        <v>54.372500000000002</v>
      </c>
      <c r="P331" s="3">
        <v>472.6225</v>
      </c>
      <c r="Q331" t="s">
        <v>8046</v>
      </c>
      <c r="R331" t="s">
        <v>8200</v>
      </c>
      <c r="S331" s="3" t="s">
        <v>8345</v>
      </c>
      <c r="T331" s="3">
        <v>4.18</v>
      </c>
      <c r="U331" s="3"/>
    </row>
    <row r="332" spans="1:21" hidden="1" x14ac:dyDescent="0.25">
      <c r="A332" t="s">
        <v>8609</v>
      </c>
      <c r="B332" t="s">
        <v>8618</v>
      </c>
      <c r="C332" t="s">
        <v>1</v>
      </c>
      <c r="D332" t="s">
        <v>0</v>
      </c>
      <c r="E332">
        <v>313065</v>
      </c>
      <c r="F332" t="s">
        <v>2701</v>
      </c>
      <c r="G332" t="s">
        <v>2702</v>
      </c>
      <c r="H332" s="3">
        <v>0</v>
      </c>
      <c r="I332" s="3">
        <v>0</v>
      </c>
      <c r="J332" s="3">
        <v>0</v>
      </c>
      <c r="K332" s="3">
        <v>225.68</v>
      </c>
      <c r="L332" s="3">
        <v>0</v>
      </c>
      <c r="M332" s="3">
        <v>0</v>
      </c>
      <c r="N332" s="3">
        <v>0</v>
      </c>
      <c r="O332" s="3">
        <v>29.338400000000004</v>
      </c>
      <c r="P332" s="3">
        <v>255.01840000000001</v>
      </c>
      <c r="Q332" t="s">
        <v>8046</v>
      </c>
      <c r="R332" t="s">
        <v>8200</v>
      </c>
      <c r="S332" s="3" t="s">
        <v>8750</v>
      </c>
      <c r="T332" s="3">
        <v>2.2799999999999998</v>
      </c>
      <c r="U332" s="3"/>
    </row>
    <row r="333" spans="1:21" hidden="1" x14ac:dyDescent="0.25">
      <c r="A333" t="s">
        <v>8609</v>
      </c>
      <c r="B333" t="s">
        <v>8632</v>
      </c>
      <c r="C333" t="s">
        <v>1</v>
      </c>
      <c r="D333" t="s">
        <v>0</v>
      </c>
      <c r="E333">
        <v>30245</v>
      </c>
      <c r="F333" t="s">
        <v>2998</v>
      </c>
      <c r="G333" t="s">
        <v>2999</v>
      </c>
      <c r="H333" s="3">
        <v>0</v>
      </c>
      <c r="I333" s="3">
        <v>0</v>
      </c>
      <c r="J333" s="3">
        <v>0</v>
      </c>
      <c r="K333" s="3">
        <v>371.25</v>
      </c>
      <c r="L333" s="3">
        <v>0</v>
      </c>
      <c r="M333" s="3">
        <v>0</v>
      </c>
      <c r="N333" s="3">
        <v>0</v>
      </c>
      <c r="O333" s="3">
        <v>48.262500000000003</v>
      </c>
      <c r="P333" s="3">
        <v>419.51249999999999</v>
      </c>
      <c r="Q333" t="s">
        <v>8046</v>
      </c>
      <c r="R333" t="s">
        <v>8200</v>
      </c>
      <c r="S333" s="3" t="s">
        <v>8345</v>
      </c>
      <c r="T333" s="3">
        <v>3.71</v>
      </c>
      <c r="U333" s="3"/>
    </row>
    <row r="334" spans="1:21" hidden="1" x14ac:dyDescent="0.25">
      <c r="A334" t="s">
        <v>8609</v>
      </c>
      <c r="B334" t="s">
        <v>8524</v>
      </c>
      <c r="C334" t="s">
        <v>1</v>
      </c>
      <c r="D334" t="s">
        <v>0</v>
      </c>
      <c r="E334">
        <v>12948</v>
      </c>
      <c r="F334" t="s">
        <v>1571</v>
      </c>
      <c r="G334" t="s">
        <v>1572</v>
      </c>
      <c r="H334" s="3">
        <v>0</v>
      </c>
      <c r="I334" s="3">
        <v>0</v>
      </c>
      <c r="J334" s="3">
        <v>0</v>
      </c>
      <c r="K334" s="3">
        <v>438.94</v>
      </c>
      <c r="L334" s="3">
        <v>0</v>
      </c>
      <c r="M334" s="3">
        <v>0</v>
      </c>
      <c r="N334" s="3">
        <v>0</v>
      </c>
      <c r="O334" s="3">
        <v>57.062200000000004</v>
      </c>
      <c r="P334" s="3">
        <v>496.00220000000002</v>
      </c>
      <c r="Q334" t="s">
        <v>8046</v>
      </c>
      <c r="R334" t="s">
        <v>8200</v>
      </c>
      <c r="S334" s="3" t="s">
        <v>8046</v>
      </c>
      <c r="T334" s="3">
        <v>0</v>
      </c>
      <c r="U334" s="3"/>
    </row>
    <row r="335" spans="1:21" hidden="1" x14ac:dyDescent="0.25">
      <c r="A335" t="s">
        <v>8608</v>
      </c>
      <c r="B335" t="s">
        <v>8681</v>
      </c>
      <c r="C335" t="s">
        <v>1</v>
      </c>
      <c r="D335" t="s">
        <v>0</v>
      </c>
      <c r="E335">
        <v>9637</v>
      </c>
      <c r="F335" t="s">
        <v>1200</v>
      </c>
      <c r="G335" t="s">
        <v>1201</v>
      </c>
      <c r="H335" s="3">
        <v>0</v>
      </c>
      <c r="I335" s="3">
        <v>0</v>
      </c>
      <c r="J335" s="3">
        <v>0</v>
      </c>
      <c r="K335" s="3">
        <v>841.2</v>
      </c>
      <c r="L335" s="3">
        <v>0</v>
      </c>
      <c r="M335" s="3">
        <v>0</v>
      </c>
      <c r="N335" s="3">
        <v>0</v>
      </c>
      <c r="O335" s="3">
        <v>109.35600000000001</v>
      </c>
      <c r="P335" s="3">
        <v>950.55600000000004</v>
      </c>
      <c r="Q335" t="s">
        <v>8046</v>
      </c>
      <c r="R335" t="s">
        <v>8200</v>
      </c>
      <c r="S335" s="3" t="s">
        <v>8358</v>
      </c>
      <c r="T335" s="3">
        <v>8.41</v>
      </c>
      <c r="U335" s="3"/>
    </row>
    <row r="336" spans="1:21" hidden="1" x14ac:dyDescent="0.25">
      <c r="A336" t="s">
        <v>8608</v>
      </c>
      <c r="B336" t="s">
        <v>8681</v>
      </c>
      <c r="C336" t="s">
        <v>1</v>
      </c>
      <c r="D336" t="s">
        <v>0</v>
      </c>
      <c r="E336">
        <v>10635</v>
      </c>
      <c r="F336" t="s">
        <v>8365</v>
      </c>
      <c r="G336" t="s">
        <v>8366</v>
      </c>
      <c r="H336" s="3">
        <v>0.94</v>
      </c>
      <c r="I336" s="3">
        <v>0</v>
      </c>
      <c r="J336" s="3">
        <v>0</v>
      </c>
      <c r="K336" s="3">
        <v>16.87</v>
      </c>
      <c r="L336" s="3">
        <v>0</v>
      </c>
      <c r="M336" s="3">
        <v>0</v>
      </c>
      <c r="N336" s="3">
        <v>0</v>
      </c>
      <c r="O336" s="3">
        <v>2.1931000000000003</v>
      </c>
      <c r="P336" s="3">
        <v>20.003100000000003</v>
      </c>
      <c r="Q336" t="s">
        <v>8046</v>
      </c>
      <c r="R336" t="s">
        <v>8200</v>
      </c>
      <c r="S336" s="3" t="s">
        <v>8046</v>
      </c>
      <c r="T336" s="3">
        <v>0</v>
      </c>
      <c r="U336" s="3"/>
    </row>
    <row r="337" spans="1:21" hidden="1" x14ac:dyDescent="0.25">
      <c r="A337" t="s">
        <v>8608</v>
      </c>
      <c r="B337" t="s">
        <v>8681</v>
      </c>
      <c r="C337" t="s">
        <v>1</v>
      </c>
      <c r="D337" t="s">
        <v>0</v>
      </c>
      <c r="E337">
        <v>2137575</v>
      </c>
      <c r="F337" t="s">
        <v>1531</v>
      </c>
      <c r="G337" t="s">
        <v>1532</v>
      </c>
      <c r="H337" s="3">
        <v>0.93</v>
      </c>
      <c r="I337" s="3">
        <v>0</v>
      </c>
      <c r="J337" s="3">
        <v>0</v>
      </c>
      <c r="K337" s="3">
        <v>16.88</v>
      </c>
      <c r="L337" s="3">
        <v>0</v>
      </c>
      <c r="M337" s="3">
        <v>0</v>
      </c>
      <c r="N337" s="3">
        <v>0</v>
      </c>
      <c r="O337" s="3">
        <v>2.1943999999999999</v>
      </c>
      <c r="P337" s="3">
        <v>20.004399999999997</v>
      </c>
      <c r="Q337" t="s">
        <v>8046</v>
      </c>
      <c r="R337" t="s">
        <v>8200</v>
      </c>
      <c r="S337" s="3" t="s">
        <v>8046</v>
      </c>
      <c r="T337" s="3">
        <v>0</v>
      </c>
      <c r="U337" s="3"/>
    </row>
    <row r="338" spans="1:21" hidden="1" x14ac:dyDescent="0.25">
      <c r="A338" t="s">
        <v>8608</v>
      </c>
      <c r="B338" t="s">
        <v>8681</v>
      </c>
      <c r="C338" t="s">
        <v>1</v>
      </c>
      <c r="D338" t="s">
        <v>0</v>
      </c>
      <c r="E338">
        <v>86779</v>
      </c>
      <c r="F338" t="s">
        <v>1501</v>
      </c>
      <c r="G338" t="s">
        <v>1502</v>
      </c>
      <c r="H338" s="3">
        <v>1.46</v>
      </c>
      <c r="I338" s="3">
        <v>0</v>
      </c>
      <c r="J338" s="3">
        <v>0</v>
      </c>
      <c r="K338" s="3">
        <v>25.25</v>
      </c>
      <c r="L338" s="3">
        <v>0</v>
      </c>
      <c r="M338" s="3">
        <v>0</v>
      </c>
      <c r="N338" s="3">
        <v>0</v>
      </c>
      <c r="O338" s="3">
        <v>3.2825000000000002</v>
      </c>
      <c r="P338" s="3">
        <v>29.9925</v>
      </c>
      <c r="Q338" t="s">
        <v>8046</v>
      </c>
      <c r="R338" t="s">
        <v>8200</v>
      </c>
      <c r="S338" s="3" t="s">
        <v>8046</v>
      </c>
      <c r="T338" s="3">
        <v>0</v>
      </c>
      <c r="U338" s="3"/>
    </row>
    <row r="339" spans="1:21" hidden="1" x14ac:dyDescent="0.25">
      <c r="A339" t="s">
        <v>8609</v>
      </c>
      <c r="B339" t="s">
        <v>8682</v>
      </c>
      <c r="C339" t="s">
        <v>1</v>
      </c>
      <c r="D339" t="s">
        <v>0</v>
      </c>
      <c r="E339">
        <v>9624</v>
      </c>
      <c r="F339" t="s">
        <v>1200</v>
      </c>
      <c r="G339" t="s">
        <v>1201</v>
      </c>
      <c r="H339" s="3">
        <v>0</v>
      </c>
      <c r="I339" s="3">
        <v>0</v>
      </c>
      <c r="J339" s="3">
        <v>0</v>
      </c>
      <c r="K339" s="3">
        <v>6632</v>
      </c>
      <c r="L339" s="3">
        <v>0</v>
      </c>
      <c r="M339" s="3">
        <v>0</v>
      </c>
      <c r="N339" s="3">
        <v>0</v>
      </c>
      <c r="O339" s="3">
        <v>862.16000000000008</v>
      </c>
      <c r="P339" s="3">
        <v>7494.16</v>
      </c>
      <c r="Q339" t="s">
        <v>8046</v>
      </c>
      <c r="R339" t="s">
        <v>8200</v>
      </c>
      <c r="S339" s="3" t="s">
        <v>8358</v>
      </c>
      <c r="T339" s="3">
        <v>66.319999999999993</v>
      </c>
      <c r="U339" s="3"/>
    </row>
    <row r="340" spans="1:21" hidden="1" x14ac:dyDescent="0.25">
      <c r="A340" t="s">
        <v>8608</v>
      </c>
      <c r="B340" t="s">
        <v>8682</v>
      </c>
      <c r="C340" t="s">
        <v>1</v>
      </c>
      <c r="D340" t="s">
        <v>0</v>
      </c>
      <c r="E340">
        <v>1464746</v>
      </c>
      <c r="F340" t="s">
        <v>1576</v>
      </c>
      <c r="G340" t="s">
        <v>1577</v>
      </c>
      <c r="H340" s="3">
        <v>0</v>
      </c>
      <c r="I340" s="3">
        <v>0</v>
      </c>
      <c r="J340" s="3">
        <v>0</v>
      </c>
      <c r="K340" s="3">
        <v>227.48</v>
      </c>
      <c r="L340" s="3">
        <v>0</v>
      </c>
      <c r="M340" s="3">
        <v>0</v>
      </c>
      <c r="N340" s="3">
        <v>0</v>
      </c>
      <c r="O340" s="3">
        <v>29.572399999999998</v>
      </c>
      <c r="P340" s="3">
        <v>257.05239999999998</v>
      </c>
      <c r="Q340" t="s">
        <v>8046</v>
      </c>
      <c r="R340" t="s">
        <v>8200</v>
      </c>
      <c r="S340" s="3" t="s">
        <v>8345</v>
      </c>
      <c r="T340" s="3">
        <v>2.27</v>
      </c>
      <c r="U340" s="3"/>
    </row>
    <row r="341" spans="1:21" hidden="1" x14ac:dyDescent="0.25">
      <c r="A341" t="s">
        <v>8608</v>
      </c>
      <c r="B341" t="s">
        <v>8682</v>
      </c>
      <c r="C341" t="s">
        <v>1</v>
      </c>
      <c r="D341" t="s">
        <v>0</v>
      </c>
      <c r="E341">
        <v>1055034</v>
      </c>
      <c r="F341" t="s">
        <v>1576</v>
      </c>
      <c r="G341" t="s">
        <v>1577</v>
      </c>
      <c r="H341" s="3">
        <v>0</v>
      </c>
      <c r="I341" s="3">
        <v>0</v>
      </c>
      <c r="J341" s="3">
        <v>0</v>
      </c>
      <c r="K341" s="3">
        <v>454.95</v>
      </c>
      <c r="L341" s="3">
        <v>0</v>
      </c>
      <c r="M341" s="3">
        <v>0</v>
      </c>
      <c r="N341" s="3">
        <v>0</v>
      </c>
      <c r="O341" s="3">
        <v>59.143500000000003</v>
      </c>
      <c r="P341" s="3">
        <v>514.09349999999995</v>
      </c>
      <c r="Q341" t="s">
        <v>8046</v>
      </c>
      <c r="R341" t="s">
        <v>8200</v>
      </c>
      <c r="S341" s="3" t="s">
        <v>8046</v>
      </c>
      <c r="T341" s="3">
        <v>0</v>
      </c>
      <c r="U341" s="3"/>
    </row>
    <row r="342" spans="1:21" hidden="1" x14ac:dyDescent="0.25">
      <c r="A342" t="s">
        <v>8608</v>
      </c>
      <c r="B342" t="s">
        <v>8682</v>
      </c>
      <c r="C342" t="s">
        <v>1</v>
      </c>
      <c r="D342" t="s">
        <v>0</v>
      </c>
      <c r="E342">
        <v>12467</v>
      </c>
      <c r="F342" t="s">
        <v>1697</v>
      </c>
      <c r="G342" t="s">
        <v>1698</v>
      </c>
      <c r="H342" s="3">
        <v>1.47</v>
      </c>
      <c r="I342" s="3">
        <v>0</v>
      </c>
      <c r="J342" s="3">
        <v>0</v>
      </c>
      <c r="K342" s="3">
        <v>25.25</v>
      </c>
      <c r="L342" s="3">
        <v>0</v>
      </c>
      <c r="M342" s="3">
        <v>0</v>
      </c>
      <c r="N342" s="3">
        <v>0</v>
      </c>
      <c r="O342" s="3">
        <v>3.2825000000000002</v>
      </c>
      <c r="P342" s="3">
        <v>30.002499999999998</v>
      </c>
      <c r="Q342" t="s">
        <v>8046</v>
      </c>
      <c r="R342" t="s">
        <v>8200</v>
      </c>
      <c r="S342" s="3" t="s">
        <v>8046</v>
      </c>
      <c r="T342" s="3">
        <v>0</v>
      </c>
      <c r="U342" s="3"/>
    </row>
    <row r="343" spans="1:21" hidden="1" x14ac:dyDescent="0.25">
      <c r="A343" t="s">
        <v>8608</v>
      </c>
      <c r="B343" t="s">
        <v>8682</v>
      </c>
      <c r="C343" t="s">
        <v>1</v>
      </c>
      <c r="D343" t="s">
        <v>0</v>
      </c>
      <c r="E343">
        <v>148</v>
      </c>
      <c r="F343" t="s">
        <v>8762</v>
      </c>
      <c r="G343" t="s">
        <v>8763</v>
      </c>
      <c r="H343" s="3">
        <v>0</v>
      </c>
      <c r="I343" s="3">
        <v>0</v>
      </c>
      <c r="J343" s="3">
        <v>0</v>
      </c>
      <c r="K343" s="3">
        <v>13.93</v>
      </c>
      <c r="L343" s="3">
        <v>0</v>
      </c>
      <c r="M343" s="3">
        <v>0</v>
      </c>
      <c r="N343" s="3">
        <v>0</v>
      </c>
      <c r="O343" s="3">
        <v>1.8109</v>
      </c>
      <c r="P343" s="3">
        <v>15.7409</v>
      </c>
      <c r="Q343" t="s">
        <v>8046</v>
      </c>
      <c r="R343" t="s">
        <v>8200</v>
      </c>
      <c r="S343" s="3" t="s">
        <v>8046</v>
      </c>
      <c r="T343" s="3">
        <v>0</v>
      </c>
      <c r="U343" s="3"/>
    </row>
    <row r="344" spans="1:21" hidden="1" x14ac:dyDescent="0.25">
      <c r="A344" t="s">
        <v>8608</v>
      </c>
      <c r="B344" t="s">
        <v>8682</v>
      </c>
      <c r="C344" t="s">
        <v>1</v>
      </c>
      <c r="D344" t="s">
        <v>0</v>
      </c>
      <c r="E344">
        <v>4966</v>
      </c>
      <c r="F344" t="s">
        <v>3587</v>
      </c>
      <c r="G344" t="s">
        <v>3588</v>
      </c>
      <c r="H344" s="3">
        <v>0</v>
      </c>
      <c r="I344" s="3">
        <v>0</v>
      </c>
      <c r="J344" s="3">
        <v>0</v>
      </c>
      <c r="K344" s="3">
        <v>96.46</v>
      </c>
      <c r="L344" s="3">
        <v>0</v>
      </c>
      <c r="M344" s="3">
        <v>0</v>
      </c>
      <c r="N344" s="3">
        <v>0</v>
      </c>
      <c r="O344" s="3">
        <v>12.5398</v>
      </c>
      <c r="P344" s="3">
        <v>108.99979999999999</v>
      </c>
      <c r="Q344" t="s">
        <v>8046</v>
      </c>
      <c r="R344" t="s">
        <v>8200</v>
      </c>
      <c r="S344" s="3" t="s">
        <v>8046</v>
      </c>
      <c r="T344" s="3">
        <v>0</v>
      </c>
      <c r="U344" s="3"/>
    </row>
    <row r="345" spans="1:21" hidden="1" x14ac:dyDescent="0.25">
      <c r="A345" t="s">
        <v>8608</v>
      </c>
      <c r="B345" t="s">
        <v>8682</v>
      </c>
      <c r="C345" t="s">
        <v>1</v>
      </c>
      <c r="D345" t="s">
        <v>0</v>
      </c>
      <c r="E345">
        <v>31737</v>
      </c>
      <c r="F345" t="s">
        <v>3759</v>
      </c>
      <c r="G345" t="s">
        <v>3760</v>
      </c>
      <c r="H345" s="3">
        <v>1.1599999999999999</v>
      </c>
      <c r="I345" s="3">
        <v>0</v>
      </c>
      <c r="J345" s="3">
        <v>0</v>
      </c>
      <c r="K345" s="3">
        <v>21.1</v>
      </c>
      <c r="L345" s="3">
        <v>0</v>
      </c>
      <c r="M345" s="3">
        <v>0</v>
      </c>
      <c r="N345" s="3">
        <v>0</v>
      </c>
      <c r="O345" s="3">
        <v>2.7430000000000003</v>
      </c>
      <c r="P345" s="3">
        <v>25.003</v>
      </c>
      <c r="Q345" t="s">
        <v>8046</v>
      </c>
      <c r="R345" t="s">
        <v>8200</v>
      </c>
      <c r="S345" s="3" t="s">
        <v>8046</v>
      </c>
      <c r="T345" s="3">
        <v>0</v>
      </c>
      <c r="U345" s="3"/>
    </row>
    <row r="346" spans="1:21" hidden="1" x14ac:dyDescent="0.25">
      <c r="A346" t="s">
        <v>8608</v>
      </c>
      <c r="B346" t="s">
        <v>8682</v>
      </c>
      <c r="C346" t="s">
        <v>1</v>
      </c>
      <c r="D346" t="s">
        <v>0</v>
      </c>
      <c r="E346">
        <v>2738563</v>
      </c>
      <c r="F346" t="s">
        <v>1494</v>
      </c>
      <c r="G346" t="s">
        <v>1495</v>
      </c>
      <c r="H346" s="3">
        <v>0</v>
      </c>
      <c r="I346" s="3">
        <v>0</v>
      </c>
      <c r="J346" s="3">
        <v>0</v>
      </c>
      <c r="K346" s="3">
        <v>135.93</v>
      </c>
      <c r="L346" s="3">
        <v>0</v>
      </c>
      <c r="M346" s="3">
        <v>0</v>
      </c>
      <c r="N346" s="3">
        <v>0</v>
      </c>
      <c r="O346" s="3">
        <v>17.670900000000003</v>
      </c>
      <c r="P346" s="3">
        <v>153.60090000000002</v>
      </c>
      <c r="Q346" t="s">
        <v>8046</v>
      </c>
      <c r="R346" t="s">
        <v>8200</v>
      </c>
      <c r="S346" s="3" t="s">
        <v>8046</v>
      </c>
      <c r="T346" s="3">
        <v>0</v>
      </c>
      <c r="U346" s="3"/>
    </row>
    <row r="347" spans="1:21" hidden="1" x14ac:dyDescent="0.25">
      <c r="A347" t="s">
        <v>8608</v>
      </c>
      <c r="B347" t="s">
        <v>8761</v>
      </c>
      <c r="C347" t="s">
        <v>1</v>
      </c>
      <c r="D347" t="s">
        <v>0</v>
      </c>
      <c r="E347">
        <v>5955</v>
      </c>
      <c r="F347" t="s">
        <v>3374</v>
      </c>
      <c r="G347" t="s">
        <v>3375</v>
      </c>
      <c r="H347" s="3">
        <v>2.1800000000000002</v>
      </c>
      <c r="I347" s="3">
        <v>0</v>
      </c>
      <c r="J347" s="3">
        <v>0</v>
      </c>
      <c r="K347" s="3">
        <v>39.659999999999997</v>
      </c>
      <c r="L347" s="3">
        <v>0</v>
      </c>
      <c r="M347" s="3">
        <v>0</v>
      </c>
      <c r="N347" s="3">
        <v>0</v>
      </c>
      <c r="O347" s="3">
        <v>5.1558000000000002</v>
      </c>
      <c r="P347" s="3">
        <v>46.995799999999996</v>
      </c>
      <c r="Q347" t="s">
        <v>8046</v>
      </c>
      <c r="R347" t="s">
        <v>8200</v>
      </c>
      <c r="S347" s="3" t="s">
        <v>8046</v>
      </c>
      <c r="T347" s="3">
        <v>0</v>
      </c>
      <c r="U347" s="3"/>
    </row>
    <row r="348" spans="1:21" hidden="1" x14ac:dyDescent="0.25">
      <c r="A348" t="s">
        <v>8608</v>
      </c>
      <c r="B348" t="s">
        <v>8683</v>
      </c>
      <c r="C348" t="s">
        <v>1</v>
      </c>
      <c r="D348" t="s">
        <v>0</v>
      </c>
      <c r="E348">
        <v>184544</v>
      </c>
      <c r="F348" t="s">
        <v>2901</v>
      </c>
      <c r="G348" t="s">
        <v>2902</v>
      </c>
      <c r="H348" s="3">
        <v>0</v>
      </c>
      <c r="I348" s="3">
        <v>0</v>
      </c>
      <c r="J348" s="3">
        <v>0</v>
      </c>
      <c r="K348" s="3">
        <v>939.74</v>
      </c>
      <c r="L348" s="3">
        <v>0</v>
      </c>
      <c r="M348" s="3">
        <v>0</v>
      </c>
      <c r="N348" s="3">
        <v>0</v>
      </c>
      <c r="O348" s="3">
        <v>122.1662</v>
      </c>
      <c r="P348" s="3">
        <v>1061.9061999999999</v>
      </c>
      <c r="Q348" t="s">
        <v>8046</v>
      </c>
      <c r="R348" t="s">
        <v>8200</v>
      </c>
      <c r="S348" s="3" t="s">
        <v>8358</v>
      </c>
      <c r="T348" s="3">
        <v>9.4</v>
      </c>
      <c r="U348" s="3"/>
    </row>
    <row r="349" spans="1:21" hidden="1" x14ac:dyDescent="0.25">
      <c r="A349" t="s">
        <v>8608</v>
      </c>
      <c r="B349" t="s">
        <v>8683</v>
      </c>
      <c r="C349" t="s">
        <v>1</v>
      </c>
      <c r="D349" t="s">
        <v>0</v>
      </c>
      <c r="E349">
        <v>1463931</v>
      </c>
      <c r="F349" t="s">
        <v>1576</v>
      </c>
      <c r="G349" t="s">
        <v>1577</v>
      </c>
      <c r="H349" s="3">
        <v>0</v>
      </c>
      <c r="I349" s="3">
        <v>0</v>
      </c>
      <c r="J349" s="3">
        <v>0</v>
      </c>
      <c r="K349" s="3">
        <v>324.25</v>
      </c>
      <c r="L349" s="3">
        <v>0</v>
      </c>
      <c r="M349" s="3">
        <v>0</v>
      </c>
      <c r="N349" s="3">
        <v>0</v>
      </c>
      <c r="O349" s="3">
        <v>42.152500000000003</v>
      </c>
      <c r="P349" s="3">
        <v>366.40250000000003</v>
      </c>
      <c r="Q349" t="s">
        <v>8046</v>
      </c>
      <c r="R349" t="s">
        <v>8200</v>
      </c>
      <c r="S349" s="3" t="s">
        <v>8345</v>
      </c>
      <c r="T349" s="3">
        <v>3.24</v>
      </c>
      <c r="U349" s="3"/>
    </row>
    <row r="350" spans="1:21" hidden="1" x14ac:dyDescent="0.25">
      <c r="A350" t="s">
        <v>8608</v>
      </c>
      <c r="B350" t="s">
        <v>8683</v>
      </c>
      <c r="C350" t="s">
        <v>1</v>
      </c>
      <c r="D350" t="s">
        <v>0</v>
      </c>
      <c r="E350">
        <v>1463930</v>
      </c>
      <c r="F350" t="s">
        <v>1576</v>
      </c>
      <c r="G350" t="s">
        <v>1577</v>
      </c>
      <c r="H350" s="3">
        <v>0</v>
      </c>
      <c r="I350" s="3">
        <v>0</v>
      </c>
      <c r="J350" s="3">
        <v>0</v>
      </c>
      <c r="K350" s="3">
        <v>526.26</v>
      </c>
      <c r="L350" s="3">
        <v>0</v>
      </c>
      <c r="M350" s="3">
        <v>0</v>
      </c>
      <c r="N350" s="3">
        <v>0</v>
      </c>
      <c r="O350" s="3">
        <v>68.413799999999995</v>
      </c>
      <c r="P350" s="3">
        <v>594.67380000000003</v>
      </c>
      <c r="Q350" t="s">
        <v>8046</v>
      </c>
      <c r="R350" t="s">
        <v>8200</v>
      </c>
      <c r="S350" s="3" t="s">
        <v>8345</v>
      </c>
      <c r="T350" s="3">
        <v>5.26</v>
      </c>
      <c r="U350" s="3"/>
    </row>
    <row r="351" spans="1:21" hidden="1" x14ac:dyDescent="0.25">
      <c r="A351" t="s">
        <v>8608</v>
      </c>
      <c r="B351" t="s">
        <v>8683</v>
      </c>
      <c r="C351" t="s">
        <v>1</v>
      </c>
      <c r="D351" t="s">
        <v>0</v>
      </c>
      <c r="E351">
        <v>1463926</v>
      </c>
      <c r="F351" t="s">
        <v>1576</v>
      </c>
      <c r="G351" t="s">
        <v>1577</v>
      </c>
      <c r="H351" s="3">
        <v>0</v>
      </c>
      <c r="I351" s="3">
        <v>0</v>
      </c>
      <c r="J351" s="3">
        <v>0</v>
      </c>
      <c r="K351" s="3">
        <v>275.25</v>
      </c>
      <c r="L351" s="3">
        <v>0</v>
      </c>
      <c r="M351" s="3">
        <v>0</v>
      </c>
      <c r="N351" s="3">
        <v>0</v>
      </c>
      <c r="O351" s="3">
        <v>35.782499999999999</v>
      </c>
      <c r="P351" s="3">
        <v>311.03250000000003</v>
      </c>
      <c r="Q351" t="s">
        <v>8046</v>
      </c>
      <c r="R351" t="s">
        <v>8200</v>
      </c>
      <c r="S351" s="3" t="s">
        <v>8345</v>
      </c>
      <c r="T351" s="3">
        <v>2.75</v>
      </c>
      <c r="U351" s="3"/>
    </row>
    <row r="352" spans="1:21" hidden="1" x14ac:dyDescent="0.25">
      <c r="A352" t="s">
        <v>8608</v>
      </c>
      <c r="B352" t="s">
        <v>8683</v>
      </c>
      <c r="C352" t="s">
        <v>1</v>
      </c>
      <c r="D352" t="s">
        <v>0</v>
      </c>
      <c r="E352">
        <v>1463919</v>
      </c>
      <c r="F352" t="s">
        <v>1576</v>
      </c>
      <c r="G352" t="s">
        <v>1577</v>
      </c>
      <c r="H352" s="3">
        <v>0</v>
      </c>
      <c r="I352" s="3">
        <v>0</v>
      </c>
      <c r="J352" s="3">
        <v>0</v>
      </c>
      <c r="K352" s="3">
        <v>1167</v>
      </c>
      <c r="L352" s="3">
        <v>0</v>
      </c>
      <c r="M352" s="3">
        <v>0</v>
      </c>
      <c r="N352" s="3">
        <v>0</v>
      </c>
      <c r="O352" s="3">
        <v>151.71</v>
      </c>
      <c r="P352" s="3">
        <v>1318.71</v>
      </c>
      <c r="Q352" t="s">
        <v>8046</v>
      </c>
      <c r="R352" t="s">
        <v>8200</v>
      </c>
      <c r="S352" s="3" t="s">
        <v>8345</v>
      </c>
      <c r="T352" s="3">
        <v>11.67</v>
      </c>
      <c r="U352" s="3"/>
    </row>
    <row r="353" spans="1:21" hidden="1" x14ac:dyDescent="0.25">
      <c r="A353" t="s">
        <v>8608</v>
      </c>
      <c r="B353" t="s">
        <v>8683</v>
      </c>
      <c r="C353" t="s">
        <v>1</v>
      </c>
      <c r="D353" t="s">
        <v>0</v>
      </c>
      <c r="E353">
        <v>7489</v>
      </c>
      <c r="F353" t="s">
        <v>8510</v>
      </c>
      <c r="G353" t="s">
        <v>8511</v>
      </c>
      <c r="H353" s="3">
        <v>0</v>
      </c>
      <c r="I353" s="3">
        <v>0</v>
      </c>
      <c r="J353" s="3">
        <v>0</v>
      </c>
      <c r="K353" s="3">
        <v>176.82</v>
      </c>
      <c r="L353" s="3">
        <v>0</v>
      </c>
      <c r="M353" s="3">
        <v>0</v>
      </c>
      <c r="N353" s="3">
        <v>0</v>
      </c>
      <c r="O353" s="3">
        <v>22.986599999999999</v>
      </c>
      <c r="P353" s="3">
        <v>199.8066</v>
      </c>
      <c r="Q353" t="s">
        <v>8046</v>
      </c>
      <c r="R353" t="s">
        <v>8200</v>
      </c>
      <c r="S353" s="3" t="s">
        <v>8046</v>
      </c>
      <c r="T353" s="3">
        <v>0</v>
      </c>
      <c r="U353" s="3"/>
    </row>
    <row r="354" spans="1:21" hidden="1" x14ac:dyDescent="0.25">
      <c r="A354" t="s">
        <v>8608</v>
      </c>
      <c r="B354" t="s">
        <v>8683</v>
      </c>
      <c r="C354" t="s">
        <v>1</v>
      </c>
      <c r="D354" t="s">
        <v>0</v>
      </c>
      <c r="E354">
        <v>28651</v>
      </c>
      <c r="F354" t="s">
        <v>1522</v>
      </c>
      <c r="G354" t="s">
        <v>1523</v>
      </c>
      <c r="H354" s="3">
        <v>2.35</v>
      </c>
      <c r="I354" s="3">
        <v>0</v>
      </c>
      <c r="J354" s="3">
        <v>0</v>
      </c>
      <c r="K354" s="3">
        <v>42.17</v>
      </c>
      <c r="L354" s="3">
        <v>0</v>
      </c>
      <c r="M354" s="3">
        <v>0</v>
      </c>
      <c r="N354" s="3">
        <v>0</v>
      </c>
      <c r="O354" s="3">
        <v>5.4821</v>
      </c>
      <c r="P354" s="3">
        <v>50.002100000000006</v>
      </c>
      <c r="Q354" t="s">
        <v>8046</v>
      </c>
      <c r="R354" t="s">
        <v>8200</v>
      </c>
      <c r="S354" s="3" t="s">
        <v>8046</v>
      </c>
      <c r="T354" s="3">
        <v>0</v>
      </c>
      <c r="U354" s="3"/>
    </row>
    <row r="355" spans="1:21" hidden="1" x14ac:dyDescent="0.25">
      <c r="A355" t="s">
        <v>8608</v>
      </c>
      <c r="B355" t="s">
        <v>8684</v>
      </c>
      <c r="C355" t="s">
        <v>1</v>
      </c>
      <c r="D355" t="s">
        <v>0</v>
      </c>
      <c r="E355">
        <v>981844</v>
      </c>
      <c r="F355" t="s">
        <v>2440</v>
      </c>
      <c r="G355" t="s">
        <v>2441</v>
      </c>
      <c r="H355" s="3">
        <v>0</v>
      </c>
      <c r="I355" s="3">
        <v>0</v>
      </c>
      <c r="J355" s="3">
        <v>0</v>
      </c>
      <c r="K355" s="3">
        <v>107.68</v>
      </c>
      <c r="L355" s="3">
        <v>0</v>
      </c>
      <c r="M355" s="3">
        <v>0</v>
      </c>
      <c r="N355" s="3">
        <v>0</v>
      </c>
      <c r="O355" s="3">
        <v>13.998400000000002</v>
      </c>
      <c r="P355" s="3">
        <v>121.67840000000001</v>
      </c>
      <c r="Q355" t="s">
        <v>8046</v>
      </c>
      <c r="R355" t="s">
        <v>8200</v>
      </c>
      <c r="S355" s="3" t="s">
        <v>8359</v>
      </c>
      <c r="T355" s="3">
        <v>1.08</v>
      </c>
    </row>
    <row r="356" spans="1:21" hidden="1" x14ac:dyDescent="0.25">
      <c r="A356" t="s">
        <v>8608</v>
      </c>
      <c r="B356" t="s">
        <v>8684</v>
      </c>
      <c r="C356" t="s">
        <v>1</v>
      </c>
      <c r="D356" t="s">
        <v>0</v>
      </c>
      <c r="E356">
        <v>981843</v>
      </c>
      <c r="F356" t="s">
        <v>2440</v>
      </c>
      <c r="G356" t="s">
        <v>2441</v>
      </c>
      <c r="H356" s="3">
        <v>0</v>
      </c>
      <c r="I356" s="3">
        <v>0</v>
      </c>
      <c r="J356" s="3">
        <v>0</v>
      </c>
      <c r="K356" s="3">
        <v>725.76</v>
      </c>
      <c r="L356" s="3">
        <v>0</v>
      </c>
      <c r="M356" s="3">
        <v>0</v>
      </c>
      <c r="N356" s="3">
        <v>0</v>
      </c>
      <c r="O356" s="3">
        <v>94.348799999999997</v>
      </c>
      <c r="P356" s="3">
        <v>820.10879999999997</v>
      </c>
      <c r="Q356" t="s">
        <v>8046</v>
      </c>
      <c r="R356" t="s">
        <v>8200</v>
      </c>
      <c r="S356" s="3" t="s">
        <v>8359</v>
      </c>
      <c r="T356" s="3">
        <v>7.26</v>
      </c>
    </row>
    <row r="357" spans="1:21" hidden="1" x14ac:dyDescent="0.25">
      <c r="A357" t="s">
        <v>8608</v>
      </c>
      <c r="B357" t="s">
        <v>8684</v>
      </c>
      <c r="C357" t="s">
        <v>1</v>
      </c>
      <c r="D357" t="s">
        <v>0</v>
      </c>
      <c r="E357">
        <v>2768</v>
      </c>
      <c r="F357" t="s">
        <v>762</v>
      </c>
      <c r="G357" t="s">
        <v>763</v>
      </c>
      <c r="H357" s="3">
        <v>0</v>
      </c>
      <c r="I357" s="3">
        <v>0</v>
      </c>
      <c r="J357" s="3">
        <v>0</v>
      </c>
      <c r="K357" s="3">
        <v>22</v>
      </c>
      <c r="L357" s="3">
        <v>0</v>
      </c>
      <c r="M357" s="3">
        <v>0</v>
      </c>
      <c r="N357" s="3">
        <v>0</v>
      </c>
      <c r="O357" s="3">
        <v>2.8600000000000003</v>
      </c>
      <c r="P357" s="3">
        <v>24.86</v>
      </c>
      <c r="Q357" t="s">
        <v>8046</v>
      </c>
      <c r="R357" t="s">
        <v>8200</v>
      </c>
      <c r="S357" s="3" t="s">
        <v>8046</v>
      </c>
      <c r="T357" s="3">
        <v>0</v>
      </c>
    </row>
    <row r="358" spans="1:21" hidden="1" x14ac:dyDescent="0.25">
      <c r="A358" t="s">
        <v>8608</v>
      </c>
      <c r="B358" t="s">
        <v>8684</v>
      </c>
      <c r="C358" t="s">
        <v>1</v>
      </c>
      <c r="D358" t="s">
        <v>0</v>
      </c>
      <c r="E358">
        <v>1781</v>
      </c>
      <c r="F358" t="s">
        <v>7902</v>
      </c>
      <c r="G358" t="s">
        <v>7903</v>
      </c>
      <c r="H358" s="3">
        <v>0</v>
      </c>
      <c r="I358" s="3">
        <v>0</v>
      </c>
      <c r="J358" s="3">
        <v>0</v>
      </c>
      <c r="K358" s="3">
        <v>160.94</v>
      </c>
      <c r="L358" s="3">
        <v>0</v>
      </c>
      <c r="M358" s="3">
        <v>0</v>
      </c>
      <c r="N358" s="3">
        <v>0</v>
      </c>
      <c r="O358" s="3">
        <v>20.9222</v>
      </c>
      <c r="P358" s="3">
        <v>181.8622</v>
      </c>
      <c r="Q358" t="s">
        <v>8046</v>
      </c>
      <c r="R358" t="s">
        <v>8200</v>
      </c>
      <c r="S358" s="3" t="s">
        <v>8046</v>
      </c>
      <c r="T358" s="3">
        <v>0</v>
      </c>
    </row>
    <row r="359" spans="1:21" hidden="1" x14ac:dyDescent="0.25">
      <c r="A359" t="s">
        <v>8608</v>
      </c>
      <c r="B359" t="s">
        <v>8684</v>
      </c>
      <c r="C359" t="s">
        <v>1</v>
      </c>
      <c r="D359" t="s">
        <v>0</v>
      </c>
      <c r="E359">
        <v>22358</v>
      </c>
      <c r="F359" t="s">
        <v>1850</v>
      </c>
      <c r="G359" t="s">
        <v>1851</v>
      </c>
      <c r="H359" s="3">
        <v>0</v>
      </c>
      <c r="I359" s="3">
        <v>0</v>
      </c>
      <c r="J359" s="3">
        <v>0</v>
      </c>
      <c r="K359" s="3">
        <v>131.58000000000001</v>
      </c>
      <c r="L359" s="3">
        <v>0</v>
      </c>
      <c r="M359" s="3">
        <v>0</v>
      </c>
      <c r="N359" s="3">
        <v>0</v>
      </c>
      <c r="O359" s="3">
        <v>17.105400000000003</v>
      </c>
      <c r="P359" s="3">
        <v>148.68540000000002</v>
      </c>
      <c r="Q359" t="s">
        <v>8046</v>
      </c>
      <c r="R359" t="s">
        <v>8200</v>
      </c>
      <c r="S359" s="3" t="s">
        <v>8046</v>
      </c>
      <c r="T359" s="3">
        <v>0</v>
      </c>
    </row>
    <row r="360" spans="1:21" hidden="1" x14ac:dyDescent="0.25">
      <c r="A360" t="s">
        <v>8608</v>
      </c>
      <c r="B360" t="s">
        <v>8684</v>
      </c>
      <c r="C360" t="s">
        <v>1</v>
      </c>
      <c r="D360" t="s">
        <v>0</v>
      </c>
      <c r="E360">
        <v>3728</v>
      </c>
      <c r="G360" t="s">
        <v>1489</v>
      </c>
      <c r="H360" s="3">
        <v>1.1599999999999999</v>
      </c>
      <c r="I360" s="3">
        <v>0</v>
      </c>
      <c r="J360" s="3">
        <v>0</v>
      </c>
      <c r="K360" s="3">
        <v>21.1</v>
      </c>
      <c r="L360" s="3">
        <v>0</v>
      </c>
      <c r="M360" s="3">
        <v>0</v>
      </c>
      <c r="N360" s="3">
        <v>0</v>
      </c>
      <c r="O360" s="3">
        <v>2.7430000000000003</v>
      </c>
      <c r="P360" s="3">
        <v>25.003</v>
      </c>
      <c r="Q360" t="s">
        <v>8673</v>
      </c>
      <c r="R360" t="s">
        <v>8200</v>
      </c>
      <c r="S360" s="3" t="s">
        <v>8046</v>
      </c>
      <c r="T360" s="3">
        <v>0</v>
      </c>
    </row>
    <row r="361" spans="1:21" hidden="1" x14ac:dyDescent="0.25">
      <c r="A361" t="s">
        <v>8608</v>
      </c>
      <c r="B361" t="s">
        <v>8684</v>
      </c>
      <c r="C361" t="s">
        <v>1</v>
      </c>
      <c r="D361" t="s">
        <v>0</v>
      </c>
      <c r="E361">
        <v>34515</v>
      </c>
      <c r="F361" t="s">
        <v>8675</v>
      </c>
      <c r="G361" t="s">
        <v>1628</v>
      </c>
      <c r="H361" s="3">
        <v>1.46</v>
      </c>
      <c r="I361" s="3">
        <v>0</v>
      </c>
      <c r="J361" s="3">
        <v>0</v>
      </c>
      <c r="K361" s="3">
        <v>25.26</v>
      </c>
      <c r="L361" s="3">
        <v>0</v>
      </c>
      <c r="M361" s="3">
        <v>0</v>
      </c>
      <c r="N361" s="3">
        <v>0</v>
      </c>
      <c r="O361" s="3">
        <v>3.2838000000000003</v>
      </c>
      <c r="P361" s="3">
        <v>30.003800000000002</v>
      </c>
      <c r="Q361" t="s">
        <v>8046</v>
      </c>
      <c r="R361" t="s">
        <v>8200</v>
      </c>
      <c r="S361" s="3" t="s">
        <v>8046</v>
      </c>
      <c r="T361" s="3">
        <v>0</v>
      </c>
    </row>
    <row r="362" spans="1:21" hidden="1" x14ac:dyDescent="0.25">
      <c r="A362" t="s">
        <v>8608</v>
      </c>
      <c r="B362" t="s">
        <v>8685</v>
      </c>
      <c r="C362" t="s">
        <v>1</v>
      </c>
      <c r="D362" t="s">
        <v>0</v>
      </c>
      <c r="E362">
        <v>58</v>
      </c>
      <c r="F362" t="s">
        <v>8350</v>
      </c>
      <c r="G362" t="s">
        <v>8351</v>
      </c>
      <c r="H362" s="3">
        <v>0</v>
      </c>
      <c r="I362" s="3">
        <v>0</v>
      </c>
      <c r="J362" s="3">
        <v>0</v>
      </c>
      <c r="K362" s="3">
        <v>170.75</v>
      </c>
      <c r="L362" s="3">
        <v>0</v>
      </c>
      <c r="M362" s="3">
        <v>0</v>
      </c>
      <c r="N362" s="3">
        <v>0</v>
      </c>
      <c r="O362" s="3">
        <v>22.197500000000002</v>
      </c>
      <c r="P362" s="3">
        <v>192.94749999999999</v>
      </c>
      <c r="Q362" t="s">
        <v>8046</v>
      </c>
      <c r="R362" t="s">
        <v>8200</v>
      </c>
      <c r="S362" s="3" t="s">
        <v>8046</v>
      </c>
      <c r="T362" s="3">
        <v>0</v>
      </c>
    </row>
    <row r="363" spans="1:21" hidden="1" x14ac:dyDescent="0.25">
      <c r="A363" t="s">
        <v>8608</v>
      </c>
      <c r="B363" t="s">
        <v>8685</v>
      </c>
      <c r="C363" t="s">
        <v>1</v>
      </c>
      <c r="D363" t="s">
        <v>0</v>
      </c>
      <c r="E363">
        <v>47763</v>
      </c>
      <c r="F363" t="s">
        <v>3178</v>
      </c>
      <c r="G363" t="s">
        <v>3179</v>
      </c>
      <c r="H363" s="3">
        <v>0</v>
      </c>
      <c r="I363" s="3">
        <v>0</v>
      </c>
      <c r="J363" s="3">
        <v>0</v>
      </c>
      <c r="K363" s="3">
        <v>15.6</v>
      </c>
      <c r="L363" s="3">
        <v>0</v>
      </c>
      <c r="M363" s="3">
        <v>0</v>
      </c>
      <c r="N363" s="3">
        <v>0</v>
      </c>
      <c r="O363" s="3">
        <v>2.028</v>
      </c>
      <c r="P363" s="3">
        <v>17.628</v>
      </c>
      <c r="Q363" t="s">
        <v>8046</v>
      </c>
      <c r="R363" t="s">
        <v>8200</v>
      </c>
      <c r="S363" s="3" t="s">
        <v>8046</v>
      </c>
      <c r="T363" s="3">
        <v>0</v>
      </c>
    </row>
    <row r="364" spans="1:21" hidden="1" x14ac:dyDescent="0.25">
      <c r="A364" t="s">
        <v>8608</v>
      </c>
      <c r="B364" t="s">
        <v>8685</v>
      </c>
      <c r="C364" t="s">
        <v>1</v>
      </c>
      <c r="D364" t="s">
        <v>0</v>
      </c>
      <c r="E364">
        <v>241822</v>
      </c>
      <c r="F364" t="s">
        <v>1497</v>
      </c>
      <c r="G364" t="s">
        <v>1498</v>
      </c>
      <c r="H364" s="3">
        <v>0</v>
      </c>
      <c r="I364" s="3">
        <v>0</v>
      </c>
      <c r="J364" s="3">
        <v>0</v>
      </c>
      <c r="K364" s="3">
        <v>20.64</v>
      </c>
      <c r="L364" s="3">
        <v>0</v>
      </c>
      <c r="M364" s="3">
        <v>0</v>
      </c>
      <c r="N364" s="3">
        <v>0</v>
      </c>
      <c r="O364" s="3">
        <v>2.6832000000000003</v>
      </c>
      <c r="P364" s="3">
        <v>23.3232</v>
      </c>
      <c r="Q364" t="s">
        <v>8046</v>
      </c>
      <c r="R364" t="s">
        <v>8200</v>
      </c>
      <c r="S364" s="3" t="s">
        <v>8046</v>
      </c>
      <c r="T364" s="3">
        <v>0</v>
      </c>
    </row>
    <row r="365" spans="1:21" hidden="1" x14ac:dyDescent="0.25">
      <c r="A365" t="s">
        <v>8608</v>
      </c>
      <c r="B365" t="s">
        <v>8685</v>
      </c>
      <c r="C365" t="s">
        <v>1</v>
      </c>
      <c r="D365" t="s">
        <v>0</v>
      </c>
      <c r="E365">
        <v>241937</v>
      </c>
      <c r="F365" t="s">
        <v>1497</v>
      </c>
      <c r="G365" t="s">
        <v>1498</v>
      </c>
      <c r="H365" s="3">
        <v>0</v>
      </c>
      <c r="I365" s="3">
        <v>0</v>
      </c>
      <c r="J365" s="3">
        <v>0</v>
      </c>
      <c r="K365" s="3">
        <v>158.4</v>
      </c>
      <c r="L365" s="3">
        <v>0</v>
      </c>
      <c r="M365" s="3">
        <v>0</v>
      </c>
      <c r="N365" s="3">
        <v>0</v>
      </c>
      <c r="O365" s="3">
        <v>20.592000000000002</v>
      </c>
      <c r="P365" s="3">
        <v>178.99200000000002</v>
      </c>
      <c r="Q365" t="s">
        <v>8046</v>
      </c>
      <c r="R365" t="s">
        <v>8200</v>
      </c>
      <c r="S365" s="3" t="s">
        <v>8046</v>
      </c>
      <c r="T365" s="3">
        <v>0</v>
      </c>
    </row>
    <row r="366" spans="1:21" hidden="1" x14ac:dyDescent="0.25">
      <c r="A366" t="s">
        <v>8608</v>
      </c>
      <c r="B366" t="s">
        <v>8685</v>
      </c>
      <c r="C366" t="s">
        <v>1</v>
      </c>
      <c r="D366" t="s">
        <v>0</v>
      </c>
      <c r="E366">
        <v>241942</v>
      </c>
      <c r="F366" t="s">
        <v>1497</v>
      </c>
      <c r="G366" t="s">
        <v>1498</v>
      </c>
      <c r="H366" s="3">
        <v>0</v>
      </c>
      <c r="I366" s="3">
        <v>0</v>
      </c>
      <c r="J366" s="3">
        <v>0</v>
      </c>
      <c r="K366" s="3">
        <v>78.180000000000007</v>
      </c>
      <c r="L366" s="3">
        <v>0</v>
      </c>
      <c r="M366" s="3">
        <v>0</v>
      </c>
      <c r="N366" s="3">
        <v>0</v>
      </c>
      <c r="O366" s="3">
        <v>10.163400000000001</v>
      </c>
      <c r="P366" s="3">
        <v>88.343400000000003</v>
      </c>
      <c r="Q366" t="s">
        <v>8046</v>
      </c>
      <c r="R366" t="s">
        <v>8200</v>
      </c>
      <c r="S366" s="3" t="s">
        <v>8046</v>
      </c>
      <c r="T366" s="3">
        <v>0</v>
      </c>
    </row>
    <row r="367" spans="1:21" hidden="1" x14ac:dyDescent="0.25">
      <c r="A367" t="s">
        <v>8608</v>
      </c>
      <c r="B367" t="s">
        <v>8685</v>
      </c>
      <c r="C367" t="s">
        <v>1</v>
      </c>
      <c r="D367" t="s">
        <v>0</v>
      </c>
      <c r="E367">
        <v>1775</v>
      </c>
      <c r="F367" t="s">
        <v>7902</v>
      </c>
      <c r="G367" t="s">
        <v>7903</v>
      </c>
      <c r="H367" s="3">
        <v>0</v>
      </c>
      <c r="I367" s="3">
        <v>0</v>
      </c>
      <c r="J367" s="3">
        <v>0</v>
      </c>
      <c r="K367" s="3">
        <v>80.09</v>
      </c>
      <c r="L367" s="3">
        <v>0</v>
      </c>
      <c r="M367" s="3">
        <v>0</v>
      </c>
      <c r="N367" s="3">
        <v>0</v>
      </c>
      <c r="O367" s="3">
        <v>10.411700000000002</v>
      </c>
      <c r="P367" s="3">
        <v>90.5017</v>
      </c>
      <c r="Q367" t="s">
        <v>8046</v>
      </c>
      <c r="R367" t="s">
        <v>8200</v>
      </c>
      <c r="S367" s="3" t="s">
        <v>8046</v>
      </c>
      <c r="T367" s="3">
        <v>0</v>
      </c>
    </row>
    <row r="368" spans="1:21" hidden="1" x14ac:dyDescent="0.25">
      <c r="A368" t="s">
        <v>8608</v>
      </c>
      <c r="B368" t="s">
        <v>8685</v>
      </c>
      <c r="C368" t="s">
        <v>1</v>
      </c>
      <c r="D368" t="s">
        <v>0</v>
      </c>
      <c r="E368">
        <v>10098</v>
      </c>
      <c r="F368" t="s">
        <v>8365</v>
      </c>
      <c r="G368" t="s">
        <v>8366</v>
      </c>
      <c r="H368" s="3">
        <v>1.41</v>
      </c>
      <c r="I368" s="3">
        <v>0</v>
      </c>
      <c r="J368" s="3">
        <v>0</v>
      </c>
      <c r="K368" s="3">
        <v>25.3</v>
      </c>
      <c r="L368" s="3">
        <v>0</v>
      </c>
      <c r="M368" s="3">
        <v>0</v>
      </c>
      <c r="N368" s="3">
        <v>0</v>
      </c>
      <c r="O368" s="3">
        <v>3.2890000000000001</v>
      </c>
      <c r="P368" s="3">
        <v>29.999000000000002</v>
      </c>
      <c r="Q368" t="s">
        <v>8046</v>
      </c>
      <c r="R368" t="s">
        <v>8200</v>
      </c>
      <c r="S368" s="3" t="s">
        <v>8046</v>
      </c>
      <c r="T368" s="3">
        <v>0</v>
      </c>
    </row>
    <row r="369" spans="1:20" hidden="1" x14ac:dyDescent="0.25">
      <c r="A369" t="s">
        <v>8608</v>
      </c>
      <c r="B369" t="s">
        <v>8685</v>
      </c>
      <c r="C369" t="s">
        <v>1</v>
      </c>
      <c r="D369" t="s">
        <v>0</v>
      </c>
      <c r="E369">
        <v>5736216</v>
      </c>
      <c r="F369" t="s">
        <v>1501</v>
      </c>
      <c r="G369" t="s">
        <v>1502</v>
      </c>
      <c r="H369" s="3">
        <v>1.46</v>
      </c>
      <c r="I369" s="3">
        <v>0</v>
      </c>
      <c r="J369" s="3">
        <v>0</v>
      </c>
      <c r="K369" s="3">
        <v>25.25</v>
      </c>
      <c r="L369" s="3">
        <v>0</v>
      </c>
      <c r="M369" s="3">
        <v>0</v>
      </c>
      <c r="N369" s="3">
        <v>0</v>
      </c>
      <c r="O369" s="3">
        <v>3.2825000000000002</v>
      </c>
      <c r="P369" s="3">
        <v>29.9925</v>
      </c>
      <c r="Q369" t="s">
        <v>8046</v>
      </c>
      <c r="R369" t="s">
        <v>8200</v>
      </c>
      <c r="S369" s="3" t="s">
        <v>8046</v>
      </c>
      <c r="T369" s="3">
        <v>0</v>
      </c>
    </row>
    <row r="370" spans="1:20" hidden="1" x14ac:dyDescent="0.25">
      <c r="A370" t="s">
        <v>8608</v>
      </c>
      <c r="B370" t="s">
        <v>8686</v>
      </c>
      <c r="C370" t="s">
        <v>1</v>
      </c>
      <c r="D370" t="s">
        <v>0</v>
      </c>
      <c r="E370">
        <v>9512</v>
      </c>
      <c r="F370" t="s">
        <v>1200</v>
      </c>
      <c r="G370" t="s">
        <v>1201</v>
      </c>
      <c r="H370" s="3">
        <v>0</v>
      </c>
      <c r="I370" s="3">
        <v>0</v>
      </c>
      <c r="J370" s="3">
        <v>0</v>
      </c>
      <c r="K370" s="3">
        <v>743.4</v>
      </c>
      <c r="L370" s="3">
        <v>0</v>
      </c>
      <c r="M370" s="3">
        <v>0</v>
      </c>
      <c r="N370" s="3">
        <v>0</v>
      </c>
      <c r="O370" s="3">
        <v>96.641999999999996</v>
      </c>
      <c r="P370" s="3">
        <v>840.04199999999992</v>
      </c>
      <c r="Q370" t="s">
        <v>8046</v>
      </c>
      <c r="R370" t="s">
        <v>8200</v>
      </c>
      <c r="S370" s="3" t="s">
        <v>8760</v>
      </c>
      <c r="T370" s="3">
        <v>7.43</v>
      </c>
    </row>
    <row r="371" spans="1:20" hidden="1" x14ac:dyDescent="0.25">
      <c r="A371" t="s">
        <v>8608</v>
      </c>
      <c r="B371" t="s">
        <v>8686</v>
      </c>
      <c r="C371" t="s">
        <v>1</v>
      </c>
      <c r="D371" t="s">
        <v>0</v>
      </c>
      <c r="E371">
        <v>206431</v>
      </c>
      <c r="F371" t="s">
        <v>1646</v>
      </c>
      <c r="G371" t="s">
        <v>1647</v>
      </c>
      <c r="H371" s="3">
        <v>0</v>
      </c>
      <c r="I371" s="3">
        <v>0</v>
      </c>
      <c r="J371" s="3">
        <v>0</v>
      </c>
      <c r="K371" s="3">
        <v>480.04</v>
      </c>
      <c r="L371" s="3">
        <v>0</v>
      </c>
      <c r="M371" s="3">
        <v>0</v>
      </c>
      <c r="N371" s="3">
        <v>0</v>
      </c>
      <c r="O371" s="3">
        <v>62.405200000000008</v>
      </c>
      <c r="P371" s="3">
        <v>542.4452</v>
      </c>
      <c r="Q371" t="s">
        <v>8046</v>
      </c>
      <c r="R371" t="s">
        <v>8200</v>
      </c>
      <c r="S371" s="3" t="s">
        <v>8345</v>
      </c>
      <c r="T371" s="3">
        <v>4.8</v>
      </c>
    </row>
    <row r="372" spans="1:20" hidden="1" x14ac:dyDescent="0.25">
      <c r="A372" t="s">
        <v>8608</v>
      </c>
      <c r="B372" t="s">
        <v>8686</v>
      </c>
      <c r="C372" t="s">
        <v>1</v>
      </c>
      <c r="D372" t="s">
        <v>0</v>
      </c>
      <c r="E372">
        <v>606</v>
      </c>
      <c r="F372" t="s">
        <v>131</v>
      </c>
      <c r="G372" t="s">
        <v>132</v>
      </c>
      <c r="H372" s="3">
        <v>0</v>
      </c>
      <c r="I372" s="3">
        <v>0</v>
      </c>
      <c r="J372" s="3">
        <v>0</v>
      </c>
      <c r="K372" s="3">
        <v>403.54</v>
      </c>
      <c r="L372" s="3">
        <v>0</v>
      </c>
      <c r="M372" s="3">
        <v>0</v>
      </c>
      <c r="N372" s="3">
        <v>0</v>
      </c>
      <c r="O372" s="3">
        <v>52.460200000000007</v>
      </c>
      <c r="P372" s="3">
        <v>456.00020000000001</v>
      </c>
      <c r="Q372" t="s">
        <v>8046</v>
      </c>
      <c r="R372" t="s">
        <v>8200</v>
      </c>
      <c r="S372" s="3" t="s">
        <v>8046</v>
      </c>
      <c r="T372" s="3">
        <v>0</v>
      </c>
    </row>
    <row r="373" spans="1:20" hidden="1" x14ac:dyDescent="0.25">
      <c r="A373" t="s">
        <v>8608</v>
      </c>
      <c r="B373" t="s">
        <v>8686</v>
      </c>
      <c r="C373" t="s">
        <v>1</v>
      </c>
      <c r="D373" t="s">
        <v>0</v>
      </c>
      <c r="E373">
        <v>14870</v>
      </c>
      <c r="F373" t="s">
        <v>1519</v>
      </c>
      <c r="G373" t="s">
        <v>1520</v>
      </c>
      <c r="H373" s="3">
        <v>0</v>
      </c>
      <c r="I373" s="3">
        <v>0</v>
      </c>
      <c r="J373" s="3">
        <v>0</v>
      </c>
      <c r="K373" s="3">
        <v>1422.05</v>
      </c>
      <c r="L373" s="3">
        <v>0</v>
      </c>
      <c r="M373" s="3">
        <v>0</v>
      </c>
      <c r="N373" s="3">
        <v>0</v>
      </c>
      <c r="O373" s="3">
        <v>184.8665</v>
      </c>
      <c r="P373" s="3">
        <v>1606.9165</v>
      </c>
      <c r="Q373" t="s">
        <v>8046</v>
      </c>
      <c r="R373" t="s">
        <v>8200</v>
      </c>
      <c r="S373" s="3" t="s">
        <v>8341</v>
      </c>
      <c r="T373" s="3">
        <v>14.22</v>
      </c>
    </row>
    <row r="374" spans="1:20" hidden="1" x14ac:dyDescent="0.25">
      <c r="A374" t="s">
        <v>8608</v>
      </c>
      <c r="B374" t="s">
        <v>8686</v>
      </c>
      <c r="C374" t="s">
        <v>1</v>
      </c>
      <c r="D374" t="s">
        <v>0</v>
      </c>
      <c r="E374">
        <v>3708</v>
      </c>
      <c r="F374" t="s">
        <v>8668</v>
      </c>
      <c r="G374" t="s">
        <v>8669</v>
      </c>
      <c r="H374" s="3">
        <v>0</v>
      </c>
      <c r="I374" s="3">
        <v>0</v>
      </c>
      <c r="J374" s="3">
        <v>0</v>
      </c>
      <c r="K374" s="3">
        <v>31.85</v>
      </c>
      <c r="L374" s="3">
        <v>0</v>
      </c>
      <c r="M374" s="3">
        <v>0</v>
      </c>
      <c r="N374" s="3">
        <v>0</v>
      </c>
      <c r="O374" s="3">
        <v>4.1405000000000003</v>
      </c>
      <c r="P374" s="3">
        <v>35.990500000000004</v>
      </c>
      <c r="Q374" t="s">
        <v>8046</v>
      </c>
      <c r="R374" t="s">
        <v>8200</v>
      </c>
      <c r="S374" s="3" t="s">
        <v>8046</v>
      </c>
      <c r="T374" s="3">
        <v>0</v>
      </c>
    </row>
    <row r="375" spans="1:20" hidden="1" x14ac:dyDescent="0.25">
      <c r="A375" t="s">
        <v>8608</v>
      </c>
      <c r="B375" t="s">
        <v>8686</v>
      </c>
      <c r="C375" t="s">
        <v>1</v>
      </c>
      <c r="D375" t="s">
        <v>0</v>
      </c>
      <c r="E375">
        <v>12098</v>
      </c>
      <c r="F375" t="s">
        <v>2635</v>
      </c>
      <c r="G375" t="s">
        <v>2636</v>
      </c>
      <c r="H375" s="3">
        <v>0</v>
      </c>
      <c r="I375" s="3">
        <v>0</v>
      </c>
      <c r="J375" s="3">
        <v>0</v>
      </c>
      <c r="K375" s="3">
        <v>327.07</v>
      </c>
      <c r="L375" s="3">
        <v>0</v>
      </c>
      <c r="M375" s="3">
        <v>0</v>
      </c>
      <c r="N375" s="3">
        <v>0</v>
      </c>
      <c r="O375" s="3">
        <v>42.519100000000002</v>
      </c>
      <c r="P375" s="3">
        <v>369.58909999999997</v>
      </c>
      <c r="Q375" t="s">
        <v>8046</v>
      </c>
      <c r="R375" t="s">
        <v>8200</v>
      </c>
      <c r="S375" s="3" t="s">
        <v>8046</v>
      </c>
      <c r="T375" s="3">
        <v>0</v>
      </c>
    </row>
    <row r="376" spans="1:20" hidden="1" x14ac:dyDescent="0.25">
      <c r="A376" t="s">
        <v>8608</v>
      </c>
      <c r="B376" t="s">
        <v>8686</v>
      </c>
      <c r="C376" t="s">
        <v>1</v>
      </c>
      <c r="D376" t="s">
        <v>0</v>
      </c>
      <c r="E376">
        <v>6</v>
      </c>
      <c r="F376" t="s">
        <v>8758</v>
      </c>
      <c r="G376" t="s">
        <v>8759</v>
      </c>
      <c r="H376" s="3">
        <v>0</v>
      </c>
      <c r="I376" s="3">
        <v>0</v>
      </c>
      <c r="J376" s="3">
        <v>0</v>
      </c>
      <c r="K376" s="3">
        <v>35.4</v>
      </c>
      <c r="L376" s="3">
        <v>0</v>
      </c>
      <c r="M376" s="3">
        <v>0</v>
      </c>
      <c r="N376" s="3">
        <v>0</v>
      </c>
      <c r="O376" s="3">
        <v>4.6020000000000003</v>
      </c>
      <c r="P376" s="3">
        <v>40.001999999999995</v>
      </c>
      <c r="Q376" t="s">
        <v>8046</v>
      </c>
      <c r="R376" t="s">
        <v>8200</v>
      </c>
      <c r="S376" s="3" t="s">
        <v>8046</v>
      </c>
      <c r="T376" s="3">
        <v>0</v>
      </c>
    </row>
    <row r="377" spans="1:20" hidden="1" x14ac:dyDescent="0.25">
      <c r="A377" t="s">
        <v>8608</v>
      </c>
      <c r="B377" t="s">
        <v>8686</v>
      </c>
      <c r="C377" t="s">
        <v>1</v>
      </c>
      <c r="D377" t="s">
        <v>0</v>
      </c>
      <c r="E377">
        <v>1462313</v>
      </c>
      <c r="F377" t="s">
        <v>1576</v>
      </c>
      <c r="G377" t="s">
        <v>1577</v>
      </c>
      <c r="H377" s="3">
        <v>0</v>
      </c>
      <c r="I377" s="3">
        <v>0</v>
      </c>
      <c r="J377" s="3">
        <v>0</v>
      </c>
      <c r="K377" s="3">
        <v>243.75</v>
      </c>
      <c r="L377" s="3">
        <v>0</v>
      </c>
      <c r="M377" s="3">
        <v>0</v>
      </c>
      <c r="N377" s="3">
        <v>0</v>
      </c>
      <c r="O377" s="3">
        <v>31.6875</v>
      </c>
      <c r="P377" s="3">
        <v>275.4375</v>
      </c>
      <c r="Q377" t="s">
        <v>8046</v>
      </c>
      <c r="R377" t="s">
        <v>8200</v>
      </c>
      <c r="S377" s="3" t="s">
        <v>8345</v>
      </c>
      <c r="T377" s="3">
        <v>2.44</v>
      </c>
    </row>
    <row r="378" spans="1:20" hidden="1" x14ac:dyDescent="0.25">
      <c r="A378" t="s">
        <v>8608</v>
      </c>
      <c r="B378" t="s">
        <v>8686</v>
      </c>
      <c r="C378" t="s">
        <v>1</v>
      </c>
      <c r="D378" t="s">
        <v>0</v>
      </c>
      <c r="E378">
        <v>241777</v>
      </c>
      <c r="F378" t="s">
        <v>1497</v>
      </c>
      <c r="G378" t="s">
        <v>1498</v>
      </c>
      <c r="H378" s="3">
        <v>0</v>
      </c>
      <c r="I378" s="3">
        <v>0</v>
      </c>
      <c r="J378" s="3">
        <v>0</v>
      </c>
      <c r="K378" s="3">
        <v>337.9</v>
      </c>
      <c r="L378" s="3">
        <v>0</v>
      </c>
      <c r="M378" s="3">
        <v>0</v>
      </c>
      <c r="N378" s="3">
        <v>0</v>
      </c>
      <c r="O378" s="3">
        <v>43.927</v>
      </c>
      <c r="P378" s="3">
        <v>381.827</v>
      </c>
      <c r="Q378" t="s">
        <v>8046</v>
      </c>
      <c r="R378" t="s">
        <v>8200</v>
      </c>
      <c r="S378" s="3" t="s">
        <v>8046</v>
      </c>
      <c r="T378" s="3">
        <v>0</v>
      </c>
    </row>
    <row r="379" spans="1:20" hidden="1" x14ac:dyDescent="0.25">
      <c r="A379" t="s">
        <v>8608</v>
      </c>
      <c r="B379" t="s">
        <v>8686</v>
      </c>
      <c r="C379" t="s">
        <v>1</v>
      </c>
      <c r="D379" t="s">
        <v>0</v>
      </c>
      <c r="E379">
        <v>241789</v>
      </c>
      <c r="F379" t="s">
        <v>1497</v>
      </c>
      <c r="G379" t="s">
        <v>1498</v>
      </c>
      <c r="H379" s="3">
        <v>0</v>
      </c>
      <c r="I379" s="3">
        <v>0</v>
      </c>
      <c r="J379" s="3">
        <v>0</v>
      </c>
      <c r="K379" s="3">
        <v>32.200000000000003</v>
      </c>
      <c r="L379" s="3">
        <v>0</v>
      </c>
      <c r="M379" s="3">
        <v>0</v>
      </c>
      <c r="N379" s="3">
        <v>0</v>
      </c>
      <c r="O379" s="3">
        <v>4.1860000000000008</v>
      </c>
      <c r="P379" s="3">
        <v>36.386000000000003</v>
      </c>
      <c r="Q379" t="s">
        <v>8046</v>
      </c>
      <c r="R379" t="s">
        <v>8200</v>
      </c>
      <c r="S379" s="3" t="s">
        <v>8046</v>
      </c>
      <c r="T379" s="3">
        <v>0</v>
      </c>
    </row>
    <row r="380" spans="1:20" hidden="1" x14ac:dyDescent="0.25">
      <c r="A380" t="s">
        <v>8608</v>
      </c>
      <c r="B380" t="s">
        <v>8686</v>
      </c>
      <c r="C380" t="s">
        <v>1</v>
      </c>
      <c r="D380" t="s">
        <v>0</v>
      </c>
      <c r="E380">
        <v>241774</v>
      </c>
      <c r="F380" t="s">
        <v>1497</v>
      </c>
      <c r="G380" t="s">
        <v>1498</v>
      </c>
      <c r="H380" s="3">
        <v>0</v>
      </c>
      <c r="I380" s="3">
        <v>0</v>
      </c>
      <c r="J380" s="3">
        <v>0</v>
      </c>
      <c r="K380" s="3">
        <v>66.12</v>
      </c>
      <c r="L380" s="3">
        <v>0</v>
      </c>
      <c r="M380" s="3">
        <v>0</v>
      </c>
      <c r="N380" s="3">
        <v>0</v>
      </c>
      <c r="O380" s="3">
        <v>8.595600000000001</v>
      </c>
      <c r="P380" s="3">
        <v>74.715600000000009</v>
      </c>
      <c r="Q380" t="s">
        <v>8046</v>
      </c>
      <c r="R380" t="s">
        <v>8200</v>
      </c>
      <c r="S380" s="3" t="s">
        <v>8046</v>
      </c>
      <c r="T380" s="3">
        <v>0</v>
      </c>
    </row>
    <row r="381" spans="1:20" hidden="1" x14ac:dyDescent="0.25">
      <c r="A381" t="s">
        <v>8608</v>
      </c>
      <c r="B381" t="s">
        <v>8686</v>
      </c>
      <c r="C381" t="s">
        <v>1</v>
      </c>
      <c r="D381" t="s">
        <v>0</v>
      </c>
      <c r="E381">
        <v>286</v>
      </c>
      <c r="F381" t="s">
        <v>1457</v>
      </c>
      <c r="G381" t="s">
        <v>8600</v>
      </c>
      <c r="H381" s="3">
        <v>0</v>
      </c>
      <c r="I381" s="3">
        <v>0</v>
      </c>
      <c r="J381" s="3">
        <v>0</v>
      </c>
      <c r="K381" s="3">
        <v>193.52</v>
      </c>
      <c r="L381" s="3">
        <v>0</v>
      </c>
      <c r="M381" s="3">
        <v>0</v>
      </c>
      <c r="N381" s="3">
        <v>0</v>
      </c>
      <c r="O381" s="3">
        <v>25.157600000000002</v>
      </c>
      <c r="P381" s="3">
        <v>218.67760000000001</v>
      </c>
      <c r="Q381" t="s">
        <v>8046</v>
      </c>
      <c r="R381" t="s">
        <v>8200</v>
      </c>
      <c r="S381" s="3" t="s">
        <v>8046</v>
      </c>
      <c r="T381" s="3">
        <v>0</v>
      </c>
    </row>
    <row r="382" spans="1:20" hidden="1" x14ac:dyDescent="0.25">
      <c r="A382" t="s">
        <v>8608</v>
      </c>
      <c r="B382" t="s">
        <v>8686</v>
      </c>
      <c r="C382" t="s">
        <v>1</v>
      </c>
      <c r="D382" t="s">
        <v>0</v>
      </c>
      <c r="E382">
        <v>28091</v>
      </c>
      <c r="F382" t="s">
        <v>1522</v>
      </c>
      <c r="G382" t="s">
        <v>1523</v>
      </c>
      <c r="H382" s="3">
        <v>0.94</v>
      </c>
      <c r="I382" s="3">
        <v>0</v>
      </c>
      <c r="J382" s="3">
        <v>0</v>
      </c>
      <c r="K382" s="3">
        <v>16.87</v>
      </c>
      <c r="L382" s="3">
        <v>0</v>
      </c>
      <c r="M382" s="3">
        <v>0</v>
      </c>
      <c r="N382" s="3">
        <v>0</v>
      </c>
      <c r="O382" s="3">
        <v>2.1931000000000003</v>
      </c>
      <c r="P382" s="3">
        <v>20.003100000000003</v>
      </c>
      <c r="Q382" t="s">
        <v>8046</v>
      </c>
      <c r="R382" t="s">
        <v>8200</v>
      </c>
      <c r="S382" s="3" t="s">
        <v>8046</v>
      </c>
      <c r="T382" s="3">
        <v>0</v>
      </c>
    </row>
    <row r="383" spans="1:20" hidden="1" x14ac:dyDescent="0.25">
      <c r="A383" t="s">
        <v>8608</v>
      </c>
      <c r="B383" t="s">
        <v>8687</v>
      </c>
      <c r="C383" t="s">
        <v>1</v>
      </c>
      <c r="D383" t="s">
        <v>0</v>
      </c>
      <c r="E383">
        <v>41844</v>
      </c>
      <c r="F383" t="s">
        <v>3120</v>
      </c>
      <c r="G383" t="s">
        <v>3121</v>
      </c>
      <c r="H383" s="3">
        <v>0</v>
      </c>
      <c r="I383" s="3">
        <v>0</v>
      </c>
      <c r="J383" s="3">
        <v>0</v>
      </c>
      <c r="K383" s="3">
        <v>341.17</v>
      </c>
      <c r="L383" s="3">
        <v>0</v>
      </c>
      <c r="M383" s="3">
        <v>0</v>
      </c>
      <c r="N383" s="3">
        <v>0</v>
      </c>
      <c r="O383" s="3">
        <v>44.3521</v>
      </c>
      <c r="P383" s="3">
        <v>385.52210000000002</v>
      </c>
      <c r="Q383" t="s">
        <v>8046</v>
      </c>
      <c r="R383" t="s">
        <v>8200</v>
      </c>
      <c r="S383" s="3" t="s">
        <v>8341</v>
      </c>
      <c r="T383" s="3">
        <v>3.41</v>
      </c>
    </row>
    <row r="384" spans="1:20" hidden="1" x14ac:dyDescent="0.25">
      <c r="A384" t="s">
        <v>8608</v>
      </c>
      <c r="B384" t="s">
        <v>8687</v>
      </c>
      <c r="C384" t="s">
        <v>1</v>
      </c>
      <c r="D384" t="s">
        <v>0</v>
      </c>
      <c r="E384">
        <v>9500</v>
      </c>
      <c r="F384" t="s">
        <v>1200</v>
      </c>
      <c r="G384" t="s">
        <v>1201</v>
      </c>
      <c r="H384" s="3">
        <v>0</v>
      </c>
      <c r="I384" s="3">
        <v>0</v>
      </c>
      <c r="J384" s="3">
        <v>0</v>
      </c>
      <c r="K384" s="3">
        <v>2257</v>
      </c>
      <c r="L384" s="3">
        <v>0</v>
      </c>
      <c r="M384" s="3">
        <v>0</v>
      </c>
      <c r="N384" s="3">
        <v>0</v>
      </c>
      <c r="O384" s="3">
        <v>293.41000000000003</v>
      </c>
      <c r="P384" s="3">
        <v>2550.41</v>
      </c>
      <c r="Q384" t="s">
        <v>8046</v>
      </c>
      <c r="R384" t="s">
        <v>8200</v>
      </c>
      <c r="S384" s="3" t="s">
        <v>8358</v>
      </c>
      <c r="T384" s="3">
        <v>22.57</v>
      </c>
    </row>
    <row r="385" spans="1:20" hidden="1" x14ac:dyDescent="0.25">
      <c r="A385" t="s">
        <v>8608</v>
      </c>
      <c r="B385" t="s">
        <v>8687</v>
      </c>
      <c r="C385" t="s">
        <v>1</v>
      </c>
      <c r="D385" t="s">
        <v>0</v>
      </c>
      <c r="E385">
        <v>1461775</v>
      </c>
      <c r="F385" t="s">
        <v>1576</v>
      </c>
      <c r="G385" t="s">
        <v>1577</v>
      </c>
      <c r="H385" s="3">
        <v>0</v>
      </c>
      <c r="I385" s="3">
        <v>0</v>
      </c>
      <c r="J385" s="3">
        <v>0</v>
      </c>
      <c r="K385" s="3">
        <v>1656</v>
      </c>
      <c r="L385" s="3">
        <v>0</v>
      </c>
      <c r="M385" s="3">
        <v>0</v>
      </c>
      <c r="N385" s="3">
        <v>0</v>
      </c>
      <c r="O385" s="3">
        <v>215.28</v>
      </c>
      <c r="P385" s="3">
        <v>1871.28</v>
      </c>
      <c r="Q385" t="s">
        <v>8046</v>
      </c>
      <c r="R385" t="s">
        <v>8200</v>
      </c>
      <c r="S385" s="3" t="s">
        <v>8345</v>
      </c>
      <c r="T385" s="3">
        <v>16.559999999999999</v>
      </c>
    </row>
    <row r="386" spans="1:20" hidden="1" x14ac:dyDescent="0.25">
      <c r="A386" t="s">
        <v>8608</v>
      </c>
      <c r="B386" t="s">
        <v>8687</v>
      </c>
      <c r="C386" t="s">
        <v>1</v>
      </c>
      <c r="D386" t="s">
        <v>0</v>
      </c>
      <c r="E386">
        <v>1461762</v>
      </c>
      <c r="F386" t="s">
        <v>1576</v>
      </c>
      <c r="G386" t="s">
        <v>1577</v>
      </c>
      <c r="H386" s="3">
        <v>0</v>
      </c>
      <c r="I386" s="3">
        <v>0</v>
      </c>
      <c r="J386" s="3">
        <v>0</v>
      </c>
      <c r="K386" s="3">
        <v>1579.61</v>
      </c>
      <c r="L386" s="3">
        <v>0</v>
      </c>
      <c r="M386" s="3">
        <v>0</v>
      </c>
      <c r="N386" s="3">
        <v>0</v>
      </c>
      <c r="O386" s="3">
        <v>205.3493</v>
      </c>
      <c r="P386" s="3">
        <v>1784.9593</v>
      </c>
      <c r="Q386" t="s">
        <v>8046</v>
      </c>
      <c r="R386" t="s">
        <v>8200</v>
      </c>
      <c r="S386" s="3" t="s">
        <v>8345</v>
      </c>
      <c r="T386" s="3">
        <v>15.8</v>
      </c>
    </row>
    <row r="387" spans="1:20" hidden="1" x14ac:dyDescent="0.25">
      <c r="A387" t="s">
        <v>8608</v>
      </c>
      <c r="B387" t="s">
        <v>8687</v>
      </c>
      <c r="C387" t="s">
        <v>1</v>
      </c>
      <c r="D387" t="s">
        <v>0</v>
      </c>
      <c r="E387">
        <v>1461764</v>
      </c>
      <c r="F387" t="s">
        <v>1576</v>
      </c>
      <c r="G387" t="s">
        <v>1577</v>
      </c>
      <c r="H387" s="3">
        <v>0</v>
      </c>
      <c r="I387" s="3">
        <v>0</v>
      </c>
      <c r="J387" s="3">
        <v>0</v>
      </c>
      <c r="K387" s="3">
        <v>171.52</v>
      </c>
      <c r="L387" s="3">
        <v>0</v>
      </c>
      <c r="M387" s="3">
        <v>0</v>
      </c>
      <c r="N387" s="3">
        <v>0</v>
      </c>
      <c r="O387" s="3">
        <v>22.297600000000003</v>
      </c>
      <c r="P387" s="3">
        <v>193.81760000000003</v>
      </c>
      <c r="Q387" t="s">
        <v>8046</v>
      </c>
      <c r="R387" t="s">
        <v>8200</v>
      </c>
      <c r="S387" s="3" t="s">
        <v>8345</v>
      </c>
      <c r="T387" s="3">
        <v>1.72</v>
      </c>
    </row>
    <row r="388" spans="1:20" hidden="1" x14ac:dyDescent="0.25">
      <c r="A388" t="s">
        <v>8608</v>
      </c>
      <c r="B388" t="s">
        <v>8687</v>
      </c>
      <c r="C388" t="s">
        <v>1</v>
      </c>
      <c r="D388" t="s">
        <v>0</v>
      </c>
      <c r="E388">
        <v>1461854</v>
      </c>
      <c r="F388" t="s">
        <v>1576</v>
      </c>
      <c r="G388" t="s">
        <v>1577</v>
      </c>
      <c r="H388" s="3">
        <v>0</v>
      </c>
      <c r="I388" s="3">
        <v>0</v>
      </c>
      <c r="J388" s="3">
        <v>0</v>
      </c>
      <c r="K388" s="3">
        <v>172.32</v>
      </c>
      <c r="L388" s="3">
        <v>0</v>
      </c>
      <c r="M388" s="3">
        <v>0</v>
      </c>
      <c r="N388" s="3">
        <v>0</v>
      </c>
      <c r="O388" s="3">
        <v>22.401599999999998</v>
      </c>
      <c r="P388" s="3">
        <v>194.7216</v>
      </c>
      <c r="Q388" t="s">
        <v>8046</v>
      </c>
      <c r="R388" t="s">
        <v>8200</v>
      </c>
      <c r="S388" s="3" t="s">
        <v>8358</v>
      </c>
      <c r="T388" s="3">
        <v>1.72</v>
      </c>
    </row>
    <row r="389" spans="1:20" hidden="1" x14ac:dyDescent="0.25">
      <c r="A389" t="s">
        <v>8608</v>
      </c>
      <c r="B389" t="s">
        <v>8687</v>
      </c>
      <c r="C389" t="s">
        <v>1</v>
      </c>
      <c r="D389" t="s">
        <v>0</v>
      </c>
      <c r="E389">
        <v>1461654</v>
      </c>
      <c r="F389" t="s">
        <v>1576</v>
      </c>
      <c r="G389" t="s">
        <v>1577</v>
      </c>
      <c r="H389" s="3">
        <v>0</v>
      </c>
      <c r="I389" s="3">
        <v>0</v>
      </c>
      <c r="J389" s="3">
        <v>0</v>
      </c>
      <c r="K389" s="3">
        <v>778.67</v>
      </c>
      <c r="L389" s="3">
        <v>0</v>
      </c>
      <c r="M389" s="3">
        <v>0</v>
      </c>
      <c r="N389" s="3">
        <v>0</v>
      </c>
      <c r="O389" s="3">
        <v>101.22709999999999</v>
      </c>
      <c r="P389" s="3">
        <v>879.89709999999991</v>
      </c>
      <c r="Q389" t="s">
        <v>8046</v>
      </c>
      <c r="R389" t="s">
        <v>8200</v>
      </c>
      <c r="S389" s="3" t="s">
        <v>8588</v>
      </c>
      <c r="T389" s="3">
        <v>7.79</v>
      </c>
    </row>
    <row r="390" spans="1:20" hidden="1" x14ac:dyDescent="0.25">
      <c r="A390" t="s">
        <v>8608</v>
      </c>
      <c r="B390" t="s">
        <v>8687</v>
      </c>
      <c r="C390" t="s">
        <v>1</v>
      </c>
      <c r="D390" t="s">
        <v>0</v>
      </c>
      <c r="E390">
        <v>34027</v>
      </c>
      <c r="F390" t="s">
        <v>2378</v>
      </c>
      <c r="G390" t="s">
        <v>2379</v>
      </c>
      <c r="H390" s="3">
        <v>1.46</v>
      </c>
      <c r="I390" s="3">
        <v>0</v>
      </c>
      <c r="J390" s="3">
        <v>0</v>
      </c>
      <c r="K390" s="3">
        <v>25.25</v>
      </c>
      <c r="L390" s="3">
        <v>0</v>
      </c>
      <c r="M390" s="3">
        <v>0</v>
      </c>
      <c r="N390" s="3">
        <v>0</v>
      </c>
      <c r="O390" s="3">
        <v>3.2825000000000002</v>
      </c>
      <c r="P390" s="3">
        <v>29.9925</v>
      </c>
      <c r="Q390" t="s">
        <v>8046</v>
      </c>
      <c r="R390" t="s">
        <v>8200</v>
      </c>
      <c r="S390" s="3" t="s">
        <v>8046</v>
      </c>
      <c r="T390" s="3">
        <v>0</v>
      </c>
    </row>
    <row r="391" spans="1:20" hidden="1" x14ac:dyDescent="0.25">
      <c r="A391" t="s">
        <v>8608</v>
      </c>
      <c r="B391" t="s">
        <v>8687</v>
      </c>
      <c r="C391" t="s">
        <v>1</v>
      </c>
      <c r="D391" t="s">
        <v>0</v>
      </c>
      <c r="E391">
        <v>34372</v>
      </c>
      <c r="F391" t="s">
        <v>1501</v>
      </c>
      <c r="G391" t="s">
        <v>1502</v>
      </c>
      <c r="H391" s="3">
        <v>2.63</v>
      </c>
      <c r="I391" s="3">
        <v>0</v>
      </c>
      <c r="J391" s="3">
        <v>0</v>
      </c>
      <c r="K391" s="3">
        <v>47.23</v>
      </c>
      <c r="L391" s="3">
        <v>0</v>
      </c>
      <c r="M391" s="3">
        <v>0</v>
      </c>
      <c r="N391" s="3">
        <v>0</v>
      </c>
      <c r="O391" s="3">
        <v>6.1398999999999999</v>
      </c>
      <c r="P391" s="3">
        <v>55.999899999999997</v>
      </c>
      <c r="Q391" t="s">
        <v>8046</v>
      </c>
      <c r="R391" t="s">
        <v>8200</v>
      </c>
      <c r="S391" s="3" t="s">
        <v>8046</v>
      </c>
      <c r="T391" s="3">
        <v>0</v>
      </c>
    </row>
    <row r="392" spans="1:20" hidden="1" x14ac:dyDescent="0.25">
      <c r="A392" t="s">
        <v>8608</v>
      </c>
      <c r="B392" t="s">
        <v>8687</v>
      </c>
      <c r="C392" t="s">
        <v>1</v>
      </c>
      <c r="D392" t="s">
        <v>0</v>
      </c>
      <c r="E392">
        <v>27888</v>
      </c>
      <c r="F392" t="s">
        <v>1522</v>
      </c>
      <c r="G392" t="s">
        <v>1523</v>
      </c>
      <c r="H392" s="3">
        <v>1.71</v>
      </c>
      <c r="I392" s="3">
        <v>0</v>
      </c>
      <c r="J392" s="3">
        <v>0</v>
      </c>
      <c r="K392" s="3">
        <v>29.46</v>
      </c>
      <c r="L392" s="3">
        <v>0</v>
      </c>
      <c r="M392" s="3">
        <v>0</v>
      </c>
      <c r="N392" s="3">
        <v>0</v>
      </c>
      <c r="O392" s="3">
        <v>3.8298000000000001</v>
      </c>
      <c r="P392" s="3">
        <v>34.9998</v>
      </c>
      <c r="Q392" t="s">
        <v>8046</v>
      </c>
      <c r="R392" t="s">
        <v>8200</v>
      </c>
      <c r="S392" s="3" t="s">
        <v>8046</v>
      </c>
      <c r="T392" s="3">
        <v>0</v>
      </c>
    </row>
    <row r="393" spans="1:20" hidden="1" x14ac:dyDescent="0.25">
      <c r="A393" t="s">
        <v>8608</v>
      </c>
      <c r="B393" t="s">
        <v>8687</v>
      </c>
      <c r="C393" t="s">
        <v>1</v>
      </c>
      <c r="D393" t="s">
        <v>0</v>
      </c>
      <c r="E393">
        <v>2814840</v>
      </c>
      <c r="F393" t="s">
        <v>1494</v>
      </c>
      <c r="G393" t="s">
        <v>1495</v>
      </c>
      <c r="H393" s="3">
        <v>0</v>
      </c>
      <c r="I393" s="3">
        <v>0</v>
      </c>
      <c r="J393" s="3">
        <v>0</v>
      </c>
      <c r="K393" s="3">
        <v>117.04</v>
      </c>
      <c r="L393" s="3">
        <v>0</v>
      </c>
      <c r="M393" s="3">
        <v>0</v>
      </c>
      <c r="N393" s="3">
        <v>0</v>
      </c>
      <c r="O393" s="3">
        <v>15.215200000000001</v>
      </c>
      <c r="P393" s="3">
        <v>132.2552</v>
      </c>
      <c r="Q393" t="s">
        <v>8046</v>
      </c>
      <c r="R393" t="s">
        <v>8200</v>
      </c>
      <c r="S393" s="3" t="s">
        <v>8046</v>
      </c>
      <c r="T393" s="3">
        <v>0</v>
      </c>
    </row>
    <row r="394" spans="1:20" hidden="1" x14ac:dyDescent="0.25">
      <c r="A394" t="s">
        <v>8608</v>
      </c>
      <c r="B394" t="s">
        <v>8688</v>
      </c>
      <c r="C394" t="s">
        <v>1</v>
      </c>
      <c r="D394" t="s">
        <v>0</v>
      </c>
      <c r="E394">
        <v>9678</v>
      </c>
      <c r="F394" t="s">
        <v>8365</v>
      </c>
      <c r="G394" t="s">
        <v>8366</v>
      </c>
      <c r="H394" s="3">
        <v>0.94</v>
      </c>
      <c r="I394" s="3">
        <v>0</v>
      </c>
      <c r="J394" s="3">
        <v>0</v>
      </c>
      <c r="K394" s="3">
        <v>16.87</v>
      </c>
      <c r="L394" s="3">
        <v>0</v>
      </c>
      <c r="M394" s="3">
        <v>0</v>
      </c>
      <c r="N394" s="3">
        <v>0</v>
      </c>
      <c r="O394" s="3">
        <v>2.1931000000000003</v>
      </c>
      <c r="P394" s="3">
        <v>20.003100000000003</v>
      </c>
      <c r="Q394" t="s">
        <v>8046</v>
      </c>
      <c r="R394" t="s">
        <v>8200</v>
      </c>
      <c r="S394" s="3" t="s">
        <v>8046</v>
      </c>
      <c r="T394" s="3">
        <v>0</v>
      </c>
    </row>
    <row r="395" spans="1:20" hidden="1" x14ac:dyDescent="0.25">
      <c r="A395" t="s">
        <v>8608</v>
      </c>
      <c r="B395" t="s">
        <v>8688</v>
      </c>
      <c r="C395" t="s">
        <v>1</v>
      </c>
      <c r="D395" t="s">
        <v>0</v>
      </c>
      <c r="E395">
        <v>94344</v>
      </c>
      <c r="F395" t="s">
        <v>1670</v>
      </c>
      <c r="G395" t="s">
        <v>1671</v>
      </c>
      <c r="H395" s="3">
        <v>1.49</v>
      </c>
      <c r="I395" s="3">
        <v>0</v>
      </c>
      <c r="J395" s="3">
        <v>0</v>
      </c>
      <c r="K395" s="3">
        <v>27.04</v>
      </c>
      <c r="L395" s="3">
        <v>0</v>
      </c>
      <c r="M395" s="3">
        <v>0</v>
      </c>
      <c r="N395" s="3">
        <v>0</v>
      </c>
      <c r="O395" s="3">
        <v>3.5152000000000001</v>
      </c>
      <c r="P395" s="3">
        <v>32.045199999999994</v>
      </c>
      <c r="Q395" t="s">
        <v>8046</v>
      </c>
      <c r="R395" t="s">
        <v>8200</v>
      </c>
      <c r="S395" s="3" t="s">
        <v>8046</v>
      </c>
      <c r="T395" s="3">
        <v>0</v>
      </c>
    </row>
    <row r="396" spans="1:20" hidden="1" x14ac:dyDescent="0.25">
      <c r="A396" t="s">
        <v>8608</v>
      </c>
      <c r="B396" t="s">
        <v>8688</v>
      </c>
      <c r="C396" t="s">
        <v>1</v>
      </c>
      <c r="D396" t="s">
        <v>0</v>
      </c>
      <c r="E396">
        <v>2229051</v>
      </c>
      <c r="F396" t="s">
        <v>1494</v>
      </c>
      <c r="G396" t="s">
        <v>1495</v>
      </c>
      <c r="H396" s="3">
        <v>0</v>
      </c>
      <c r="I396" s="3">
        <v>0</v>
      </c>
      <c r="J396" s="3">
        <v>0</v>
      </c>
      <c r="K396" s="3">
        <v>79.12</v>
      </c>
      <c r="L396" s="3">
        <v>0</v>
      </c>
      <c r="M396" s="3">
        <v>0</v>
      </c>
      <c r="N396" s="3">
        <v>0</v>
      </c>
      <c r="O396" s="3">
        <v>10.285600000000001</v>
      </c>
      <c r="P396" s="3">
        <v>89.405600000000007</v>
      </c>
      <c r="Q396" t="s">
        <v>8046</v>
      </c>
      <c r="R396" t="s">
        <v>8200</v>
      </c>
      <c r="S396" s="3" t="s">
        <v>8046</v>
      </c>
      <c r="T396" s="3">
        <v>0</v>
      </c>
    </row>
    <row r="397" spans="1:20" hidden="1" x14ac:dyDescent="0.25">
      <c r="A397" t="s">
        <v>8608</v>
      </c>
      <c r="B397" t="s">
        <v>8689</v>
      </c>
      <c r="C397" t="s">
        <v>1</v>
      </c>
      <c r="D397" t="s">
        <v>0</v>
      </c>
      <c r="E397">
        <v>9458</v>
      </c>
      <c r="F397" t="s">
        <v>1200</v>
      </c>
      <c r="G397" t="s">
        <v>1201</v>
      </c>
      <c r="H397" s="3">
        <v>0</v>
      </c>
      <c r="I397" s="3">
        <v>0</v>
      </c>
      <c r="J397" s="3">
        <v>0</v>
      </c>
      <c r="K397" s="3">
        <v>1902.2</v>
      </c>
      <c r="L397" s="3">
        <v>0</v>
      </c>
      <c r="M397" s="3">
        <v>0</v>
      </c>
      <c r="N397" s="3">
        <v>0</v>
      </c>
      <c r="O397" s="3">
        <v>247.286</v>
      </c>
      <c r="P397" s="3">
        <v>2149.4859999999999</v>
      </c>
      <c r="Q397" t="s">
        <v>8046</v>
      </c>
      <c r="R397" t="s">
        <v>8200</v>
      </c>
      <c r="S397" s="3" t="s">
        <v>8358</v>
      </c>
      <c r="T397" s="3">
        <v>19.02</v>
      </c>
    </row>
    <row r="398" spans="1:20" hidden="1" x14ac:dyDescent="0.25">
      <c r="A398" t="s">
        <v>8608</v>
      </c>
      <c r="B398" t="s">
        <v>8689</v>
      </c>
      <c r="C398" t="s">
        <v>1</v>
      </c>
      <c r="D398" t="s">
        <v>0</v>
      </c>
      <c r="E398">
        <v>33803</v>
      </c>
      <c r="F398" t="s">
        <v>2378</v>
      </c>
      <c r="G398" t="s">
        <v>2379</v>
      </c>
      <c r="H398" s="3">
        <v>1.46</v>
      </c>
      <c r="I398" s="3">
        <v>0</v>
      </c>
      <c r="J398" s="3">
        <v>0</v>
      </c>
      <c r="K398" s="3">
        <v>25.25</v>
      </c>
      <c r="L398" s="3">
        <v>0</v>
      </c>
      <c r="M398" s="3">
        <v>0</v>
      </c>
      <c r="N398" s="3">
        <v>0</v>
      </c>
      <c r="O398" s="3">
        <v>3.2825000000000002</v>
      </c>
      <c r="P398" s="3">
        <v>29.9925</v>
      </c>
      <c r="Q398" t="s">
        <v>8046</v>
      </c>
      <c r="R398" t="s">
        <v>8200</v>
      </c>
      <c r="S398" s="3" t="s">
        <v>8046</v>
      </c>
      <c r="T398" s="3">
        <v>0</v>
      </c>
    </row>
    <row r="399" spans="1:20" hidden="1" x14ac:dyDescent="0.25">
      <c r="A399" t="s">
        <v>8608</v>
      </c>
      <c r="B399" t="s">
        <v>8689</v>
      </c>
      <c r="C399" t="s">
        <v>1</v>
      </c>
      <c r="D399" t="s">
        <v>0</v>
      </c>
      <c r="E399">
        <v>230</v>
      </c>
      <c r="F399" t="s">
        <v>8756</v>
      </c>
      <c r="G399" t="s">
        <v>8757</v>
      </c>
      <c r="H399" s="3">
        <v>0</v>
      </c>
      <c r="I399" s="3">
        <v>0</v>
      </c>
      <c r="J399" s="3">
        <v>0</v>
      </c>
      <c r="K399" s="3">
        <v>70.8</v>
      </c>
      <c r="L399" s="3">
        <v>0</v>
      </c>
      <c r="M399" s="3">
        <v>0</v>
      </c>
      <c r="N399" s="3">
        <v>0</v>
      </c>
      <c r="O399" s="3">
        <v>9.2040000000000006</v>
      </c>
      <c r="P399" s="3">
        <v>80.003999999999991</v>
      </c>
      <c r="Q399" t="s">
        <v>8046</v>
      </c>
      <c r="R399" t="s">
        <v>8200</v>
      </c>
      <c r="S399" s="3" t="s">
        <v>8046</v>
      </c>
      <c r="T399" s="3">
        <v>0</v>
      </c>
    </row>
    <row r="400" spans="1:20" hidden="1" x14ac:dyDescent="0.25">
      <c r="A400" t="s">
        <v>8608</v>
      </c>
      <c r="B400" t="s">
        <v>8689</v>
      </c>
      <c r="C400" t="s">
        <v>1</v>
      </c>
      <c r="D400" t="s">
        <v>0</v>
      </c>
      <c r="E400">
        <v>94056</v>
      </c>
      <c r="F400" t="s">
        <v>1670</v>
      </c>
      <c r="G400" t="s">
        <v>1671</v>
      </c>
      <c r="H400" s="3">
        <v>0.7</v>
      </c>
      <c r="I400" s="3">
        <v>0</v>
      </c>
      <c r="J400" s="3">
        <v>0</v>
      </c>
      <c r="K400" s="3">
        <v>12.65</v>
      </c>
      <c r="L400" s="3">
        <v>0</v>
      </c>
      <c r="M400" s="3">
        <v>0</v>
      </c>
      <c r="N400" s="3">
        <v>0</v>
      </c>
      <c r="O400" s="3">
        <v>1.6445000000000001</v>
      </c>
      <c r="P400" s="3">
        <v>14.9945</v>
      </c>
      <c r="Q400" t="s">
        <v>8046</v>
      </c>
      <c r="R400" t="s">
        <v>8200</v>
      </c>
      <c r="S400" s="3" t="s">
        <v>8046</v>
      </c>
      <c r="T400" s="3">
        <v>0</v>
      </c>
    </row>
    <row r="401" spans="1:20" hidden="1" x14ac:dyDescent="0.25">
      <c r="A401" t="s">
        <v>8608</v>
      </c>
      <c r="B401" t="s">
        <v>8690</v>
      </c>
      <c r="C401" t="s">
        <v>1</v>
      </c>
      <c r="D401" t="s">
        <v>0</v>
      </c>
      <c r="E401">
        <v>24453</v>
      </c>
      <c r="F401" t="s">
        <v>1584</v>
      </c>
      <c r="G401" t="s">
        <v>1585</v>
      </c>
      <c r="H401" s="3">
        <v>0</v>
      </c>
      <c r="I401" s="3">
        <v>0</v>
      </c>
      <c r="J401" s="3">
        <v>0</v>
      </c>
      <c r="K401" s="3">
        <v>263</v>
      </c>
      <c r="L401" s="3">
        <v>0</v>
      </c>
      <c r="M401" s="3">
        <v>0</v>
      </c>
      <c r="N401" s="3">
        <v>0</v>
      </c>
      <c r="O401" s="3">
        <v>34.19</v>
      </c>
      <c r="P401" s="3">
        <v>297.19</v>
      </c>
      <c r="Q401" t="s">
        <v>8046</v>
      </c>
      <c r="R401" t="s">
        <v>8200</v>
      </c>
      <c r="S401" s="3" t="s">
        <v>8359</v>
      </c>
      <c r="T401" s="3">
        <v>2.63</v>
      </c>
    </row>
    <row r="402" spans="1:20" hidden="1" x14ac:dyDescent="0.25">
      <c r="A402" t="s">
        <v>8608</v>
      </c>
      <c r="B402" t="s">
        <v>8690</v>
      </c>
      <c r="C402" t="s">
        <v>1</v>
      </c>
      <c r="D402" t="s">
        <v>0</v>
      </c>
      <c r="E402">
        <v>3971</v>
      </c>
      <c r="F402" t="s">
        <v>8350</v>
      </c>
      <c r="G402" t="s">
        <v>8351</v>
      </c>
      <c r="H402" s="3">
        <v>0</v>
      </c>
      <c r="I402" s="3">
        <v>0</v>
      </c>
      <c r="J402" s="3">
        <v>0</v>
      </c>
      <c r="K402" s="3">
        <v>478.04</v>
      </c>
      <c r="M402" s="3">
        <v>0</v>
      </c>
      <c r="N402" s="3">
        <v>0</v>
      </c>
      <c r="O402" s="3">
        <v>62.145200000000003</v>
      </c>
      <c r="P402" s="3">
        <v>540.18520000000001</v>
      </c>
      <c r="Q402" t="s">
        <v>8046</v>
      </c>
      <c r="R402" t="s">
        <v>8200</v>
      </c>
      <c r="S402" s="3" t="s">
        <v>8046</v>
      </c>
      <c r="T402" s="3">
        <v>0</v>
      </c>
    </row>
    <row r="403" spans="1:20" hidden="1" x14ac:dyDescent="0.25">
      <c r="A403" t="s">
        <v>8608</v>
      </c>
      <c r="B403" t="s">
        <v>8690</v>
      </c>
      <c r="C403" t="s">
        <v>1</v>
      </c>
      <c r="D403" t="s">
        <v>0</v>
      </c>
      <c r="E403">
        <v>969</v>
      </c>
      <c r="F403" t="s">
        <v>2436</v>
      </c>
      <c r="G403" t="s">
        <v>2437</v>
      </c>
      <c r="H403" s="3">
        <v>0</v>
      </c>
      <c r="I403" s="3">
        <v>0</v>
      </c>
      <c r="J403" s="3">
        <v>0</v>
      </c>
      <c r="K403" s="3">
        <v>397.58</v>
      </c>
      <c r="L403" s="3">
        <v>0</v>
      </c>
      <c r="M403" s="3">
        <v>0</v>
      </c>
      <c r="N403" s="3">
        <v>0</v>
      </c>
      <c r="O403" s="3">
        <v>51.685400000000001</v>
      </c>
      <c r="P403" s="3">
        <v>449.2654</v>
      </c>
      <c r="Q403" t="s">
        <v>8046</v>
      </c>
      <c r="R403" t="s">
        <v>8200</v>
      </c>
      <c r="S403" s="3" t="s">
        <v>8750</v>
      </c>
      <c r="T403" s="3">
        <v>3.98</v>
      </c>
    </row>
    <row r="404" spans="1:20" hidden="1" x14ac:dyDescent="0.25">
      <c r="A404" t="s">
        <v>8608</v>
      </c>
      <c r="B404" t="s">
        <v>8690</v>
      </c>
      <c r="C404" t="s">
        <v>1</v>
      </c>
      <c r="D404" t="s">
        <v>0</v>
      </c>
      <c r="E404">
        <v>968</v>
      </c>
      <c r="F404" t="s">
        <v>2436</v>
      </c>
      <c r="G404" t="s">
        <v>2437</v>
      </c>
      <c r="H404" s="3">
        <v>0</v>
      </c>
      <c r="I404" s="3">
        <v>0</v>
      </c>
      <c r="J404" s="3">
        <v>0</v>
      </c>
      <c r="K404" s="3">
        <v>60.42</v>
      </c>
      <c r="L404" s="3">
        <v>0</v>
      </c>
      <c r="M404" s="3">
        <v>0</v>
      </c>
      <c r="N404" s="3">
        <v>0</v>
      </c>
      <c r="O404" s="3">
        <v>7.8546000000000005</v>
      </c>
      <c r="P404" s="3">
        <v>68.274600000000007</v>
      </c>
      <c r="Q404" t="s">
        <v>8046</v>
      </c>
      <c r="R404" t="s">
        <v>8200</v>
      </c>
      <c r="S404" s="3" t="s">
        <v>8046</v>
      </c>
      <c r="T404" s="3">
        <v>0</v>
      </c>
    </row>
    <row r="405" spans="1:20" hidden="1" x14ac:dyDescent="0.25">
      <c r="A405" t="s">
        <v>8608</v>
      </c>
      <c r="B405" t="s">
        <v>8690</v>
      </c>
      <c r="C405" t="s">
        <v>1</v>
      </c>
      <c r="D405" t="s">
        <v>0</v>
      </c>
      <c r="E405">
        <v>65</v>
      </c>
      <c r="F405" t="s">
        <v>8368</v>
      </c>
      <c r="G405" t="s">
        <v>8369</v>
      </c>
      <c r="H405" s="3">
        <v>0</v>
      </c>
      <c r="I405" s="3">
        <v>0</v>
      </c>
      <c r="J405" s="3">
        <v>0</v>
      </c>
      <c r="K405" s="3">
        <v>75.400000000000006</v>
      </c>
      <c r="L405" s="3">
        <v>0</v>
      </c>
      <c r="M405" s="3">
        <v>0</v>
      </c>
      <c r="N405" s="3">
        <v>0</v>
      </c>
      <c r="O405" s="3">
        <v>9.8020000000000014</v>
      </c>
      <c r="P405" s="3">
        <v>85.202000000000012</v>
      </c>
      <c r="Q405" t="s">
        <v>8046</v>
      </c>
      <c r="R405" t="s">
        <v>8200</v>
      </c>
      <c r="S405" s="3" t="s">
        <v>8046</v>
      </c>
      <c r="T405" s="3">
        <v>0</v>
      </c>
    </row>
    <row r="406" spans="1:20" hidden="1" x14ac:dyDescent="0.25">
      <c r="A406" t="s">
        <v>8608</v>
      </c>
      <c r="B406" t="s">
        <v>8690</v>
      </c>
      <c r="C406" t="s">
        <v>1</v>
      </c>
      <c r="D406" t="s">
        <v>0</v>
      </c>
      <c r="E406">
        <v>45961</v>
      </c>
      <c r="F406" t="s">
        <v>1501</v>
      </c>
      <c r="G406" t="s">
        <v>1502</v>
      </c>
      <c r="H406" s="3">
        <v>1.46</v>
      </c>
      <c r="I406" s="3">
        <v>0</v>
      </c>
      <c r="J406" s="3">
        <v>0</v>
      </c>
      <c r="K406" s="3">
        <v>25.25</v>
      </c>
      <c r="L406" s="3">
        <v>0</v>
      </c>
      <c r="M406" s="3">
        <v>0</v>
      </c>
      <c r="N406" s="3">
        <v>0</v>
      </c>
      <c r="O406" s="3">
        <v>3.2825000000000002</v>
      </c>
      <c r="P406" s="3">
        <v>29.9925</v>
      </c>
      <c r="Q406" t="s">
        <v>8046</v>
      </c>
      <c r="R406" t="s">
        <v>8200</v>
      </c>
      <c r="S406" s="3" t="s">
        <v>8046</v>
      </c>
      <c r="T406" s="3">
        <v>0</v>
      </c>
    </row>
    <row r="407" spans="1:20" hidden="1" x14ac:dyDescent="0.25">
      <c r="A407" t="s">
        <v>8608</v>
      </c>
      <c r="B407" t="s">
        <v>8691</v>
      </c>
      <c r="C407" t="s">
        <v>1</v>
      </c>
      <c r="D407" t="s">
        <v>0</v>
      </c>
      <c r="E407">
        <v>2716</v>
      </c>
      <c r="F407" t="s">
        <v>762</v>
      </c>
      <c r="G407" t="s">
        <v>763</v>
      </c>
      <c r="H407" s="3">
        <v>0</v>
      </c>
      <c r="I407" s="3">
        <v>0</v>
      </c>
      <c r="J407" s="3">
        <v>0</v>
      </c>
      <c r="K407" s="3">
        <v>81.42</v>
      </c>
      <c r="L407" s="3">
        <v>0</v>
      </c>
      <c r="M407" s="3">
        <v>0</v>
      </c>
      <c r="N407" s="3">
        <v>0</v>
      </c>
      <c r="O407" s="3">
        <v>10.5846</v>
      </c>
      <c r="P407" s="3">
        <v>92.004599999999996</v>
      </c>
      <c r="Q407" t="s">
        <v>8046</v>
      </c>
      <c r="R407" t="s">
        <v>8200</v>
      </c>
      <c r="S407" s="3" t="s">
        <v>8046</v>
      </c>
      <c r="T407" s="3">
        <v>0</v>
      </c>
    </row>
    <row r="408" spans="1:20" hidden="1" x14ac:dyDescent="0.25">
      <c r="A408" t="s">
        <v>8608</v>
      </c>
      <c r="B408" t="s">
        <v>8691</v>
      </c>
      <c r="C408" t="s">
        <v>1</v>
      </c>
      <c r="D408" t="s">
        <v>0</v>
      </c>
      <c r="E408">
        <v>206195</v>
      </c>
      <c r="F408" t="s">
        <v>1646</v>
      </c>
      <c r="G408" t="s">
        <v>1647</v>
      </c>
      <c r="H408" s="3">
        <v>0</v>
      </c>
      <c r="I408" s="3">
        <v>0</v>
      </c>
      <c r="J408" s="3">
        <v>0</v>
      </c>
      <c r="K408" s="3">
        <v>23.47</v>
      </c>
      <c r="L408" s="3">
        <v>0</v>
      </c>
      <c r="M408" s="3">
        <v>0</v>
      </c>
      <c r="N408" s="3">
        <v>0</v>
      </c>
      <c r="O408" s="3">
        <v>3.0510999999999999</v>
      </c>
      <c r="P408" s="3">
        <v>26.521099999999997</v>
      </c>
      <c r="Q408" t="s">
        <v>8046</v>
      </c>
      <c r="R408" t="s">
        <v>8200</v>
      </c>
      <c r="S408" s="3" t="s">
        <v>8046</v>
      </c>
      <c r="T408" s="3">
        <v>0</v>
      </c>
    </row>
    <row r="409" spans="1:20" hidden="1" x14ac:dyDescent="0.25">
      <c r="A409" t="s">
        <v>8608</v>
      </c>
      <c r="B409" t="s">
        <v>8691</v>
      </c>
      <c r="C409" t="s">
        <v>1</v>
      </c>
      <c r="D409" t="s">
        <v>0</v>
      </c>
      <c r="E409">
        <v>206183</v>
      </c>
      <c r="F409" t="s">
        <v>1646</v>
      </c>
      <c r="G409" t="s">
        <v>1647</v>
      </c>
      <c r="H409" s="3">
        <v>0</v>
      </c>
      <c r="I409" s="3">
        <v>0</v>
      </c>
      <c r="J409" s="3">
        <v>0</v>
      </c>
      <c r="K409" s="3">
        <v>191</v>
      </c>
      <c r="L409" s="3">
        <v>0</v>
      </c>
      <c r="M409" s="3">
        <v>0</v>
      </c>
      <c r="N409" s="3">
        <v>0</v>
      </c>
      <c r="O409" s="3">
        <v>24.830000000000002</v>
      </c>
      <c r="P409" s="3">
        <v>215.83</v>
      </c>
      <c r="Q409" t="s">
        <v>8046</v>
      </c>
      <c r="R409" t="s">
        <v>8200</v>
      </c>
      <c r="S409" s="3" t="s">
        <v>8360</v>
      </c>
      <c r="T409" s="3">
        <v>1.91</v>
      </c>
    </row>
    <row r="410" spans="1:20" hidden="1" x14ac:dyDescent="0.25">
      <c r="A410" t="s">
        <v>8608</v>
      </c>
      <c r="B410" t="s">
        <v>8691</v>
      </c>
      <c r="C410" t="s">
        <v>1</v>
      </c>
      <c r="D410" t="s">
        <v>0</v>
      </c>
      <c r="E410">
        <v>515</v>
      </c>
      <c r="F410" t="s">
        <v>8192</v>
      </c>
      <c r="G410" t="s">
        <v>8193</v>
      </c>
      <c r="H410" s="3">
        <v>0</v>
      </c>
      <c r="I410" s="3">
        <v>0</v>
      </c>
      <c r="J410" s="3">
        <v>0</v>
      </c>
      <c r="K410" s="3">
        <v>88.5</v>
      </c>
      <c r="L410" s="3">
        <v>0</v>
      </c>
      <c r="M410" s="3">
        <v>0</v>
      </c>
      <c r="N410" s="3">
        <v>0</v>
      </c>
      <c r="O410" s="3">
        <v>11.505000000000001</v>
      </c>
      <c r="P410" s="3">
        <v>100.005</v>
      </c>
      <c r="Q410" t="s">
        <v>8046</v>
      </c>
      <c r="R410" t="s">
        <v>8200</v>
      </c>
      <c r="S410" s="3" t="s">
        <v>8046</v>
      </c>
      <c r="T410" s="3">
        <v>0</v>
      </c>
    </row>
    <row r="411" spans="1:20" hidden="1" x14ac:dyDescent="0.25">
      <c r="A411" t="s">
        <v>8608</v>
      </c>
      <c r="B411" t="s">
        <v>8691</v>
      </c>
      <c r="C411" t="s">
        <v>1</v>
      </c>
      <c r="D411" t="s">
        <v>0</v>
      </c>
      <c r="E411">
        <v>64</v>
      </c>
      <c r="F411" t="s">
        <v>8368</v>
      </c>
      <c r="G411" t="s">
        <v>8369</v>
      </c>
      <c r="H411" s="3">
        <v>0</v>
      </c>
      <c r="I411" s="3">
        <v>0</v>
      </c>
      <c r="J411" s="3">
        <v>0</v>
      </c>
      <c r="K411" s="3">
        <v>108.41</v>
      </c>
      <c r="L411" s="3">
        <v>0</v>
      </c>
      <c r="M411" s="3">
        <v>0</v>
      </c>
      <c r="N411" s="3">
        <v>0</v>
      </c>
      <c r="O411" s="3">
        <v>14.093299999999999</v>
      </c>
      <c r="P411" s="3">
        <v>122.5033</v>
      </c>
      <c r="Q411" t="s">
        <v>8046</v>
      </c>
      <c r="R411" t="s">
        <v>8200</v>
      </c>
      <c r="S411" s="3" t="s">
        <v>8046</v>
      </c>
      <c r="T411" s="3">
        <v>0</v>
      </c>
    </row>
    <row r="412" spans="1:20" hidden="1" x14ac:dyDescent="0.25">
      <c r="A412" t="s">
        <v>8608</v>
      </c>
      <c r="B412" t="s">
        <v>8691</v>
      </c>
      <c r="C412" t="s">
        <v>1</v>
      </c>
      <c r="D412" t="s">
        <v>0</v>
      </c>
      <c r="E412">
        <v>93693</v>
      </c>
      <c r="F412" t="s">
        <v>1670</v>
      </c>
      <c r="G412" t="s">
        <v>1671</v>
      </c>
      <c r="H412" s="3">
        <v>2.46</v>
      </c>
      <c r="I412" s="3">
        <v>0</v>
      </c>
      <c r="J412" s="3">
        <v>0</v>
      </c>
      <c r="K412" s="3">
        <v>44.73</v>
      </c>
      <c r="L412" s="3">
        <v>0</v>
      </c>
      <c r="M412" s="3">
        <v>0</v>
      </c>
      <c r="N412" s="3">
        <v>0</v>
      </c>
      <c r="O412" s="3">
        <v>5.8148999999999997</v>
      </c>
      <c r="P412" s="3">
        <v>53.004899999999999</v>
      </c>
      <c r="Q412" t="s">
        <v>8046</v>
      </c>
      <c r="R412" t="s">
        <v>8200</v>
      </c>
      <c r="S412" s="3" t="s">
        <v>8046</v>
      </c>
      <c r="T412" s="3">
        <v>0</v>
      </c>
    </row>
    <row r="413" spans="1:20" hidden="1" x14ac:dyDescent="0.25">
      <c r="A413" t="s">
        <v>8608</v>
      </c>
      <c r="B413" t="s">
        <v>8691</v>
      </c>
      <c r="C413" t="s">
        <v>1</v>
      </c>
      <c r="D413" t="s">
        <v>0</v>
      </c>
      <c r="E413">
        <v>26946</v>
      </c>
      <c r="F413" t="s">
        <v>1522</v>
      </c>
      <c r="G413" t="s">
        <v>1523</v>
      </c>
      <c r="H413" s="3">
        <v>1.66</v>
      </c>
      <c r="I413" s="3">
        <v>0</v>
      </c>
      <c r="J413" s="3">
        <v>0</v>
      </c>
      <c r="K413" s="3">
        <v>28.62</v>
      </c>
      <c r="L413" s="3">
        <v>0</v>
      </c>
      <c r="M413" s="3">
        <v>0</v>
      </c>
      <c r="N413" s="3">
        <v>0</v>
      </c>
      <c r="O413" s="3">
        <v>3.7206000000000001</v>
      </c>
      <c r="P413" s="3">
        <v>34.000599999999999</v>
      </c>
      <c r="Q413" t="s">
        <v>8046</v>
      </c>
      <c r="R413" t="s">
        <v>8200</v>
      </c>
      <c r="S413" s="3" t="s">
        <v>8046</v>
      </c>
      <c r="T413" s="3">
        <v>0</v>
      </c>
    </row>
    <row r="414" spans="1:20" hidden="1" x14ac:dyDescent="0.25">
      <c r="A414" t="s">
        <v>8608</v>
      </c>
      <c r="B414" t="s">
        <v>8692</v>
      </c>
      <c r="C414" t="s">
        <v>1</v>
      </c>
      <c r="D414" t="s">
        <v>0</v>
      </c>
      <c r="E414">
        <v>6127</v>
      </c>
      <c r="F414" t="s">
        <v>1527</v>
      </c>
      <c r="G414" t="s">
        <v>1528</v>
      </c>
      <c r="H414" s="3">
        <v>0</v>
      </c>
      <c r="I414" s="3">
        <v>0</v>
      </c>
      <c r="J414" s="3">
        <v>0</v>
      </c>
      <c r="K414" s="3">
        <v>349.55</v>
      </c>
      <c r="L414" s="3">
        <v>0</v>
      </c>
      <c r="M414" s="3">
        <v>0</v>
      </c>
      <c r="N414" s="3">
        <v>0</v>
      </c>
      <c r="O414" s="3">
        <v>45.441500000000005</v>
      </c>
      <c r="P414" s="3">
        <v>394.99150000000003</v>
      </c>
      <c r="Q414" t="s">
        <v>8046</v>
      </c>
      <c r="R414" t="s">
        <v>8200</v>
      </c>
      <c r="S414" s="3" t="s">
        <v>8046</v>
      </c>
      <c r="T414" s="3">
        <v>0</v>
      </c>
    </row>
    <row r="415" spans="1:20" hidden="1" x14ac:dyDescent="0.25">
      <c r="A415" t="s">
        <v>8608</v>
      </c>
      <c r="B415" t="s">
        <v>8692</v>
      </c>
      <c r="C415" t="s">
        <v>1</v>
      </c>
      <c r="D415" t="s">
        <v>0</v>
      </c>
      <c r="E415">
        <v>63</v>
      </c>
      <c r="F415" t="s">
        <v>1593</v>
      </c>
      <c r="G415" t="s">
        <v>1594</v>
      </c>
      <c r="H415" s="3">
        <v>0</v>
      </c>
      <c r="I415" s="3">
        <v>0</v>
      </c>
      <c r="J415" s="3">
        <v>0</v>
      </c>
      <c r="K415" s="3">
        <v>97.8</v>
      </c>
      <c r="L415" s="3">
        <v>0</v>
      </c>
      <c r="M415" s="3">
        <v>0</v>
      </c>
      <c r="N415" s="3">
        <v>0</v>
      </c>
      <c r="O415" s="3">
        <v>12.714</v>
      </c>
      <c r="P415" s="3">
        <v>110.514</v>
      </c>
      <c r="Q415" t="s">
        <v>8046</v>
      </c>
      <c r="R415" t="s">
        <v>8200</v>
      </c>
      <c r="S415" s="3" t="s">
        <v>8046</v>
      </c>
      <c r="T415" s="3">
        <v>0</v>
      </c>
    </row>
    <row r="416" spans="1:20" hidden="1" x14ac:dyDescent="0.25">
      <c r="A416" t="s">
        <v>8608</v>
      </c>
      <c r="B416" t="s">
        <v>8692</v>
      </c>
      <c r="C416" t="s">
        <v>1</v>
      </c>
      <c r="D416" t="s">
        <v>0</v>
      </c>
      <c r="E416">
        <v>3586</v>
      </c>
      <c r="F416" t="s">
        <v>736</v>
      </c>
      <c r="G416" t="s">
        <v>737</v>
      </c>
      <c r="H416" s="3">
        <v>0</v>
      </c>
      <c r="I416" s="3">
        <v>0</v>
      </c>
      <c r="J416" s="3">
        <v>0</v>
      </c>
      <c r="K416" s="3">
        <v>540</v>
      </c>
      <c r="L416" s="3">
        <v>0</v>
      </c>
      <c r="M416" s="3">
        <v>0</v>
      </c>
      <c r="N416" s="3">
        <v>0</v>
      </c>
      <c r="O416" s="3">
        <v>70.2</v>
      </c>
      <c r="P416" s="3">
        <v>610.20000000000005</v>
      </c>
      <c r="Q416" t="s">
        <v>8046</v>
      </c>
      <c r="R416" t="s">
        <v>8200</v>
      </c>
      <c r="S416" s="3" t="s">
        <v>8046</v>
      </c>
      <c r="T416" s="3">
        <v>0</v>
      </c>
    </row>
    <row r="417" spans="1:20" hidden="1" x14ac:dyDescent="0.25">
      <c r="A417" t="s">
        <v>8608</v>
      </c>
      <c r="B417" t="s">
        <v>8692</v>
      </c>
      <c r="C417" t="s">
        <v>1</v>
      </c>
      <c r="D417" t="s">
        <v>0</v>
      </c>
      <c r="E417">
        <v>63</v>
      </c>
      <c r="F417" t="s">
        <v>8368</v>
      </c>
      <c r="G417" t="s">
        <v>8369</v>
      </c>
      <c r="H417" s="3">
        <v>0</v>
      </c>
      <c r="I417" s="3">
        <v>0</v>
      </c>
      <c r="J417" s="3">
        <v>0</v>
      </c>
      <c r="K417" s="3">
        <v>90.26</v>
      </c>
      <c r="L417" s="3">
        <v>0</v>
      </c>
      <c r="M417" s="3">
        <v>0</v>
      </c>
      <c r="N417" s="3">
        <v>0</v>
      </c>
      <c r="O417" s="3">
        <v>11.7338</v>
      </c>
      <c r="P417" s="3">
        <v>101.99380000000001</v>
      </c>
      <c r="Q417" t="s">
        <v>8046</v>
      </c>
      <c r="R417" t="s">
        <v>8200</v>
      </c>
      <c r="S417" s="3" t="s">
        <v>8046</v>
      </c>
      <c r="T417" s="3">
        <v>0</v>
      </c>
    </row>
    <row r="418" spans="1:20" hidden="1" x14ac:dyDescent="0.25">
      <c r="A418" t="s">
        <v>8608</v>
      </c>
      <c r="B418" t="s">
        <v>8692</v>
      </c>
      <c r="C418" t="s">
        <v>1</v>
      </c>
      <c r="D418" t="s">
        <v>0</v>
      </c>
      <c r="E418">
        <v>9173</v>
      </c>
      <c r="F418" t="s">
        <v>1561</v>
      </c>
      <c r="G418" t="s">
        <v>1562</v>
      </c>
      <c r="H418" s="3">
        <v>1.99</v>
      </c>
      <c r="I418" s="3">
        <v>0</v>
      </c>
      <c r="J418" s="3">
        <v>0</v>
      </c>
      <c r="K418" s="3">
        <v>38.06</v>
      </c>
      <c r="L418" s="3">
        <v>0</v>
      </c>
      <c r="M418" s="3">
        <v>0</v>
      </c>
      <c r="N418" s="3">
        <v>0</v>
      </c>
      <c r="O418" s="3">
        <v>4.9478000000000009</v>
      </c>
      <c r="P418" s="3">
        <v>44.997800000000005</v>
      </c>
      <c r="Q418" t="s">
        <v>8046</v>
      </c>
      <c r="R418" t="s">
        <v>8200</v>
      </c>
      <c r="S418" s="3" t="s">
        <v>8046</v>
      </c>
      <c r="T418" s="3">
        <v>0</v>
      </c>
    </row>
    <row r="419" spans="1:20" hidden="1" x14ac:dyDescent="0.25">
      <c r="A419" t="s">
        <v>8608</v>
      </c>
      <c r="B419" t="s">
        <v>8692</v>
      </c>
      <c r="C419" t="s">
        <v>1</v>
      </c>
      <c r="D419" t="s">
        <v>0</v>
      </c>
      <c r="E419">
        <v>402211</v>
      </c>
      <c r="F419" t="s">
        <v>1620</v>
      </c>
      <c r="G419" t="s">
        <v>1621</v>
      </c>
      <c r="H419" s="3">
        <v>1.95</v>
      </c>
      <c r="I419" s="3">
        <v>0</v>
      </c>
      <c r="J419" s="3">
        <v>0</v>
      </c>
      <c r="K419" s="3">
        <v>33.67</v>
      </c>
      <c r="L419" s="3">
        <v>0</v>
      </c>
      <c r="M419" s="3">
        <v>0</v>
      </c>
      <c r="N419" s="3">
        <v>0</v>
      </c>
      <c r="O419" s="3">
        <v>4.3771000000000004</v>
      </c>
      <c r="P419" s="3">
        <v>39.997100000000003</v>
      </c>
      <c r="Q419" t="s">
        <v>8046</v>
      </c>
      <c r="R419" t="s">
        <v>8200</v>
      </c>
      <c r="S419" s="3" t="s">
        <v>8046</v>
      </c>
      <c r="T419" s="3">
        <v>0</v>
      </c>
    </row>
    <row r="420" spans="1:20" hidden="1" x14ac:dyDescent="0.25">
      <c r="A420" t="s">
        <v>8608</v>
      </c>
      <c r="B420" t="s">
        <v>8692</v>
      </c>
      <c r="C420" t="s">
        <v>1</v>
      </c>
      <c r="D420" t="s">
        <v>0</v>
      </c>
      <c r="E420">
        <v>97293</v>
      </c>
      <c r="F420" t="s">
        <v>1540</v>
      </c>
      <c r="G420" t="s">
        <v>1541</v>
      </c>
      <c r="H420" s="3">
        <v>1.42</v>
      </c>
      <c r="I420" s="3">
        <v>0</v>
      </c>
      <c r="J420" s="3">
        <v>0</v>
      </c>
      <c r="K420" s="3">
        <v>25.29</v>
      </c>
      <c r="L420" s="3">
        <v>0</v>
      </c>
      <c r="M420" s="3">
        <v>0</v>
      </c>
      <c r="N420" s="3">
        <v>0</v>
      </c>
      <c r="O420" s="3">
        <v>3.2877000000000001</v>
      </c>
      <c r="P420" s="3">
        <v>29.997700000000002</v>
      </c>
      <c r="Q420" t="s">
        <v>8046</v>
      </c>
      <c r="R420" t="s">
        <v>8200</v>
      </c>
      <c r="S420" s="3" t="s">
        <v>8046</v>
      </c>
      <c r="T420" s="3">
        <v>0</v>
      </c>
    </row>
    <row r="421" spans="1:20" hidden="1" x14ac:dyDescent="0.25">
      <c r="A421" t="s">
        <v>8608</v>
      </c>
      <c r="B421" t="s">
        <v>8692</v>
      </c>
      <c r="C421" t="s">
        <v>1</v>
      </c>
      <c r="D421" t="s">
        <v>0</v>
      </c>
      <c r="E421">
        <v>2233178</v>
      </c>
      <c r="F421" t="s">
        <v>1494</v>
      </c>
      <c r="G421" t="s">
        <v>1495</v>
      </c>
      <c r="H421" s="3">
        <v>0</v>
      </c>
      <c r="I421" s="3">
        <v>0</v>
      </c>
      <c r="J421" s="3">
        <v>0</v>
      </c>
      <c r="K421" s="3">
        <v>133.63</v>
      </c>
      <c r="L421" s="3">
        <v>0</v>
      </c>
      <c r="M421" s="3">
        <v>0</v>
      </c>
      <c r="N421" s="3">
        <v>0</v>
      </c>
      <c r="O421" s="3">
        <v>17.3719</v>
      </c>
      <c r="P421" s="3">
        <v>151.00190000000001</v>
      </c>
      <c r="Q421" t="s">
        <v>8046</v>
      </c>
      <c r="R421" t="s">
        <v>8200</v>
      </c>
      <c r="S421" s="3" t="s">
        <v>8046</v>
      </c>
      <c r="T421" s="3">
        <v>0</v>
      </c>
    </row>
    <row r="422" spans="1:20" hidden="1" x14ac:dyDescent="0.25">
      <c r="A422" t="s">
        <v>8608</v>
      </c>
      <c r="B422" t="s">
        <v>8731</v>
      </c>
      <c r="C422" t="s">
        <v>1</v>
      </c>
      <c r="D422" t="s">
        <v>0</v>
      </c>
      <c r="E422">
        <v>383659</v>
      </c>
      <c r="F422" t="s">
        <v>3251</v>
      </c>
      <c r="G422" t="s">
        <v>3252</v>
      </c>
      <c r="H422" s="3">
        <v>0</v>
      </c>
      <c r="I422" s="3">
        <v>0</v>
      </c>
      <c r="J422" s="3">
        <v>0</v>
      </c>
      <c r="K422" s="3">
        <v>62.04</v>
      </c>
      <c r="L422" s="3">
        <v>0</v>
      </c>
      <c r="M422" s="3">
        <v>0</v>
      </c>
      <c r="N422" s="3">
        <v>0</v>
      </c>
      <c r="O422" s="3">
        <v>8.0652000000000008</v>
      </c>
      <c r="P422" s="3">
        <v>70.105199999999996</v>
      </c>
      <c r="Q422" t="s">
        <v>8046</v>
      </c>
      <c r="R422" t="s">
        <v>8200</v>
      </c>
      <c r="S422" s="3" t="s">
        <v>8046</v>
      </c>
      <c r="T422" s="3">
        <v>0</v>
      </c>
    </row>
    <row r="423" spans="1:20" hidden="1" x14ac:dyDescent="0.25">
      <c r="A423" t="s">
        <v>8608</v>
      </c>
      <c r="B423" t="s">
        <v>8731</v>
      </c>
      <c r="C423" t="s">
        <v>1</v>
      </c>
      <c r="D423" t="s">
        <v>0</v>
      </c>
      <c r="E423">
        <v>496</v>
      </c>
      <c r="F423" t="s">
        <v>8192</v>
      </c>
      <c r="G423" t="s">
        <v>8193</v>
      </c>
      <c r="H423" s="3">
        <v>0</v>
      </c>
      <c r="I423" s="3">
        <v>0</v>
      </c>
      <c r="J423" s="3">
        <v>0</v>
      </c>
      <c r="K423" s="3">
        <v>194.69</v>
      </c>
      <c r="L423" s="3">
        <v>0</v>
      </c>
      <c r="M423" s="3">
        <v>0</v>
      </c>
      <c r="N423" s="3">
        <v>0</v>
      </c>
      <c r="O423" s="3">
        <v>25.309699999999999</v>
      </c>
      <c r="P423" s="3">
        <v>219.99969999999999</v>
      </c>
      <c r="Q423" t="s">
        <v>8046</v>
      </c>
      <c r="R423" t="s">
        <v>8200</v>
      </c>
      <c r="S423" s="3" t="s">
        <v>8046</v>
      </c>
      <c r="T423" s="3">
        <v>0</v>
      </c>
    </row>
    <row r="424" spans="1:20" hidden="1" x14ac:dyDescent="0.25">
      <c r="A424" t="s">
        <v>8608</v>
      </c>
      <c r="B424" t="s">
        <v>8694</v>
      </c>
      <c r="C424" t="s">
        <v>1</v>
      </c>
      <c r="D424" t="s">
        <v>0</v>
      </c>
      <c r="E424">
        <v>9355</v>
      </c>
      <c r="F424" t="s">
        <v>1200</v>
      </c>
      <c r="G424" t="s">
        <v>1201</v>
      </c>
      <c r="H424" s="3">
        <v>0</v>
      </c>
      <c r="I424" s="3">
        <v>0</v>
      </c>
      <c r="J424" s="3">
        <v>0</v>
      </c>
      <c r="K424" s="3">
        <v>2161</v>
      </c>
      <c r="L424" s="3">
        <v>0</v>
      </c>
      <c r="M424" s="3">
        <v>0</v>
      </c>
      <c r="N424" s="3">
        <v>0</v>
      </c>
      <c r="O424" s="3">
        <v>280.93</v>
      </c>
      <c r="P424" s="3">
        <v>2441.9299999999998</v>
      </c>
      <c r="Q424" t="s">
        <v>8046</v>
      </c>
      <c r="R424" t="s">
        <v>8200</v>
      </c>
      <c r="S424" s="3" t="s">
        <v>8358</v>
      </c>
      <c r="T424" s="3">
        <v>21.61</v>
      </c>
    </row>
    <row r="425" spans="1:20" hidden="1" x14ac:dyDescent="0.25">
      <c r="A425" t="s">
        <v>8608</v>
      </c>
      <c r="B425" t="s">
        <v>8694</v>
      </c>
      <c r="C425" t="s">
        <v>1</v>
      </c>
      <c r="D425" t="s">
        <v>0</v>
      </c>
      <c r="E425">
        <v>499</v>
      </c>
      <c r="F425" t="s">
        <v>131</v>
      </c>
      <c r="G425" t="s">
        <v>132</v>
      </c>
      <c r="H425" s="3">
        <v>0</v>
      </c>
      <c r="I425" s="3">
        <v>0</v>
      </c>
      <c r="J425" s="3">
        <v>0</v>
      </c>
      <c r="K425" s="3">
        <v>1033.1199999999999</v>
      </c>
      <c r="L425" s="3">
        <v>0</v>
      </c>
      <c r="M425" s="3">
        <v>0</v>
      </c>
      <c r="N425" s="3">
        <v>0</v>
      </c>
      <c r="O425" s="3">
        <v>134.3056</v>
      </c>
      <c r="P425" s="3">
        <v>1167.4255999999998</v>
      </c>
      <c r="Q425" t="s">
        <v>8046</v>
      </c>
      <c r="R425" t="s">
        <v>8200</v>
      </c>
      <c r="S425" s="3" t="s">
        <v>8046</v>
      </c>
      <c r="T425" s="3">
        <v>0</v>
      </c>
    </row>
    <row r="426" spans="1:20" hidden="1" x14ac:dyDescent="0.25">
      <c r="A426" t="s">
        <v>8608</v>
      </c>
      <c r="B426" t="s">
        <v>8694</v>
      </c>
      <c r="C426" t="s">
        <v>1</v>
      </c>
      <c r="D426" t="s">
        <v>0</v>
      </c>
      <c r="E426">
        <v>34416</v>
      </c>
      <c r="F426" t="s">
        <v>3068</v>
      </c>
      <c r="G426" t="s">
        <v>3069</v>
      </c>
      <c r="H426" s="3">
        <v>0</v>
      </c>
      <c r="I426" s="3">
        <v>0</v>
      </c>
      <c r="J426" s="3">
        <v>0</v>
      </c>
      <c r="K426" s="3">
        <v>13.89</v>
      </c>
      <c r="L426" s="3">
        <v>0</v>
      </c>
      <c r="M426" s="3">
        <v>0</v>
      </c>
      <c r="N426" s="3">
        <v>0</v>
      </c>
      <c r="O426" s="3">
        <v>1.8057000000000001</v>
      </c>
      <c r="P426" s="3">
        <v>15.6957</v>
      </c>
      <c r="Q426" t="s">
        <v>8046</v>
      </c>
      <c r="R426" t="s">
        <v>8200</v>
      </c>
      <c r="S426" s="3" t="s">
        <v>8046</v>
      </c>
      <c r="T426" s="3">
        <v>0</v>
      </c>
    </row>
    <row r="427" spans="1:20" hidden="1" x14ac:dyDescent="0.25">
      <c r="A427" t="s">
        <v>8608</v>
      </c>
      <c r="B427" t="s">
        <v>8694</v>
      </c>
      <c r="C427" t="s">
        <v>1</v>
      </c>
      <c r="D427" t="s">
        <v>0</v>
      </c>
      <c r="E427">
        <v>799</v>
      </c>
      <c r="F427" t="s">
        <v>1540</v>
      </c>
      <c r="G427" t="s">
        <v>1541</v>
      </c>
      <c r="H427" s="3">
        <v>1.41</v>
      </c>
      <c r="I427" s="3">
        <v>0</v>
      </c>
      <c r="J427" s="3">
        <v>0</v>
      </c>
      <c r="K427" s="3">
        <v>25.3</v>
      </c>
      <c r="L427" s="3">
        <v>0</v>
      </c>
      <c r="M427" s="3">
        <v>0</v>
      </c>
      <c r="N427" s="3">
        <v>0</v>
      </c>
      <c r="O427" s="3">
        <v>3.2890000000000001</v>
      </c>
      <c r="P427" s="3">
        <v>29.999000000000002</v>
      </c>
      <c r="Q427" t="s">
        <v>8046</v>
      </c>
      <c r="R427" t="s">
        <v>8200</v>
      </c>
      <c r="S427" s="3" t="s">
        <v>8046</v>
      </c>
      <c r="T427" s="3">
        <v>0</v>
      </c>
    </row>
    <row r="428" spans="1:20" hidden="1" x14ac:dyDescent="0.25">
      <c r="A428" t="s">
        <v>8608</v>
      </c>
      <c r="B428" t="s">
        <v>8695</v>
      </c>
      <c r="C428" t="s">
        <v>1</v>
      </c>
      <c r="D428" t="s">
        <v>0</v>
      </c>
      <c r="E428">
        <v>9335</v>
      </c>
      <c r="F428" t="s">
        <v>1200</v>
      </c>
      <c r="G428" t="s">
        <v>1201</v>
      </c>
      <c r="H428" s="3">
        <v>0</v>
      </c>
      <c r="I428" s="3">
        <v>0</v>
      </c>
      <c r="J428" s="3">
        <v>0</v>
      </c>
      <c r="K428" s="3">
        <v>564</v>
      </c>
      <c r="L428" s="3">
        <v>0</v>
      </c>
      <c r="M428" s="3">
        <v>0</v>
      </c>
      <c r="N428" s="3">
        <v>0</v>
      </c>
      <c r="O428" s="3">
        <v>73.320000000000007</v>
      </c>
      <c r="P428" s="3">
        <v>637.32000000000005</v>
      </c>
      <c r="Q428" t="s">
        <v>8046</v>
      </c>
      <c r="R428" t="s">
        <v>8200</v>
      </c>
      <c r="S428" s="3" t="s">
        <v>8358</v>
      </c>
      <c r="T428" s="3">
        <v>5.64</v>
      </c>
    </row>
    <row r="429" spans="1:20" hidden="1" x14ac:dyDescent="0.25">
      <c r="A429" t="s">
        <v>8608</v>
      </c>
      <c r="B429" t="s">
        <v>8695</v>
      </c>
      <c r="C429" t="s">
        <v>1</v>
      </c>
      <c r="D429" t="s">
        <v>0</v>
      </c>
      <c r="E429">
        <v>11542</v>
      </c>
      <c r="F429" t="s">
        <v>2635</v>
      </c>
      <c r="G429" t="s">
        <v>2636</v>
      </c>
      <c r="H429" s="3">
        <v>0</v>
      </c>
      <c r="I429" s="3">
        <v>0</v>
      </c>
      <c r="J429" s="3">
        <v>0</v>
      </c>
      <c r="K429" s="3">
        <v>77.88</v>
      </c>
      <c r="L429" s="3">
        <v>0</v>
      </c>
      <c r="M429" s="3">
        <v>0</v>
      </c>
      <c r="N429" s="3">
        <v>0</v>
      </c>
      <c r="O429" s="3">
        <v>10.1244</v>
      </c>
      <c r="P429" s="3">
        <v>88.00439999999999</v>
      </c>
      <c r="Q429" t="s">
        <v>8046</v>
      </c>
      <c r="R429" t="s">
        <v>8200</v>
      </c>
      <c r="S429" s="3" t="s">
        <v>8046</v>
      </c>
      <c r="T429" s="3">
        <v>0</v>
      </c>
    </row>
    <row r="430" spans="1:20" hidden="1" x14ac:dyDescent="0.25">
      <c r="A430" t="s">
        <v>8608</v>
      </c>
      <c r="B430" t="s">
        <v>8695</v>
      </c>
      <c r="C430" t="s">
        <v>1</v>
      </c>
      <c r="D430" t="s">
        <v>0</v>
      </c>
      <c r="E430">
        <v>240139</v>
      </c>
      <c r="F430" t="s">
        <v>1497</v>
      </c>
      <c r="G430" t="s">
        <v>1498</v>
      </c>
      <c r="H430" s="3">
        <v>0</v>
      </c>
      <c r="I430" s="3">
        <v>0</v>
      </c>
      <c r="J430" s="3">
        <v>0</v>
      </c>
      <c r="K430" s="3">
        <v>41.68</v>
      </c>
      <c r="L430" s="3">
        <v>0</v>
      </c>
      <c r="M430" s="3">
        <v>0</v>
      </c>
      <c r="N430" s="3">
        <v>0</v>
      </c>
      <c r="O430" s="3">
        <v>5.4184000000000001</v>
      </c>
      <c r="P430" s="3">
        <v>47.098399999999998</v>
      </c>
      <c r="Q430" t="s">
        <v>8046</v>
      </c>
      <c r="R430" t="s">
        <v>8200</v>
      </c>
      <c r="S430" s="3" t="s">
        <v>8046</v>
      </c>
      <c r="T430" s="3">
        <v>0</v>
      </c>
    </row>
    <row r="431" spans="1:20" hidden="1" x14ac:dyDescent="0.25">
      <c r="A431" t="s">
        <v>8608</v>
      </c>
      <c r="B431" t="s">
        <v>8695</v>
      </c>
      <c r="C431" t="s">
        <v>1</v>
      </c>
      <c r="D431" t="s">
        <v>0</v>
      </c>
      <c r="E431">
        <v>240187</v>
      </c>
      <c r="F431" t="s">
        <v>1497</v>
      </c>
      <c r="G431" t="s">
        <v>1498</v>
      </c>
      <c r="H431" s="3">
        <v>0</v>
      </c>
      <c r="I431" s="3">
        <v>0</v>
      </c>
      <c r="J431" s="3">
        <v>0</v>
      </c>
      <c r="K431" s="3">
        <v>6.1</v>
      </c>
      <c r="L431" s="3">
        <v>0</v>
      </c>
      <c r="M431" s="3">
        <v>0</v>
      </c>
      <c r="N431" s="3">
        <v>0</v>
      </c>
      <c r="O431" s="3">
        <v>0.79299999999999993</v>
      </c>
      <c r="P431" s="3">
        <v>6.8929999999999998</v>
      </c>
      <c r="Q431" t="s">
        <v>8046</v>
      </c>
      <c r="R431" t="s">
        <v>8200</v>
      </c>
      <c r="S431" s="3" t="s">
        <v>8046</v>
      </c>
      <c r="T431" s="3">
        <v>0</v>
      </c>
    </row>
    <row r="432" spans="1:20" hidden="1" x14ac:dyDescent="0.25">
      <c r="A432" t="s">
        <v>8608</v>
      </c>
      <c r="B432" t="s">
        <v>8695</v>
      </c>
      <c r="C432" t="s">
        <v>1</v>
      </c>
      <c r="D432" t="s">
        <v>0</v>
      </c>
      <c r="E432">
        <v>35565</v>
      </c>
      <c r="F432" t="s">
        <v>2998</v>
      </c>
      <c r="G432" t="s">
        <v>2999</v>
      </c>
      <c r="H432" s="3">
        <v>0</v>
      </c>
      <c r="I432" s="3">
        <v>0</v>
      </c>
      <c r="J432" s="3">
        <v>0</v>
      </c>
      <c r="K432" s="3">
        <v>712.5</v>
      </c>
      <c r="L432" s="3">
        <v>0</v>
      </c>
      <c r="M432" s="3">
        <v>0</v>
      </c>
      <c r="N432" s="3">
        <v>0</v>
      </c>
      <c r="O432" s="3">
        <v>92.625</v>
      </c>
      <c r="P432" s="3">
        <v>805.125</v>
      </c>
      <c r="Q432" t="s">
        <v>8046</v>
      </c>
      <c r="R432" t="s">
        <v>8200</v>
      </c>
      <c r="S432" s="3" t="s">
        <v>8345</v>
      </c>
      <c r="T432" s="3">
        <v>7.13</v>
      </c>
    </row>
    <row r="433" spans="1:20" hidden="1" x14ac:dyDescent="0.25">
      <c r="A433" t="s">
        <v>8608</v>
      </c>
      <c r="B433" t="s">
        <v>8695</v>
      </c>
      <c r="C433" t="s">
        <v>1</v>
      </c>
      <c r="D433" t="s">
        <v>0</v>
      </c>
      <c r="E433">
        <v>12908</v>
      </c>
      <c r="F433" t="s">
        <v>1732</v>
      </c>
      <c r="G433" t="s">
        <v>1733</v>
      </c>
      <c r="H433" s="3">
        <v>1.4</v>
      </c>
      <c r="I433" s="3">
        <v>0</v>
      </c>
      <c r="J433" s="3">
        <v>0</v>
      </c>
      <c r="K433" s="3">
        <v>25.3</v>
      </c>
      <c r="L433" s="3">
        <v>0</v>
      </c>
      <c r="M433" s="3">
        <v>0</v>
      </c>
      <c r="N433" s="3">
        <v>0</v>
      </c>
      <c r="O433" s="3">
        <v>3.2890000000000001</v>
      </c>
      <c r="P433" s="3">
        <v>29.989000000000001</v>
      </c>
      <c r="Q433" t="s">
        <v>8046</v>
      </c>
      <c r="R433" t="s">
        <v>8200</v>
      </c>
      <c r="S433" s="3" t="s">
        <v>8046</v>
      </c>
      <c r="T433" s="3">
        <v>0</v>
      </c>
    </row>
    <row r="434" spans="1:20" hidden="1" x14ac:dyDescent="0.25">
      <c r="A434" t="s">
        <v>8608</v>
      </c>
      <c r="B434" t="s">
        <v>8695</v>
      </c>
      <c r="C434" t="s">
        <v>1</v>
      </c>
      <c r="D434" t="s">
        <v>0</v>
      </c>
      <c r="E434">
        <v>3339833</v>
      </c>
      <c r="F434" t="s">
        <v>1620</v>
      </c>
      <c r="G434" t="s">
        <v>1621</v>
      </c>
      <c r="H434" s="3">
        <v>2.77</v>
      </c>
      <c r="I434" s="3">
        <v>0</v>
      </c>
      <c r="J434" s="3">
        <v>0</v>
      </c>
      <c r="K434" s="3">
        <v>49.76</v>
      </c>
      <c r="L434" s="3">
        <v>0</v>
      </c>
      <c r="M434" s="3">
        <v>0</v>
      </c>
      <c r="N434" s="3">
        <v>0</v>
      </c>
      <c r="O434" s="3">
        <v>6.4687999999999999</v>
      </c>
      <c r="P434" s="3">
        <v>58.998800000000003</v>
      </c>
      <c r="Q434" t="s">
        <v>8046</v>
      </c>
      <c r="R434" t="s">
        <v>8200</v>
      </c>
      <c r="S434" s="3" t="s">
        <v>8046</v>
      </c>
      <c r="T434" s="3">
        <v>0</v>
      </c>
    </row>
    <row r="435" spans="1:20" hidden="1" x14ac:dyDescent="0.25">
      <c r="A435" t="s">
        <v>8608</v>
      </c>
      <c r="B435" t="s">
        <v>8695</v>
      </c>
      <c r="C435" t="s">
        <v>1</v>
      </c>
      <c r="D435" t="s">
        <v>0</v>
      </c>
      <c r="E435">
        <v>22949</v>
      </c>
      <c r="F435" t="s">
        <v>1636</v>
      </c>
      <c r="G435" t="s">
        <v>1637</v>
      </c>
      <c r="H435" s="3">
        <v>1.95</v>
      </c>
      <c r="I435" s="3">
        <v>0</v>
      </c>
      <c r="J435" s="3">
        <v>0</v>
      </c>
      <c r="K435" s="3">
        <v>35.44</v>
      </c>
      <c r="L435" s="3">
        <v>0</v>
      </c>
      <c r="M435" s="3">
        <v>0</v>
      </c>
      <c r="N435" s="3">
        <v>0</v>
      </c>
      <c r="O435" s="3">
        <v>4.6071999999999997</v>
      </c>
      <c r="P435" s="3">
        <v>41.997199999999999</v>
      </c>
      <c r="Q435" t="s">
        <v>8046</v>
      </c>
      <c r="R435" t="s">
        <v>8200</v>
      </c>
      <c r="S435" s="3" t="s">
        <v>8046</v>
      </c>
      <c r="T435" s="3">
        <v>0</v>
      </c>
    </row>
    <row r="436" spans="1:20" hidden="1" x14ac:dyDescent="0.25">
      <c r="A436" t="s">
        <v>8608</v>
      </c>
      <c r="B436" t="s">
        <v>8696</v>
      </c>
      <c r="C436" t="s">
        <v>1</v>
      </c>
      <c r="D436" t="s">
        <v>0</v>
      </c>
      <c r="E436">
        <v>9330</v>
      </c>
      <c r="F436" t="s">
        <v>1200</v>
      </c>
      <c r="G436" t="s">
        <v>1201</v>
      </c>
      <c r="H436" s="3">
        <v>0</v>
      </c>
      <c r="I436" s="3">
        <v>0</v>
      </c>
      <c r="J436" s="3">
        <v>0</v>
      </c>
      <c r="K436" s="3">
        <v>6562.4</v>
      </c>
      <c r="L436" s="3">
        <v>0</v>
      </c>
      <c r="M436" s="3">
        <v>0</v>
      </c>
      <c r="N436" s="3">
        <v>0</v>
      </c>
      <c r="O436" s="3">
        <v>853.11199999999997</v>
      </c>
      <c r="P436" s="3">
        <v>7415.5119999999997</v>
      </c>
      <c r="Q436" t="s">
        <v>8046</v>
      </c>
      <c r="R436" t="s">
        <v>8200</v>
      </c>
      <c r="S436" s="3" t="s">
        <v>8358</v>
      </c>
      <c r="T436" s="3">
        <v>65.62</v>
      </c>
    </row>
    <row r="437" spans="1:20" hidden="1" x14ac:dyDescent="0.25">
      <c r="A437" t="s">
        <v>8608</v>
      </c>
      <c r="B437" t="s">
        <v>8696</v>
      </c>
      <c r="C437" t="s">
        <v>1</v>
      </c>
      <c r="D437" t="s">
        <v>0</v>
      </c>
      <c r="E437">
        <v>3523</v>
      </c>
      <c r="F437" t="s">
        <v>736</v>
      </c>
      <c r="G437" t="s">
        <v>737</v>
      </c>
      <c r="H437" s="3">
        <v>0</v>
      </c>
      <c r="I437" s="3">
        <v>0</v>
      </c>
      <c r="J437" s="3">
        <v>0</v>
      </c>
      <c r="K437" s="3">
        <v>500</v>
      </c>
      <c r="L437" s="3">
        <v>0</v>
      </c>
      <c r="M437" s="3">
        <v>0</v>
      </c>
      <c r="N437" s="3">
        <v>0</v>
      </c>
      <c r="O437" s="3">
        <v>65</v>
      </c>
      <c r="P437" s="3">
        <v>565</v>
      </c>
      <c r="Q437" t="s">
        <v>8046</v>
      </c>
      <c r="R437" t="s">
        <v>8200</v>
      </c>
      <c r="S437" s="3" t="s">
        <v>8046</v>
      </c>
      <c r="T437" s="3">
        <v>0</v>
      </c>
    </row>
    <row r="438" spans="1:20" hidden="1" x14ac:dyDescent="0.25">
      <c r="A438" t="s">
        <v>8608</v>
      </c>
      <c r="B438" t="s">
        <v>8696</v>
      </c>
      <c r="C438" t="s">
        <v>1</v>
      </c>
      <c r="D438" t="s">
        <v>0</v>
      </c>
      <c r="E438">
        <v>2923</v>
      </c>
      <c r="F438" t="s">
        <v>6324</v>
      </c>
      <c r="G438" t="s">
        <v>6325</v>
      </c>
      <c r="H438" s="3">
        <v>0</v>
      </c>
      <c r="I438" s="3">
        <v>0</v>
      </c>
      <c r="J438" s="3">
        <v>0</v>
      </c>
      <c r="K438" s="3">
        <v>230.3</v>
      </c>
      <c r="L438" s="3">
        <v>0</v>
      </c>
      <c r="M438" s="3">
        <v>0</v>
      </c>
      <c r="N438" s="3">
        <v>0</v>
      </c>
      <c r="O438" s="3">
        <v>29.939000000000004</v>
      </c>
      <c r="P438" s="3">
        <v>260.23900000000003</v>
      </c>
      <c r="Q438" t="s">
        <v>8046</v>
      </c>
      <c r="R438" t="s">
        <v>8200</v>
      </c>
      <c r="S438" s="3" t="s">
        <v>8046</v>
      </c>
      <c r="T438" s="3">
        <v>0</v>
      </c>
    </row>
    <row r="439" spans="1:20" hidden="1" x14ac:dyDescent="0.25">
      <c r="A439" t="s">
        <v>8608</v>
      </c>
      <c r="B439" t="s">
        <v>8696</v>
      </c>
      <c r="C439" t="s">
        <v>1</v>
      </c>
      <c r="D439" t="s">
        <v>0</v>
      </c>
      <c r="E439">
        <v>917698</v>
      </c>
      <c r="F439" t="s">
        <v>1546</v>
      </c>
      <c r="G439" t="s">
        <v>1547</v>
      </c>
      <c r="H439" s="3">
        <v>1.1399999999999999</v>
      </c>
      <c r="I439" s="3">
        <v>0</v>
      </c>
      <c r="J439" s="3">
        <v>0</v>
      </c>
      <c r="K439" s="3">
        <v>21.11</v>
      </c>
      <c r="L439" s="3">
        <v>0</v>
      </c>
      <c r="M439" s="3">
        <v>0</v>
      </c>
      <c r="N439" s="3">
        <v>0</v>
      </c>
      <c r="O439" s="3">
        <v>2.7443</v>
      </c>
      <c r="P439" s="3">
        <v>24.994299999999999</v>
      </c>
      <c r="Q439" t="s">
        <v>8046</v>
      </c>
      <c r="R439" t="s">
        <v>8200</v>
      </c>
      <c r="S439" s="3" t="s">
        <v>8046</v>
      </c>
      <c r="T439" s="3">
        <v>0</v>
      </c>
    </row>
    <row r="440" spans="1:20" hidden="1" x14ac:dyDescent="0.25">
      <c r="A440" t="s">
        <v>8608</v>
      </c>
      <c r="B440" t="s">
        <v>8696</v>
      </c>
      <c r="C440" t="s">
        <v>1</v>
      </c>
      <c r="D440" t="s">
        <v>0</v>
      </c>
      <c r="E440">
        <v>25873</v>
      </c>
      <c r="F440" t="s">
        <v>1522</v>
      </c>
      <c r="G440" t="s">
        <v>1523</v>
      </c>
      <c r="H440" s="3">
        <v>1.4</v>
      </c>
      <c r="I440" s="3">
        <v>0</v>
      </c>
      <c r="J440" s="3">
        <v>0</v>
      </c>
      <c r="K440" s="3">
        <v>25.31</v>
      </c>
      <c r="L440" s="3">
        <v>0</v>
      </c>
      <c r="M440" s="3">
        <v>0</v>
      </c>
      <c r="N440" s="3">
        <v>0</v>
      </c>
      <c r="O440" s="3">
        <v>3.2902999999999998</v>
      </c>
      <c r="P440" s="3">
        <v>30.000299999999996</v>
      </c>
      <c r="Q440" t="s">
        <v>8046</v>
      </c>
      <c r="R440" t="s">
        <v>8200</v>
      </c>
      <c r="S440" s="3" t="s">
        <v>8046</v>
      </c>
      <c r="T440" s="3">
        <v>0</v>
      </c>
    </row>
    <row r="441" spans="1:20" hidden="1" x14ac:dyDescent="0.25">
      <c r="A441" t="s">
        <v>8608</v>
      </c>
      <c r="B441" t="s">
        <v>8755</v>
      </c>
      <c r="C441" t="s">
        <v>1</v>
      </c>
      <c r="D441" t="s">
        <v>0</v>
      </c>
      <c r="E441">
        <v>1690</v>
      </c>
      <c r="F441" t="s">
        <v>7902</v>
      </c>
      <c r="G441" t="s">
        <v>7903</v>
      </c>
      <c r="H441" s="3">
        <v>0</v>
      </c>
      <c r="I441" s="3">
        <v>0</v>
      </c>
      <c r="J441" s="3">
        <v>0</v>
      </c>
      <c r="K441" s="3">
        <v>104.63</v>
      </c>
      <c r="L441" s="3">
        <v>0</v>
      </c>
      <c r="M441" s="3">
        <v>0</v>
      </c>
      <c r="N441" s="3">
        <v>0</v>
      </c>
      <c r="O441" s="3">
        <v>13.601900000000001</v>
      </c>
      <c r="P441" s="3">
        <v>118.2319</v>
      </c>
      <c r="Q441" t="s">
        <v>8046</v>
      </c>
      <c r="R441" t="s">
        <v>8200</v>
      </c>
      <c r="S441" s="3" t="s">
        <v>8046</v>
      </c>
      <c r="T441" s="3">
        <v>0</v>
      </c>
    </row>
    <row r="442" spans="1:20" hidden="1" x14ac:dyDescent="0.25">
      <c r="A442" t="s">
        <v>8608</v>
      </c>
      <c r="B442" t="s">
        <v>8749</v>
      </c>
      <c r="C442" t="s">
        <v>1</v>
      </c>
      <c r="D442" t="s">
        <v>0</v>
      </c>
      <c r="E442">
        <v>3853</v>
      </c>
      <c r="F442" t="s">
        <v>8350</v>
      </c>
      <c r="G442" t="s">
        <v>8351</v>
      </c>
      <c r="H442" s="3">
        <v>0</v>
      </c>
      <c r="I442" s="3">
        <v>0</v>
      </c>
      <c r="J442" s="3">
        <v>0</v>
      </c>
      <c r="K442" s="3">
        <v>116.28</v>
      </c>
      <c r="L442" s="3">
        <v>0</v>
      </c>
      <c r="M442" s="3">
        <v>0</v>
      </c>
      <c r="N442" s="3">
        <v>0</v>
      </c>
      <c r="O442" s="3">
        <v>15.116400000000001</v>
      </c>
      <c r="P442" s="3">
        <v>131.3964</v>
      </c>
      <c r="Q442" t="s">
        <v>8046</v>
      </c>
      <c r="R442" t="s">
        <v>8200</v>
      </c>
      <c r="S442" s="3" t="s">
        <v>8046</v>
      </c>
      <c r="T442" s="3">
        <v>0</v>
      </c>
    </row>
    <row r="443" spans="1:20" hidden="1" x14ac:dyDescent="0.25">
      <c r="A443" t="s">
        <v>8608</v>
      </c>
      <c r="B443" t="s">
        <v>8749</v>
      </c>
      <c r="C443" t="s">
        <v>1</v>
      </c>
      <c r="D443" t="s">
        <v>0</v>
      </c>
      <c r="E443">
        <v>2334</v>
      </c>
      <c r="F443" t="s">
        <v>8753</v>
      </c>
      <c r="G443" t="s">
        <v>8754</v>
      </c>
      <c r="H443" s="3">
        <v>0</v>
      </c>
      <c r="I443" s="3">
        <v>0</v>
      </c>
      <c r="J443" s="3">
        <v>0</v>
      </c>
      <c r="K443" s="3">
        <v>37.96</v>
      </c>
      <c r="L443" s="3">
        <v>0</v>
      </c>
      <c r="M443" s="3">
        <v>0</v>
      </c>
      <c r="N443" s="3">
        <v>0</v>
      </c>
      <c r="O443" s="3">
        <v>4.9348000000000001</v>
      </c>
      <c r="P443" s="3">
        <v>42.894800000000004</v>
      </c>
      <c r="Q443" t="s">
        <v>8046</v>
      </c>
      <c r="R443" t="s">
        <v>8200</v>
      </c>
      <c r="S443" s="3" t="s">
        <v>8046</v>
      </c>
      <c r="T443" s="3">
        <v>0</v>
      </c>
    </row>
    <row r="444" spans="1:20" hidden="1" x14ac:dyDescent="0.25">
      <c r="A444" t="s">
        <v>8608</v>
      </c>
      <c r="B444" t="s">
        <v>8749</v>
      </c>
      <c r="C444" t="s">
        <v>1</v>
      </c>
      <c r="D444" t="s">
        <v>0</v>
      </c>
      <c r="E444">
        <v>652682</v>
      </c>
      <c r="F444" t="s">
        <v>1546</v>
      </c>
      <c r="G444" t="s">
        <v>1547</v>
      </c>
      <c r="H444" s="3">
        <v>0.93</v>
      </c>
      <c r="I444" s="3">
        <v>0</v>
      </c>
      <c r="J444" s="3">
        <v>0</v>
      </c>
      <c r="K444" s="3">
        <v>16.88</v>
      </c>
      <c r="L444" s="3">
        <v>0</v>
      </c>
      <c r="M444" s="3">
        <v>0</v>
      </c>
      <c r="N444" s="3">
        <v>0</v>
      </c>
      <c r="O444" s="3">
        <v>2.1943999999999999</v>
      </c>
      <c r="P444" s="3">
        <v>20.004399999999997</v>
      </c>
      <c r="Q444" t="s">
        <v>8046</v>
      </c>
      <c r="R444" t="s">
        <v>8200</v>
      </c>
      <c r="S444" s="3" t="s">
        <v>8046</v>
      </c>
      <c r="T444" s="3">
        <v>0</v>
      </c>
    </row>
    <row r="445" spans="1:20" hidden="1" x14ac:dyDescent="0.25">
      <c r="A445" t="s">
        <v>8608</v>
      </c>
      <c r="B445" t="s">
        <v>8749</v>
      </c>
      <c r="C445" t="s">
        <v>1</v>
      </c>
      <c r="D445" t="s">
        <v>0</v>
      </c>
      <c r="E445">
        <v>4621</v>
      </c>
      <c r="F445" t="s">
        <v>7877</v>
      </c>
      <c r="G445" t="s">
        <v>7878</v>
      </c>
      <c r="H445" s="3">
        <v>0</v>
      </c>
      <c r="I445" s="3">
        <v>0</v>
      </c>
      <c r="J445" s="3">
        <v>0</v>
      </c>
      <c r="K445" s="3">
        <v>38.72</v>
      </c>
      <c r="L445" s="3">
        <v>0</v>
      </c>
      <c r="M445" s="3">
        <v>0</v>
      </c>
      <c r="N445" s="3">
        <v>0</v>
      </c>
      <c r="O445" s="3">
        <v>5.0335999999999999</v>
      </c>
      <c r="P445" s="3">
        <v>43.753599999999999</v>
      </c>
      <c r="Q445" t="s">
        <v>8046</v>
      </c>
      <c r="R445" t="s">
        <v>8200</v>
      </c>
      <c r="S445" s="3" t="s">
        <v>8046</v>
      </c>
      <c r="T445" s="3">
        <v>0</v>
      </c>
    </row>
    <row r="446" spans="1:20" hidden="1" x14ac:dyDescent="0.25">
      <c r="A446" t="s">
        <v>8608</v>
      </c>
      <c r="B446" t="s">
        <v>8749</v>
      </c>
      <c r="C446" t="s">
        <v>1</v>
      </c>
      <c r="D446" t="s">
        <v>0</v>
      </c>
      <c r="E446">
        <v>1456121</v>
      </c>
      <c r="F446" t="s">
        <v>1576</v>
      </c>
      <c r="G446" t="s">
        <v>1577</v>
      </c>
      <c r="H446" s="3">
        <v>0</v>
      </c>
      <c r="I446" s="3">
        <v>0</v>
      </c>
      <c r="J446" s="3">
        <v>0</v>
      </c>
      <c r="K446" s="3">
        <v>67.37</v>
      </c>
      <c r="L446" s="3">
        <v>0</v>
      </c>
      <c r="M446" s="3">
        <v>0</v>
      </c>
      <c r="N446" s="3">
        <v>0</v>
      </c>
      <c r="O446" s="3">
        <v>8.7581000000000007</v>
      </c>
      <c r="P446" s="3">
        <v>76.128100000000003</v>
      </c>
      <c r="Q446" t="s">
        <v>8046</v>
      </c>
      <c r="R446" t="s">
        <v>8200</v>
      </c>
      <c r="S446" s="3" t="s">
        <v>8046</v>
      </c>
      <c r="T446" s="3">
        <v>0</v>
      </c>
    </row>
    <row r="447" spans="1:20" hidden="1" x14ac:dyDescent="0.25">
      <c r="A447" t="s">
        <v>8608</v>
      </c>
      <c r="B447" t="s">
        <v>8749</v>
      </c>
      <c r="C447" t="s">
        <v>1</v>
      </c>
      <c r="D447" t="s">
        <v>0</v>
      </c>
      <c r="E447">
        <v>284</v>
      </c>
      <c r="F447" t="s">
        <v>119</v>
      </c>
      <c r="G447" t="s">
        <v>120</v>
      </c>
      <c r="H447" s="3">
        <v>0</v>
      </c>
      <c r="I447" s="3">
        <v>0</v>
      </c>
      <c r="J447" s="3">
        <v>0</v>
      </c>
      <c r="K447" s="3">
        <v>30.8</v>
      </c>
      <c r="L447" s="3">
        <v>0</v>
      </c>
      <c r="M447" s="3">
        <v>0</v>
      </c>
      <c r="N447" s="3">
        <v>0</v>
      </c>
      <c r="O447" s="3">
        <v>4.0040000000000004</v>
      </c>
      <c r="P447" s="3">
        <v>34.804000000000002</v>
      </c>
      <c r="Q447" t="s">
        <v>8046</v>
      </c>
      <c r="R447" t="s">
        <v>8200</v>
      </c>
      <c r="S447" s="3" t="s">
        <v>8046</v>
      </c>
      <c r="T447" s="3">
        <v>0</v>
      </c>
    </row>
    <row r="448" spans="1:20" hidden="1" x14ac:dyDescent="0.25">
      <c r="A448" t="s">
        <v>8608</v>
      </c>
      <c r="B448" t="s">
        <v>8749</v>
      </c>
      <c r="C448" t="s">
        <v>1</v>
      </c>
      <c r="D448" t="s">
        <v>0</v>
      </c>
      <c r="E448">
        <v>454518</v>
      </c>
      <c r="F448" t="s">
        <v>1552</v>
      </c>
      <c r="G448" t="s">
        <v>1553</v>
      </c>
      <c r="H448" s="3">
        <v>1.45</v>
      </c>
      <c r="I448" s="3">
        <v>0</v>
      </c>
      <c r="J448" s="3">
        <v>0</v>
      </c>
      <c r="K448" s="3">
        <v>25.27</v>
      </c>
      <c r="L448" s="3">
        <v>0</v>
      </c>
      <c r="M448" s="3">
        <v>0</v>
      </c>
      <c r="N448" s="3">
        <v>0</v>
      </c>
      <c r="O448" s="3">
        <v>3.2850999999999999</v>
      </c>
      <c r="P448" s="3">
        <v>30.005099999999999</v>
      </c>
      <c r="Q448" t="s">
        <v>8046</v>
      </c>
      <c r="R448" t="s">
        <v>8200</v>
      </c>
      <c r="S448" s="3" t="s">
        <v>8046</v>
      </c>
      <c r="T448" s="3">
        <v>0</v>
      </c>
    </row>
    <row r="449" spans="1:20" hidden="1" x14ac:dyDescent="0.25">
      <c r="A449" t="s">
        <v>8608</v>
      </c>
      <c r="B449" t="s">
        <v>8752</v>
      </c>
      <c r="C449" t="s">
        <v>1</v>
      </c>
      <c r="D449" t="s">
        <v>0</v>
      </c>
      <c r="E449">
        <v>521403</v>
      </c>
      <c r="F449" t="s">
        <v>2376</v>
      </c>
      <c r="G449" t="s">
        <v>2377</v>
      </c>
      <c r="H449" s="3">
        <v>0</v>
      </c>
      <c r="I449" s="3">
        <v>0</v>
      </c>
      <c r="J449" s="3">
        <v>0</v>
      </c>
      <c r="K449" s="3">
        <v>198.16</v>
      </c>
      <c r="L449" s="3">
        <v>0</v>
      </c>
      <c r="M449" s="3">
        <v>0</v>
      </c>
      <c r="N449" s="3">
        <v>0</v>
      </c>
      <c r="O449" s="3">
        <v>25.7608</v>
      </c>
      <c r="P449" s="3">
        <v>223.92079999999999</v>
      </c>
      <c r="Q449" t="s">
        <v>8046</v>
      </c>
      <c r="R449" t="s">
        <v>8200</v>
      </c>
      <c r="S449" s="3" t="s">
        <v>8046</v>
      </c>
      <c r="T449" s="3">
        <v>0</v>
      </c>
    </row>
    <row r="450" spans="1:20" hidden="1" x14ac:dyDescent="0.25">
      <c r="A450" t="s">
        <v>8608</v>
      </c>
      <c r="B450" t="s">
        <v>8751</v>
      </c>
      <c r="C450" t="s">
        <v>1</v>
      </c>
      <c r="D450" t="s">
        <v>0</v>
      </c>
      <c r="E450">
        <v>34900</v>
      </c>
      <c r="F450" t="s">
        <v>2998</v>
      </c>
      <c r="G450" t="s">
        <v>2999</v>
      </c>
      <c r="H450" s="3">
        <v>0</v>
      </c>
      <c r="I450" s="3">
        <v>0</v>
      </c>
      <c r="J450" s="3">
        <v>0</v>
      </c>
      <c r="K450" s="3">
        <v>116.66</v>
      </c>
      <c r="L450" s="3">
        <v>0</v>
      </c>
      <c r="M450" s="3">
        <v>0</v>
      </c>
      <c r="N450" s="3">
        <v>0</v>
      </c>
      <c r="O450" s="3">
        <v>15.165800000000001</v>
      </c>
      <c r="P450" s="3">
        <v>131.82579999999999</v>
      </c>
      <c r="Q450" t="s">
        <v>8046</v>
      </c>
      <c r="R450" t="s">
        <v>8200</v>
      </c>
      <c r="S450" s="3" t="s">
        <v>8345</v>
      </c>
      <c r="T450" s="3">
        <v>1.17</v>
      </c>
    </row>
    <row r="451" spans="1:20" hidden="1" x14ac:dyDescent="0.25">
      <c r="A451" t="s">
        <v>8608</v>
      </c>
      <c r="B451" t="s">
        <v>8751</v>
      </c>
      <c r="C451" t="s">
        <v>1</v>
      </c>
      <c r="D451" t="s">
        <v>0</v>
      </c>
      <c r="E451">
        <v>25356</v>
      </c>
      <c r="F451" t="s">
        <v>1522</v>
      </c>
      <c r="G451" t="s">
        <v>1523</v>
      </c>
      <c r="H451" s="3">
        <v>2.99</v>
      </c>
      <c r="I451" s="3">
        <v>0</v>
      </c>
      <c r="J451" s="3">
        <v>0</v>
      </c>
      <c r="K451" s="3">
        <v>53.99</v>
      </c>
      <c r="L451" s="3">
        <v>0</v>
      </c>
      <c r="M451" s="3">
        <v>0</v>
      </c>
      <c r="N451" s="3">
        <v>0</v>
      </c>
      <c r="O451" s="3">
        <v>7.0187000000000008</v>
      </c>
      <c r="P451" s="3">
        <v>63.998700000000007</v>
      </c>
      <c r="Q451" t="s">
        <v>8046</v>
      </c>
      <c r="R451" t="s">
        <v>8200</v>
      </c>
      <c r="S451" s="3" t="s">
        <v>8046</v>
      </c>
      <c r="T451" s="3">
        <v>0</v>
      </c>
    </row>
    <row r="452" spans="1:20" hidden="1" x14ac:dyDescent="0.25">
      <c r="A452" t="s">
        <v>8609</v>
      </c>
      <c r="B452" t="s">
        <v>8697</v>
      </c>
      <c r="C452" t="s">
        <v>1</v>
      </c>
      <c r="D452" t="s">
        <v>0</v>
      </c>
      <c r="E452">
        <v>9251</v>
      </c>
      <c r="F452" t="s">
        <v>1200</v>
      </c>
      <c r="G452" t="s">
        <v>1201</v>
      </c>
      <c r="H452" s="3">
        <v>0</v>
      </c>
      <c r="I452" s="3">
        <v>0</v>
      </c>
      <c r="J452" s="3">
        <v>0</v>
      </c>
      <c r="K452" s="3">
        <v>3000</v>
      </c>
      <c r="L452" s="3">
        <v>0</v>
      </c>
      <c r="M452" s="3">
        <v>0</v>
      </c>
      <c r="N452" s="3">
        <v>0</v>
      </c>
      <c r="O452" s="3">
        <v>390</v>
      </c>
      <c r="P452" s="3">
        <v>3390</v>
      </c>
      <c r="Q452" t="s">
        <v>8046</v>
      </c>
      <c r="R452" t="s">
        <v>8200</v>
      </c>
      <c r="S452" s="3" t="s">
        <v>8358</v>
      </c>
      <c r="T452" s="3">
        <v>30</v>
      </c>
    </row>
    <row r="453" spans="1:20" hidden="1" x14ac:dyDescent="0.25">
      <c r="A453" t="s">
        <v>8608</v>
      </c>
      <c r="B453" t="s">
        <v>8697</v>
      </c>
      <c r="C453" t="s">
        <v>1</v>
      </c>
      <c r="D453" t="s">
        <v>0</v>
      </c>
      <c r="E453">
        <v>42778</v>
      </c>
      <c r="F453" t="s">
        <v>1705</v>
      </c>
      <c r="G453" t="s">
        <v>1706</v>
      </c>
      <c r="H453" s="3">
        <v>0</v>
      </c>
      <c r="I453" s="3">
        <v>0</v>
      </c>
      <c r="J453" s="3">
        <v>0</v>
      </c>
      <c r="K453" s="3">
        <v>671.25</v>
      </c>
      <c r="L453" s="3">
        <v>0</v>
      </c>
      <c r="M453" s="3">
        <v>0</v>
      </c>
      <c r="N453" s="3">
        <v>0</v>
      </c>
      <c r="O453" s="3">
        <v>87.262500000000003</v>
      </c>
      <c r="P453" s="3">
        <v>758.51250000000005</v>
      </c>
      <c r="Q453" t="s">
        <v>8046</v>
      </c>
      <c r="R453" t="s">
        <v>8200</v>
      </c>
      <c r="S453" s="3" t="s">
        <v>8046</v>
      </c>
      <c r="T453" s="3">
        <v>0</v>
      </c>
    </row>
    <row r="454" spans="1:20" hidden="1" x14ac:dyDescent="0.25">
      <c r="A454" t="s">
        <v>8608</v>
      </c>
      <c r="B454" t="s">
        <v>8697</v>
      </c>
      <c r="C454" t="s">
        <v>1</v>
      </c>
      <c r="D454" t="s">
        <v>0</v>
      </c>
      <c r="E454">
        <v>1455751</v>
      </c>
      <c r="F454" t="s">
        <v>1576</v>
      </c>
      <c r="G454" t="s">
        <v>1577</v>
      </c>
      <c r="H454" s="3">
        <v>0</v>
      </c>
      <c r="I454" s="3">
        <v>0</v>
      </c>
      <c r="J454" s="3">
        <v>0</v>
      </c>
      <c r="K454" s="3">
        <v>682.08</v>
      </c>
      <c r="L454" s="3">
        <v>0</v>
      </c>
      <c r="M454" s="3">
        <v>0</v>
      </c>
      <c r="N454" s="3">
        <v>0</v>
      </c>
      <c r="O454" s="3">
        <v>88.670400000000015</v>
      </c>
      <c r="P454" s="3">
        <v>770.75040000000001</v>
      </c>
      <c r="Q454" t="s">
        <v>8046</v>
      </c>
      <c r="R454" t="s">
        <v>8200</v>
      </c>
      <c r="S454" s="3" t="s">
        <v>8345</v>
      </c>
      <c r="T454" s="3">
        <v>6.82</v>
      </c>
    </row>
    <row r="455" spans="1:20" hidden="1" x14ac:dyDescent="0.25">
      <c r="A455" t="s">
        <v>8608</v>
      </c>
      <c r="B455" t="s">
        <v>8697</v>
      </c>
      <c r="C455" t="s">
        <v>1</v>
      </c>
      <c r="D455" t="s">
        <v>0</v>
      </c>
      <c r="E455">
        <v>34776</v>
      </c>
      <c r="F455" t="s">
        <v>2998</v>
      </c>
      <c r="G455" t="s">
        <v>2999</v>
      </c>
      <c r="H455" s="3">
        <v>0</v>
      </c>
      <c r="I455" s="3">
        <v>0</v>
      </c>
      <c r="J455" s="3">
        <v>0</v>
      </c>
      <c r="K455" s="3">
        <v>356.25</v>
      </c>
      <c r="L455" s="3">
        <v>0</v>
      </c>
      <c r="M455" s="3">
        <v>0</v>
      </c>
      <c r="N455" s="3">
        <v>0</v>
      </c>
      <c r="O455" s="3">
        <v>46.3125</v>
      </c>
      <c r="P455" s="3">
        <v>402.5625</v>
      </c>
      <c r="Q455" t="s">
        <v>8046</v>
      </c>
      <c r="R455" t="s">
        <v>8200</v>
      </c>
      <c r="S455" s="3" t="s">
        <v>8345</v>
      </c>
      <c r="T455" s="3">
        <v>3.56</v>
      </c>
    </row>
    <row r="456" spans="1:20" hidden="1" x14ac:dyDescent="0.25">
      <c r="A456" t="s">
        <v>8608</v>
      </c>
      <c r="B456" t="s">
        <v>8697</v>
      </c>
      <c r="C456" t="s">
        <v>1</v>
      </c>
      <c r="D456" t="s">
        <v>0</v>
      </c>
      <c r="E456">
        <v>184</v>
      </c>
      <c r="F456" t="s">
        <v>278</v>
      </c>
      <c r="G456" t="s">
        <v>279</v>
      </c>
      <c r="H456" s="3">
        <v>0</v>
      </c>
      <c r="I456" s="3">
        <v>0</v>
      </c>
      <c r="J456" s="3">
        <v>0</v>
      </c>
      <c r="K456" s="3">
        <v>235.5</v>
      </c>
      <c r="L456" s="3">
        <v>0</v>
      </c>
      <c r="M456" s="3">
        <v>0</v>
      </c>
      <c r="N456" s="3">
        <v>0</v>
      </c>
      <c r="O456" s="3">
        <v>30.615000000000002</v>
      </c>
      <c r="P456" s="3">
        <v>266.11500000000001</v>
      </c>
      <c r="Q456" t="s">
        <v>8046</v>
      </c>
      <c r="R456" t="s">
        <v>8200</v>
      </c>
      <c r="S456" s="3" t="s">
        <v>8046</v>
      </c>
      <c r="T456" s="3">
        <v>0</v>
      </c>
    </row>
    <row r="457" spans="1:20" hidden="1" x14ac:dyDescent="0.25">
      <c r="A457" t="s">
        <v>8608</v>
      </c>
      <c r="B457" t="s">
        <v>8697</v>
      </c>
      <c r="C457" t="s">
        <v>1</v>
      </c>
      <c r="D457" t="s">
        <v>0</v>
      </c>
      <c r="E457">
        <v>71</v>
      </c>
      <c r="F457" t="s">
        <v>8598</v>
      </c>
      <c r="G457" t="s">
        <v>8599</v>
      </c>
      <c r="H457" s="3">
        <v>0</v>
      </c>
      <c r="I457" s="3">
        <v>0</v>
      </c>
      <c r="J457" s="3">
        <v>0</v>
      </c>
      <c r="K457" s="3">
        <v>23.5</v>
      </c>
      <c r="L457" s="3">
        <v>0</v>
      </c>
      <c r="M457" s="3">
        <v>0</v>
      </c>
      <c r="N457" s="3">
        <v>0</v>
      </c>
      <c r="O457" s="3">
        <v>3.0550000000000002</v>
      </c>
      <c r="P457" s="3">
        <v>26.555</v>
      </c>
      <c r="Q457" t="s">
        <v>8046</v>
      </c>
      <c r="R457" t="s">
        <v>8200</v>
      </c>
      <c r="S457" s="3" t="s">
        <v>8046</v>
      </c>
      <c r="T457" s="3">
        <v>0</v>
      </c>
    </row>
    <row r="458" spans="1:20" hidden="1" x14ac:dyDescent="0.25">
      <c r="A458" t="s">
        <v>8608</v>
      </c>
      <c r="B458" t="s">
        <v>8697</v>
      </c>
      <c r="C458" t="s">
        <v>1</v>
      </c>
      <c r="D458" t="s">
        <v>0</v>
      </c>
      <c r="E458">
        <v>46004870</v>
      </c>
      <c r="F458" t="s">
        <v>3587</v>
      </c>
      <c r="G458" t="s">
        <v>3588</v>
      </c>
      <c r="H458" s="3">
        <v>0</v>
      </c>
      <c r="I458" s="3">
        <v>0</v>
      </c>
      <c r="J458" s="3">
        <v>0</v>
      </c>
      <c r="K458" s="3">
        <v>131.27000000000001</v>
      </c>
      <c r="L458" s="3">
        <v>0</v>
      </c>
      <c r="M458" s="3">
        <v>0</v>
      </c>
      <c r="N458" s="3">
        <v>0</v>
      </c>
      <c r="O458" s="3">
        <v>17.065100000000001</v>
      </c>
      <c r="P458" s="3">
        <v>148.33510000000001</v>
      </c>
      <c r="Q458" t="s">
        <v>8046</v>
      </c>
      <c r="R458" t="s">
        <v>8200</v>
      </c>
      <c r="S458" s="3" t="s">
        <v>8046</v>
      </c>
      <c r="T458" s="3">
        <v>0</v>
      </c>
    </row>
    <row r="459" spans="1:20" hidden="1" x14ac:dyDescent="0.25">
      <c r="A459" t="s">
        <v>8608</v>
      </c>
      <c r="B459" t="s">
        <v>8697</v>
      </c>
      <c r="C459" t="s">
        <v>1</v>
      </c>
      <c r="D459" t="s">
        <v>0</v>
      </c>
      <c r="E459">
        <v>1690860</v>
      </c>
      <c r="F459" t="s">
        <v>1501</v>
      </c>
      <c r="G459" t="s">
        <v>1502</v>
      </c>
      <c r="H459" s="3">
        <v>1.17</v>
      </c>
      <c r="I459" s="3">
        <v>0</v>
      </c>
      <c r="J459" s="3">
        <v>0</v>
      </c>
      <c r="K459" s="3">
        <v>21.09</v>
      </c>
      <c r="L459" s="3">
        <v>0</v>
      </c>
      <c r="M459" s="3">
        <v>0</v>
      </c>
      <c r="N459" s="3">
        <v>0</v>
      </c>
      <c r="O459" s="3">
        <v>2.7417000000000002</v>
      </c>
      <c r="P459" s="3">
        <v>25.0017</v>
      </c>
      <c r="Q459" t="s">
        <v>8046</v>
      </c>
      <c r="R459" t="s">
        <v>8200</v>
      </c>
      <c r="S459" s="3" t="s">
        <v>8046</v>
      </c>
      <c r="T459" s="3">
        <v>0</v>
      </c>
    </row>
    <row r="460" spans="1:20" hidden="1" x14ac:dyDescent="0.25">
      <c r="A460" t="s">
        <v>8608</v>
      </c>
      <c r="B460" t="s">
        <v>8697</v>
      </c>
      <c r="C460" t="s">
        <v>1</v>
      </c>
      <c r="D460" t="s">
        <v>0</v>
      </c>
      <c r="E460">
        <v>11550</v>
      </c>
      <c r="F460" t="s">
        <v>1732</v>
      </c>
      <c r="G460" t="s">
        <v>1733</v>
      </c>
      <c r="H460" s="3">
        <v>0.93</v>
      </c>
      <c r="I460" s="3">
        <v>0</v>
      </c>
      <c r="J460" s="3">
        <v>0</v>
      </c>
      <c r="K460" s="3">
        <v>16.87</v>
      </c>
      <c r="L460" s="3">
        <v>0</v>
      </c>
      <c r="M460" s="3">
        <v>0</v>
      </c>
      <c r="N460" s="3">
        <v>0</v>
      </c>
      <c r="O460" s="3">
        <v>2.1931000000000003</v>
      </c>
      <c r="P460" s="3">
        <v>19.993100000000002</v>
      </c>
      <c r="Q460" t="s">
        <v>8046</v>
      </c>
      <c r="R460" t="s">
        <v>8200</v>
      </c>
      <c r="S460" s="3" t="s">
        <v>8046</v>
      </c>
      <c r="T460" s="3">
        <v>0</v>
      </c>
    </row>
    <row r="461" spans="1:20" hidden="1" x14ac:dyDescent="0.25">
      <c r="A461" t="s">
        <v>8608</v>
      </c>
      <c r="B461" t="s">
        <v>8698</v>
      </c>
      <c r="C461" t="s">
        <v>1</v>
      </c>
      <c r="D461" t="s">
        <v>0</v>
      </c>
      <c r="E461">
        <v>2640</v>
      </c>
      <c r="F461" t="s">
        <v>762</v>
      </c>
      <c r="G461" t="s">
        <v>763</v>
      </c>
      <c r="H461" s="3">
        <v>0</v>
      </c>
      <c r="I461" s="3">
        <v>0</v>
      </c>
      <c r="J461" s="3">
        <v>0</v>
      </c>
      <c r="K461" s="3">
        <v>241.05</v>
      </c>
      <c r="L461" s="3">
        <v>0</v>
      </c>
      <c r="M461" s="3">
        <v>0</v>
      </c>
      <c r="N461" s="3">
        <v>0</v>
      </c>
      <c r="O461" s="3">
        <v>31.336500000000001</v>
      </c>
      <c r="P461" s="3">
        <v>272.38650000000001</v>
      </c>
      <c r="Q461" t="s">
        <v>8046</v>
      </c>
      <c r="R461" t="s">
        <v>8200</v>
      </c>
      <c r="S461" s="3" t="s">
        <v>8046</v>
      </c>
      <c r="T461" s="3">
        <v>0</v>
      </c>
    </row>
    <row r="462" spans="1:20" hidden="1" x14ac:dyDescent="0.25">
      <c r="A462" t="s">
        <v>8608</v>
      </c>
      <c r="B462" t="s">
        <v>8698</v>
      </c>
      <c r="C462" t="s">
        <v>1</v>
      </c>
      <c r="D462" t="s">
        <v>0</v>
      </c>
      <c r="E462">
        <v>39816</v>
      </c>
      <c r="F462" t="s">
        <v>3120</v>
      </c>
      <c r="G462" t="s">
        <v>3121</v>
      </c>
      <c r="H462" s="3">
        <v>0</v>
      </c>
      <c r="I462" s="3">
        <v>0</v>
      </c>
      <c r="J462" s="3">
        <v>0</v>
      </c>
      <c r="K462" s="3">
        <v>239.4</v>
      </c>
      <c r="L462" s="3">
        <v>0</v>
      </c>
      <c r="M462" s="3">
        <v>0</v>
      </c>
      <c r="N462" s="3">
        <v>0</v>
      </c>
      <c r="O462" s="3">
        <v>31.122000000000003</v>
      </c>
      <c r="P462" s="3">
        <v>270.52199999999999</v>
      </c>
      <c r="Q462" t="s">
        <v>8046</v>
      </c>
      <c r="R462" t="s">
        <v>8200</v>
      </c>
      <c r="S462" s="3" t="s">
        <v>8341</v>
      </c>
      <c r="T462" s="3">
        <v>2.39</v>
      </c>
    </row>
    <row r="463" spans="1:20" hidden="1" x14ac:dyDescent="0.25">
      <c r="A463" t="s">
        <v>8608</v>
      </c>
      <c r="B463" t="s">
        <v>8698</v>
      </c>
      <c r="C463" t="s">
        <v>1</v>
      </c>
      <c r="D463" t="s">
        <v>0</v>
      </c>
      <c r="E463">
        <v>28224</v>
      </c>
      <c r="F463" t="s">
        <v>3019</v>
      </c>
      <c r="G463" t="s">
        <v>3020</v>
      </c>
      <c r="H463" s="3">
        <v>0</v>
      </c>
      <c r="I463" s="3">
        <v>0</v>
      </c>
      <c r="J463" s="3">
        <v>0</v>
      </c>
      <c r="K463" s="3">
        <v>181.87</v>
      </c>
      <c r="L463" s="3">
        <v>0</v>
      </c>
      <c r="M463" s="3">
        <v>0</v>
      </c>
      <c r="N463" s="3">
        <v>0</v>
      </c>
      <c r="O463" s="3">
        <v>23.6431</v>
      </c>
      <c r="P463" s="3">
        <v>205.51310000000001</v>
      </c>
      <c r="Q463" t="s">
        <v>8046</v>
      </c>
      <c r="R463" t="s">
        <v>8200</v>
      </c>
      <c r="S463" s="3" t="s">
        <v>8341</v>
      </c>
      <c r="T463" s="3">
        <v>1.82</v>
      </c>
    </row>
    <row r="464" spans="1:20" hidden="1" x14ac:dyDescent="0.25">
      <c r="A464" t="s">
        <v>8608</v>
      </c>
      <c r="B464" t="s">
        <v>8698</v>
      </c>
      <c r="C464" t="s">
        <v>1</v>
      </c>
      <c r="D464" t="s">
        <v>0</v>
      </c>
      <c r="E464">
        <v>382780</v>
      </c>
      <c r="F464" t="s">
        <v>3251</v>
      </c>
      <c r="G464" t="s">
        <v>3252</v>
      </c>
      <c r="H464" s="3">
        <v>0</v>
      </c>
      <c r="I464" s="3">
        <v>0</v>
      </c>
      <c r="J464" s="3">
        <v>0</v>
      </c>
      <c r="K464" s="3">
        <v>127.03</v>
      </c>
      <c r="L464" s="3">
        <v>0</v>
      </c>
      <c r="M464" s="3">
        <v>0</v>
      </c>
      <c r="N464" s="3">
        <v>0</v>
      </c>
      <c r="O464" s="3">
        <v>16.5139</v>
      </c>
      <c r="P464" s="3">
        <v>143.54390000000001</v>
      </c>
      <c r="Q464" t="s">
        <v>8046</v>
      </c>
      <c r="R464" t="s">
        <v>8200</v>
      </c>
      <c r="S464" s="3" t="s">
        <v>8046</v>
      </c>
      <c r="T464" s="3">
        <v>0</v>
      </c>
    </row>
    <row r="465" spans="1:20" hidden="1" x14ac:dyDescent="0.25">
      <c r="A465" t="s">
        <v>8608</v>
      </c>
      <c r="B465" t="s">
        <v>8698</v>
      </c>
      <c r="C465" t="s">
        <v>1</v>
      </c>
      <c r="D465" t="s">
        <v>0</v>
      </c>
      <c r="E465">
        <v>3615</v>
      </c>
      <c r="G465" t="s">
        <v>1489</v>
      </c>
      <c r="H465" s="3">
        <v>0.93</v>
      </c>
      <c r="I465" s="3">
        <v>0</v>
      </c>
      <c r="J465" s="3">
        <v>0</v>
      </c>
      <c r="K465" s="3">
        <v>16.88</v>
      </c>
      <c r="L465" s="3">
        <v>0</v>
      </c>
      <c r="M465" s="3">
        <v>0</v>
      </c>
      <c r="N465" s="3">
        <v>0</v>
      </c>
      <c r="O465" s="3">
        <v>2.1943999999999999</v>
      </c>
      <c r="P465" s="3">
        <v>20.004399999999997</v>
      </c>
      <c r="Q465" t="s">
        <v>8673</v>
      </c>
      <c r="R465" t="s">
        <v>8200</v>
      </c>
      <c r="S465" s="3" t="s">
        <v>8046</v>
      </c>
      <c r="T465" s="3">
        <v>0</v>
      </c>
    </row>
    <row r="466" spans="1:20" hidden="1" x14ac:dyDescent="0.25">
      <c r="A466" t="s">
        <v>8608</v>
      </c>
      <c r="B466" t="s">
        <v>8698</v>
      </c>
      <c r="C466" t="s">
        <v>1</v>
      </c>
      <c r="D466" t="s">
        <v>0</v>
      </c>
      <c r="E466">
        <v>33018</v>
      </c>
      <c r="F466" t="s">
        <v>8675</v>
      </c>
      <c r="G466" t="s">
        <v>1628</v>
      </c>
      <c r="H466" s="3">
        <v>0.98</v>
      </c>
      <c r="I466" s="3">
        <v>0</v>
      </c>
      <c r="J466" s="3">
        <v>0</v>
      </c>
      <c r="K466" s="3">
        <v>16.829999999999998</v>
      </c>
      <c r="L466" s="3">
        <v>0</v>
      </c>
      <c r="M466" s="3">
        <v>0</v>
      </c>
      <c r="N466" s="3">
        <v>0</v>
      </c>
      <c r="O466" s="3">
        <v>2.1879</v>
      </c>
      <c r="P466" s="3">
        <v>19.997899999999998</v>
      </c>
      <c r="Q466" t="s">
        <v>8046</v>
      </c>
      <c r="R466" t="s">
        <v>8200</v>
      </c>
      <c r="S466" s="3" t="s">
        <v>8046</v>
      </c>
      <c r="T466" s="3">
        <v>0</v>
      </c>
    </row>
    <row r="467" spans="1:20" hidden="1" x14ac:dyDescent="0.25">
      <c r="A467" t="s">
        <v>8608</v>
      </c>
      <c r="B467" t="s">
        <v>8699</v>
      </c>
      <c r="C467" t="s">
        <v>1</v>
      </c>
      <c r="D467" t="s">
        <v>0</v>
      </c>
      <c r="E467">
        <v>313483</v>
      </c>
      <c r="F467" t="s">
        <v>2701</v>
      </c>
      <c r="G467" t="s">
        <v>2702</v>
      </c>
      <c r="H467" s="3">
        <v>0</v>
      </c>
      <c r="I467" s="3">
        <v>0</v>
      </c>
      <c r="J467" s="3">
        <v>0</v>
      </c>
      <c r="K467" s="3">
        <v>230.58</v>
      </c>
      <c r="L467" s="3">
        <v>0</v>
      </c>
      <c r="M467" s="3">
        <v>0</v>
      </c>
      <c r="N467" s="3">
        <v>0</v>
      </c>
      <c r="O467" s="3">
        <v>29.975400000000004</v>
      </c>
      <c r="P467" s="3">
        <v>260.55540000000002</v>
      </c>
      <c r="Q467" t="s">
        <v>8046</v>
      </c>
      <c r="R467" t="s">
        <v>8200</v>
      </c>
      <c r="S467" s="3" t="s">
        <v>8750</v>
      </c>
      <c r="T467" s="3">
        <v>2.31</v>
      </c>
    </row>
    <row r="468" spans="1:20" hidden="1" x14ac:dyDescent="0.25">
      <c r="A468" t="s">
        <v>8608</v>
      </c>
      <c r="B468" t="s">
        <v>8699</v>
      </c>
      <c r="C468" t="s">
        <v>1</v>
      </c>
      <c r="D468" t="s">
        <v>0</v>
      </c>
      <c r="E468">
        <v>1454319</v>
      </c>
      <c r="F468" t="s">
        <v>1576</v>
      </c>
      <c r="G468" t="s">
        <v>1577</v>
      </c>
      <c r="H468" s="3">
        <v>0</v>
      </c>
      <c r="I468" s="3">
        <v>0</v>
      </c>
      <c r="J468" s="3">
        <v>0</v>
      </c>
      <c r="K468" s="3">
        <v>363.75</v>
      </c>
      <c r="L468" s="3">
        <v>0</v>
      </c>
      <c r="M468" s="3">
        <v>0</v>
      </c>
      <c r="N468" s="3">
        <v>0</v>
      </c>
      <c r="O468" s="3">
        <v>47.287500000000001</v>
      </c>
      <c r="P468" s="3">
        <v>411.03750000000002</v>
      </c>
      <c r="Q468" t="s">
        <v>8046</v>
      </c>
      <c r="R468" t="s">
        <v>8200</v>
      </c>
      <c r="S468" s="3" t="s">
        <v>8345</v>
      </c>
      <c r="T468" s="3">
        <v>3.64</v>
      </c>
    </row>
    <row r="469" spans="1:20" hidden="1" x14ac:dyDescent="0.25">
      <c r="A469" t="s">
        <v>8608</v>
      </c>
      <c r="B469" t="s">
        <v>8699</v>
      </c>
      <c r="C469" t="s">
        <v>1</v>
      </c>
      <c r="D469" t="s">
        <v>0</v>
      </c>
      <c r="E469">
        <v>1454559</v>
      </c>
      <c r="F469" t="s">
        <v>1576</v>
      </c>
      <c r="G469" t="s">
        <v>1577</v>
      </c>
      <c r="H469" s="3">
        <v>0</v>
      </c>
      <c r="I469" s="3">
        <v>0</v>
      </c>
      <c r="J469" s="3">
        <v>0</v>
      </c>
      <c r="K469" s="3">
        <v>43.08</v>
      </c>
      <c r="L469" s="3">
        <v>0</v>
      </c>
      <c r="M469" s="3">
        <v>0</v>
      </c>
      <c r="N469" s="3">
        <v>0</v>
      </c>
      <c r="O469" s="3">
        <v>5.6003999999999996</v>
      </c>
      <c r="P469" s="3">
        <v>48.680399999999999</v>
      </c>
      <c r="Q469" t="s">
        <v>8046</v>
      </c>
      <c r="R469" t="s">
        <v>8200</v>
      </c>
      <c r="S469" s="3" t="s">
        <v>8046</v>
      </c>
      <c r="T469" s="3">
        <v>0</v>
      </c>
    </row>
    <row r="470" spans="1:20" hidden="1" x14ac:dyDescent="0.25">
      <c r="A470" t="s">
        <v>8608</v>
      </c>
      <c r="B470" t="s">
        <v>8699</v>
      </c>
      <c r="C470" t="s">
        <v>1</v>
      </c>
      <c r="D470" t="s">
        <v>0</v>
      </c>
      <c r="E470">
        <v>7738</v>
      </c>
      <c r="F470" t="s">
        <v>1663</v>
      </c>
      <c r="G470" t="s">
        <v>1664</v>
      </c>
      <c r="H470" s="3">
        <v>1.45</v>
      </c>
      <c r="I470" s="3">
        <v>0</v>
      </c>
      <c r="J470" s="3">
        <v>0</v>
      </c>
      <c r="K470" s="3">
        <v>25.27</v>
      </c>
      <c r="L470" s="3">
        <v>0</v>
      </c>
      <c r="M470" s="3">
        <v>0</v>
      </c>
      <c r="N470" s="3">
        <v>0</v>
      </c>
      <c r="O470" s="3">
        <v>3.2850999999999999</v>
      </c>
      <c r="P470" s="3">
        <v>30.005099999999999</v>
      </c>
      <c r="Q470" t="s">
        <v>8046</v>
      </c>
      <c r="R470" t="s">
        <v>8200</v>
      </c>
      <c r="S470" s="3" t="s">
        <v>8046</v>
      </c>
      <c r="T470" s="3">
        <v>0</v>
      </c>
    </row>
    <row r="471" spans="1:20" hidden="1" x14ac:dyDescent="0.25">
      <c r="A471" t="s">
        <v>8608</v>
      </c>
      <c r="B471" t="s">
        <v>8699</v>
      </c>
      <c r="C471" t="s">
        <v>1</v>
      </c>
      <c r="D471" t="s">
        <v>0</v>
      </c>
      <c r="E471">
        <v>2225264</v>
      </c>
      <c r="F471" t="s">
        <v>1494</v>
      </c>
      <c r="G471" t="s">
        <v>1495</v>
      </c>
      <c r="H471" s="3">
        <v>0</v>
      </c>
      <c r="I471" s="3">
        <v>0</v>
      </c>
      <c r="J471" s="3">
        <v>0</v>
      </c>
      <c r="K471" s="3">
        <v>256.45999999999998</v>
      </c>
      <c r="L471" s="3">
        <v>0</v>
      </c>
      <c r="M471" s="3">
        <v>0</v>
      </c>
      <c r="N471" s="3">
        <v>0</v>
      </c>
      <c r="O471" s="3">
        <v>33.339799999999997</v>
      </c>
      <c r="P471" s="3">
        <v>289.7998</v>
      </c>
      <c r="Q471" t="s">
        <v>8046</v>
      </c>
      <c r="R471" t="s">
        <v>8200</v>
      </c>
      <c r="S471" s="3" t="s">
        <v>8046</v>
      </c>
      <c r="T471" s="3">
        <v>0</v>
      </c>
    </row>
    <row r="472" spans="1:20" hidden="1" x14ac:dyDescent="0.25">
      <c r="A472" t="s">
        <v>8608</v>
      </c>
      <c r="B472" t="s">
        <v>8700</v>
      </c>
      <c r="C472" t="s">
        <v>1</v>
      </c>
      <c r="D472" t="s">
        <v>0</v>
      </c>
      <c r="E472">
        <v>205819</v>
      </c>
      <c r="F472" t="s">
        <v>1646</v>
      </c>
      <c r="G472" t="s">
        <v>1647</v>
      </c>
      <c r="H472" s="3">
        <v>0</v>
      </c>
      <c r="I472" s="3">
        <v>0</v>
      </c>
      <c r="J472" s="3">
        <v>0</v>
      </c>
      <c r="K472" s="3">
        <v>340</v>
      </c>
      <c r="L472" s="3">
        <v>0</v>
      </c>
      <c r="M472" s="3">
        <v>0</v>
      </c>
      <c r="N472" s="3">
        <v>0</v>
      </c>
      <c r="O472" s="3">
        <v>44.2</v>
      </c>
      <c r="P472" s="3">
        <v>384.2</v>
      </c>
      <c r="Q472" t="s">
        <v>8046</v>
      </c>
      <c r="R472" t="s">
        <v>8200</v>
      </c>
      <c r="S472" s="3" t="s">
        <v>8360</v>
      </c>
      <c r="T472" s="3">
        <v>3.4</v>
      </c>
    </row>
    <row r="473" spans="1:20" hidden="1" x14ac:dyDescent="0.25">
      <c r="A473" t="s">
        <v>8608</v>
      </c>
      <c r="B473" t="s">
        <v>8700</v>
      </c>
      <c r="C473" t="s">
        <v>1</v>
      </c>
      <c r="D473" t="s">
        <v>0</v>
      </c>
      <c r="E473">
        <v>9203</v>
      </c>
      <c r="F473" t="s">
        <v>1200</v>
      </c>
      <c r="G473" t="s">
        <v>1201</v>
      </c>
      <c r="H473" s="3">
        <v>0</v>
      </c>
      <c r="I473" s="3">
        <v>0</v>
      </c>
      <c r="J473" s="3">
        <v>0</v>
      </c>
      <c r="K473" s="3">
        <v>8941</v>
      </c>
      <c r="L473" s="3">
        <v>0</v>
      </c>
      <c r="M473" s="3">
        <v>0</v>
      </c>
      <c r="N473" s="3">
        <v>0</v>
      </c>
      <c r="O473" s="3">
        <v>1162.33</v>
      </c>
      <c r="P473" s="3">
        <v>10103.33</v>
      </c>
      <c r="Q473" t="s">
        <v>8046</v>
      </c>
      <c r="R473" t="s">
        <v>8200</v>
      </c>
      <c r="S473" s="3" t="s">
        <v>8358</v>
      </c>
      <c r="T473" s="3">
        <v>89.41</v>
      </c>
    </row>
    <row r="474" spans="1:20" hidden="1" x14ac:dyDescent="0.25">
      <c r="A474" t="s">
        <v>8608</v>
      </c>
      <c r="B474" t="s">
        <v>8700</v>
      </c>
      <c r="C474" t="s">
        <v>1</v>
      </c>
      <c r="D474" t="s">
        <v>0</v>
      </c>
      <c r="E474">
        <v>412</v>
      </c>
      <c r="F474" t="s">
        <v>131</v>
      </c>
      <c r="G474" t="s">
        <v>132</v>
      </c>
      <c r="H474" s="3">
        <v>0</v>
      </c>
      <c r="I474" s="3">
        <v>0</v>
      </c>
      <c r="J474" s="3">
        <v>0</v>
      </c>
      <c r="K474" s="3">
        <v>743.54</v>
      </c>
      <c r="L474" s="3">
        <v>0</v>
      </c>
      <c r="M474" s="3">
        <v>0</v>
      </c>
      <c r="N474" s="3">
        <v>0</v>
      </c>
      <c r="O474" s="3">
        <v>96.660200000000003</v>
      </c>
      <c r="P474" s="3">
        <v>840.2002</v>
      </c>
      <c r="Q474" t="s">
        <v>8046</v>
      </c>
      <c r="R474" t="s">
        <v>8200</v>
      </c>
      <c r="S474" s="3" t="s">
        <v>8046</v>
      </c>
      <c r="T474" s="3">
        <v>0</v>
      </c>
    </row>
    <row r="475" spans="1:20" hidden="1" x14ac:dyDescent="0.25">
      <c r="A475" t="s">
        <v>8608</v>
      </c>
      <c r="B475" t="s">
        <v>8700</v>
      </c>
      <c r="C475" t="s">
        <v>1</v>
      </c>
      <c r="D475" t="s">
        <v>0</v>
      </c>
      <c r="E475">
        <v>3802</v>
      </c>
      <c r="F475" t="s">
        <v>8350</v>
      </c>
      <c r="G475" t="s">
        <v>8351</v>
      </c>
      <c r="H475" s="3">
        <v>0</v>
      </c>
      <c r="I475" s="3">
        <v>0</v>
      </c>
      <c r="J475" s="3">
        <v>0</v>
      </c>
      <c r="K475" s="3">
        <v>435.5</v>
      </c>
      <c r="L475" s="3">
        <v>0</v>
      </c>
      <c r="M475" s="3">
        <v>0</v>
      </c>
      <c r="N475" s="3">
        <v>0</v>
      </c>
      <c r="O475" s="3">
        <v>56.615000000000002</v>
      </c>
      <c r="P475" s="3">
        <v>492.11500000000001</v>
      </c>
      <c r="Q475" t="s">
        <v>8046</v>
      </c>
      <c r="R475" t="s">
        <v>8200</v>
      </c>
      <c r="S475" s="3" t="s">
        <v>8046</v>
      </c>
      <c r="T475" s="3">
        <v>0</v>
      </c>
    </row>
    <row r="476" spans="1:20" hidden="1" x14ac:dyDescent="0.25">
      <c r="A476" t="s">
        <v>8608</v>
      </c>
      <c r="B476" t="s">
        <v>8700</v>
      </c>
      <c r="C476" t="s">
        <v>1</v>
      </c>
      <c r="D476" t="s">
        <v>0</v>
      </c>
      <c r="E476">
        <v>519581</v>
      </c>
      <c r="F476" t="s">
        <v>2376</v>
      </c>
      <c r="G476" t="s">
        <v>2377</v>
      </c>
      <c r="H476" s="3">
        <v>0</v>
      </c>
      <c r="I476" s="3">
        <v>0</v>
      </c>
      <c r="J476" s="3">
        <v>0</v>
      </c>
      <c r="K476" s="3">
        <v>7.66</v>
      </c>
      <c r="L476" s="3">
        <v>0</v>
      </c>
      <c r="M476" s="3">
        <v>0</v>
      </c>
      <c r="N476" s="3">
        <v>0</v>
      </c>
      <c r="O476" s="3">
        <v>0.99580000000000002</v>
      </c>
      <c r="P476" s="3">
        <v>8.6557999999999993</v>
      </c>
      <c r="Q476" t="s">
        <v>8046</v>
      </c>
      <c r="R476" t="s">
        <v>8200</v>
      </c>
      <c r="S476" s="3" t="s">
        <v>8046</v>
      </c>
      <c r="T476" s="3">
        <v>0</v>
      </c>
    </row>
    <row r="477" spans="1:20" hidden="1" x14ac:dyDescent="0.25">
      <c r="A477" t="s">
        <v>8608</v>
      </c>
      <c r="B477" t="s">
        <v>8700</v>
      </c>
      <c r="C477" t="s">
        <v>1</v>
      </c>
      <c r="D477" t="s">
        <v>0</v>
      </c>
      <c r="E477">
        <v>219</v>
      </c>
      <c r="F477" t="s">
        <v>1457</v>
      </c>
      <c r="G477" t="s">
        <v>8600</v>
      </c>
      <c r="H477" s="3">
        <v>0</v>
      </c>
      <c r="I477" s="3">
        <v>0</v>
      </c>
      <c r="J477" s="3">
        <v>0</v>
      </c>
      <c r="K477" s="3">
        <v>26.1</v>
      </c>
      <c r="L477" s="3">
        <v>0</v>
      </c>
      <c r="M477" s="3">
        <v>0</v>
      </c>
      <c r="N477" s="3">
        <v>0</v>
      </c>
      <c r="O477" s="3">
        <v>3.3930000000000002</v>
      </c>
      <c r="P477" s="3">
        <v>29.493000000000002</v>
      </c>
      <c r="Q477" t="s">
        <v>8046</v>
      </c>
      <c r="R477" t="s">
        <v>8200</v>
      </c>
      <c r="S477" s="3" t="s">
        <v>8046</v>
      </c>
      <c r="T477" s="3">
        <v>0</v>
      </c>
    </row>
    <row r="478" spans="1:20" hidden="1" x14ac:dyDescent="0.25">
      <c r="A478" t="s">
        <v>8608</v>
      </c>
      <c r="B478" t="s">
        <v>8701</v>
      </c>
      <c r="C478" t="s">
        <v>1</v>
      </c>
      <c r="D478" t="s">
        <v>0</v>
      </c>
      <c r="E478">
        <v>1783</v>
      </c>
      <c r="F478" t="s">
        <v>1597</v>
      </c>
      <c r="G478" t="s">
        <v>1598</v>
      </c>
      <c r="H478" s="3">
        <v>0</v>
      </c>
      <c r="I478" s="3">
        <v>0</v>
      </c>
      <c r="J478" s="3">
        <v>0</v>
      </c>
      <c r="K478" s="3">
        <v>280</v>
      </c>
      <c r="L478" s="3">
        <v>0</v>
      </c>
      <c r="M478" s="3">
        <v>0</v>
      </c>
      <c r="N478" s="3">
        <v>0</v>
      </c>
      <c r="O478" s="3">
        <v>36.4</v>
      </c>
      <c r="P478" s="3">
        <v>316.39999999999998</v>
      </c>
      <c r="Q478" t="s">
        <v>8046</v>
      </c>
      <c r="R478" t="s">
        <v>8200</v>
      </c>
      <c r="S478" s="3" t="s">
        <v>8046</v>
      </c>
      <c r="T478" s="3">
        <v>0</v>
      </c>
    </row>
    <row r="479" spans="1:20" hidden="1" x14ac:dyDescent="0.25">
      <c r="A479" t="s">
        <v>8608</v>
      </c>
      <c r="B479" t="s">
        <v>8701</v>
      </c>
      <c r="C479" t="s">
        <v>1</v>
      </c>
      <c r="D479" s="33" t="s">
        <v>8333</v>
      </c>
      <c r="E479">
        <v>4423</v>
      </c>
      <c r="F479" t="s">
        <v>3019</v>
      </c>
      <c r="G479" t="s">
        <v>3020</v>
      </c>
      <c r="H479" s="3">
        <v>0</v>
      </c>
      <c r="I479" s="3">
        <v>0</v>
      </c>
      <c r="J479" s="3">
        <v>0</v>
      </c>
      <c r="K479" s="3">
        <v>183.49</v>
      </c>
      <c r="L479" s="3">
        <v>0</v>
      </c>
      <c r="M479" s="3">
        <v>0</v>
      </c>
      <c r="N479" s="3">
        <v>0</v>
      </c>
      <c r="O479" s="3">
        <v>23.853700000000003</v>
      </c>
      <c r="P479" s="3">
        <v>207.34370000000001</v>
      </c>
      <c r="Q479" t="s">
        <v>8046</v>
      </c>
      <c r="R479" t="s">
        <v>8200</v>
      </c>
      <c r="S479" s="3" t="s">
        <v>8046</v>
      </c>
      <c r="T479" s="3">
        <v>0</v>
      </c>
    </row>
    <row r="480" spans="1:20" hidden="1" x14ac:dyDescent="0.25">
      <c r="A480" t="s">
        <v>8608</v>
      </c>
      <c r="B480" t="s">
        <v>8701</v>
      </c>
      <c r="C480" t="s">
        <v>1</v>
      </c>
      <c r="D480" t="s">
        <v>0</v>
      </c>
      <c r="E480">
        <v>1453577</v>
      </c>
      <c r="F480" t="s">
        <v>1576</v>
      </c>
      <c r="G480" t="s">
        <v>1577</v>
      </c>
      <c r="H480" s="3">
        <v>0</v>
      </c>
      <c r="I480" s="3">
        <v>0</v>
      </c>
      <c r="J480" s="3">
        <v>0</v>
      </c>
      <c r="K480" s="3">
        <v>1579.61</v>
      </c>
      <c r="L480" s="3">
        <v>0</v>
      </c>
      <c r="M480" s="3">
        <v>0</v>
      </c>
      <c r="N480" s="3">
        <v>0</v>
      </c>
      <c r="O480" s="3">
        <v>205.3493</v>
      </c>
      <c r="P480" s="3">
        <v>1784.9593</v>
      </c>
      <c r="Q480" t="s">
        <v>8046</v>
      </c>
      <c r="R480" t="s">
        <v>8200</v>
      </c>
      <c r="S480" s="3" t="s">
        <v>8345</v>
      </c>
      <c r="T480" s="3">
        <v>15.8</v>
      </c>
    </row>
    <row r="481" spans="1:20" hidden="1" x14ac:dyDescent="0.25">
      <c r="A481" t="s">
        <v>8608</v>
      </c>
      <c r="B481" t="s">
        <v>8701</v>
      </c>
      <c r="C481" t="s">
        <v>1</v>
      </c>
      <c r="D481" t="s">
        <v>0</v>
      </c>
      <c r="E481">
        <v>16511</v>
      </c>
      <c r="F481" t="s">
        <v>7887</v>
      </c>
      <c r="G481" t="s">
        <v>7888</v>
      </c>
      <c r="H481" s="3">
        <v>1.45</v>
      </c>
      <c r="I481" s="3">
        <v>0</v>
      </c>
      <c r="J481" s="3">
        <v>0</v>
      </c>
      <c r="K481" s="3">
        <v>25.27</v>
      </c>
      <c r="L481" s="3">
        <v>0</v>
      </c>
      <c r="M481" s="3">
        <v>0</v>
      </c>
      <c r="N481" s="3">
        <v>0</v>
      </c>
      <c r="O481" s="3">
        <v>3.2850999999999999</v>
      </c>
      <c r="P481" s="3">
        <v>30.005099999999999</v>
      </c>
      <c r="Q481" t="s">
        <v>8046</v>
      </c>
      <c r="R481" t="s">
        <v>8200</v>
      </c>
      <c r="S481" s="3" t="s">
        <v>8046</v>
      </c>
      <c r="T481" s="3">
        <v>0</v>
      </c>
    </row>
    <row r="482" spans="1:20" hidden="1" x14ac:dyDescent="0.25">
      <c r="A482" t="s">
        <v>8608</v>
      </c>
      <c r="B482" t="s">
        <v>8701</v>
      </c>
      <c r="C482" t="s">
        <v>1</v>
      </c>
      <c r="D482" t="s">
        <v>0</v>
      </c>
      <c r="E482">
        <v>10567</v>
      </c>
      <c r="F482" t="s">
        <v>1732</v>
      </c>
      <c r="G482" t="s">
        <v>1733</v>
      </c>
      <c r="H482" s="3">
        <v>2.94</v>
      </c>
      <c r="I482" s="3">
        <v>0</v>
      </c>
      <c r="J482" s="3">
        <v>0</v>
      </c>
      <c r="K482" s="3">
        <v>53.58</v>
      </c>
      <c r="L482" s="3">
        <v>0</v>
      </c>
      <c r="M482" s="3">
        <v>0</v>
      </c>
      <c r="N482" s="3">
        <v>0</v>
      </c>
      <c r="O482" s="3">
        <v>6.9653999999999998</v>
      </c>
      <c r="P482" s="3">
        <v>63.485399999999998</v>
      </c>
      <c r="Q482" t="s">
        <v>8046</v>
      </c>
      <c r="R482" t="s">
        <v>8200</v>
      </c>
      <c r="S482" s="3" t="s">
        <v>8046</v>
      </c>
      <c r="T482" s="3">
        <v>0</v>
      </c>
    </row>
    <row r="483" spans="1:20" hidden="1" x14ac:dyDescent="0.25">
      <c r="A483" t="s">
        <v>8608</v>
      </c>
      <c r="B483" t="s">
        <v>8701</v>
      </c>
      <c r="C483" t="s">
        <v>1</v>
      </c>
      <c r="D483" t="s">
        <v>0</v>
      </c>
      <c r="E483">
        <v>8567</v>
      </c>
      <c r="F483" t="s">
        <v>1672</v>
      </c>
      <c r="G483" t="s">
        <v>1673</v>
      </c>
      <c r="H483" s="3">
        <v>2.11</v>
      </c>
      <c r="I483" s="3">
        <v>0</v>
      </c>
      <c r="J483" s="3">
        <v>0</v>
      </c>
      <c r="K483" s="3">
        <v>38.840000000000003</v>
      </c>
      <c r="L483" s="3">
        <v>0</v>
      </c>
      <c r="M483" s="3">
        <v>0</v>
      </c>
      <c r="N483" s="3">
        <v>0</v>
      </c>
      <c r="O483" s="3">
        <v>5.0492000000000008</v>
      </c>
      <c r="P483" s="3">
        <v>45.999200000000002</v>
      </c>
      <c r="Q483" t="s">
        <v>8046</v>
      </c>
      <c r="R483" t="s">
        <v>8200</v>
      </c>
      <c r="S483" s="3" t="s">
        <v>8046</v>
      </c>
      <c r="T483" s="3">
        <v>0</v>
      </c>
    </row>
    <row r="484" spans="1:20" hidden="1" x14ac:dyDescent="0.25">
      <c r="A484" t="s">
        <v>8608</v>
      </c>
      <c r="B484" t="s">
        <v>8701</v>
      </c>
      <c r="C484" t="s">
        <v>1</v>
      </c>
      <c r="D484" t="s">
        <v>0</v>
      </c>
      <c r="E484">
        <v>2807157</v>
      </c>
      <c r="F484" t="s">
        <v>1494</v>
      </c>
      <c r="G484" t="s">
        <v>1495</v>
      </c>
      <c r="H484" s="3">
        <v>0</v>
      </c>
      <c r="I484" s="3">
        <v>0</v>
      </c>
      <c r="J484" s="3">
        <v>0</v>
      </c>
      <c r="K484" s="3">
        <v>313.81</v>
      </c>
      <c r="L484" s="3">
        <v>0</v>
      </c>
      <c r="M484" s="3">
        <v>0</v>
      </c>
      <c r="N484" s="3">
        <v>0</v>
      </c>
      <c r="O484" s="3">
        <v>40.795300000000005</v>
      </c>
      <c r="P484" s="3">
        <v>354.6053</v>
      </c>
      <c r="Q484" t="s">
        <v>8046</v>
      </c>
      <c r="R484" t="s">
        <v>8200</v>
      </c>
      <c r="S484" s="3" t="s">
        <v>8046</v>
      </c>
      <c r="T484" s="3">
        <v>0</v>
      </c>
    </row>
    <row r="485" spans="1:20" hidden="1" x14ac:dyDescent="0.25">
      <c r="A485" t="s">
        <v>8608</v>
      </c>
      <c r="B485" t="s">
        <v>8701</v>
      </c>
      <c r="C485" t="s">
        <v>1</v>
      </c>
      <c r="D485" t="s">
        <v>0</v>
      </c>
      <c r="E485">
        <v>2807158</v>
      </c>
      <c r="F485" t="s">
        <v>1494</v>
      </c>
      <c r="G485" t="s">
        <v>1495</v>
      </c>
      <c r="H485" s="3">
        <v>0</v>
      </c>
      <c r="I485" s="3">
        <v>0</v>
      </c>
      <c r="J485" s="3">
        <v>0</v>
      </c>
      <c r="K485" s="3">
        <v>22.21</v>
      </c>
      <c r="L485" s="3">
        <v>0</v>
      </c>
      <c r="M485" s="3">
        <v>0</v>
      </c>
      <c r="N485" s="3">
        <v>0</v>
      </c>
      <c r="O485" s="3">
        <v>2.8873000000000002</v>
      </c>
      <c r="P485" s="3">
        <v>25.097300000000001</v>
      </c>
      <c r="Q485" t="s">
        <v>8046</v>
      </c>
      <c r="R485" t="s">
        <v>8200</v>
      </c>
      <c r="S485" s="3" t="s">
        <v>8046</v>
      </c>
      <c r="T485" s="3">
        <v>0</v>
      </c>
    </row>
    <row r="486" spans="1:20" hidden="1" x14ac:dyDescent="0.25">
      <c r="A486" t="s">
        <v>8608</v>
      </c>
      <c r="B486" t="s">
        <v>8616</v>
      </c>
      <c r="C486" t="s">
        <v>1</v>
      </c>
      <c r="D486" t="s">
        <v>0</v>
      </c>
      <c r="E486">
        <v>205</v>
      </c>
      <c r="F486" t="s">
        <v>1457</v>
      </c>
      <c r="G486" t="s">
        <v>8600</v>
      </c>
      <c r="H486" s="3">
        <v>0</v>
      </c>
      <c r="I486" s="3">
        <v>0</v>
      </c>
      <c r="J486" s="3">
        <v>0</v>
      </c>
      <c r="K486" s="3">
        <v>104.95</v>
      </c>
      <c r="L486" s="3">
        <v>0</v>
      </c>
      <c r="M486" s="3">
        <v>0</v>
      </c>
      <c r="N486" s="3">
        <v>0</v>
      </c>
      <c r="O486" s="3">
        <v>13.643500000000001</v>
      </c>
      <c r="P486" s="3">
        <v>118.59350000000001</v>
      </c>
      <c r="Q486" t="s">
        <v>8046</v>
      </c>
      <c r="R486" t="s">
        <v>8200</v>
      </c>
      <c r="S486" s="3" t="s">
        <v>8046</v>
      </c>
      <c r="T486" s="3">
        <v>0</v>
      </c>
    </row>
    <row r="487" spans="1:20" hidden="1" x14ac:dyDescent="0.25">
      <c r="A487" t="s">
        <v>8608</v>
      </c>
      <c r="B487" t="s">
        <v>8616</v>
      </c>
      <c r="C487" t="s">
        <v>1</v>
      </c>
      <c r="D487" t="s">
        <v>0</v>
      </c>
      <c r="E487">
        <v>23806</v>
      </c>
      <c r="F487" t="s">
        <v>1522</v>
      </c>
      <c r="G487" t="s">
        <v>1523</v>
      </c>
      <c r="H487" s="3">
        <v>2.85</v>
      </c>
      <c r="I487" s="3">
        <v>0</v>
      </c>
      <c r="J487" s="3">
        <v>0</v>
      </c>
      <c r="K487" s="3">
        <v>51.46</v>
      </c>
      <c r="L487" s="3">
        <v>0</v>
      </c>
      <c r="M487" s="3">
        <v>0</v>
      </c>
      <c r="N487" s="3">
        <v>0</v>
      </c>
      <c r="O487" s="3">
        <v>6.6898</v>
      </c>
      <c r="P487" s="3">
        <v>60.9998</v>
      </c>
      <c r="Q487" t="s">
        <v>8046</v>
      </c>
      <c r="R487" t="s">
        <v>8200</v>
      </c>
      <c r="S487" s="3" t="s">
        <v>8046</v>
      </c>
      <c r="T487" s="3">
        <v>0</v>
      </c>
    </row>
    <row r="488" spans="1:20" hidden="1" x14ac:dyDescent="0.25">
      <c r="A488" t="s">
        <v>8608</v>
      </c>
      <c r="B488" t="s">
        <v>8616</v>
      </c>
      <c r="C488" t="s">
        <v>1</v>
      </c>
      <c r="D488" t="s">
        <v>0</v>
      </c>
      <c r="E488">
        <v>4241</v>
      </c>
      <c r="F488" t="s">
        <v>1670</v>
      </c>
      <c r="G488" t="s">
        <v>1671</v>
      </c>
      <c r="H488" s="3">
        <v>1.93</v>
      </c>
      <c r="I488" s="3">
        <v>0</v>
      </c>
      <c r="J488" s="3">
        <v>0</v>
      </c>
      <c r="K488" s="3">
        <v>33.69</v>
      </c>
      <c r="L488" s="3">
        <v>0</v>
      </c>
      <c r="M488" s="3">
        <v>0</v>
      </c>
      <c r="N488" s="3">
        <v>0</v>
      </c>
      <c r="O488" s="3">
        <v>4.3796999999999997</v>
      </c>
      <c r="P488" s="3">
        <v>39.999699999999997</v>
      </c>
      <c r="Q488" t="s">
        <v>8046</v>
      </c>
      <c r="R488" t="s">
        <v>8200</v>
      </c>
      <c r="S488" s="3" t="s">
        <v>8046</v>
      </c>
      <c r="T488" s="3">
        <v>0</v>
      </c>
    </row>
    <row r="489" spans="1:20" hidden="1" x14ac:dyDescent="0.25">
      <c r="A489" t="s">
        <v>8608</v>
      </c>
      <c r="B489" t="s">
        <v>8616</v>
      </c>
      <c r="C489" t="s">
        <v>1</v>
      </c>
      <c r="D489" t="s">
        <v>0</v>
      </c>
      <c r="E489">
        <v>307803</v>
      </c>
      <c r="F489" t="s">
        <v>1552</v>
      </c>
      <c r="G489" t="s">
        <v>1553</v>
      </c>
      <c r="H489" s="3">
        <v>1.92</v>
      </c>
      <c r="I489" s="3">
        <v>0</v>
      </c>
      <c r="J489" s="3">
        <v>0</v>
      </c>
      <c r="K489" s="3">
        <v>33.619999999999997</v>
      </c>
      <c r="L489" s="3">
        <v>0</v>
      </c>
      <c r="M489" s="3">
        <v>0</v>
      </c>
      <c r="N489" s="3">
        <v>0</v>
      </c>
      <c r="O489" s="3">
        <v>4.3705999999999996</v>
      </c>
      <c r="P489" s="3">
        <v>39.910600000000002</v>
      </c>
      <c r="Q489" t="s">
        <v>8046</v>
      </c>
      <c r="R489" t="s">
        <v>8200</v>
      </c>
      <c r="S489" s="3" t="s">
        <v>8046</v>
      </c>
      <c r="T489" s="3">
        <v>0</v>
      </c>
    </row>
    <row r="490" spans="1:20" hidden="1" x14ac:dyDescent="0.25">
      <c r="A490" t="s">
        <v>8608</v>
      </c>
      <c r="B490" t="s">
        <v>8616</v>
      </c>
      <c r="C490" t="s">
        <v>1</v>
      </c>
      <c r="D490" t="s">
        <v>0</v>
      </c>
      <c r="E490">
        <v>27806</v>
      </c>
      <c r="F490" t="s">
        <v>3019</v>
      </c>
      <c r="G490" t="s">
        <v>3020</v>
      </c>
      <c r="H490" s="3">
        <v>0</v>
      </c>
      <c r="I490" s="3">
        <v>0</v>
      </c>
      <c r="J490" s="3">
        <v>0</v>
      </c>
      <c r="K490" s="3">
        <v>352.5</v>
      </c>
      <c r="L490" s="3">
        <v>0</v>
      </c>
      <c r="M490" s="3">
        <v>0</v>
      </c>
      <c r="N490" s="3">
        <v>0</v>
      </c>
      <c r="O490" s="3">
        <v>45.825000000000003</v>
      </c>
      <c r="P490" s="3">
        <v>398.32499999999999</v>
      </c>
      <c r="Q490" t="s">
        <v>8046</v>
      </c>
      <c r="R490" t="s">
        <v>8200</v>
      </c>
      <c r="S490" s="3" t="s">
        <v>8341</v>
      </c>
      <c r="T490" s="3">
        <v>3.53</v>
      </c>
    </row>
    <row r="491" spans="1:20" hidden="1" x14ac:dyDescent="0.25">
      <c r="A491" t="s">
        <v>8608</v>
      </c>
      <c r="B491" t="s">
        <v>8624</v>
      </c>
      <c r="C491" t="s">
        <v>1</v>
      </c>
      <c r="D491" t="s">
        <v>0</v>
      </c>
      <c r="E491">
        <v>74059</v>
      </c>
      <c r="F491" t="s">
        <v>2972</v>
      </c>
      <c r="G491" t="s">
        <v>2973</v>
      </c>
      <c r="H491" s="3">
        <v>0</v>
      </c>
      <c r="I491" s="3">
        <v>0</v>
      </c>
      <c r="J491" s="3">
        <v>0</v>
      </c>
      <c r="K491" s="3">
        <v>39.82</v>
      </c>
      <c r="L491" s="3">
        <v>0</v>
      </c>
      <c r="M491" s="3">
        <v>0</v>
      </c>
      <c r="N491" s="3">
        <v>0</v>
      </c>
      <c r="O491" s="3">
        <v>5.1766000000000005</v>
      </c>
      <c r="P491" s="3">
        <v>44.996600000000001</v>
      </c>
      <c r="Q491" t="s">
        <v>8046</v>
      </c>
      <c r="R491" t="s">
        <v>8200</v>
      </c>
      <c r="S491" s="3" t="s">
        <v>8046</v>
      </c>
      <c r="T491" s="3">
        <v>0</v>
      </c>
    </row>
    <row r="492" spans="1:20" hidden="1" x14ac:dyDescent="0.25">
      <c r="A492" t="s">
        <v>8608</v>
      </c>
      <c r="B492" t="s">
        <v>8633</v>
      </c>
      <c r="C492" t="s">
        <v>1</v>
      </c>
      <c r="D492" t="s">
        <v>0</v>
      </c>
      <c r="E492">
        <v>10105</v>
      </c>
      <c r="F492" t="s">
        <v>2635</v>
      </c>
      <c r="G492" t="s">
        <v>2636</v>
      </c>
      <c r="H492" s="3">
        <v>0</v>
      </c>
      <c r="I492" s="3">
        <v>0</v>
      </c>
      <c r="J492" s="3">
        <v>0</v>
      </c>
      <c r="K492" s="3">
        <v>139.86000000000001</v>
      </c>
      <c r="L492" s="3">
        <v>0</v>
      </c>
      <c r="M492" s="3">
        <v>0</v>
      </c>
      <c r="N492" s="3">
        <v>0</v>
      </c>
      <c r="O492" s="3">
        <v>18.181800000000003</v>
      </c>
      <c r="P492" s="3">
        <v>158.04180000000002</v>
      </c>
      <c r="Q492" t="s">
        <v>8046</v>
      </c>
      <c r="R492" t="s">
        <v>8200</v>
      </c>
      <c r="S492" s="3" t="s">
        <v>8345</v>
      </c>
      <c r="T492" s="3">
        <v>1.4</v>
      </c>
    </row>
    <row r="493" spans="1:20" hidden="1" x14ac:dyDescent="0.25">
      <c r="A493" t="s">
        <v>8608</v>
      </c>
      <c r="B493" t="s">
        <v>8665</v>
      </c>
      <c r="C493" t="s">
        <v>1</v>
      </c>
      <c r="D493" t="s">
        <v>0</v>
      </c>
      <c r="E493">
        <v>510121</v>
      </c>
      <c r="F493" t="s">
        <v>2376</v>
      </c>
      <c r="G493" t="s">
        <v>2377</v>
      </c>
      <c r="H493" s="3">
        <v>0</v>
      </c>
      <c r="I493" s="3">
        <v>0</v>
      </c>
      <c r="J493" s="3">
        <v>0</v>
      </c>
      <c r="K493" s="3">
        <v>13.95</v>
      </c>
      <c r="L493" s="3">
        <v>0</v>
      </c>
      <c r="M493" s="3">
        <v>0</v>
      </c>
      <c r="N493" s="3">
        <v>0</v>
      </c>
      <c r="O493" s="3">
        <v>1.8134999999999999</v>
      </c>
      <c r="P493" s="3">
        <v>15.763499999999999</v>
      </c>
      <c r="Q493" t="s">
        <v>8046</v>
      </c>
      <c r="R493" t="s">
        <v>8200</v>
      </c>
      <c r="S493" s="3" t="s">
        <v>8046</v>
      </c>
      <c r="T493" s="3">
        <v>0</v>
      </c>
    </row>
    <row r="494" spans="1:20" hidden="1" x14ac:dyDescent="0.25">
      <c r="A494" t="s">
        <v>8608</v>
      </c>
      <c r="B494" t="s">
        <v>8533</v>
      </c>
      <c r="C494" t="s">
        <v>1</v>
      </c>
      <c r="D494" t="s">
        <v>0</v>
      </c>
      <c r="E494">
        <v>33961</v>
      </c>
      <c r="F494" t="s">
        <v>3120</v>
      </c>
      <c r="G494" t="s">
        <v>3121</v>
      </c>
      <c r="H494" s="3">
        <v>0</v>
      </c>
      <c r="I494" s="3">
        <v>0</v>
      </c>
      <c r="J494" s="3">
        <v>0</v>
      </c>
      <c r="K494" s="3">
        <v>129.16</v>
      </c>
      <c r="L494" s="3">
        <v>0</v>
      </c>
      <c r="M494" s="3">
        <v>0</v>
      </c>
      <c r="N494" s="3">
        <v>0</v>
      </c>
      <c r="O494" s="3">
        <v>16.790800000000001</v>
      </c>
      <c r="P494" s="3">
        <v>145.95079999999999</v>
      </c>
      <c r="Q494" t="s">
        <v>8046</v>
      </c>
      <c r="R494" t="s">
        <v>8200</v>
      </c>
      <c r="S494" s="3" t="s">
        <v>8341</v>
      </c>
      <c r="T494" s="3">
        <v>1.29</v>
      </c>
    </row>
    <row r="495" spans="1:20" hidden="1" x14ac:dyDescent="0.25">
      <c r="A495" t="s">
        <v>8608</v>
      </c>
      <c r="B495" t="s">
        <v>8522</v>
      </c>
      <c r="C495" t="s">
        <v>1</v>
      </c>
      <c r="D495" t="s">
        <v>0</v>
      </c>
      <c r="E495">
        <v>9066</v>
      </c>
      <c r="F495" t="s">
        <v>2635</v>
      </c>
      <c r="G495" t="s">
        <v>2636</v>
      </c>
      <c r="H495" s="3">
        <v>0</v>
      </c>
      <c r="I495" s="3">
        <v>0</v>
      </c>
      <c r="J495" s="3">
        <v>0</v>
      </c>
      <c r="K495" s="3">
        <v>140.84</v>
      </c>
      <c r="L495" s="3">
        <v>0</v>
      </c>
      <c r="M495" s="3">
        <v>0</v>
      </c>
      <c r="N495" s="3">
        <v>0</v>
      </c>
      <c r="O495" s="3">
        <v>18.309200000000001</v>
      </c>
      <c r="P495" s="3">
        <v>159.14920000000001</v>
      </c>
      <c r="Q495" t="s">
        <v>8046</v>
      </c>
      <c r="R495" t="s">
        <v>8200</v>
      </c>
      <c r="S495" s="3" t="s">
        <v>8345</v>
      </c>
      <c r="T495" s="3">
        <v>1.41</v>
      </c>
    </row>
    <row r="496" spans="1:20" hidden="1" x14ac:dyDescent="0.25">
      <c r="A496" t="s">
        <v>8608</v>
      </c>
      <c r="B496" t="s">
        <v>8524</v>
      </c>
      <c r="C496" t="s">
        <v>1</v>
      </c>
      <c r="D496" t="s">
        <v>0</v>
      </c>
      <c r="E496">
        <v>77893</v>
      </c>
      <c r="F496" t="s">
        <v>1778</v>
      </c>
      <c r="G496" t="s">
        <v>1779</v>
      </c>
      <c r="H496" s="3">
        <v>0</v>
      </c>
      <c r="I496" s="3">
        <v>0</v>
      </c>
      <c r="J496" s="3">
        <v>0</v>
      </c>
      <c r="K496" s="3">
        <v>265.5</v>
      </c>
      <c r="L496" s="3">
        <v>0</v>
      </c>
      <c r="M496" s="3">
        <v>0</v>
      </c>
      <c r="N496" s="3">
        <v>0</v>
      </c>
      <c r="O496" s="3">
        <v>34.515000000000001</v>
      </c>
      <c r="P496" s="3">
        <v>300.01499999999999</v>
      </c>
      <c r="Q496" t="s">
        <v>8046</v>
      </c>
      <c r="R496" t="s">
        <v>8200</v>
      </c>
      <c r="S496" s="3" t="s">
        <v>8341</v>
      </c>
      <c r="T496" s="3">
        <v>2.66</v>
      </c>
    </row>
    <row r="497" spans="1:20" hidden="1" x14ac:dyDescent="0.25">
      <c r="A497" t="s">
        <v>8608</v>
      </c>
      <c r="B497" t="s">
        <v>8389</v>
      </c>
      <c r="C497" t="s">
        <v>1</v>
      </c>
      <c r="D497" t="s">
        <v>0</v>
      </c>
      <c r="E497">
        <v>8638</v>
      </c>
      <c r="F497" t="s">
        <v>2635</v>
      </c>
      <c r="G497" t="s">
        <v>2636</v>
      </c>
      <c r="H497" s="3">
        <v>0</v>
      </c>
      <c r="I497" s="3">
        <v>0</v>
      </c>
      <c r="J497" s="3">
        <v>0</v>
      </c>
      <c r="K497" s="3">
        <v>119.69</v>
      </c>
      <c r="L497" s="3">
        <v>0</v>
      </c>
      <c r="M497" s="3">
        <v>0</v>
      </c>
      <c r="N497" s="3">
        <v>0</v>
      </c>
      <c r="O497" s="3">
        <v>15.559699999999999</v>
      </c>
      <c r="P497" s="3">
        <v>135.24969999999999</v>
      </c>
      <c r="Q497" t="s">
        <v>8046</v>
      </c>
      <c r="R497" t="s">
        <v>8200</v>
      </c>
      <c r="S497" s="3" t="s">
        <v>8345</v>
      </c>
      <c r="T497" s="3">
        <v>1.2</v>
      </c>
    </row>
    <row r="498" spans="1:20" hidden="1" x14ac:dyDescent="0.25">
      <c r="A498" t="s">
        <v>8608</v>
      </c>
      <c r="B498" t="s">
        <v>8420</v>
      </c>
      <c r="C498" t="s">
        <v>1</v>
      </c>
      <c r="D498" t="s">
        <v>0</v>
      </c>
      <c r="E498">
        <v>7258</v>
      </c>
      <c r="F498" t="s">
        <v>1778</v>
      </c>
      <c r="G498" t="s">
        <v>1779</v>
      </c>
      <c r="H498" s="3">
        <v>0</v>
      </c>
      <c r="I498" s="3">
        <v>0</v>
      </c>
      <c r="J498" s="3">
        <v>0</v>
      </c>
      <c r="K498" s="3">
        <v>159.30000000000001</v>
      </c>
      <c r="L498" s="3">
        <v>0</v>
      </c>
      <c r="M498" s="3">
        <v>0</v>
      </c>
      <c r="N498" s="3">
        <v>0</v>
      </c>
      <c r="O498" s="3">
        <v>20.709000000000003</v>
      </c>
      <c r="P498" s="3">
        <v>180.00900000000001</v>
      </c>
      <c r="Q498" t="s">
        <v>8046</v>
      </c>
      <c r="R498" t="s">
        <v>8200</v>
      </c>
      <c r="S498" s="3" t="s">
        <v>8341</v>
      </c>
      <c r="T498" s="3">
        <v>1.59</v>
      </c>
    </row>
    <row r="499" spans="1:20" hidden="1" x14ac:dyDescent="0.25">
      <c r="A499" t="s">
        <v>8608</v>
      </c>
      <c r="B499" t="s">
        <v>8420</v>
      </c>
      <c r="C499" t="s">
        <v>1</v>
      </c>
      <c r="D499" t="s">
        <v>0</v>
      </c>
      <c r="E499">
        <v>7290</v>
      </c>
      <c r="F499" t="s">
        <v>1778</v>
      </c>
      <c r="G499" t="s">
        <v>1779</v>
      </c>
      <c r="H499" s="3">
        <v>0</v>
      </c>
      <c r="I499" s="3">
        <v>0</v>
      </c>
      <c r="J499" s="3">
        <v>0</v>
      </c>
      <c r="K499" s="3">
        <v>16.14</v>
      </c>
      <c r="L499" s="3">
        <v>0</v>
      </c>
      <c r="M499" s="3">
        <v>0</v>
      </c>
      <c r="N499" s="3">
        <v>0</v>
      </c>
      <c r="O499" s="3">
        <v>2.0982000000000003</v>
      </c>
      <c r="P499" s="3">
        <v>18.238199999999999</v>
      </c>
      <c r="Q499" t="s">
        <v>8046</v>
      </c>
      <c r="R499" t="s">
        <v>8200</v>
      </c>
      <c r="S499" s="3" t="s">
        <v>8046</v>
      </c>
      <c r="T499" s="3">
        <v>0</v>
      </c>
    </row>
    <row r="500" spans="1:20" hidden="1" x14ac:dyDescent="0.25">
      <c r="A500" t="s">
        <v>8608</v>
      </c>
      <c r="B500" t="s">
        <v>8420</v>
      </c>
      <c r="C500" t="s">
        <v>1</v>
      </c>
      <c r="D500" t="s">
        <v>0</v>
      </c>
      <c r="E500">
        <v>7262</v>
      </c>
      <c r="F500" t="s">
        <v>1778</v>
      </c>
      <c r="G500" t="s">
        <v>1779</v>
      </c>
      <c r="H500" s="3">
        <v>0</v>
      </c>
      <c r="I500" s="3">
        <v>0</v>
      </c>
      <c r="J500" s="3">
        <v>0</v>
      </c>
      <c r="K500" s="3">
        <v>123.9</v>
      </c>
      <c r="L500" s="3">
        <v>0</v>
      </c>
      <c r="M500" s="3">
        <v>0</v>
      </c>
      <c r="N500" s="3">
        <v>0</v>
      </c>
      <c r="O500" s="3">
        <v>16.107000000000003</v>
      </c>
      <c r="P500" s="3">
        <v>140.00700000000001</v>
      </c>
      <c r="Q500" t="s">
        <v>8046</v>
      </c>
      <c r="R500" t="s">
        <v>8200</v>
      </c>
      <c r="S500" s="3" t="s">
        <v>8341</v>
      </c>
      <c r="T500" s="3">
        <v>1.24</v>
      </c>
    </row>
    <row r="501" spans="1:20" hidden="1" x14ac:dyDescent="0.25">
      <c r="A501" s="74" t="s">
        <v>8607</v>
      </c>
      <c r="B501" s="74" t="s">
        <v>8633</v>
      </c>
      <c r="C501" s="74" t="s">
        <v>1</v>
      </c>
      <c r="D501" s="74" t="s">
        <v>0</v>
      </c>
      <c r="E501" s="74">
        <v>475841</v>
      </c>
      <c r="F501" s="74" t="s">
        <v>1546</v>
      </c>
      <c r="G501" s="74" t="s">
        <v>1547</v>
      </c>
      <c r="H501" s="75">
        <v>1.93</v>
      </c>
      <c r="I501" s="75">
        <v>0</v>
      </c>
      <c r="J501" s="75">
        <v>0</v>
      </c>
      <c r="K501" s="75">
        <v>36.26</v>
      </c>
      <c r="L501" s="75">
        <v>0</v>
      </c>
      <c r="M501" s="75">
        <v>0</v>
      </c>
      <c r="N501" s="75">
        <v>0</v>
      </c>
      <c r="O501" s="75">
        <v>1.8129999999999999</v>
      </c>
      <c r="P501" s="75">
        <v>40.003</v>
      </c>
      <c r="Q501" s="74" t="s">
        <v>8046</v>
      </c>
      <c r="R501" s="74" t="s">
        <v>8200</v>
      </c>
      <c r="S501" s="75" t="s">
        <v>8046</v>
      </c>
      <c r="T501" s="75">
        <v>0</v>
      </c>
    </row>
    <row r="502" spans="1:20" hidden="1" x14ac:dyDescent="0.25">
      <c r="A502" t="s">
        <v>8607</v>
      </c>
      <c r="B502" t="s">
        <v>8534</v>
      </c>
      <c r="C502" t="s">
        <v>1</v>
      </c>
      <c r="D502" t="s">
        <v>0</v>
      </c>
      <c r="E502">
        <v>170</v>
      </c>
      <c r="F502" t="s">
        <v>8676</v>
      </c>
      <c r="G502" t="s">
        <v>8677</v>
      </c>
      <c r="H502" s="3">
        <v>0</v>
      </c>
      <c r="I502" s="3">
        <v>0</v>
      </c>
      <c r="J502" s="3">
        <v>0</v>
      </c>
      <c r="K502" s="3">
        <v>10.62</v>
      </c>
      <c r="L502" s="3">
        <v>0</v>
      </c>
      <c r="M502" s="3">
        <v>0</v>
      </c>
      <c r="N502" s="3">
        <v>0</v>
      </c>
      <c r="O502" s="3">
        <v>1.3806</v>
      </c>
      <c r="P502" s="3">
        <v>12.000599999999999</v>
      </c>
      <c r="Q502" t="s">
        <v>8046</v>
      </c>
      <c r="R502" t="s">
        <v>8200</v>
      </c>
      <c r="S502" s="3" t="s">
        <v>8046</v>
      </c>
      <c r="T502" s="3">
        <v>0</v>
      </c>
    </row>
    <row r="503" spans="1:20" hidden="1" x14ac:dyDescent="0.25">
      <c r="A503" t="s">
        <v>8607</v>
      </c>
      <c r="B503" t="s">
        <v>8534</v>
      </c>
      <c r="C503" t="s">
        <v>1</v>
      </c>
      <c r="D503" t="s">
        <v>0</v>
      </c>
      <c r="E503">
        <v>9038</v>
      </c>
      <c r="F503" t="s">
        <v>1571</v>
      </c>
      <c r="G503" t="s">
        <v>1572</v>
      </c>
      <c r="H503" s="3">
        <v>0</v>
      </c>
      <c r="I503" s="3">
        <v>0</v>
      </c>
      <c r="J503" s="3">
        <v>0</v>
      </c>
      <c r="K503" s="3">
        <v>199.12</v>
      </c>
      <c r="L503" s="3">
        <v>0</v>
      </c>
      <c r="M503" s="3">
        <v>0</v>
      </c>
      <c r="N503" s="3">
        <v>0</v>
      </c>
      <c r="O503" s="3">
        <v>25.8856</v>
      </c>
      <c r="P503" s="3">
        <v>225.00560000000002</v>
      </c>
      <c r="Q503" t="s">
        <v>8046</v>
      </c>
      <c r="R503" t="s">
        <v>8200</v>
      </c>
      <c r="S503" s="3" t="s">
        <v>8046</v>
      </c>
      <c r="T503" s="3">
        <v>0</v>
      </c>
    </row>
    <row r="504" spans="1:20" hidden="1" x14ac:dyDescent="0.25">
      <c r="A504" t="s">
        <v>8607</v>
      </c>
      <c r="B504" t="s">
        <v>8518</v>
      </c>
      <c r="C504" t="s">
        <v>1</v>
      </c>
      <c r="D504" t="s">
        <v>0</v>
      </c>
      <c r="E504">
        <v>121160</v>
      </c>
      <c r="F504" t="s">
        <v>1571</v>
      </c>
      <c r="G504" t="s">
        <v>1572</v>
      </c>
      <c r="H504" s="3">
        <v>0</v>
      </c>
      <c r="I504" s="3">
        <v>0</v>
      </c>
      <c r="J504" s="3">
        <v>0</v>
      </c>
      <c r="K504" s="3">
        <v>92.01</v>
      </c>
      <c r="L504" s="3">
        <v>0</v>
      </c>
      <c r="M504" s="3">
        <v>0</v>
      </c>
      <c r="N504" s="3">
        <v>0</v>
      </c>
      <c r="O504" s="3">
        <v>11.961300000000001</v>
      </c>
      <c r="P504" s="3">
        <v>103.97130000000001</v>
      </c>
      <c r="Q504" t="s">
        <v>8046</v>
      </c>
      <c r="R504" t="s">
        <v>8200</v>
      </c>
      <c r="S504" s="3" t="s">
        <v>8046</v>
      </c>
      <c r="T504" s="3">
        <v>0</v>
      </c>
    </row>
    <row r="505" spans="1:20" hidden="1" x14ac:dyDescent="0.25">
      <c r="A505" t="s">
        <v>8607</v>
      </c>
      <c r="B505" t="s">
        <v>8641</v>
      </c>
      <c r="C505" t="s">
        <v>1</v>
      </c>
      <c r="D505" t="s">
        <v>0</v>
      </c>
      <c r="E505">
        <v>32395</v>
      </c>
      <c r="F505" t="s">
        <v>8675</v>
      </c>
      <c r="G505" t="s">
        <v>1628</v>
      </c>
      <c r="H505" s="3">
        <v>1.46</v>
      </c>
      <c r="I505" s="3">
        <v>0</v>
      </c>
      <c r="J505" s="3">
        <v>0</v>
      </c>
      <c r="K505" s="3">
        <v>25.26</v>
      </c>
      <c r="L505" s="3">
        <v>0</v>
      </c>
      <c r="M505" s="3">
        <v>0</v>
      </c>
      <c r="N505" s="3">
        <v>0</v>
      </c>
      <c r="O505" s="3">
        <v>3.2838000000000003</v>
      </c>
      <c r="P505" s="3">
        <v>30.003800000000002</v>
      </c>
      <c r="Q505" t="s">
        <v>8046</v>
      </c>
      <c r="R505" t="s">
        <v>8200</v>
      </c>
      <c r="S505" s="3" t="s">
        <v>8046</v>
      </c>
      <c r="T505" s="3">
        <v>0</v>
      </c>
    </row>
    <row r="506" spans="1:20" hidden="1" x14ac:dyDescent="0.25">
      <c r="A506" t="s">
        <v>8607</v>
      </c>
      <c r="B506" t="s">
        <v>8674</v>
      </c>
      <c r="C506" t="s">
        <v>1</v>
      </c>
      <c r="D506" t="s">
        <v>0</v>
      </c>
      <c r="E506">
        <v>32502</v>
      </c>
      <c r="F506" t="s">
        <v>2378</v>
      </c>
      <c r="G506" t="s">
        <v>2379</v>
      </c>
      <c r="H506" s="3">
        <v>0.97</v>
      </c>
      <c r="I506" s="3">
        <v>0</v>
      </c>
      <c r="J506" s="3">
        <v>0</v>
      </c>
      <c r="K506" s="3">
        <v>16.829999999999998</v>
      </c>
      <c r="L506" s="3">
        <v>0</v>
      </c>
      <c r="M506" s="3">
        <v>0</v>
      </c>
      <c r="N506" s="3">
        <v>0</v>
      </c>
      <c r="O506" s="3">
        <v>2.1879</v>
      </c>
      <c r="P506" s="3">
        <v>19.987899999999996</v>
      </c>
      <c r="Q506" t="s">
        <v>8046</v>
      </c>
      <c r="R506" t="s">
        <v>8200</v>
      </c>
      <c r="S506" s="3" t="s">
        <v>8046</v>
      </c>
      <c r="T506" s="3">
        <v>0</v>
      </c>
    </row>
    <row r="507" spans="1:20" hidden="1" x14ac:dyDescent="0.25">
      <c r="A507" t="s">
        <v>8607</v>
      </c>
      <c r="B507" t="s">
        <v>8674</v>
      </c>
      <c r="C507" t="s">
        <v>1</v>
      </c>
      <c r="D507" t="s">
        <v>0</v>
      </c>
      <c r="E507">
        <v>189587</v>
      </c>
      <c r="F507" t="s">
        <v>2788</v>
      </c>
      <c r="G507" t="s">
        <v>2789</v>
      </c>
      <c r="H507" s="3">
        <v>0</v>
      </c>
      <c r="I507" s="3">
        <v>0</v>
      </c>
      <c r="J507" s="3">
        <v>0</v>
      </c>
      <c r="K507" s="3">
        <v>9</v>
      </c>
      <c r="L507" s="3">
        <v>0</v>
      </c>
      <c r="M507" s="3">
        <v>0</v>
      </c>
      <c r="N507" s="3">
        <v>0</v>
      </c>
      <c r="O507" s="3">
        <v>1.17</v>
      </c>
      <c r="P507" s="3">
        <v>10.17</v>
      </c>
      <c r="Q507" t="s">
        <v>8046</v>
      </c>
      <c r="R507" t="s">
        <v>8200</v>
      </c>
      <c r="S507" s="3" t="s">
        <v>8046</v>
      </c>
      <c r="T507" s="3">
        <v>0</v>
      </c>
    </row>
    <row r="508" spans="1:20" hidden="1" x14ac:dyDescent="0.25">
      <c r="A508" t="s">
        <v>8607</v>
      </c>
      <c r="B508" t="s">
        <v>8674</v>
      </c>
      <c r="C508" t="s">
        <v>1</v>
      </c>
      <c r="D508" t="s">
        <v>0</v>
      </c>
      <c r="E508">
        <v>189586</v>
      </c>
      <c r="F508" t="s">
        <v>2788</v>
      </c>
      <c r="G508" t="s">
        <v>2789</v>
      </c>
      <c r="H508" s="3">
        <v>0</v>
      </c>
      <c r="I508" s="3">
        <v>0</v>
      </c>
      <c r="J508" s="3">
        <v>0</v>
      </c>
      <c r="K508" s="3">
        <v>16.25</v>
      </c>
      <c r="L508" s="3">
        <v>0</v>
      </c>
      <c r="M508" s="3">
        <v>0</v>
      </c>
      <c r="N508" s="3">
        <v>0</v>
      </c>
      <c r="O508" s="3">
        <v>2.1125000000000003</v>
      </c>
      <c r="P508" s="3">
        <v>18.362500000000001</v>
      </c>
      <c r="Q508" t="s">
        <v>8046</v>
      </c>
      <c r="R508" t="s">
        <v>8200</v>
      </c>
      <c r="S508" s="3" t="s">
        <v>8046</v>
      </c>
      <c r="T508" s="3">
        <v>0</v>
      </c>
    </row>
    <row r="509" spans="1:20" hidden="1" x14ac:dyDescent="0.25">
      <c r="A509" t="s">
        <v>8607</v>
      </c>
      <c r="B509" t="s">
        <v>8674</v>
      </c>
      <c r="C509" t="s">
        <v>1</v>
      </c>
      <c r="D509" t="s">
        <v>0</v>
      </c>
      <c r="E509">
        <v>189577</v>
      </c>
      <c r="F509" t="s">
        <v>2788</v>
      </c>
      <c r="G509" t="s">
        <v>2789</v>
      </c>
      <c r="H509" s="3">
        <v>0</v>
      </c>
      <c r="I509" s="3">
        <v>0</v>
      </c>
      <c r="J509" s="3">
        <v>0</v>
      </c>
      <c r="K509" s="3">
        <v>13</v>
      </c>
      <c r="L509" s="3">
        <v>0</v>
      </c>
      <c r="M509" s="3">
        <v>0</v>
      </c>
      <c r="N509" s="3">
        <v>0</v>
      </c>
      <c r="O509" s="3">
        <v>1.69</v>
      </c>
      <c r="P509" s="3">
        <v>14.69</v>
      </c>
      <c r="Q509" t="s">
        <v>8046</v>
      </c>
      <c r="R509" t="s">
        <v>8200</v>
      </c>
      <c r="S509" s="3" t="s">
        <v>8046</v>
      </c>
      <c r="T509" s="3">
        <v>0</v>
      </c>
    </row>
    <row r="510" spans="1:20" hidden="1" x14ac:dyDescent="0.25">
      <c r="A510" t="s">
        <v>8607</v>
      </c>
      <c r="B510" t="s">
        <v>8616</v>
      </c>
      <c r="C510" t="s">
        <v>1</v>
      </c>
      <c r="D510" t="s">
        <v>0</v>
      </c>
      <c r="E510">
        <v>9168</v>
      </c>
      <c r="F510" t="s">
        <v>1200</v>
      </c>
      <c r="G510" t="s">
        <v>1201</v>
      </c>
      <c r="H510" s="3">
        <v>0</v>
      </c>
      <c r="I510" s="3">
        <v>0</v>
      </c>
      <c r="J510" s="3">
        <v>0</v>
      </c>
      <c r="K510" s="3">
        <v>6990</v>
      </c>
      <c r="L510" s="3">
        <v>0</v>
      </c>
      <c r="M510" s="3">
        <v>0</v>
      </c>
      <c r="N510" s="3">
        <v>0</v>
      </c>
      <c r="O510" s="3">
        <v>908.7</v>
      </c>
      <c r="P510" s="3">
        <v>7898.7</v>
      </c>
      <c r="Q510" t="s">
        <v>8046</v>
      </c>
      <c r="R510" t="s">
        <v>8200</v>
      </c>
      <c r="S510" s="3" t="s">
        <v>8358</v>
      </c>
      <c r="T510" s="3">
        <v>69.900000000000006</v>
      </c>
    </row>
    <row r="511" spans="1:20" hidden="1" x14ac:dyDescent="0.25">
      <c r="A511" t="s">
        <v>8607</v>
      </c>
      <c r="B511" t="s">
        <v>8616</v>
      </c>
      <c r="C511" t="s">
        <v>1</v>
      </c>
      <c r="D511" t="s">
        <v>0</v>
      </c>
      <c r="E511">
        <v>5448</v>
      </c>
      <c r="F511" t="s">
        <v>8361</v>
      </c>
      <c r="G511" t="s">
        <v>8362</v>
      </c>
      <c r="H511" s="3">
        <v>0</v>
      </c>
      <c r="I511" s="3">
        <v>0</v>
      </c>
      <c r="J511" s="3">
        <v>0</v>
      </c>
      <c r="K511" s="3">
        <v>294.25</v>
      </c>
      <c r="L511" s="3">
        <v>0</v>
      </c>
      <c r="M511" s="3">
        <v>0</v>
      </c>
      <c r="N511" s="3">
        <v>0</v>
      </c>
      <c r="O511" s="3">
        <v>38.252500000000005</v>
      </c>
      <c r="P511" s="3">
        <v>332.5025</v>
      </c>
      <c r="Q511" t="s">
        <v>8046</v>
      </c>
      <c r="R511" t="s">
        <v>8200</v>
      </c>
      <c r="S511" s="3" t="s">
        <v>8046</v>
      </c>
      <c r="T511" s="3">
        <v>0</v>
      </c>
    </row>
    <row r="512" spans="1:20" hidden="1" x14ac:dyDescent="0.25">
      <c r="A512" t="s">
        <v>8607</v>
      </c>
      <c r="B512" t="s">
        <v>8616</v>
      </c>
      <c r="C512" t="s">
        <v>1</v>
      </c>
      <c r="D512" t="s">
        <v>0</v>
      </c>
      <c r="E512">
        <v>1452264</v>
      </c>
      <c r="F512" t="s">
        <v>1576</v>
      </c>
      <c r="G512" t="s">
        <v>1577</v>
      </c>
      <c r="H512" s="3">
        <v>0</v>
      </c>
      <c r="I512" s="3">
        <v>0</v>
      </c>
      <c r="J512" s="3">
        <v>0</v>
      </c>
      <c r="K512" s="3">
        <v>232.2</v>
      </c>
      <c r="L512" s="3">
        <v>0</v>
      </c>
      <c r="M512" s="3">
        <v>0</v>
      </c>
      <c r="N512" s="3">
        <v>0</v>
      </c>
      <c r="O512" s="3">
        <v>30.186</v>
      </c>
      <c r="P512" s="3">
        <v>262.38599999999997</v>
      </c>
      <c r="Q512" t="s">
        <v>8046</v>
      </c>
      <c r="R512" t="s">
        <v>8200</v>
      </c>
      <c r="S512" s="3" t="s">
        <v>8341</v>
      </c>
      <c r="T512" s="3">
        <v>2.3199999999999998</v>
      </c>
    </row>
    <row r="513" spans="1:20" hidden="1" x14ac:dyDescent="0.25">
      <c r="A513" t="s">
        <v>8607</v>
      </c>
      <c r="B513" t="s">
        <v>8616</v>
      </c>
      <c r="C513" t="s">
        <v>1</v>
      </c>
      <c r="D513" t="s">
        <v>0</v>
      </c>
      <c r="E513">
        <v>5691174</v>
      </c>
      <c r="F513" t="s">
        <v>1501</v>
      </c>
      <c r="G513" t="s">
        <v>1502</v>
      </c>
      <c r="H513" s="3">
        <v>0.98</v>
      </c>
      <c r="I513" s="3">
        <v>0</v>
      </c>
      <c r="J513" s="3">
        <v>0</v>
      </c>
      <c r="K513" s="3">
        <v>16.84</v>
      </c>
      <c r="L513" s="3">
        <v>0</v>
      </c>
      <c r="M513" s="3">
        <v>0</v>
      </c>
      <c r="N513" s="3">
        <v>0</v>
      </c>
      <c r="O513" s="3">
        <v>2.1892</v>
      </c>
      <c r="P513" s="3">
        <v>20.0092</v>
      </c>
      <c r="Q513" t="s">
        <v>8046</v>
      </c>
      <c r="R513" t="s">
        <v>8200</v>
      </c>
      <c r="S513" s="3" t="s">
        <v>8046</v>
      </c>
      <c r="T513" s="3">
        <v>0</v>
      </c>
    </row>
    <row r="514" spans="1:20" hidden="1" x14ac:dyDescent="0.25">
      <c r="A514" t="s">
        <v>8607</v>
      </c>
      <c r="B514" t="s">
        <v>8616</v>
      </c>
      <c r="C514" t="s">
        <v>1</v>
      </c>
      <c r="D514" t="s">
        <v>0</v>
      </c>
      <c r="E514">
        <v>71067862</v>
      </c>
      <c r="F514" t="s">
        <v>3344</v>
      </c>
      <c r="G514" t="s">
        <v>1635</v>
      </c>
      <c r="H514" s="3">
        <v>0</v>
      </c>
      <c r="I514" s="3">
        <v>0</v>
      </c>
      <c r="J514" s="3">
        <v>0</v>
      </c>
      <c r="K514" s="3">
        <v>126.76</v>
      </c>
      <c r="L514" s="3">
        <v>0</v>
      </c>
      <c r="M514" s="3">
        <v>0</v>
      </c>
      <c r="N514" s="3">
        <v>0</v>
      </c>
      <c r="O514" s="3">
        <v>16.4788</v>
      </c>
      <c r="P514" s="3">
        <v>143.2388</v>
      </c>
      <c r="Q514" t="s">
        <v>8046</v>
      </c>
      <c r="R514" t="s">
        <v>8200</v>
      </c>
      <c r="S514" s="3" t="s">
        <v>8046</v>
      </c>
      <c r="T514" s="3">
        <v>0</v>
      </c>
    </row>
    <row r="515" spans="1:20" hidden="1" x14ac:dyDescent="0.25">
      <c r="A515" t="s">
        <v>8607</v>
      </c>
      <c r="B515" t="s">
        <v>8617</v>
      </c>
      <c r="C515" t="s">
        <v>1</v>
      </c>
      <c r="D515" t="s">
        <v>0</v>
      </c>
      <c r="E515">
        <v>2589</v>
      </c>
      <c r="F515" t="s">
        <v>762</v>
      </c>
      <c r="G515" t="s">
        <v>763</v>
      </c>
      <c r="H515" s="3">
        <v>0</v>
      </c>
      <c r="I515" s="3">
        <v>0</v>
      </c>
      <c r="J515" s="3">
        <v>0</v>
      </c>
      <c r="K515" s="3">
        <v>607.20000000000005</v>
      </c>
      <c r="L515" s="3">
        <v>0</v>
      </c>
      <c r="M515" s="3">
        <v>0</v>
      </c>
      <c r="N515" s="3">
        <v>0</v>
      </c>
      <c r="O515" s="3">
        <v>78.936000000000007</v>
      </c>
      <c r="P515" s="3">
        <v>686.13600000000008</v>
      </c>
      <c r="Q515" t="s">
        <v>8046</v>
      </c>
      <c r="R515" t="s">
        <v>8200</v>
      </c>
      <c r="S515" s="3" t="s">
        <v>8046</v>
      </c>
      <c r="T515" s="3">
        <v>0</v>
      </c>
    </row>
    <row r="516" spans="1:20" hidden="1" x14ac:dyDescent="0.25">
      <c r="A516" t="s">
        <v>8607</v>
      </c>
      <c r="B516" t="s">
        <v>8617</v>
      </c>
      <c r="C516" t="s">
        <v>1</v>
      </c>
      <c r="D516" t="s">
        <v>0</v>
      </c>
      <c r="E516">
        <v>27683</v>
      </c>
      <c r="F516" t="s">
        <v>3019</v>
      </c>
      <c r="G516" t="s">
        <v>3020</v>
      </c>
      <c r="H516" s="3">
        <v>0</v>
      </c>
      <c r="I516" s="3">
        <v>0</v>
      </c>
      <c r="J516" s="3">
        <v>0</v>
      </c>
      <c r="K516" s="3">
        <v>172.5</v>
      </c>
      <c r="L516" s="3">
        <v>0</v>
      </c>
      <c r="M516" s="3">
        <v>0</v>
      </c>
      <c r="N516" s="3">
        <v>0</v>
      </c>
      <c r="O516" s="3">
        <v>22.425000000000001</v>
      </c>
      <c r="P516" s="3">
        <v>194.92500000000001</v>
      </c>
      <c r="Q516" t="s">
        <v>8046</v>
      </c>
      <c r="R516" t="s">
        <v>8200</v>
      </c>
      <c r="S516" s="3" t="s">
        <v>8341</v>
      </c>
      <c r="T516" s="3">
        <v>1.73</v>
      </c>
    </row>
    <row r="517" spans="1:20" hidden="1" x14ac:dyDescent="0.25">
      <c r="A517" t="s">
        <v>8607</v>
      </c>
      <c r="B517" t="s">
        <v>8617</v>
      </c>
      <c r="C517" t="s">
        <v>1</v>
      </c>
      <c r="D517" t="s">
        <v>0</v>
      </c>
      <c r="E517">
        <v>478796</v>
      </c>
      <c r="F517" t="s">
        <v>1546</v>
      </c>
      <c r="G517" t="s">
        <v>1547</v>
      </c>
      <c r="H517" s="3">
        <v>1.62</v>
      </c>
      <c r="I517" s="3">
        <v>0</v>
      </c>
      <c r="J517" s="3">
        <v>0</v>
      </c>
      <c r="K517" s="3">
        <v>29.54</v>
      </c>
      <c r="L517" s="3">
        <v>0</v>
      </c>
      <c r="M517" s="3">
        <v>0</v>
      </c>
      <c r="N517" s="3">
        <v>0</v>
      </c>
      <c r="O517" s="3">
        <v>3.8401999999999998</v>
      </c>
      <c r="P517" s="3">
        <v>35.0002</v>
      </c>
      <c r="Q517" t="s">
        <v>8046</v>
      </c>
      <c r="R517" t="s">
        <v>8200</v>
      </c>
      <c r="S517" s="3" t="s">
        <v>8046</v>
      </c>
      <c r="T517" s="3">
        <v>0</v>
      </c>
    </row>
    <row r="518" spans="1:20" hidden="1" x14ac:dyDescent="0.25">
      <c r="A518" t="s">
        <v>8607</v>
      </c>
      <c r="B518" t="s">
        <v>8617</v>
      </c>
      <c r="C518" t="s">
        <v>1</v>
      </c>
      <c r="D518" t="s">
        <v>0</v>
      </c>
      <c r="E518">
        <v>23851</v>
      </c>
      <c r="F518" t="s">
        <v>1522</v>
      </c>
      <c r="G518" t="s">
        <v>1523</v>
      </c>
      <c r="H518" s="3">
        <v>2.0099999999999998</v>
      </c>
      <c r="I518" s="3">
        <v>0</v>
      </c>
      <c r="J518" s="3">
        <v>0</v>
      </c>
      <c r="K518" s="3">
        <v>36.270000000000003</v>
      </c>
      <c r="L518" s="3">
        <v>0</v>
      </c>
      <c r="M518" s="3">
        <v>0</v>
      </c>
      <c r="N518" s="3">
        <v>0</v>
      </c>
      <c r="O518" s="3">
        <v>4.7151000000000005</v>
      </c>
      <c r="P518" s="3">
        <v>42.995100000000001</v>
      </c>
      <c r="Q518" t="s">
        <v>8046</v>
      </c>
      <c r="R518" t="s">
        <v>8200</v>
      </c>
      <c r="S518" s="3" t="s">
        <v>8046</v>
      </c>
      <c r="T518" s="3">
        <v>0</v>
      </c>
    </row>
    <row r="519" spans="1:20" hidden="1" x14ac:dyDescent="0.25">
      <c r="A519" t="s">
        <v>8608</v>
      </c>
      <c r="B519" t="s">
        <v>8618</v>
      </c>
      <c r="C519" t="s">
        <v>1</v>
      </c>
      <c r="D519" t="s">
        <v>0</v>
      </c>
      <c r="E519">
        <v>9128</v>
      </c>
      <c r="F519" t="s">
        <v>1200</v>
      </c>
      <c r="G519" t="s">
        <v>1201</v>
      </c>
      <c r="H519" s="3">
        <v>0</v>
      </c>
      <c r="I519" s="3">
        <v>0</v>
      </c>
      <c r="J519" s="3">
        <v>0</v>
      </c>
      <c r="K519" s="3">
        <v>2250</v>
      </c>
      <c r="L519" s="3">
        <v>0</v>
      </c>
      <c r="M519" s="3">
        <v>0</v>
      </c>
      <c r="N519" s="3">
        <v>0</v>
      </c>
      <c r="O519" s="3">
        <v>292.5</v>
      </c>
      <c r="P519" s="3">
        <v>2542.5</v>
      </c>
      <c r="Q519" t="s">
        <v>8046</v>
      </c>
      <c r="R519" t="s">
        <v>8200</v>
      </c>
      <c r="S519" s="3" t="s">
        <v>8358</v>
      </c>
      <c r="T519" s="3">
        <v>22.5</v>
      </c>
    </row>
    <row r="520" spans="1:20" hidden="1" x14ac:dyDescent="0.25">
      <c r="A520" t="s">
        <v>8607</v>
      </c>
      <c r="B520" t="s">
        <v>8618</v>
      </c>
      <c r="C520" t="s">
        <v>1</v>
      </c>
      <c r="D520" t="s">
        <v>0</v>
      </c>
      <c r="E520">
        <v>9094</v>
      </c>
      <c r="F520" t="s">
        <v>1200</v>
      </c>
      <c r="G520" t="s">
        <v>1201</v>
      </c>
      <c r="H520" s="3">
        <v>0</v>
      </c>
      <c r="I520" s="3">
        <v>0</v>
      </c>
      <c r="J520" s="3">
        <v>0</v>
      </c>
      <c r="K520" s="3">
        <v>2658.8</v>
      </c>
      <c r="L520" s="3">
        <v>0</v>
      </c>
      <c r="M520" s="3">
        <v>0</v>
      </c>
      <c r="N520" s="3">
        <v>0</v>
      </c>
      <c r="O520" s="3">
        <v>345.64400000000006</v>
      </c>
      <c r="P520" s="3">
        <v>3004.4440000000004</v>
      </c>
      <c r="Q520" t="s">
        <v>8046</v>
      </c>
      <c r="R520" t="s">
        <v>8200</v>
      </c>
      <c r="S520" s="3" t="s">
        <v>8358</v>
      </c>
      <c r="T520" s="3">
        <v>26.59</v>
      </c>
    </row>
    <row r="521" spans="1:20" hidden="1" x14ac:dyDescent="0.25">
      <c r="A521" t="s">
        <v>8607</v>
      </c>
      <c r="B521" t="s">
        <v>8618</v>
      </c>
      <c r="C521" t="s">
        <v>1</v>
      </c>
      <c r="D521" t="s">
        <v>0</v>
      </c>
      <c r="E521">
        <v>9095</v>
      </c>
      <c r="F521" t="s">
        <v>1200</v>
      </c>
      <c r="G521" t="s">
        <v>1201</v>
      </c>
      <c r="H521" s="3">
        <v>0</v>
      </c>
      <c r="I521" s="3">
        <v>0</v>
      </c>
      <c r="J521" s="3">
        <v>0</v>
      </c>
      <c r="K521" s="3">
        <v>2776.6</v>
      </c>
      <c r="L521" s="3">
        <v>0</v>
      </c>
      <c r="M521" s="3">
        <v>0</v>
      </c>
      <c r="N521" s="3">
        <v>0</v>
      </c>
      <c r="O521" s="3">
        <v>360.95800000000003</v>
      </c>
      <c r="P521" s="3">
        <v>3137.558</v>
      </c>
      <c r="Q521" t="s">
        <v>8046</v>
      </c>
      <c r="R521" t="s">
        <v>8200</v>
      </c>
      <c r="S521" s="3" t="s">
        <v>8358</v>
      </c>
      <c r="T521" s="3">
        <v>27.77</v>
      </c>
    </row>
    <row r="522" spans="1:20" hidden="1" x14ac:dyDescent="0.25">
      <c r="A522" t="s">
        <v>8607</v>
      </c>
      <c r="B522" t="s">
        <v>8618</v>
      </c>
      <c r="C522" t="s">
        <v>1</v>
      </c>
      <c r="D522" t="s">
        <v>0</v>
      </c>
      <c r="E522">
        <v>27679</v>
      </c>
      <c r="F522" t="s">
        <v>3019</v>
      </c>
      <c r="G522" t="s">
        <v>3020</v>
      </c>
      <c r="H522" s="3">
        <v>0</v>
      </c>
      <c r="I522" s="3">
        <v>0</v>
      </c>
      <c r="J522" s="3">
        <v>0</v>
      </c>
      <c r="K522" s="3">
        <v>369.6</v>
      </c>
      <c r="L522" s="3">
        <v>0</v>
      </c>
      <c r="M522" s="3">
        <v>0</v>
      </c>
      <c r="N522" s="3">
        <v>0</v>
      </c>
      <c r="O522" s="3">
        <v>48.048000000000002</v>
      </c>
      <c r="P522" s="3">
        <v>417.64800000000002</v>
      </c>
      <c r="Q522" t="s">
        <v>8046</v>
      </c>
      <c r="R522" t="s">
        <v>8200</v>
      </c>
      <c r="S522" s="3" t="s">
        <v>8345</v>
      </c>
      <c r="T522" s="3">
        <v>3.7</v>
      </c>
    </row>
    <row r="523" spans="1:20" hidden="1" x14ac:dyDescent="0.25">
      <c r="A523" t="s">
        <v>8607</v>
      </c>
      <c r="B523" t="s">
        <v>8618</v>
      </c>
      <c r="C523" t="s">
        <v>1</v>
      </c>
      <c r="D523" t="s">
        <v>0</v>
      </c>
      <c r="E523">
        <v>190</v>
      </c>
      <c r="F523" t="s">
        <v>1457</v>
      </c>
      <c r="G523" t="s">
        <v>8600</v>
      </c>
      <c r="H523" s="3">
        <v>0</v>
      </c>
      <c r="I523" s="3">
        <v>0</v>
      </c>
      <c r="J523" s="3">
        <v>0</v>
      </c>
      <c r="K523" s="3">
        <v>133.91999999999999</v>
      </c>
      <c r="L523" s="3">
        <v>0</v>
      </c>
      <c r="M523" s="3">
        <v>0</v>
      </c>
      <c r="N523" s="3">
        <v>0</v>
      </c>
      <c r="O523" s="3">
        <v>17.409599999999998</v>
      </c>
      <c r="P523" s="3">
        <v>151.32959999999997</v>
      </c>
      <c r="Q523" t="s">
        <v>8046</v>
      </c>
      <c r="R523" t="s">
        <v>8200</v>
      </c>
      <c r="S523" s="3" t="s">
        <v>8046</v>
      </c>
      <c r="T523" s="3">
        <v>0</v>
      </c>
    </row>
    <row r="524" spans="1:20" hidden="1" x14ac:dyDescent="0.25">
      <c r="A524" t="s">
        <v>8607</v>
      </c>
      <c r="B524" t="s">
        <v>8641</v>
      </c>
      <c r="C524" t="s">
        <v>1</v>
      </c>
      <c r="D524" t="s">
        <v>0</v>
      </c>
      <c r="E524">
        <v>1450780</v>
      </c>
      <c r="F524" t="s">
        <v>1576</v>
      </c>
      <c r="G524" t="s">
        <v>1577</v>
      </c>
      <c r="H524" s="3">
        <v>0</v>
      </c>
      <c r="I524" s="3">
        <v>0</v>
      </c>
      <c r="J524" s="3">
        <v>0</v>
      </c>
      <c r="K524" s="3">
        <v>322.16000000000003</v>
      </c>
      <c r="L524" s="3">
        <v>0</v>
      </c>
      <c r="M524" s="3">
        <v>0</v>
      </c>
      <c r="N524" s="3">
        <v>0</v>
      </c>
      <c r="O524" s="3">
        <v>41.880800000000008</v>
      </c>
      <c r="P524" s="3">
        <v>364.04080000000005</v>
      </c>
      <c r="Q524" t="s">
        <v>8046</v>
      </c>
      <c r="R524" t="s">
        <v>8200</v>
      </c>
      <c r="S524" s="3" t="s">
        <v>8345</v>
      </c>
      <c r="T524" s="3">
        <v>3.22</v>
      </c>
    </row>
    <row r="525" spans="1:20" hidden="1" x14ac:dyDescent="0.25">
      <c r="A525" t="s">
        <v>8607</v>
      </c>
      <c r="B525" t="s">
        <v>8641</v>
      </c>
      <c r="C525" t="s">
        <v>1</v>
      </c>
      <c r="D525" t="s">
        <v>0</v>
      </c>
      <c r="E525">
        <v>1450779</v>
      </c>
      <c r="F525" t="s">
        <v>1576</v>
      </c>
      <c r="G525" t="s">
        <v>1577</v>
      </c>
      <c r="H525" s="3">
        <v>0</v>
      </c>
      <c r="I525" s="3">
        <v>0</v>
      </c>
      <c r="J525" s="3">
        <v>0</v>
      </c>
      <c r="K525" s="3">
        <v>1717.92</v>
      </c>
      <c r="L525" s="3">
        <v>0</v>
      </c>
      <c r="M525" s="3">
        <v>0</v>
      </c>
      <c r="N525" s="3">
        <v>0</v>
      </c>
      <c r="O525" s="3">
        <v>223.32960000000003</v>
      </c>
      <c r="P525" s="3">
        <v>1941.2496000000001</v>
      </c>
      <c r="Q525" t="s">
        <v>8046</v>
      </c>
      <c r="R525" t="s">
        <v>8200</v>
      </c>
      <c r="S525" s="3" t="s">
        <v>8345</v>
      </c>
      <c r="T525" s="3">
        <v>17.18</v>
      </c>
    </row>
    <row r="526" spans="1:20" hidden="1" x14ac:dyDescent="0.25">
      <c r="A526" t="s">
        <v>8607</v>
      </c>
      <c r="B526" t="s">
        <v>8641</v>
      </c>
      <c r="C526" t="s">
        <v>1</v>
      </c>
      <c r="D526" t="s">
        <v>0</v>
      </c>
      <c r="E526">
        <v>163</v>
      </c>
      <c r="F526" t="s">
        <v>278</v>
      </c>
      <c r="G526" t="s">
        <v>279</v>
      </c>
      <c r="H526" s="3">
        <v>0</v>
      </c>
      <c r="I526" s="3">
        <v>0</v>
      </c>
      <c r="J526" s="3">
        <v>0</v>
      </c>
      <c r="K526" s="3">
        <v>1200</v>
      </c>
      <c r="L526" s="3">
        <v>0</v>
      </c>
      <c r="M526" s="3">
        <v>0</v>
      </c>
      <c r="N526" s="3">
        <v>0</v>
      </c>
      <c r="O526" s="3">
        <v>156</v>
      </c>
      <c r="P526" s="3">
        <v>1356</v>
      </c>
      <c r="Q526" t="s">
        <v>8046</v>
      </c>
      <c r="R526" t="s">
        <v>8200</v>
      </c>
      <c r="S526" s="3" t="s">
        <v>8046</v>
      </c>
      <c r="T526" s="3">
        <v>0</v>
      </c>
    </row>
    <row r="527" spans="1:20" hidden="1" x14ac:dyDescent="0.25">
      <c r="A527" t="s">
        <v>8607</v>
      </c>
      <c r="B527" t="s">
        <v>8641</v>
      </c>
      <c r="C527" t="s">
        <v>1</v>
      </c>
      <c r="D527" t="s">
        <v>0</v>
      </c>
      <c r="E527">
        <v>535</v>
      </c>
      <c r="G527" t="s">
        <v>1489</v>
      </c>
      <c r="H527" s="3">
        <v>1.69</v>
      </c>
      <c r="I527" s="3">
        <v>0</v>
      </c>
      <c r="J527" s="3">
        <v>0</v>
      </c>
      <c r="K527" s="3">
        <v>29.48</v>
      </c>
      <c r="L527" s="3">
        <v>0</v>
      </c>
      <c r="M527" s="3">
        <v>0</v>
      </c>
      <c r="N527" s="3">
        <v>0</v>
      </c>
      <c r="O527" s="3">
        <v>3.8324000000000003</v>
      </c>
      <c r="P527" s="3">
        <v>35.002400000000002</v>
      </c>
      <c r="Q527" t="s">
        <v>8046</v>
      </c>
      <c r="R527" t="s">
        <v>8200</v>
      </c>
      <c r="S527" s="3" t="s">
        <v>8673</v>
      </c>
      <c r="T527" s="3">
        <v>0</v>
      </c>
    </row>
    <row r="528" spans="1:20" hidden="1" x14ac:dyDescent="0.25">
      <c r="A528" t="s">
        <v>8607</v>
      </c>
      <c r="B528" t="s">
        <v>8641</v>
      </c>
      <c r="C528" t="s">
        <v>1</v>
      </c>
      <c r="D528" t="s">
        <v>0</v>
      </c>
      <c r="E528">
        <v>1638</v>
      </c>
      <c r="F528" t="s">
        <v>7902</v>
      </c>
      <c r="G528" t="s">
        <v>7903</v>
      </c>
      <c r="H528" s="3">
        <v>0</v>
      </c>
      <c r="I528" s="3">
        <v>0</v>
      </c>
      <c r="J528" s="3">
        <v>0</v>
      </c>
      <c r="K528" s="3">
        <v>125.04</v>
      </c>
      <c r="L528" s="3">
        <v>0</v>
      </c>
      <c r="M528" s="3">
        <v>0</v>
      </c>
      <c r="N528" s="3">
        <v>0</v>
      </c>
      <c r="O528" s="3">
        <v>16.255200000000002</v>
      </c>
      <c r="P528" s="3">
        <v>141.29520000000002</v>
      </c>
      <c r="Q528" t="s">
        <v>8046</v>
      </c>
      <c r="R528" t="s">
        <v>8200</v>
      </c>
      <c r="S528" s="3" t="s">
        <v>8046</v>
      </c>
      <c r="T528" s="3">
        <v>0</v>
      </c>
    </row>
    <row r="529" spans="1:20" hidden="1" x14ac:dyDescent="0.25">
      <c r="A529" t="s">
        <v>8607</v>
      </c>
      <c r="B529" t="s">
        <v>8619</v>
      </c>
      <c r="C529" t="s">
        <v>1</v>
      </c>
      <c r="D529" t="s">
        <v>0</v>
      </c>
      <c r="E529">
        <v>5684373</v>
      </c>
      <c r="F529" t="s">
        <v>1501</v>
      </c>
      <c r="G529" t="s">
        <v>1502</v>
      </c>
      <c r="H529" s="3">
        <v>1.46</v>
      </c>
      <c r="I529" s="3">
        <v>0</v>
      </c>
      <c r="J529" s="3">
        <v>0</v>
      </c>
      <c r="K529" s="3">
        <v>25.25</v>
      </c>
      <c r="L529" s="3">
        <v>0</v>
      </c>
      <c r="M529" s="3">
        <v>0</v>
      </c>
      <c r="N529" s="3">
        <v>0</v>
      </c>
      <c r="O529" s="3">
        <v>3.2825000000000002</v>
      </c>
      <c r="P529" s="3">
        <v>29.9925</v>
      </c>
      <c r="Q529" t="s">
        <v>8046</v>
      </c>
      <c r="R529" t="s">
        <v>8200</v>
      </c>
      <c r="S529" s="3" t="s">
        <v>8046</v>
      </c>
      <c r="T529" s="3">
        <v>0</v>
      </c>
    </row>
    <row r="530" spans="1:20" hidden="1" x14ac:dyDescent="0.25">
      <c r="A530" t="s">
        <v>8607</v>
      </c>
      <c r="B530" t="s">
        <v>8619</v>
      </c>
      <c r="C530" t="s">
        <v>1</v>
      </c>
      <c r="D530" t="s">
        <v>0</v>
      </c>
      <c r="E530">
        <v>4480</v>
      </c>
      <c r="F530" t="s">
        <v>1744</v>
      </c>
      <c r="G530" t="s">
        <v>1745</v>
      </c>
      <c r="H530" s="3">
        <v>0</v>
      </c>
      <c r="I530" s="3">
        <v>0</v>
      </c>
      <c r="J530" s="3">
        <v>0</v>
      </c>
      <c r="K530" s="3">
        <v>18.14</v>
      </c>
      <c r="L530" s="3">
        <v>0</v>
      </c>
      <c r="M530" s="3">
        <v>0</v>
      </c>
      <c r="N530" s="3">
        <v>0</v>
      </c>
      <c r="O530" s="3">
        <v>2.3582000000000001</v>
      </c>
      <c r="P530" s="3">
        <v>20.498200000000001</v>
      </c>
      <c r="Q530" t="s">
        <v>8046</v>
      </c>
      <c r="R530" t="s">
        <v>8200</v>
      </c>
      <c r="S530" s="3" t="s">
        <v>8046</v>
      </c>
      <c r="T530" s="3">
        <v>0</v>
      </c>
    </row>
    <row r="531" spans="1:20" hidden="1" x14ac:dyDescent="0.25">
      <c r="A531" t="s">
        <v>8607</v>
      </c>
      <c r="B531" t="s">
        <v>8621</v>
      </c>
      <c r="C531" t="s">
        <v>1</v>
      </c>
      <c r="D531" t="s">
        <v>0</v>
      </c>
      <c r="E531">
        <v>9993</v>
      </c>
      <c r="F531" t="s">
        <v>119</v>
      </c>
      <c r="G531" t="s">
        <v>120</v>
      </c>
      <c r="H531" s="3">
        <v>0</v>
      </c>
      <c r="I531" s="3">
        <v>0</v>
      </c>
      <c r="J531" s="3">
        <v>0</v>
      </c>
      <c r="K531" s="3">
        <v>63</v>
      </c>
      <c r="L531" s="3">
        <v>0</v>
      </c>
      <c r="M531" s="3">
        <v>0</v>
      </c>
      <c r="N531" s="3">
        <v>0</v>
      </c>
      <c r="O531" s="3">
        <v>8.19</v>
      </c>
      <c r="P531" s="3">
        <v>71.19</v>
      </c>
      <c r="Q531" t="s">
        <v>8046</v>
      </c>
      <c r="R531" t="s">
        <v>8200</v>
      </c>
      <c r="S531" s="3" t="s">
        <v>8046</v>
      </c>
      <c r="T531" s="3">
        <v>0</v>
      </c>
    </row>
    <row r="532" spans="1:20" hidden="1" x14ac:dyDescent="0.25">
      <c r="A532" t="s">
        <v>8607</v>
      </c>
      <c r="B532" t="s">
        <v>8621</v>
      </c>
      <c r="C532" t="s">
        <v>1</v>
      </c>
      <c r="D532" t="s">
        <v>0</v>
      </c>
      <c r="E532">
        <v>205487</v>
      </c>
      <c r="F532" t="s">
        <v>1646</v>
      </c>
      <c r="G532" t="s">
        <v>1647</v>
      </c>
      <c r="H532" s="3">
        <v>0</v>
      </c>
      <c r="I532" s="3">
        <v>0</v>
      </c>
      <c r="J532" s="3">
        <v>0</v>
      </c>
      <c r="K532" s="3">
        <v>137.5</v>
      </c>
      <c r="L532" s="3">
        <v>0</v>
      </c>
      <c r="M532" s="3">
        <v>0</v>
      </c>
      <c r="N532" s="3">
        <v>0</v>
      </c>
      <c r="O532" s="3">
        <v>17.875</v>
      </c>
      <c r="P532" s="3">
        <v>155.375</v>
      </c>
      <c r="Q532" t="s">
        <v>8046</v>
      </c>
      <c r="R532" t="s">
        <v>8200</v>
      </c>
      <c r="S532" s="3" t="s">
        <v>8360</v>
      </c>
      <c r="T532" s="3">
        <v>1.38</v>
      </c>
    </row>
    <row r="533" spans="1:20" hidden="1" x14ac:dyDescent="0.25">
      <c r="A533" t="s">
        <v>8607</v>
      </c>
      <c r="B533" t="s">
        <v>8621</v>
      </c>
      <c r="C533" t="s">
        <v>1</v>
      </c>
      <c r="D533" t="s">
        <v>0</v>
      </c>
      <c r="E533">
        <v>977527</v>
      </c>
      <c r="F533" t="s">
        <v>2440</v>
      </c>
      <c r="G533" t="s">
        <v>2441</v>
      </c>
      <c r="H533" s="3">
        <v>0</v>
      </c>
      <c r="I533" s="3">
        <v>0</v>
      </c>
      <c r="J533" s="3">
        <v>0</v>
      </c>
      <c r="K533" s="3">
        <v>185.5</v>
      </c>
      <c r="L533" s="3">
        <v>0</v>
      </c>
      <c r="M533" s="3">
        <v>0</v>
      </c>
      <c r="N533" s="3">
        <v>0</v>
      </c>
      <c r="O533" s="3">
        <v>24.115000000000002</v>
      </c>
      <c r="P533" s="3">
        <v>209.61500000000001</v>
      </c>
      <c r="Q533" t="s">
        <v>8046</v>
      </c>
      <c r="R533" t="s">
        <v>8200</v>
      </c>
      <c r="S533" s="3" t="s">
        <v>8359</v>
      </c>
      <c r="T533" s="3">
        <v>1.86</v>
      </c>
    </row>
    <row r="534" spans="1:20" hidden="1" x14ac:dyDescent="0.25">
      <c r="A534" t="s">
        <v>8607</v>
      </c>
      <c r="B534" t="s">
        <v>8621</v>
      </c>
      <c r="C534" t="s">
        <v>1</v>
      </c>
      <c r="D534" t="s">
        <v>0</v>
      </c>
      <c r="E534">
        <v>1448758</v>
      </c>
      <c r="F534" t="s">
        <v>1576</v>
      </c>
      <c r="G534" t="s">
        <v>1577</v>
      </c>
      <c r="H534" s="3">
        <v>0</v>
      </c>
      <c r="I534" s="3">
        <v>0</v>
      </c>
      <c r="J534" s="3">
        <v>0</v>
      </c>
      <c r="K534" s="3">
        <v>394.4</v>
      </c>
      <c r="L534" s="3">
        <v>0</v>
      </c>
      <c r="M534" s="3">
        <v>0</v>
      </c>
      <c r="N534" s="3">
        <v>0</v>
      </c>
      <c r="O534" s="3">
        <v>51.271999999999998</v>
      </c>
      <c r="P534" s="3">
        <v>445.67199999999997</v>
      </c>
      <c r="Q534" t="s">
        <v>8046</v>
      </c>
      <c r="R534" t="s">
        <v>8200</v>
      </c>
      <c r="S534" s="3" t="s">
        <v>8345</v>
      </c>
      <c r="T534" s="3">
        <v>3.94</v>
      </c>
    </row>
    <row r="535" spans="1:20" hidden="1" x14ac:dyDescent="0.25">
      <c r="A535" t="s">
        <v>8607</v>
      </c>
      <c r="B535" t="s">
        <v>8621</v>
      </c>
      <c r="C535" t="s">
        <v>1</v>
      </c>
      <c r="D535" t="s">
        <v>0</v>
      </c>
      <c r="E535">
        <v>1448819</v>
      </c>
      <c r="F535" t="s">
        <v>1576</v>
      </c>
      <c r="G535" t="s">
        <v>1577</v>
      </c>
      <c r="H535" s="3">
        <v>0</v>
      </c>
      <c r="I535" s="3">
        <v>0</v>
      </c>
      <c r="J535" s="3">
        <v>0</v>
      </c>
      <c r="K535" s="3">
        <v>1104</v>
      </c>
      <c r="L535" s="3">
        <v>0</v>
      </c>
      <c r="M535" s="3">
        <v>0</v>
      </c>
      <c r="N535" s="3">
        <v>0</v>
      </c>
      <c r="O535" s="3">
        <v>143.52000000000001</v>
      </c>
      <c r="P535" s="3">
        <v>1247.52</v>
      </c>
      <c r="Q535" t="s">
        <v>8046</v>
      </c>
      <c r="R535" t="s">
        <v>8200</v>
      </c>
      <c r="S535" s="3" t="s">
        <v>8345</v>
      </c>
      <c r="T535" s="3">
        <v>11.04</v>
      </c>
    </row>
    <row r="536" spans="1:20" hidden="1" x14ac:dyDescent="0.25">
      <c r="A536" t="s">
        <v>8607</v>
      </c>
      <c r="B536" t="s">
        <v>8621</v>
      </c>
      <c r="C536" t="s">
        <v>1</v>
      </c>
      <c r="D536" t="s">
        <v>0</v>
      </c>
      <c r="E536">
        <v>512098</v>
      </c>
      <c r="F536" t="s">
        <v>2376</v>
      </c>
      <c r="G536" t="s">
        <v>2377</v>
      </c>
      <c r="H536" s="3">
        <v>0</v>
      </c>
      <c r="I536" s="3">
        <v>0</v>
      </c>
      <c r="J536" s="3">
        <v>0</v>
      </c>
      <c r="K536" s="3">
        <v>189.04</v>
      </c>
      <c r="L536" s="3">
        <v>0</v>
      </c>
      <c r="M536" s="3">
        <v>0</v>
      </c>
      <c r="N536" s="3">
        <v>0</v>
      </c>
      <c r="O536" s="3">
        <v>24.575199999999999</v>
      </c>
      <c r="P536" s="3">
        <v>213.61519999999999</v>
      </c>
      <c r="Q536" t="s">
        <v>8046</v>
      </c>
      <c r="R536" t="s">
        <v>8200</v>
      </c>
      <c r="S536" s="3" t="s">
        <v>8046</v>
      </c>
      <c r="T536" s="3">
        <v>0</v>
      </c>
    </row>
    <row r="537" spans="1:20" hidden="1" x14ac:dyDescent="0.25">
      <c r="A537" t="s">
        <v>8607</v>
      </c>
      <c r="B537" t="s">
        <v>8621</v>
      </c>
      <c r="C537" t="s">
        <v>1</v>
      </c>
      <c r="D537" t="s">
        <v>0</v>
      </c>
      <c r="E537">
        <v>87969</v>
      </c>
      <c r="F537" t="s">
        <v>1670</v>
      </c>
      <c r="G537" t="s">
        <v>1671</v>
      </c>
      <c r="H537" s="3">
        <v>1.69</v>
      </c>
      <c r="I537" s="3">
        <v>0</v>
      </c>
      <c r="J537" s="3">
        <v>0</v>
      </c>
      <c r="K537" s="3">
        <v>29.48</v>
      </c>
      <c r="L537" s="3">
        <v>0</v>
      </c>
      <c r="M537" s="3">
        <v>0</v>
      </c>
      <c r="N537" s="3">
        <v>0</v>
      </c>
      <c r="O537" s="3">
        <v>3.8324000000000003</v>
      </c>
      <c r="P537" s="3">
        <v>35.002400000000002</v>
      </c>
      <c r="Q537" t="s">
        <v>8046</v>
      </c>
      <c r="R537" t="s">
        <v>8200</v>
      </c>
      <c r="S537" s="3" t="s">
        <v>8046</v>
      </c>
      <c r="T537" s="3">
        <v>0</v>
      </c>
    </row>
    <row r="538" spans="1:20" hidden="1" x14ac:dyDescent="0.25">
      <c r="A538" t="s">
        <v>8607</v>
      </c>
      <c r="B538" t="s">
        <v>8621</v>
      </c>
      <c r="C538" t="s">
        <v>1</v>
      </c>
      <c r="D538" t="s">
        <v>0</v>
      </c>
      <c r="E538">
        <v>603224</v>
      </c>
      <c r="F538" t="s">
        <v>39</v>
      </c>
      <c r="G538" t="s">
        <v>1596</v>
      </c>
      <c r="H538" s="3">
        <v>2.06</v>
      </c>
      <c r="I538" s="3">
        <v>0</v>
      </c>
      <c r="J538" s="3">
        <v>0</v>
      </c>
      <c r="K538" s="3">
        <v>37.119999999999997</v>
      </c>
      <c r="L538" s="3">
        <v>0</v>
      </c>
      <c r="M538" s="3">
        <v>0</v>
      </c>
      <c r="N538" s="3">
        <v>0</v>
      </c>
      <c r="O538" s="3">
        <v>4.8255999999999997</v>
      </c>
      <c r="P538" s="3">
        <v>44.005600000000001</v>
      </c>
      <c r="Q538" t="s">
        <v>8046</v>
      </c>
      <c r="R538" t="s">
        <v>8200</v>
      </c>
      <c r="S538" s="3" t="s">
        <v>8046</v>
      </c>
      <c r="T538" s="3">
        <v>0</v>
      </c>
    </row>
    <row r="539" spans="1:20" hidden="1" x14ac:dyDescent="0.25">
      <c r="A539" t="s">
        <v>8607</v>
      </c>
      <c r="B539" t="s">
        <v>8622</v>
      </c>
      <c r="C539" t="s">
        <v>1</v>
      </c>
      <c r="D539" t="s">
        <v>0</v>
      </c>
      <c r="E539">
        <v>159</v>
      </c>
      <c r="F539" t="s">
        <v>278</v>
      </c>
      <c r="G539" t="s">
        <v>279</v>
      </c>
      <c r="H539" s="3">
        <v>0</v>
      </c>
      <c r="I539" s="3">
        <v>0</v>
      </c>
      <c r="J539" s="3">
        <v>0</v>
      </c>
      <c r="K539" s="3">
        <v>334.5</v>
      </c>
      <c r="L539" s="3">
        <v>0</v>
      </c>
      <c r="M539" s="3">
        <v>0</v>
      </c>
      <c r="N539" s="3">
        <v>0</v>
      </c>
      <c r="O539" s="3">
        <v>43.484999999999999</v>
      </c>
      <c r="P539" s="3">
        <v>377.98500000000001</v>
      </c>
      <c r="Q539" t="s">
        <v>8046</v>
      </c>
      <c r="R539" t="s">
        <v>8200</v>
      </c>
      <c r="S539" s="3" t="s">
        <v>8046</v>
      </c>
      <c r="T539" s="3">
        <v>0</v>
      </c>
    </row>
    <row r="540" spans="1:20" hidden="1" x14ac:dyDescent="0.25">
      <c r="A540" t="s">
        <v>8607</v>
      </c>
      <c r="B540" t="s">
        <v>8622</v>
      </c>
      <c r="C540" t="s">
        <v>1</v>
      </c>
      <c r="D540" t="s">
        <v>0</v>
      </c>
      <c r="E540">
        <v>149228</v>
      </c>
      <c r="F540" t="s">
        <v>1636</v>
      </c>
      <c r="G540" t="s">
        <v>1637</v>
      </c>
      <c r="H540" s="3">
        <v>1.4</v>
      </c>
      <c r="I540" s="3">
        <v>0</v>
      </c>
      <c r="J540" s="3">
        <v>0</v>
      </c>
      <c r="K540" s="3">
        <v>25.3</v>
      </c>
      <c r="L540" s="3">
        <v>0</v>
      </c>
      <c r="M540" s="3">
        <v>0</v>
      </c>
      <c r="N540" s="3">
        <v>0</v>
      </c>
      <c r="O540" s="3">
        <v>3.2890000000000001</v>
      </c>
      <c r="P540" s="3">
        <v>29.989000000000001</v>
      </c>
      <c r="Q540" t="s">
        <v>8046</v>
      </c>
      <c r="R540" t="s">
        <v>8200</v>
      </c>
      <c r="S540" s="3" t="s">
        <v>8046</v>
      </c>
      <c r="T540" s="3">
        <v>0</v>
      </c>
    </row>
    <row r="541" spans="1:20" hidden="1" x14ac:dyDescent="0.25">
      <c r="A541" t="s">
        <v>8607</v>
      </c>
      <c r="B541" t="s">
        <v>8623</v>
      </c>
      <c r="C541" t="s">
        <v>1</v>
      </c>
      <c r="D541" t="s">
        <v>0</v>
      </c>
      <c r="E541">
        <v>977188</v>
      </c>
      <c r="F541" t="s">
        <v>2440</v>
      </c>
      <c r="G541" t="s">
        <v>2441</v>
      </c>
      <c r="H541" s="3">
        <v>0</v>
      </c>
      <c r="I541" s="3">
        <v>0</v>
      </c>
      <c r="J541" s="3">
        <v>0</v>
      </c>
      <c r="K541" s="3">
        <v>159.84</v>
      </c>
      <c r="L541" s="3">
        <v>0</v>
      </c>
      <c r="M541" s="3">
        <v>0</v>
      </c>
      <c r="N541" s="3">
        <v>0</v>
      </c>
      <c r="O541" s="3">
        <v>20.779199999999999</v>
      </c>
      <c r="P541" s="3">
        <v>180.61920000000001</v>
      </c>
      <c r="Q541" t="s">
        <v>8046</v>
      </c>
      <c r="R541" t="s">
        <v>8200</v>
      </c>
      <c r="S541" s="3" t="s">
        <v>8359</v>
      </c>
      <c r="T541" s="3">
        <v>1.6</v>
      </c>
    </row>
    <row r="542" spans="1:20" hidden="1" x14ac:dyDescent="0.25">
      <c r="A542" t="s">
        <v>8607</v>
      </c>
      <c r="B542" t="s">
        <v>8623</v>
      </c>
      <c r="C542" t="s">
        <v>1</v>
      </c>
      <c r="D542" t="s">
        <v>0</v>
      </c>
      <c r="E542">
        <v>3661</v>
      </c>
      <c r="F542" t="s">
        <v>8350</v>
      </c>
      <c r="G542" t="s">
        <v>8351</v>
      </c>
      <c r="H542" s="3">
        <v>0</v>
      </c>
      <c r="I542" s="3">
        <v>0</v>
      </c>
      <c r="J542" s="3">
        <v>0</v>
      </c>
      <c r="K542" s="3">
        <v>144.41999999999999</v>
      </c>
      <c r="L542" s="3">
        <v>0</v>
      </c>
      <c r="M542" s="3">
        <v>0</v>
      </c>
      <c r="N542" s="3">
        <v>0</v>
      </c>
      <c r="O542" s="3">
        <v>18.7746</v>
      </c>
      <c r="P542" s="3">
        <v>163.19459999999998</v>
      </c>
      <c r="Q542" t="s">
        <v>8046</v>
      </c>
      <c r="R542" t="s">
        <v>8200</v>
      </c>
      <c r="S542" s="3" t="s">
        <v>8046</v>
      </c>
      <c r="T542" s="3">
        <v>0</v>
      </c>
    </row>
    <row r="543" spans="1:20" hidden="1" x14ac:dyDescent="0.25">
      <c r="A543" t="s">
        <v>8607</v>
      </c>
      <c r="B543" t="s">
        <v>8623</v>
      </c>
      <c r="C543" t="s">
        <v>1</v>
      </c>
      <c r="D543" t="s">
        <v>0</v>
      </c>
      <c r="E543">
        <v>232482</v>
      </c>
      <c r="F543" t="s">
        <v>2398</v>
      </c>
      <c r="G543" t="s">
        <v>2399</v>
      </c>
      <c r="H543" s="3">
        <v>0</v>
      </c>
      <c r="I543" s="3">
        <v>0</v>
      </c>
      <c r="J543" s="3">
        <v>0</v>
      </c>
      <c r="K543" s="3">
        <v>48.72</v>
      </c>
      <c r="L543" s="3">
        <v>0</v>
      </c>
      <c r="M543" s="3">
        <v>0</v>
      </c>
      <c r="N543" s="3">
        <v>0</v>
      </c>
      <c r="O543" s="3">
        <v>6.3335999999999997</v>
      </c>
      <c r="P543" s="3">
        <v>55.053599999999996</v>
      </c>
      <c r="Q543" t="s">
        <v>8046</v>
      </c>
      <c r="R543" t="s">
        <v>8200</v>
      </c>
      <c r="S543" s="3" t="s">
        <v>8046</v>
      </c>
      <c r="T543" s="3">
        <v>0</v>
      </c>
    </row>
    <row r="544" spans="1:20" hidden="1" x14ac:dyDescent="0.25">
      <c r="A544" t="s">
        <v>8607</v>
      </c>
      <c r="B544" t="s">
        <v>8623</v>
      </c>
      <c r="C544" t="s">
        <v>1</v>
      </c>
      <c r="D544" t="s">
        <v>0</v>
      </c>
      <c r="E544">
        <v>1059</v>
      </c>
      <c r="F544" t="s">
        <v>8371</v>
      </c>
      <c r="G544" t="s">
        <v>8372</v>
      </c>
      <c r="H544" s="3">
        <v>0</v>
      </c>
      <c r="I544" s="3">
        <v>0</v>
      </c>
      <c r="J544" s="3">
        <v>0</v>
      </c>
      <c r="K544" s="3">
        <v>146.02000000000001</v>
      </c>
      <c r="L544" s="3">
        <v>0</v>
      </c>
      <c r="M544" s="3">
        <v>0</v>
      </c>
      <c r="N544" s="3">
        <v>0</v>
      </c>
      <c r="O544" s="3">
        <v>18.982600000000001</v>
      </c>
      <c r="P544" s="3">
        <v>165.0026</v>
      </c>
      <c r="Q544" t="s">
        <v>8046</v>
      </c>
      <c r="R544" t="s">
        <v>8200</v>
      </c>
      <c r="S544" s="3" t="s">
        <v>8046</v>
      </c>
      <c r="T544" s="3">
        <v>0</v>
      </c>
    </row>
    <row r="545" spans="1:20" hidden="1" x14ac:dyDescent="0.25">
      <c r="A545" t="s">
        <v>8607</v>
      </c>
      <c r="B545" t="s">
        <v>8623</v>
      </c>
      <c r="C545" t="s">
        <v>1</v>
      </c>
      <c r="D545" t="s">
        <v>0</v>
      </c>
      <c r="E545">
        <v>4415</v>
      </c>
      <c r="F545" t="s">
        <v>7877</v>
      </c>
      <c r="G545" t="s">
        <v>7878</v>
      </c>
      <c r="H545" s="3">
        <v>0</v>
      </c>
      <c r="I545" s="3">
        <v>0</v>
      </c>
      <c r="J545" s="3">
        <v>0</v>
      </c>
      <c r="K545" s="3">
        <v>13.54</v>
      </c>
      <c r="L545" s="3">
        <v>0</v>
      </c>
      <c r="M545" s="3">
        <v>0</v>
      </c>
      <c r="N545" s="3">
        <v>0</v>
      </c>
      <c r="O545" s="3">
        <v>1.7602</v>
      </c>
      <c r="P545" s="3">
        <v>15.300199999999998</v>
      </c>
      <c r="Q545" t="s">
        <v>8046</v>
      </c>
      <c r="R545" t="s">
        <v>8200</v>
      </c>
      <c r="S545" s="3" t="s">
        <v>8046</v>
      </c>
      <c r="T545" s="3">
        <v>0</v>
      </c>
    </row>
    <row r="546" spans="1:20" hidden="1" x14ac:dyDescent="0.25">
      <c r="A546" t="s">
        <v>8607</v>
      </c>
      <c r="B546" t="s">
        <v>8623</v>
      </c>
      <c r="C546" t="s">
        <v>1</v>
      </c>
      <c r="D546" t="s">
        <v>0</v>
      </c>
      <c r="E546">
        <v>162</v>
      </c>
      <c r="F546" t="s">
        <v>1457</v>
      </c>
      <c r="G546" t="s">
        <v>8600</v>
      </c>
      <c r="H546" s="3">
        <v>0</v>
      </c>
      <c r="I546" s="3">
        <v>0</v>
      </c>
      <c r="J546" s="3">
        <v>0</v>
      </c>
      <c r="K546" s="3">
        <v>71.95</v>
      </c>
      <c r="L546" s="3">
        <v>0</v>
      </c>
      <c r="M546" s="3">
        <v>0</v>
      </c>
      <c r="N546" s="3">
        <v>0</v>
      </c>
      <c r="O546" s="3">
        <v>9.3535000000000004</v>
      </c>
      <c r="P546" s="3">
        <v>81.3035</v>
      </c>
      <c r="Q546" t="s">
        <v>8046</v>
      </c>
      <c r="R546" t="s">
        <v>8200</v>
      </c>
      <c r="S546" s="3" t="s">
        <v>8046</v>
      </c>
      <c r="T546" s="3">
        <v>0</v>
      </c>
    </row>
    <row r="547" spans="1:20" hidden="1" x14ac:dyDescent="0.25">
      <c r="A547" t="s">
        <v>8607</v>
      </c>
      <c r="B547" t="s">
        <v>8623</v>
      </c>
      <c r="C547" t="s">
        <v>1</v>
      </c>
      <c r="D547" t="s">
        <v>0</v>
      </c>
      <c r="E547">
        <v>83602</v>
      </c>
      <c r="F547" t="s">
        <v>1540</v>
      </c>
      <c r="G547" t="s">
        <v>1541</v>
      </c>
      <c r="H547" s="3">
        <v>0.94</v>
      </c>
      <c r="I547" s="3">
        <v>0</v>
      </c>
      <c r="J547" s="3">
        <v>0</v>
      </c>
      <c r="K547" s="3">
        <v>16.87</v>
      </c>
      <c r="L547" s="3">
        <v>0</v>
      </c>
      <c r="M547" s="3">
        <v>0</v>
      </c>
      <c r="N547" s="3">
        <v>0</v>
      </c>
      <c r="O547" s="3">
        <v>2.1931000000000003</v>
      </c>
      <c r="P547" s="3">
        <v>20.003100000000003</v>
      </c>
      <c r="Q547" t="s">
        <v>8046</v>
      </c>
      <c r="R547" t="s">
        <v>8200</v>
      </c>
      <c r="S547" s="3" t="s">
        <v>8046</v>
      </c>
      <c r="T547" s="3">
        <v>0</v>
      </c>
    </row>
    <row r="548" spans="1:20" hidden="1" x14ac:dyDescent="0.25">
      <c r="A548" t="s">
        <v>8607</v>
      </c>
      <c r="B548" t="s">
        <v>8623</v>
      </c>
      <c r="C548" t="s">
        <v>1</v>
      </c>
      <c r="D548" t="s">
        <v>0</v>
      </c>
      <c r="E548">
        <v>13639</v>
      </c>
      <c r="F548" t="s">
        <v>7887</v>
      </c>
      <c r="G548" t="s">
        <v>7888</v>
      </c>
      <c r="H548" s="3">
        <v>0</v>
      </c>
      <c r="I548" s="3">
        <v>0</v>
      </c>
      <c r="J548" s="3">
        <v>0</v>
      </c>
      <c r="K548" s="3">
        <v>7.92</v>
      </c>
      <c r="L548" s="3">
        <v>0</v>
      </c>
      <c r="M548" s="3">
        <v>0</v>
      </c>
      <c r="N548" s="3">
        <v>0</v>
      </c>
      <c r="O548" s="3">
        <v>1.0296000000000001</v>
      </c>
      <c r="P548" s="3">
        <v>8.9496000000000002</v>
      </c>
      <c r="Q548" t="s">
        <v>8046</v>
      </c>
      <c r="R548" t="s">
        <v>8200</v>
      </c>
      <c r="S548" s="3" t="s">
        <v>8046</v>
      </c>
      <c r="T548" s="3">
        <v>0</v>
      </c>
    </row>
    <row r="549" spans="1:20" hidden="1" x14ac:dyDescent="0.25">
      <c r="A549" t="s">
        <v>8608</v>
      </c>
      <c r="B549" t="s">
        <v>8624</v>
      </c>
      <c r="C549" t="s">
        <v>1</v>
      </c>
      <c r="D549" t="s">
        <v>0</v>
      </c>
      <c r="E549">
        <v>8988</v>
      </c>
      <c r="F549" t="s">
        <v>1200</v>
      </c>
      <c r="G549" t="s">
        <v>1201</v>
      </c>
      <c r="H549" s="3">
        <v>0</v>
      </c>
      <c r="I549" s="3">
        <v>0</v>
      </c>
      <c r="J549" s="3">
        <v>0</v>
      </c>
      <c r="K549" s="3">
        <v>5322.25</v>
      </c>
      <c r="L549" s="3">
        <v>0</v>
      </c>
      <c r="M549" s="3">
        <v>0</v>
      </c>
      <c r="N549" s="3">
        <v>0</v>
      </c>
      <c r="O549" s="3">
        <v>691.89250000000004</v>
      </c>
      <c r="P549" s="3">
        <v>6014.1424999999999</v>
      </c>
      <c r="Q549" t="s">
        <v>8046</v>
      </c>
      <c r="R549" t="s">
        <v>8200</v>
      </c>
      <c r="S549" s="3" t="s">
        <v>8358</v>
      </c>
      <c r="T549" s="3">
        <v>53.22</v>
      </c>
    </row>
    <row r="550" spans="1:20" hidden="1" x14ac:dyDescent="0.25">
      <c r="A550" t="s">
        <v>8607</v>
      </c>
      <c r="B550" t="s">
        <v>8624</v>
      </c>
      <c r="C550" t="s">
        <v>1</v>
      </c>
      <c r="D550" t="s">
        <v>0</v>
      </c>
      <c r="E550">
        <v>2514</v>
      </c>
      <c r="F550" t="s">
        <v>762</v>
      </c>
      <c r="G550" t="s">
        <v>763</v>
      </c>
      <c r="H550" s="3">
        <v>0</v>
      </c>
      <c r="I550" s="3">
        <v>0</v>
      </c>
      <c r="J550" s="3">
        <v>0</v>
      </c>
      <c r="K550" s="3">
        <v>81.42</v>
      </c>
      <c r="L550" s="3">
        <v>0</v>
      </c>
      <c r="M550" s="3">
        <v>0</v>
      </c>
      <c r="N550" s="3">
        <v>0</v>
      </c>
      <c r="O550" s="3">
        <v>10.5846</v>
      </c>
      <c r="P550" s="3">
        <v>92.004599999999996</v>
      </c>
      <c r="Q550" t="s">
        <v>8046</v>
      </c>
      <c r="R550" t="s">
        <v>8200</v>
      </c>
      <c r="S550" s="3" t="s">
        <v>8046</v>
      </c>
      <c r="T550" s="3">
        <v>0</v>
      </c>
    </row>
    <row r="551" spans="1:20" hidden="1" x14ac:dyDescent="0.25">
      <c r="A551" t="s">
        <v>8607</v>
      </c>
      <c r="B551" t="s">
        <v>8624</v>
      </c>
      <c r="C551" t="s">
        <v>1</v>
      </c>
      <c r="D551" t="s">
        <v>0</v>
      </c>
      <c r="E551">
        <v>31762</v>
      </c>
      <c r="F551" t="s">
        <v>2378</v>
      </c>
      <c r="G551" t="s">
        <v>2379</v>
      </c>
      <c r="H551" s="3">
        <v>1.46</v>
      </c>
      <c r="I551" s="3">
        <v>0</v>
      </c>
      <c r="J551" s="3">
        <v>0</v>
      </c>
      <c r="K551" s="3">
        <v>25.25</v>
      </c>
      <c r="L551" s="3">
        <v>0</v>
      </c>
      <c r="M551" s="3">
        <v>0</v>
      </c>
      <c r="N551" s="3">
        <v>0</v>
      </c>
      <c r="O551" s="3">
        <v>3.2825000000000002</v>
      </c>
      <c r="P551" s="3">
        <v>29.9925</v>
      </c>
      <c r="Q551" t="s">
        <v>8046</v>
      </c>
      <c r="R551" t="s">
        <v>8200</v>
      </c>
      <c r="S551" s="3" t="s">
        <v>8046</v>
      </c>
      <c r="T551" s="3">
        <v>0</v>
      </c>
    </row>
    <row r="552" spans="1:20" hidden="1" x14ac:dyDescent="0.25">
      <c r="A552" t="s">
        <v>8607</v>
      </c>
      <c r="B552" t="s">
        <v>8624</v>
      </c>
      <c r="C552" t="s">
        <v>1</v>
      </c>
      <c r="D552" t="s">
        <v>0</v>
      </c>
      <c r="E552">
        <v>35477</v>
      </c>
      <c r="F552" t="s">
        <v>2256</v>
      </c>
      <c r="G552" t="s">
        <v>2257</v>
      </c>
      <c r="H552" s="3">
        <v>0</v>
      </c>
      <c r="I552" s="3">
        <v>0</v>
      </c>
      <c r="J552" s="3">
        <v>0</v>
      </c>
      <c r="K552" s="3">
        <v>725.47</v>
      </c>
      <c r="L552" s="3">
        <v>0</v>
      </c>
      <c r="M552" s="3">
        <v>0</v>
      </c>
      <c r="N552" s="3">
        <v>0</v>
      </c>
      <c r="O552" s="3">
        <v>94.31110000000001</v>
      </c>
      <c r="P552" s="3">
        <v>819.78110000000004</v>
      </c>
      <c r="Q552" t="s">
        <v>8046</v>
      </c>
      <c r="R552" t="s">
        <v>8200</v>
      </c>
      <c r="S552" s="3" t="s">
        <v>8345</v>
      </c>
      <c r="T552" s="3">
        <v>7.25</v>
      </c>
    </row>
    <row r="553" spans="1:20" hidden="1" x14ac:dyDescent="0.25">
      <c r="A553" t="s">
        <v>8607</v>
      </c>
      <c r="B553" t="s">
        <v>8624</v>
      </c>
      <c r="C553" t="s">
        <v>1</v>
      </c>
      <c r="D553" t="s">
        <v>0</v>
      </c>
      <c r="E553">
        <v>154</v>
      </c>
      <c r="F553" t="s">
        <v>278</v>
      </c>
      <c r="G553" t="s">
        <v>279</v>
      </c>
      <c r="H553" s="3">
        <v>0</v>
      </c>
      <c r="I553" s="3">
        <v>0</v>
      </c>
      <c r="J553" s="3">
        <v>0</v>
      </c>
      <c r="K553" s="3">
        <v>81</v>
      </c>
      <c r="L553" s="3">
        <v>0</v>
      </c>
      <c r="M553" s="3">
        <v>0</v>
      </c>
      <c r="N553" s="3">
        <v>0</v>
      </c>
      <c r="O553" s="3">
        <v>10.530000000000001</v>
      </c>
      <c r="P553" s="3">
        <v>91.53</v>
      </c>
      <c r="Q553" t="s">
        <v>8046</v>
      </c>
      <c r="R553" t="s">
        <v>8200</v>
      </c>
      <c r="S553" s="3" t="s">
        <v>8046</v>
      </c>
      <c r="T553" s="3">
        <v>0</v>
      </c>
    </row>
    <row r="554" spans="1:20" hidden="1" x14ac:dyDescent="0.25">
      <c r="A554" t="s">
        <v>8607</v>
      </c>
      <c r="B554" t="s">
        <v>8625</v>
      </c>
      <c r="C554" t="s">
        <v>1</v>
      </c>
      <c r="D554" t="s">
        <v>0</v>
      </c>
      <c r="E554">
        <v>16348</v>
      </c>
      <c r="F554" t="s">
        <v>6609</v>
      </c>
      <c r="G554" t="s">
        <v>6610</v>
      </c>
      <c r="H554" s="3">
        <v>0</v>
      </c>
      <c r="I554" s="3">
        <v>0</v>
      </c>
      <c r="J554" s="3">
        <v>0</v>
      </c>
      <c r="K554" s="3">
        <v>423</v>
      </c>
      <c r="L554" s="3">
        <v>0</v>
      </c>
      <c r="M554" s="3">
        <v>0</v>
      </c>
      <c r="N554" s="3">
        <v>0</v>
      </c>
      <c r="O554" s="3">
        <v>54.99</v>
      </c>
      <c r="P554" s="3">
        <v>477.99</v>
      </c>
      <c r="Q554" t="s">
        <v>8046</v>
      </c>
      <c r="R554" t="s">
        <v>8200</v>
      </c>
      <c r="S554" s="3" t="s">
        <v>8046</v>
      </c>
      <c r="T554" s="3">
        <v>0</v>
      </c>
    </row>
    <row r="555" spans="1:20" hidden="1" x14ac:dyDescent="0.25">
      <c r="A555" t="s">
        <v>8607</v>
      </c>
      <c r="B555" t="s">
        <v>8625</v>
      </c>
      <c r="C555" t="s">
        <v>1</v>
      </c>
      <c r="D555" t="s">
        <v>0</v>
      </c>
      <c r="E555">
        <v>28948</v>
      </c>
      <c r="F555" t="s">
        <v>1540</v>
      </c>
      <c r="G555" t="s">
        <v>1541</v>
      </c>
      <c r="H555" s="3">
        <v>0.93</v>
      </c>
      <c r="I555" s="3">
        <v>0</v>
      </c>
      <c r="J555" s="3">
        <v>0</v>
      </c>
      <c r="K555" s="3">
        <v>16.88</v>
      </c>
      <c r="L555" s="3">
        <v>0</v>
      </c>
      <c r="M555" s="3">
        <v>0</v>
      </c>
      <c r="N555" s="3">
        <v>0</v>
      </c>
      <c r="O555" s="3">
        <v>2.1943999999999999</v>
      </c>
      <c r="P555" s="3">
        <v>20.004399999999997</v>
      </c>
      <c r="Q555" t="s">
        <v>8046</v>
      </c>
      <c r="R555" t="s">
        <v>8200</v>
      </c>
      <c r="S555" s="3" t="s">
        <v>8046</v>
      </c>
      <c r="T555" s="3">
        <v>0</v>
      </c>
    </row>
    <row r="556" spans="1:20" hidden="1" x14ac:dyDescent="0.25">
      <c r="A556" t="s">
        <v>8607</v>
      </c>
      <c r="B556" t="s">
        <v>8625</v>
      </c>
      <c r="C556" t="s">
        <v>1</v>
      </c>
      <c r="D556" t="s">
        <v>0</v>
      </c>
      <c r="E556">
        <v>22211</v>
      </c>
      <c r="F556" t="s">
        <v>1522</v>
      </c>
      <c r="G556" t="s">
        <v>1523</v>
      </c>
      <c r="H556" s="3">
        <v>1.87</v>
      </c>
      <c r="I556" s="3">
        <v>0</v>
      </c>
      <c r="J556" s="3">
        <v>0</v>
      </c>
      <c r="K556" s="3">
        <v>33.74</v>
      </c>
      <c r="L556" s="3">
        <v>0</v>
      </c>
      <c r="M556" s="3">
        <v>0</v>
      </c>
      <c r="N556" s="3">
        <v>0</v>
      </c>
      <c r="O556" s="3">
        <v>4.3862000000000005</v>
      </c>
      <c r="P556" s="3">
        <v>39.996200000000002</v>
      </c>
      <c r="Q556" t="s">
        <v>8046</v>
      </c>
      <c r="R556" t="s">
        <v>8200</v>
      </c>
      <c r="S556" s="3" t="s">
        <v>8046</v>
      </c>
      <c r="T556" s="3">
        <v>0</v>
      </c>
    </row>
    <row r="557" spans="1:20" hidden="1" x14ac:dyDescent="0.25">
      <c r="A557" t="s">
        <v>8607</v>
      </c>
      <c r="B557" t="s">
        <v>8625</v>
      </c>
      <c r="C557" t="s">
        <v>1</v>
      </c>
      <c r="D557" t="s">
        <v>0</v>
      </c>
      <c r="E557">
        <v>86962</v>
      </c>
      <c r="F557" t="s">
        <v>1670</v>
      </c>
      <c r="G557" t="s">
        <v>1671</v>
      </c>
      <c r="H557" s="3">
        <v>2.13</v>
      </c>
      <c r="I557" s="3">
        <v>0</v>
      </c>
      <c r="J557" s="3">
        <v>0</v>
      </c>
      <c r="K557" s="3">
        <v>38.82</v>
      </c>
      <c r="L557" s="3">
        <v>0</v>
      </c>
      <c r="M557" s="3">
        <v>0</v>
      </c>
      <c r="N557" s="3">
        <v>0</v>
      </c>
      <c r="O557" s="3">
        <v>5.0466000000000006</v>
      </c>
      <c r="P557" s="3">
        <v>45.996600000000001</v>
      </c>
      <c r="Q557" t="s">
        <v>8046</v>
      </c>
      <c r="R557" t="s">
        <v>8200</v>
      </c>
      <c r="S557" s="3" t="s">
        <v>8046</v>
      </c>
      <c r="T557" s="3">
        <v>0</v>
      </c>
    </row>
    <row r="558" spans="1:20" hidden="1" x14ac:dyDescent="0.25">
      <c r="A558" t="s">
        <v>8607</v>
      </c>
      <c r="B558" t="s">
        <v>8625</v>
      </c>
      <c r="C558" t="s">
        <v>1</v>
      </c>
      <c r="D558" t="s">
        <v>0</v>
      </c>
      <c r="E558">
        <v>356468</v>
      </c>
      <c r="F558" t="s">
        <v>3251</v>
      </c>
      <c r="G558" t="s">
        <v>3252</v>
      </c>
      <c r="H558" s="3">
        <v>0</v>
      </c>
      <c r="I558" s="3">
        <v>0</v>
      </c>
      <c r="J558" s="3">
        <v>0</v>
      </c>
      <c r="K558" s="3">
        <v>151.84</v>
      </c>
      <c r="L558" s="3">
        <v>0</v>
      </c>
      <c r="M558" s="3">
        <v>0</v>
      </c>
      <c r="N558" s="3">
        <v>0</v>
      </c>
      <c r="O558" s="3">
        <v>19.7392</v>
      </c>
      <c r="P558" s="3">
        <v>171.57920000000001</v>
      </c>
      <c r="Q558" t="s">
        <v>8046</v>
      </c>
      <c r="R558" t="s">
        <v>8200</v>
      </c>
      <c r="S558" s="3" t="s">
        <v>8046</v>
      </c>
      <c r="T558" s="3">
        <v>0</v>
      </c>
    </row>
    <row r="559" spans="1:20" hidden="1" x14ac:dyDescent="0.25">
      <c r="A559" t="s">
        <v>8607</v>
      </c>
      <c r="B559" t="s">
        <v>8626</v>
      </c>
      <c r="C559" t="s">
        <v>1</v>
      </c>
      <c r="D559" t="s">
        <v>0</v>
      </c>
      <c r="E559">
        <v>85929</v>
      </c>
      <c r="F559" t="s">
        <v>1670</v>
      </c>
      <c r="G559" t="s">
        <v>1671</v>
      </c>
      <c r="H559" s="3">
        <v>0.93</v>
      </c>
      <c r="I559" s="3">
        <v>0</v>
      </c>
      <c r="J559" s="3">
        <v>0</v>
      </c>
      <c r="K559" s="3">
        <v>16.88</v>
      </c>
      <c r="L559" s="3">
        <v>0</v>
      </c>
      <c r="M559" s="3">
        <v>0</v>
      </c>
      <c r="N559" s="3">
        <v>0</v>
      </c>
      <c r="O559" s="3">
        <v>2.1943999999999999</v>
      </c>
      <c r="P559" s="3">
        <v>20.004399999999997</v>
      </c>
      <c r="Q559" t="s">
        <v>8046</v>
      </c>
      <c r="R559" t="s">
        <v>8200</v>
      </c>
      <c r="S559" s="3" t="s">
        <v>8046</v>
      </c>
      <c r="T559" s="3">
        <v>0</v>
      </c>
    </row>
    <row r="560" spans="1:20" hidden="1" x14ac:dyDescent="0.25">
      <c r="A560" t="s">
        <v>8607</v>
      </c>
      <c r="B560" t="s">
        <v>8626</v>
      </c>
      <c r="C560" t="s">
        <v>1</v>
      </c>
      <c r="D560" t="s">
        <v>0</v>
      </c>
      <c r="E560">
        <v>450944</v>
      </c>
      <c r="F560" t="s">
        <v>1552</v>
      </c>
      <c r="G560" t="s">
        <v>1553</v>
      </c>
      <c r="H560" s="3">
        <v>0.97</v>
      </c>
      <c r="I560" s="3">
        <v>0</v>
      </c>
      <c r="J560" s="3">
        <v>0</v>
      </c>
      <c r="K560" s="3">
        <v>16.84</v>
      </c>
      <c r="L560" s="3">
        <v>0</v>
      </c>
      <c r="M560" s="3">
        <v>0</v>
      </c>
      <c r="N560" s="3">
        <v>0</v>
      </c>
      <c r="O560" s="3">
        <v>2.1892</v>
      </c>
      <c r="P560" s="3">
        <v>19.999199999999998</v>
      </c>
      <c r="Q560" t="s">
        <v>8046</v>
      </c>
      <c r="R560" t="s">
        <v>8200</v>
      </c>
      <c r="S560" s="3" t="s">
        <v>8046</v>
      </c>
      <c r="T560" s="3">
        <v>0</v>
      </c>
    </row>
    <row r="561" spans="1:20" hidden="1" x14ac:dyDescent="0.25">
      <c r="A561" t="s">
        <v>8607</v>
      </c>
      <c r="B561" t="s">
        <v>8626</v>
      </c>
      <c r="C561" t="s">
        <v>1</v>
      </c>
      <c r="D561" s="33" t="s">
        <v>8333</v>
      </c>
      <c r="E561">
        <v>6922</v>
      </c>
      <c r="F561" t="s">
        <v>1519</v>
      </c>
      <c r="G561" t="s">
        <v>1520</v>
      </c>
      <c r="H561" s="3">
        <v>0</v>
      </c>
      <c r="I561" s="3">
        <v>0</v>
      </c>
      <c r="J561" s="3">
        <v>0</v>
      </c>
      <c r="K561" s="3">
        <v>109.14</v>
      </c>
      <c r="L561" s="3">
        <v>0</v>
      </c>
      <c r="M561" s="3">
        <v>0</v>
      </c>
      <c r="N561" s="3">
        <v>0</v>
      </c>
      <c r="O561" s="3">
        <v>14.1882</v>
      </c>
      <c r="P561" s="3">
        <v>123.3282</v>
      </c>
      <c r="Q561" t="s">
        <v>8046</v>
      </c>
      <c r="R561" t="s">
        <v>8200</v>
      </c>
      <c r="S561" s="3" t="s">
        <v>8046</v>
      </c>
      <c r="T561" s="3">
        <v>0</v>
      </c>
    </row>
    <row r="562" spans="1:20" hidden="1" x14ac:dyDescent="0.25">
      <c r="A562" t="s">
        <v>8607</v>
      </c>
      <c r="B562" t="s">
        <v>8626</v>
      </c>
      <c r="C562" t="s">
        <v>1</v>
      </c>
      <c r="D562" t="s">
        <v>0</v>
      </c>
      <c r="E562">
        <v>13002</v>
      </c>
      <c r="F562" t="s">
        <v>1519</v>
      </c>
      <c r="G562" t="s">
        <v>1520</v>
      </c>
      <c r="H562" s="3">
        <v>0</v>
      </c>
      <c r="I562" s="3">
        <v>0</v>
      </c>
      <c r="J562" s="3">
        <v>0</v>
      </c>
      <c r="K562" s="3">
        <v>627.54999999999995</v>
      </c>
      <c r="L562" s="3">
        <v>0</v>
      </c>
      <c r="M562" s="3">
        <v>0</v>
      </c>
      <c r="N562" s="3">
        <v>0</v>
      </c>
      <c r="O562" s="3">
        <v>81.581499999999991</v>
      </c>
      <c r="P562" s="3">
        <v>709.13149999999996</v>
      </c>
      <c r="Q562" t="s">
        <v>8046</v>
      </c>
      <c r="R562" t="s">
        <v>8200</v>
      </c>
      <c r="S562" s="3" t="s">
        <v>8341</v>
      </c>
      <c r="T562" s="3">
        <v>6.28</v>
      </c>
    </row>
    <row r="563" spans="1:20" hidden="1" x14ac:dyDescent="0.25">
      <c r="A563" t="s">
        <v>8607</v>
      </c>
      <c r="B563" t="s">
        <v>8626</v>
      </c>
      <c r="C563" t="s">
        <v>1</v>
      </c>
      <c r="D563" t="s">
        <v>0</v>
      </c>
      <c r="E563">
        <v>1589</v>
      </c>
      <c r="F563" t="s">
        <v>7902</v>
      </c>
      <c r="G563" t="s">
        <v>7903</v>
      </c>
      <c r="H563" s="3">
        <v>0</v>
      </c>
      <c r="I563" s="3">
        <v>0</v>
      </c>
      <c r="J563" s="3">
        <v>0</v>
      </c>
      <c r="K563" s="3">
        <v>46.02</v>
      </c>
      <c r="L563" s="3">
        <v>0</v>
      </c>
      <c r="M563" s="3">
        <v>0</v>
      </c>
      <c r="N563" s="3">
        <v>0</v>
      </c>
      <c r="O563" s="3">
        <v>5.9826000000000006</v>
      </c>
      <c r="P563" s="3">
        <v>52.002600000000001</v>
      </c>
      <c r="Q563" t="s">
        <v>8046</v>
      </c>
      <c r="R563" t="s">
        <v>8200</v>
      </c>
      <c r="S563" s="3" t="s">
        <v>8046</v>
      </c>
      <c r="T563" s="3">
        <v>0</v>
      </c>
    </row>
    <row r="564" spans="1:20" hidden="1" x14ac:dyDescent="0.25">
      <c r="A564" t="s">
        <v>8607</v>
      </c>
      <c r="B564" t="s">
        <v>8627</v>
      </c>
      <c r="C564" t="s">
        <v>1</v>
      </c>
      <c r="D564" t="s">
        <v>0</v>
      </c>
      <c r="E564">
        <v>146</v>
      </c>
      <c r="F564" t="s">
        <v>119</v>
      </c>
      <c r="G564" t="s">
        <v>120</v>
      </c>
      <c r="H564" s="3">
        <v>0</v>
      </c>
      <c r="I564" s="3">
        <v>0</v>
      </c>
      <c r="J564" s="3">
        <v>0</v>
      </c>
      <c r="K564" s="3">
        <v>35.6</v>
      </c>
      <c r="L564" s="3">
        <v>0</v>
      </c>
      <c r="M564" s="3">
        <v>0</v>
      </c>
      <c r="N564" s="3">
        <v>0</v>
      </c>
      <c r="O564" s="3">
        <v>4.6280000000000001</v>
      </c>
      <c r="P564" s="3">
        <v>40.228000000000002</v>
      </c>
      <c r="Q564" t="s">
        <v>8046</v>
      </c>
      <c r="R564" t="s">
        <v>8200</v>
      </c>
      <c r="S564" s="3" t="s">
        <v>8046</v>
      </c>
      <c r="T564" s="3">
        <v>0</v>
      </c>
    </row>
    <row r="565" spans="1:20" hidden="1" x14ac:dyDescent="0.25">
      <c r="A565" t="s">
        <v>8607</v>
      </c>
      <c r="B565" t="s">
        <v>8627</v>
      </c>
      <c r="C565" t="s">
        <v>1</v>
      </c>
      <c r="D565" t="s">
        <v>0</v>
      </c>
      <c r="E565">
        <v>17982</v>
      </c>
      <c r="F565" t="s">
        <v>1850</v>
      </c>
      <c r="G565" t="s">
        <v>1851</v>
      </c>
      <c r="H565" s="3">
        <v>0</v>
      </c>
      <c r="I565" s="3">
        <v>0</v>
      </c>
      <c r="J565" s="3">
        <v>0</v>
      </c>
      <c r="K565" s="3">
        <v>33.96</v>
      </c>
      <c r="L565" s="3">
        <v>0</v>
      </c>
      <c r="M565" s="3">
        <v>0</v>
      </c>
      <c r="N565" s="3">
        <v>0</v>
      </c>
      <c r="O565" s="3">
        <v>4.4148000000000005</v>
      </c>
      <c r="P565" s="3">
        <v>38.3748</v>
      </c>
      <c r="Q565" t="s">
        <v>8046</v>
      </c>
      <c r="R565" t="s">
        <v>8200</v>
      </c>
      <c r="S565" s="3" t="s">
        <v>8046</v>
      </c>
      <c r="T565" s="3">
        <v>0</v>
      </c>
    </row>
    <row r="566" spans="1:20" hidden="1" x14ac:dyDescent="0.25">
      <c r="A566" t="s">
        <v>8607</v>
      </c>
      <c r="B566" t="s">
        <v>8627</v>
      </c>
      <c r="C566" t="s">
        <v>1</v>
      </c>
      <c r="D566" t="s">
        <v>0</v>
      </c>
      <c r="E566">
        <v>476967</v>
      </c>
      <c r="F566" t="s">
        <v>1546</v>
      </c>
      <c r="G566" t="s">
        <v>1547</v>
      </c>
      <c r="H566" s="3">
        <v>2.2000000000000002</v>
      </c>
      <c r="I566" s="3">
        <v>0</v>
      </c>
      <c r="J566" s="3">
        <v>0</v>
      </c>
      <c r="K566" s="3">
        <v>42.05</v>
      </c>
      <c r="L566" s="3">
        <v>0</v>
      </c>
      <c r="M566" s="3">
        <v>0</v>
      </c>
      <c r="N566" s="3">
        <v>0</v>
      </c>
      <c r="O566" s="3">
        <v>5.4664999999999999</v>
      </c>
      <c r="P566" s="3">
        <v>49.716499999999996</v>
      </c>
      <c r="Q566" t="s">
        <v>8046</v>
      </c>
      <c r="R566" t="s">
        <v>8200</v>
      </c>
      <c r="S566" s="3" t="s">
        <v>8046</v>
      </c>
      <c r="T566" s="3">
        <v>0</v>
      </c>
    </row>
    <row r="567" spans="1:20" hidden="1" x14ac:dyDescent="0.25">
      <c r="A567" t="s">
        <v>8607</v>
      </c>
      <c r="B567" t="s">
        <v>8628</v>
      </c>
      <c r="C567" t="s">
        <v>1</v>
      </c>
      <c r="D567" t="s">
        <v>0</v>
      </c>
      <c r="E567">
        <v>2496</v>
      </c>
      <c r="F567" t="s">
        <v>762</v>
      </c>
      <c r="G567" t="s">
        <v>763</v>
      </c>
      <c r="H567" s="3">
        <v>0</v>
      </c>
      <c r="I567" s="3">
        <v>0</v>
      </c>
      <c r="J567" s="3">
        <v>0</v>
      </c>
      <c r="K567" s="3">
        <v>99</v>
      </c>
      <c r="L567" s="3">
        <v>0</v>
      </c>
      <c r="M567" s="3">
        <v>0</v>
      </c>
      <c r="N567" s="3">
        <v>0</v>
      </c>
      <c r="O567" s="3">
        <v>12.870000000000001</v>
      </c>
      <c r="P567" s="3">
        <v>111.87</v>
      </c>
      <c r="Q567" t="s">
        <v>8046</v>
      </c>
      <c r="R567" t="s">
        <v>8200</v>
      </c>
      <c r="S567" s="3" t="s">
        <v>8046</v>
      </c>
      <c r="T567" s="3">
        <v>0</v>
      </c>
    </row>
    <row r="568" spans="1:20" hidden="1" x14ac:dyDescent="0.25">
      <c r="A568" t="s">
        <v>8607</v>
      </c>
      <c r="B568" t="s">
        <v>8628</v>
      </c>
      <c r="C568" t="s">
        <v>1</v>
      </c>
      <c r="D568" t="s">
        <v>0</v>
      </c>
      <c r="E568">
        <v>2235</v>
      </c>
      <c r="F568" t="s">
        <v>8671</v>
      </c>
      <c r="G568" t="s">
        <v>8672</v>
      </c>
      <c r="H568" s="3">
        <v>0</v>
      </c>
      <c r="I568" s="3">
        <v>0</v>
      </c>
      <c r="J568" s="3">
        <v>0</v>
      </c>
      <c r="K568" s="3">
        <v>68</v>
      </c>
      <c r="L568" s="3">
        <v>0</v>
      </c>
      <c r="M568" s="3">
        <v>0</v>
      </c>
      <c r="N568" s="3">
        <v>0</v>
      </c>
      <c r="O568" s="3">
        <v>8.84</v>
      </c>
      <c r="P568" s="3">
        <v>76.84</v>
      </c>
      <c r="Q568" t="s">
        <v>8046</v>
      </c>
      <c r="R568" t="s">
        <v>8200</v>
      </c>
      <c r="S568" s="3" t="s">
        <v>8046</v>
      </c>
      <c r="T568" s="3">
        <v>0</v>
      </c>
    </row>
    <row r="569" spans="1:20" hidden="1" x14ac:dyDescent="0.25">
      <c r="A569" t="s">
        <v>8607</v>
      </c>
      <c r="B569" t="s">
        <v>8628</v>
      </c>
      <c r="C569" t="s">
        <v>1</v>
      </c>
      <c r="D569" t="s">
        <v>0</v>
      </c>
      <c r="E569">
        <v>450644</v>
      </c>
      <c r="F569" t="s">
        <v>1552</v>
      </c>
      <c r="G569" t="s">
        <v>1553</v>
      </c>
      <c r="H569" s="3">
        <v>0.97</v>
      </c>
      <c r="I569" s="3">
        <v>0</v>
      </c>
      <c r="J569" s="3">
        <v>0</v>
      </c>
      <c r="K569" s="3">
        <v>16.84</v>
      </c>
      <c r="L569" s="3">
        <v>0</v>
      </c>
      <c r="M569" s="3">
        <v>0</v>
      </c>
      <c r="N569" s="3">
        <v>0</v>
      </c>
      <c r="O569" s="3">
        <v>2.1892</v>
      </c>
      <c r="P569" s="3">
        <v>19.999199999999998</v>
      </c>
      <c r="Q569" t="s">
        <v>8046</v>
      </c>
      <c r="R569" t="s">
        <v>8200</v>
      </c>
      <c r="S569" s="3" t="s">
        <v>8046</v>
      </c>
      <c r="T569" s="3">
        <v>0</v>
      </c>
    </row>
    <row r="570" spans="1:20" hidden="1" x14ac:dyDescent="0.25">
      <c r="A570" t="s">
        <v>8607</v>
      </c>
      <c r="B570" t="s">
        <v>8628</v>
      </c>
      <c r="C570" t="s">
        <v>1</v>
      </c>
      <c r="D570" t="s">
        <v>0</v>
      </c>
      <c r="E570">
        <v>21367</v>
      </c>
      <c r="F570" t="s">
        <v>1522</v>
      </c>
      <c r="G570" t="s">
        <v>1523</v>
      </c>
      <c r="H570" s="3">
        <v>1.21</v>
      </c>
      <c r="I570" s="3">
        <v>0</v>
      </c>
      <c r="J570" s="3">
        <v>0</v>
      </c>
      <c r="K570" s="3">
        <v>21.05</v>
      </c>
      <c r="L570" s="3">
        <v>0</v>
      </c>
      <c r="M570" s="3">
        <v>0</v>
      </c>
      <c r="N570" s="3">
        <v>0</v>
      </c>
      <c r="O570" s="3">
        <v>2.7365000000000004</v>
      </c>
      <c r="P570" s="3">
        <v>24.996500000000001</v>
      </c>
      <c r="Q570" t="s">
        <v>8046</v>
      </c>
      <c r="R570" t="s">
        <v>8200</v>
      </c>
      <c r="S570" s="3" t="s">
        <v>8046</v>
      </c>
      <c r="T570" s="3">
        <v>0</v>
      </c>
    </row>
    <row r="571" spans="1:20" hidden="1" x14ac:dyDescent="0.25">
      <c r="A571" t="s">
        <v>8607</v>
      </c>
      <c r="B571" t="s">
        <v>8628</v>
      </c>
      <c r="C571" t="s">
        <v>1</v>
      </c>
      <c r="D571" t="s">
        <v>0</v>
      </c>
      <c r="E571">
        <v>21335</v>
      </c>
      <c r="F571" t="s">
        <v>1522</v>
      </c>
      <c r="G571" t="s">
        <v>1523</v>
      </c>
      <c r="H571" s="3">
        <v>1.79</v>
      </c>
      <c r="I571" s="3">
        <v>0</v>
      </c>
      <c r="J571" s="3">
        <v>0</v>
      </c>
      <c r="K571" s="3">
        <v>32.22</v>
      </c>
      <c r="L571" s="3">
        <v>0</v>
      </c>
      <c r="M571" s="3">
        <v>0</v>
      </c>
      <c r="N571" s="3">
        <v>0</v>
      </c>
      <c r="O571" s="3">
        <v>4.1886000000000001</v>
      </c>
      <c r="P571" s="3">
        <v>38.198599999999999</v>
      </c>
      <c r="Q571" t="s">
        <v>8046</v>
      </c>
      <c r="R571" t="s">
        <v>8200</v>
      </c>
      <c r="S571" s="3" t="s">
        <v>8046</v>
      </c>
      <c r="T571" s="3">
        <v>0</v>
      </c>
    </row>
    <row r="572" spans="1:20" hidden="1" x14ac:dyDescent="0.25">
      <c r="A572" t="s">
        <v>8607</v>
      </c>
      <c r="B572" t="s">
        <v>8670</v>
      </c>
      <c r="C572" t="s">
        <v>1</v>
      </c>
      <c r="D572" t="s">
        <v>0</v>
      </c>
      <c r="E572">
        <v>27100</v>
      </c>
      <c r="F572" t="s">
        <v>1488</v>
      </c>
      <c r="G572" t="s">
        <v>1489</v>
      </c>
      <c r="H572" s="3">
        <v>3.33</v>
      </c>
      <c r="I572" s="3">
        <v>0</v>
      </c>
      <c r="J572" s="3">
        <v>0</v>
      </c>
      <c r="K572" s="3">
        <v>58.11</v>
      </c>
      <c r="L572" s="3">
        <v>0</v>
      </c>
      <c r="M572" s="3">
        <v>0</v>
      </c>
      <c r="N572" s="3">
        <v>0</v>
      </c>
      <c r="O572" s="3">
        <v>7.5543000000000005</v>
      </c>
      <c r="P572" s="3">
        <v>68.994299999999996</v>
      </c>
      <c r="Q572" t="s">
        <v>8046</v>
      </c>
      <c r="R572" t="s">
        <v>8200</v>
      </c>
      <c r="S572" s="3" t="s">
        <v>8046</v>
      </c>
      <c r="T572" s="3">
        <v>0</v>
      </c>
    </row>
    <row r="573" spans="1:20" hidden="1" x14ac:dyDescent="0.25">
      <c r="A573" t="s">
        <v>8607</v>
      </c>
      <c r="B573" t="s">
        <v>8629</v>
      </c>
      <c r="C573" t="s">
        <v>1</v>
      </c>
      <c r="D573" t="s">
        <v>0</v>
      </c>
      <c r="E573">
        <v>37128</v>
      </c>
      <c r="F573" t="s">
        <v>3120</v>
      </c>
      <c r="G573" t="s">
        <v>3121</v>
      </c>
      <c r="H573" s="3">
        <v>0</v>
      </c>
      <c r="I573" s="3">
        <v>0</v>
      </c>
      <c r="J573" s="3">
        <v>0</v>
      </c>
      <c r="K573" s="3">
        <v>248.4</v>
      </c>
      <c r="L573" s="3">
        <v>0</v>
      </c>
      <c r="M573" s="3">
        <v>0</v>
      </c>
      <c r="N573" s="3">
        <v>0</v>
      </c>
      <c r="O573" s="3">
        <v>32.292000000000002</v>
      </c>
      <c r="P573" s="3">
        <v>280.69200000000001</v>
      </c>
      <c r="Q573" t="s">
        <v>8046</v>
      </c>
      <c r="R573" t="s">
        <v>8200</v>
      </c>
      <c r="S573" s="3" t="s">
        <v>8341</v>
      </c>
      <c r="T573" s="3">
        <v>2.48</v>
      </c>
    </row>
    <row r="574" spans="1:20" hidden="1" x14ac:dyDescent="0.25">
      <c r="A574" t="s">
        <v>8607</v>
      </c>
      <c r="B574" t="s">
        <v>8629</v>
      </c>
      <c r="C574" t="s">
        <v>1</v>
      </c>
      <c r="D574" t="s">
        <v>0</v>
      </c>
      <c r="E574">
        <v>3576</v>
      </c>
      <c r="F574" t="s">
        <v>8350</v>
      </c>
      <c r="G574" t="s">
        <v>8351</v>
      </c>
      <c r="H574" s="3">
        <v>0</v>
      </c>
      <c r="I574" s="3">
        <v>0</v>
      </c>
      <c r="J574" s="3">
        <v>0</v>
      </c>
      <c r="K574" s="3">
        <v>58.41</v>
      </c>
      <c r="L574" s="3">
        <v>0</v>
      </c>
      <c r="M574" s="3">
        <v>0</v>
      </c>
      <c r="N574" s="3">
        <v>0</v>
      </c>
      <c r="O574" s="3">
        <v>7.5933000000000002</v>
      </c>
      <c r="P574" s="3">
        <v>66.003299999999996</v>
      </c>
      <c r="Q574" t="s">
        <v>8046</v>
      </c>
      <c r="R574" t="s">
        <v>8200</v>
      </c>
      <c r="S574" s="3" t="s">
        <v>8046</v>
      </c>
      <c r="T574" s="3">
        <v>0</v>
      </c>
    </row>
    <row r="575" spans="1:20" hidden="1" x14ac:dyDescent="0.25">
      <c r="A575" t="s">
        <v>8607</v>
      </c>
      <c r="B575" t="s">
        <v>8629</v>
      </c>
      <c r="C575" t="s">
        <v>1</v>
      </c>
      <c r="D575" t="s">
        <v>0</v>
      </c>
      <c r="E575">
        <v>450158</v>
      </c>
      <c r="F575" t="s">
        <v>1552</v>
      </c>
      <c r="G575" t="s">
        <v>1553</v>
      </c>
      <c r="H575" s="3">
        <v>1.45</v>
      </c>
      <c r="I575" s="3">
        <v>0</v>
      </c>
      <c r="J575" s="3">
        <v>0</v>
      </c>
      <c r="K575" s="3">
        <v>25.27</v>
      </c>
      <c r="L575" s="3">
        <v>0</v>
      </c>
      <c r="M575" s="3">
        <v>0</v>
      </c>
      <c r="N575" s="3">
        <v>0</v>
      </c>
      <c r="O575" s="3">
        <v>3.2850999999999999</v>
      </c>
      <c r="P575" s="3">
        <v>30.005099999999999</v>
      </c>
      <c r="Q575" t="s">
        <v>8046</v>
      </c>
      <c r="R575" t="s">
        <v>8200</v>
      </c>
      <c r="S575" s="3" t="s">
        <v>8046</v>
      </c>
      <c r="T575" s="3">
        <v>0</v>
      </c>
    </row>
    <row r="576" spans="1:20" hidden="1" x14ac:dyDescent="0.25">
      <c r="A576" t="s">
        <v>8607</v>
      </c>
      <c r="B576" t="s">
        <v>8630</v>
      </c>
      <c r="C576" t="s">
        <v>1</v>
      </c>
      <c r="D576" t="s">
        <v>0</v>
      </c>
      <c r="E576">
        <v>976341</v>
      </c>
      <c r="F576" t="s">
        <v>2440</v>
      </c>
      <c r="G576" t="s">
        <v>2441</v>
      </c>
      <c r="H576" s="3">
        <v>0</v>
      </c>
      <c r="I576" s="3">
        <v>0</v>
      </c>
      <c r="J576" s="3">
        <v>0</v>
      </c>
      <c r="K576" s="3">
        <v>970</v>
      </c>
      <c r="L576" s="3">
        <v>0</v>
      </c>
      <c r="M576" s="3">
        <v>0</v>
      </c>
      <c r="N576" s="3">
        <v>0</v>
      </c>
      <c r="O576" s="3">
        <v>126.10000000000001</v>
      </c>
      <c r="P576" s="3">
        <v>1096.0999999999999</v>
      </c>
      <c r="Q576" t="s">
        <v>8046</v>
      </c>
      <c r="R576" t="s">
        <v>8200</v>
      </c>
      <c r="S576" s="3" t="s">
        <v>8359</v>
      </c>
      <c r="T576" s="3">
        <v>9.6999999999999993</v>
      </c>
    </row>
    <row r="577" spans="1:20" hidden="1" x14ac:dyDescent="0.25">
      <c r="A577" t="s">
        <v>8607</v>
      </c>
      <c r="B577" t="s">
        <v>8630</v>
      </c>
      <c r="C577" t="s">
        <v>1</v>
      </c>
      <c r="D577" t="s">
        <v>0</v>
      </c>
      <c r="E577">
        <v>369084</v>
      </c>
      <c r="F577" t="s">
        <v>2436</v>
      </c>
      <c r="G577" t="s">
        <v>2437</v>
      </c>
      <c r="H577" s="3">
        <v>0</v>
      </c>
      <c r="I577" s="3">
        <v>0</v>
      </c>
      <c r="J577" s="3">
        <v>0</v>
      </c>
      <c r="K577" s="3">
        <v>227.03</v>
      </c>
      <c r="L577" s="3">
        <v>0</v>
      </c>
      <c r="M577" s="3">
        <v>0</v>
      </c>
      <c r="N577" s="3">
        <v>0</v>
      </c>
      <c r="O577" s="3">
        <v>29.5139</v>
      </c>
      <c r="P577" s="3">
        <v>256.54390000000001</v>
      </c>
      <c r="Q577" t="s">
        <v>8046</v>
      </c>
      <c r="R577" t="s">
        <v>8200</v>
      </c>
      <c r="S577" s="3" t="s">
        <v>8359</v>
      </c>
      <c r="T577" s="3">
        <v>2.27</v>
      </c>
    </row>
    <row r="578" spans="1:20" hidden="1" x14ac:dyDescent="0.25">
      <c r="A578" t="s">
        <v>8607</v>
      </c>
      <c r="B578" t="s">
        <v>8630</v>
      </c>
      <c r="C578" t="s">
        <v>1</v>
      </c>
      <c r="D578" t="s">
        <v>0</v>
      </c>
      <c r="E578">
        <v>4147</v>
      </c>
      <c r="F578" t="s">
        <v>1705</v>
      </c>
      <c r="G578" t="s">
        <v>1706</v>
      </c>
      <c r="H578" s="3">
        <v>0</v>
      </c>
      <c r="I578" s="3">
        <v>0</v>
      </c>
      <c r="J578" s="3">
        <v>0</v>
      </c>
      <c r="K578" s="3">
        <v>671.25</v>
      </c>
      <c r="L578" s="3">
        <v>0</v>
      </c>
      <c r="M578" s="3">
        <v>0</v>
      </c>
      <c r="N578" s="3">
        <v>0</v>
      </c>
      <c r="O578" s="3">
        <v>87.262500000000003</v>
      </c>
      <c r="P578" s="3">
        <v>758.51250000000005</v>
      </c>
      <c r="Q578" t="s">
        <v>8046</v>
      </c>
      <c r="R578" t="s">
        <v>8200</v>
      </c>
      <c r="S578" s="3" t="s">
        <v>8046</v>
      </c>
      <c r="T578" s="3">
        <v>0</v>
      </c>
    </row>
    <row r="579" spans="1:20" hidden="1" x14ac:dyDescent="0.25">
      <c r="A579" t="s">
        <v>8607</v>
      </c>
      <c r="B579" t="s">
        <v>8630</v>
      </c>
      <c r="C579" t="s">
        <v>1</v>
      </c>
      <c r="D579" t="s">
        <v>0</v>
      </c>
      <c r="E579">
        <v>1443823</v>
      </c>
      <c r="F579" t="s">
        <v>1576</v>
      </c>
      <c r="G579" t="s">
        <v>1577</v>
      </c>
      <c r="H579" s="3">
        <v>0</v>
      </c>
      <c r="I579" s="3">
        <v>0</v>
      </c>
      <c r="J579" s="3">
        <v>0</v>
      </c>
      <c r="K579" s="3">
        <v>786.75</v>
      </c>
      <c r="L579" s="3">
        <v>0</v>
      </c>
      <c r="M579" s="3">
        <v>0</v>
      </c>
      <c r="N579" s="3">
        <v>0</v>
      </c>
      <c r="O579" s="3">
        <v>102.2775</v>
      </c>
      <c r="P579" s="3">
        <v>889.02750000000003</v>
      </c>
      <c r="Q579" t="s">
        <v>8046</v>
      </c>
      <c r="R579" t="s">
        <v>8200</v>
      </c>
      <c r="S579" s="3" t="s">
        <v>8345</v>
      </c>
      <c r="T579" s="3">
        <v>7.87</v>
      </c>
    </row>
    <row r="580" spans="1:20" hidden="1" x14ac:dyDescent="0.25">
      <c r="A580" t="s">
        <v>8607</v>
      </c>
      <c r="B580" t="s">
        <v>8630</v>
      </c>
      <c r="C580" t="s">
        <v>1</v>
      </c>
      <c r="D580" s="33" t="s">
        <v>8333</v>
      </c>
      <c r="E580">
        <v>6668</v>
      </c>
      <c r="F580" t="s">
        <v>294</v>
      </c>
      <c r="G580" t="s">
        <v>295</v>
      </c>
      <c r="H580" s="3">
        <v>0</v>
      </c>
      <c r="I580" s="3">
        <v>0</v>
      </c>
      <c r="J580" s="3">
        <v>0</v>
      </c>
      <c r="K580" s="3">
        <v>6.64</v>
      </c>
      <c r="L580" s="3">
        <v>0</v>
      </c>
      <c r="M580" s="3">
        <v>0</v>
      </c>
      <c r="N580" s="3">
        <v>0</v>
      </c>
      <c r="O580" s="3">
        <v>0.86319999999999997</v>
      </c>
      <c r="P580" s="3">
        <v>7.5031999999999996</v>
      </c>
      <c r="Q580" t="s">
        <v>8046</v>
      </c>
      <c r="R580" t="s">
        <v>8200</v>
      </c>
      <c r="S580" s="3" t="s">
        <v>8046</v>
      </c>
      <c r="T580" s="3">
        <v>0</v>
      </c>
    </row>
    <row r="581" spans="1:20" hidden="1" x14ac:dyDescent="0.25">
      <c r="A581" t="s">
        <v>8607</v>
      </c>
      <c r="B581" t="s">
        <v>8630</v>
      </c>
      <c r="C581" t="s">
        <v>1</v>
      </c>
      <c r="D581" t="s">
        <v>0</v>
      </c>
      <c r="E581">
        <v>4568</v>
      </c>
      <c r="F581" t="s">
        <v>294</v>
      </c>
      <c r="G581" t="s">
        <v>295</v>
      </c>
      <c r="H581" s="3">
        <v>0</v>
      </c>
      <c r="I581" s="3">
        <v>0</v>
      </c>
      <c r="J581" s="3">
        <v>0</v>
      </c>
      <c r="K581" s="3">
        <v>159.29</v>
      </c>
      <c r="L581" s="3">
        <v>0</v>
      </c>
      <c r="M581" s="3">
        <v>0</v>
      </c>
      <c r="N581" s="3">
        <v>0</v>
      </c>
      <c r="O581" s="3">
        <v>20.707699999999999</v>
      </c>
      <c r="P581" s="3">
        <v>179.99769999999998</v>
      </c>
      <c r="Q581" t="s">
        <v>8046</v>
      </c>
      <c r="R581" t="s">
        <v>8200</v>
      </c>
      <c r="S581" s="3" t="s">
        <v>8046</v>
      </c>
      <c r="T581" s="3">
        <v>0</v>
      </c>
    </row>
    <row r="582" spans="1:20" hidden="1" x14ac:dyDescent="0.25">
      <c r="A582" t="s">
        <v>8607</v>
      </c>
      <c r="B582" t="s">
        <v>8630</v>
      </c>
      <c r="C582" t="s">
        <v>1</v>
      </c>
      <c r="D582" t="s">
        <v>0</v>
      </c>
      <c r="E582">
        <v>79652</v>
      </c>
      <c r="F582" t="s">
        <v>1670</v>
      </c>
      <c r="G582" t="s">
        <v>1671</v>
      </c>
      <c r="H582" s="3">
        <v>1.86</v>
      </c>
      <c r="I582" s="3">
        <v>0</v>
      </c>
      <c r="J582" s="3">
        <v>0</v>
      </c>
      <c r="K582" s="3">
        <v>33.75</v>
      </c>
      <c r="L582" s="3">
        <v>0</v>
      </c>
      <c r="M582" s="3">
        <v>0</v>
      </c>
      <c r="N582" s="3">
        <v>0</v>
      </c>
      <c r="O582" s="3">
        <v>4.3875000000000002</v>
      </c>
      <c r="P582" s="3">
        <v>39.997500000000002</v>
      </c>
      <c r="Q582" t="s">
        <v>8046</v>
      </c>
      <c r="R582" t="s">
        <v>8200</v>
      </c>
      <c r="S582" s="3" t="s">
        <v>8046</v>
      </c>
      <c r="T582" s="3">
        <v>0</v>
      </c>
    </row>
    <row r="583" spans="1:20" hidden="1" x14ac:dyDescent="0.25">
      <c r="A583" t="s">
        <v>8607</v>
      </c>
      <c r="B583" t="s">
        <v>8630</v>
      </c>
      <c r="C583" t="s">
        <v>1</v>
      </c>
      <c r="D583" t="s">
        <v>0</v>
      </c>
      <c r="E583">
        <v>20728</v>
      </c>
      <c r="F583" t="s">
        <v>1522</v>
      </c>
      <c r="G583" t="s">
        <v>1523</v>
      </c>
      <c r="H583" s="3">
        <v>1.96</v>
      </c>
      <c r="I583" s="3">
        <v>0</v>
      </c>
      <c r="J583" s="3">
        <v>0</v>
      </c>
      <c r="K583" s="3">
        <v>35.43</v>
      </c>
      <c r="L583" s="3">
        <v>0</v>
      </c>
      <c r="M583" s="3">
        <v>0</v>
      </c>
      <c r="N583" s="3">
        <v>0</v>
      </c>
      <c r="O583" s="3">
        <v>4.6059000000000001</v>
      </c>
      <c r="P583" s="3">
        <v>41.995899999999999</v>
      </c>
      <c r="Q583" t="s">
        <v>8046</v>
      </c>
      <c r="R583" t="s">
        <v>8200</v>
      </c>
      <c r="S583" s="3" t="s">
        <v>8046</v>
      </c>
      <c r="T583" s="3">
        <v>0</v>
      </c>
    </row>
    <row r="584" spans="1:20" hidden="1" x14ac:dyDescent="0.25">
      <c r="A584" t="s">
        <v>8607</v>
      </c>
      <c r="B584" t="s">
        <v>8630</v>
      </c>
      <c r="C584" t="s">
        <v>1</v>
      </c>
      <c r="D584" t="s">
        <v>0</v>
      </c>
      <c r="E584">
        <v>20698</v>
      </c>
      <c r="F584" t="s">
        <v>1522</v>
      </c>
      <c r="G584" t="s">
        <v>1523</v>
      </c>
      <c r="H584" s="3">
        <v>0.93</v>
      </c>
      <c r="I584" s="3">
        <v>0</v>
      </c>
      <c r="J584" s="3">
        <v>0</v>
      </c>
      <c r="K584" s="3">
        <v>16.88</v>
      </c>
      <c r="L584" s="3">
        <v>0</v>
      </c>
      <c r="M584" s="3">
        <v>0</v>
      </c>
      <c r="N584" s="3">
        <v>0</v>
      </c>
      <c r="O584" s="3">
        <v>2.1943999999999999</v>
      </c>
      <c r="P584" s="3">
        <v>20.004399999999997</v>
      </c>
      <c r="Q584" t="s">
        <v>8046</v>
      </c>
      <c r="R584" t="s">
        <v>8200</v>
      </c>
      <c r="S584" s="3" t="s">
        <v>8046</v>
      </c>
      <c r="T584" s="3">
        <v>0</v>
      </c>
    </row>
    <row r="585" spans="1:20" hidden="1" x14ac:dyDescent="0.25">
      <c r="A585" t="s">
        <v>8607</v>
      </c>
      <c r="B585" t="s">
        <v>8630</v>
      </c>
      <c r="C585" t="s">
        <v>1</v>
      </c>
      <c r="D585" t="s">
        <v>0</v>
      </c>
      <c r="E585">
        <v>20743</v>
      </c>
      <c r="F585" t="s">
        <v>1522</v>
      </c>
      <c r="G585" t="s">
        <v>1523</v>
      </c>
      <c r="H585" s="3">
        <v>0.93</v>
      </c>
      <c r="I585" s="3">
        <v>0</v>
      </c>
      <c r="J585" s="3">
        <v>0</v>
      </c>
      <c r="K585" s="3">
        <v>16.88</v>
      </c>
      <c r="L585" s="3">
        <v>0</v>
      </c>
      <c r="M585" s="3">
        <v>0</v>
      </c>
      <c r="N585" s="3">
        <v>0</v>
      </c>
      <c r="O585" s="3">
        <v>2.1943999999999999</v>
      </c>
      <c r="P585" s="3">
        <v>20.004399999999997</v>
      </c>
      <c r="Q585" t="s">
        <v>8046</v>
      </c>
      <c r="R585" t="s">
        <v>8200</v>
      </c>
      <c r="S585" s="3" t="s">
        <v>8046</v>
      </c>
      <c r="T585" s="3">
        <v>0</v>
      </c>
    </row>
    <row r="586" spans="1:20" hidden="1" x14ac:dyDescent="0.25">
      <c r="A586" t="s">
        <v>8607</v>
      </c>
      <c r="B586" t="s">
        <v>8630</v>
      </c>
      <c r="C586" t="s">
        <v>1</v>
      </c>
      <c r="D586" t="s">
        <v>0</v>
      </c>
      <c r="E586">
        <v>249</v>
      </c>
      <c r="F586" t="s">
        <v>1511</v>
      </c>
      <c r="G586" t="s">
        <v>1512</v>
      </c>
      <c r="H586" s="3">
        <v>0</v>
      </c>
      <c r="I586" s="3">
        <v>0</v>
      </c>
      <c r="J586" s="3">
        <v>0</v>
      </c>
      <c r="K586" s="3">
        <v>630</v>
      </c>
      <c r="L586" s="3">
        <v>0</v>
      </c>
      <c r="M586" s="3">
        <v>0</v>
      </c>
      <c r="N586" s="3">
        <v>0</v>
      </c>
      <c r="O586" s="3">
        <v>81.900000000000006</v>
      </c>
      <c r="P586" s="3">
        <v>711.9</v>
      </c>
      <c r="Q586" t="s">
        <v>8046</v>
      </c>
      <c r="R586" t="s">
        <v>8200</v>
      </c>
      <c r="S586" s="3" t="s">
        <v>8046</v>
      </c>
      <c r="T586" s="3">
        <v>0</v>
      </c>
    </row>
    <row r="587" spans="1:20" hidden="1" x14ac:dyDescent="0.25">
      <c r="A587" t="s">
        <v>8607</v>
      </c>
      <c r="B587" t="s">
        <v>8631</v>
      </c>
      <c r="C587" t="s">
        <v>1</v>
      </c>
      <c r="D587" t="s">
        <v>0</v>
      </c>
      <c r="E587">
        <v>8906</v>
      </c>
      <c r="F587" t="s">
        <v>1200</v>
      </c>
      <c r="G587" t="s">
        <v>1201</v>
      </c>
      <c r="H587" s="3">
        <v>0</v>
      </c>
      <c r="I587" s="3">
        <v>0</v>
      </c>
      <c r="J587" s="3">
        <v>0</v>
      </c>
      <c r="K587" s="3">
        <v>5565</v>
      </c>
      <c r="L587" s="3">
        <v>0</v>
      </c>
      <c r="M587" s="3">
        <v>0</v>
      </c>
      <c r="N587" s="3">
        <v>0</v>
      </c>
      <c r="O587" s="3">
        <v>723.45</v>
      </c>
      <c r="P587" s="3">
        <v>6288.45</v>
      </c>
      <c r="Q587" t="s">
        <v>8046</v>
      </c>
      <c r="R587" t="s">
        <v>8200</v>
      </c>
      <c r="S587" s="3" t="s">
        <v>8358</v>
      </c>
      <c r="T587" s="3">
        <v>55.65</v>
      </c>
    </row>
    <row r="588" spans="1:20" hidden="1" x14ac:dyDescent="0.25">
      <c r="A588" t="s">
        <v>8607</v>
      </c>
      <c r="B588" t="s">
        <v>8631</v>
      </c>
      <c r="C588" t="s">
        <v>1</v>
      </c>
      <c r="D588" t="s">
        <v>0</v>
      </c>
      <c r="E588">
        <v>3549</v>
      </c>
      <c r="F588" t="s">
        <v>8350</v>
      </c>
      <c r="G588" t="s">
        <v>8351</v>
      </c>
      <c r="H588" s="3">
        <v>0</v>
      </c>
      <c r="I588" s="3">
        <v>0</v>
      </c>
      <c r="J588" s="3">
        <v>0</v>
      </c>
      <c r="K588" s="3">
        <v>827.96</v>
      </c>
      <c r="L588" s="3">
        <v>0</v>
      </c>
      <c r="M588" s="3">
        <v>0</v>
      </c>
      <c r="N588" s="3">
        <v>0</v>
      </c>
      <c r="O588" s="3">
        <v>107.63480000000001</v>
      </c>
      <c r="P588" s="3">
        <v>935.59480000000008</v>
      </c>
      <c r="Q588" t="s">
        <v>8046</v>
      </c>
      <c r="R588" t="s">
        <v>8200</v>
      </c>
      <c r="S588" s="3" t="s">
        <v>8046</v>
      </c>
      <c r="T588" s="3">
        <v>0</v>
      </c>
    </row>
    <row r="589" spans="1:20" hidden="1" x14ac:dyDescent="0.25">
      <c r="A589" t="s">
        <v>8607</v>
      </c>
      <c r="B589" t="s">
        <v>8631</v>
      </c>
      <c r="C589" t="s">
        <v>1</v>
      </c>
      <c r="D589" t="s">
        <v>0</v>
      </c>
      <c r="E589">
        <v>1072</v>
      </c>
      <c r="F589" t="s">
        <v>5016</v>
      </c>
      <c r="G589" t="s">
        <v>5017</v>
      </c>
      <c r="H589" s="3">
        <v>0</v>
      </c>
      <c r="I589" s="3">
        <v>0</v>
      </c>
      <c r="J589" s="3">
        <v>0</v>
      </c>
      <c r="K589" s="3">
        <v>442.46</v>
      </c>
      <c r="L589" s="3">
        <v>0</v>
      </c>
      <c r="M589" s="3">
        <v>0</v>
      </c>
      <c r="N589" s="3">
        <v>0</v>
      </c>
      <c r="O589" s="3">
        <v>57.519799999999996</v>
      </c>
      <c r="P589" s="3">
        <v>499.97979999999995</v>
      </c>
      <c r="Q589" t="s">
        <v>8046</v>
      </c>
      <c r="R589" t="s">
        <v>8200</v>
      </c>
      <c r="S589" s="3" t="s">
        <v>8046</v>
      </c>
      <c r="T589" s="3">
        <v>0</v>
      </c>
    </row>
    <row r="590" spans="1:20" hidden="1" x14ac:dyDescent="0.25">
      <c r="A590" t="s">
        <v>8607</v>
      </c>
      <c r="B590" t="s">
        <v>8631</v>
      </c>
      <c r="C590" t="s">
        <v>1</v>
      </c>
      <c r="D590" t="s">
        <v>0</v>
      </c>
      <c r="E590">
        <v>26691</v>
      </c>
      <c r="F590" t="s">
        <v>3019</v>
      </c>
      <c r="G590" t="s">
        <v>3020</v>
      </c>
      <c r="H590" s="3">
        <v>0</v>
      </c>
      <c r="I590" s="3">
        <v>0</v>
      </c>
      <c r="J590" s="3">
        <v>0</v>
      </c>
      <c r="K590" s="3">
        <v>975.05</v>
      </c>
      <c r="L590" s="3">
        <v>0</v>
      </c>
      <c r="M590" s="3">
        <v>0</v>
      </c>
      <c r="N590" s="3">
        <v>0</v>
      </c>
      <c r="O590" s="3">
        <v>126.7565</v>
      </c>
      <c r="P590" s="3">
        <v>1101.8064999999999</v>
      </c>
      <c r="Q590" t="s">
        <v>8046</v>
      </c>
      <c r="R590" t="s">
        <v>8200</v>
      </c>
      <c r="S590" s="3" t="s">
        <v>8341</v>
      </c>
      <c r="T590" s="3">
        <v>9.75</v>
      </c>
    </row>
    <row r="591" spans="1:20" hidden="1" x14ac:dyDescent="0.25">
      <c r="A591" t="s">
        <v>8607</v>
      </c>
      <c r="B591" t="s">
        <v>8631</v>
      </c>
      <c r="C591" t="s">
        <v>1</v>
      </c>
      <c r="D591" t="s">
        <v>0</v>
      </c>
      <c r="E591">
        <v>67</v>
      </c>
      <c r="F591" t="s">
        <v>8192</v>
      </c>
      <c r="G591" t="s">
        <v>8193</v>
      </c>
      <c r="H591" s="3">
        <v>0</v>
      </c>
      <c r="I591" s="3">
        <v>0</v>
      </c>
      <c r="J591" s="3">
        <v>0</v>
      </c>
      <c r="K591" s="3">
        <v>58.41</v>
      </c>
      <c r="L591" s="3">
        <v>0</v>
      </c>
      <c r="M591" s="3">
        <v>0</v>
      </c>
      <c r="N591" s="3">
        <v>0</v>
      </c>
      <c r="O591" s="3">
        <v>7.5933000000000002</v>
      </c>
      <c r="P591" s="3">
        <v>66.003299999999996</v>
      </c>
      <c r="Q591" t="s">
        <v>8046</v>
      </c>
      <c r="R591" t="s">
        <v>8200</v>
      </c>
      <c r="S591" s="3" t="s">
        <v>8046</v>
      </c>
      <c r="T591" s="3">
        <v>0</v>
      </c>
    </row>
    <row r="592" spans="1:20" hidden="1" x14ac:dyDescent="0.25">
      <c r="A592" t="s">
        <v>8607</v>
      </c>
      <c r="B592" t="s">
        <v>8631</v>
      </c>
      <c r="C592" t="s">
        <v>1</v>
      </c>
      <c r="D592" t="s">
        <v>0</v>
      </c>
      <c r="E592">
        <v>1443210</v>
      </c>
      <c r="F592" t="s">
        <v>1576</v>
      </c>
      <c r="G592" t="s">
        <v>1577</v>
      </c>
      <c r="H592" s="3">
        <v>0</v>
      </c>
      <c r="I592" s="3">
        <v>0</v>
      </c>
      <c r="J592" s="3">
        <v>0</v>
      </c>
      <c r="K592" s="3">
        <v>327.82</v>
      </c>
      <c r="L592" s="3">
        <v>0</v>
      </c>
      <c r="M592" s="3">
        <v>0</v>
      </c>
      <c r="N592" s="3">
        <v>0</v>
      </c>
      <c r="O592" s="3">
        <v>42.616599999999998</v>
      </c>
      <c r="P592" s="3">
        <v>370.4366</v>
      </c>
      <c r="Q592" t="s">
        <v>8046</v>
      </c>
      <c r="R592" t="s">
        <v>8200</v>
      </c>
      <c r="S592" s="3" t="s">
        <v>8345</v>
      </c>
      <c r="T592" s="3">
        <v>3.28</v>
      </c>
    </row>
    <row r="593" spans="1:20" hidden="1" x14ac:dyDescent="0.25">
      <c r="A593" t="s">
        <v>8607</v>
      </c>
      <c r="B593" t="s">
        <v>8631</v>
      </c>
      <c r="C593" t="s">
        <v>1</v>
      </c>
      <c r="D593" t="s">
        <v>0</v>
      </c>
      <c r="E593">
        <v>3326</v>
      </c>
      <c r="F593" t="s">
        <v>8668</v>
      </c>
      <c r="G593" t="s">
        <v>8669</v>
      </c>
      <c r="H593" s="3">
        <v>0</v>
      </c>
      <c r="I593" s="3">
        <v>0</v>
      </c>
      <c r="J593" s="3">
        <v>0</v>
      </c>
      <c r="K593" s="3">
        <v>108</v>
      </c>
      <c r="L593" s="3">
        <v>0</v>
      </c>
      <c r="M593" s="3">
        <v>0</v>
      </c>
      <c r="N593" s="3">
        <v>0</v>
      </c>
      <c r="O593" s="3">
        <v>14.040000000000001</v>
      </c>
      <c r="P593" s="3">
        <v>122.04</v>
      </c>
      <c r="Q593" t="s">
        <v>8046</v>
      </c>
      <c r="R593" t="s">
        <v>8200</v>
      </c>
      <c r="S593" s="3" t="s">
        <v>8046</v>
      </c>
      <c r="T593" s="3">
        <v>0</v>
      </c>
    </row>
    <row r="594" spans="1:20" hidden="1" x14ac:dyDescent="0.25">
      <c r="A594" t="s">
        <v>8607</v>
      </c>
      <c r="B594" t="s">
        <v>8632</v>
      </c>
      <c r="C594" t="s">
        <v>1</v>
      </c>
      <c r="D594" t="s">
        <v>0</v>
      </c>
      <c r="E594">
        <v>8859</v>
      </c>
      <c r="F594" t="s">
        <v>1200</v>
      </c>
      <c r="G594" t="s">
        <v>1201</v>
      </c>
      <c r="H594" s="3">
        <v>0</v>
      </c>
      <c r="I594" s="3">
        <v>0</v>
      </c>
      <c r="J594" s="3">
        <v>0</v>
      </c>
      <c r="K594" s="3">
        <v>7404.76</v>
      </c>
      <c r="L594" s="3">
        <v>0</v>
      </c>
      <c r="M594" s="3">
        <v>0</v>
      </c>
      <c r="N594" s="3">
        <v>0</v>
      </c>
      <c r="O594" s="3">
        <v>962.61880000000008</v>
      </c>
      <c r="P594" s="3">
        <v>8367.3788000000004</v>
      </c>
      <c r="Q594" t="s">
        <v>8046</v>
      </c>
      <c r="R594" t="s">
        <v>8200</v>
      </c>
      <c r="S594" s="3" t="s">
        <v>8358</v>
      </c>
      <c r="T594" s="3">
        <v>74.05</v>
      </c>
    </row>
    <row r="595" spans="1:20" hidden="1" x14ac:dyDescent="0.25">
      <c r="A595" t="s">
        <v>8607</v>
      </c>
      <c r="B595" t="s">
        <v>8632</v>
      </c>
      <c r="C595" t="s">
        <v>1</v>
      </c>
      <c r="D595" t="s">
        <v>0</v>
      </c>
      <c r="E595">
        <v>4505</v>
      </c>
      <c r="F595" t="s">
        <v>1732</v>
      </c>
      <c r="G595" t="s">
        <v>1733</v>
      </c>
      <c r="H595" s="3">
        <v>1.4</v>
      </c>
      <c r="I595" s="3">
        <v>0</v>
      </c>
      <c r="J595" s="3">
        <v>0</v>
      </c>
      <c r="K595" s="3">
        <v>25.3</v>
      </c>
      <c r="L595" s="3">
        <v>0</v>
      </c>
      <c r="M595" s="3">
        <v>0</v>
      </c>
      <c r="N595" s="3">
        <v>0</v>
      </c>
      <c r="O595" s="3">
        <v>3.2890000000000001</v>
      </c>
      <c r="P595" s="3">
        <v>29.989000000000001</v>
      </c>
      <c r="Q595" t="s">
        <v>8046</v>
      </c>
      <c r="R595" t="s">
        <v>8200</v>
      </c>
      <c r="S595" s="3" t="s">
        <v>8046</v>
      </c>
      <c r="T595" s="3">
        <v>0</v>
      </c>
    </row>
    <row r="596" spans="1:20" hidden="1" x14ac:dyDescent="0.25">
      <c r="A596" t="s">
        <v>8607</v>
      </c>
      <c r="B596" t="s">
        <v>8632</v>
      </c>
      <c r="C596" t="s">
        <v>1</v>
      </c>
      <c r="D596" t="s">
        <v>0</v>
      </c>
      <c r="E596">
        <v>149</v>
      </c>
      <c r="F596" t="s">
        <v>131</v>
      </c>
      <c r="G596" t="s">
        <v>132</v>
      </c>
      <c r="H596" s="3">
        <v>0</v>
      </c>
      <c r="I596" s="3">
        <v>0</v>
      </c>
      <c r="J596" s="3">
        <v>0</v>
      </c>
      <c r="K596" s="3">
        <v>659.25</v>
      </c>
      <c r="L596" s="3">
        <v>0</v>
      </c>
      <c r="M596" s="3">
        <v>0</v>
      </c>
      <c r="N596" s="3">
        <v>0</v>
      </c>
      <c r="O596" s="3">
        <v>85.702500000000001</v>
      </c>
      <c r="P596" s="3">
        <v>744.95249999999999</v>
      </c>
      <c r="Q596" t="s">
        <v>8046</v>
      </c>
      <c r="R596" t="s">
        <v>8200</v>
      </c>
      <c r="S596" s="3" t="s">
        <v>8046</v>
      </c>
      <c r="T596" s="3">
        <v>0</v>
      </c>
    </row>
    <row r="597" spans="1:20" hidden="1" x14ac:dyDescent="0.25">
      <c r="A597" t="s">
        <v>8607</v>
      </c>
      <c r="B597" t="s">
        <v>8632</v>
      </c>
      <c r="C597" t="s">
        <v>1</v>
      </c>
      <c r="D597" t="s">
        <v>0</v>
      </c>
      <c r="E597">
        <v>20345</v>
      </c>
      <c r="F597" t="s">
        <v>1522</v>
      </c>
      <c r="G597" t="s">
        <v>1523</v>
      </c>
      <c r="H597" s="3">
        <v>2.8</v>
      </c>
      <c r="I597" s="3">
        <v>0</v>
      </c>
      <c r="J597" s="3">
        <v>0</v>
      </c>
      <c r="K597" s="3">
        <v>50.62</v>
      </c>
      <c r="L597" s="3">
        <v>0</v>
      </c>
      <c r="M597" s="3">
        <v>0</v>
      </c>
      <c r="N597" s="3">
        <v>0</v>
      </c>
      <c r="O597" s="3">
        <v>6.5805999999999996</v>
      </c>
      <c r="P597" s="3">
        <v>60.000599999999991</v>
      </c>
      <c r="Q597" t="s">
        <v>8046</v>
      </c>
      <c r="R597" t="s">
        <v>8200</v>
      </c>
      <c r="S597" s="3" t="s">
        <v>8046</v>
      </c>
      <c r="T597" s="3">
        <v>0</v>
      </c>
    </row>
    <row r="598" spans="1:20" hidden="1" x14ac:dyDescent="0.25">
      <c r="A598" t="s">
        <v>8607</v>
      </c>
      <c r="B598" t="s">
        <v>8632</v>
      </c>
      <c r="C598" t="s">
        <v>1</v>
      </c>
      <c r="D598" t="s">
        <v>0</v>
      </c>
      <c r="E598">
        <v>20389</v>
      </c>
      <c r="F598" t="s">
        <v>1522</v>
      </c>
      <c r="G598" t="s">
        <v>1523</v>
      </c>
      <c r="H598" s="3">
        <v>1.54</v>
      </c>
      <c r="I598" s="3">
        <v>0</v>
      </c>
      <c r="J598" s="3">
        <v>0</v>
      </c>
      <c r="K598" s="3">
        <v>27.84</v>
      </c>
      <c r="L598" s="3">
        <v>0</v>
      </c>
      <c r="M598" s="3">
        <v>0</v>
      </c>
      <c r="N598" s="3">
        <v>0</v>
      </c>
      <c r="O598" s="3">
        <v>3.6192000000000002</v>
      </c>
      <c r="P598" s="3">
        <v>32.999200000000002</v>
      </c>
      <c r="Q598" t="s">
        <v>8046</v>
      </c>
      <c r="R598" t="s">
        <v>8200</v>
      </c>
      <c r="S598" s="3" t="s">
        <v>8046</v>
      </c>
      <c r="T598" s="3">
        <v>0</v>
      </c>
    </row>
    <row r="599" spans="1:20" hidden="1" x14ac:dyDescent="0.25">
      <c r="A599" t="s">
        <v>8607</v>
      </c>
      <c r="B599" t="s">
        <v>8633</v>
      </c>
      <c r="C599" t="s">
        <v>1</v>
      </c>
      <c r="D599" t="s">
        <v>0</v>
      </c>
      <c r="E599">
        <v>36036</v>
      </c>
      <c r="F599" t="s">
        <v>3120</v>
      </c>
      <c r="G599" t="s">
        <v>3121</v>
      </c>
      <c r="H599" s="3">
        <v>0</v>
      </c>
      <c r="I599" s="3">
        <v>0</v>
      </c>
      <c r="J599" s="3">
        <v>0</v>
      </c>
      <c r="K599" s="3">
        <v>17</v>
      </c>
      <c r="L599" s="3">
        <v>0</v>
      </c>
      <c r="M599" s="3">
        <v>0</v>
      </c>
      <c r="N599" s="3">
        <v>0</v>
      </c>
      <c r="O599" s="3">
        <v>2.21</v>
      </c>
      <c r="P599" s="3">
        <v>19.21</v>
      </c>
      <c r="Q599" t="s">
        <v>8046</v>
      </c>
      <c r="R599" t="s">
        <v>8200</v>
      </c>
      <c r="S599" s="3" t="s">
        <v>8046</v>
      </c>
      <c r="T599" s="3">
        <v>0</v>
      </c>
    </row>
    <row r="600" spans="1:20" hidden="1" x14ac:dyDescent="0.25">
      <c r="A600" t="s">
        <v>8607</v>
      </c>
      <c r="B600" t="s">
        <v>8633</v>
      </c>
      <c r="C600" t="s">
        <v>1</v>
      </c>
      <c r="D600" t="s">
        <v>0</v>
      </c>
      <c r="E600">
        <v>1668</v>
      </c>
      <c r="F600" t="s">
        <v>1597</v>
      </c>
      <c r="G600" t="s">
        <v>1598</v>
      </c>
      <c r="H600" s="3">
        <v>0</v>
      </c>
      <c r="I600" s="3">
        <v>0</v>
      </c>
      <c r="J600" s="3">
        <v>0</v>
      </c>
      <c r="K600" s="3">
        <v>100</v>
      </c>
      <c r="L600" s="3">
        <v>0</v>
      </c>
      <c r="M600" s="3">
        <v>0</v>
      </c>
      <c r="N600" s="3">
        <v>0</v>
      </c>
      <c r="O600" s="3">
        <v>13</v>
      </c>
      <c r="P600" s="3">
        <v>113</v>
      </c>
      <c r="Q600" t="s">
        <v>8046</v>
      </c>
      <c r="R600" t="s">
        <v>8200</v>
      </c>
      <c r="S600" s="3" t="s">
        <v>8046</v>
      </c>
      <c r="T600" s="3">
        <v>0</v>
      </c>
    </row>
    <row r="601" spans="1:20" hidden="1" x14ac:dyDescent="0.25">
      <c r="A601" t="s">
        <v>8607</v>
      </c>
      <c r="B601" t="s">
        <v>8633</v>
      </c>
      <c r="C601" t="s">
        <v>1</v>
      </c>
      <c r="D601" t="s">
        <v>0</v>
      </c>
      <c r="E601">
        <v>1673</v>
      </c>
      <c r="F601" t="s">
        <v>1597</v>
      </c>
      <c r="G601" t="s">
        <v>1598</v>
      </c>
      <c r="H601" s="3">
        <v>0</v>
      </c>
      <c r="I601" s="3">
        <v>0</v>
      </c>
      <c r="J601" s="3">
        <v>0</v>
      </c>
      <c r="K601" s="3">
        <v>280</v>
      </c>
      <c r="L601" s="3">
        <v>0</v>
      </c>
      <c r="M601" s="3">
        <v>0</v>
      </c>
      <c r="N601" s="3">
        <v>0</v>
      </c>
      <c r="O601" s="3">
        <v>36.4</v>
      </c>
      <c r="P601" s="3">
        <v>316.39999999999998</v>
      </c>
      <c r="Q601" t="s">
        <v>8046</v>
      </c>
      <c r="R601" t="s">
        <v>8200</v>
      </c>
      <c r="S601" s="3" t="s">
        <v>8046</v>
      </c>
      <c r="T601" s="3">
        <v>0</v>
      </c>
    </row>
    <row r="602" spans="1:20" hidden="1" x14ac:dyDescent="0.25">
      <c r="A602" s="72" t="s">
        <v>8607</v>
      </c>
      <c r="B602" s="72" t="s">
        <v>8633</v>
      </c>
      <c r="C602" s="72" t="s">
        <v>1</v>
      </c>
      <c r="D602" s="72" t="s">
        <v>0</v>
      </c>
      <c r="E602" s="72">
        <v>27278</v>
      </c>
      <c r="F602" s="72" t="s">
        <v>2897</v>
      </c>
      <c r="G602" s="72" t="s">
        <v>2898</v>
      </c>
      <c r="H602" s="73">
        <v>1.45</v>
      </c>
      <c r="I602" s="73">
        <v>0</v>
      </c>
      <c r="J602" s="73">
        <v>0</v>
      </c>
      <c r="K602" s="73">
        <v>28.06</v>
      </c>
      <c r="L602" s="73">
        <v>0</v>
      </c>
      <c r="M602" s="73">
        <v>0</v>
      </c>
      <c r="N602" s="73">
        <v>0</v>
      </c>
      <c r="O602" s="73">
        <v>0.49105000000000004</v>
      </c>
      <c r="P602" s="73">
        <v>30.001049999999999</v>
      </c>
      <c r="Q602" s="72" t="s">
        <v>8046</v>
      </c>
      <c r="R602" s="72" t="s">
        <v>8200</v>
      </c>
      <c r="S602" s="73" t="s">
        <v>8046</v>
      </c>
      <c r="T602" s="73">
        <v>0</v>
      </c>
    </row>
    <row r="603" spans="1:20" hidden="1" x14ac:dyDescent="0.25">
      <c r="A603" t="s">
        <v>8607</v>
      </c>
      <c r="B603" t="s">
        <v>8633</v>
      </c>
      <c r="C603" t="s">
        <v>1</v>
      </c>
      <c r="D603" t="s">
        <v>0</v>
      </c>
      <c r="E603">
        <v>4242</v>
      </c>
      <c r="F603" t="s">
        <v>7877</v>
      </c>
      <c r="G603" t="s">
        <v>7878</v>
      </c>
      <c r="H603" s="3">
        <v>0</v>
      </c>
      <c r="I603" s="3">
        <v>0</v>
      </c>
      <c r="J603" s="3">
        <v>0</v>
      </c>
      <c r="K603" s="3">
        <v>80.709999999999994</v>
      </c>
      <c r="L603" s="3">
        <v>0</v>
      </c>
      <c r="M603" s="3">
        <v>0</v>
      </c>
      <c r="N603" s="3">
        <v>0</v>
      </c>
      <c r="O603" s="3">
        <v>10.4923</v>
      </c>
      <c r="P603" s="3">
        <v>91.202299999999994</v>
      </c>
      <c r="Q603" t="s">
        <v>8046</v>
      </c>
      <c r="R603" t="s">
        <v>8200</v>
      </c>
      <c r="S603" s="3" t="s">
        <v>8046</v>
      </c>
      <c r="T603" s="3">
        <v>0</v>
      </c>
    </row>
    <row r="604" spans="1:20" hidden="1" x14ac:dyDescent="0.25">
      <c r="A604" s="76" t="s">
        <v>8607</v>
      </c>
      <c r="B604" s="76" t="s">
        <v>8665</v>
      </c>
      <c r="C604" s="76" t="s">
        <v>1</v>
      </c>
      <c r="D604" s="76" t="s">
        <v>0</v>
      </c>
      <c r="E604" s="76">
        <v>3946</v>
      </c>
      <c r="F604" s="76" t="s">
        <v>8666</v>
      </c>
      <c r="G604" s="76" t="s">
        <v>8667</v>
      </c>
      <c r="H604" s="77">
        <v>1.1599999999999999</v>
      </c>
      <c r="I604" s="77">
        <v>0</v>
      </c>
      <c r="J604" s="77">
        <v>0</v>
      </c>
      <c r="K604" s="77">
        <v>22.76</v>
      </c>
      <c r="L604" s="77">
        <v>0</v>
      </c>
      <c r="M604" s="77">
        <v>0</v>
      </c>
      <c r="N604" s="77">
        <v>0</v>
      </c>
      <c r="O604" s="77">
        <v>1.0811000000000002</v>
      </c>
      <c r="P604" s="77">
        <v>25.001100000000001</v>
      </c>
      <c r="Q604" s="76" t="s">
        <v>8046</v>
      </c>
      <c r="R604" s="76" t="s">
        <v>8200</v>
      </c>
      <c r="S604" s="77" t="s">
        <v>8046</v>
      </c>
      <c r="T604" s="77">
        <v>0</v>
      </c>
    </row>
    <row r="605" spans="1:20" hidden="1" x14ac:dyDescent="0.25">
      <c r="A605" t="s">
        <v>8607</v>
      </c>
      <c r="B605" t="s">
        <v>8634</v>
      </c>
      <c r="C605" t="s">
        <v>1</v>
      </c>
      <c r="D605" t="s">
        <v>0</v>
      </c>
      <c r="E605">
        <v>2417</v>
      </c>
      <c r="F605" t="s">
        <v>762</v>
      </c>
      <c r="G605" t="s">
        <v>763</v>
      </c>
      <c r="H605" s="3">
        <v>0</v>
      </c>
      <c r="I605" s="3">
        <v>0</v>
      </c>
      <c r="J605" s="3">
        <v>0</v>
      </c>
      <c r="K605" s="3">
        <v>117</v>
      </c>
      <c r="L605" s="3">
        <v>0</v>
      </c>
      <c r="M605" s="3">
        <v>0</v>
      </c>
      <c r="N605" s="3">
        <v>0</v>
      </c>
      <c r="O605" s="3">
        <v>15.21</v>
      </c>
      <c r="P605" s="3">
        <v>132.21</v>
      </c>
      <c r="Q605" t="s">
        <v>8046</v>
      </c>
      <c r="R605" t="s">
        <v>8200</v>
      </c>
      <c r="S605" s="3" t="s">
        <v>8046</v>
      </c>
      <c r="T605" s="3">
        <v>0</v>
      </c>
    </row>
    <row r="606" spans="1:20" hidden="1" x14ac:dyDescent="0.25">
      <c r="A606" s="74" t="s">
        <v>8607</v>
      </c>
      <c r="B606" s="74" t="s">
        <v>8634</v>
      </c>
      <c r="C606" s="74" t="s">
        <v>1</v>
      </c>
      <c r="D606" s="74" t="s">
        <v>0</v>
      </c>
      <c r="E606" s="74">
        <v>19721</v>
      </c>
      <c r="F606" s="74" t="s">
        <v>1522</v>
      </c>
      <c r="G606" s="74" t="s">
        <v>1523</v>
      </c>
      <c r="H606" s="75">
        <v>0.97</v>
      </c>
      <c r="I606" s="75">
        <v>0</v>
      </c>
      <c r="J606" s="75">
        <v>0</v>
      </c>
      <c r="K606" s="75">
        <v>18.12</v>
      </c>
      <c r="L606" s="75">
        <v>0</v>
      </c>
      <c r="M606" s="75">
        <v>0</v>
      </c>
      <c r="N606" s="75">
        <v>0</v>
      </c>
      <c r="O606" s="75">
        <v>0.90600000000000014</v>
      </c>
      <c r="P606" s="75">
        <v>19.995999999999999</v>
      </c>
      <c r="Q606" s="74" t="s">
        <v>8046</v>
      </c>
      <c r="R606" s="74" t="s">
        <v>8200</v>
      </c>
      <c r="S606" s="75" t="s">
        <v>8046</v>
      </c>
      <c r="T606" s="75">
        <v>0</v>
      </c>
    </row>
    <row r="607" spans="1:20" hidden="1" x14ac:dyDescent="0.25">
      <c r="A607" t="s">
        <v>8607</v>
      </c>
      <c r="B607" t="s">
        <v>8634</v>
      </c>
      <c r="C607" t="s">
        <v>1</v>
      </c>
      <c r="D607" t="s">
        <v>0</v>
      </c>
      <c r="E607">
        <v>118</v>
      </c>
      <c r="F607" t="s">
        <v>131</v>
      </c>
      <c r="G607" t="s">
        <v>132</v>
      </c>
      <c r="H607" s="3">
        <v>0</v>
      </c>
      <c r="I607" s="3">
        <v>0</v>
      </c>
      <c r="J607" s="3">
        <v>0</v>
      </c>
      <c r="K607" s="3">
        <v>1804.96</v>
      </c>
      <c r="L607" s="3">
        <v>0</v>
      </c>
      <c r="M607" s="3">
        <v>0</v>
      </c>
      <c r="N607" s="3">
        <v>0</v>
      </c>
      <c r="O607" s="3">
        <v>234.6448</v>
      </c>
      <c r="P607" s="3">
        <v>2039.6048000000001</v>
      </c>
      <c r="Q607" t="s">
        <v>8046</v>
      </c>
      <c r="R607" t="s">
        <v>8200</v>
      </c>
      <c r="S607" s="3" t="s">
        <v>8046</v>
      </c>
      <c r="T607" s="3">
        <v>0</v>
      </c>
    </row>
    <row r="608" spans="1:20" hidden="1" x14ac:dyDescent="0.25">
      <c r="A608" t="s">
        <v>8607</v>
      </c>
      <c r="B608" t="s">
        <v>8527</v>
      </c>
      <c r="C608" t="s">
        <v>1</v>
      </c>
      <c r="D608" s="33" t="s">
        <v>8333</v>
      </c>
      <c r="E608">
        <v>6662</v>
      </c>
      <c r="F608" t="s">
        <v>1519</v>
      </c>
      <c r="G608" t="s">
        <v>1520</v>
      </c>
      <c r="H608" s="3">
        <v>0</v>
      </c>
      <c r="I608" s="3">
        <v>0</v>
      </c>
      <c r="J608" s="3">
        <v>0</v>
      </c>
      <c r="K608" s="3">
        <v>14.6</v>
      </c>
      <c r="L608" s="3">
        <v>0</v>
      </c>
      <c r="M608" s="3">
        <v>0</v>
      </c>
      <c r="N608" s="3">
        <v>0</v>
      </c>
      <c r="O608" s="3">
        <v>1.8979999999999999</v>
      </c>
      <c r="P608" s="3">
        <v>16.498000000000001</v>
      </c>
      <c r="Q608" t="s">
        <v>8046</v>
      </c>
      <c r="R608" t="s">
        <v>8200</v>
      </c>
      <c r="S608" s="3" t="s">
        <v>8046</v>
      </c>
      <c r="T608" s="3">
        <v>0</v>
      </c>
    </row>
    <row r="609" spans="1:20" hidden="1" x14ac:dyDescent="0.25">
      <c r="A609" t="s">
        <v>8607</v>
      </c>
      <c r="B609" t="s">
        <v>8527</v>
      </c>
      <c r="C609" t="s">
        <v>1</v>
      </c>
      <c r="D609" t="s">
        <v>0</v>
      </c>
      <c r="E609">
        <v>12443</v>
      </c>
      <c r="F609" t="s">
        <v>1519</v>
      </c>
      <c r="G609" t="s">
        <v>1520</v>
      </c>
      <c r="H609" s="3">
        <v>0</v>
      </c>
      <c r="I609" s="3">
        <v>0</v>
      </c>
      <c r="J609" s="3">
        <v>0</v>
      </c>
      <c r="K609" s="3">
        <v>1293.02</v>
      </c>
      <c r="L609" s="3">
        <v>0</v>
      </c>
      <c r="M609" s="3">
        <v>0</v>
      </c>
      <c r="N609" s="3">
        <v>0</v>
      </c>
      <c r="O609" s="3">
        <v>168.0926</v>
      </c>
      <c r="P609" s="3">
        <v>1461.1125999999999</v>
      </c>
      <c r="Q609" t="s">
        <v>8046</v>
      </c>
      <c r="R609" t="s">
        <v>8200</v>
      </c>
      <c r="S609" s="3" t="s">
        <v>8341</v>
      </c>
      <c r="T609" s="3">
        <v>12.93</v>
      </c>
    </row>
    <row r="610" spans="1:20" hidden="1" x14ac:dyDescent="0.25">
      <c r="A610" t="s">
        <v>8607</v>
      </c>
      <c r="B610" t="s">
        <v>8527</v>
      </c>
      <c r="C610" t="s">
        <v>1</v>
      </c>
      <c r="D610" t="s">
        <v>0</v>
      </c>
      <c r="E610">
        <v>4462</v>
      </c>
      <c r="F610" t="s">
        <v>294</v>
      </c>
      <c r="G610" t="s">
        <v>295</v>
      </c>
      <c r="H610" s="3">
        <v>0</v>
      </c>
      <c r="I610" s="3">
        <v>0</v>
      </c>
      <c r="J610" s="3">
        <v>0</v>
      </c>
      <c r="K610" s="3">
        <v>165.93</v>
      </c>
      <c r="L610" s="3">
        <v>0</v>
      </c>
      <c r="M610" s="3">
        <v>0</v>
      </c>
      <c r="N610" s="3">
        <v>0</v>
      </c>
      <c r="O610" s="3">
        <v>21.570900000000002</v>
      </c>
      <c r="P610" s="3">
        <v>187.5009</v>
      </c>
      <c r="Q610" t="s">
        <v>8046</v>
      </c>
      <c r="R610" t="s">
        <v>8200</v>
      </c>
      <c r="S610" s="3" t="s">
        <v>8046</v>
      </c>
      <c r="T610" s="3">
        <v>0</v>
      </c>
    </row>
    <row r="611" spans="1:20" hidden="1" x14ac:dyDescent="0.25">
      <c r="A611" t="s">
        <v>8607</v>
      </c>
      <c r="B611" t="s">
        <v>8527</v>
      </c>
      <c r="C611" t="s">
        <v>1</v>
      </c>
      <c r="D611" s="33" t="s">
        <v>8333</v>
      </c>
      <c r="E611">
        <v>261980</v>
      </c>
      <c r="F611" t="s">
        <v>1576</v>
      </c>
      <c r="G611" t="s">
        <v>1577</v>
      </c>
      <c r="H611" s="3">
        <v>0</v>
      </c>
      <c r="I611" s="3">
        <v>0</v>
      </c>
      <c r="J611" s="3">
        <v>0</v>
      </c>
      <c r="K611" s="3">
        <v>12.9</v>
      </c>
      <c r="L611" s="3">
        <v>0</v>
      </c>
      <c r="M611" s="3">
        <v>0</v>
      </c>
      <c r="N611" s="3">
        <v>0</v>
      </c>
      <c r="O611" s="3">
        <v>1.677</v>
      </c>
      <c r="P611" s="3">
        <v>14.577</v>
      </c>
      <c r="Q611" t="s">
        <v>8046</v>
      </c>
      <c r="R611" t="s">
        <v>8200</v>
      </c>
      <c r="S611" s="3" t="s">
        <v>8046</v>
      </c>
      <c r="T611" s="3">
        <v>0</v>
      </c>
    </row>
    <row r="612" spans="1:20" hidden="1" x14ac:dyDescent="0.25">
      <c r="A612" t="s">
        <v>8607</v>
      </c>
      <c r="B612" t="s">
        <v>8527</v>
      </c>
      <c r="C612" t="s">
        <v>1</v>
      </c>
      <c r="D612" s="33" t="s">
        <v>8333</v>
      </c>
      <c r="E612">
        <v>261979</v>
      </c>
      <c r="F612" t="s">
        <v>1576</v>
      </c>
      <c r="G612" t="s">
        <v>1577</v>
      </c>
      <c r="H612" s="3">
        <v>0</v>
      </c>
      <c r="I612" s="3">
        <v>0</v>
      </c>
      <c r="J612" s="3">
        <v>0</v>
      </c>
      <c r="K612" s="3">
        <v>7.74</v>
      </c>
      <c r="L612" s="3">
        <v>0</v>
      </c>
      <c r="M612" s="3">
        <v>0</v>
      </c>
      <c r="N612" s="3">
        <v>0</v>
      </c>
      <c r="O612" s="3">
        <v>1.0062</v>
      </c>
      <c r="P612" s="3">
        <v>8.7462</v>
      </c>
      <c r="Q612" t="s">
        <v>8046</v>
      </c>
      <c r="R612" t="s">
        <v>8200</v>
      </c>
      <c r="S612" s="3" t="s">
        <v>8046</v>
      </c>
      <c r="T612" s="3">
        <v>0</v>
      </c>
    </row>
    <row r="613" spans="1:20" hidden="1" x14ac:dyDescent="0.25">
      <c r="A613" s="76" t="s">
        <v>8607</v>
      </c>
      <c r="B613" s="76" t="s">
        <v>8527</v>
      </c>
      <c r="C613" s="76" t="s">
        <v>1</v>
      </c>
      <c r="D613" s="76" t="s">
        <v>0</v>
      </c>
      <c r="E613" s="76">
        <v>77914</v>
      </c>
      <c r="F613" s="76" t="s">
        <v>1670</v>
      </c>
      <c r="G613" s="76" t="s">
        <v>1671</v>
      </c>
      <c r="H613" s="77">
        <v>1.95</v>
      </c>
      <c r="I613" s="77">
        <v>0</v>
      </c>
      <c r="J613" s="77">
        <v>0</v>
      </c>
      <c r="K613" s="77">
        <v>38.24</v>
      </c>
      <c r="L613" s="77">
        <v>0</v>
      </c>
      <c r="M613" s="77">
        <v>0</v>
      </c>
      <c r="N613" s="77">
        <v>0</v>
      </c>
      <c r="O613" s="77">
        <v>1.8164</v>
      </c>
      <c r="P613" s="77">
        <v>42.006400000000006</v>
      </c>
      <c r="Q613" s="76" t="s">
        <v>8046</v>
      </c>
      <c r="R613" s="76" t="s">
        <v>8200</v>
      </c>
      <c r="S613" s="77" t="s">
        <v>8046</v>
      </c>
      <c r="T613" s="77">
        <v>0</v>
      </c>
    </row>
    <row r="614" spans="1:20" hidden="1" x14ac:dyDescent="0.25">
      <c r="A614" s="74" t="s">
        <v>8607</v>
      </c>
      <c r="B614" s="74" t="s">
        <v>8543</v>
      </c>
      <c r="C614" s="74" t="s">
        <v>1</v>
      </c>
      <c r="D614" s="74" t="s">
        <v>0</v>
      </c>
      <c r="E614" s="74">
        <v>24872</v>
      </c>
      <c r="F614" s="74" t="s">
        <v>1586</v>
      </c>
      <c r="G614" s="74" t="s">
        <v>1587</v>
      </c>
      <c r="H614" s="75">
        <v>1.93</v>
      </c>
      <c r="I614" s="75">
        <v>0</v>
      </c>
      <c r="J614" s="75">
        <v>0</v>
      </c>
      <c r="K614" s="75">
        <v>36.26</v>
      </c>
      <c r="L614" s="75">
        <v>0</v>
      </c>
      <c r="M614" s="75">
        <v>0</v>
      </c>
      <c r="N614" s="75">
        <v>0</v>
      </c>
      <c r="O614" s="75">
        <v>1.8129999999999999</v>
      </c>
      <c r="P614" s="75">
        <v>40.003</v>
      </c>
      <c r="Q614" s="74" t="s">
        <v>8046</v>
      </c>
      <c r="R614" s="74" t="s">
        <v>8200</v>
      </c>
      <c r="S614" s="75" t="s">
        <v>8046</v>
      </c>
      <c r="T614" s="75">
        <v>0</v>
      </c>
    </row>
    <row r="615" spans="1:20" hidden="1" x14ac:dyDescent="0.25">
      <c r="A615" s="76" t="s">
        <v>8607</v>
      </c>
      <c r="B615" s="76" t="s">
        <v>8528</v>
      </c>
      <c r="C615" s="76" t="s">
        <v>1</v>
      </c>
      <c r="D615" s="76" t="s">
        <v>0</v>
      </c>
      <c r="E615" s="76">
        <v>469628</v>
      </c>
      <c r="F615" s="76" t="s">
        <v>1501</v>
      </c>
      <c r="G615" s="76" t="s">
        <v>1502</v>
      </c>
      <c r="H615" s="77">
        <v>1.41</v>
      </c>
      <c r="I615" s="77">
        <v>0</v>
      </c>
      <c r="J615" s="77">
        <v>0</v>
      </c>
      <c r="K615" s="77">
        <v>27.3</v>
      </c>
      <c r="L615" s="77">
        <v>0</v>
      </c>
      <c r="M615" s="77">
        <v>0</v>
      </c>
      <c r="N615" s="77">
        <v>0</v>
      </c>
      <c r="O615" s="77">
        <v>1.2967500000000001</v>
      </c>
      <c r="P615" s="77">
        <v>30.00675</v>
      </c>
      <c r="Q615" s="76" t="s">
        <v>8046</v>
      </c>
      <c r="R615" s="76" t="s">
        <v>8200</v>
      </c>
      <c r="S615" s="77" t="s">
        <v>8046</v>
      </c>
      <c r="T615" s="77">
        <v>0</v>
      </c>
    </row>
    <row r="616" spans="1:20" hidden="1" x14ac:dyDescent="0.25">
      <c r="A616" s="72" t="s">
        <v>8607</v>
      </c>
      <c r="B616" s="72" t="s">
        <v>8664</v>
      </c>
      <c r="C616" s="72" t="s">
        <v>1</v>
      </c>
      <c r="D616" s="72" t="s">
        <v>0</v>
      </c>
      <c r="E616" s="72">
        <v>18859</v>
      </c>
      <c r="F616" s="72" t="s">
        <v>1522</v>
      </c>
      <c r="G616" s="72" t="s">
        <v>1523</v>
      </c>
      <c r="H616" s="73">
        <v>3.12</v>
      </c>
      <c r="I616" s="73">
        <v>0</v>
      </c>
      <c r="J616" s="73">
        <v>0</v>
      </c>
      <c r="K616" s="73">
        <v>59.83</v>
      </c>
      <c r="L616" s="73">
        <v>0</v>
      </c>
      <c r="M616" s="73">
        <v>0</v>
      </c>
      <c r="N616" s="73">
        <v>0</v>
      </c>
      <c r="O616" s="73">
        <v>1.0470250000000001</v>
      </c>
      <c r="P616" s="73">
        <v>63.997024999999994</v>
      </c>
      <c r="Q616" s="72" t="s">
        <v>8046</v>
      </c>
      <c r="R616" s="72" t="s">
        <v>8200</v>
      </c>
      <c r="S616" s="73" t="s">
        <v>8046</v>
      </c>
      <c r="T616" s="73">
        <v>0</v>
      </c>
    </row>
    <row r="617" spans="1:20" hidden="1" x14ac:dyDescent="0.25">
      <c r="A617" t="s">
        <v>8607</v>
      </c>
      <c r="B617" t="s">
        <v>8529</v>
      </c>
      <c r="C617" t="s">
        <v>1</v>
      </c>
      <c r="D617" t="s">
        <v>0</v>
      </c>
      <c r="E617">
        <v>14219</v>
      </c>
      <c r="F617" t="s">
        <v>3153</v>
      </c>
      <c r="G617" t="s">
        <v>3154</v>
      </c>
      <c r="H617" s="3">
        <v>0</v>
      </c>
      <c r="I617" s="3">
        <v>0</v>
      </c>
      <c r="J617" s="3">
        <v>0</v>
      </c>
      <c r="K617" s="3">
        <v>698.23</v>
      </c>
      <c r="L617" s="3">
        <v>0</v>
      </c>
      <c r="M617" s="3">
        <v>0</v>
      </c>
      <c r="N617" s="3">
        <v>0</v>
      </c>
      <c r="O617" s="3">
        <v>90.769900000000007</v>
      </c>
      <c r="P617" s="3">
        <v>788.99990000000003</v>
      </c>
      <c r="Q617" t="s">
        <v>8046</v>
      </c>
      <c r="R617" t="s">
        <v>8200</v>
      </c>
      <c r="S617" s="3" t="s">
        <v>8046</v>
      </c>
      <c r="T617" s="3">
        <v>0</v>
      </c>
    </row>
    <row r="618" spans="1:20" hidden="1" x14ac:dyDescent="0.25">
      <c r="A618" t="s">
        <v>8607</v>
      </c>
      <c r="B618" t="s">
        <v>8529</v>
      </c>
      <c r="C618" t="s">
        <v>1</v>
      </c>
      <c r="D618" t="s">
        <v>0</v>
      </c>
      <c r="E618">
        <v>721</v>
      </c>
      <c r="F618" t="s">
        <v>1665</v>
      </c>
      <c r="G618" t="s">
        <v>1666</v>
      </c>
      <c r="H618" s="3">
        <v>0</v>
      </c>
      <c r="I618" s="3">
        <v>0</v>
      </c>
      <c r="J618" s="3">
        <v>0</v>
      </c>
      <c r="K618" s="3">
        <v>26.55</v>
      </c>
      <c r="L618" s="3">
        <v>0</v>
      </c>
      <c r="M618" s="3">
        <v>0</v>
      </c>
      <c r="N618" s="3">
        <v>0</v>
      </c>
      <c r="O618" s="3">
        <v>3.4515000000000002</v>
      </c>
      <c r="P618" s="3">
        <v>30.0015</v>
      </c>
      <c r="Q618" t="s">
        <v>8046</v>
      </c>
      <c r="R618" t="s">
        <v>8200</v>
      </c>
      <c r="S618" s="3" t="s">
        <v>8046</v>
      </c>
      <c r="T618" s="3">
        <v>0</v>
      </c>
    </row>
    <row r="619" spans="1:20" hidden="1" x14ac:dyDescent="0.25">
      <c r="A619" t="s">
        <v>8607</v>
      </c>
      <c r="B619" t="s">
        <v>8529</v>
      </c>
      <c r="C619" t="s">
        <v>1</v>
      </c>
      <c r="D619" t="s">
        <v>0</v>
      </c>
      <c r="E619">
        <v>1506</v>
      </c>
      <c r="F619" t="s">
        <v>7902</v>
      </c>
      <c r="G619" t="s">
        <v>7903</v>
      </c>
      <c r="H619" s="3">
        <v>0</v>
      </c>
      <c r="I619" s="3">
        <v>0</v>
      </c>
      <c r="J619" s="3">
        <v>0</v>
      </c>
      <c r="K619" s="3">
        <v>106.58</v>
      </c>
      <c r="L619" s="3">
        <v>0</v>
      </c>
      <c r="M619" s="3">
        <v>0</v>
      </c>
      <c r="N619" s="3">
        <v>0</v>
      </c>
      <c r="O619" s="3">
        <v>13.855399999999999</v>
      </c>
      <c r="P619" s="3">
        <v>120.4354</v>
      </c>
      <c r="Q619" t="s">
        <v>8046</v>
      </c>
      <c r="R619" t="s">
        <v>8200</v>
      </c>
      <c r="S619" s="3" t="s">
        <v>8046</v>
      </c>
      <c r="T619" s="3">
        <v>0</v>
      </c>
    </row>
    <row r="620" spans="1:20" hidden="1" x14ac:dyDescent="0.25">
      <c r="A620" t="s">
        <v>8607</v>
      </c>
      <c r="B620" t="s">
        <v>8529</v>
      </c>
      <c r="C620" t="s">
        <v>1</v>
      </c>
      <c r="D620" t="s">
        <v>0</v>
      </c>
      <c r="E620">
        <v>2201</v>
      </c>
      <c r="F620" t="s">
        <v>95</v>
      </c>
      <c r="G620" t="s">
        <v>96</v>
      </c>
      <c r="H620" s="3">
        <v>0</v>
      </c>
      <c r="I620" s="3">
        <v>0</v>
      </c>
      <c r="J620" s="3">
        <v>0</v>
      </c>
      <c r="K620" s="3">
        <v>5.84</v>
      </c>
      <c r="L620" s="3">
        <v>0</v>
      </c>
      <c r="M620" s="3">
        <v>0</v>
      </c>
      <c r="N620" s="3">
        <v>0</v>
      </c>
      <c r="O620" s="3">
        <v>0.75919999999999999</v>
      </c>
      <c r="P620" s="3">
        <v>6.5991999999999997</v>
      </c>
      <c r="Q620" t="s">
        <v>8046</v>
      </c>
      <c r="R620" t="s">
        <v>8200</v>
      </c>
      <c r="S620" s="3" t="s">
        <v>8046</v>
      </c>
      <c r="T620" s="3">
        <v>0</v>
      </c>
    </row>
    <row r="621" spans="1:20" hidden="1" x14ac:dyDescent="0.25">
      <c r="A621" s="72" t="s">
        <v>8607</v>
      </c>
      <c r="B621" s="72" t="s">
        <v>8529</v>
      </c>
      <c r="C621" s="72" t="s">
        <v>1</v>
      </c>
      <c r="D621" s="72" t="s">
        <v>0</v>
      </c>
      <c r="E621" s="72">
        <v>76620</v>
      </c>
      <c r="F621" s="72" t="s">
        <v>1670</v>
      </c>
      <c r="G621" s="72" t="s">
        <v>1671</v>
      </c>
      <c r="H621" s="73">
        <v>1.45</v>
      </c>
      <c r="I621" s="73">
        <v>0</v>
      </c>
      <c r="J621" s="73">
        <v>0</v>
      </c>
      <c r="K621" s="73">
        <v>28.06</v>
      </c>
      <c r="L621" s="73">
        <v>0</v>
      </c>
      <c r="M621" s="73">
        <v>0</v>
      </c>
      <c r="N621" s="73">
        <v>0</v>
      </c>
      <c r="O621" s="73">
        <v>0.49105000000000004</v>
      </c>
      <c r="P621" s="73">
        <v>30.001049999999999</v>
      </c>
      <c r="Q621" s="72" t="s">
        <v>8046</v>
      </c>
      <c r="R621" s="72" t="s">
        <v>8200</v>
      </c>
      <c r="S621" s="73" t="s">
        <v>8046</v>
      </c>
      <c r="T621" s="73">
        <v>0</v>
      </c>
    </row>
    <row r="622" spans="1:20" hidden="1" x14ac:dyDescent="0.25">
      <c r="A622" t="s">
        <v>8607</v>
      </c>
      <c r="B622" t="s">
        <v>8530</v>
      </c>
      <c r="C622" t="s">
        <v>1</v>
      </c>
      <c r="D622" t="s">
        <v>0</v>
      </c>
      <c r="E622">
        <v>1501</v>
      </c>
      <c r="F622" t="s">
        <v>7902</v>
      </c>
      <c r="G622" t="s">
        <v>7903</v>
      </c>
      <c r="H622" s="3">
        <v>0</v>
      </c>
      <c r="I622" s="3">
        <v>0</v>
      </c>
      <c r="J622" s="3">
        <v>0</v>
      </c>
      <c r="K622" s="3">
        <v>59.99</v>
      </c>
      <c r="L622" s="3">
        <v>0</v>
      </c>
      <c r="M622" s="3">
        <v>0</v>
      </c>
      <c r="N622" s="3">
        <v>0</v>
      </c>
      <c r="O622" s="3">
        <v>7.7987000000000002</v>
      </c>
      <c r="P622" s="3">
        <v>67.788700000000006</v>
      </c>
      <c r="Q622" t="s">
        <v>8046</v>
      </c>
      <c r="R622" t="s">
        <v>8200</v>
      </c>
      <c r="S622" s="3" t="s">
        <v>8046</v>
      </c>
      <c r="T622" s="3">
        <v>0</v>
      </c>
    </row>
    <row r="623" spans="1:20" hidden="1" x14ac:dyDescent="0.25">
      <c r="A623" t="s">
        <v>8607</v>
      </c>
      <c r="B623" t="s">
        <v>8531</v>
      </c>
      <c r="C623" t="s">
        <v>1</v>
      </c>
      <c r="D623" t="s">
        <v>0</v>
      </c>
      <c r="E623">
        <v>311084</v>
      </c>
      <c r="F623" t="s">
        <v>2701</v>
      </c>
      <c r="G623" t="s">
        <v>2702</v>
      </c>
      <c r="H623" s="3">
        <v>0</v>
      </c>
      <c r="I623" s="3">
        <v>0</v>
      </c>
      <c r="J623" s="3">
        <v>0</v>
      </c>
      <c r="K623" s="3">
        <v>38.979999999999997</v>
      </c>
      <c r="L623" s="3">
        <v>0</v>
      </c>
      <c r="M623" s="3">
        <v>0</v>
      </c>
      <c r="N623" s="3">
        <v>0</v>
      </c>
      <c r="O623" s="3">
        <v>5.0674000000000001</v>
      </c>
      <c r="P623" s="3">
        <v>44.047399999999996</v>
      </c>
      <c r="Q623" t="s">
        <v>8046</v>
      </c>
      <c r="R623" t="s">
        <v>8200</v>
      </c>
      <c r="S623" s="3" t="s">
        <v>8046</v>
      </c>
      <c r="T623" s="3">
        <v>0</v>
      </c>
    </row>
    <row r="624" spans="1:20" hidden="1" x14ac:dyDescent="0.25">
      <c r="A624" t="s">
        <v>8607</v>
      </c>
      <c r="B624" t="s">
        <v>8531</v>
      </c>
      <c r="C624" t="s">
        <v>1</v>
      </c>
      <c r="D624" t="s">
        <v>0</v>
      </c>
      <c r="E624">
        <v>1493</v>
      </c>
      <c r="F624" t="s">
        <v>7902</v>
      </c>
      <c r="G624" t="s">
        <v>7903</v>
      </c>
      <c r="H624" s="3">
        <v>0</v>
      </c>
      <c r="I624" s="3">
        <v>0</v>
      </c>
      <c r="J624" s="3">
        <v>0</v>
      </c>
      <c r="K624" s="3">
        <v>77.95</v>
      </c>
      <c r="L624" s="3">
        <v>0</v>
      </c>
      <c r="M624" s="3">
        <v>0</v>
      </c>
      <c r="N624" s="3">
        <v>0</v>
      </c>
      <c r="O624" s="3">
        <v>10.133500000000002</v>
      </c>
      <c r="P624" s="3">
        <v>88.083500000000001</v>
      </c>
      <c r="Q624" t="s">
        <v>8046</v>
      </c>
      <c r="R624" t="s">
        <v>8200</v>
      </c>
      <c r="S624" s="3" t="s">
        <v>8046</v>
      </c>
      <c r="T624" s="3">
        <v>0</v>
      </c>
    </row>
    <row r="625" spans="1:20" hidden="1" x14ac:dyDescent="0.25">
      <c r="A625" s="72" t="s">
        <v>8607</v>
      </c>
      <c r="B625" s="72" t="s">
        <v>8531</v>
      </c>
      <c r="C625" s="72" t="s">
        <v>1</v>
      </c>
      <c r="D625" s="72" t="s">
        <v>0</v>
      </c>
      <c r="E625" s="72">
        <v>466704</v>
      </c>
      <c r="F625" s="72" t="s">
        <v>1501</v>
      </c>
      <c r="G625" s="72" t="s">
        <v>1502</v>
      </c>
      <c r="H625" s="73">
        <v>2.37</v>
      </c>
      <c r="I625" s="73">
        <v>0</v>
      </c>
      <c r="J625" s="73">
        <v>0</v>
      </c>
      <c r="K625" s="73">
        <v>45.83</v>
      </c>
      <c r="L625" s="73">
        <v>0</v>
      </c>
      <c r="M625" s="73">
        <v>0</v>
      </c>
      <c r="N625" s="73">
        <v>0</v>
      </c>
      <c r="O625" s="73">
        <v>0.8020250000000001</v>
      </c>
      <c r="P625" s="73">
        <v>49.002024999999996</v>
      </c>
      <c r="Q625" s="72" t="s">
        <v>8046</v>
      </c>
      <c r="R625" s="72" t="s">
        <v>8200</v>
      </c>
      <c r="S625" s="73" t="s">
        <v>8046</v>
      </c>
      <c r="T625" s="73">
        <v>0</v>
      </c>
    </row>
    <row r="626" spans="1:20" hidden="1" x14ac:dyDescent="0.25">
      <c r="A626" t="s">
        <v>8607</v>
      </c>
      <c r="B626" t="s">
        <v>8532</v>
      </c>
      <c r="C626" t="s">
        <v>1</v>
      </c>
      <c r="D626" t="s">
        <v>0</v>
      </c>
      <c r="E626">
        <v>1982</v>
      </c>
      <c r="F626" t="s">
        <v>131</v>
      </c>
      <c r="G626" t="s">
        <v>132</v>
      </c>
      <c r="H626" s="3">
        <v>0</v>
      </c>
      <c r="I626" s="3">
        <v>0</v>
      </c>
      <c r="J626" s="3">
        <v>0</v>
      </c>
      <c r="K626" s="3">
        <v>1009.25</v>
      </c>
      <c r="L626" s="3">
        <v>0</v>
      </c>
      <c r="M626" s="3">
        <v>0</v>
      </c>
      <c r="N626" s="3">
        <v>0</v>
      </c>
      <c r="O626" s="3">
        <v>131.20250000000001</v>
      </c>
      <c r="P626" s="3">
        <v>1140.4525000000001</v>
      </c>
      <c r="Q626" t="s">
        <v>8046</v>
      </c>
      <c r="R626" t="s">
        <v>8200</v>
      </c>
      <c r="S626" s="3" t="s">
        <v>8046</v>
      </c>
      <c r="T626" s="3">
        <v>0</v>
      </c>
    </row>
    <row r="627" spans="1:20" hidden="1" x14ac:dyDescent="0.25">
      <c r="A627" t="s">
        <v>8607</v>
      </c>
      <c r="B627" t="s">
        <v>8532</v>
      </c>
      <c r="C627" t="s">
        <v>1</v>
      </c>
      <c r="D627" t="s">
        <v>0</v>
      </c>
      <c r="E627">
        <v>462</v>
      </c>
      <c r="F627" t="s">
        <v>119</v>
      </c>
      <c r="G627" t="s">
        <v>120</v>
      </c>
      <c r="H627" s="3">
        <v>0</v>
      </c>
      <c r="I627" s="3">
        <v>0</v>
      </c>
      <c r="J627" s="3">
        <v>0</v>
      </c>
      <c r="K627" s="3">
        <v>56.61</v>
      </c>
      <c r="L627" s="3">
        <v>0</v>
      </c>
      <c r="M627" s="3">
        <v>0</v>
      </c>
      <c r="N627" s="3">
        <v>0</v>
      </c>
      <c r="O627" s="3">
        <v>7.3593000000000002</v>
      </c>
      <c r="P627" s="3">
        <v>63.969299999999997</v>
      </c>
      <c r="Q627" t="s">
        <v>8046</v>
      </c>
      <c r="R627" t="s">
        <v>8200</v>
      </c>
      <c r="S627" s="3" t="s">
        <v>8046</v>
      </c>
      <c r="T627" s="3">
        <v>0</v>
      </c>
    </row>
    <row r="628" spans="1:20" hidden="1" x14ac:dyDescent="0.25">
      <c r="A628" t="s">
        <v>8607</v>
      </c>
      <c r="B628" t="s">
        <v>8533</v>
      </c>
      <c r="C628" t="s">
        <v>1</v>
      </c>
      <c r="D628" t="s">
        <v>0</v>
      </c>
      <c r="E628">
        <v>69385</v>
      </c>
      <c r="F628" t="s">
        <v>1670</v>
      </c>
      <c r="G628" t="s">
        <v>1671</v>
      </c>
      <c r="H628" s="3">
        <v>3.29</v>
      </c>
      <c r="I628" s="3">
        <v>0</v>
      </c>
      <c r="J628" s="3">
        <v>0</v>
      </c>
      <c r="K628" s="3">
        <v>57.27</v>
      </c>
      <c r="L628" s="3">
        <v>0</v>
      </c>
      <c r="M628" s="3">
        <v>0</v>
      </c>
      <c r="N628" s="3">
        <v>0</v>
      </c>
      <c r="O628" s="3">
        <v>7.4451000000000009</v>
      </c>
      <c r="P628" s="3">
        <v>68.005099999999999</v>
      </c>
      <c r="Q628" t="s">
        <v>8046</v>
      </c>
      <c r="R628" t="s">
        <v>8200</v>
      </c>
      <c r="S628" s="3" t="s">
        <v>8046</v>
      </c>
      <c r="T628" s="3">
        <v>0</v>
      </c>
    </row>
    <row r="629" spans="1:20" hidden="1" x14ac:dyDescent="0.25">
      <c r="A629" t="s">
        <v>8607</v>
      </c>
      <c r="B629" t="s">
        <v>8535</v>
      </c>
      <c r="C629" t="s">
        <v>1</v>
      </c>
      <c r="D629" t="s">
        <v>0</v>
      </c>
      <c r="E629">
        <v>310468</v>
      </c>
      <c r="F629" t="s">
        <v>2701</v>
      </c>
      <c r="G629" t="s">
        <v>2702</v>
      </c>
      <c r="H629" s="3">
        <v>0</v>
      </c>
      <c r="I629" s="3">
        <v>0</v>
      </c>
      <c r="J629" s="3">
        <v>0</v>
      </c>
      <c r="K629" s="3">
        <v>327.06</v>
      </c>
      <c r="L629" s="3">
        <v>0</v>
      </c>
      <c r="M629" s="3">
        <v>0</v>
      </c>
      <c r="N629" s="3">
        <v>0</v>
      </c>
      <c r="O629" s="3">
        <v>42.517800000000001</v>
      </c>
      <c r="P629" s="3">
        <v>369.57780000000002</v>
      </c>
      <c r="Q629" t="s">
        <v>8046</v>
      </c>
      <c r="R629" t="s">
        <v>8200</v>
      </c>
      <c r="S629" s="3" t="s">
        <v>8046</v>
      </c>
      <c r="T629" s="3">
        <v>0</v>
      </c>
    </row>
    <row r="630" spans="1:20" hidden="1" x14ac:dyDescent="0.25">
      <c r="A630" t="s">
        <v>8607</v>
      </c>
      <c r="B630" t="s">
        <v>8594</v>
      </c>
      <c r="C630" t="s">
        <v>1</v>
      </c>
      <c r="D630" t="s">
        <v>0</v>
      </c>
      <c r="E630">
        <v>11403</v>
      </c>
      <c r="F630" t="s">
        <v>1488</v>
      </c>
      <c r="G630" t="s">
        <v>1489</v>
      </c>
      <c r="H630" s="3">
        <v>1.31</v>
      </c>
      <c r="I630" s="3">
        <v>0</v>
      </c>
      <c r="J630" s="3">
        <v>0</v>
      </c>
      <c r="K630" s="3">
        <v>16.54</v>
      </c>
      <c r="L630" s="3">
        <v>0</v>
      </c>
      <c r="M630" s="3">
        <v>0</v>
      </c>
      <c r="N630" s="3">
        <v>0</v>
      </c>
      <c r="O630" s="3">
        <v>2.1501999999999999</v>
      </c>
      <c r="P630" s="3">
        <v>20.0002</v>
      </c>
      <c r="Q630" t="s">
        <v>8046</v>
      </c>
      <c r="R630" t="s">
        <v>8200</v>
      </c>
      <c r="S630" s="3" t="s">
        <v>8046</v>
      </c>
      <c r="T630" s="3">
        <v>0</v>
      </c>
    </row>
    <row r="631" spans="1:20" hidden="1" x14ac:dyDescent="0.25">
      <c r="A631" t="s">
        <v>8607</v>
      </c>
      <c r="B631" t="s">
        <v>8522</v>
      </c>
      <c r="C631" t="s">
        <v>1</v>
      </c>
      <c r="D631" t="s">
        <v>0</v>
      </c>
      <c r="E631">
        <v>8651</v>
      </c>
      <c r="F631" t="s">
        <v>4068</v>
      </c>
      <c r="G631" t="s">
        <v>4069</v>
      </c>
      <c r="H631" s="3">
        <v>0</v>
      </c>
      <c r="I631" s="3">
        <v>0</v>
      </c>
      <c r="J631" s="3">
        <v>0</v>
      </c>
      <c r="K631" s="3">
        <v>6.37</v>
      </c>
      <c r="L631" s="3">
        <v>0</v>
      </c>
      <c r="M631" s="3">
        <v>0</v>
      </c>
      <c r="N631" s="3">
        <v>0</v>
      </c>
      <c r="O631" s="3">
        <v>0.82810000000000006</v>
      </c>
      <c r="P631" s="3">
        <v>7.1981000000000002</v>
      </c>
      <c r="Q631" t="s">
        <v>8046</v>
      </c>
      <c r="R631" t="s">
        <v>8200</v>
      </c>
      <c r="S631" s="3" t="s">
        <v>8046</v>
      </c>
      <c r="T631" s="3">
        <v>0</v>
      </c>
    </row>
    <row r="632" spans="1:20" hidden="1" x14ac:dyDescent="0.25">
      <c r="A632" t="s">
        <v>8607</v>
      </c>
      <c r="B632" t="s">
        <v>8401</v>
      </c>
      <c r="C632" t="s">
        <v>1</v>
      </c>
      <c r="D632" t="s">
        <v>0</v>
      </c>
      <c r="E632">
        <v>3122</v>
      </c>
      <c r="F632" t="s">
        <v>1653</v>
      </c>
      <c r="G632" t="s">
        <v>1654</v>
      </c>
      <c r="H632" s="3">
        <v>2.0699999999999998</v>
      </c>
      <c r="I632" s="3">
        <v>0</v>
      </c>
      <c r="J632" s="3">
        <v>0</v>
      </c>
      <c r="K632" s="3">
        <v>24.72</v>
      </c>
      <c r="L632" s="3">
        <v>0</v>
      </c>
      <c r="M632" s="3">
        <v>0</v>
      </c>
      <c r="N632" s="3">
        <v>0</v>
      </c>
      <c r="O632" s="3">
        <v>3.2136</v>
      </c>
      <c r="P632" s="3">
        <v>30.003599999999999</v>
      </c>
      <c r="Q632" t="s">
        <v>8046</v>
      </c>
      <c r="R632" t="s">
        <v>8200</v>
      </c>
      <c r="S632" s="3" t="s">
        <v>8046</v>
      </c>
      <c r="T632" s="3">
        <v>0</v>
      </c>
    </row>
    <row r="633" spans="1:20" hidden="1" x14ac:dyDescent="0.25">
      <c r="A633" t="s">
        <v>8607</v>
      </c>
      <c r="B633" t="s">
        <v>8466</v>
      </c>
      <c r="C633" t="s">
        <v>1</v>
      </c>
      <c r="D633" t="s">
        <v>0</v>
      </c>
      <c r="E633">
        <v>120952</v>
      </c>
      <c r="F633" t="s">
        <v>1601</v>
      </c>
      <c r="G633" t="s">
        <v>1602</v>
      </c>
      <c r="H633" s="3">
        <v>1.5</v>
      </c>
      <c r="I633" s="3">
        <v>0</v>
      </c>
      <c r="J633" s="3">
        <v>0</v>
      </c>
      <c r="K633" s="3">
        <v>16.37</v>
      </c>
      <c r="L633" s="3">
        <v>0</v>
      </c>
      <c r="M633" s="3">
        <v>0</v>
      </c>
      <c r="N633" s="3">
        <v>0</v>
      </c>
      <c r="O633" s="3">
        <v>2.1281000000000003</v>
      </c>
      <c r="P633" s="3">
        <v>19.998100000000001</v>
      </c>
      <c r="Q633" t="s">
        <v>8046</v>
      </c>
      <c r="R633" t="s">
        <v>8200</v>
      </c>
      <c r="S633" s="3" t="s">
        <v>8046</v>
      </c>
      <c r="T633" s="3">
        <v>0</v>
      </c>
    </row>
    <row r="634" spans="1:20" hidden="1" x14ac:dyDescent="0.25">
      <c r="A634" t="s">
        <v>8388</v>
      </c>
      <c r="B634" t="s">
        <v>8145</v>
      </c>
      <c r="C634" t="s">
        <v>1</v>
      </c>
      <c r="D634" t="s">
        <v>0</v>
      </c>
      <c r="E634">
        <v>109621</v>
      </c>
      <c r="F634" t="s">
        <v>1601</v>
      </c>
      <c r="G634" t="s">
        <v>1602</v>
      </c>
      <c r="H634" s="3">
        <v>2.4499999999999997</v>
      </c>
      <c r="I634" s="3">
        <v>0</v>
      </c>
      <c r="J634" s="3">
        <v>0</v>
      </c>
      <c r="K634" s="3">
        <v>24.38</v>
      </c>
      <c r="L634" s="3">
        <v>0</v>
      </c>
      <c r="M634" s="3">
        <v>0</v>
      </c>
      <c r="N634" s="3">
        <v>0</v>
      </c>
      <c r="O634" s="3">
        <v>3.1694</v>
      </c>
      <c r="P634" s="3">
        <v>29.999399999999998</v>
      </c>
      <c r="Q634" t="s">
        <v>8046</v>
      </c>
      <c r="R634" t="s">
        <v>8200</v>
      </c>
      <c r="S634" s="3" t="s">
        <v>8046</v>
      </c>
      <c r="T634" s="3">
        <v>0</v>
      </c>
    </row>
    <row r="635" spans="1:20" hidden="1" x14ac:dyDescent="0.25">
      <c r="A635" t="s">
        <v>8388</v>
      </c>
      <c r="B635" t="s">
        <v>8139</v>
      </c>
      <c r="C635" t="s">
        <v>1</v>
      </c>
      <c r="D635" t="s">
        <v>0</v>
      </c>
      <c r="E635">
        <v>98806</v>
      </c>
      <c r="F635" t="s">
        <v>1601</v>
      </c>
      <c r="G635" t="s">
        <v>1602</v>
      </c>
      <c r="H635" s="3">
        <v>2.95</v>
      </c>
      <c r="I635" s="3">
        <v>0</v>
      </c>
      <c r="J635" s="3">
        <v>0</v>
      </c>
      <c r="K635" s="3">
        <v>30.13</v>
      </c>
      <c r="L635" s="3">
        <v>0</v>
      </c>
      <c r="M635" s="3">
        <v>0</v>
      </c>
      <c r="N635" s="3">
        <v>0</v>
      </c>
      <c r="O635" s="3">
        <v>3.9169</v>
      </c>
      <c r="P635" s="3">
        <v>36.996899999999997</v>
      </c>
      <c r="Q635" t="s">
        <v>8046</v>
      </c>
      <c r="R635" t="s">
        <v>8200</v>
      </c>
      <c r="S635" s="3" t="s">
        <v>8046</v>
      </c>
      <c r="T635" s="3">
        <v>0</v>
      </c>
    </row>
    <row r="636" spans="1:20" hidden="1" x14ac:dyDescent="0.25">
      <c r="A636" t="s">
        <v>8388</v>
      </c>
      <c r="B636" t="s">
        <v>8471</v>
      </c>
      <c r="C636" t="s">
        <v>1</v>
      </c>
      <c r="D636" t="s">
        <v>0</v>
      </c>
      <c r="E636">
        <v>9938</v>
      </c>
      <c r="F636" t="s">
        <v>1850</v>
      </c>
      <c r="G636" t="s">
        <v>1851</v>
      </c>
      <c r="H636" s="3">
        <v>0</v>
      </c>
      <c r="I636" s="3">
        <v>0</v>
      </c>
      <c r="J636" s="3">
        <v>0</v>
      </c>
      <c r="K636" s="3">
        <v>28.85</v>
      </c>
      <c r="L636" s="3">
        <v>0</v>
      </c>
      <c r="M636" s="3">
        <v>0</v>
      </c>
      <c r="N636" s="3">
        <v>0</v>
      </c>
      <c r="O636" s="3">
        <v>3.7505000000000002</v>
      </c>
      <c r="P636" s="3">
        <v>32.600500000000004</v>
      </c>
      <c r="Q636" t="s">
        <v>8046</v>
      </c>
      <c r="R636" t="s">
        <v>8200</v>
      </c>
      <c r="S636" s="3" t="s">
        <v>8046</v>
      </c>
      <c r="T636" s="3">
        <v>0</v>
      </c>
    </row>
    <row r="637" spans="1:20" hidden="1" x14ac:dyDescent="0.25">
      <c r="A637" t="s">
        <v>8388</v>
      </c>
      <c r="B637" s="33" t="s">
        <v>8389</v>
      </c>
      <c r="C637" t="s">
        <v>1</v>
      </c>
      <c r="D637" t="s">
        <v>0</v>
      </c>
      <c r="E637">
        <v>470652</v>
      </c>
      <c r="F637" t="s">
        <v>1546</v>
      </c>
      <c r="G637" t="s">
        <v>1547</v>
      </c>
      <c r="H637" s="3">
        <v>3.09</v>
      </c>
      <c r="I637" s="3">
        <v>0</v>
      </c>
      <c r="J637" s="3">
        <v>0</v>
      </c>
      <c r="K637" s="3">
        <v>38.86</v>
      </c>
      <c r="L637" s="3">
        <v>0</v>
      </c>
      <c r="M637" s="3">
        <v>0</v>
      </c>
      <c r="N637" s="3">
        <v>0</v>
      </c>
      <c r="O637" s="3">
        <v>5.0518000000000001</v>
      </c>
      <c r="P637" s="3">
        <v>47.001800000000003</v>
      </c>
      <c r="Q637" t="s">
        <v>8046</v>
      </c>
      <c r="R637" t="s">
        <v>8200</v>
      </c>
      <c r="S637" s="3" t="s">
        <v>8046</v>
      </c>
      <c r="T637" s="3">
        <v>0</v>
      </c>
    </row>
    <row r="638" spans="1:20" hidden="1" x14ac:dyDescent="0.25">
      <c r="A638" t="s">
        <v>8388</v>
      </c>
      <c r="B638" t="s">
        <v>8527</v>
      </c>
      <c r="C638" t="s">
        <v>1</v>
      </c>
      <c r="D638" t="s">
        <v>0</v>
      </c>
      <c r="E638">
        <v>1440636</v>
      </c>
      <c r="F638" t="s">
        <v>1576</v>
      </c>
      <c r="G638" t="s">
        <v>1577</v>
      </c>
      <c r="H638" s="3">
        <v>0</v>
      </c>
      <c r="I638" s="3">
        <v>0</v>
      </c>
      <c r="J638" s="3">
        <v>0</v>
      </c>
      <c r="K638" s="3">
        <v>48.81</v>
      </c>
      <c r="L638" s="3">
        <v>0</v>
      </c>
      <c r="M638" s="3">
        <v>0</v>
      </c>
      <c r="N638" s="3">
        <v>0</v>
      </c>
      <c r="O638" s="3">
        <v>6.3453000000000008</v>
      </c>
      <c r="P638" s="3">
        <v>55.155300000000004</v>
      </c>
      <c r="Q638" t="s">
        <v>8046</v>
      </c>
      <c r="R638" t="s">
        <v>8200</v>
      </c>
      <c r="S638" s="3"/>
      <c r="T638" s="3">
        <v>0</v>
      </c>
    </row>
    <row r="639" spans="1:20" hidden="1" x14ac:dyDescent="0.25">
      <c r="A639" t="s">
        <v>8388</v>
      </c>
      <c r="B639" t="s">
        <v>8527</v>
      </c>
      <c r="C639" t="s">
        <v>1</v>
      </c>
      <c r="D639" t="s">
        <v>0</v>
      </c>
      <c r="E639">
        <v>8777</v>
      </c>
      <c r="F639" t="s">
        <v>1200</v>
      </c>
      <c r="G639" t="s">
        <v>1201</v>
      </c>
      <c r="H639" s="3">
        <v>0</v>
      </c>
      <c r="I639" s="3">
        <v>0</v>
      </c>
      <c r="J639" s="3">
        <v>0</v>
      </c>
      <c r="K639" s="3">
        <v>2638.12</v>
      </c>
      <c r="L639" s="3">
        <v>0</v>
      </c>
      <c r="M639" s="3">
        <v>0</v>
      </c>
      <c r="N639" s="3">
        <v>0</v>
      </c>
      <c r="O639" s="3">
        <v>342.9556</v>
      </c>
      <c r="P639" s="3">
        <v>2981.0756000000001</v>
      </c>
      <c r="Q639" t="s">
        <v>8046</v>
      </c>
      <c r="R639" t="s">
        <v>8200</v>
      </c>
      <c r="S639" s="3" t="s">
        <v>8358</v>
      </c>
      <c r="T639" s="3">
        <v>26.38</v>
      </c>
    </row>
    <row r="640" spans="1:20" hidden="1" x14ac:dyDescent="0.25">
      <c r="A640" t="s">
        <v>8388</v>
      </c>
      <c r="B640" t="s">
        <v>8543</v>
      </c>
      <c r="C640" t="s">
        <v>1</v>
      </c>
      <c r="D640" t="s">
        <v>0</v>
      </c>
      <c r="E640">
        <v>2865</v>
      </c>
      <c r="F640" t="s">
        <v>6324</v>
      </c>
      <c r="G640" t="s">
        <v>6325</v>
      </c>
      <c r="H640" s="3">
        <v>0</v>
      </c>
      <c r="I640" s="3">
        <v>0</v>
      </c>
      <c r="J640" s="3">
        <v>0</v>
      </c>
      <c r="K640" s="3">
        <v>276.5</v>
      </c>
      <c r="L640" s="3">
        <v>0</v>
      </c>
      <c r="M640" s="3">
        <v>0</v>
      </c>
      <c r="N640" s="3">
        <v>0</v>
      </c>
      <c r="O640" s="3">
        <v>35.945</v>
      </c>
      <c r="P640" s="3">
        <v>312.44499999999999</v>
      </c>
      <c r="Q640" t="s">
        <v>8046</v>
      </c>
      <c r="R640" t="s">
        <v>8200</v>
      </c>
      <c r="S640" s="3" t="s">
        <v>8046</v>
      </c>
      <c r="T640" s="3">
        <v>0</v>
      </c>
    </row>
    <row r="641" spans="1:20" hidden="1" x14ac:dyDescent="0.25">
      <c r="A641" t="s">
        <v>8388</v>
      </c>
      <c r="B641" t="s">
        <v>8543</v>
      </c>
      <c r="C641" t="s">
        <v>1</v>
      </c>
      <c r="D641" t="s">
        <v>0</v>
      </c>
      <c r="E641">
        <v>38637</v>
      </c>
      <c r="F641" t="s">
        <v>2436</v>
      </c>
      <c r="G641" t="s">
        <v>2437</v>
      </c>
      <c r="H641" s="3">
        <v>0</v>
      </c>
      <c r="I641" s="3">
        <v>0</v>
      </c>
      <c r="J641" s="3">
        <v>0</v>
      </c>
      <c r="K641" s="3">
        <v>15.54</v>
      </c>
      <c r="L641" s="3">
        <v>0</v>
      </c>
      <c r="M641" s="3">
        <v>0</v>
      </c>
      <c r="N641" s="3">
        <v>0</v>
      </c>
      <c r="O641" s="3">
        <v>2.0202</v>
      </c>
      <c r="P641" s="3">
        <v>17.560199999999998</v>
      </c>
      <c r="Q641" t="s">
        <v>8046</v>
      </c>
      <c r="R641" t="s">
        <v>8200</v>
      </c>
      <c r="S641" s="3" t="s">
        <v>8046</v>
      </c>
      <c r="T641" s="3">
        <v>0</v>
      </c>
    </row>
    <row r="642" spans="1:20" hidden="1" x14ac:dyDescent="0.25">
      <c r="A642" t="s">
        <v>8388</v>
      </c>
      <c r="B642" t="s">
        <v>8528</v>
      </c>
      <c r="C642" t="s">
        <v>1</v>
      </c>
      <c r="D642" t="s">
        <v>0</v>
      </c>
      <c r="E642">
        <v>1439683</v>
      </c>
      <c r="F642" t="s">
        <v>1576</v>
      </c>
      <c r="G642" t="s">
        <v>1577</v>
      </c>
      <c r="H642" s="3">
        <v>0</v>
      </c>
      <c r="I642" s="3">
        <v>0</v>
      </c>
      <c r="J642" s="3">
        <v>0</v>
      </c>
      <c r="K642" s="3">
        <v>937.8</v>
      </c>
      <c r="L642" s="3">
        <v>0</v>
      </c>
      <c r="M642" s="3">
        <v>0</v>
      </c>
      <c r="N642" s="3">
        <v>0</v>
      </c>
      <c r="O642" s="3">
        <v>121.914</v>
      </c>
      <c r="P642" s="3">
        <v>1059.7139999999999</v>
      </c>
      <c r="Q642" t="s">
        <v>8046</v>
      </c>
      <c r="R642" t="s">
        <v>8200</v>
      </c>
      <c r="S642" s="3" t="s">
        <v>8345</v>
      </c>
      <c r="T642" s="3">
        <v>9.3800000000000008</v>
      </c>
    </row>
    <row r="643" spans="1:20" hidden="1" x14ac:dyDescent="0.25">
      <c r="A643" t="s">
        <v>8388</v>
      </c>
      <c r="B643" t="s">
        <v>8528</v>
      </c>
      <c r="C643" t="s">
        <v>1</v>
      </c>
      <c r="D643" t="s">
        <v>0</v>
      </c>
      <c r="E643">
        <v>1439688</v>
      </c>
      <c r="F643" t="s">
        <v>1576</v>
      </c>
      <c r="G643" t="s">
        <v>1577</v>
      </c>
      <c r="H643" s="3">
        <v>0</v>
      </c>
      <c r="I643" s="3">
        <v>0</v>
      </c>
      <c r="J643" s="3">
        <v>0</v>
      </c>
      <c r="K643" s="3">
        <v>223.75</v>
      </c>
      <c r="L643" s="3">
        <v>0</v>
      </c>
      <c r="M643" s="3">
        <v>0</v>
      </c>
      <c r="N643" s="3">
        <v>0</v>
      </c>
      <c r="O643" s="3">
        <v>29.087500000000002</v>
      </c>
      <c r="P643" s="3">
        <v>252.83750000000001</v>
      </c>
      <c r="Q643" t="s">
        <v>8046</v>
      </c>
      <c r="R643" t="s">
        <v>8200</v>
      </c>
      <c r="S643" s="3" t="s">
        <v>8345</v>
      </c>
      <c r="T643" s="3">
        <v>2.2400000000000002</v>
      </c>
    </row>
    <row r="644" spans="1:20" hidden="1" x14ac:dyDescent="0.25">
      <c r="A644" t="s">
        <v>8388</v>
      </c>
      <c r="B644" t="s">
        <v>8528</v>
      </c>
      <c r="C644" t="s">
        <v>1</v>
      </c>
      <c r="D644" t="s">
        <v>0</v>
      </c>
      <c r="E644">
        <v>1439671</v>
      </c>
      <c r="F644" t="s">
        <v>1576</v>
      </c>
      <c r="G644" t="s">
        <v>1577</v>
      </c>
      <c r="H644" s="3">
        <v>0</v>
      </c>
      <c r="I644" s="3">
        <v>0</v>
      </c>
      <c r="J644" s="3">
        <v>0</v>
      </c>
      <c r="K644" s="3">
        <v>227.52</v>
      </c>
      <c r="L644" s="3">
        <v>0</v>
      </c>
      <c r="M644" s="3">
        <v>0</v>
      </c>
      <c r="N644" s="3">
        <v>0</v>
      </c>
      <c r="O644" s="3">
        <v>29.577600000000004</v>
      </c>
      <c r="P644" s="3">
        <v>257.0976</v>
      </c>
      <c r="Q644" t="s">
        <v>8046</v>
      </c>
      <c r="R644" t="s">
        <v>8200</v>
      </c>
      <c r="S644" s="3" t="s">
        <v>8345</v>
      </c>
      <c r="T644" s="3">
        <v>2.2799999999999998</v>
      </c>
    </row>
    <row r="645" spans="1:20" hidden="1" x14ac:dyDescent="0.25">
      <c r="A645" t="s">
        <v>8388</v>
      </c>
      <c r="B645" t="s">
        <v>8528</v>
      </c>
      <c r="C645" t="s">
        <v>1</v>
      </c>
      <c r="D645" t="s">
        <v>0</v>
      </c>
      <c r="E645">
        <v>2736</v>
      </c>
      <c r="F645" t="s">
        <v>1550</v>
      </c>
      <c r="G645" t="s">
        <v>1551</v>
      </c>
      <c r="H645" s="3">
        <v>1.39</v>
      </c>
      <c r="I645" s="3">
        <v>0</v>
      </c>
      <c r="J645" s="3">
        <v>0</v>
      </c>
      <c r="K645" s="3">
        <v>27.31</v>
      </c>
      <c r="L645" s="3">
        <v>0</v>
      </c>
      <c r="M645" s="3">
        <v>0</v>
      </c>
      <c r="N645" s="3">
        <v>0</v>
      </c>
      <c r="O645" s="3">
        <v>1.2972249999999999</v>
      </c>
      <c r="P645" s="3">
        <v>29.997225</v>
      </c>
      <c r="Q645" t="s">
        <v>8046</v>
      </c>
      <c r="R645" t="s">
        <v>8200</v>
      </c>
      <c r="S645" s="3" t="s">
        <v>8046</v>
      </c>
      <c r="T645" s="3">
        <v>0</v>
      </c>
    </row>
    <row r="646" spans="1:20" hidden="1" x14ac:dyDescent="0.25">
      <c r="A646" t="s">
        <v>8388</v>
      </c>
      <c r="B646" t="s">
        <v>8528</v>
      </c>
      <c r="C646" t="s">
        <v>1</v>
      </c>
      <c r="D646" t="s">
        <v>0</v>
      </c>
      <c r="E646">
        <v>1439975</v>
      </c>
      <c r="F646" t="s">
        <v>1576</v>
      </c>
      <c r="G646" t="s">
        <v>1577</v>
      </c>
      <c r="H646" s="3">
        <v>0</v>
      </c>
      <c r="I646" s="3">
        <v>0</v>
      </c>
      <c r="J646" s="3">
        <v>0</v>
      </c>
      <c r="K646" s="3">
        <v>284</v>
      </c>
      <c r="L646" s="3">
        <v>0</v>
      </c>
      <c r="M646" s="3">
        <v>0</v>
      </c>
      <c r="N646" s="3">
        <v>0</v>
      </c>
      <c r="O646" s="3">
        <v>36.92</v>
      </c>
      <c r="P646" s="3">
        <v>320.92</v>
      </c>
      <c r="Q646" t="s">
        <v>8046</v>
      </c>
      <c r="R646" t="s">
        <v>8200</v>
      </c>
      <c r="S646" s="3" t="s">
        <v>8345</v>
      </c>
      <c r="T646" s="3">
        <v>2.84</v>
      </c>
    </row>
    <row r="647" spans="1:20" hidden="1" x14ac:dyDescent="0.25">
      <c r="A647" t="s">
        <v>8388</v>
      </c>
      <c r="B647" t="s">
        <v>8528</v>
      </c>
      <c r="C647" t="s">
        <v>1</v>
      </c>
      <c r="D647" t="s">
        <v>0</v>
      </c>
      <c r="E647">
        <v>8742</v>
      </c>
      <c r="F647" t="s">
        <v>1200</v>
      </c>
      <c r="G647" t="s">
        <v>1201</v>
      </c>
      <c r="H647" s="3">
        <v>0</v>
      </c>
      <c r="I647" s="3">
        <v>0</v>
      </c>
      <c r="J647" s="3">
        <v>0</v>
      </c>
      <c r="K647" s="3">
        <v>1936</v>
      </c>
      <c r="L647" s="3">
        <v>0</v>
      </c>
      <c r="M647" s="3">
        <v>0</v>
      </c>
      <c r="N647" s="3">
        <v>0</v>
      </c>
      <c r="O647" s="3">
        <v>251.68</v>
      </c>
      <c r="P647" s="3">
        <v>2187.6799999999998</v>
      </c>
      <c r="Q647" t="s">
        <v>8046</v>
      </c>
      <c r="R647" t="s">
        <v>8200</v>
      </c>
      <c r="S647" s="3" t="s">
        <v>8358</v>
      </c>
      <c r="T647" s="3">
        <v>19.36</v>
      </c>
    </row>
    <row r="648" spans="1:20" hidden="1" x14ac:dyDescent="0.25">
      <c r="A648" t="s">
        <v>8388</v>
      </c>
      <c r="B648" t="s">
        <v>8528</v>
      </c>
      <c r="C648" t="s">
        <v>1</v>
      </c>
      <c r="D648" t="s">
        <v>0</v>
      </c>
      <c r="E648">
        <v>204919</v>
      </c>
      <c r="F648" t="s">
        <v>1646</v>
      </c>
      <c r="G648" t="s">
        <v>1647</v>
      </c>
      <c r="H648" s="3">
        <v>0</v>
      </c>
      <c r="I648" s="3">
        <v>0</v>
      </c>
      <c r="J648" s="3">
        <v>0</v>
      </c>
      <c r="K648" s="3">
        <v>142.53</v>
      </c>
      <c r="L648" s="3">
        <v>0</v>
      </c>
      <c r="M648" s="3">
        <v>0</v>
      </c>
      <c r="N648" s="3">
        <v>0</v>
      </c>
      <c r="O648" s="3">
        <v>18.5289</v>
      </c>
      <c r="P648" s="3">
        <v>161.05889999999999</v>
      </c>
      <c r="Q648" t="s">
        <v>8046</v>
      </c>
      <c r="R648" t="s">
        <v>8200</v>
      </c>
      <c r="S648" s="3" t="s">
        <v>8360</v>
      </c>
      <c r="T648" s="3">
        <v>1.43</v>
      </c>
    </row>
    <row r="649" spans="1:20" hidden="1" x14ac:dyDescent="0.25">
      <c r="A649" t="s">
        <v>8388</v>
      </c>
      <c r="B649" t="s">
        <v>8519</v>
      </c>
      <c r="C649" t="s">
        <v>1</v>
      </c>
      <c r="D649" t="s">
        <v>0</v>
      </c>
      <c r="E649">
        <v>2656</v>
      </c>
      <c r="F649" t="s">
        <v>1550</v>
      </c>
      <c r="G649" t="s">
        <v>1551</v>
      </c>
      <c r="H649" s="3">
        <v>1.1599999999999999</v>
      </c>
      <c r="I649" s="3">
        <v>0</v>
      </c>
      <c r="J649" s="3">
        <v>0</v>
      </c>
      <c r="K649" s="3">
        <v>22.76</v>
      </c>
      <c r="L649" s="3">
        <v>0</v>
      </c>
      <c r="M649" s="3">
        <v>0</v>
      </c>
      <c r="N649" s="3">
        <v>0</v>
      </c>
      <c r="O649" s="3">
        <v>1.0811000000000002</v>
      </c>
      <c r="P649" s="3">
        <v>25.001100000000001</v>
      </c>
      <c r="Q649" t="s">
        <v>8046</v>
      </c>
      <c r="R649" t="s">
        <v>8200</v>
      </c>
      <c r="S649" s="3" t="s">
        <v>8046</v>
      </c>
      <c r="T649" s="3">
        <v>0</v>
      </c>
    </row>
    <row r="650" spans="1:20" hidden="1" x14ac:dyDescent="0.25">
      <c r="A650" t="s">
        <v>8388</v>
      </c>
      <c r="B650" t="s">
        <v>8519</v>
      </c>
      <c r="C650" t="s">
        <v>1</v>
      </c>
      <c r="D650" t="s">
        <v>0</v>
      </c>
      <c r="E650">
        <v>19006</v>
      </c>
      <c r="F650" t="s">
        <v>1522</v>
      </c>
      <c r="G650" t="s">
        <v>1523</v>
      </c>
      <c r="H650" s="3">
        <v>1.4</v>
      </c>
      <c r="I650" s="3">
        <v>0</v>
      </c>
      <c r="J650" s="3">
        <v>0</v>
      </c>
      <c r="K650" s="3">
        <v>27.3</v>
      </c>
      <c r="L650" s="3">
        <v>0</v>
      </c>
      <c r="M650" s="3">
        <v>0</v>
      </c>
      <c r="N650" s="3">
        <v>0</v>
      </c>
      <c r="O650" s="3">
        <v>3.5490000000000004</v>
      </c>
      <c r="P650" s="3">
        <v>32.249000000000002</v>
      </c>
      <c r="Q650" t="s">
        <v>8046</v>
      </c>
      <c r="R650" t="s">
        <v>8200</v>
      </c>
      <c r="S650" s="3" t="s">
        <v>8046</v>
      </c>
      <c r="T650" s="3">
        <v>0</v>
      </c>
    </row>
    <row r="651" spans="1:20" hidden="1" x14ac:dyDescent="0.25">
      <c r="A651" t="s">
        <v>8388</v>
      </c>
      <c r="B651" t="s">
        <v>8529</v>
      </c>
      <c r="C651" t="s">
        <v>1</v>
      </c>
      <c r="D651" t="s">
        <v>0</v>
      </c>
      <c r="E651">
        <v>7505</v>
      </c>
      <c r="F651" t="s">
        <v>1636</v>
      </c>
      <c r="G651" t="s">
        <v>1637</v>
      </c>
      <c r="H651" s="3">
        <v>0.93</v>
      </c>
      <c r="I651" s="3">
        <v>0</v>
      </c>
      <c r="J651" s="3">
        <v>0</v>
      </c>
      <c r="K651" s="3">
        <v>18.21</v>
      </c>
      <c r="L651" s="3">
        <v>0</v>
      </c>
      <c r="M651" s="3">
        <v>0</v>
      </c>
      <c r="N651" s="3">
        <v>0</v>
      </c>
      <c r="O651" s="3">
        <v>0.86497500000000005</v>
      </c>
      <c r="P651" s="3">
        <v>20.004975000000002</v>
      </c>
      <c r="Q651" t="s">
        <v>8046</v>
      </c>
      <c r="R651" t="s">
        <v>8200</v>
      </c>
      <c r="S651" s="3" t="s">
        <v>8046</v>
      </c>
      <c r="T651" s="3">
        <v>0</v>
      </c>
    </row>
    <row r="652" spans="1:20" hidden="1" x14ac:dyDescent="0.25">
      <c r="A652" t="s">
        <v>8388</v>
      </c>
      <c r="B652" t="s">
        <v>8530</v>
      </c>
      <c r="C652" t="s">
        <v>1</v>
      </c>
      <c r="D652" t="s">
        <v>0</v>
      </c>
      <c r="E652">
        <v>204819</v>
      </c>
      <c r="F652" t="s">
        <v>1646</v>
      </c>
      <c r="G652" t="s">
        <v>1647</v>
      </c>
      <c r="H652" s="3">
        <v>0</v>
      </c>
      <c r="I652" s="3">
        <v>0</v>
      </c>
      <c r="J652" s="3">
        <v>0</v>
      </c>
      <c r="K652" s="3">
        <v>488.63</v>
      </c>
      <c r="L652" s="3">
        <v>0</v>
      </c>
      <c r="M652" s="3">
        <v>0</v>
      </c>
      <c r="N652" s="3">
        <v>0</v>
      </c>
      <c r="O652" s="3">
        <v>63.521900000000002</v>
      </c>
      <c r="P652" s="3">
        <v>552.15189999999996</v>
      </c>
      <c r="Q652" t="s">
        <v>8046</v>
      </c>
      <c r="R652" t="s">
        <v>8200</v>
      </c>
      <c r="S652" s="3" t="s">
        <v>8360</v>
      </c>
      <c r="T652" s="3">
        <v>4.8899999999999997</v>
      </c>
    </row>
    <row r="653" spans="1:20" hidden="1" x14ac:dyDescent="0.25">
      <c r="A653" t="s">
        <v>8388</v>
      </c>
      <c r="B653" t="s">
        <v>8530</v>
      </c>
      <c r="C653" t="s">
        <v>1</v>
      </c>
      <c r="D653" t="s">
        <v>0</v>
      </c>
      <c r="E653">
        <v>8686</v>
      </c>
      <c r="F653" t="s">
        <v>1200</v>
      </c>
      <c r="G653" t="s">
        <v>1201</v>
      </c>
      <c r="H653" s="3">
        <v>0</v>
      </c>
      <c r="I653" s="3">
        <v>0</v>
      </c>
      <c r="J653" s="3">
        <v>0</v>
      </c>
      <c r="K653" s="3">
        <v>6412.6</v>
      </c>
      <c r="L653" s="3">
        <v>0</v>
      </c>
      <c r="M653" s="3">
        <v>0</v>
      </c>
      <c r="N653" s="3">
        <v>0</v>
      </c>
      <c r="O653" s="3">
        <v>833.63800000000003</v>
      </c>
      <c r="P653" s="3">
        <v>7246.2380000000003</v>
      </c>
      <c r="Q653" t="s">
        <v>8046</v>
      </c>
      <c r="R653" t="s">
        <v>8200</v>
      </c>
      <c r="S653" s="3" t="s">
        <v>8358</v>
      </c>
      <c r="T653" s="3">
        <v>64.12</v>
      </c>
    </row>
    <row r="654" spans="1:20" hidden="1" x14ac:dyDescent="0.25">
      <c r="A654" t="s">
        <v>8388</v>
      </c>
      <c r="B654" t="s">
        <v>8530</v>
      </c>
      <c r="C654" t="s">
        <v>1</v>
      </c>
      <c r="D654" t="s">
        <v>0</v>
      </c>
      <c r="E654">
        <v>6031</v>
      </c>
      <c r="F654" t="s">
        <v>8510</v>
      </c>
      <c r="G654" t="s">
        <v>8511</v>
      </c>
      <c r="H654" s="3">
        <v>0</v>
      </c>
      <c r="I654" s="3">
        <v>0</v>
      </c>
      <c r="J654" s="3">
        <v>0</v>
      </c>
      <c r="K654" s="3">
        <v>119.94</v>
      </c>
      <c r="L654" s="3">
        <v>0</v>
      </c>
      <c r="M654" s="3">
        <v>0</v>
      </c>
      <c r="N654" s="3">
        <v>0</v>
      </c>
      <c r="O654" s="3">
        <v>15.5922</v>
      </c>
      <c r="P654" s="3">
        <v>135.53219999999999</v>
      </c>
      <c r="Q654" t="s">
        <v>8046</v>
      </c>
      <c r="R654" t="s">
        <v>8200</v>
      </c>
      <c r="S654" s="3" t="s">
        <v>8046</v>
      </c>
      <c r="T654" s="3">
        <v>0</v>
      </c>
    </row>
    <row r="655" spans="1:20" hidden="1" x14ac:dyDescent="0.25">
      <c r="A655" t="s">
        <v>8388</v>
      </c>
      <c r="B655" t="s">
        <v>8530</v>
      </c>
      <c r="C655" t="s">
        <v>1</v>
      </c>
      <c r="D655" t="s">
        <v>0</v>
      </c>
      <c r="E655">
        <v>974705</v>
      </c>
      <c r="F655" t="s">
        <v>2440</v>
      </c>
      <c r="G655" t="s">
        <v>2441</v>
      </c>
      <c r="H655" s="3">
        <v>0</v>
      </c>
      <c r="I655" s="3">
        <v>0</v>
      </c>
      <c r="J655" s="3">
        <v>0</v>
      </c>
      <c r="K655" s="3">
        <v>312.48</v>
      </c>
      <c r="L655" s="3">
        <v>0</v>
      </c>
      <c r="M655" s="3">
        <v>0</v>
      </c>
      <c r="N655" s="3">
        <v>0</v>
      </c>
      <c r="O655" s="3">
        <v>40.622400000000006</v>
      </c>
      <c r="P655" s="3">
        <v>353.10240000000005</v>
      </c>
      <c r="Q655" t="s">
        <v>8046</v>
      </c>
      <c r="R655" t="s">
        <v>8200</v>
      </c>
      <c r="S655" s="3" t="s">
        <v>8359</v>
      </c>
      <c r="T655" s="3">
        <v>3.12</v>
      </c>
    </row>
    <row r="656" spans="1:20" hidden="1" x14ac:dyDescent="0.25">
      <c r="A656" t="s">
        <v>8388</v>
      </c>
      <c r="B656" t="s">
        <v>8530</v>
      </c>
      <c r="C656" t="s">
        <v>1</v>
      </c>
      <c r="D656" t="s">
        <v>0</v>
      </c>
      <c r="E656">
        <v>43943</v>
      </c>
      <c r="F656" t="s">
        <v>3178</v>
      </c>
      <c r="G656" t="s">
        <v>3179</v>
      </c>
      <c r="H656" s="3">
        <v>0</v>
      </c>
      <c r="I656" s="3">
        <v>0</v>
      </c>
      <c r="J656" s="3">
        <v>0</v>
      </c>
      <c r="K656" s="3">
        <v>158.18</v>
      </c>
      <c r="L656" s="3">
        <v>0</v>
      </c>
      <c r="M656" s="3">
        <v>0</v>
      </c>
      <c r="N656" s="3">
        <v>0</v>
      </c>
      <c r="O656" s="3">
        <v>20.563400000000001</v>
      </c>
      <c r="P656" s="3">
        <v>178.74340000000001</v>
      </c>
      <c r="Q656" t="s">
        <v>8046</v>
      </c>
      <c r="R656" t="s">
        <v>8200</v>
      </c>
      <c r="S656" s="3" t="s">
        <v>8358</v>
      </c>
      <c r="T656" s="3">
        <v>1.58</v>
      </c>
    </row>
    <row r="657" spans="1:20" hidden="1" x14ac:dyDescent="0.25">
      <c r="A657" t="s">
        <v>8388</v>
      </c>
      <c r="B657" t="s">
        <v>8530</v>
      </c>
      <c r="C657" t="s">
        <v>1</v>
      </c>
      <c r="D657" t="s">
        <v>0</v>
      </c>
      <c r="E657">
        <v>4105</v>
      </c>
      <c r="F657" t="s">
        <v>7877</v>
      </c>
      <c r="G657" t="s">
        <v>7878</v>
      </c>
      <c r="H657" s="3">
        <v>0</v>
      </c>
      <c r="I657" s="3">
        <v>0</v>
      </c>
      <c r="J657" s="3">
        <v>0</v>
      </c>
      <c r="K657" s="3">
        <v>13.45</v>
      </c>
      <c r="L657" s="3">
        <v>0</v>
      </c>
      <c r="M657" s="3">
        <v>0</v>
      </c>
      <c r="N657" s="3">
        <v>0</v>
      </c>
      <c r="O657" s="3">
        <v>1.7484999999999999</v>
      </c>
      <c r="P657" s="3">
        <v>15.198499999999999</v>
      </c>
      <c r="Q657" t="s">
        <v>8046</v>
      </c>
      <c r="R657" t="s">
        <v>8200</v>
      </c>
      <c r="S657" s="3" t="s">
        <v>8046</v>
      </c>
      <c r="T657" s="3">
        <v>0</v>
      </c>
    </row>
    <row r="658" spans="1:20" hidden="1" x14ac:dyDescent="0.25">
      <c r="A658" t="s">
        <v>8388</v>
      </c>
      <c r="B658" t="s">
        <v>8530</v>
      </c>
      <c r="C658" t="s">
        <v>1</v>
      </c>
      <c r="D658" t="s">
        <v>0</v>
      </c>
      <c r="E658">
        <v>1038</v>
      </c>
      <c r="F658" t="s">
        <v>8371</v>
      </c>
      <c r="G658" t="s">
        <v>8372</v>
      </c>
      <c r="H658" s="3">
        <v>0</v>
      </c>
      <c r="I658" s="3">
        <v>0</v>
      </c>
      <c r="J658" s="3">
        <v>0</v>
      </c>
      <c r="K658" s="3">
        <v>88.5</v>
      </c>
      <c r="L658" s="3">
        <v>0</v>
      </c>
      <c r="M658" s="3">
        <v>0</v>
      </c>
      <c r="N658" s="3">
        <v>0</v>
      </c>
      <c r="O658" s="3">
        <v>11.505000000000001</v>
      </c>
      <c r="P658" s="3">
        <v>100.005</v>
      </c>
      <c r="Q658" t="s">
        <v>8046</v>
      </c>
      <c r="R658" t="s">
        <v>8200</v>
      </c>
      <c r="S658" s="3" t="s">
        <v>8046</v>
      </c>
      <c r="T658" s="3">
        <v>0</v>
      </c>
    </row>
    <row r="659" spans="1:20" hidden="1" x14ac:dyDescent="0.25">
      <c r="A659" t="s">
        <v>8388</v>
      </c>
      <c r="B659" t="s">
        <v>8401</v>
      </c>
      <c r="C659" t="s">
        <v>1</v>
      </c>
      <c r="D659" t="s">
        <v>0</v>
      </c>
      <c r="E659">
        <v>18186</v>
      </c>
      <c r="F659" t="s">
        <v>1522</v>
      </c>
      <c r="G659" t="s">
        <v>1523</v>
      </c>
      <c r="H659" s="3">
        <v>2.71</v>
      </c>
      <c r="I659" s="3">
        <v>0</v>
      </c>
      <c r="J659" s="3">
        <v>0</v>
      </c>
      <c r="K659" s="3">
        <v>52.78</v>
      </c>
      <c r="L659" s="3">
        <v>0</v>
      </c>
      <c r="M659" s="3">
        <v>0</v>
      </c>
      <c r="N659" s="3">
        <v>0</v>
      </c>
      <c r="O659" s="3">
        <v>6.8614000000000006</v>
      </c>
      <c r="P659" s="3">
        <v>62.351400000000005</v>
      </c>
      <c r="Q659" t="s">
        <v>8046</v>
      </c>
      <c r="R659" t="s">
        <v>8200</v>
      </c>
      <c r="S659" s="3" t="s">
        <v>8046</v>
      </c>
      <c r="T659" s="3">
        <v>0</v>
      </c>
    </row>
    <row r="660" spans="1:20" hidden="1" x14ac:dyDescent="0.25">
      <c r="A660" t="s">
        <v>8388</v>
      </c>
      <c r="B660" t="s">
        <v>8401</v>
      </c>
      <c r="C660" t="s">
        <v>1</v>
      </c>
      <c r="D660" t="s">
        <v>0</v>
      </c>
      <c r="E660">
        <v>25560</v>
      </c>
      <c r="F660" t="s">
        <v>3019</v>
      </c>
      <c r="G660" t="s">
        <v>3020</v>
      </c>
      <c r="H660" s="3">
        <v>0</v>
      </c>
      <c r="I660" s="3">
        <v>0</v>
      </c>
      <c r="J660" s="3">
        <v>0</v>
      </c>
      <c r="K660" s="3">
        <v>16.239999999999998</v>
      </c>
      <c r="L660" s="3">
        <v>0</v>
      </c>
      <c r="M660" s="3">
        <v>0</v>
      </c>
      <c r="N660" s="3">
        <v>0</v>
      </c>
      <c r="O660" s="3">
        <v>2.1111999999999997</v>
      </c>
      <c r="P660" s="3">
        <v>18.351199999999999</v>
      </c>
      <c r="Q660" t="s">
        <v>8046</v>
      </c>
      <c r="R660" t="s">
        <v>8200</v>
      </c>
      <c r="S660" s="3" t="s">
        <v>8046</v>
      </c>
      <c r="T660" s="3">
        <v>0</v>
      </c>
    </row>
    <row r="661" spans="1:20" hidden="1" x14ac:dyDescent="0.25">
      <c r="A661" t="s">
        <v>8388</v>
      </c>
      <c r="B661" t="s">
        <v>8401</v>
      </c>
      <c r="C661" t="s">
        <v>1</v>
      </c>
      <c r="D661" t="s">
        <v>0</v>
      </c>
      <c r="E661">
        <v>450</v>
      </c>
      <c r="F661" t="s">
        <v>1548</v>
      </c>
      <c r="G661" t="s">
        <v>1549</v>
      </c>
      <c r="H661" s="3">
        <v>0</v>
      </c>
      <c r="I661" s="3">
        <v>0</v>
      </c>
      <c r="J661" s="3">
        <v>0</v>
      </c>
      <c r="K661" s="3">
        <v>348</v>
      </c>
      <c r="L661" s="3">
        <v>0</v>
      </c>
      <c r="M661" s="3">
        <v>0</v>
      </c>
      <c r="N661" s="3">
        <v>0</v>
      </c>
      <c r="O661" s="3">
        <v>45.24</v>
      </c>
      <c r="P661" s="3">
        <v>393.24</v>
      </c>
      <c r="Q661" t="s">
        <v>8046</v>
      </c>
      <c r="R661" t="s">
        <v>8200</v>
      </c>
      <c r="S661" s="3" t="s">
        <v>8046</v>
      </c>
      <c r="T661" s="3">
        <v>0</v>
      </c>
    </row>
    <row r="662" spans="1:20" hidden="1" x14ac:dyDescent="0.25">
      <c r="A662" t="s">
        <v>8388</v>
      </c>
      <c r="B662" t="s">
        <v>8401</v>
      </c>
      <c r="C662" t="s">
        <v>1</v>
      </c>
      <c r="D662" t="s">
        <v>0</v>
      </c>
      <c r="E662">
        <v>1702</v>
      </c>
      <c r="F662" t="s">
        <v>131</v>
      </c>
      <c r="G662" t="s">
        <v>132</v>
      </c>
      <c r="H662" s="3">
        <v>0</v>
      </c>
      <c r="I662" s="3">
        <v>0</v>
      </c>
      <c r="J662" s="3">
        <v>0</v>
      </c>
      <c r="K662" s="3">
        <v>1238</v>
      </c>
      <c r="L662" s="3">
        <v>0</v>
      </c>
      <c r="M662" s="3">
        <v>0</v>
      </c>
      <c r="N662" s="3">
        <v>0</v>
      </c>
      <c r="O662" s="3">
        <v>160.94</v>
      </c>
      <c r="P662" s="3">
        <v>1398.94</v>
      </c>
      <c r="Q662" t="s">
        <v>8046</v>
      </c>
      <c r="R662" t="s">
        <v>8200</v>
      </c>
      <c r="S662" s="3" t="s">
        <v>8046</v>
      </c>
      <c r="T662" s="3">
        <v>0</v>
      </c>
    </row>
    <row r="663" spans="1:20" hidden="1" x14ac:dyDescent="0.25">
      <c r="A663" t="s">
        <v>8388</v>
      </c>
      <c r="B663" t="s">
        <v>8520</v>
      </c>
      <c r="C663" t="s">
        <v>1</v>
      </c>
      <c r="D663" t="s">
        <v>0</v>
      </c>
      <c r="E663">
        <v>310912</v>
      </c>
      <c r="F663" t="s">
        <v>2701</v>
      </c>
      <c r="G663" t="s">
        <v>2702</v>
      </c>
      <c r="H663" s="3">
        <v>0</v>
      </c>
      <c r="I663" s="3">
        <v>0</v>
      </c>
      <c r="J663" s="3">
        <v>0</v>
      </c>
      <c r="K663" s="3">
        <v>87.9</v>
      </c>
      <c r="L663" s="3">
        <v>0</v>
      </c>
      <c r="M663" s="3">
        <v>0</v>
      </c>
      <c r="N663" s="3">
        <v>0</v>
      </c>
      <c r="O663" s="3">
        <v>11.427000000000001</v>
      </c>
      <c r="P663" s="3">
        <v>99.327000000000012</v>
      </c>
      <c r="Q663" t="s">
        <v>8046</v>
      </c>
      <c r="R663" t="s">
        <v>8200</v>
      </c>
      <c r="S663" s="3" t="s">
        <v>8046</v>
      </c>
      <c r="T663" s="3">
        <v>0</v>
      </c>
    </row>
    <row r="664" spans="1:20" hidden="1" x14ac:dyDescent="0.25">
      <c r="A664" t="s">
        <v>8388</v>
      </c>
      <c r="B664" t="s">
        <v>8520</v>
      </c>
      <c r="C664" t="s">
        <v>1</v>
      </c>
      <c r="D664" t="s">
        <v>0</v>
      </c>
      <c r="E664">
        <v>368251</v>
      </c>
      <c r="F664" t="s">
        <v>2436</v>
      </c>
      <c r="G664" t="s">
        <v>2437</v>
      </c>
      <c r="H664" s="3">
        <v>0</v>
      </c>
      <c r="I664" s="3">
        <v>0</v>
      </c>
      <c r="J664" s="3">
        <v>0</v>
      </c>
      <c r="K664" s="3">
        <v>4.3099999999999996</v>
      </c>
      <c r="L664" s="3">
        <v>0</v>
      </c>
      <c r="M664" s="3">
        <v>0</v>
      </c>
      <c r="N664" s="3">
        <v>0</v>
      </c>
      <c r="O664" s="3">
        <v>0.56030000000000002</v>
      </c>
      <c r="P664" s="3">
        <v>4.8702999999999994</v>
      </c>
      <c r="Q664" t="s">
        <v>8046</v>
      </c>
      <c r="R664" t="s">
        <v>8200</v>
      </c>
      <c r="S664" s="3" t="s">
        <v>8046</v>
      </c>
      <c r="T664" s="3">
        <v>0</v>
      </c>
    </row>
    <row r="665" spans="1:20" hidden="1" x14ac:dyDescent="0.25">
      <c r="A665" t="s">
        <v>8388</v>
      </c>
      <c r="B665" t="s">
        <v>8520</v>
      </c>
      <c r="C665" t="s">
        <v>1</v>
      </c>
      <c r="D665" t="s">
        <v>0</v>
      </c>
      <c r="E665">
        <v>368250</v>
      </c>
      <c r="F665" t="s">
        <v>2436</v>
      </c>
      <c r="G665" t="s">
        <v>2437</v>
      </c>
      <c r="H665" s="3">
        <v>0</v>
      </c>
      <c r="I665" s="3">
        <v>0</v>
      </c>
      <c r="J665" s="3">
        <v>0</v>
      </c>
      <c r="K665" s="3">
        <v>186.92</v>
      </c>
      <c r="L665" s="3">
        <v>0</v>
      </c>
      <c r="M665" s="3">
        <v>0</v>
      </c>
      <c r="N665" s="3">
        <v>0</v>
      </c>
      <c r="O665" s="3">
        <v>24.299599999999998</v>
      </c>
      <c r="P665" s="3">
        <v>211.21959999999999</v>
      </c>
      <c r="Q665" t="s">
        <v>8046</v>
      </c>
      <c r="R665" t="s">
        <v>8200</v>
      </c>
      <c r="S665" s="3" t="s">
        <v>8359</v>
      </c>
      <c r="T665" s="3">
        <v>1.87</v>
      </c>
    </row>
    <row r="666" spans="1:20" hidden="1" x14ac:dyDescent="0.25">
      <c r="A666" t="s">
        <v>8388</v>
      </c>
      <c r="B666" t="s">
        <v>8520</v>
      </c>
      <c r="C666" t="s">
        <v>1</v>
      </c>
      <c r="D666" t="s">
        <v>0</v>
      </c>
      <c r="E666">
        <v>93</v>
      </c>
      <c r="F666" t="s">
        <v>1457</v>
      </c>
      <c r="G666" t="s">
        <v>8600</v>
      </c>
      <c r="H666" s="3">
        <v>0</v>
      </c>
      <c r="I666" s="3">
        <v>0</v>
      </c>
      <c r="J666" s="3">
        <v>0</v>
      </c>
      <c r="K666" s="3">
        <v>23.5</v>
      </c>
      <c r="L666" s="3">
        <v>0</v>
      </c>
      <c r="M666" s="3">
        <v>0</v>
      </c>
      <c r="N666" s="3">
        <v>0</v>
      </c>
      <c r="O666" s="3">
        <v>3.0550000000000002</v>
      </c>
      <c r="P666" s="3">
        <v>26.555</v>
      </c>
      <c r="Q666" t="s">
        <v>8046</v>
      </c>
      <c r="R666" t="s">
        <v>8200</v>
      </c>
      <c r="S666" s="3" t="s">
        <v>8046</v>
      </c>
      <c r="T666" s="3">
        <v>0</v>
      </c>
    </row>
    <row r="667" spans="1:20" hidden="1" x14ac:dyDescent="0.25">
      <c r="A667" t="s">
        <v>8388</v>
      </c>
      <c r="B667" t="s">
        <v>8520</v>
      </c>
      <c r="C667" t="s">
        <v>1</v>
      </c>
      <c r="D667" t="s">
        <v>0</v>
      </c>
      <c r="E667">
        <v>18050</v>
      </c>
      <c r="F667" t="s">
        <v>1522</v>
      </c>
      <c r="G667" t="s">
        <v>1523</v>
      </c>
      <c r="H667" s="3">
        <v>2.29</v>
      </c>
      <c r="I667" s="3">
        <v>0</v>
      </c>
      <c r="J667" s="3">
        <v>0</v>
      </c>
      <c r="K667" s="3">
        <v>39.57</v>
      </c>
      <c r="L667" s="3">
        <v>0</v>
      </c>
      <c r="M667" s="3">
        <v>0</v>
      </c>
      <c r="N667" s="3">
        <v>0</v>
      </c>
      <c r="O667" s="3">
        <v>5.1440999999999999</v>
      </c>
      <c r="P667" s="3">
        <v>47.004100000000001</v>
      </c>
      <c r="Q667" t="s">
        <v>8046</v>
      </c>
      <c r="R667" t="s">
        <v>8200</v>
      </c>
      <c r="S667" s="3" t="s">
        <v>8046</v>
      </c>
      <c r="T667" s="3">
        <v>0</v>
      </c>
    </row>
    <row r="668" spans="1:20" hidden="1" x14ac:dyDescent="0.25">
      <c r="A668" t="s">
        <v>8388</v>
      </c>
      <c r="B668" t="s">
        <v>8520</v>
      </c>
      <c r="C668" t="s">
        <v>1</v>
      </c>
      <c r="D668" t="s">
        <v>0</v>
      </c>
      <c r="E668">
        <v>254296</v>
      </c>
      <c r="F668" t="s">
        <v>2450</v>
      </c>
      <c r="G668" t="s">
        <v>2451</v>
      </c>
      <c r="H668" s="3">
        <v>0.97</v>
      </c>
      <c r="I668" s="3">
        <v>0</v>
      </c>
      <c r="J668" s="3">
        <v>0</v>
      </c>
      <c r="K668" s="3">
        <v>16.84</v>
      </c>
      <c r="L668" s="3">
        <v>0</v>
      </c>
      <c r="M668" s="3">
        <v>0</v>
      </c>
      <c r="N668" s="3">
        <v>0</v>
      </c>
      <c r="O668" s="3">
        <v>2.1892</v>
      </c>
      <c r="P668" s="3">
        <v>19.999199999999998</v>
      </c>
      <c r="Q668" t="s">
        <v>8046</v>
      </c>
      <c r="R668" t="s">
        <v>8200</v>
      </c>
      <c r="S668" s="3" t="s">
        <v>8046</v>
      </c>
      <c r="T668" s="3">
        <v>0</v>
      </c>
    </row>
    <row r="669" spans="1:20" hidden="1" x14ac:dyDescent="0.25">
      <c r="A669" t="s">
        <v>8388</v>
      </c>
      <c r="B669" t="s">
        <v>8532</v>
      </c>
      <c r="C669" t="s">
        <v>1</v>
      </c>
      <c r="D669" t="s">
        <v>0</v>
      </c>
      <c r="E669">
        <v>1033</v>
      </c>
      <c r="F669" t="s">
        <v>8371</v>
      </c>
      <c r="G669" t="s">
        <v>8372</v>
      </c>
      <c r="H669" s="3">
        <v>0</v>
      </c>
      <c r="I669" s="3">
        <v>0</v>
      </c>
      <c r="J669" s="3">
        <v>0</v>
      </c>
      <c r="K669" s="3">
        <v>28.32</v>
      </c>
      <c r="L669" s="3">
        <v>0</v>
      </c>
      <c r="M669" s="3">
        <v>0</v>
      </c>
      <c r="N669" s="3">
        <v>0</v>
      </c>
      <c r="O669" s="3">
        <v>3.6816</v>
      </c>
      <c r="P669" s="3">
        <v>32.001600000000003</v>
      </c>
      <c r="Q669" t="s">
        <v>8046</v>
      </c>
      <c r="R669" t="s">
        <v>8200</v>
      </c>
      <c r="S669" s="3" t="s">
        <v>8046</v>
      </c>
      <c r="T669" s="3">
        <v>0</v>
      </c>
    </row>
    <row r="670" spans="1:20" hidden="1" x14ac:dyDescent="0.25">
      <c r="A670" t="s">
        <v>8388</v>
      </c>
      <c r="B670" t="s">
        <v>8532</v>
      </c>
      <c r="C670" t="s">
        <v>1</v>
      </c>
      <c r="D670" t="s">
        <v>0</v>
      </c>
      <c r="E670">
        <v>17719</v>
      </c>
      <c r="F670" t="s">
        <v>1522</v>
      </c>
      <c r="G670" t="s">
        <v>1523</v>
      </c>
      <c r="H670" s="3">
        <v>1.22</v>
      </c>
      <c r="I670" s="3">
        <v>0</v>
      </c>
      <c r="J670" s="3">
        <v>0</v>
      </c>
      <c r="K670" s="3">
        <v>21.04</v>
      </c>
      <c r="L670" s="3">
        <v>0</v>
      </c>
      <c r="M670" s="3">
        <v>0</v>
      </c>
      <c r="N670" s="3">
        <v>0</v>
      </c>
      <c r="O670" s="3">
        <v>2.7351999999999999</v>
      </c>
      <c r="P670" s="3">
        <v>24.995199999999997</v>
      </c>
      <c r="Q670" t="s">
        <v>8046</v>
      </c>
      <c r="R670" t="s">
        <v>8200</v>
      </c>
      <c r="S670" s="3" t="s">
        <v>8046</v>
      </c>
      <c r="T670" s="3">
        <v>0</v>
      </c>
    </row>
    <row r="671" spans="1:20" hidden="1" x14ac:dyDescent="0.25">
      <c r="A671" t="s">
        <v>8388</v>
      </c>
      <c r="B671" t="s">
        <v>8532</v>
      </c>
      <c r="C671" t="s">
        <v>1</v>
      </c>
      <c r="D671" t="s">
        <v>0</v>
      </c>
      <c r="E671">
        <v>1480</v>
      </c>
      <c r="F671" t="s">
        <v>7902</v>
      </c>
      <c r="G671" t="s">
        <v>7903</v>
      </c>
      <c r="H671" s="3">
        <v>0</v>
      </c>
      <c r="I671" s="3">
        <v>0</v>
      </c>
      <c r="J671" s="3">
        <v>0</v>
      </c>
      <c r="K671" s="3">
        <v>115.88</v>
      </c>
      <c r="L671" s="3">
        <v>0</v>
      </c>
      <c r="M671" s="3">
        <v>0</v>
      </c>
      <c r="N671" s="3">
        <v>0</v>
      </c>
      <c r="O671" s="3">
        <v>15.064399999999999</v>
      </c>
      <c r="P671" s="3">
        <v>130.9444</v>
      </c>
      <c r="Q671" t="s">
        <v>8046</v>
      </c>
      <c r="R671" t="s">
        <v>8200</v>
      </c>
      <c r="S671" s="3" t="s">
        <v>8046</v>
      </c>
      <c r="T671" s="3">
        <v>0</v>
      </c>
    </row>
    <row r="672" spans="1:20" hidden="1" x14ac:dyDescent="0.25">
      <c r="A672" t="s">
        <v>8388</v>
      </c>
      <c r="B672" t="s">
        <v>8532</v>
      </c>
      <c r="C672" t="s">
        <v>1</v>
      </c>
      <c r="D672" t="s">
        <v>0</v>
      </c>
      <c r="E672">
        <v>310883</v>
      </c>
      <c r="F672" t="s">
        <v>2701</v>
      </c>
      <c r="G672" t="s">
        <v>2702</v>
      </c>
      <c r="H672" s="3">
        <v>0</v>
      </c>
      <c r="I672" s="3">
        <v>0</v>
      </c>
      <c r="J672" s="3">
        <v>0</v>
      </c>
      <c r="K672" s="3">
        <v>661.57</v>
      </c>
      <c r="L672" s="3">
        <v>0</v>
      </c>
      <c r="M672" s="3">
        <v>0</v>
      </c>
      <c r="N672" s="3">
        <v>0</v>
      </c>
      <c r="O672" s="3">
        <v>86.004100000000008</v>
      </c>
      <c r="P672" s="3">
        <v>747.57410000000004</v>
      </c>
      <c r="Q672" t="s">
        <v>8046</v>
      </c>
      <c r="R672" t="s">
        <v>8200</v>
      </c>
      <c r="S672" s="3" t="s">
        <v>8345</v>
      </c>
      <c r="T672" s="3">
        <v>6.62</v>
      </c>
    </row>
    <row r="673" spans="1:20" hidden="1" x14ac:dyDescent="0.25">
      <c r="A673" t="s">
        <v>8388</v>
      </c>
      <c r="B673" t="s">
        <v>8532</v>
      </c>
      <c r="C673" t="s">
        <v>1</v>
      </c>
      <c r="D673" t="s">
        <v>0</v>
      </c>
      <c r="E673">
        <v>1436008</v>
      </c>
      <c r="F673" t="s">
        <v>1576</v>
      </c>
      <c r="G673" t="s">
        <v>1577</v>
      </c>
      <c r="H673" s="3">
        <v>0</v>
      </c>
      <c r="I673" s="3">
        <v>0</v>
      </c>
      <c r="J673" s="3">
        <v>0</v>
      </c>
      <c r="K673" s="3">
        <v>740.5</v>
      </c>
      <c r="L673" s="3">
        <v>0</v>
      </c>
      <c r="M673" s="3">
        <v>0</v>
      </c>
      <c r="N673" s="3">
        <v>0</v>
      </c>
      <c r="O673" s="3">
        <v>96.265000000000001</v>
      </c>
      <c r="P673" s="3">
        <v>836.76499999999999</v>
      </c>
      <c r="Q673" t="s">
        <v>8046</v>
      </c>
      <c r="R673" t="s">
        <v>8200</v>
      </c>
      <c r="S673" s="3" t="s">
        <v>8345</v>
      </c>
      <c r="T673" s="3">
        <v>7.41</v>
      </c>
    </row>
    <row r="674" spans="1:20" hidden="1" x14ac:dyDescent="0.25">
      <c r="A674" t="s">
        <v>8388</v>
      </c>
      <c r="B674" t="s">
        <v>8532</v>
      </c>
      <c r="C674" t="s">
        <v>1</v>
      </c>
      <c r="D674" t="s">
        <v>0</v>
      </c>
      <c r="E674">
        <v>8638</v>
      </c>
      <c r="F674" t="s">
        <v>1200</v>
      </c>
      <c r="G674" t="s">
        <v>1201</v>
      </c>
      <c r="H674" s="3">
        <v>0</v>
      </c>
      <c r="I674" s="3">
        <v>0</v>
      </c>
      <c r="J674" s="3">
        <v>0</v>
      </c>
      <c r="K674" s="3">
        <v>10484.200000000001</v>
      </c>
      <c r="L674" s="3">
        <v>0</v>
      </c>
      <c r="M674" s="3">
        <v>0</v>
      </c>
      <c r="N674" s="3">
        <v>0</v>
      </c>
      <c r="O674" s="3">
        <v>1362.9460000000001</v>
      </c>
      <c r="P674" s="3">
        <v>11847.146000000001</v>
      </c>
      <c r="Q674" t="s">
        <v>8046</v>
      </c>
      <c r="R674" t="s">
        <v>8200</v>
      </c>
      <c r="S674" s="3" t="s">
        <v>8358</v>
      </c>
      <c r="T674" s="3">
        <v>104.85</v>
      </c>
    </row>
    <row r="675" spans="1:20" hidden="1" x14ac:dyDescent="0.25">
      <c r="A675" t="s">
        <v>8388</v>
      </c>
      <c r="B675" t="s">
        <v>8532</v>
      </c>
      <c r="C675" t="s">
        <v>1</v>
      </c>
      <c r="D675" t="s">
        <v>0</v>
      </c>
      <c r="E675">
        <v>974066</v>
      </c>
      <c r="F675" t="s">
        <v>2440</v>
      </c>
      <c r="G675" t="s">
        <v>2441</v>
      </c>
      <c r="H675" s="3">
        <v>0</v>
      </c>
      <c r="I675" s="3">
        <v>0</v>
      </c>
      <c r="J675" s="3">
        <v>0</v>
      </c>
      <c r="K675" s="3">
        <v>178.46</v>
      </c>
      <c r="L675" s="3">
        <v>0</v>
      </c>
      <c r="M675" s="3">
        <v>0</v>
      </c>
      <c r="N675" s="3">
        <v>0</v>
      </c>
      <c r="O675" s="3">
        <v>23.199800000000003</v>
      </c>
      <c r="P675" s="3">
        <v>201.65980000000002</v>
      </c>
      <c r="Q675" t="s">
        <v>8046</v>
      </c>
      <c r="R675" t="s">
        <v>8200</v>
      </c>
      <c r="S675" s="3" t="s">
        <v>8359</v>
      </c>
      <c r="T675" s="3">
        <v>1.78</v>
      </c>
    </row>
    <row r="676" spans="1:20" hidden="1" x14ac:dyDescent="0.25">
      <c r="A676" t="s">
        <v>8388</v>
      </c>
      <c r="B676" t="s">
        <v>8532</v>
      </c>
      <c r="C676" t="s">
        <v>1</v>
      </c>
      <c r="D676" t="s">
        <v>0</v>
      </c>
      <c r="E676">
        <v>12104</v>
      </c>
      <c r="F676" t="s">
        <v>3074</v>
      </c>
      <c r="G676" t="s">
        <v>3075</v>
      </c>
      <c r="H676" s="3">
        <v>0</v>
      </c>
      <c r="I676" s="3">
        <v>0</v>
      </c>
      <c r="J676" s="3">
        <v>0</v>
      </c>
      <c r="K676" s="3">
        <v>47.7</v>
      </c>
      <c r="L676" s="3">
        <v>0</v>
      </c>
      <c r="M676" s="3">
        <v>0</v>
      </c>
      <c r="N676" s="3">
        <v>0</v>
      </c>
      <c r="O676" s="3">
        <v>6.2010000000000005</v>
      </c>
      <c r="P676" s="3">
        <v>53.901000000000003</v>
      </c>
      <c r="Q676" t="s">
        <v>8046</v>
      </c>
      <c r="R676" t="s">
        <v>8200</v>
      </c>
      <c r="S676" s="3" t="s">
        <v>8046</v>
      </c>
      <c r="T676" s="3">
        <v>0</v>
      </c>
    </row>
    <row r="677" spans="1:20" hidden="1" x14ac:dyDescent="0.25">
      <c r="A677" t="s">
        <v>8388</v>
      </c>
      <c r="B677" t="s">
        <v>8533</v>
      </c>
      <c r="C677" t="s">
        <v>1</v>
      </c>
      <c r="D677" t="s">
        <v>0</v>
      </c>
      <c r="E677">
        <v>181438</v>
      </c>
      <c r="F677" t="s">
        <v>2203</v>
      </c>
      <c r="G677" t="s">
        <v>2204</v>
      </c>
      <c r="H677" s="3">
        <v>0</v>
      </c>
      <c r="I677" s="3">
        <v>0</v>
      </c>
      <c r="J677" s="3">
        <v>0</v>
      </c>
      <c r="K677" s="3">
        <v>97.35</v>
      </c>
      <c r="L677" s="3">
        <v>0</v>
      </c>
      <c r="M677" s="3">
        <v>0</v>
      </c>
      <c r="N677" s="3">
        <v>0</v>
      </c>
      <c r="O677" s="3">
        <v>12.6555</v>
      </c>
      <c r="P677" s="3">
        <v>110.0055</v>
      </c>
      <c r="Q677" t="s">
        <v>8046</v>
      </c>
      <c r="R677" t="s">
        <v>8200</v>
      </c>
      <c r="S677" s="3" t="s">
        <v>8046</v>
      </c>
      <c r="T677" s="3">
        <v>0</v>
      </c>
    </row>
    <row r="678" spans="1:20" hidden="1" x14ac:dyDescent="0.25">
      <c r="A678" t="s">
        <v>8388</v>
      </c>
      <c r="B678" t="s">
        <v>8533</v>
      </c>
      <c r="C678" t="s">
        <v>1</v>
      </c>
      <c r="D678" t="s">
        <v>0</v>
      </c>
      <c r="E678">
        <v>1768</v>
      </c>
      <c r="F678" t="s">
        <v>8598</v>
      </c>
      <c r="G678" t="s">
        <v>8599</v>
      </c>
      <c r="H678" s="3">
        <v>0</v>
      </c>
      <c r="I678" s="3">
        <v>0</v>
      </c>
      <c r="J678" s="3">
        <v>0</v>
      </c>
      <c r="K678" s="3">
        <v>64.8</v>
      </c>
      <c r="L678" s="3">
        <v>0</v>
      </c>
      <c r="M678" s="3">
        <v>0</v>
      </c>
      <c r="N678" s="3">
        <v>0</v>
      </c>
      <c r="O678" s="3">
        <v>8.4239999999999995</v>
      </c>
      <c r="P678" s="3">
        <v>73.22399999999999</v>
      </c>
      <c r="Q678" t="s">
        <v>8046</v>
      </c>
      <c r="R678" t="s">
        <v>8200</v>
      </c>
      <c r="S678" s="3" t="s">
        <v>8046</v>
      </c>
      <c r="T678" s="3">
        <v>0</v>
      </c>
    </row>
    <row r="679" spans="1:20" hidden="1" x14ac:dyDescent="0.25">
      <c r="A679" t="s">
        <v>8388</v>
      </c>
      <c r="B679" t="s">
        <v>8533</v>
      </c>
      <c r="C679" t="s">
        <v>1</v>
      </c>
      <c r="D679" t="s">
        <v>0</v>
      </c>
      <c r="E679">
        <v>473133</v>
      </c>
      <c r="F679" t="s">
        <v>1546</v>
      </c>
      <c r="G679" t="s">
        <v>1547</v>
      </c>
      <c r="H679" s="3">
        <v>1.69</v>
      </c>
      <c r="I679" s="3">
        <v>0</v>
      </c>
      <c r="J679" s="3">
        <v>0</v>
      </c>
      <c r="K679" s="3">
        <v>29.48</v>
      </c>
      <c r="L679" s="3">
        <v>0</v>
      </c>
      <c r="M679" s="3">
        <v>0</v>
      </c>
      <c r="N679" s="3">
        <v>0</v>
      </c>
      <c r="O679" s="3">
        <v>3.8324000000000003</v>
      </c>
      <c r="P679" s="3">
        <v>35.002400000000002</v>
      </c>
      <c r="Q679" t="s">
        <v>8046</v>
      </c>
      <c r="R679" t="s">
        <v>8200</v>
      </c>
      <c r="S679" s="3" t="s">
        <v>8046</v>
      </c>
      <c r="T679" s="3">
        <v>0</v>
      </c>
    </row>
    <row r="680" spans="1:20" hidden="1" x14ac:dyDescent="0.25">
      <c r="A680" t="s">
        <v>8388</v>
      </c>
      <c r="B680" t="s">
        <v>8534</v>
      </c>
      <c r="C680" t="s">
        <v>1</v>
      </c>
      <c r="D680" t="s">
        <v>0</v>
      </c>
      <c r="E680">
        <v>17135</v>
      </c>
      <c r="F680" t="s">
        <v>1522</v>
      </c>
      <c r="G680" t="s">
        <v>1523</v>
      </c>
      <c r="H680" s="3">
        <v>1.1599999999999999</v>
      </c>
      <c r="I680" s="3">
        <v>0</v>
      </c>
      <c r="J680" s="3">
        <v>0</v>
      </c>
      <c r="K680" s="3">
        <v>21.1</v>
      </c>
      <c r="L680" s="3">
        <v>0</v>
      </c>
      <c r="M680" s="3">
        <v>0</v>
      </c>
      <c r="N680" s="3">
        <v>0</v>
      </c>
      <c r="O680" s="3">
        <v>2.7430000000000003</v>
      </c>
      <c r="P680" s="3">
        <v>25.003</v>
      </c>
      <c r="Q680" t="s">
        <v>8046</v>
      </c>
      <c r="R680" t="s">
        <v>8200</v>
      </c>
      <c r="S680" s="3" t="s">
        <v>8046</v>
      </c>
      <c r="T680" s="3">
        <v>0</v>
      </c>
    </row>
    <row r="681" spans="1:20" hidden="1" x14ac:dyDescent="0.25">
      <c r="A681" t="s">
        <v>8388</v>
      </c>
      <c r="B681" t="s">
        <v>8534</v>
      </c>
      <c r="C681" t="s">
        <v>1</v>
      </c>
      <c r="D681" t="s">
        <v>0</v>
      </c>
      <c r="E681">
        <v>298384</v>
      </c>
      <c r="F681" t="s">
        <v>2788</v>
      </c>
      <c r="G681" t="s">
        <v>2789</v>
      </c>
      <c r="H681" s="3">
        <v>0</v>
      </c>
      <c r="I681" s="3">
        <v>0</v>
      </c>
      <c r="J681" s="3">
        <v>0</v>
      </c>
      <c r="K681" s="3">
        <v>5.95</v>
      </c>
      <c r="L681" s="3">
        <v>0</v>
      </c>
      <c r="M681" s="3">
        <v>0</v>
      </c>
      <c r="N681" s="3">
        <v>0</v>
      </c>
      <c r="O681" s="3">
        <v>0.77350000000000008</v>
      </c>
      <c r="P681" s="3">
        <v>6.7235000000000005</v>
      </c>
      <c r="Q681" t="s">
        <v>8046</v>
      </c>
      <c r="R681" t="s">
        <v>8200</v>
      </c>
      <c r="S681" s="3" t="s">
        <v>8046</v>
      </c>
      <c r="T681" s="3">
        <v>0</v>
      </c>
    </row>
    <row r="682" spans="1:20" hidden="1" x14ac:dyDescent="0.25">
      <c r="A682" t="s">
        <v>8388</v>
      </c>
      <c r="B682" t="s">
        <v>8534</v>
      </c>
      <c r="C682" t="s">
        <v>1</v>
      </c>
      <c r="D682" t="s">
        <v>0</v>
      </c>
      <c r="E682">
        <v>27191</v>
      </c>
      <c r="F682" t="s">
        <v>2998</v>
      </c>
      <c r="G682" t="s">
        <v>2999</v>
      </c>
      <c r="H682" s="3">
        <v>0</v>
      </c>
      <c r="I682" s="3">
        <v>0</v>
      </c>
      <c r="J682" s="3">
        <v>0</v>
      </c>
      <c r="K682" s="3">
        <v>192.8</v>
      </c>
      <c r="L682" s="3">
        <v>0</v>
      </c>
      <c r="M682" s="3">
        <v>0</v>
      </c>
      <c r="N682" s="3">
        <v>0</v>
      </c>
      <c r="O682" s="3">
        <v>25.064000000000004</v>
      </c>
      <c r="P682" s="3">
        <v>217.864</v>
      </c>
      <c r="Q682" t="s">
        <v>8046</v>
      </c>
      <c r="R682" t="s">
        <v>8200</v>
      </c>
      <c r="S682" s="3" t="s">
        <v>8046</v>
      </c>
      <c r="T682" s="3">
        <v>0</v>
      </c>
    </row>
    <row r="683" spans="1:20" hidden="1" x14ac:dyDescent="0.25">
      <c r="A683" t="s">
        <v>8388</v>
      </c>
      <c r="B683" t="s">
        <v>8534</v>
      </c>
      <c r="C683" t="s">
        <v>1</v>
      </c>
      <c r="D683" t="s">
        <v>0</v>
      </c>
      <c r="E683">
        <v>939</v>
      </c>
      <c r="F683" t="s">
        <v>5016</v>
      </c>
      <c r="G683" t="s">
        <v>5017</v>
      </c>
      <c r="H683" s="3">
        <v>0</v>
      </c>
      <c r="I683" s="3">
        <v>0</v>
      </c>
      <c r="J683" s="3">
        <v>0</v>
      </c>
      <c r="K683" s="3">
        <v>442.48</v>
      </c>
      <c r="L683" s="3">
        <v>0</v>
      </c>
      <c r="M683" s="3">
        <v>0</v>
      </c>
      <c r="N683" s="3">
        <v>0</v>
      </c>
      <c r="O683" s="3">
        <v>57.522400000000005</v>
      </c>
      <c r="P683" s="3">
        <v>500.00240000000002</v>
      </c>
      <c r="Q683" t="s">
        <v>8046</v>
      </c>
      <c r="R683" t="s">
        <v>8200</v>
      </c>
      <c r="S683" s="3" t="s">
        <v>8046</v>
      </c>
      <c r="T683" s="3">
        <v>0</v>
      </c>
    </row>
    <row r="684" spans="1:20" hidden="1" x14ac:dyDescent="0.25">
      <c r="A684" t="s">
        <v>8388</v>
      </c>
      <c r="B684" t="s">
        <v>8534</v>
      </c>
      <c r="C684" t="s">
        <v>1</v>
      </c>
      <c r="D684" t="s">
        <v>0</v>
      </c>
      <c r="E684">
        <v>3350</v>
      </c>
      <c r="F684" t="s">
        <v>8350</v>
      </c>
      <c r="G684" t="s">
        <v>8351</v>
      </c>
      <c r="H684" s="3">
        <v>0</v>
      </c>
      <c r="I684" s="3">
        <v>0</v>
      </c>
      <c r="J684" s="3">
        <v>0</v>
      </c>
      <c r="K684" s="3">
        <v>42.48</v>
      </c>
      <c r="L684" s="3">
        <v>0</v>
      </c>
      <c r="M684" s="3">
        <v>0</v>
      </c>
      <c r="N684" s="3">
        <v>0</v>
      </c>
      <c r="O684" s="3">
        <v>5.5224000000000002</v>
      </c>
      <c r="P684" s="3">
        <v>48.002399999999994</v>
      </c>
      <c r="Q684" t="s">
        <v>8046</v>
      </c>
      <c r="R684" t="s">
        <v>8200</v>
      </c>
      <c r="S684" s="3" t="s">
        <v>8046</v>
      </c>
      <c r="T684" s="3">
        <v>0</v>
      </c>
    </row>
    <row r="685" spans="1:20" hidden="1" x14ac:dyDescent="0.25">
      <c r="A685" t="s">
        <v>8388</v>
      </c>
      <c r="B685" t="s">
        <v>8534</v>
      </c>
      <c r="C685" t="s">
        <v>1</v>
      </c>
      <c r="D685" t="s">
        <v>0</v>
      </c>
      <c r="E685">
        <v>3325</v>
      </c>
      <c r="F685" t="s">
        <v>8350</v>
      </c>
      <c r="G685" t="s">
        <v>8351</v>
      </c>
      <c r="H685" s="3">
        <v>0</v>
      </c>
      <c r="I685" s="3">
        <v>0</v>
      </c>
      <c r="J685" s="3">
        <v>0</v>
      </c>
      <c r="K685" s="3">
        <v>593.05999999999995</v>
      </c>
      <c r="L685" s="3">
        <v>0</v>
      </c>
      <c r="M685" s="3">
        <v>0</v>
      </c>
      <c r="N685" s="3">
        <v>0</v>
      </c>
      <c r="O685" s="3">
        <v>77.097799999999992</v>
      </c>
      <c r="P685" s="3">
        <v>670.15779999999995</v>
      </c>
      <c r="Q685" t="s">
        <v>8046</v>
      </c>
      <c r="R685" t="s">
        <v>8200</v>
      </c>
      <c r="S685" s="3" t="s">
        <v>8046</v>
      </c>
      <c r="T685" s="3">
        <v>0</v>
      </c>
    </row>
    <row r="686" spans="1:20" hidden="1" x14ac:dyDescent="0.25">
      <c r="A686" t="s">
        <v>8388</v>
      </c>
      <c r="B686" t="s">
        <v>8534</v>
      </c>
      <c r="C686" t="s">
        <v>1</v>
      </c>
      <c r="D686" t="s">
        <v>0</v>
      </c>
      <c r="E686">
        <v>11949</v>
      </c>
      <c r="F686" t="s">
        <v>3074</v>
      </c>
      <c r="G686" t="s">
        <v>3075</v>
      </c>
      <c r="H686" s="3">
        <v>0</v>
      </c>
      <c r="I686" s="3">
        <v>0</v>
      </c>
      <c r="J686" s="3">
        <v>0</v>
      </c>
      <c r="K686" s="3">
        <v>2277</v>
      </c>
      <c r="L686" s="3">
        <v>0</v>
      </c>
      <c r="M686" s="3">
        <v>0</v>
      </c>
      <c r="N686" s="3">
        <v>0</v>
      </c>
      <c r="O686" s="3">
        <v>296.01</v>
      </c>
      <c r="P686" s="3">
        <v>2573.0100000000002</v>
      </c>
      <c r="Q686" t="s">
        <v>8046</v>
      </c>
      <c r="R686" t="s">
        <v>8200</v>
      </c>
      <c r="S686" s="3" t="s">
        <v>8370</v>
      </c>
      <c r="T686" s="3">
        <v>22.77</v>
      </c>
    </row>
    <row r="687" spans="1:20" hidden="1" x14ac:dyDescent="0.25">
      <c r="A687" t="s">
        <v>8388</v>
      </c>
      <c r="B687" t="s">
        <v>8534</v>
      </c>
      <c r="C687" t="s">
        <v>1</v>
      </c>
      <c r="D687" t="s">
        <v>0</v>
      </c>
      <c r="E687">
        <v>262778</v>
      </c>
      <c r="F687" t="s">
        <v>1620</v>
      </c>
      <c r="G687" t="s">
        <v>1621</v>
      </c>
      <c r="H687" s="3">
        <v>2.73</v>
      </c>
      <c r="I687" s="3">
        <v>0</v>
      </c>
      <c r="J687" s="3">
        <v>0</v>
      </c>
      <c r="K687" s="3">
        <v>49.8</v>
      </c>
      <c r="L687" s="3">
        <v>0</v>
      </c>
      <c r="M687" s="3">
        <v>0</v>
      </c>
      <c r="N687" s="3">
        <v>0</v>
      </c>
      <c r="O687" s="3">
        <v>6.4740000000000002</v>
      </c>
      <c r="P687" s="3">
        <v>59.003999999999991</v>
      </c>
      <c r="Q687" t="s">
        <v>8046</v>
      </c>
      <c r="R687" t="s">
        <v>8200</v>
      </c>
      <c r="S687" s="3" t="s">
        <v>8046</v>
      </c>
      <c r="T687" s="3">
        <v>0</v>
      </c>
    </row>
    <row r="688" spans="1:20" hidden="1" x14ac:dyDescent="0.25">
      <c r="A688" t="s">
        <v>8388</v>
      </c>
      <c r="B688" t="s">
        <v>8518</v>
      </c>
      <c r="C688" t="s">
        <v>1</v>
      </c>
      <c r="D688" t="s">
        <v>0</v>
      </c>
      <c r="E688">
        <v>64247</v>
      </c>
      <c r="F688" t="s">
        <v>1670</v>
      </c>
      <c r="G688" t="s">
        <v>1671</v>
      </c>
      <c r="H688" s="3">
        <v>1.86</v>
      </c>
      <c r="I688" s="3">
        <v>0</v>
      </c>
      <c r="J688" s="3">
        <v>0</v>
      </c>
      <c r="K688" s="3">
        <v>33.75</v>
      </c>
      <c r="L688" s="3">
        <v>0</v>
      </c>
      <c r="M688" s="3">
        <v>0</v>
      </c>
      <c r="N688" s="3">
        <v>0</v>
      </c>
      <c r="O688" s="3">
        <v>4.3875000000000002</v>
      </c>
      <c r="P688" s="3">
        <v>39.997500000000002</v>
      </c>
      <c r="Q688" t="s">
        <v>8046</v>
      </c>
      <c r="R688" t="s">
        <v>8200</v>
      </c>
      <c r="S688" s="3" t="s">
        <v>8046</v>
      </c>
      <c r="T688" s="3">
        <v>0</v>
      </c>
    </row>
    <row r="689" spans="1:20" hidden="1" x14ac:dyDescent="0.25">
      <c r="A689" t="s">
        <v>8388</v>
      </c>
      <c r="B689" t="s">
        <v>8518</v>
      </c>
      <c r="C689" t="s">
        <v>1</v>
      </c>
      <c r="D689" t="s">
        <v>0</v>
      </c>
      <c r="E689">
        <v>432877</v>
      </c>
      <c r="F689" t="s">
        <v>3587</v>
      </c>
      <c r="G689" t="s">
        <v>3588</v>
      </c>
      <c r="H689" s="3">
        <v>0</v>
      </c>
      <c r="I689" s="3">
        <v>0</v>
      </c>
      <c r="J689" s="3">
        <v>0</v>
      </c>
      <c r="K689" s="3">
        <v>246.9</v>
      </c>
      <c r="L689" s="3">
        <v>0</v>
      </c>
      <c r="M689" s="3">
        <v>0</v>
      </c>
      <c r="N689" s="3">
        <v>0</v>
      </c>
      <c r="O689" s="3">
        <v>32.097000000000001</v>
      </c>
      <c r="P689" s="3">
        <v>278.99700000000001</v>
      </c>
      <c r="Q689" t="s">
        <v>8046</v>
      </c>
      <c r="R689" t="s">
        <v>8200</v>
      </c>
      <c r="S689" s="3" t="s">
        <v>8046</v>
      </c>
      <c r="T689" s="3">
        <v>0</v>
      </c>
    </row>
    <row r="690" spans="1:20" hidden="1" x14ac:dyDescent="0.25">
      <c r="A690" t="s">
        <v>8388</v>
      </c>
      <c r="B690" t="s">
        <v>8518</v>
      </c>
      <c r="C690" t="s">
        <v>1</v>
      </c>
      <c r="D690" t="s">
        <v>0</v>
      </c>
      <c r="E690">
        <v>1979</v>
      </c>
      <c r="F690" t="s">
        <v>1571</v>
      </c>
      <c r="G690" t="s">
        <v>1572</v>
      </c>
      <c r="H690" s="3">
        <v>0</v>
      </c>
      <c r="I690" s="3">
        <v>0</v>
      </c>
      <c r="J690" s="3">
        <v>0</v>
      </c>
      <c r="K690" s="3">
        <v>61.06</v>
      </c>
      <c r="L690" s="3">
        <v>0</v>
      </c>
      <c r="M690" s="3">
        <v>0</v>
      </c>
      <c r="N690" s="3">
        <v>0</v>
      </c>
      <c r="O690" s="3">
        <v>7.9378000000000002</v>
      </c>
      <c r="P690" s="3">
        <v>68.997799999999998</v>
      </c>
      <c r="Q690" t="s">
        <v>8046</v>
      </c>
      <c r="R690" t="s">
        <v>8200</v>
      </c>
      <c r="S690" s="3" t="s">
        <v>8046</v>
      </c>
      <c r="T690" s="3">
        <v>0</v>
      </c>
    </row>
    <row r="691" spans="1:20" hidden="1" x14ac:dyDescent="0.25">
      <c r="A691" t="s">
        <v>8388</v>
      </c>
      <c r="B691" t="s">
        <v>8518</v>
      </c>
      <c r="C691" t="s">
        <v>1</v>
      </c>
      <c r="D691" t="s">
        <v>8333</v>
      </c>
      <c r="E691">
        <v>260116</v>
      </c>
      <c r="F691" t="s">
        <v>1576</v>
      </c>
      <c r="G691" t="s">
        <v>1577</v>
      </c>
      <c r="H691" s="3">
        <v>0</v>
      </c>
      <c r="I691" s="3">
        <v>0</v>
      </c>
      <c r="J691" s="3">
        <v>0</v>
      </c>
      <c r="K691" s="3">
        <v>141.94</v>
      </c>
      <c r="L691" s="3">
        <v>0</v>
      </c>
      <c r="M691" s="3">
        <v>0</v>
      </c>
      <c r="N691" s="3">
        <v>0</v>
      </c>
      <c r="O691" s="3">
        <v>18.452200000000001</v>
      </c>
      <c r="P691" s="3">
        <v>160.3922</v>
      </c>
      <c r="Q691" t="s">
        <v>8046</v>
      </c>
      <c r="R691" t="s">
        <v>8200</v>
      </c>
      <c r="S691" s="3" t="s">
        <v>8046</v>
      </c>
      <c r="T691" s="3">
        <v>0</v>
      </c>
    </row>
    <row r="692" spans="1:20" hidden="1" x14ac:dyDescent="0.25">
      <c r="A692" t="s">
        <v>8388</v>
      </c>
      <c r="B692" t="s">
        <v>8521</v>
      </c>
      <c r="C692" t="s">
        <v>1</v>
      </c>
      <c r="D692" t="s">
        <v>0</v>
      </c>
      <c r="E692">
        <v>3968137</v>
      </c>
      <c r="F692" t="s">
        <v>39</v>
      </c>
      <c r="G692" t="s">
        <v>1596</v>
      </c>
      <c r="H692" s="3">
        <v>1.69</v>
      </c>
      <c r="I692" s="3">
        <v>0</v>
      </c>
      <c r="J692" s="3">
        <v>0</v>
      </c>
      <c r="K692" s="3">
        <v>29.48</v>
      </c>
      <c r="L692" s="3">
        <v>0</v>
      </c>
      <c r="M692" s="3">
        <v>0</v>
      </c>
      <c r="N692" s="3">
        <v>0</v>
      </c>
      <c r="O692" s="3">
        <v>3.8324000000000003</v>
      </c>
      <c r="P692" s="3">
        <v>35.002400000000002</v>
      </c>
      <c r="Q692" t="s">
        <v>8046</v>
      </c>
      <c r="R692" t="s">
        <v>8200</v>
      </c>
      <c r="S692" s="3" t="s">
        <v>8046</v>
      </c>
      <c r="T692" s="3">
        <v>0</v>
      </c>
    </row>
    <row r="693" spans="1:20" hidden="1" x14ac:dyDescent="0.25">
      <c r="A693" t="s">
        <v>8388</v>
      </c>
      <c r="B693" t="s">
        <v>8521</v>
      </c>
      <c r="C693" t="s">
        <v>1</v>
      </c>
      <c r="D693" t="s">
        <v>0</v>
      </c>
      <c r="E693">
        <v>661</v>
      </c>
      <c r="F693" t="s">
        <v>8596</v>
      </c>
      <c r="G693" t="s">
        <v>8597</v>
      </c>
      <c r="H693" s="3">
        <v>0</v>
      </c>
      <c r="I693" s="3">
        <v>0</v>
      </c>
      <c r="J693" s="3">
        <v>0</v>
      </c>
      <c r="K693" s="3">
        <v>70.8</v>
      </c>
      <c r="L693" s="3">
        <v>0</v>
      </c>
      <c r="M693" s="3">
        <v>0</v>
      </c>
      <c r="N693" s="3">
        <v>0</v>
      </c>
      <c r="O693" s="3">
        <v>9.2040000000000006</v>
      </c>
      <c r="P693" s="3">
        <v>80.003999999999991</v>
      </c>
      <c r="Q693" t="s">
        <v>8046</v>
      </c>
      <c r="R693" t="s">
        <v>8200</v>
      </c>
      <c r="S693" s="3" t="s">
        <v>8046</v>
      </c>
      <c r="T693" s="3">
        <v>0</v>
      </c>
    </row>
    <row r="694" spans="1:20" hidden="1" x14ac:dyDescent="0.25">
      <c r="A694" t="s">
        <v>8388</v>
      </c>
      <c r="B694" t="s">
        <v>8521</v>
      </c>
      <c r="C694" t="s">
        <v>1</v>
      </c>
      <c r="D694" t="s">
        <v>0</v>
      </c>
      <c r="E694">
        <v>26165</v>
      </c>
      <c r="F694" t="s">
        <v>2897</v>
      </c>
      <c r="G694" t="s">
        <v>2898</v>
      </c>
      <c r="H694" s="3">
        <v>1.67</v>
      </c>
      <c r="I694" s="3">
        <v>0</v>
      </c>
      <c r="J694" s="3">
        <v>0</v>
      </c>
      <c r="K694" s="3">
        <v>29.5</v>
      </c>
      <c r="L694" s="3">
        <v>0</v>
      </c>
      <c r="M694" s="3">
        <v>0</v>
      </c>
      <c r="N694" s="3">
        <v>0</v>
      </c>
      <c r="O694" s="3">
        <v>3.835</v>
      </c>
      <c r="P694" s="3">
        <v>35.005000000000003</v>
      </c>
      <c r="Q694" t="s">
        <v>8046</v>
      </c>
      <c r="R694" t="s">
        <v>8200</v>
      </c>
      <c r="S694" s="3" t="s">
        <v>8046</v>
      </c>
      <c r="T694" s="3">
        <v>0</v>
      </c>
    </row>
    <row r="695" spans="1:20" hidden="1" x14ac:dyDescent="0.25">
      <c r="A695" t="s">
        <v>8388</v>
      </c>
      <c r="B695" t="s">
        <v>8521</v>
      </c>
      <c r="C695" t="s">
        <v>1</v>
      </c>
      <c r="D695" t="s">
        <v>0</v>
      </c>
      <c r="E695">
        <v>1433596</v>
      </c>
      <c r="F695" t="s">
        <v>1576</v>
      </c>
      <c r="G695" t="s">
        <v>1577</v>
      </c>
      <c r="H695" s="3">
        <v>0</v>
      </c>
      <c r="I695" s="3">
        <v>0</v>
      </c>
      <c r="J695" s="3">
        <v>0</v>
      </c>
      <c r="K695" s="3">
        <v>210.96</v>
      </c>
      <c r="L695" s="3">
        <v>0</v>
      </c>
      <c r="M695" s="3">
        <v>0</v>
      </c>
      <c r="N695" s="3">
        <v>0</v>
      </c>
      <c r="O695" s="3">
        <v>27.424800000000001</v>
      </c>
      <c r="P695" s="3">
        <v>238.38480000000001</v>
      </c>
      <c r="Q695" t="s">
        <v>8046</v>
      </c>
      <c r="R695" t="s">
        <v>8200</v>
      </c>
      <c r="S695" s="3" t="s">
        <v>8345</v>
      </c>
      <c r="T695" s="3">
        <v>2.11</v>
      </c>
    </row>
    <row r="696" spans="1:20" hidden="1" x14ac:dyDescent="0.25">
      <c r="A696" t="s">
        <v>8388</v>
      </c>
      <c r="B696" t="s">
        <v>8521</v>
      </c>
      <c r="C696" t="s">
        <v>1</v>
      </c>
      <c r="D696" t="s">
        <v>0</v>
      </c>
      <c r="E696">
        <v>973368</v>
      </c>
      <c r="F696" t="s">
        <v>2440</v>
      </c>
      <c r="G696" t="s">
        <v>2441</v>
      </c>
      <c r="H696" s="3">
        <v>0</v>
      </c>
      <c r="I696" s="3">
        <v>0</v>
      </c>
      <c r="J696" s="3">
        <v>0</v>
      </c>
      <c r="K696" s="3">
        <v>115.04</v>
      </c>
      <c r="L696" s="3">
        <v>0</v>
      </c>
      <c r="M696" s="3">
        <v>0</v>
      </c>
      <c r="N696" s="3">
        <v>0</v>
      </c>
      <c r="O696" s="3">
        <v>14.955200000000001</v>
      </c>
      <c r="P696" s="3">
        <v>129.99520000000001</v>
      </c>
      <c r="Q696" t="s">
        <v>8046</v>
      </c>
      <c r="R696" t="s">
        <v>8200</v>
      </c>
      <c r="S696" s="3" t="s">
        <v>8359</v>
      </c>
      <c r="T696" s="3">
        <v>1.1499999999999999</v>
      </c>
    </row>
    <row r="697" spans="1:20" hidden="1" x14ac:dyDescent="0.25">
      <c r="A697" t="s">
        <v>8388</v>
      </c>
      <c r="B697" t="s">
        <v>8521</v>
      </c>
      <c r="C697" t="s">
        <v>1</v>
      </c>
      <c r="D697" t="s">
        <v>0</v>
      </c>
      <c r="E697">
        <v>1433415</v>
      </c>
      <c r="F697" t="s">
        <v>1576</v>
      </c>
      <c r="G697" t="s">
        <v>1577</v>
      </c>
      <c r="H697" s="3">
        <v>0</v>
      </c>
      <c r="I697" s="3">
        <v>0</v>
      </c>
      <c r="J697" s="3">
        <v>0</v>
      </c>
      <c r="K697" s="3">
        <v>73.31</v>
      </c>
      <c r="L697" s="3">
        <v>0</v>
      </c>
      <c r="M697" s="3">
        <v>0</v>
      </c>
      <c r="N697" s="3">
        <v>0</v>
      </c>
      <c r="O697" s="3">
        <v>9.5303000000000004</v>
      </c>
      <c r="P697" s="3">
        <v>82.840299999999999</v>
      </c>
      <c r="Q697" t="s">
        <v>8046</v>
      </c>
      <c r="R697" t="s">
        <v>8200</v>
      </c>
      <c r="S697" s="3"/>
      <c r="T697" s="3">
        <v>0</v>
      </c>
    </row>
    <row r="698" spans="1:20" hidden="1" x14ac:dyDescent="0.25">
      <c r="A698" t="s">
        <v>8388</v>
      </c>
      <c r="B698" t="s">
        <v>8535</v>
      </c>
      <c r="C698" t="s">
        <v>1</v>
      </c>
      <c r="D698" t="s">
        <v>0</v>
      </c>
      <c r="E698">
        <v>37749</v>
      </c>
      <c r="F698" t="s">
        <v>2436</v>
      </c>
      <c r="G698" t="s">
        <v>2437</v>
      </c>
      <c r="H698" s="3">
        <v>0</v>
      </c>
      <c r="I698" s="3">
        <v>0</v>
      </c>
      <c r="J698" s="3">
        <v>0</v>
      </c>
      <c r="K698" s="3">
        <v>517.37</v>
      </c>
      <c r="L698" s="3">
        <v>0</v>
      </c>
      <c r="M698" s="3">
        <v>0</v>
      </c>
      <c r="N698" s="3">
        <v>0</v>
      </c>
      <c r="O698" s="3">
        <v>67.258099999999999</v>
      </c>
      <c r="P698" s="3">
        <v>584.62810000000002</v>
      </c>
      <c r="Q698" t="s">
        <v>8046</v>
      </c>
      <c r="R698" t="s">
        <v>8200</v>
      </c>
      <c r="S698" s="3" t="s">
        <v>8359</v>
      </c>
      <c r="T698" s="3">
        <v>5.17</v>
      </c>
    </row>
    <row r="699" spans="1:20" hidden="1" x14ac:dyDescent="0.25">
      <c r="A699" t="s">
        <v>8388</v>
      </c>
      <c r="B699" t="s">
        <v>8535</v>
      </c>
      <c r="C699" t="s">
        <v>1</v>
      </c>
      <c r="D699" t="s">
        <v>0</v>
      </c>
      <c r="E699">
        <v>37747</v>
      </c>
      <c r="F699" t="s">
        <v>2436</v>
      </c>
      <c r="G699" t="s">
        <v>2437</v>
      </c>
      <c r="H699" s="3">
        <v>0</v>
      </c>
      <c r="I699" s="3">
        <v>0</v>
      </c>
      <c r="J699" s="3">
        <v>0</v>
      </c>
      <c r="K699" s="3">
        <v>349.56</v>
      </c>
      <c r="L699" s="3">
        <v>0</v>
      </c>
      <c r="M699" s="3">
        <v>0</v>
      </c>
      <c r="N699" s="3">
        <v>0</v>
      </c>
      <c r="O699" s="3">
        <v>45.442799999999998</v>
      </c>
      <c r="P699" s="3">
        <v>395.00279999999998</v>
      </c>
      <c r="Q699" t="s">
        <v>8046</v>
      </c>
      <c r="R699" t="s">
        <v>8200</v>
      </c>
      <c r="S699" s="3" t="s">
        <v>8359</v>
      </c>
      <c r="T699" s="3">
        <v>3.5</v>
      </c>
    </row>
    <row r="700" spans="1:20" hidden="1" x14ac:dyDescent="0.25">
      <c r="A700" t="s">
        <v>8388</v>
      </c>
      <c r="B700" t="s">
        <v>8535</v>
      </c>
      <c r="C700" t="s">
        <v>1</v>
      </c>
      <c r="D700" t="s">
        <v>0</v>
      </c>
      <c r="E700">
        <v>37748</v>
      </c>
      <c r="F700" t="s">
        <v>2436</v>
      </c>
      <c r="G700" t="s">
        <v>2437</v>
      </c>
      <c r="H700" s="3">
        <v>0</v>
      </c>
      <c r="I700" s="3">
        <v>0</v>
      </c>
      <c r="J700" s="3">
        <v>0</v>
      </c>
      <c r="K700" s="3">
        <v>68.81</v>
      </c>
      <c r="L700" s="3">
        <v>0</v>
      </c>
      <c r="M700" s="3">
        <v>0</v>
      </c>
      <c r="N700" s="3">
        <v>0</v>
      </c>
      <c r="O700" s="3">
        <v>8.9453000000000014</v>
      </c>
      <c r="P700" s="3">
        <v>77.755300000000005</v>
      </c>
      <c r="Q700" t="s">
        <v>8046</v>
      </c>
      <c r="R700" t="s">
        <v>8200</v>
      </c>
      <c r="S700" s="3" t="s">
        <v>8046</v>
      </c>
      <c r="T700" s="3">
        <v>0</v>
      </c>
    </row>
    <row r="701" spans="1:20" hidden="1" x14ac:dyDescent="0.25">
      <c r="A701" t="s">
        <v>8388</v>
      </c>
      <c r="B701" t="s">
        <v>8535</v>
      </c>
      <c r="C701" t="s">
        <v>1</v>
      </c>
      <c r="D701" t="s">
        <v>0</v>
      </c>
      <c r="E701">
        <v>204480</v>
      </c>
      <c r="F701" t="s">
        <v>2701</v>
      </c>
      <c r="G701" t="s">
        <v>2702</v>
      </c>
      <c r="H701" s="3">
        <v>0</v>
      </c>
      <c r="I701" s="3">
        <v>0</v>
      </c>
      <c r="J701" s="3">
        <v>0</v>
      </c>
      <c r="K701" s="3">
        <v>178.4</v>
      </c>
      <c r="L701" s="3">
        <v>0</v>
      </c>
      <c r="M701" s="3">
        <v>0</v>
      </c>
      <c r="N701" s="3">
        <v>0</v>
      </c>
      <c r="O701" s="3">
        <v>23.192</v>
      </c>
      <c r="P701" s="3">
        <v>201.59200000000001</v>
      </c>
      <c r="Q701" t="s">
        <v>8046</v>
      </c>
      <c r="R701" t="s">
        <v>8200</v>
      </c>
      <c r="S701" s="3" t="s">
        <v>8345</v>
      </c>
      <c r="T701" s="3">
        <v>1.78</v>
      </c>
    </row>
    <row r="702" spans="1:20" hidden="1" x14ac:dyDescent="0.25">
      <c r="A702" t="s">
        <v>8388</v>
      </c>
      <c r="B702" t="s">
        <v>8535</v>
      </c>
      <c r="C702" t="s">
        <v>1</v>
      </c>
      <c r="D702" t="s">
        <v>0</v>
      </c>
      <c r="E702">
        <v>55940</v>
      </c>
      <c r="F702" t="s">
        <v>8595</v>
      </c>
      <c r="G702" t="s">
        <v>8601</v>
      </c>
      <c r="H702" s="3">
        <v>0</v>
      </c>
      <c r="I702" s="3">
        <v>0</v>
      </c>
      <c r="J702" s="3">
        <v>0</v>
      </c>
      <c r="K702" s="3">
        <v>73.02</v>
      </c>
      <c r="L702" s="3">
        <v>0</v>
      </c>
      <c r="M702" s="3">
        <v>0</v>
      </c>
      <c r="N702" s="3">
        <v>0</v>
      </c>
      <c r="O702" s="3">
        <v>9.4925999999999995</v>
      </c>
      <c r="P702" s="3">
        <v>82.512599999999992</v>
      </c>
      <c r="Q702" t="s">
        <v>8046</v>
      </c>
      <c r="R702" t="s">
        <v>8200</v>
      </c>
      <c r="S702" s="3" t="s">
        <v>8046</v>
      </c>
      <c r="T702" s="3">
        <v>0</v>
      </c>
    </row>
    <row r="703" spans="1:20" hidden="1" x14ac:dyDescent="0.25">
      <c r="A703" t="s">
        <v>8388</v>
      </c>
      <c r="B703" t="s">
        <v>8535</v>
      </c>
      <c r="C703" t="s">
        <v>1</v>
      </c>
      <c r="D703" t="s">
        <v>0</v>
      </c>
      <c r="E703">
        <v>8555</v>
      </c>
      <c r="F703" t="s">
        <v>1200</v>
      </c>
      <c r="G703" t="s">
        <v>1201</v>
      </c>
      <c r="H703" s="3">
        <v>0</v>
      </c>
      <c r="I703" s="3">
        <v>0</v>
      </c>
      <c r="J703" s="3">
        <v>0</v>
      </c>
      <c r="K703" s="3">
        <v>10068.540000000001</v>
      </c>
      <c r="L703" s="3">
        <v>0</v>
      </c>
      <c r="M703" s="3">
        <v>0</v>
      </c>
      <c r="N703" s="3">
        <v>0</v>
      </c>
      <c r="O703" s="3">
        <v>1308.9102000000003</v>
      </c>
      <c r="P703" s="3">
        <v>11377.450200000001</v>
      </c>
      <c r="Q703" t="s">
        <v>8046</v>
      </c>
      <c r="R703" t="s">
        <v>8200</v>
      </c>
      <c r="S703" s="3" t="s">
        <v>8358</v>
      </c>
      <c r="T703" s="3">
        <v>100.69</v>
      </c>
    </row>
    <row r="704" spans="1:20" hidden="1" x14ac:dyDescent="0.25">
      <c r="A704" t="s">
        <v>8388</v>
      </c>
      <c r="B704" t="s">
        <v>8535</v>
      </c>
      <c r="C704" t="s">
        <v>1</v>
      </c>
      <c r="D704" t="s">
        <v>0</v>
      </c>
      <c r="E704">
        <v>3620</v>
      </c>
      <c r="F704" t="s">
        <v>5384</v>
      </c>
      <c r="G704" t="s">
        <v>5385</v>
      </c>
      <c r="H704" s="3">
        <v>0</v>
      </c>
      <c r="I704" s="3">
        <v>0</v>
      </c>
      <c r="J704" s="3">
        <v>0</v>
      </c>
      <c r="K704" s="3">
        <v>265.70999999999998</v>
      </c>
      <c r="L704" s="3">
        <v>0</v>
      </c>
      <c r="M704" s="3">
        <v>0</v>
      </c>
      <c r="N704" s="3">
        <v>0</v>
      </c>
      <c r="O704" s="3">
        <v>34.542299999999997</v>
      </c>
      <c r="P704" s="3">
        <v>300.25229999999999</v>
      </c>
      <c r="Q704" t="s">
        <v>8046</v>
      </c>
      <c r="R704" t="s">
        <v>8200</v>
      </c>
      <c r="S704" s="3" t="s">
        <v>8046</v>
      </c>
      <c r="T704" s="3">
        <v>0</v>
      </c>
    </row>
    <row r="705" spans="1:20" hidden="1" x14ac:dyDescent="0.25">
      <c r="A705" t="s">
        <v>8388</v>
      </c>
      <c r="B705" t="s">
        <v>8535</v>
      </c>
      <c r="C705" t="s">
        <v>1</v>
      </c>
      <c r="D705" t="s">
        <v>0</v>
      </c>
      <c r="E705">
        <v>204454</v>
      </c>
      <c r="F705" t="s">
        <v>1646</v>
      </c>
      <c r="G705" t="s">
        <v>1647</v>
      </c>
      <c r="H705" s="3">
        <v>0</v>
      </c>
      <c r="I705" s="3">
        <v>0</v>
      </c>
      <c r="J705" s="3">
        <v>0</v>
      </c>
      <c r="K705" s="3">
        <v>131</v>
      </c>
      <c r="L705" s="3">
        <v>0</v>
      </c>
      <c r="M705" s="3">
        <v>0</v>
      </c>
      <c r="N705" s="3">
        <v>0</v>
      </c>
      <c r="O705" s="3">
        <v>17.03</v>
      </c>
      <c r="P705" s="3">
        <v>148.03</v>
      </c>
      <c r="Q705" t="s">
        <v>8046</v>
      </c>
      <c r="R705" t="s">
        <v>8200</v>
      </c>
      <c r="S705" s="3" t="s">
        <v>8360</v>
      </c>
      <c r="T705" s="3">
        <v>1.31</v>
      </c>
    </row>
    <row r="706" spans="1:20" hidden="1" x14ac:dyDescent="0.25">
      <c r="A706" t="s">
        <v>8388</v>
      </c>
      <c r="B706" t="s">
        <v>8535</v>
      </c>
      <c r="C706" t="s">
        <v>1</v>
      </c>
      <c r="D706" t="s">
        <v>0</v>
      </c>
      <c r="E706">
        <v>973245</v>
      </c>
      <c r="F706" t="s">
        <v>2440</v>
      </c>
      <c r="G706" t="s">
        <v>2441</v>
      </c>
      <c r="H706" s="3">
        <v>0</v>
      </c>
      <c r="I706" s="3">
        <v>0</v>
      </c>
      <c r="J706" s="3">
        <v>0</v>
      </c>
      <c r="K706" s="3">
        <v>712.09</v>
      </c>
      <c r="L706" s="3">
        <v>0</v>
      </c>
      <c r="M706" s="3">
        <v>0</v>
      </c>
      <c r="N706" s="3">
        <v>0</v>
      </c>
      <c r="O706" s="3">
        <v>92.571700000000007</v>
      </c>
      <c r="P706" s="3">
        <v>804.6617</v>
      </c>
      <c r="Q706" t="s">
        <v>8046</v>
      </c>
      <c r="R706" t="s">
        <v>8200</v>
      </c>
      <c r="S706" s="3" t="s">
        <v>8359</v>
      </c>
      <c r="T706" s="3">
        <v>7.12</v>
      </c>
    </row>
    <row r="707" spans="1:20" hidden="1" x14ac:dyDescent="0.25">
      <c r="A707" t="s">
        <v>8388</v>
      </c>
      <c r="B707" t="s">
        <v>8535</v>
      </c>
      <c r="C707" t="s">
        <v>1</v>
      </c>
      <c r="D707" t="s">
        <v>0</v>
      </c>
      <c r="E707">
        <v>1432781</v>
      </c>
      <c r="F707" t="s">
        <v>1576</v>
      </c>
      <c r="G707" t="s">
        <v>1577</v>
      </c>
      <c r="H707" s="3">
        <v>0</v>
      </c>
      <c r="I707" s="3">
        <v>0</v>
      </c>
      <c r="J707" s="3">
        <v>0</v>
      </c>
      <c r="K707" s="3">
        <v>995.5</v>
      </c>
      <c r="L707" s="3">
        <v>0</v>
      </c>
      <c r="M707" s="3">
        <v>0</v>
      </c>
      <c r="N707" s="3">
        <v>0</v>
      </c>
      <c r="O707" s="3">
        <v>129.41499999999999</v>
      </c>
      <c r="P707" s="3">
        <v>1124.915</v>
      </c>
      <c r="Q707" t="s">
        <v>8046</v>
      </c>
      <c r="R707" t="s">
        <v>8200</v>
      </c>
      <c r="S707" s="3" t="s">
        <v>8345</v>
      </c>
      <c r="T707" s="3">
        <v>9.9600000000000009</v>
      </c>
    </row>
    <row r="708" spans="1:20" hidden="1" x14ac:dyDescent="0.25">
      <c r="A708" t="s">
        <v>8388</v>
      </c>
      <c r="B708" t="s">
        <v>8535</v>
      </c>
      <c r="C708" t="s">
        <v>1</v>
      </c>
      <c r="D708" t="s">
        <v>0</v>
      </c>
      <c r="E708">
        <v>550370</v>
      </c>
      <c r="F708" t="s">
        <v>1546</v>
      </c>
      <c r="G708" t="s">
        <v>1547</v>
      </c>
      <c r="H708" s="3">
        <v>0.97</v>
      </c>
      <c r="I708" s="3">
        <v>0</v>
      </c>
      <c r="J708" s="3">
        <v>0</v>
      </c>
      <c r="K708" s="3">
        <v>16.84</v>
      </c>
      <c r="L708" s="3">
        <v>0</v>
      </c>
      <c r="M708" s="3">
        <v>0</v>
      </c>
      <c r="N708" s="3">
        <v>0</v>
      </c>
      <c r="O708" s="3">
        <v>2.1892</v>
      </c>
      <c r="P708" s="3">
        <v>19.999199999999998</v>
      </c>
      <c r="Q708" t="s">
        <v>8046</v>
      </c>
      <c r="R708" t="s">
        <v>8200</v>
      </c>
      <c r="S708" s="3" t="s">
        <v>8046</v>
      </c>
      <c r="T708" s="3">
        <v>0</v>
      </c>
    </row>
    <row r="709" spans="1:20" hidden="1" x14ac:dyDescent="0.25">
      <c r="A709" t="s">
        <v>8388</v>
      </c>
      <c r="B709" t="s">
        <v>8535</v>
      </c>
      <c r="C709" t="s">
        <v>1</v>
      </c>
      <c r="D709" t="s">
        <v>0</v>
      </c>
      <c r="E709">
        <v>1030</v>
      </c>
      <c r="F709" t="s">
        <v>1661</v>
      </c>
      <c r="G709" t="s">
        <v>1662</v>
      </c>
      <c r="H709" s="3">
        <v>0</v>
      </c>
      <c r="I709" s="3">
        <v>0</v>
      </c>
      <c r="J709" s="3">
        <v>0</v>
      </c>
      <c r="K709" s="3">
        <v>147.43</v>
      </c>
      <c r="L709" s="3">
        <v>0</v>
      </c>
      <c r="M709" s="3">
        <v>0</v>
      </c>
      <c r="N709" s="3">
        <v>0</v>
      </c>
      <c r="O709" s="3">
        <v>19.165900000000001</v>
      </c>
      <c r="P709" s="3">
        <v>166.5959</v>
      </c>
      <c r="Q709" t="s">
        <v>8046</v>
      </c>
      <c r="R709" t="s">
        <v>8200</v>
      </c>
      <c r="S709" s="3" t="s">
        <v>8046</v>
      </c>
      <c r="T709" s="3">
        <v>0</v>
      </c>
    </row>
    <row r="710" spans="1:20" hidden="1" x14ac:dyDescent="0.25">
      <c r="A710" t="s">
        <v>8388</v>
      </c>
      <c r="B710" t="s">
        <v>8535</v>
      </c>
      <c r="C710" t="s">
        <v>1</v>
      </c>
      <c r="D710" t="s">
        <v>0</v>
      </c>
      <c r="E710">
        <v>2286</v>
      </c>
      <c r="F710" t="s">
        <v>7877</v>
      </c>
      <c r="G710" t="s">
        <v>7878</v>
      </c>
      <c r="H710" s="3">
        <v>0</v>
      </c>
      <c r="I710" s="3">
        <v>0</v>
      </c>
      <c r="J710" s="3">
        <v>0</v>
      </c>
      <c r="K710" s="3">
        <v>84.04</v>
      </c>
      <c r="L710" s="3">
        <v>0</v>
      </c>
      <c r="M710" s="3">
        <v>0</v>
      </c>
      <c r="N710" s="3">
        <v>0</v>
      </c>
      <c r="O710" s="3">
        <v>10.925200000000002</v>
      </c>
      <c r="P710" s="3">
        <v>94.96520000000001</v>
      </c>
      <c r="Q710" t="s">
        <v>8046</v>
      </c>
      <c r="R710" t="s">
        <v>8200</v>
      </c>
      <c r="S710" s="3" t="s">
        <v>8046</v>
      </c>
      <c r="T710" s="3">
        <v>0</v>
      </c>
    </row>
    <row r="711" spans="1:20" hidden="1" x14ac:dyDescent="0.25">
      <c r="A711" t="s">
        <v>8388</v>
      </c>
      <c r="B711" t="s">
        <v>8535</v>
      </c>
      <c r="C711" t="s">
        <v>1</v>
      </c>
      <c r="D711" t="s">
        <v>0</v>
      </c>
      <c r="E711">
        <v>4004</v>
      </c>
      <c r="F711" t="s">
        <v>7877</v>
      </c>
      <c r="G711" t="s">
        <v>7878</v>
      </c>
      <c r="H711" s="3">
        <v>0</v>
      </c>
      <c r="I711" s="3">
        <v>0</v>
      </c>
      <c r="J711" s="3">
        <v>0</v>
      </c>
      <c r="K711" s="3">
        <v>8</v>
      </c>
      <c r="L711" s="3">
        <v>0</v>
      </c>
      <c r="M711" s="3">
        <v>0</v>
      </c>
      <c r="N711" s="3">
        <v>0</v>
      </c>
      <c r="O711" s="3">
        <v>1.04</v>
      </c>
      <c r="P711" s="3">
        <v>9.0399999999999991</v>
      </c>
      <c r="Q711" t="s">
        <v>8046</v>
      </c>
      <c r="R711" t="s">
        <v>8200</v>
      </c>
      <c r="S711" s="3" t="s">
        <v>8046</v>
      </c>
      <c r="T711" s="3">
        <v>0</v>
      </c>
    </row>
    <row r="712" spans="1:20" hidden="1" x14ac:dyDescent="0.25">
      <c r="A712" t="s">
        <v>8388</v>
      </c>
      <c r="B712" t="s">
        <v>8535</v>
      </c>
      <c r="C712" t="s">
        <v>1</v>
      </c>
      <c r="D712" t="s">
        <v>0</v>
      </c>
      <c r="E712">
        <v>4003</v>
      </c>
      <c r="F712" t="s">
        <v>7877</v>
      </c>
      <c r="G712" t="s">
        <v>7878</v>
      </c>
      <c r="H712" s="3">
        <v>0</v>
      </c>
      <c r="I712" s="3">
        <v>0</v>
      </c>
      <c r="J712" s="3">
        <v>0</v>
      </c>
      <c r="K712" s="3">
        <v>8</v>
      </c>
      <c r="L712" s="3">
        <v>0</v>
      </c>
      <c r="M712" s="3">
        <v>0</v>
      </c>
      <c r="N712" s="3">
        <v>0</v>
      </c>
      <c r="O712" s="3">
        <v>1.04</v>
      </c>
      <c r="P712" s="3">
        <v>9.0399999999999991</v>
      </c>
      <c r="Q712" t="s">
        <v>8046</v>
      </c>
      <c r="R712" t="s">
        <v>8200</v>
      </c>
      <c r="S712" s="3" t="s">
        <v>8046</v>
      </c>
      <c r="T712" s="3">
        <v>0</v>
      </c>
    </row>
    <row r="713" spans="1:20" hidden="1" x14ac:dyDescent="0.25">
      <c r="A713" t="s">
        <v>8388</v>
      </c>
      <c r="B713" t="s">
        <v>8535</v>
      </c>
      <c r="C713" t="s">
        <v>1</v>
      </c>
      <c r="D713" t="s">
        <v>0</v>
      </c>
      <c r="E713">
        <v>402</v>
      </c>
      <c r="F713" t="s">
        <v>7846</v>
      </c>
      <c r="G713" t="s">
        <v>7847</v>
      </c>
      <c r="H713" s="3">
        <v>0</v>
      </c>
      <c r="I713" s="3">
        <v>0</v>
      </c>
      <c r="J713" s="3">
        <v>0</v>
      </c>
      <c r="K713" s="3">
        <v>88.5</v>
      </c>
      <c r="L713" s="3">
        <v>0</v>
      </c>
      <c r="M713" s="3">
        <v>0</v>
      </c>
      <c r="N713" s="3">
        <v>0</v>
      </c>
      <c r="O713" s="3">
        <v>11.505000000000001</v>
      </c>
      <c r="P713" s="3">
        <v>100.005</v>
      </c>
      <c r="Q713" t="s">
        <v>8046</v>
      </c>
      <c r="R713" t="s">
        <v>8200</v>
      </c>
      <c r="S713" s="3" t="s">
        <v>8046</v>
      </c>
      <c r="T713" s="3">
        <v>0</v>
      </c>
    </row>
    <row r="714" spans="1:20" hidden="1" x14ac:dyDescent="0.25">
      <c r="A714" t="s">
        <v>8388</v>
      </c>
      <c r="B714" t="s">
        <v>8535</v>
      </c>
      <c r="C714" t="s">
        <v>1</v>
      </c>
      <c r="D714" t="s">
        <v>0</v>
      </c>
      <c r="E714">
        <v>219</v>
      </c>
      <c r="F714" t="s">
        <v>1469</v>
      </c>
      <c r="G714" t="s">
        <v>1470</v>
      </c>
      <c r="H714" s="3">
        <v>0</v>
      </c>
      <c r="I714" s="3">
        <v>0</v>
      </c>
      <c r="J714" s="3">
        <v>0</v>
      </c>
      <c r="K714" s="3">
        <v>58.43</v>
      </c>
      <c r="L714" s="3">
        <v>0</v>
      </c>
      <c r="M714" s="3">
        <v>0</v>
      </c>
      <c r="N714" s="3">
        <v>0</v>
      </c>
      <c r="O714" s="3">
        <v>7.5959000000000003</v>
      </c>
      <c r="P714" s="3">
        <v>66.025900000000007</v>
      </c>
      <c r="Q714" t="s">
        <v>8046</v>
      </c>
      <c r="R714" t="s">
        <v>8200</v>
      </c>
      <c r="S714" s="3" t="s">
        <v>8046</v>
      </c>
      <c r="T714" s="3">
        <v>0</v>
      </c>
    </row>
    <row r="715" spans="1:20" hidden="1" x14ac:dyDescent="0.25">
      <c r="A715" t="s">
        <v>8388</v>
      </c>
      <c r="B715" t="s">
        <v>8594</v>
      </c>
      <c r="C715" t="s">
        <v>1</v>
      </c>
      <c r="D715" t="s">
        <v>0</v>
      </c>
      <c r="E715">
        <v>325685</v>
      </c>
      <c r="F715" t="s">
        <v>3251</v>
      </c>
      <c r="G715" t="s">
        <v>3252</v>
      </c>
      <c r="H715" s="3">
        <v>0</v>
      </c>
      <c r="I715" s="3">
        <v>0</v>
      </c>
      <c r="J715" s="3">
        <v>0</v>
      </c>
      <c r="K715" s="3">
        <v>89.85</v>
      </c>
      <c r="L715" s="3">
        <v>0</v>
      </c>
      <c r="M715" s="3">
        <v>0</v>
      </c>
      <c r="N715" s="3">
        <v>0</v>
      </c>
      <c r="O715" s="3">
        <v>11.6805</v>
      </c>
      <c r="P715" s="3">
        <v>101.53049999999999</v>
      </c>
      <c r="Q715" t="s">
        <v>8046</v>
      </c>
      <c r="R715" t="s">
        <v>8200</v>
      </c>
      <c r="S715" s="3" t="s">
        <v>8046</v>
      </c>
      <c r="T715" s="3">
        <v>0</v>
      </c>
    </row>
    <row r="716" spans="1:20" hidden="1" x14ac:dyDescent="0.25">
      <c r="A716" t="s">
        <v>8388</v>
      </c>
      <c r="B716" t="s">
        <v>8536</v>
      </c>
      <c r="C716" t="s">
        <v>1</v>
      </c>
      <c r="D716" t="s">
        <v>0</v>
      </c>
      <c r="E716">
        <v>8543</v>
      </c>
      <c r="F716" t="s">
        <v>1200</v>
      </c>
      <c r="G716" t="s">
        <v>1201</v>
      </c>
      <c r="H716" s="3">
        <v>0</v>
      </c>
      <c r="I716" s="3">
        <v>0</v>
      </c>
      <c r="J716" s="3">
        <v>0</v>
      </c>
      <c r="K716" s="3">
        <v>2200</v>
      </c>
      <c r="L716" s="3">
        <v>0</v>
      </c>
      <c r="M716" s="3">
        <v>0</v>
      </c>
      <c r="N716" s="3">
        <v>0</v>
      </c>
      <c r="O716" s="3">
        <v>286</v>
      </c>
      <c r="P716" s="3">
        <v>2486</v>
      </c>
      <c r="Q716" t="s">
        <v>8046</v>
      </c>
      <c r="R716" t="s">
        <v>8200</v>
      </c>
      <c r="S716" s="3" t="s">
        <v>8358</v>
      </c>
      <c r="T716" s="3">
        <v>22</v>
      </c>
    </row>
    <row r="717" spans="1:20" hidden="1" x14ac:dyDescent="0.25">
      <c r="A717" t="s">
        <v>8388</v>
      </c>
      <c r="B717" t="s">
        <v>8536</v>
      </c>
      <c r="C717" t="s">
        <v>1</v>
      </c>
      <c r="D717" t="s">
        <v>0</v>
      </c>
      <c r="E717">
        <v>33146</v>
      </c>
      <c r="F717" t="s">
        <v>3120</v>
      </c>
      <c r="G717" t="s">
        <v>3121</v>
      </c>
      <c r="H717" s="3">
        <v>0</v>
      </c>
      <c r="I717" s="3">
        <v>0</v>
      </c>
      <c r="J717" s="3">
        <v>0</v>
      </c>
      <c r="K717" s="3">
        <v>72.48</v>
      </c>
      <c r="L717" s="3">
        <v>0</v>
      </c>
      <c r="M717" s="3">
        <v>0</v>
      </c>
      <c r="N717" s="3">
        <v>0</v>
      </c>
      <c r="O717" s="3">
        <v>9.4224000000000014</v>
      </c>
      <c r="P717" s="3">
        <v>81.9024</v>
      </c>
      <c r="Q717" t="s">
        <v>8046</v>
      </c>
      <c r="R717" t="s">
        <v>8200</v>
      </c>
      <c r="S717" s="3" t="s">
        <v>8046</v>
      </c>
      <c r="T717" s="3">
        <v>0</v>
      </c>
    </row>
    <row r="718" spans="1:20" hidden="1" x14ac:dyDescent="0.25">
      <c r="A718" t="s">
        <v>8388</v>
      </c>
      <c r="B718" t="s">
        <v>8536</v>
      </c>
      <c r="C718" t="s">
        <v>1</v>
      </c>
      <c r="D718" t="s">
        <v>0</v>
      </c>
      <c r="E718">
        <v>16079</v>
      </c>
      <c r="F718" t="s">
        <v>1522</v>
      </c>
      <c r="G718" t="s">
        <v>1523</v>
      </c>
      <c r="H718" s="3">
        <v>2.08</v>
      </c>
      <c r="I718" s="3">
        <v>0</v>
      </c>
      <c r="J718" s="3">
        <v>0</v>
      </c>
      <c r="K718" s="3">
        <v>24.71</v>
      </c>
      <c r="L718" s="3">
        <v>0</v>
      </c>
      <c r="M718" s="3">
        <v>0</v>
      </c>
      <c r="N718" s="3">
        <v>0</v>
      </c>
      <c r="O718" s="3">
        <v>3.2123000000000004</v>
      </c>
      <c r="P718" s="3">
        <v>30.002299999999998</v>
      </c>
      <c r="Q718" t="s">
        <v>8046</v>
      </c>
      <c r="R718" t="s">
        <v>8200</v>
      </c>
      <c r="S718" s="3" t="s">
        <v>8046</v>
      </c>
      <c r="T718" s="3">
        <v>0</v>
      </c>
    </row>
    <row r="719" spans="1:20" hidden="1" x14ac:dyDescent="0.25">
      <c r="A719" t="s">
        <v>8388</v>
      </c>
      <c r="B719" t="s">
        <v>8536</v>
      </c>
      <c r="C719" t="s">
        <v>1</v>
      </c>
      <c r="D719" t="s">
        <v>0</v>
      </c>
      <c r="E719">
        <v>298014</v>
      </c>
      <c r="F719" t="s">
        <v>2788</v>
      </c>
      <c r="G719" t="s">
        <v>2789</v>
      </c>
      <c r="H719" s="3">
        <v>0</v>
      </c>
      <c r="I719" s="3">
        <v>0</v>
      </c>
      <c r="J719" s="3">
        <v>0</v>
      </c>
      <c r="K719" s="3">
        <v>20.5</v>
      </c>
      <c r="L719" s="3">
        <v>0</v>
      </c>
      <c r="M719" s="3">
        <v>0</v>
      </c>
      <c r="N719" s="3">
        <v>0</v>
      </c>
      <c r="O719" s="3">
        <v>2.665</v>
      </c>
      <c r="P719" s="3">
        <v>23.164999999999999</v>
      </c>
      <c r="Q719" t="s">
        <v>8046</v>
      </c>
      <c r="R719" t="s">
        <v>8200</v>
      </c>
      <c r="S719" s="3" t="s">
        <v>8046</v>
      </c>
      <c r="T719" s="3">
        <v>0</v>
      </c>
    </row>
    <row r="720" spans="1:20" hidden="1" x14ac:dyDescent="0.25">
      <c r="A720" t="s">
        <v>8388</v>
      </c>
      <c r="B720" t="s">
        <v>8536</v>
      </c>
      <c r="C720" t="s">
        <v>1</v>
      </c>
      <c r="D720" t="s">
        <v>0</v>
      </c>
      <c r="E720">
        <v>300483</v>
      </c>
      <c r="F720" t="s">
        <v>1552</v>
      </c>
      <c r="G720" t="s">
        <v>1553</v>
      </c>
      <c r="H720" s="3">
        <v>4.2</v>
      </c>
      <c r="I720" s="3">
        <v>0</v>
      </c>
      <c r="J720" s="3">
        <v>0</v>
      </c>
      <c r="K720" s="3">
        <v>55.58</v>
      </c>
      <c r="L720" s="3">
        <v>0</v>
      </c>
      <c r="M720" s="3">
        <v>0</v>
      </c>
      <c r="N720" s="3">
        <v>0</v>
      </c>
      <c r="O720" s="3">
        <v>7.2253999999999996</v>
      </c>
      <c r="P720" s="3">
        <v>67.005399999999995</v>
      </c>
      <c r="Q720" t="s">
        <v>8046</v>
      </c>
      <c r="R720" t="s">
        <v>8200</v>
      </c>
      <c r="S720" s="3" t="s">
        <v>8046</v>
      </c>
      <c r="T720" s="3">
        <v>0</v>
      </c>
    </row>
    <row r="721" spans="1:20" hidden="1" x14ac:dyDescent="0.25">
      <c r="A721" t="s">
        <v>8388</v>
      </c>
      <c r="B721" t="s">
        <v>8522</v>
      </c>
      <c r="C721" t="s">
        <v>1</v>
      </c>
      <c r="D721" t="s">
        <v>0</v>
      </c>
      <c r="E721">
        <v>3043</v>
      </c>
      <c r="F721" t="s">
        <v>1705</v>
      </c>
      <c r="G721" t="s">
        <v>1706</v>
      </c>
      <c r="H721" s="3">
        <v>0</v>
      </c>
      <c r="I721" s="3">
        <v>0</v>
      </c>
      <c r="J721" s="3">
        <v>0</v>
      </c>
      <c r="K721" s="3">
        <v>39.1</v>
      </c>
      <c r="L721" s="3">
        <v>0</v>
      </c>
      <c r="M721" s="3">
        <v>0</v>
      </c>
      <c r="N721" s="3">
        <v>0</v>
      </c>
      <c r="O721" s="3">
        <v>5.0830000000000002</v>
      </c>
      <c r="P721" s="3">
        <v>44.183</v>
      </c>
      <c r="Q721" t="s">
        <v>8046</v>
      </c>
      <c r="R721" t="s">
        <v>8200</v>
      </c>
      <c r="S721" s="3" t="s">
        <v>8046</v>
      </c>
      <c r="T721" s="3">
        <v>0</v>
      </c>
    </row>
    <row r="722" spans="1:20" hidden="1" x14ac:dyDescent="0.25">
      <c r="A722" t="s">
        <v>8388</v>
      </c>
      <c r="B722" t="s">
        <v>8522</v>
      </c>
      <c r="C722" t="s">
        <v>1</v>
      </c>
      <c r="D722" t="s">
        <v>0</v>
      </c>
      <c r="E722">
        <v>31184</v>
      </c>
      <c r="F722" t="s">
        <v>1655</v>
      </c>
      <c r="G722" t="s">
        <v>1656</v>
      </c>
      <c r="H722" s="3">
        <v>1.58</v>
      </c>
      <c r="I722" s="3">
        <v>0</v>
      </c>
      <c r="J722" s="3">
        <v>0</v>
      </c>
      <c r="K722" s="3">
        <v>20.72</v>
      </c>
      <c r="L722" s="3">
        <v>0</v>
      </c>
      <c r="M722" s="3">
        <v>0</v>
      </c>
      <c r="N722" s="3">
        <v>0</v>
      </c>
      <c r="O722" s="3">
        <v>2.6936</v>
      </c>
      <c r="P722" s="3">
        <v>24.993599999999997</v>
      </c>
      <c r="Q722" t="s">
        <v>8046</v>
      </c>
      <c r="R722" t="s">
        <v>8200</v>
      </c>
      <c r="S722" s="3" t="s">
        <v>8046</v>
      </c>
      <c r="T722" s="3">
        <v>0</v>
      </c>
    </row>
    <row r="723" spans="1:20" hidden="1" x14ac:dyDescent="0.25">
      <c r="A723" t="s">
        <v>8388</v>
      </c>
      <c r="B723" t="s">
        <v>8522</v>
      </c>
      <c r="C723" t="s">
        <v>1</v>
      </c>
      <c r="D723" t="s">
        <v>0</v>
      </c>
      <c r="E723">
        <v>2256</v>
      </c>
      <c r="F723" t="s">
        <v>762</v>
      </c>
      <c r="G723" t="s">
        <v>763</v>
      </c>
      <c r="H723" s="3">
        <v>0</v>
      </c>
      <c r="I723" s="3">
        <v>0</v>
      </c>
      <c r="J723" s="3">
        <v>0</v>
      </c>
      <c r="K723" s="3">
        <v>118.05</v>
      </c>
      <c r="L723" s="3">
        <v>0</v>
      </c>
      <c r="M723" s="3">
        <v>0</v>
      </c>
      <c r="N723" s="3">
        <v>0</v>
      </c>
      <c r="O723" s="3">
        <v>15.346500000000001</v>
      </c>
      <c r="P723" s="3">
        <v>133.3965</v>
      </c>
      <c r="Q723" t="s">
        <v>8046</v>
      </c>
      <c r="R723" t="s">
        <v>8200</v>
      </c>
      <c r="S723" s="3" t="s">
        <v>8046</v>
      </c>
      <c r="T723" s="3">
        <v>0</v>
      </c>
    </row>
    <row r="724" spans="1:20" hidden="1" x14ac:dyDescent="0.25">
      <c r="A724" t="s">
        <v>8388</v>
      </c>
      <c r="B724" t="s">
        <v>8522</v>
      </c>
      <c r="C724" t="s">
        <v>1</v>
      </c>
      <c r="D724" t="s">
        <v>0</v>
      </c>
      <c r="E724">
        <v>521</v>
      </c>
      <c r="F724" t="s">
        <v>1630</v>
      </c>
      <c r="G724" t="s">
        <v>1631</v>
      </c>
      <c r="H724" s="3">
        <v>0</v>
      </c>
      <c r="I724" s="3">
        <v>0</v>
      </c>
      <c r="J724" s="3">
        <v>0</v>
      </c>
      <c r="K724" s="3">
        <v>28.76</v>
      </c>
      <c r="L724" s="3">
        <v>0</v>
      </c>
      <c r="M724" s="3">
        <v>0</v>
      </c>
      <c r="N724" s="3">
        <v>0</v>
      </c>
      <c r="O724" s="3">
        <v>3.7388000000000003</v>
      </c>
      <c r="P724" s="3">
        <v>32.498800000000003</v>
      </c>
      <c r="Q724" t="s">
        <v>8046</v>
      </c>
      <c r="R724" t="s">
        <v>8200</v>
      </c>
      <c r="S724" s="3" t="s">
        <v>8046</v>
      </c>
      <c r="T724" s="3">
        <v>0</v>
      </c>
    </row>
    <row r="725" spans="1:20" hidden="1" x14ac:dyDescent="0.25">
      <c r="A725" t="s">
        <v>8388</v>
      </c>
      <c r="B725" t="s">
        <v>8522</v>
      </c>
      <c r="C725" t="s">
        <v>1</v>
      </c>
      <c r="D725" t="s">
        <v>0</v>
      </c>
      <c r="E725">
        <v>1876</v>
      </c>
      <c r="F725" t="s">
        <v>131</v>
      </c>
      <c r="G725" t="s">
        <v>132</v>
      </c>
      <c r="H725" s="3">
        <v>0</v>
      </c>
      <c r="I725" s="3">
        <v>0</v>
      </c>
      <c r="J725" s="3">
        <v>0</v>
      </c>
      <c r="K725" s="3">
        <v>559.73</v>
      </c>
      <c r="L725" s="3">
        <v>0</v>
      </c>
      <c r="M725" s="3">
        <v>0</v>
      </c>
      <c r="N725" s="3">
        <v>0</v>
      </c>
      <c r="O725" s="3">
        <v>72.764900000000011</v>
      </c>
      <c r="P725" s="3">
        <v>632.49490000000003</v>
      </c>
      <c r="Q725" t="s">
        <v>8046</v>
      </c>
      <c r="R725" t="s">
        <v>8200</v>
      </c>
      <c r="S725" s="3" t="s">
        <v>8046</v>
      </c>
      <c r="T725" s="3">
        <v>0</v>
      </c>
    </row>
    <row r="726" spans="1:20" hidden="1" x14ac:dyDescent="0.25">
      <c r="A726" t="s">
        <v>8388</v>
      </c>
      <c r="B726" t="s">
        <v>8522</v>
      </c>
      <c r="C726" t="s">
        <v>1</v>
      </c>
      <c r="D726" t="s">
        <v>0</v>
      </c>
      <c r="E726">
        <v>37648</v>
      </c>
      <c r="F726" t="s">
        <v>2436</v>
      </c>
      <c r="G726" t="s">
        <v>2437</v>
      </c>
      <c r="H726" s="3">
        <v>0</v>
      </c>
      <c r="I726" s="3">
        <v>0</v>
      </c>
      <c r="J726" s="3">
        <v>0</v>
      </c>
      <c r="K726" s="3">
        <v>157.26</v>
      </c>
      <c r="L726" s="3">
        <v>0</v>
      </c>
      <c r="M726" s="3">
        <v>0</v>
      </c>
      <c r="N726" s="3">
        <v>0</v>
      </c>
      <c r="O726" s="3">
        <v>20.4438</v>
      </c>
      <c r="P726" s="3">
        <v>177.7038</v>
      </c>
      <c r="Q726" t="s">
        <v>8046</v>
      </c>
      <c r="R726" t="s">
        <v>8200</v>
      </c>
      <c r="S726" s="3" t="s">
        <v>8359</v>
      </c>
      <c r="T726" s="3">
        <v>1.57</v>
      </c>
    </row>
    <row r="727" spans="1:20" hidden="1" x14ac:dyDescent="0.25">
      <c r="A727" t="s">
        <v>8607</v>
      </c>
      <c r="B727" t="s">
        <v>8522</v>
      </c>
      <c r="C727" t="s">
        <v>1</v>
      </c>
      <c r="D727" t="s">
        <v>0</v>
      </c>
      <c r="E727">
        <v>8515</v>
      </c>
      <c r="F727" t="s">
        <v>1200</v>
      </c>
      <c r="G727" t="s">
        <v>1201</v>
      </c>
      <c r="H727" s="3">
        <v>0</v>
      </c>
      <c r="I727" s="3">
        <v>0</v>
      </c>
      <c r="J727" s="3">
        <v>0</v>
      </c>
      <c r="K727" s="3">
        <v>5028.68</v>
      </c>
      <c r="L727" s="3">
        <v>0</v>
      </c>
      <c r="M727" s="3">
        <v>0</v>
      </c>
      <c r="N727" s="3">
        <v>0</v>
      </c>
      <c r="O727" s="3">
        <v>653.72840000000008</v>
      </c>
      <c r="P727" s="3">
        <v>5682.4084000000003</v>
      </c>
      <c r="Q727" t="s">
        <v>8046</v>
      </c>
      <c r="R727" t="s">
        <v>8200</v>
      </c>
      <c r="S727" s="3" t="s">
        <v>8358</v>
      </c>
      <c r="T727" s="3">
        <v>50.28</v>
      </c>
    </row>
    <row r="728" spans="1:20" hidden="1" x14ac:dyDescent="0.25">
      <c r="A728" t="s">
        <v>8388</v>
      </c>
      <c r="B728" t="s">
        <v>8522</v>
      </c>
      <c r="C728" t="s">
        <v>1</v>
      </c>
      <c r="D728" t="s">
        <v>0</v>
      </c>
      <c r="E728">
        <v>8521</v>
      </c>
      <c r="F728" t="s">
        <v>1200</v>
      </c>
      <c r="G728" t="s">
        <v>1201</v>
      </c>
      <c r="H728" s="3">
        <v>0</v>
      </c>
      <c r="I728" s="3">
        <v>0</v>
      </c>
      <c r="J728" s="3">
        <v>0</v>
      </c>
      <c r="K728" s="3">
        <v>611</v>
      </c>
      <c r="L728" s="3">
        <v>0</v>
      </c>
      <c r="M728" s="3">
        <v>0</v>
      </c>
      <c r="N728" s="3">
        <v>0</v>
      </c>
      <c r="O728" s="3">
        <v>79.430000000000007</v>
      </c>
      <c r="P728" s="3">
        <v>690.43000000000006</v>
      </c>
      <c r="Q728" t="s">
        <v>8046</v>
      </c>
      <c r="R728" t="s">
        <v>8200</v>
      </c>
      <c r="S728" s="3" t="s">
        <v>8358</v>
      </c>
      <c r="T728" s="3">
        <v>6.11</v>
      </c>
    </row>
    <row r="729" spans="1:20" hidden="1" x14ac:dyDescent="0.25">
      <c r="A729" t="s">
        <v>8388</v>
      </c>
      <c r="B729" t="s">
        <v>8537</v>
      </c>
      <c r="C729" t="s">
        <v>1</v>
      </c>
      <c r="D729" t="s">
        <v>0</v>
      </c>
      <c r="E729">
        <v>1430451</v>
      </c>
      <c r="F729" t="s">
        <v>1576</v>
      </c>
      <c r="G729" t="s">
        <v>1577</v>
      </c>
      <c r="H729" s="3">
        <v>0</v>
      </c>
      <c r="I729" s="3">
        <v>0</v>
      </c>
      <c r="J729" s="3">
        <v>0</v>
      </c>
      <c r="K729" s="3">
        <v>70.64</v>
      </c>
      <c r="L729" s="3">
        <v>0</v>
      </c>
      <c r="M729" s="3">
        <v>0</v>
      </c>
      <c r="N729" s="3">
        <v>0</v>
      </c>
      <c r="O729" s="3">
        <v>9.1832000000000011</v>
      </c>
      <c r="P729" s="3">
        <v>79.8232</v>
      </c>
      <c r="Q729" t="s">
        <v>8046</v>
      </c>
      <c r="R729" t="s">
        <v>8200</v>
      </c>
      <c r="S729" s="3" t="s">
        <v>8046</v>
      </c>
      <c r="T729" s="3">
        <v>0</v>
      </c>
    </row>
    <row r="730" spans="1:20" hidden="1" x14ac:dyDescent="0.25">
      <c r="A730" t="s">
        <v>8388</v>
      </c>
      <c r="B730" t="s">
        <v>8537</v>
      </c>
      <c r="C730" t="s">
        <v>1</v>
      </c>
      <c r="D730" t="s">
        <v>0</v>
      </c>
      <c r="E730">
        <v>72762</v>
      </c>
      <c r="F730" t="s">
        <v>2440</v>
      </c>
      <c r="G730" t="s">
        <v>2441</v>
      </c>
      <c r="H730" s="3">
        <v>0</v>
      </c>
      <c r="I730" s="3">
        <v>0</v>
      </c>
      <c r="J730" s="3">
        <v>0</v>
      </c>
      <c r="K730" s="3">
        <v>183.99</v>
      </c>
      <c r="L730" s="3">
        <v>0</v>
      </c>
      <c r="M730" s="3">
        <v>0</v>
      </c>
      <c r="N730" s="3">
        <v>0</v>
      </c>
      <c r="O730" s="3">
        <v>23.918700000000001</v>
      </c>
      <c r="P730" s="3">
        <v>207.90870000000001</v>
      </c>
      <c r="Q730" t="s">
        <v>8046</v>
      </c>
      <c r="R730" t="s">
        <v>8200</v>
      </c>
      <c r="S730" s="3" t="s">
        <v>8359</v>
      </c>
      <c r="T730" s="3">
        <v>1.84</v>
      </c>
    </row>
    <row r="731" spans="1:20" hidden="1" x14ac:dyDescent="0.25">
      <c r="A731" t="s">
        <v>8388</v>
      </c>
      <c r="B731" t="s">
        <v>8537</v>
      </c>
      <c r="C731" t="s">
        <v>1</v>
      </c>
      <c r="D731" t="s">
        <v>0</v>
      </c>
      <c r="E731">
        <v>502695</v>
      </c>
      <c r="F731" t="s">
        <v>2376</v>
      </c>
      <c r="G731" t="s">
        <v>2377</v>
      </c>
      <c r="H731" s="3">
        <v>0</v>
      </c>
      <c r="I731" s="3">
        <v>0</v>
      </c>
      <c r="J731" s="3">
        <v>0</v>
      </c>
      <c r="K731" s="3">
        <v>173.51</v>
      </c>
      <c r="L731" s="3">
        <v>0</v>
      </c>
      <c r="M731" s="3">
        <v>0</v>
      </c>
      <c r="N731" s="3">
        <v>0</v>
      </c>
      <c r="O731" s="3">
        <v>22.5563</v>
      </c>
      <c r="P731" s="3">
        <v>196.06629999999998</v>
      </c>
      <c r="Q731" t="s">
        <v>8046</v>
      </c>
      <c r="R731" t="s">
        <v>8200</v>
      </c>
      <c r="S731" s="3" t="s">
        <v>8046</v>
      </c>
      <c r="T731" s="3">
        <v>0</v>
      </c>
    </row>
    <row r="732" spans="1:20" hidden="1" x14ac:dyDescent="0.25">
      <c r="A732" t="s">
        <v>8388</v>
      </c>
      <c r="B732" t="s">
        <v>8537</v>
      </c>
      <c r="C732" t="s">
        <v>1</v>
      </c>
      <c r="D732" t="s">
        <v>0</v>
      </c>
      <c r="E732">
        <v>43044</v>
      </c>
      <c r="F732" t="s">
        <v>3178</v>
      </c>
      <c r="G732" t="s">
        <v>3179</v>
      </c>
      <c r="H732" s="3">
        <v>0</v>
      </c>
      <c r="I732" s="3">
        <v>0</v>
      </c>
      <c r="J732" s="3">
        <v>0</v>
      </c>
      <c r="K732" s="3">
        <v>1402.72</v>
      </c>
      <c r="L732" s="3">
        <v>0</v>
      </c>
      <c r="M732" s="3">
        <v>0</v>
      </c>
      <c r="N732" s="3">
        <v>0</v>
      </c>
      <c r="O732" s="3">
        <v>182.3536</v>
      </c>
      <c r="P732" s="3">
        <v>1585.0735999999999</v>
      </c>
      <c r="Q732" t="s">
        <v>8046</v>
      </c>
      <c r="R732" t="s">
        <v>8200</v>
      </c>
      <c r="S732" s="3" t="s">
        <v>8358</v>
      </c>
      <c r="T732" s="3">
        <v>14.03</v>
      </c>
    </row>
    <row r="733" spans="1:20" hidden="1" x14ac:dyDescent="0.25">
      <c r="A733" t="s">
        <v>8388</v>
      </c>
      <c r="B733" t="s">
        <v>8537</v>
      </c>
      <c r="C733" t="s">
        <v>1</v>
      </c>
      <c r="D733" t="s">
        <v>0</v>
      </c>
      <c r="E733">
        <v>114732</v>
      </c>
      <c r="F733" t="s">
        <v>8192</v>
      </c>
      <c r="G733" t="s">
        <v>8193</v>
      </c>
      <c r="H733" s="3">
        <v>0</v>
      </c>
      <c r="I733" s="3">
        <v>0</v>
      </c>
      <c r="J733" s="3">
        <v>0</v>
      </c>
      <c r="K733" s="3">
        <v>214.16</v>
      </c>
      <c r="L733" s="3">
        <v>0</v>
      </c>
      <c r="M733" s="3">
        <v>0</v>
      </c>
      <c r="N733" s="3">
        <v>0</v>
      </c>
      <c r="O733" s="3">
        <v>27.840800000000002</v>
      </c>
      <c r="P733" s="3">
        <v>242.0008</v>
      </c>
      <c r="Q733" t="s">
        <v>8046</v>
      </c>
      <c r="R733" t="s">
        <v>8200</v>
      </c>
      <c r="S733" s="3" t="s">
        <v>8046</v>
      </c>
      <c r="T733" s="3">
        <v>0</v>
      </c>
    </row>
    <row r="734" spans="1:20" hidden="1" x14ac:dyDescent="0.25">
      <c r="A734" t="s">
        <v>8388</v>
      </c>
      <c r="B734" t="s">
        <v>8537</v>
      </c>
      <c r="C734" t="s">
        <v>1</v>
      </c>
      <c r="D734" t="s">
        <v>0</v>
      </c>
      <c r="E734">
        <v>8484</v>
      </c>
      <c r="F734" t="s">
        <v>1200</v>
      </c>
      <c r="G734" t="s">
        <v>1201</v>
      </c>
      <c r="H734" s="3">
        <v>0</v>
      </c>
      <c r="I734" s="3">
        <v>0</v>
      </c>
      <c r="J734" s="3">
        <v>0</v>
      </c>
      <c r="K734" s="3">
        <v>4096.8</v>
      </c>
      <c r="L734" s="3">
        <v>0</v>
      </c>
      <c r="M734" s="3">
        <v>0</v>
      </c>
      <c r="N734" s="3">
        <v>0</v>
      </c>
      <c r="O734" s="3">
        <v>532.58400000000006</v>
      </c>
      <c r="P734" s="3">
        <v>4629.384</v>
      </c>
      <c r="Q734" t="s">
        <v>8046</v>
      </c>
      <c r="R734" t="s">
        <v>8200</v>
      </c>
      <c r="S734" s="3" t="s">
        <v>8358</v>
      </c>
      <c r="T734" s="3">
        <v>40.97</v>
      </c>
    </row>
    <row r="735" spans="1:20" hidden="1" x14ac:dyDescent="0.25">
      <c r="A735" t="s">
        <v>8388</v>
      </c>
      <c r="B735" t="s">
        <v>8537</v>
      </c>
      <c r="C735" t="s">
        <v>1</v>
      </c>
      <c r="D735" t="s">
        <v>0</v>
      </c>
      <c r="E735">
        <v>15880</v>
      </c>
      <c r="F735" t="s">
        <v>1522</v>
      </c>
      <c r="G735" t="s">
        <v>1523</v>
      </c>
      <c r="H735" s="3">
        <v>3</v>
      </c>
      <c r="I735" s="3">
        <v>0</v>
      </c>
      <c r="J735" s="3">
        <v>0</v>
      </c>
      <c r="K735" s="3">
        <v>37.18</v>
      </c>
      <c r="L735" s="3">
        <v>0</v>
      </c>
      <c r="M735" s="3">
        <v>0</v>
      </c>
      <c r="N735" s="3">
        <v>0</v>
      </c>
      <c r="O735" s="3">
        <v>4.8334000000000001</v>
      </c>
      <c r="P735" s="3">
        <v>45.013399999999997</v>
      </c>
      <c r="Q735" t="s">
        <v>8046</v>
      </c>
      <c r="R735" t="s">
        <v>8200</v>
      </c>
      <c r="S735" s="3" t="s">
        <v>8046</v>
      </c>
      <c r="T735" s="3">
        <v>0</v>
      </c>
    </row>
    <row r="736" spans="1:20" hidden="1" x14ac:dyDescent="0.25">
      <c r="A736" t="s">
        <v>8388</v>
      </c>
      <c r="B736" t="s">
        <v>8523</v>
      </c>
      <c r="C736" t="s">
        <v>1</v>
      </c>
      <c r="D736" t="s">
        <v>0</v>
      </c>
      <c r="E736">
        <v>15707</v>
      </c>
      <c r="F736" t="s">
        <v>1522</v>
      </c>
      <c r="G736" t="s">
        <v>1523</v>
      </c>
      <c r="H736" s="3">
        <v>2.4300000000000002</v>
      </c>
      <c r="I736" s="3">
        <v>0</v>
      </c>
      <c r="J736" s="3">
        <v>0</v>
      </c>
      <c r="K736" s="3">
        <v>28.82</v>
      </c>
      <c r="L736" s="3">
        <v>0</v>
      </c>
      <c r="M736" s="3">
        <v>0</v>
      </c>
      <c r="N736" s="3">
        <v>0</v>
      </c>
      <c r="O736" s="3">
        <v>3.7466000000000004</v>
      </c>
      <c r="P736" s="3">
        <v>34.996600000000001</v>
      </c>
      <c r="Q736" t="s">
        <v>8046</v>
      </c>
      <c r="R736" t="s">
        <v>8200</v>
      </c>
      <c r="S736" s="3" t="s">
        <v>8046</v>
      </c>
      <c r="T736" s="3">
        <v>0</v>
      </c>
    </row>
    <row r="737" spans="1:20" hidden="1" x14ac:dyDescent="0.25">
      <c r="A737" t="s">
        <v>8388</v>
      </c>
      <c r="B737" t="s">
        <v>8523</v>
      </c>
      <c r="C737" t="s">
        <v>1</v>
      </c>
      <c r="D737" t="s">
        <v>0</v>
      </c>
      <c r="E737">
        <v>62480</v>
      </c>
      <c r="F737" t="s">
        <v>1670</v>
      </c>
      <c r="G737" t="s">
        <v>1671</v>
      </c>
      <c r="H737" s="3">
        <v>2.13</v>
      </c>
      <c r="I737" s="3">
        <v>0</v>
      </c>
      <c r="J737" s="3">
        <v>0</v>
      </c>
      <c r="K737" s="3">
        <v>24.66</v>
      </c>
      <c r="L737" s="3">
        <v>0</v>
      </c>
      <c r="M737" s="3">
        <v>0</v>
      </c>
      <c r="N737" s="3">
        <v>0</v>
      </c>
      <c r="O737" s="3">
        <v>3.2058</v>
      </c>
      <c r="P737" s="3">
        <v>29.995799999999999</v>
      </c>
      <c r="Q737" t="s">
        <v>8046</v>
      </c>
      <c r="R737" t="s">
        <v>8200</v>
      </c>
      <c r="S737" s="3" t="s">
        <v>8046</v>
      </c>
      <c r="T737" s="3">
        <v>0</v>
      </c>
    </row>
    <row r="738" spans="1:20" hidden="1" x14ac:dyDescent="0.25">
      <c r="A738" t="s">
        <v>8388</v>
      </c>
      <c r="B738" t="s">
        <v>8523</v>
      </c>
      <c r="C738" t="s">
        <v>1</v>
      </c>
      <c r="D738" t="s">
        <v>8333</v>
      </c>
      <c r="E738">
        <v>6275</v>
      </c>
      <c r="F738" t="s">
        <v>1519</v>
      </c>
      <c r="G738" t="s">
        <v>1520</v>
      </c>
      <c r="H738" s="3">
        <v>0</v>
      </c>
      <c r="I738" s="3">
        <v>0</v>
      </c>
      <c r="J738" s="3">
        <v>0</v>
      </c>
      <c r="K738" s="3">
        <v>64.13</v>
      </c>
      <c r="L738" s="3">
        <v>0</v>
      </c>
      <c r="M738" s="3">
        <v>0</v>
      </c>
      <c r="N738" s="3">
        <v>0</v>
      </c>
      <c r="O738" s="3">
        <v>8.3369</v>
      </c>
      <c r="P738" s="3">
        <v>72.466899999999995</v>
      </c>
      <c r="Q738" t="s">
        <v>8046</v>
      </c>
      <c r="R738" t="s">
        <v>8200</v>
      </c>
      <c r="S738" s="3" t="s">
        <v>8046</v>
      </c>
      <c r="T738" s="3">
        <v>0</v>
      </c>
    </row>
    <row r="739" spans="1:20" hidden="1" x14ac:dyDescent="0.25">
      <c r="A739" t="s">
        <v>8388</v>
      </c>
      <c r="B739" t="s">
        <v>8523</v>
      </c>
      <c r="C739" t="s">
        <v>1</v>
      </c>
      <c r="D739" t="s">
        <v>0</v>
      </c>
      <c r="E739">
        <v>11355</v>
      </c>
      <c r="F739" t="s">
        <v>1519</v>
      </c>
      <c r="G739" t="s">
        <v>1520</v>
      </c>
      <c r="H739" s="3">
        <v>0</v>
      </c>
      <c r="I739" s="3">
        <v>0</v>
      </c>
      <c r="J739" s="3">
        <v>0</v>
      </c>
      <c r="K739" s="3">
        <v>868.77</v>
      </c>
      <c r="L739" s="3">
        <v>0</v>
      </c>
      <c r="M739" s="3">
        <v>0</v>
      </c>
      <c r="N739" s="3">
        <v>0</v>
      </c>
      <c r="O739" s="3">
        <v>112.9401</v>
      </c>
      <c r="P739" s="3">
        <v>981.71010000000001</v>
      </c>
      <c r="Q739" t="s">
        <v>8046</v>
      </c>
      <c r="R739" t="s">
        <v>8200</v>
      </c>
      <c r="S739" s="3" t="s">
        <v>8341</v>
      </c>
      <c r="T739" s="3">
        <v>8.69</v>
      </c>
    </row>
    <row r="740" spans="1:20" hidden="1" x14ac:dyDescent="0.25">
      <c r="A740" t="s">
        <v>8388</v>
      </c>
      <c r="B740" t="s">
        <v>8523</v>
      </c>
      <c r="C740" t="s">
        <v>1</v>
      </c>
      <c r="D740" t="s">
        <v>0</v>
      </c>
      <c r="E740">
        <v>6664</v>
      </c>
      <c r="F740" t="s">
        <v>8592</v>
      </c>
      <c r="G740" t="s">
        <v>8593</v>
      </c>
      <c r="H740" s="3">
        <v>0</v>
      </c>
      <c r="I740" s="3">
        <v>0</v>
      </c>
      <c r="J740" s="3">
        <v>0</v>
      </c>
      <c r="K740" s="3">
        <v>318.58</v>
      </c>
      <c r="L740" s="3">
        <v>0</v>
      </c>
      <c r="M740" s="3">
        <v>0</v>
      </c>
      <c r="N740" s="3">
        <v>0</v>
      </c>
      <c r="O740" s="3">
        <v>41.415399999999998</v>
      </c>
      <c r="P740" s="3">
        <v>359.99539999999996</v>
      </c>
      <c r="Q740" t="s">
        <v>8046</v>
      </c>
      <c r="R740" t="s">
        <v>8200</v>
      </c>
      <c r="S740" s="3" t="s">
        <v>8046</v>
      </c>
      <c r="T740" s="3">
        <v>0</v>
      </c>
    </row>
    <row r="741" spans="1:20" hidden="1" x14ac:dyDescent="0.25">
      <c r="A741" t="s">
        <v>8388</v>
      </c>
      <c r="B741" t="s">
        <v>8524</v>
      </c>
      <c r="C741" t="s">
        <v>1</v>
      </c>
      <c r="D741" t="s">
        <v>0</v>
      </c>
      <c r="E741">
        <v>44</v>
      </c>
      <c r="F741" t="s">
        <v>8590</v>
      </c>
      <c r="G741" t="s">
        <v>8591</v>
      </c>
      <c r="H741" s="3">
        <v>0</v>
      </c>
      <c r="I741" s="3">
        <v>0</v>
      </c>
      <c r="J741" s="3">
        <v>0</v>
      </c>
      <c r="K741" s="3">
        <v>442.48</v>
      </c>
      <c r="L741" s="3">
        <v>0</v>
      </c>
      <c r="M741" s="3">
        <v>0</v>
      </c>
      <c r="N741" s="3">
        <v>0</v>
      </c>
      <c r="O741" s="3">
        <v>57.522400000000005</v>
      </c>
      <c r="P741" s="3">
        <v>500.00240000000002</v>
      </c>
      <c r="Q741" t="s">
        <v>8046</v>
      </c>
      <c r="R741" t="s">
        <v>8200</v>
      </c>
      <c r="S741" s="3" t="s">
        <v>8046</v>
      </c>
      <c r="T741" s="3">
        <v>0</v>
      </c>
    </row>
    <row r="742" spans="1:20" hidden="1" x14ac:dyDescent="0.25">
      <c r="A742" t="s">
        <v>8388</v>
      </c>
      <c r="B742" t="s">
        <v>8524</v>
      </c>
      <c r="C742" t="s">
        <v>1</v>
      </c>
      <c r="D742" t="s">
        <v>0</v>
      </c>
      <c r="E742">
        <v>8888</v>
      </c>
      <c r="F742" t="s">
        <v>2635</v>
      </c>
      <c r="G742" t="s">
        <v>2636</v>
      </c>
      <c r="H742" s="3">
        <v>0</v>
      </c>
      <c r="I742" s="3">
        <v>0</v>
      </c>
      <c r="J742" s="3">
        <v>0</v>
      </c>
      <c r="K742" s="3">
        <v>221.24</v>
      </c>
      <c r="L742" s="3">
        <v>0</v>
      </c>
      <c r="M742" s="3">
        <v>0</v>
      </c>
      <c r="N742" s="3">
        <v>0</v>
      </c>
      <c r="O742" s="3">
        <v>28.761200000000002</v>
      </c>
      <c r="P742" s="3">
        <v>250.00120000000001</v>
      </c>
      <c r="Q742" t="s">
        <v>8046</v>
      </c>
      <c r="R742" t="s">
        <v>8200</v>
      </c>
      <c r="S742" s="3" t="s">
        <v>8345</v>
      </c>
      <c r="T742" s="3">
        <v>2.21</v>
      </c>
    </row>
    <row r="743" spans="1:20" hidden="1" x14ac:dyDescent="0.25">
      <c r="A743" t="s">
        <v>8388</v>
      </c>
      <c r="B743" t="s">
        <v>8524</v>
      </c>
      <c r="C743" t="s">
        <v>1</v>
      </c>
      <c r="D743" t="s">
        <v>0</v>
      </c>
      <c r="E743">
        <v>18894</v>
      </c>
      <c r="F743" t="s">
        <v>2635</v>
      </c>
      <c r="G743" t="s">
        <v>2636</v>
      </c>
      <c r="H743" s="3">
        <v>0</v>
      </c>
      <c r="I743" s="3">
        <v>0</v>
      </c>
      <c r="J743" s="3">
        <v>0</v>
      </c>
      <c r="K743" s="3">
        <v>715.93</v>
      </c>
      <c r="L743" s="3">
        <v>0</v>
      </c>
      <c r="M743" s="3">
        <v>0</v>
      </c>
      <c r="N743" s="3">
        <v>0</v>
      </c>
      <c r="O743" s="3">
        <v>93.070899999999995</v>
      </c>
      <c r="P743" s="3">
        <v>809.0009</v>
      </c>
      <c r="Q743" t="s">
        <v>8046</v>
      </c>
      <c r="R743" t="s">
        <v>8200</v>
      </c>
      <c r="S743" s="3" t="s">
        <v>8345</v>
      </c>
      <c r="T743" s="3">
        <v>7.16</v>
      </c>
    </row>
    <row r="744" spans="1:20" hidden="1" x14ac:dyDescent="0.25">
      <c r="A744" t="s">
        <v>8388</v>
      </c>
      <c r="B744" t="s">
        <v>8524</v>
      </c>
      <c r="C744" t="s">
        <v>1</v>
      </c>
      <c r="D744" t="s">
        <v>0</v>
      </c>
      <c r="E744">
        <v>42828</v>
      </c>
      <c r="F744" t="s">
        <v>3178</v>
      </c>
      <c r="G744" t="s">
        <v>3179</v>
      </c>
      <c r="H744" s="3">
        <v>0</v>
      </c>
      <c r="I744" s="3">
        <v>0</v>
      </c>
      <c r="J744" s="3">
        <v>0</v>
      </c>
      <c r="K744" s="3">
        <v>70.989999999999995</v>
      </c>
      <c r="L744" s="3">
        <v>0</v>
      </c>
      <c r="M744" s="3">
        <v>0</v>
      </c>
      <c r="N744" s="3">
        <v>0</v>
      </c>
      <c r="O744" s="3">
        <v>9.2286999999999999</v>
      </c>
      <c r="P744" s="3">
        <v>80.218699999999998</v>
      </c>
      <c r="Q744" t="s">
        <v>8046</v>
      </c>
      <c r="R744" t="s">
        <v>8200</v>
      </c>
      <c r="S744" s="3" t="s">
        <v>8046</v>
      </c>
      <c r="T744" s="3">
        <v>0</v>
      </c>
    </row>
    <row r="745" spans="1:20" hidden="1" x14ac:dyDescent="0.25">
      <c r="A745" t="s">
        <v>8388</v>
      </c>
      <c r="B745" t="s">
        <v>8524</v>
      </c>
      <c r="C745" t="s">
        <v>1</v>
      </c>
      <c r="D745" t="s">
        <v>0</v>
      </c>
      <c r="E745">
        <v>1429741</v>
      </c>
      <c r="F745" t="s">
        <v>1576</v>
      </c>
      <c r="G745" t="s">
        <v>1577</v>
      </c>
      <c r="H745" s="3">
        <v>0</v>
      </c>
      <c r="I745" s="3">
        <v>0</v>
      </c>
      <c r="J745" s="3">
        <v>0</v>
      </c>
      <c r="K745" s="3">
        <v>1533.6</v>
      </c>
      <c r="L745" s="3">
        <v>0</v>
      </c>
      <c r="M745" s="3">
        <v>0</v>
      </c>
      <c r="N745" s="3">
        <v>0</v>
      </c>
      <c r="O745" s="3">
        <v>199.36799999999999</v>
      </c>
      <c r="P745" s="3">
        <v>1732.9679999999998</v>
      </c>
      <c r="Q745" t="s">
        <v>8046</v>
      </c>
      <c r="R745" t="s">
        <v>8200</v>
      </c>
      <c r="S745" s="3" t="s">
        <v>8345</v>
      </c>
      <c r="T745" s="3">
        <v>15.34</v>
      </c>
    </row>
    <row r="746" spans="1:20" hidden="1" x14ac:dyDescent="0.25">
      <c r="A746" t="s">
        <v>8388</v>
      </c>
      <c r="B746" t="s">
        <v>8524</v>
      </c>
      <c r="C746" t="s">
        <v>1</v>
      </c>
      <c r="D746" t="s">
        <v>0</v>
      </c>
      <c r="E746">
        <v>15336</v>
      </c>
      <c r="F746" t="s">
        <v>1522</v>
      </c>
      <c r="G746" t="s">
        <v>1523</v>
      </c>
      <c r="H746" s="3">
        <v>2.88</v>
      </c>
      <c r="I746" s="3">
        <v>0</v>
      </c>
      <c r="J746" s="3">
        <v>0</v>
      </c>
      <c r="K746" s="3">
        <v>33.729999999999997</v>
      </c>
      <c r="L746" s="3">
        <v>0</v>
      </c>
      <c r="M746" s="3">
        <v>0</v>
      </c>
      <c r="N746" s="3">
        <v>0</v>
      </c>
      <c r="O746" s="3">
        <v>4.3849</v>
      </c>
      <c r="P746" s="3">
        <v>40.994900000000001</v>
      </c>
      <c r="Q746" t="s">
        <v>8046</v>
      </c>
      <c r="R746" t="s">
        <v>8200</v>
      </c>
      <c r="S746" s="3" t="s">
        <v>8046</v>
      </c>
      <c r="T746" s="3">
        <v>0</v>
      </c>
    </row>
    <row r="747" spans="1:20" hidden="1" x14ac:dyDescent="0.25">
      <c r="A747" t="s">
        <v>8388</v>
      </c>
      <c r="B747" t="s">
        <v>8524</v>
      </c>
      <c r="C747" t="s">
        <v>1</v>
      </c>
      <c r="D747" t="s">
        <v>0</v>
      </c>
      <c r="E747">
        <v>1429630</v>
      </c>
      <c r="F747" t="s">
        <v>1576</v>
      </c>
      <c r="G747" t="s">
        <v>1577</v>
      </c>
      <c r="H747" s="3">
        <v>0</v>
      </c>
      <c r="I747" s="3">
        <v>0</v>
      </c>
      <c r="J747" s="3">
        <v>0</v>
      </c>
      <c r="K747" s="3">
        <v>113.11</v>
      </c>
      <c r="L747" s="3">
        <v>0</v>
      </c>
      <c r="M747" s="3">
        <v>0</v>
      </c>
      <c r="N747" s="3">
        <v>0</v>
      </c>
      <c r="O747" s="3">
        <v>14.7043</v>
      </c>
      <c r="P747" s="3">
        <v>127.8143</v>
      </c>
      <c r="Q747" t="s">
        <v>8046</v>
      </c>
      <c r="R747" t="s">
        <v>8200</v>
      </c>
      <c r="S747" s="3" t="s">
        <v>8345</v>
      </c>
      <c r="T747" s="3">
        <v>1.1299999999999999</v>
      </c>
    </row>
    <row r="748" spans="1:20" hidden="1" x14ac:dyDescent="0.25">
      <c r="A748" t="s">
        <v>8388</v>
      </c>
      <c r="B748" t="s">
        <v>8524</v>
      </c>
      <c r="C748" t="s">
        <v>1</v>
      </c>
      <c r="D748" t="s">
        <v>0</v>
      </c>
      <c r="E748">
        <v>62123</v>
      </c>
      <c r="F748" t="s">
        <v>1670</v>
      </c>
      <c r="G748" t="s">
        <v>1671</v>
      </c>
      <c r="H748" s="3">
        <v>2.5099999999999998</v>
      </c>
      <c r="I748" s="3">
        <v>0</v>
      </c>
      <c r="J748" s="3">
        <v>0</v>
      </c>
      <c r="K748" s="3">
        <v>28.75</v>
      </c>
      <c r="L748" s="3">
        <v>0</v>
      </c>
      <c r="M748" s="3">
        <v>0</v>
      </c>
      <c r="N748" s="3">
        <v>0</v>
      </c>
      <c r="O748" s="3">
        <v>3.7375000000000003</v>
      </c>
      <c r="P748" s="3">
        <v>34.997499999999995</v>
      </c>
      <c r="Q748" t="s">
        <v>8046</v>
      </c>
      <c r="R748" t="s">
        <v>8200</v>
      </c>
      <c r="S748" s="3" t="s">
        <v>8046</v>
      </c>
      <c r="T748" s="3">
        <v>0</v>
      </c>
    </row>
    <row r="749" spans="1:20" hidden="1" x14ac:dyDescent="0.25">
      <c r="A749" t="s">
        <v>8388</v>
      </c>
      <c r="B749" t="s">
        <v>8589</v>
      </c>
      <c r="C749" t="s">
        <v>1</v>
      </c>
      <c r="D749" t="s">
        <v>0</v>
      </c>
      <c r="E749">
        <v>1877970</v>
      </c>
      <c r="F749" t="s">
        <v>1501</v>
      </c>
      <c r="G749" t="s">
        <v>1502</v>
      </c>
      <c r="H749" s="3">
        <v>3.87</v>
      </c>
      <c r="I749" s="3">
        <v>0</v>
      </c>
      <c r="J749" s="3">
        <v>0</v>
      </c>
      <c r="K749" s="3">
        <v>45.25</v>
      </c>
      <c r="L749" s="3">
        <v>0</v>
      </c>
      <c r="M749" s="3">
        <v>0</v>
      </c>
      <c r="N749" s="3">
        <v>0</v>
      </c>
      <c r="O749" s="3">
        <v>5.8825000000000003</v>
      </c>
      <c r="P749" s="3">
        <v>55.002499999999998</v>
      </c>
      <c r="Q749" t="s">
        <v>8046</v>
      </c>
      <c r="R749" t="s">
        <v>8200</v>
      </c>
      <c r="S749" s="3" t="s">
        <v>8046</v>
      </c>
      <c r="T749" s="3">
        <v>0</v>
      </c>
    </row>
    <row r="750" spans="1:20" hidden="1" x14ac:dyDescent="0.25">
      <c r="A750" t="s">
        <v>8388</v>
      </c>
      <c r="B750" t="s">
        <v>8525</v>
      </c>
      <c r="C750" t="s">
        <v>1</v>
      </c>
      <c r="D750" t="s">
        <v>0</v>
      </c>
      <c r="E750">
        <v>3964</v>
      </c>
      <c r="F750" t="s">
        <v>1705</v>
      </c>
      <c r="G750" t="s">
        <v>1706</v>
      </c>
      <c r="H750" s="3">
        <v>0</v>
      </c>
      <c r="I750" s="3">
        <v>0</v>
      </c>
      <c r="J750" s="3">
        <v>0</v>
      </c>
      <c r="K750" s="3">
        <v>671.25</v>
      </c>
      <c r="L750" s="3">
        <v>0</v>
      </c>
      <c r="M750" s="3">
        <v>0</v>
      </c>
      <c r="N750" s="3">
        <v>0</v>
      </c>
      <c r="O750" s="3">
        <v>87.262500000000003</v>
      </c>
      <c r="P750" s="3">
        <v>758.51250000000005</v>
      </c>
      <c r="Q750" t="s">
        <v>8046</v>
      </c>
      <c r="R750" t="s">
        <v>8200</v>
      </c>
      <c r="S750" s="3" t="s">
        <v>8046</v>
      </c>
      <c r="T750" s="3">
        <v>0</v>
      </c>
    </row>
    <row r="751" spans="1:20" hidden="1" x14ac:dyDescent="0.25">
      <c r="A751" t="s">
        <v>8388</v>
      </c>
      <c r="B751" t="s">
        <v>8525</v>
      </c>
      <c r="C751" t="s">
        <v>1</v>
      </c>
      <c r="D751" t="s">
        <v>0</v>
      </c>
      <c r="E751">
        <v>1394</v>
      </c>
      <c r="F751" t="s">
        <v>7902</v>
      </c>
      <c r="G751" t="s">
        <v>7903</v>
      </c>
      <c r="H751" s="3">
        <v>0</v>
      </c>
      <c r="I751" s="3">
        <v>0</v>
      </c>
      <c r="J751" s="3">
        <v>0</v>
      </c>
      <c r="K751" s="3">
        <v>73.37</v>
      </c>
      <c r="L751" s="3">
        <v>0</v>
      </c>
      <c r="M751" s="3">
        <v>0</v>
      </c>
      <c r="N751" s="3">
        <v>0</v>
      </c>
      <c r="O751" s="3">
        <v>9.5381000000000018</v>
      </c>
      <c r="P751" s="3">
        <v>82.908100000000005</v>
      </c>
      <c r="Q751" t="s">
        <v>8046</v>
      </c>
      <c r="R751" t="s">
        <v>8200</v>
      </c>
      <c r="S751" s="3" t="s">
        <v>8046</v>
      </c>
      <c r="T751" s="3">
        <v>0</v>
      </c>
    </row>
    <row r="752" spans="1:20" hidden="1" x14ac:dyDescent="0.25">
      <c r="A752" t="s">
        <v>8388</v>
      </c>
      <c r="B752" t="s">
        <v>8525</v>
      </c>
      <c r="C752" t="s">
        <v>1</v>
      </c>
      <c r="D752" t="s">
        <v>0</v>
      </c>
      <c r="E752">
        <v>2127012</v>
      </c>
      <c r="F752" t="s">
        <v>1531</v>
      </c>
      <c r="G752" t="s">
        <v>1532</v>
      </c>
      <c r="H752" s="3">
        <v>2.08</v>
      </c>
      <c r="I752" s="3">
        <v>0</v>
      </c>
      <c r="J752" s="3">
        <v>0</v>
      </c>
      <c r="K752" s="3">
        <v>24.71</v>
      </c>
      <c r="L752" s="3">
        <v>0</v>
      </c>
      <c r="M752" s="3">
        <v>0</v>
      </c>
      <c r="N752" s="3">
        <v>0</v>
      </c>
      <c r="O752" s="3">
        <v>3.2123000000000004</v>
      </c>
      <c r="P752" s="3">
        <v>30.002299999999998</v>
      </c>
      <c r="Q752" t="s">
        <v>8046</v>
      </c>
      <c r="R752" t="s">
        <v>8200</v>
      </c>
      <c r="S752" s="3" t="s">
        <v>8046</v>
      </c>
      <c r="T752" s="3">
        <v>0</v>
      </c>
    </row>
    <row r="753" spans="1:20" hidden="1" x14ac:dyDescent="0.25">
      <c r="A753" t="s">
        <v>8388</v>
      </c>
      <c r="B753" t="s">
        <v>8525</v>
      </c>
      <c r="C753" t="s">
        <v>1</v>
      </c>
      <c r="D753" t="s">
        <v>0</v>
      </c>
      <c r="E753">
        <v>16633</v>
      </c>
      <c r="F753" t="s">
        <v>8383</v>
      </c>
      <c r="G753" t="s">
        <v>8384</v>
      </c>
      <c r="H753" s="3">
        <v>0</v>
      </c>
      <c r="I753" s="3">
        <v>0</v>
      </c>
      <c r="J753" s="3">
        <v>0</v>
      </c>
      <c r="K753" s="3">
        <v>409.29</v>
      </c>
      <c r="L753" s="3">
        <v>0</v>
      </c>
      <c r="M753" s="3">
        <v>0</v>
      </c>
      <c r="N753" s="3">
        <v>0</v>
      </c>
      <c r="O753" s="3">
        <v>53.207700000000003</v>
      </c>
      <c r="P753" s="3">
        <v>462.49770000000001</v>
      </c>
      <c r="Q753" t="s">
        <v>8046</v>
      </c>
      <c r="R753" t="s">
        <v>8200</v>
      </c>
      <c r="S753" s="3" t="s">
        <v>8046</v>
      </c>
      <c r="T753" s="3">
        <v>0</v>
      </c>
    </row>
    <row r="754" spans="1:20" hidden="1" x14ac:dyDescent="0.25">
      <c r="A754" t="s">
        <v>8388</v>
      </c>
      <c r="B754" t="s">
        <v>8575</v>
      </c>
      <c r="C754" t="s">
        <v>1</v>
      </c>
      <c r="D754" t="s">
        <v>0</v>
      </c>
      <c r="E754">
        <v>8423</v>
      </c>
      <c r="F754" t="s">
        <v>1200</v>
      </c>
      <c r="G754" t="s">
        <v>1201</v>
      </c>
      <c r="H754" s="3">
        <v>0</v>
      </c>
      <c r="I754" s="3">
        <v>0</v>
      </c>
      <c r="J754" s="3">
        <v>0</v>
      </c>
      <c r="K754" s="3">
        <v>7367.44</v>
      </c>
      <c r="L754" s="3">
        <v>0</v>
      </c>
      <c r="M754" s="3">
        <v>0</v>
      </c>
      <c r="N754" s="3">
        <v>0</v>
      </c>
      <c r="O754" s="3">
        <v>957.7672</v>
      </c>
      <c r="P754" s="3">
        <v>8325.2071999999989</v>
      </c>
      <c r="Q754" t="s">
        <v>8046</v>
      </c>
      <c r="R754" t="s">
        <v>8200</v>
      </c>
      <c r="S754" s="3" t="s">
        <v>8358</v>
      </c>
      <c r="T754" s="3">
        <v>73.680000000000007</v>
      </c>
    </row>
    <row r="755" spans="1:20" hidden="1" x14ac:dyDescent="0.25">
      <c r="A755" t="s">
        <v>8388</v>
      </c>
      <c r="B755" t="s">
        <v>8575</v>
      </c>
      <c r="C755" t="s">
        <v>1</v>
      </c>
      <c r="D755" t="s">
        <v>0</v>
      </c>
      <c r="E755">
        <v>8734</v>
      </c>
      <c r="F755" t="s">
        <v>2635</v>
      </c>
      <c r="G755" t="s">
        <v>2636</v>
      </c>
      <c r="H755" s="3">
        <v>0</v>
      </c>
      <c r="I755" s="3">
        <v>0</v>
      </c>
      <c r="J755" s="3">
        <v>0</v>
      </c>
      <c r="K755" s="3">
        <v>276.68</v>
      </c>
      <c r="L755" s="3">
        <v>0</v>
      </c>
      <c r="M755" s="3">
        <v>0</v>
      </c>
      <c r="N755" s="3">
        <v>0</v>
      </c>
      <c r="O755" s="3">
        <v>35.968400000000003</v>
      </c>
      <c r="P755" s="3">
        <v>312.64840000000004</v>
      </c>
      <c r="Q755" t="s">
        <v>8046</v>
      </c>
      <c r="R755" t="s">
        <v>8200</v>
      </c>
      <c r="S755" s="3" t="s">
        <v>8345</v>
      </c>
      <c r="T755" s="3">
        <v>2.77</v>
      </c>
    </row>
    <row r="756" spans="1:20" hidden="1" x14ac:dyDescent="0.25">
      <c r="A756" t="s">
        <v>8388</v>
      </c>
      <c r="B756" t="s">
        <v>8575</v>
      </c>
      <c r="C756" t="s">
        <v>1</v>
      </c>
      <c r="D756" t="s">
        <v>0</v>
      </c>
      <c r="E756">
        <v>500806</v>
      </c>
      <c r="F756" t="s">
        <v>2376</v>
      </c>
      <c r="G756" t="s">
        <v>2377</v>
      </c>
      <c r="H756" s="3">
        <v>0</v>
      </c>
      <c r="I756" s="3">
        <v>0</v>
      </c>
      <c r="J756" s="3">
        <v>0</v>
      </c>
      <c r="K756" s="3">
        <v>11.05</v>
      </c>
      <c r="L756" s="3">
        <v>0</v>
      </c>
      <c r="M756" s="3">
        <v>0</v>
      </c>
      <c r="N756" s="3">
        <v>0</v>
      </c>
      <c r="O756" s="3">
        <v>1.4365000000000001</v>
      </c>
      <c r="P756" s="3">
        <v>12.486500000000001</v>
      </c>
      <c r="Q756" t="s">
        <v>8046</v>
      </c>
      <c r="R756" t="s">
        <v>8200</v>
      </c>
      <c r="S756" s="3" t="s">
        <v>8046</v>
      </c>
      <c r="T756" s="3">
        <v>0</v>
      </c>
    </row>
    <row r="757" spans="1:20" hidden="1" x14ac:dyDescent="0.25">
      <c r="A757" t="s">
        <v>8388</v>
      </c>
      <c r="B757" t="s">
        <v>8539</v>
      </c>
      <c r="C757" t="s">
        <v>1</v>
      </c>
      <c r="D757" t="s">
        <v>0</v>
      </c>
      <c r="E757">
        <v>14549</v>
      </c>
      <c r="F757" t="s">
        <v>1522</v>
      </c>
      <c r="G757" t="s">
        <v>1523</v>
      </c>
      <c r="H757" s="3">
        <v>3.99</v>
      </c>
      <c r="I757" s="3">
        <v>0</v>
      </c>
      <c r="J757" s="3">
        <v>0</v>
      </c>
      <c r="K757" s="3">
        <v>46.91</v>
      </c>
      <c r="L757" s="3">
        <v>0</v>
      </c>
      <c r="M757" s="3">
        <v>0</v>
      </c>
      <c r="N757" s="3">
        <v>0</v>
      </c>
      <c r="O757" s="3">
        <v>6.0983000000000001</v>
      </c>
      <c r="P757" s="3">
        <v>56.9983</v>
      </c>
      <c r="Q757" t="s">
        <v>8046</v>
      </c>
      <c r="R757" t="s">
        <v>8200</v>
      </c>
      <c r="S757" s="3" t="s">
        <v>8046</v>
      </c>
      <c r="T757" s="3">
        <v>0</v>
      </c>
    </row>
    <row r="758" spans="1:20" hidden="1" x14ac:dyDescent="0.25">
      <c r="A758" t="s">
        <v>8388</v>
      </c>
      <c r="B758" t="s">
        <v>8539</v>
      </c>
      <c r="C758" t="s">
        <v>1</v>
      </c>
      <c r="D758" t="s">
        <v>0</v>
      </c>
      <c r="E758">
        <v>4063</v>
      </c>
      <c r="F758" t="s">
        <v>294</v>
      </c>
      <c r="G758" t="s">
        <v>295</v>
      </c>
      <c r="H758" s="3">
        <v>0</v>
      </c>
      <c r="I758" s="3">
        <v>0</v>
      </c>
      <c r="J758" s="3">
        <v>0</v>
      </c>
      <c r="K758" s="3">
        <v>530.97</v>
      </c>
      <c r="L758" s="3">
        <v>0</v>
      </c>
      <c r="M758" s="3">
        <v>0</v>
      </c>
      <c r="N758" s="3">
        <v>0</v>
      </c>
      <c r="O758" s="3">
        <v>69.0261</v>
      </c>
      <c r="P758" s="3">
        <v>599.99610000000007</v>
      </c>
      <c r="Q758" t="s">
        <v>8046</v>
      </c>
      <c r="R758" t="s">
        <v>8200</v>
      </c>
      <c r="S758" s="3" t="s">
        <v>8046</v>
      </c>
      <c r="T758" s="3">
        <v>0</v>
      </c>
    </row>
    <row r="759" spans="1:20" hidden="1" x14ac:dyDescent="0.25">
      <c r="A759" t="s">
        <v>8388</v>
      </c>
      <c r="B759" t="s">
        <v>8539</v>
      </c>
      <c r="C759" t="s">
        <v>1</v>
      </c>
      <c r="D759" t="s">
        <v>0</v>
      </c>
      <c r="E759">
        <v>24777</v>
      </c>
      <c r="F759" t="s">
        <v>3089</v>
      </c>
      <c r="G759" t="s">
        <v>3090</v>
      </c>
      <c r="H759" s="3">
        <v>0</v>
      </c>
      <c r="I759" s="3">
        <v>0</v>
      </c>
      <c r="J759" s="3">
        <v>0</v>
      </c>
      <c r="K759" s="3">
        <v>242.92</v>
      </c>
      <c r="L759" s="3">
        <v>0</v>
      </c>
      <c r="M759" s="3">
        <v>0</v>
      </c>
      <c r="N759" s="3">
        <v>0</v>
      </c>
      <c r="O759" s="3">
        <v>31.579599999999999</v>
      </c>
      <c r="P759" s="3">
        <v>274.49959999999999</v>
      </c>
      <c r="Q759" t="s">
        <v>8046</v>
      </c>
      <c r="R759" t="s">
        <v>8200</v>
      </c>
      <c r="S759" s="3" t="s">
        <v>8341</v>
      </c>
      <c r="T759" s="3">
        <v>2.4300000000000002</v>
      </c>
    </row>
    <row r="760" spans="1:20" hidden="1" x14ac:dyDescent="0.25">
      <c r="A760" t="s">
        <v>8388</v>
      </c>
      <c r="B760" t="s">
        <v>8539</v>
      </c>
      <c r="C760" t="s">
        <v>1</v>
      </c>
      <c r="D760" t="s">
        <v>0</v>
      </c>
      <c r="E760">
        <v>24776</v>
      </c>
      <c r="F760" t="s">
        <v>3089</v>
      </c>
      <c r="G760" t="s">
        <v>3090</v>
      </c>
      <c r="H760" s="3">
        <v>0</v>
      </c>
      <c r="I760" s="3">
        <v>0</v>
      </c>
      <c r="J760" s="3">
        <v>0</v>
      </c>
      <c r="K760" s="3">
        <v>185.52</v>
      </c>
      <c r="L760" s="3">
        <v>0</v>
      </c>
      <c r="M760" s="3">
        <v>0</v>
      </c>
      <c r="N760" s="3">
        <v>0</v>
      </c>
      <c r="O760" s="3">
        <v>24.117600000000003</v>
      </c>
      <c r="P760" s="3">
        <v>209.63760000000002</v>
      </c>
      <c r="Q760" t="s">
        <v>8046</v>
      </c>
      <c r="R760" t="s">
        <v>8200</v>
      </c>
      <c r="S760" s="3" t="s">
        <v>8341</v>
      </c>
      <c r="T760" s="3">
        <v>1.86</v>
      </c>
    </row>
    <row r="761" spans="1:20" hidden="1" x14ac:dyDescent="0.25">
      <c r="A761" t="s">
        <v>8388</v>
      </c>
      <c r="B761" t="s">
        <v>8539</v>
      </c>
      <c r="C761" t="s">
        <v>1</v>
      </c>
      <c r="D761" t="s">
        <v>0</v>
      </c>
      <c r="E761">
        <v>972037</v>
      </c>
      <c r="F761" t="s">
        <v>2440</v>
      </c>
      <c r="G761" t="s">
        <v>2441</v>
      </c>
      <c r="H761" s="3">
        <v>0</v>
      </c>
      <c r="I761" s="3">
        <v>0</v>
      </c>
      <c r="J761" s="3">
        <v>0</v>
      </c>
      <c r="K761" s="3">
        <v>169.21</v>
      </c>
      <c r="L761" s="3">
        <v>0</v>
      </c>
      <c r="M761" s="3">
        <v>0</v>
      </c>
      <c r="N761" s="3">
        <v>0</v>
      </c>
      <c r="O761" s="3">
        <v>21.997300000000003</v>
      </c>
      <c r="P761" s="3">
        <v>191.2073</v>
      </c>
      <c r="Q761" t="s">
        <v>8046</v>
      </c>
      <c r="R761" t="s">
        <v>8200</v>
      </c>
      <c r="S761" s="3" t="s">
        <v>8359</v>
      </c>
      <c r="T761" s="3">
        <v>1.69</v>
      </c>
    </row>
    <row r="762" spans="1:20" hidden="1" x14ac:dyDescent="0.25">
      <c r="A762" t="s">
        <v>8388</v>
      </c>
      <c r="B762" t="s">
        <v>8539</v>
      </c>
      <c r="C762" t="s">
        <v>1</v>
      </c>
      <c r="D762" t="s">
        <v>0</v>
      </c>
      <c r="E762">
        <v>771446</v>
      </c>
      <c r="F762" t="s">
        <v>1576</v>
      </c>
      <c r="G762" t="s">
        <v>1577</v>
      </c>
      <c r="H762" s="3">
        <v>0</v>
      </c>
      <c r="I762" s="3">
        <v>0</v>
      </c>
      <c r="J762" s="3">
        <v>0</v>
      </c>
      <c r="K762" s="3">
        <v>196.79</v>
      </c>
      <c r="L762" s="3">
        <v>0</v>
      </c>
      <c r="M762" s="3">
        <v>0</v>
      </c>
      <c r="N762" s="3">
        <v>0</v>
      </c>
      <c r="O762" s="3">
        <v>25.582699999999999</v>
      </c>
      <c r="P762" s="3">
        <v>222.37269999999998</v>
      </c>
      <c r="Q762" t="s">
        <v>8046</v>
      </c>
      <c r="R762" t="s">
        <v>8200</v>
      </c>
      <c r="S762" s="3" t="s">
        <v>8588</v>
      </c>
      <c r="T762" s="3">
        <v>1.97</v>
      </c>
    </row>
    <row r="763" spans="1:20" hidden="1" x14ac:dyDescent="0.25">
      <c r="A763" t="s">
        <v>8388</v>
      </c>
      <c r="B763" t="s">
        <v>8539</v>
      </c>
      <c r="C763" t="s">
        <v>1</v>
      </c>
      <c r="D763" t="s">
        <v>0</v>
      </c>
      <c r="E763">
        <v>31119</v>
      </c>
      <c r="F763" t="s">
        <v>2998</v>
      </c>
      <c r="G763" t="s">
        <v>2999</v>
      </c>
      <c r="H763" s="3">
        <v>0</v>
      </c>
      <c r="I763" s="3">
        <v>0</v>
      </c>
      <c r="J763" s="3">
        <v>0</v>
      </c>
      <c r="K763" s="3">
        <v>214.43</v>
      </c>
      <c r="L763" s="3">
        <v>0</v>
      </c>
      <c r="M763" s="3">
        <v>0</v>
      </c>
      <c r="N763" s="3">
        <v>0</v>
      </c>
      <c r="O763" s="3">
        <v>27.875900000000001</v>
      </c>
      <c r="P763" s="3">
        <v>242.30590000000001</v>
      </c>
      <c r="Q763" t="s">
        <v>8046</v>
      </c>
      <c r="R763" t="s">
        <v>8200</v>
      </c>
      <c r="S763" s="3" t="s">
        <v>8345</v>
      </c>
      <c r="T763" s="3">
        <v>2.14</v>
      </c>
    </row>
    <row r="764" spans="1:20" hidden="1" x14ac:dyDescent="0.25">
      <c r="A764" t="s">
        <v>8388</v>
      </c>
      <c r="B764" t="s">
        <v>8389</v>
      </c>
      <c r="C764" t="s">
        <v>1</v>
      </c>
      <c r="D764" t="s">
        <v>0</v>
      </c>
      <c r="E764">
        <v>1427509</v>
      </c>
      <c r="F764" t="s">
        <v>1576</v>
      </c>
      <c r="G764" t="s">
        <v>1577</v>
      </c>
      <c r="H764" s="3">
        <v>0</v>
      </c>
      <c r="I764" s="3">
        <v>0</v>
      </c>
      <c r="J764" s="3">
        <v>0</v>
      </c>
      <c r="K764" s="3">
        <v>741.5</v>
      </c>
      <c r="L764" s="3">
        <v>0</v>
      </c>
      <c r="M764" s="3">
        <v>0</v>
      </c>
      <c r="N764" s="3">
        <v>0</v>
      </c>
      <c r="O764" s="3">
        <v>96.39500000000001</v>
      </c>
      <c r="P764" s="3">
        <v>837.89499999999998</v>
      </c>
      <c r="Q764" t="s">
        <v>8046</v>
      </c>
      <c r="R764" t="s">
        <v>8200</v>
      </c>
      <c r="S764" s="3" t="s">
        <v>8345</v>
      </c>
      <c r="T764" s="3">
        <v>7.42</v>
      </c>
    </row>
    <row r="765" spans="1:20" hidden="1" x14ac:dyDescent="0.25">
      <c r="A765" t="s">
        <v>8388</v>
      </c>
      <c r="B765" t="s">
        <v>8389</v>
      </c>
      <c r="C765" t="s">
        <v>1</v>
      </c>
      <c r="D765" t="s">
        <v>0</v>
      </c>
      <c r="E765">
        <v>4458</v>
      </c>
      <c r="F765" t="s">
        <v>3405</v>
      </c>
      <c r="G765" t="s">
        <v>3406</v>
      </c>
      <c r="H765" s="3">
        <v>0</v>
      </c>
      <c r="I765" s="3">
        <v>0</v>
      </c>
      <c r="J765" s="3">
        <v>0</v>
      </c>
      <c r="K765" s="3">
        <v>77.5</v>
      </c>
      <c r="L765" s="3">
        <v>0</v>
      </c>
      <c r="M765" s="3">
        <v>0</v>
      </c>
      <c r="N765" s="3">
        <v>0</v>
      </c>
      <c r="O765" s="3">
        <v>10.075000000000001</v>
      </c>
      <c r="P765" s="3">
        <v>87.575000000000003</v>
      </c>
      <c r="Q765" t="s">
        <v>8046</v>
      </c>
      <c r="R765" t="s">
        <v>8200</v>
      </c>
      <c r="S765" s="3" t="s">
        <v>8046</v>
      </c>
      <c r="T765" s="3">
        <v>0</v>
      </c>
    </row>
    <row r="766" spans="1:20" hidden="1" x14ac:dyDescent="0.25">
      <c r="A766" t="s">
        <v>8388</v>
      </c>
      <c r="B766" t="s">
        <v>8389</v>
      </c>
      <c r="C766" t="s">
        <v>1</v>
      </c>
      <c r="D766" t="s">
        <v>0</v>
      </c>
      <c r="E766">
        <v>3250416</v>
      </c>
      <c r="F766" t="s">
        <v>1620</v>
      </c>
      <c r="G766" t="s">
        <v>1621</v>
      </c>
      <c r="H766" s="3">
        <v>2.2199999999999998</v>
      </c>
      <c r="I766" s="3">
        <v>0</v>
      </c>
      <c r="J766" s="3">
        <v>0</v>
      </c>
      <c r="K766" s="3">
        <v>26.35</v>
      </c>
      <c r="L766" s="3">
        <v>0</v>
      </c>
      <c r="M766" s="3">
        <v>0</v>
      </c>
      <c r="N766" s="3">
        <v>0</v>
      </c>
      <c r="O766" s="3">
        <v>3.4255000000000004</v>
      </c>
      <c r="P766" s="3">
        <v>31.9955</v>
      </c>
      <c r="Q766" t="s">
        <v>8046</v>
      </c>
      <c r="R766" t="s">
        <v>8200</v>
      </c>
      <c r="S766" s="3" t="s">
        <v>8046</v>
      </c>
      <c r="T766" s="3">
        <v>0</v>
      </c>
    </row>
    <row r="767" spans="1:20" hidden="1" x14ac:dyDescent="0.25">
      <c r="A767" t="s">
        <v>8388</v>
      </c>
      <c r="B767" t="s">
        <v>8389</v>
      </c>
      <c r="C767" t="s">
        <v>1</v>
      </c>
      <c r="D767" t="s">
        <v>0</v>
      </c>
      <c r="E767">
        <v>267</v>
      </c>
      <c r="F767" t="s">
        <v>8586</v>
      </c>
      <c r="G767" t="s">
        <v>8587</v>
      </c>
      <c r="H767" s="3">
        <v>0</v>
      </c>
      <c r="I767" s="3">
        <v>0</v>
      </c>
      <c r="J767" s="3">
        <v>0</v>
      </c>
      <c r="K767" s="3">
        <v>146.9</v>
      </c>
      <c r="L767" s="3">
        <v>0</v>
      </c>
      <c r="M767" s="3">
        <v>0</v>
      </c>
      <c r="N767" s="3">
        <v>0</v>
      </c>
      <c r="O767" s="3">
        <v>19.097000000000001</v>
      </c>
      <c r="P767" s="3">
        <v>165.99700000000001</v>
      </c>
      <c r="Q767" t="s">
        <v>8046</v>
      </c>
      <c r="R767" t="s">
        <v>8200</v>
      </c>
      <c r="S767" s="3" t="s">
        <v>8046</v>
      </c>
      <c r="T767" s="3">
        <v>0</v>
      </c>
    </row>
    <row r="768" spans="1:20" hidden="1" x14ac:dyDescent="0.25">
      <c r="A768" t="s">
        <v>8388</v>
      </c>
      <c r="B768" t="s">
        <v>8390</v>
      </c>
      <c r="C768" t="s">
        <v>1</v>
      </c>
      <c r="D768" t="s">
        <v>0</v>
      </c>
      <c r="E768">
        <v>548749</v>
      </c>
      <c r="F768" t="s">
        <v>1546</v>
      </c>
      <c r="G768" t="s">
        <v>1547</v>
      </c>
      <c r="H768" s="3">
        <v>1.3800000000000001</v>
      </c>
      <c r="I768" s="3">
        <v>0</v>
      </c>
      <c r="J768" s="3">
        <v>0</v>
      </c>
      <c r="K768" s="3">
        <v>16.48</v>
      </c>
      <c r="L768" s="3">
        <v>0</v>
      </c>
      <c r="M768" s="3">
        <v>0</v>
      </c>
      <c r="N768" s="3">
        <v>0</v>
      </c>
      <c r="O768" s="3">
        <v>2.1424000000000003</v>
      </c>
      <c r="P768" s="3">
        <v>20.002400000000002</v>
      </c>
      <c r="Q768" t="s">
        <v>8046</v>
      </c>
      <c r="R768" t="s">
        <v>8200</v>
      </c>
      <c r="S768" s="3" t="s">
        <v>8046</v>
      </c>
      <c r="T768" s="3">
        <v>0</v>
      </c>
    </row>
    <row r="769" spans="1:20" hidden="1" x14ac:dyDescent="0.25">
      <c r="A769" t="s">
        <v>8388</v>
      </c>
      <c r="B769" t="s">
        <v>8390</v>
      </c>
      <c r="C769" t="s">
        <v>1</v>
      </c>
      <c r="D769" t="s">
        <v>0</v>
      </c>
      <c r="E769">
        <v>767420</v>
      </c>
      <c r="F769" t="s">
        <v>1576</v>
      </c>
      <c r="G769" t="s">
        <v>1577</v>
      </c>
      <c r="H769" s="3">
        <v>0</v>
      </c>
      <c r="I769" s="3">
        <v>0</v>
      </c>
      <c r="J769" s="3">
        <v>0</v>
      </c>
      <c r="K769" s="3">
        <v>1841.64</v>
      </c>
      <c r="L769" s="3">
        <v>0</v>
      </c>
      <c r="M769" s="3">
        <v>0</v>
      </c>
      <c r="N769" s="3">
        <v>0</v>
      </c>
      <c r="O769" s="3">
        <v>239.41320000000002</v>
      </c>
      <c r="P769" s="3">
        <v>2081.0532000000003</v>
      </c>
      <c r="Q769" t="s">
        <v>8046</v>
      </c>
      <c r="R769" t="s">
        <v>8200</v>
      </c>
      <c r="S769" s="3" t="s">
        <v>8345</v>
      </c>
      <c r="T769" s="3">
        <v>18.420000000000002</v>
      </c>
    </row>
    <row r="770" spans="1:20" hidden="1" x14ac:dyDescent="0.25">
      <c r="A770" t="s">
        <v>8388</v>
      </c>
      <c r="B770" t="s">
        <v>8390</v>
      </c>
      <c r="C770" t="s">
        <v>1</v>
      </c>
      <c r="D770" t="s">
        <v>0</v>
      </c>
      <c r="E770">
        <v>1426986</v>
      </c>
      <c r="F770" t="s">
        <v>1576</v>
      </c>
      <c r="G770" t="s">
        <v>1577</v>
      </c>
      <c r="H770" s="3">
        <v>0</v>
      </c>
      <c r="I770" s="3">
        <v>0</v>
      </c>
      <c r="J770" s="3">
        <v>0</v>
      </c>
      <c r="K770" s="3">
        <v>557.64</v>
      </c>
      <c r="L770" s="3">
        <v>0</v>
      </c>
      <c r="M770" s="3">
        <v>0</v>
      </c>
      <c r="N770" s="3">
        <v>0</v>
      </c>
      <c r="O770" s="3">
        <v>72.493200000000002</v>
      </c>
      <c r="P770" s="3">
        <v>630.13319999999999</v>
      </c>
      <c r="Q770" t="s">
        <v>8046</v>
      </c>
      <c r="R770" t="s">
        <v>8200</v>
      </c>
      <c r="S770" s="3" t="s">
        <v>8345</v>
      </c>
      <c r="T770" s="3">
        <v>5.58</v>
      </c>
    </row>
    <row r="771" spans="1:20" hidden="1" x14ac:dyDescent="0.25">
      <c r="A771" t="s">
        <v>8388</v>
      </c>
      <c r="B771" t="s">
        <v>8390</v>
      </c>
      <c r="C771" t="s">
        <v>1</v>
      </c>
      <c r="D771" t="s">
        <v>0</v>
      </c>
      <c r="E771">
        <v>767494</v>
      </c>
      <c r="F771" t="s">
        <v>1576</v>
      </c>
      <c r="G771" t="s">
        <v>1577</v>
      </c>
      <c r="H771" s="3">
        <v>0</v>
      </c>
      <c r="I771" s="3">
        <v>0</v>
      </c>
      <c r="J771" s="3">
        <v>0</v>
      </c>
      <c r="K771" s="3">
        <v>825.5</v>
      </c>
      <c r="L771" s="3">
        <v>0</v>
      </c>
      <c r="M771" s="3">
        <v>0</v>
      </c>
      <c r="N771" s="3">
        <v>0</v>
      </c>
      <c r="O771" s="3">
        <v>107.315</v>
      </c>
      <c r="P771" s="3">
        <v>932.81500000000005</v>
      </c>
      <c r="Q771" t="s">
        <v>8046</v>
      </c>
      <c r="R771" t="s">
        <v>8200</v>
      </c>
      <c r="S771" s="3" t="s">
        <v>8345</v>
      </c>
      <c r="T771" s="3">
        <v>8.26</v>
      </c>
    </row>
    <row r="772" spans="1:20" hidden="1" x14ac:dyDescent="0.25">
      <c r="A772" t="s">
        <v>8388</v>
      </c>
      <c r="B772" t="s">
        <v>8390</v>
      </c>
      <c r="C772" t="s">
        <v>1</v>
      </c>
      <c r="D772" t="s">
        <v>0</v>
      </c>
      <c r="E772">
        <v>1426991</v>
      </c>
      <c r="F772" t="s">
        <v>1576</v>
      </c>
      <c r="G772" t="s">
        <v>1577</v>
      </c>
      <c r="H772" s="3">
        <v>0</v>
      </c>
      <c r="I772" s="3">
        <v>0</v>
      </c>
      <c r="J772" s="3">
        <v>0</v>
      </c>
      <c r="K772" s="3">
        <v>2507.16</v>
      </c>
      <c r="L772" s="3">
        <v>0</v>
      </c>
      <c r="M772" s="3">
        <v>0</v>
      </c>
      <c r="N772" s="3">
        <v>0</v>
      </c>
      <c r="O772" s="3">
        <v>325.93079999999998</v>
      </c>
      <c r="P772" s="3">
        <v>2833.0907999999999</v>
      </c>
      <c r="Q772" t="s">
        <v>8046</v>
      </c>
      <c r="R772" t="s">
        <v>8200</v>
      </c>
      <c r="S772" s="3" t="s">
        <v>8345</v>
      </c>
      <c r="T772" s="3">
        <v>25.07</v>
      </c>
    </row>
    <row r="773" spans="1:20" hidden="1" x14ac:dyDescent="0.25">
      <c r="A773" t="s">
        <v>8388</v>
      </c>
      <c r="B773" t="s">
        <v>8585</v>
      </c>
      <c r="C773" t="s">
        <v>1</v>
      </c>
      <c r="D773" t="s">
        <v>0</v>
      </c>
      <c r="E773">
        <v>78164</v>
      </c>
      <c r="F773" t="s">
        <v>1705</v>
      </c>
      <c r="G773" t="s">
        <v>1706</v>
      </c>
      <c r="H773" s="3">
        <v>0</v>
      </c>
      <c r="I773" s="3">
        <v>0</v>
      </c>
      <c r="J773" s="3">
        <v>0</v>
      </c>
      <c r="K773" s="3">
        <v>76.040000000000006</v>
      </c>
      <c r="L773" s="3">
        <v>0</v>
      </c>
      <c r="M773" s="3">
        <v>0</v>
      </c>
      <c r="N773" s="3">
        <v>0</v>
      </c>
      <c r="O773" s="3">
        <v>9.8852000000000011</v>
      </c>
      <c r="P773" s="3">
        <v>85.925200000000004</v>
      </c>
      <c r="Q773" t="s">
        <v>8046</v>
      </c>
      <c r="R773" t="s">
        <v>8200</v>
      </c>
      <c r="S773" s="3" t="s">
        <v>8046</v>
      </c>
      <c r="T773" s="3">
        <v>0</v>
      </c>
    </row>
    <row r="774" spans="1:20" hidden="1" x14ac:dyDescent="0.25">
      <c r="A774" t="s">
        <v>8388</v>
      </c>
      <c r="B774" t="s">
        <v>8395</v>
      </c>
      <c r="C774" t="s">
        <v>1</v>
      </c>
      <c r="D774" t="s">
        <v>0</v>
      </c>
      <c r="E774">
        <v>1746956</v>
      </c>
      <c r="F774" t="s">
        <v>1494</v>
      </c>
      <c r="G774" t="s">
        <v>1495</v>
      </c>
      <c r="H774" s="3">
        <v>0</v>
      </c>
      <c r="I774" s="3">
        <v>0</v>
      </c>
      <c r="J774" s="3">
        <v>0</v>
      </c>
      <c r="K774" s="3">
        <v>362.19</v>
      </c>
      <c r="L774" s="3">
        <v>0</v>
      </c>
      <c r="M774" s="3">
        <v>0</v>
      </c>
      <c r="N774" s="3">
        <v>0</v>
      </c>
      <c r="O774" s="3">
        <v>47.084699999999998</v>
      </c>
      <c r="P774" s="3">
        <v>409.2747</v>
      </c>
      <c r="Q774" t="s">
        <v>8046</v>
      </c>
      <c r="R774" t="s">
        <v>8200</v>
      </c>
      <c r="S774" s="3" t="s">
        <v>8046</v>
      </c>
      <c r="T774" s="3">
        <v>0</v>
      </c>
    </row>
    <row r="775" spans="1:20" hidden="1" x14ac:dyDescent="0.25">
      <c r="A775" t="s">
        <v>8388</v>
      </c>
      <c r="B775" t="s">
        <v>8395</v>
      </c>
      <c r="C775" t="s">
        <v>1</v>
      </c>
      <c r="D775" t="s">
        <v>0</v>
      </c>
      <c r="E775">
        <v>1746959</v>
      </c>
      <c r="F775" t="s">
        <v>1494</v>
      </c>
      <c r="G775" t="s">
        <v>1495</v>
      </c>
      <c r="H775" s="3">
        <v>0</v>
      </c>
      <c r="I775" s="3">
        <v>0</v>
      </c>
      <c r="J775" s="3">
        <v>0</v>
      </c>
      <c r="K775" s="3">
        <v>153.81</v>
      </c>
      <c r="L775" s="3">
        <v>0</v>
      </c>
      <c r="M775" s="3">
        <v>0</v>
      </c>
      <c r="N775" s="3">
        <v>0</v>
      </c>
      <c r="O775" s="3">
        <v>19.9953</v>
      </c>
      <c r="P775" s="3">
        <v>173.80529999999999</v>
      </c>
      <c r="Q775" t="s">
        <v>8046</v>
      </c>
      <c r="R775" t="s">
        <v>8200</v>
      </c>
      <c r="S775" s="3" t="s">
        <v>8046</v>
      </c>
      <c r="T775" s="3">
        <v>0</v>
      </c>
    </row>
    <row r="776" spans="1:20" hidden="1" x14ac:dyDescent="0.25">
      <c r="A776" t="s">
        <v>8388</v>
      </c>
      <c r="B776" t="s">
        <v>8395</v>
      </c>
      <c r="C776" t="s">
        <v>1</v>
      </c>
      <c r="D776" t="s">
        <v>0</v>
      </c>
      <c r="E776">
        <v>1746958</v>
      </c>
      <c r="F776" t="s">
        <v>1494</v>
      </c>
      <c r="G776" t="s">
        <v>1495</v>
      </c>
      <c r="H776" s="3">
        <v>0</v>
      </c>
      <c r="I776" s="3">
        <v>0</v>
      </c>
      <c r="J776" s="3">
        <v>0</v>
      </c>
      <c r="K776" s="3">
        <v>60.41</v>
      </c>
      <c r="L776" s="3">
        <v>0</v>
      </c>
      <c r="M776" s="3">
        <v>0</v>
      </c>
      <c r="N776" s="3">
        <v>0</v>
      </c>
      <c r="O776" s="3">
        <v>7.8532999999999999</v>
      </c>
      <c r="P776" s="3">
        <v>68.263300000000001</v>
      </c>
      <c r="Q776" t="s">
        <v>8046</v>
      </c>
      <c r="R776" t="s">
        <v>8200</v>
      </c>
      <c r="S776" s="3" t="s">
        <v>8046</v>
      </c>
      <c r="T776" s="3">
        <v>0</v>
      </c>
    </row>
    <row r="777" spans="1:20" hidden="1" x14ac:dyDescent="0.25">
      <c r="A777" t="s">
        <v>8388</v>
      </c>
      <c r="B777" t="s">
        <v>8395</v>
      </c>
      <c r="C777" t="s">
        <v>1</v>
      </c>
      <c r="D777" t="s">
        <v>0</v>
      </c>
      <c r="E777">
        <v>1746957</v>
      </c>
      <c r="F777" t="s">
        <v>1494</v>
      </c>
      <c r="G777" t="s">
        <v>1495</v>
      </c>
      <c r="H777" s="3">
        <v>0</v>
      </c>
      <c r="I777" s="3">
        <v>0</v>
      </c>
      <c r="J777" s="3">
        <v>0</v>
      </c>
      <c r="K777" s="3">
        <v>602.87</v>
      </c>
      <c r="L777" s="3">
        <v>0</v>
      </c>
      <c r="M777" s="3">
        <v>0</v>
      </c>
      <c r="N777" s="3">
        <v>0</v>
      </c>
      <c r="O777" s="3">
        <v>78.373100000000008</v>
      </c>
      <c r="P777" s="3">
        <v>681.24310000000003</v>
      </c>
      <c r="Q777" t="s">
        <v>8046</v>
      </c>
      <c r="R777" t="s">
        <v>8200</v>
      </c>
      <c r="S777" s="3" t="s">
        <v>8046</v>
      </c>
      <c r="T777" s="3">
        <v>0</v>
      </c>
    </row>
    <row r="778" spans="1:20" hidden="1" x14ac:dyDescent="0.25">
      <c r="A778" t="s">
        <v>8388</v>
      </c>
      <c r="B778" t="s">
        <v>8395</v>
      </c>
      <c r="C778" t="s">
        <v>1</v>
      </c>
      <c r="D778" t="s">
        <v>0</v>
      </c>
      <c r="E778">
        <v>1746960</v>
      </c>
      <c r="F778" t="s">
        <v>1494</v>
      </c>
      <c r="G778" t="s">
        <v>1495</v>
      </c>
      <c r="H778" s="3">
        <v>0</v>
      </c>
      <c r="I778" s="3">
        <v>0</v>
      </c>
      <c r="J778" s="3">
        <v>0</v>
      </c>
      <c r="K778" s="3">
        <v>363.76</v>
      </c>
      <c r="L778" s="3">
        <v>0</v>
      </c>
      <c r="M778" s="3">
        <v>0</v>
      </c>
      <c r="N778" s="3">
        <v>0</v>
      </c>
      <c r="O778" s="3">
        <v>47.288800000000002</v>
      </c>
      <c r="P778" s="3">
        <v>411.04879999999997</v>
      </c>
      <c r="Q778" t="s">
        <v>8046</v>
      </c>
      <c r="R778" t="s">
        <v>8200</v>
      </c>
      <c r="S778" s="3" t="s">
        <v>8046</v>
      </c>
      <c r="T778" s="3">
        <v>0</v>
      </c>
    </row>
    <row r="779" spans="1:20" hidden="1" x14ac:dyDescent="0.25">
      <c r="A779" t="s">
        <v>8388</v>
      </c>
      <c r="B779" t="s">
        <v>8395</v>
      </c>
      <c r="C779" t="s">
        <v>1</v>
      </c>
      <c r="D779" t="s">
        <v>0</v>
      </c>
      <c r="E779">
        <v>1376</v>
      </c>
      <c r="F779" t="s">
        <v>8583</v>
      </c>
      <c r="G779" t="s">
        <v>8584</v>
      </c>
      <c r="H779" s="3">
        <v>0</v>
      </c>
      <c r="I779" s="3">
        <v>0</v>
      </c>
      <c r="J779" s="3">
        <v>0</v>
      </c>
      <c r="K779" s="3">
        <v>77.430000000000007</v>
      </c>
      <c r="L779" s="3">
        <v>0</v>
      </c>
      <c r="M779" s="3">
        <v>0</v>
      </c>
      <c r="N779" s="3">
        <v>0</v>
      </c>
      <c r="O779" s="3">
        <v>10.065900000000001</v>
      </c>
      <c r="P779" s="3">
        <v>87.495900000000006</v>
      </c>
      <c r="Q779" t="s">
        <v>8046</v>
      </c>
      <c r="R779" t="s">
        <v>8200</v>
      </c>
      <c r="S779" s="3" t="s">
        <v>8046</v>
      </c>
      <c r="T779" s="3">
        <v>0</v>
      </c>
    </row>
    <row r="780" spans="1:20" hidden="1" x14ac:dyDescent="0.25">
      <c r="A780" t="s">
        <v>8388</v>
      </c>
      <c r="B780" t="s">
        <v>8395</v>
      </c>
      <c r="C780" t="s">
        <v>1</v>
      </c>
      <c r="D780" t="s">
        <v>0</v>
      </c>
      <c r="E780">
        <v>31070</v>
      </c>
      <c r="F780" t="s">
        <v>3120</v>
      </c>
      <c r="G780" t="s">
        <v>3121</v>
      </c>
      <c r="H780" s="3">
        <v>0</v>
      </c>
      <c r="I780" s="3">
        <v>0</v>
      </c>
      <c r="J780" s="3">
        <v>0</v>
      </c>
      <c r="K780" s="3">
        <v>77.150000000000006</v>
      </c>
      <c r="L780" s="3">
        <v>0</v>
      </c>
      <c r="M780" s="3">
        <v>0</v>
      </c>
      <c r="N780" s="3">
        <v>0</v>
      </c>
      <c r="O780" s="3">
        <v>10.029500000000001</v>
      </c>
      <c r="P780" s="3">
        <v>87.179500000000004</v>
      </c>
      <c r="Q780" t="s">
        <v>8046</v>
      </c>
      <c r="R780" t="s">
        <v>8200</v>
      </c>
      <c r="S780" s="3" t="s">
        <v>8046</v>
      </c>
      <c r="T780" s="3">
        <v>0</v>
      </c>
    </row>
    <row r="781" spans="1:20" hidden="1" x14ac:dyDescent="0.25">
      <c r="A781" t="s">
        <v>8388</v>
      </c>
      <c r="B781" t="s">
        <v>8395</v>
      </c>
      <c r="C781" t="s">
        <v>1</v>
      </c>
      <c r="D781" t="s">
        <v>0</v>
      </c>
      <c r="E781">
        <v>31069</v>
      </c>
      <c r="F781" t="s">
        <v>3120</v>
      </c>
      <c r="G781" t="s">
        <v>3121</v>
      </c>
      <c r="H781" s="3">
        <v>0</v>
      </c>
      <c r="I781" s="3">
        <v>0</v>
      </c>
      <c r="J781" s="3">
        <v>0</v>
      </c>
      <c r="K781" s="3">
        <v>347.64</v>
      </c>
      <c r="L781" s="3">
        <v>0</v>
      </c>
      <c r="M781" s="3">
        <v>0</v>
      </c>
      <c r="N781" s="3">
        <v>0</v>
      </c>
      <c r="O781" s="3">
        <v>45.193199999999997</v>
      </c>
      <c r="P781" s="3">
        <v>392.83319999999998</v>
      </c>
      <c r="Q781" t="s">
        <v>8046</v>
      </c>
      <c r="R781" t="s">
        <v>8200</v>
      </c>
      <c r="S781" s="3" t="s">
        <v>8341</v>
      </c>
      <c r="T781" s="3">
        <v>3.48</v>
      </c>
    </row>
    <row r="782" spans="1:20" hidden="1" x14ac:dyDescent="0.25">
      <c r="A782" t="s">
        <v>8388</v>
      </c>
      <c r="B782" t="s">
        <v>8406</v>
      </c>
      <c r="C782" t="s">
        <v>1</v>
      </c>
      <c r="D782" t="s">
        <v>0</v>
      </c>
      <c r="E782">
        <v>1183</v>
      </c>
      <c r="F782" t="s">
        <v>8581</v>
      </c>
      <c r="G782" t="s">
        <v>8582</v>
      </c>
      <c r="H782" s="3">
        <v>0</v>
      </c>
      <c r="I782" s="3">
        <v>0</v>
      </c>
      <c r="J782" s="3">
        <v>0</v>
      </c>
      <c r="K782" s="3">
        <v>42.04</v>
      </c>
      <c r="L782" s="3">
        <v>0</v>
      </c>
      <c r="M782" s="3">
        <v>0</v>
      </c>
      <c r="N782" s="3">
        <v>0</v>
      </c>
      <c r="O782" s="3">
        <v>5.4652000000000003</v>
      </c>
      <c r="P782" s="3">
        <v>47.505200000000002</v>
      </c>
      <c r="Q782" t="s">
        <v>8046</v>
      </c>
      <c r="R782" t="s">
        <v>8200</v>
      </c>
      <c r="S782" s="3" t="s">
        <v>8046</v>
      </c>
      <c r="T782" s="3">
        <v>0</v>
      </c>
    </row>
    <row r="783" spans="1:20" hidden="1" x14ac:dyDescent="0.25">
      <c r="A783" t="s">
        <v>8388</v>
      </c>
      <c r="B783" t="s">
        <v>8409</v>
      </c>
      <c r="C783" t="s">
        <v>1</v>
      </c>
      <c r="D783" t="s">
        <v>0</v>
      </c>
      <c r="E783">
        <v>19109</v>
      </c>
      <c r="F783" t="s">
        <v>1457</v>
      </c>
      <c r="G783" t="s">
        <v>1458</v>
      </c>
      <c r="H783" s="3">
        <v>0</v>
      </c>
      <c r="I783" s="3">
        <v>0</v>
      </c>
      <c r="J783" s="3">
        <v>0</v>
      </c>
      <c r="K783" s="3">
        <v>81.790000000000006</v>
      </c>
      <c r="L783" s="3">
        <v>0</v>
      </c>
      <c r="M783" s="3">
        <v>0</v>
      </c>
      <c r="N783" s="3">
        <v>0</v>
      </c>
      <c r="O783" s="3">
        <v>10.632700000000002</v>
      </c>
      <c r="P783" s="3">
        <v>92.422700000000006</v>
      </c>
      <c r="Q783" t="s">
        <v>8046</v>
      </c>
      <c r="R783" t="s">
        <v>8200</v>
      </c>
      <c r="S783" s="3" t="s">
        <v>8046</v>
      </c>
      <c r="T783" s="3">
        <v>0</v>
      </c>
    </row>
    <row r="784" spans="1:20" hidden="1" x14ac:dyDescent="0.25">
      <c r="A784" t="s">
        <v>8388</v>
      </c>
      <c r="B784" t="s">
        <v>8409</v>
      </c>
      <c r="C784" t="s">
        <v>1</v>
      </c>
      <c r="D784" t="s">
        <v>0</v>
      </c>
      <c r="E784">
        <v>73604</v>
      </c>
      <c r="F784" t="s">
        <v>3374</v>
      </c>
      <c r="G784" t="s">
        <v>3375</v>
      </c>
      <c r="H784" s="3">
        <v>0</v>
      </c>
      <c r="I784" s="3">
        <v>0</v>
      </c>
      <c r="J784" s="3">
        <v>0</v>
      </c>
      <c r="K784" s="3">
        <v>8.2100000000000009</v>
      </c>
      <c r="L784" s="3">
        <v>0</v>
      </c>
      <c r="M784" s="3">
        <v>0</v>
      </c>
      <c r="N784" s="3">
        <v>0</v>
      </c>
      <c r="O784" s="3">
        <v>1.0673000000000001</v>
      </c>
      <c r="P784" s="3">
        <v>9.2773000000000003</v>
      </c>
      <c r="Q784" t="s">
        <v>8046</v>
      </c>
      <c r="R784" t="s">
        <v>8200</v>
      </c>
      <c r="S784" s="3" t="s">
        <v>8046</v>
      </c>
      <c r="T784" s="3">
        <v>0</v>
      </c>
    </row>
    <row r="785" spans="1:20" hidden="1" x14ac:dyDescent="0.25">
      <c r="A785" t="s">
        <v>8388</v>
      </c>
      <c r="B785" t="s">
        <v>8409</v>
      </c>
      <c r="C785" t="s">
        <v>1</v>
      </c>
      <c r="D785" t="s">
        <v>0</v>
      </c>
      <c r="E785">
        <v>58976</v>
      </c>
      <c r="F785" t="s">
        <v>1670</v>
      </c>
      <c r="G785" t="s">
        <v>1671</v>
      </c>
      <c r="H785" s="3">
        <v>3.13</v>
      </c>
      <c r="I785" s="3">
        <v>0</v>
      </c>
      <c r="J785" s="3">
        <v>0</v>
      </c>
      <c r="K785" s="3">
        <v>35.729999999999997</v>
      </c>
      <c r="L785" s="3">
        <v>0</v>
      </c>
      <c r="M785" s="3">
        <v>0</v>
      </c>
      <c r="N785" s="3">
        <v>0</v>
      </c>
      <c r="O785" s="3">
        <v>4.6448999999999998</v>
      </c>
      <c r="P785" s="3">
        <v>43.504899999999999</v>
      </c>
      <c r="Q785" t="s">
        <v>8046</v>
      </c>
      <c r="R785" t="s">
        <v>8200</v>
      </c>
      <c r="S785" s="3" t="s">
        <v>8046</v>
      </c>
      <c r="T785" s="3">
        <v>0</v>
      </c>
    </row>
    <row r="786" spans="1:20" hidden="1" x14ac:dyDescent="0.25">
      <c r="A786" t="s">
        <v>8388</v>
      </c>
      <c r="B786" t="s">
        <v>8131</v>
      </c>
      <c r="C786" t="s">
        <v>1</v>
      </c>
      <c r="D786" t="s">
        <v>0</v>
      </c>
      <c r="E786">
        <v>1156</v>
      </c>
      <c r="F786" t="s">
        <v>8581</v>
      </c>
      <c r="G786" t="s">
        <v>8582</v>
      </c>
      <c r="H786" s="3">
        <v>0</v>
      </c>
      <c r="I786" s="3">
        <v>0</v>
      </c>
      <c r="J786" s="3">
        <v>0</v>
      </c>
      <c r="K786" s="3">
        <v>184.07</v>
      </c>
      <c r="L786" s="3">
        <v>0</v>
      </c>
      <c r="M786" s="3">
        <v>0</v>
      </c>
      <c r="N786" s="3">
        <v>0</v>
      </c>
      <c r="O786" s="3">
        <v>23.929099999999998</v>
      </c>
      <c r="P786" s="3">
        <v>207.9991</v>
      </c>
      <c r="Q786" t="s">
        <v>8046</v>
      </c>
      <c r="R786" t="s">
        <v>8200</v>
      </c>
      <c r="S786" s="3" t="s">
        <v>8046</v>
      </c>
      <c r="T786" s="3">
        <v>0</v>
      </c>
    </row>
    <row r="787" spans="1:20" hidden="1" x14ac:dyDescent="0.25">
      <c r="A787" t="s">
        <v>8388</v>
      </c>
      <c r="B787" t="s">
        <v>8479</v>
      </c>
      <c r="C787" t="s">
        <v>1</v>
      </c>
      <c r="D787" t="s">
        <v>0</v>
      </c>
      <c r="E787">
        <v>491427</v>
      </c>
      <c r="F787" t="s">
        <v>2376</v>
      </c>
      <c r="G787" t="s">
        <v>2377</v>
      </c>
      <c r="H787" s="3">
        <v>0</v>
      </c>
      <c r="I787" s="3">
        <v>0</v>
      </c>
      <c r="J787" s="3">
        <v>0</v>
      </c>
      <c r="K787" s="3">
        <v>16.670000000000002</v>
      </c>
      <c r="L787" s="3">
        <v>0</v>
      </c>
      <c r="M787" s="3">
        <v>0</v>
      </c>
      <c r="N787" s="3">
        <v>0</v>
      </c>
      <c r="O787" s="3">
        <v>2.1671000000000005</v>
      </c>
      <c r="P787" s="3">
        <v>18.837100000000003</v>
      </c>
      <c r="Q787" t="s">
        <v>8046</v>
      </c>
      <c r="R787" t="s">
        <v>8200</v>
      </c>
      <c r="S787" s="3" t="s">
        <v>8046</v>
      </c>
      <c r="T787" s="3">
        <v>0</v>
      </c>
    </row>
    <row r="788" spans="1:20" hidden="1" x14ac:dyDescent="0.25">
      <c r="A788" t="s">
        <v>8388</v>
      </c>
      <c r="B788" t="s">
        <v>8141</v>
      </c>
      <c r="C788" t="s">
        <v>1</v>
      </c>
      <c r="D788" t="s">
        <v>0</v>
      </c>
      <c r="E788">
        <v>14054</v>
      </c>
      <c r="F788" t="s">
        <v>8581</v>
      </c>
      <c r="G788" t="s">
        <v>8582</v>
      </c>
      <c r="H788" s="3">
        <v>0</v>
      </c>
      <c r="I788" s="3">
        <v>0</v>
      </c>
      <c r="J788" s="3">
        <v>0</v>
      </c>
      <c r="K788" s="3">
        <v>194.69</v>
      </c>
      <c r="L788" s="3">
        <v>0</v>
      </c>
      <c r="M788" s="3">
        <v>0</v>
      </c>
      <c r="N788" s="3">
        <v>0</v>
      </c>
      <c r="O788" s="3">
        <v>25.309699999999999</v>
      </c>
      <c r="P788" s="3">
        <v>219.99969999999999</v>
      </c>
      <c r="Q788" t="s">
        <v>8046</v>
      </c>
      <c r="R788" t="s">
        <v>8200</v>
      </c>
      <c r="S788" s="3" t="s">
        <v>8046</v>
      </c>
      <c r="T788" s="3">
        <v>0</v>
      </c>
    </row>
    <row r="789" spans="1:20" hidden="1" x14ac:dyDescent="0.25">
      <c r="A789" t="s">
        <v>8388</v>
      </c>
      <c r="B789" t="s">
        <v>8132</v>
      </c>
      <c r="C789" t="s">
        <v>1</v>
      </c>
      <c r="D789" t="s">
        <v>0</v>
      </c>
      <c r="E789">
        <v>1113</v>
      </c>
      <c r="F789" t="s">
        <v>8581</v>
      </c>
      <c r="G789" t="s">
        <v>8582</v>
      </c>
      <c r="H789" s="3">
        <v>0</v>
      </c>
      <c r="I789" s="3">
        <v>0</v>
      </c>
      <c r="J789" s="3">
        <v>0</v>
      </c>
      <c r="K789" s="3">
        <v>135.4</v>
      </c>
      <c r="L789" s="3">
        <v>0</v>
      </c>
      <c r="M789" s="3">
        <v>0</v>
      </c>
      <c r="N789" s="3">
        <v>0</v>
      </c>
      <c r="O789" s="3">
        <v>17.602</v>
      </c>
      <c r="P789" s="3">
        <v>153.00200000000001</v>
      </c>
      <c r="Q789" t="s">
        <v>8046</v>
      </c>
      <c r="R789" t="s">
        <v>8200</v>
      </c>
      <c r="S789" s="3" t="s">
        <v>8046</v>
      </c>
      <c r="T789" s="3">
        <v>0</v>
      </c>
    </row>
    <row r="790" spans="1:20" hidden="1" x14ac:dyDescent="0.25">
      <c r="A790" t="s">
        <v>8388</v>
      </c>
      <c r="B790" t="s">
        <v>8347</v>
      </c>
      <c r="C790" t="s">
        <v>1</v>
      </c>
      <c r="D790" t="s">
        <v>0</v>
      </c>
      <c r="E790">
        <v>2021</v>
      </c>
      <c r="F790" t="s">
        <v>8579</v>
      </c>
      <c r="G790" t="s">
        <v>8580</v>
      </c>
      <c r="H790" s="3">
        <v>0</v>
      </c>
      <c r="I790" s="3">
        <v>0</v>
      </c>
      <c r="J790" s="3">
        <v>0</v>
      </c>
      <c r="K790" s="3">
        <v>89.91</v>
      </c>
      <c r="L790" s="3">
        <v>0</v>
      </c>
      <c r="M790" s="3">
        <v>0</v>
      </c>
      <c r="N790" s="3">
        <v>0</v>
      </c>
      <c r="O790" s="3">
        <v>11.6883</v>
      </c>
      <c r="P790" s="3">
        <v>101.59829999999999</v>
      </c>
      <c r="Q790" t="s">
        <v>8046</v>
      </c>
      <c r="R790" t="s">
        <v>8200</v>
      </c>
      <c r="S790" s="3" t="s">
        <v>8046</v>
      </c>
      <c r="T790" s="3">
        <v>0</v>
      </c>
    </row>
    <row r="791" spans="1:20" hidden="1" x14ac:dyDescent="0.25">
      <c r="A791" t="s">
        <v>8387</v>
      </c>
      <c r="B791" t="s">
        <v>8390</v>
      </c>
      <c r="C791" t="s">
        <v>1</v>
      </c>
      <c r="D791" t="s">
        <v>8333</v>
      </c>
      <c r="E791">
        <v>6102</v>
      </c>
      <c r="F791" t="s">
        <v>1519</v>
      </c>
      <c r="G791" t="s">
        <v>1520</v>
      </c>
      <c r="H791" s="3">
        <v>0</v>
      </c>
      <c r="I791" s="3">
        <v>0</v>
      </c>
      <c r="J791" s="3">
        <v>0</v>
      </c>
      <c r="K791" s="3">
        <v>18.2</v>
      </c>
      <c r="L791" s="3">
        <v>0</v>
      </c>
      <c r="M791" s="3">
        <v>0</v>
      </c>
      <c r="N791" s="3">
        <v>0</v>
      </c>
      <c r="O791" s="3">
        <v>2.3660000000000001</v>
      </c>
      <c r="P791" s="3">
        <v>20.565999999999999</v>
      </c>
      <c r="Q791" t="s">
        <v>8046</v>
      </c>
      <c r="R791" t="s">
        <v>8200</v>
      </c>
      <c r="S791" s="3" t="s">
        <v>8046</v>
      </c>
      <c r="T791" s="3">
        <v>0</v>
      </c>
    </row>
    <row r="792" spans="1:20" hidden="1" x14ac:dyDescent="0.25">
      <c r="A792" t="s">
        <v>8387</v>
      </c>
      <c r="B792" t="s">
        <v>8390</v>
      </c>
      <c r="C792" t="s">
        <v>1</v>
      </c>
      <c r="D792" t="s">
        <v>0</v>
      </c>
      <c r="E792">
        <v>10947</v>
      </c>
      <c r="F792" t="s">
        <v>1519</v>
      </c>
      <c r="G792" t="s">
        <v>1520</v>
      </c>
      <c r="H792" s="3">
        <v>0</v>
      </c>
      <c r="I792" s="3">
        <v>0</v>
      </c>
      <c r="J792" s="3">
        <v>0</v>
      </c>
      <c r="K792" s="3">
        <v>409.15</v>
      </c>
      <c r="L792" s="3">
        <v>0</v>
      </c>
      <c r="M792" s="3">
        <v>0</v>
      </c>
      <c r="N792" s="3">
        <v>0</v>
      </c>
      <c r="O792" s="3">
        <v>53.189499999999995</v>
      </c>
      <c r="P792" s="3">
        <v>462.33949999999999</v>
      </c>
      <c r="Q792" t="s">
        <v>8046</v>
      </c>
      <c r="R792" t="s">
        <v>8200</v>
      </c>
      <c r="S792" s="3" t="s">
        <v>8341</v>
      </c>
      <c r="T792" s="3">
        <v>4.09</v>
      </c>
    </row>
    <row r="793" spans="1:20" hidden="1" x14ac:dyDescent="0.25">
      <c r="A793" t="s">
        <v>8387</v>
      </c>
      <c r="B793" t="s">
        <v>8390</v>
      </c>
      <c r="C793" t="s">
        <v>1</v>
      </c>
      <c r="D793" t="s">
        <v>0</v>
      </c>
      <c r="E793">
        <v>204009</v>
      </c>
      <c r="F793" t="s">
        <v>1646</v>
      </c>
      <c r="G793" t="s">
        <v>1647</v>
      </c>
      <c r="H793" s="3">
        <v>0</v>
      </c>
      <c r="I793" s="3">
        <v>0</v>
      </c>
      <c r="J793" s="3">
        <v>0</v>
      </c>
      <c r="K793" s="3">
        <v>214.79</v>
      </c>
      <c r="L793" s="3">
        <v>0</v>
      </c>
      <c r="M793" s="3">
        <v>0</v>
      </c>
      <c r="N793" s="3">
        <v>0</v>
      </c>
      <c r="O793" s="3">
        <v>27.922699999999999</v>
      </c>
      <c r="P793" s="3">
        <v>242.71269999999998</v>
      </c>
      <c r="Q793" t="s">
        <v>8046</v>
      </c>
      <c r="R793" t="s">
        <v>8200</v>
      </c>
      <c r="S793" s="3" t="s">
        <v>8360</v>
      </c>
      <c r="T793" s="3">
        <v>2.15</v>
      </c>
    </row>
    <row r="794" spans="1:20" hidden="1" x14ac:dyDescent="0.25">
      <c r="A794" t="s">
        <v>8387</v>
      </c>
      <c r="B794" t="s">
        <v>8390</v>
      </c>
      <c r="C794" t="s">
        <v>1</v>
      </c>
      <c r="D794" t="s">
        <v>0</v>
      </c>
      <c r="E794">
        <v>1372</v>
      </c>
      <c r="F794" t="s">
        <v>7902</v>
      </c>
      <c r="G794" t="s">
        <v>7903</v>
      </c>
      <c r="H794" s="3">
        <v>0</v>
      </c>
      <c r="I794" s="3">
        <v>0</v>
      </c>
      <c r="J794" s="3">
        <v>0</v>
      </c>
      <c r="K794" s="3">
        <v>162.03</v>
      </c>
      <c r="L794" s="3">
        <v>0</v>
      </c>
      <c r="M794" s="3">
        <v>0</v>
      </c>
      <c r="N794" s="3">
        <v>0</v>
      </c>
      <c r="O794" s="3">
        <v>21.0639</v>
      </c>
      <c r="P794" s="3">
        <v>183.09389999999999</v>
      </c>
      <c r="Q794" t="s">
        <v>8046</v>
      </c>
      <c r="R794" t="s">
        <v>8200</v>
      </c>
      <c r="S794" s="3" t="s">
        <v>8046</v>
      </c>
      <c r="T794" s="3">
        <v>0</v>
      </c>
    </row>
    <row r="795" spans="1:20" hidden="1" x14ac:dyDescent="0.25">
      <c r="A795" t="s">
        <v>8387</v>
      </c>
      <c r="B795" t="s">
        <v>8390</v>
      </c>
      <c r="C795" t="s">
        <v>1</v>
      </c>
      <c r="D795" t="s">
        <v>0</v>
      </c>
      <c r="E795">
        <v>3187</v>
      </c>
      <c r="F795" t="s">
        <v>8516</v>
      </c>
      <c r="G795" t="s">
        <v>8517</v>
      </c>
      <c r="H795" s="3">
        <v>0</v>
      </c>
      <c r="I795" s="3">
        <v>0</v>
      </c>
      <c r="J795" s="3">
        <v>0</v>
      </c>
      <c r="K795" s="3">
        <v>66.37</v>
      </c>
      <c r="L795" s="3">
        <v>0</v>
      </c>
      <c r="M795" s="3">
        <v>0</v>
      </c>
      <c r="N795" s="3">
        <v>0</v>
      </c>
      <c r="O795" s="3">
        <v>8.6281000000000017</v>
      </c>
      <c r="P795" s="3">
        <v>74.998100000000008</v>
      </c>
      <c r="Q795" t="s">
        <v>8046</v>
      </c>
      <c r="R795" t="s">
        <v>8200</v>
      </c>
      <c r="S795" s="3" t="s">
        <v>8046</v>
      </c>
      <c r="T795" s="3">
        <v>0</v>
      </c>
    </row>
    <row r="796" spans="1:20" hidden="1" x14ac:dyDescent="0.25">
      <c r="A796" t="s">
        <v>8387</v>
      </c>
      <c r="B796" t="s">
        <v>8390</v>
      </c>
      <c r="C796" t="s">
        <v>1</v>
      </c>
      <c r="D796" t="s">
        <v>0</v>
      </c>
      <c r="E796">
        <v>18307</v>
      </c>
      <c r="F796" t="s">
        <v>1653</v>
      </c>
      <c r="G796" t="s">
        <v>1654</v>
      </c>
      <c r="H796" s="3">
        <v>2.46</v>
      </c>
      <c r="I796" s="3">
        <v>0</v>
      </c>
      <c r="J796" s="3">
        <v>0</v>
      </c>
      <c r="K796" s="3">
        <v>28.79</v>
      </c>
      <c r="L796" s="3">
        <v>0</v>
      </c>
      <c r="M796" s="3">
        <v>0</v>
      </c>
      <c r="N796" s="3">
        <v>0</v>
      </c>
      <c r="O796" s="3">
        <v>3.7427000000000001</v>
      </c>
      <c r="P796" s="3">
        <v>34.992699999999999</v>
      </c>
      <c r="Q796" t="s">
        <v>8046</v>
      </c>
      <c r="R796" t="s">
        <v>8200</v>
      </c>
      <c r="S796" s="3" t="s">
        <v>8046</v>
      </c>
      <c r="T796" s="3">
        <v>0</v>
      </c>
    </row>
    <row r="797" spans="1:20" hidden="1" x14ac:dyDescent="0.25">
      <c r="A797" t="s">
        <v>8387</v>
      </c>
      <c r="B797" t="s">
        <v>8484</v>
      </c>
      <c r="C797" t="s">
        <v>1</v>
      </c>
      <c r="D797" t="s">
        <v>0</v>
      </c>
      <c r="E797">
        <v>138</v>
      </c>
      <c r="F797" t="s">
        <v>8514</v>
      </c>
      <c r="G797" t="s">
        <v>8515</v>
      </c>
      <c r="H797" s="3">
        <v>0</v>
      </c>
      <c r="I797" s="3">
        <v>0</v>
      </c>
      <c r="J797" s="3">
        <v>0</v>
      </c>
      <c r="K797" s="3">
        <v>25</v>
      </c>
      <c r="L797" s="3">
        <v>0</v>
      </c>
      <c r="M797" s="3">
        <v>0</v>
      </c>
      <c r="N797" s="3">
        <v>0</v>
      </c>
      <c r="O797" s="3">
        <v>3.25</v>
      </c>
      <c r="P797" s="3">
        <v>28.25</v>
      </c>
      <c r="Q797" t="s">
        <v>8046</v>
      </c>
      <c r="R797" t="s">
        <v>8200</v>
      </c>
      <c r="S797" s="3" t="s">
        <v>8046</v>
      </c>
      <c r="T797" s="3">
        <v>0</v>
      </c>
    </row>
    <row r="798" spans="1:20" hidden="1" x14ac:dyDescent="0.25">
      <c r="A798" t="s">
        <v>8387</v>
      </c>
      <c r="B798" t="s">
        <v>8395</v>
      </c>
      <c r="C798" t="s">
        <v>1</v>
      </c>
      <c r="D798" t="s">
        <v>0</v>
      </c>
      <c r="E798">
        <v>971514</v>
      </c>
      <c r="F798" t="s">
        <v>2440</v>
      </c>
      <c r="G798" t="s">
        <v>2441</v>
      </c>
      <c r="H798" s="3">
        <v>0</v>
      </c>
      <c r="I798" s="3">
        <v>0</v>
      </c>
      <c r="J798" s="3">
        <v>0</v>
      </c>
      <c r="K798" s="3">
        <v>645.98</v>
      </c>
      <c r="L798" s="3">
        <v>0</v>
      </c>
      <c r="M798" s="3">
        <v>0</v>
      </c>
      <c r="N798" s="3">
        <v>0</v>
      </c>
      <c r="O798" s="3">
        <v>83.977400000000003</v>
      </c>
      <c r="P798" s="3">
        <v>729.95740000000001</v>
      </c>
      <c r="Q798" t="s">
        <v>8046</v>
      </c>
      <c r="R798" t="s">
        <v>8200</v>
      </c>
      <c r="S798" s="3" t="s">
        <v>8359</v>
      </c>
      <c r="T798" s="3">
        <v>6.46</v>
      </c>
    </row>
    <row r="799" spans="1:20" hidden="1" x14ac:dyDescent="0.25">
      <c r="A799" t="s">
        <v>8387</v>
      </c>
      <c r="B799" t="s">
        <v>8395</v>
      </c>
      <c r="C799" t="s">
        <v>1</v>
      </c>
      <c r="D799" t="s">
        <v>0</v>
      </c>
      <c r="E799">
        <v>3824</v>
      </c>
      <c r="F799" t="s">
        <v>7877</v>
      </c>
      <c r="G799" t="s">
        <v>7878</v>
      </c>
      <c r="H799" s="3">
        <v>0</v>
      </c>
      <c r="I799" s="3">
        <v>0</v>
      </c>
      <c r="J799" s="3">
        <v>0</v>
      </c>
      <c r="K799" s="3">
        <v>40.299999999999997</v>
      </c>
      <c r="L799" s="3">
        <v>0</v>
      </c>
      <c r="M799" s="3">
        <v>0</v>
      </c>
      <c r="N799" s="3">
        <v>0</v>
      </c>
      <c r="O799" s="3">
        <v>5.2389999999999999</v>
      </c>
      <c r="P799" s="3">
        <v>45.538999999999994</v>
      </c>
      <c r="Q799" t="s">
        <v>8046</v>
      </c>
      <c r="R799" t="s">
        <v>8200</v>
      </c>
      <c r="S799" s="3" t="s">
        <v>8046</v>
      </c>
      <c r="T799" s="3">
        <v>0</v>
      </c>
    </row>
    <row r="800" spans="1:20" hidden="1" x14ac:dyDescent="0.25">
      <c r="A800" t="s">
        <v>8387</v>
      </c>
      <c r="B800" t="s">
        <v>8395</v>
      </c>
      <c r="C800" t="s">
        <v>1</v>
      </c>
      <c r="D800" t="s">
        <v>0</v>
      </c>
      <c r="E800">
        <v>395136</v>
      </c>
      <c r="F800" t="s">
        <v>1501</v>
      </c>
      <c r="G800" t="s">
        <v>1502</v>
      </c>
      <c r="H800" s="3">
        <v>2.88</v>
      </c>
      <c r="I800" s="3">
        <v>0</v>
      </c>
      <c r="J800" s="3">
        <v>0</v>
      </c>
      <c r="K800" s="3">
        <v>33.74</v>
      </c>
      <c r="L800" s="3">
        <v>0</v>
      </c>
      <c r="M800" s="3">
        <v>0</v>
      </c>
      <c r="N800" s="3">
        <v>0</v>
      </c>
      <c r="O800" s="3">
        <v>4.3862000000000005</v>
      </c>
      <c r="P800" s="3">
        <v>41.006200000000007</v>
      </c>
      <c r="Q800" t="s">
        <v>8046</v>
      </c>
      <c r="R800" t="s">
        <v>8200</v>
      </c>
      <c r="S800" s="3" t="s">
        <v>8046</v>
      </c>
      <c r="T800" s="3">
        <v>0</v>
      </c>
    </row>
    <row r="801" spans="1:20" hidden="1" x14ac:dyDescent="0.25">
      <c r="A801" t="s">
        <v>8387</v>
      </c>
      <c r="B801" t="s">
        <v>8398</v>
      </c>
      <c r="C801" t="s">
        <v>1</v>
      </c>
      <c r="D801" t="s">
        <v>0</v>
      </c>
      <c r="E801">
        <v>203967</v>
      </c>
      <c r="F801" t="s">
        <v>2701</v>
      </c>
      <c r="G801" t="s">
        <v>2702</v>
      </c>
      <c r="H801" s="3">
        <v>0</v>
      </c>
      <c r="I801" s="3">
        <v>0</v>
      </c>
      <c r="J801" s="3">
        <v>0</v>
      </c>
      <c r="K801" s="3">
        <v>46.33</v>
      </c>
      <c r="L801" s="3">
        <v>0</v>
      </c>
      <c r="M801" s="3">
        <v>0</v>
      </c>
      <c r="N801" s="3">
        <v>0</v>
      </c>
      <c r="O801" s="3">
        <v>6.0228999999999999</v>
      </c>
      <c r="P801" s="3">
        <v>52.352899999999998</v>
      </c>
      <c r="Q801" t="s">
        <v>8046</v>
      </c>
      <c r="R801" t="s">
        <v>8200</v>
      </c>
      <c r="S801" s="3" t="s">
        <v>8046</v>
      </c>
      <c r="T801" s="3">
        <v>0</v>
      </c>
    </row>
    <row r="802" spans="1:20" hidden="1" x14ac:dyDescent="0.25">
      <c r="A802" t="s">
        <v>8387</v>
      </c>
      <c r="B802" t="s">
        <v>8398</v>
      </c>
      <c r="C802" t="s">
        <v>1</v>
      </c>
      <c r="D802" t="s">
        <v>0</v>
      </c>
      <c r="E802">
        <v>8322</v>
      </c>
      <c r="F802" t="s">
        <v>1200</v>
      </c>
      <c r="G802" t="s">
        <v>1201</v>
      </c>
      <c r="H802" s="3">
        <v>0</v>
      </c>
      <c r="I802" s="3">
        <v>0</v>
      </c>
      <c r="J802" s="3">
        <v>0</v>
      </c>
      <c r="K802" s="3">
        <v>675</v>
      </c>
      <c r="L802" s="3">
        <v>0</v>
      </c>
      <c r="M802" s="3">
        <v>0</v>
      </c>
      <c r="N802" s="3">
        <v>0</v>
      </c>
      <c r="O802" s="3">
        <v>87.75</v>
      </c>
      <c r="P802" s="3">
        <v>762.75</v>
      </c>
      <c r="Q802" t="s">
        <v>8046</v>
      </c>
      <c r="R802" t="s">
        <v>8200</v>
      </c>
      <c r="S802" s="3" t="s">
        <v>8358</v>
      </c>
      <c r="T802" s="3">
        <v>6.75</v>
      </c>
    </row>
    <row r="803" spans="1:20" hidden="1" x14ac:dyDescent="0.25">
      <c r="A803" t="s">
        <v>8387</v>
      </c>
      <c r="B803" t="s">
        <v>8398</v>
      </c>
      <c r="C803" t="s">
        <v>1</v>
      </c>
      <c r="D803" t="s">
        <v>0</v>
      </c>
      <c r="E803">
        <v>29531</v>
      </c>
      <c r="F803" t="s">
        <v>2998</v>
      </c>
      <c r="G803" t="s">
        <v>2999</v>
      </c>
      <c r="H803" s="3">
        <v>0</v>
      </c>
      <c r="I803" s="3">
        <v>0</v>
      </c>
      <c r="J803" s="3">
        <v>0</v>
      </c>
      <c r="K803" s="3">
        <v>1286.55</v>
      </c>
      <c r="L803" s="3">
        <v>0</v>
      </c>
      <c r="M803" s="3">
        <v>0</v>
      </c>
      <c r="N803" s="3">
        <v>0</v>
      </c>
      <c r="O803" s="3">
        <v>167.25149999999999</v>
      </c>
      <c r="P803" s="3">
        <v>1453.8015</v>
      </c>
      <c r="Q803" t="s">
        <v>8046</v>
      </c>
      <c r="R803" t="s">
        <v>8200</v>
      </c>
      <c r="S803" s="3" t="s">
        <v>8345</v>
      </c>
      <c r="T803" s="3">
        <v>12.87</v>
      </c>
    </row>
    <row r="804" spans="1:20" hidden="1" x14ac:dyDescent="0.25">
      <c r="A804" t="s">
        <v>8387</v>
      </c>
      <c r="B804" t="s">
        <v>8398</v>
      </c>
      <c r="C804" t="s">
        <v>1</v>
      </c>
      <c r="D804" t="s">
        <v>0</v>
      </c>
      <c r="E804">
        <v>3694</v>
      </c>
      <c r="F804" t="s">
        <v>1686</v>
      </c>
      <c r="G804" t="s">
        <v>1687</v>
      </c>
      <c r="H804" s="3">
        <v>0</v>
      </c>
      <c r="I804" s="3">
        <v>0</v>
      </c>
      <c r="J804" s="3">
        <v>0</v>
      </c>
      <c r="K804" s="3">
        <v>13.27</v>
      </c>
      <c r="L804" s="3">
        <v>0</v>
      </c>
      <c r="M804" s="3">
        <v>0</v>
      </c>
      <c r="N804" s="3">
        <v>0</v>
      </c>
      <c r="O804" s="3">
        <v>1.7251000000000001</v>
      </c>
      <c r="P804" s="3">
        <v>14.995099999999999</v>
      </c>
      <c r="Q804" t="s">
        <v>8046</v>
      </c>
      <c r="R804" t="s">
        <v>8200</v>
      </c>
      <c r="S804" s="3" t="s">
        <v>8046</v>
      </c>
      <c r="T804" s="3">
        <v>0</v>
      </c>
    </row>
    <row r="805" spans="1:20" hidden="1" x14ac:dyDescent="0.25">
      <c r="A805" t="s">
        <v>8387</v>
      </c>
      <c r="B805" t="s">
        <v>8398</v>
      </c>
      <c r="C805" t="s">
        <v>1</v>
      </c>
      <c r="D805" t="s">
        <v>0</v>
      </c>
      <c r="E805">
        <v>540525</v>
      </c>
      <c r="F805" t="s">
        <v>1546</v>
      </c>
      <c r="G805" t="s">
        <v>1547</v>
      </c>
      <c r="H805" s="3">
        <v>0.69000000000000006</v>
      </c>
      <c r="I805" s="3">
        <v>0</v>
      </c>
      <c r="J805" s="3">
        <v>0</v>
      </c>
      <c r="K805" s="3">
        <v>8.24</v>
      </c>
      <c r="L805" s="3">
        <v>0</v>
      </c>
      <c r="M805" s="3">
        <v>0</v>
      </c>
      <c r="N805" s="3">
        <v>0</v>
      </c>
      <c r="O805" s="3">
        <v>1.0712000000000002</v>
      </c>
      <c r="P805" s="3">
        <v>10.001200000000001</v>
      </c>
      <c r="Q805" t="s">
        <v>8046</v>
      </c>
      <c r="R805" t="s">
        <v>8200</v>
      </c>
      <c r="S805" s="3" t="s">
        <v>8046</v>
      </c>
      <c r="T805" s="3">
        <v>0</v>
      </c>
    </row>
    <row r="806" spans="1:20" hidden="1" x14ac:dyDescent="0.25">
      <c r="A806" t="s">
        <v>8387</v>
      </c>
      <c r="B806" t="s">
        <v>8398</v>
      </c>
      <c r="C806" t="s">
        <v>1</v>
      </c>
      <c r="D806" t="s">
        <v>0</v>
      </c>
      <c r="E806">
        <v>27522</v>
      </c>
      <c r="F806" t="s">
        <v>1540</v>
      </c>
      <c r="G806" t="s">
        <v>1541</v>
      </c>
      <c r="H806" s="3">
        <v>2.2999999999999998</v>
      </c>
      <c r="I806" s="3">
        <v>0</v>
      </c>
      <c r="J806" s="3">
        <v>0</v>
      </c>
      <c r="K806" s="3">
        <v>24.51</v>
      </c>
      <c r="L806" s="3">
        <v>0</v>
      </c>
      <c r="M806" s="3">
        <v>0</v>
      </c>
      <c r="N806" s="3">
        <v>0</v>
      </c>
      <c r="O806" s="3">
        <v>3.1863000000000001</v>
      </c>
      <c r="P806" s="3">
        <v>29.996300000000002</v>
      </c>
      <c r="Q806" t="s">
        <v>8046</v>
      </c>
      <c r="R806" t="s">
        <v>8200</v>
      </c>
      <c r="S806" s="3" t="s">
        <v>8046</v>
      </c>
      <c r="T806" s="3">
        <v>0</v>
      </c>
    </row>
    <row r="807" spans="1:20" hidden="1" x14ac:dyDescent="0.25">
      <c r="A807" t="s">
        <v>8387</v>
      </c>
      <c r="B807" t="s">
        <v>8398</v>
      </c>
      <c r="C807" t="s">
        <v>1</v>
      </c>
      <c r="D807" t="s">
        <v>0</v>
      </c>
      <c r="E807">
        <v>59577</v>
      </c>
      <c r="F807" t="s">
        <v>1670</v>
      </c>
      <c r="G807" t="s">
        <v>1671</v>
      </c>
      <c r="H807" s="3">
        <v>1.79</v>
      </c>
      <c r="I807" s="3">
        <v>0</v>
      </c>
      <c r="J807" s="3">
        <v>0</v>
      </c>
      <c r="K807" s="3">
        <v>20.54</v>
      </c>
      <c r="L807" s="3">
        <v>0</v>
      </c>
      <c r="M807" s="3">
        <v>0</v>
      </c>
      <c r="N807" s="3">
        <v>0</v>
      </c>
      <c r="O807" s="3">
        <v>2.6701999999999999</v>
      </c>
      <c r="P807" s="3">
        <v>25.0002</v>
      </c>
      <c r="Q807" t="s">
        <v>8046</v>
      </c>
      <c r="R807" t="s">
        <v>8200</v>
      </c>
      <c r="S807" s="3" t="s">
        <v>8046</v>
      </c>
      <c r="T807" s="3">
        <v>0</v>
      </c>
    </row>
    <row r="808" spans="1:20" hidden="1" x14ac:dyDescent="0.25">
      <c r="A808" t="s">
        <v>8387</v>
      </c>
      <c r="B808" t="s">
        <v>8401</v>
      </c>
      <c r="C808" t="s">
        <v>1</v>
      </c>
      <c r="D808" t="s">
        <v>0</v>
      </c>
      <c r="E808">
        <v>189</v>
      </c>
      <c r="F808" t="s">
        <v>8512</v>
      </c>
      <c r="G808" t="s">
        <v>8513</v>
      </c>
      <c r="H808" s="3">
        <v>0</v>
      </c>
      <c r="I808" s="3">
        <v>0</v>
      </c>
      <c r="J808" s="3">
        <v>0</v>
      </c>
      <c r="K808" s="3">
        <v>2388</v>
      </c>
      <c r="L808" s="3">
        <v>0</v>
      </c>
      <c r="M808" s="3">
        <v>0</v>
      </c>
      <c r="N808" s="3">
        <v>0</v>
      </c>
      <c r="O808" s="3">
        <v>310.44</v>
      </c>
      <c r="P808" s="3">
        <v>2698.44</v>
      </c>
      <c r="Q808" t="s">
        <v>8046</v>
      </c>
      <c r="R808" t="s">
        <v>8200</v>
      </c>
      <c r="S808" s="3" t="s">
        <v>8046</v>
      </c>
      <c r="T808" s="3">
        <v>0</v>
      </c>
    </row>
    <row r="809" spans="1:20" hidden="1" x14ac:dyDescent="0.25">
      <c r="A809" t="s">
        <v>8387</v>
      </c>
      <c r="B809" t="s">
        <v>8401</v>
      </c>
      <c r="C809" t="s">
        <v>1</v>
      </c>
      <c r="D809" t="s">
        <v>0</v>
      </c>
      <c r="E809">
        <v>2143</v>
      </c>
      <c r="F809" t="s">
        <v>762</v>
      </c>
      <c r="G809" t="s">
        <v>763</v>
      </c>
      <c r="H809" s="3">
        <v>0</v>
      </c>
      <c r="I809" s="3">
        <v>0</v>
      </c>
      <c r="J809" s="3">
        <v>0</v>
      </c>
      <c r="K809" s="3">
        <v>22.65</v>
      </c>
      <c r="L809" s="3">
        <v>0</v>
      </c>
      <c r="M809" s="3">
        <v>0</v>
      </c>
      <c r="N809" s="3">
        <v>0</v>
      </c>
      <c r="O809" s="3">
        <v>2.9445000000000001</v>
      </c>
      <c r="P809" s="3">
        <v>25.5945</v>
      </c>
      <c r="Q809" t="s">
        <v>8046</v>
      </c>
      <c r="R809" t="s">
        <v>8200</v>
      </c>
      <c r="S809" s="3" t="s">
        <v>8046</v>
      </c>
      <c r="T809" s="3">
        <v>0</v>
      </c>
    </row>
    <row r="810" spans="1:20" hidden="1" x14ac:dyDescent="0.25">
      <c r="A810" t="s">
        <v>8387</v>
      </c>
      <c r="B810" t="s">
        <v>8401</v>
      </c>
      <c r="C810" t="s">
        <v>1</v>
      </c>
      <c r="D810" t="s">
        <v>0</v>
      </c>
      <c r="E810">
        <v>453504</v>
      </c>
      <c r="F810" t="s">
        <v>39</v>
      </c>
      <c r="G810" t="s">
        <v>1596</v>
      </c>
      <c r="H810" s="3">
        <v>2.79</v>
      </c>
      <c r="I810" s="3">
        <v>0</v>
      </c>
      <c r="J810" s="3">
        <v>0</v>
      </c>
      <c r="K810" s="3">
        <v>32.93</v>
      </c>
      <c r="L810" s="3">
        <v>0</v>
      </c>
      <c r="M810" s="3">
        <v>0</v>
      </c>
      <c r="N810" s="3">
        <v>0</v>
      </c>
      <c r="O810" s="3">
        <v>4.2808999999999999</v>
      </c>
      <c r="P810" s="3">
        <v>40.000900000000001</v>
      </c>
      <c r="Q810" t="s">
        <v>8046</v>
      </c>
      <c r="R810" t="s">
        <v>8200</v>
      </c>
      <c r="S810" s="3" t="s">
        <v>8046</v>
      </c>
      <c r="T810" s="3">
        <v>0</v>
      </c>
    </row>
    <row r="811" spans="1:20" hidden="1" x14ac:dyDescent="0.25">
      <c r="A811" t="s">
        <v>8387</v>
      </c>
      <c r="B811" t="s">
        <v>8401</v>
      </c>
      <c r="C811" t="s">
        <v>1</v>
      </c>
      <c r="D811" t="s">
        <v>0</v>
      </c>
      <c r="E811">
        <v>59288</v>
      </c>
      <c r="F811" t="s">
        <v>1670</v>
      </c>
      <c r="G811" t="s">
        <v>1671</v>
      </c>
      <c r="H811" s="3">
        <v>0.8899999999999999</v>
      </c>
      <c r="I811" s="3">
        <v>0</v>
      </c>
      <c r="J811" s="3">
        <v>0</v>
      </c>
      <c r="K811" s="3">
        <v>8.06</v>
      </c>
      <c r="L811" s="3">
        <v>0</v>
      </c>
      <c r="M811" s="3">
        <v>0</v>
      </c>
      <c r="N811" s="3">
        <v>0</v>
      </c>
      <c r="O811" s="3">
        <v>1.0478000000000001</v>
      </c>
      <c r="P811" s="3">
        <v>9.9978000000000016</v>
      </c>
      <c r="Q811" t="s">
        <v>8046</v>
      </c>
      <c r="R811" t="s">
        <v>8200</v>
      </c>
      <c r="S811" s="3" t="s">
        <v>8046</v>
      </c>
      <c r="T811" s="3">
        <v>0</v>
      </c>
    </row>
    <row r="812" spans="1:20" hidden="1" x14ac:dyDescent="0.25">
      <c r="A812" t="s">
        <v>8387</v>
      </c>
      <c r="B812" t="s">
        <v>8401</v>
      </c>
      <c r="C812" t="s">
        <v>1</v>
      </c>
      <c r="D812" t="s">
        <v>0</v>
      </c>
      <c r="E812">
        <v>23266</v>
      </c>
      <c r="F812" t="s">
        <v>2998</v>
      </c>
      <c r="G812" t="s">
        <v>2999</v>
      </c>
      <c r="H812" s="3">
        <v>0</v>
      </c>
      <c r="I812" s="3">
        <v>0</v>
      </c>
      <c r="J812" s="3">
        <v>0</v>
      </c>
      <c r="K812" s="3">
        <v>712.5</v>
      </c>
      <c r="L812" s="3">
        <v>0</v>
      </c>
      <c r="M812" s="3">
        <v>0</v>
      </c>
      <c r="N812" s="3">
        <v>0</v>
      </c>
      <c r="O812" s="3">
        <v>92.625</v>
      </c>
      <c r="P812" s="3">
        <v>805.125</v>
      </c>
      <c r="Q812" t="s">
        <v>8046</v>
      </c>
      <c r="R812" t="s">
        <v>8200</v>
      </c>
      <c r="S812" s="3" t="s">
        <v>8345</v>
      </c>
      <c r="T812" s="3">
        <v>7.13</v>
      </c>
    </row>
    <row r="813" spans="1:20" hidden="1" x14ac:dyDescent="0.25">
      <c r="A813" t="s">
        <v>8387</v>
      </c>
      <c r="B813" t="s">
        <v>8406</v>
      </c>
      <c r="C813" t="s">
        <v>1</v>
      </c>
      <c r="D813" t="s">
        <v>0</v>
      </c>
      <c r="E813">
        <v>8278</v>
      </c>
      <c r="F813" t="s">
        <v>1200</v>
      </c>
      <c r="G813" t="s">
        <v>1201</v>
      </c>
      <c r="H813" s="3">
        <v>0</v>
      </c>
      <c r="I813" s="3">
        <v>0</v>
      </c>
      <c r="J813" s="3">
        <v>0</v>
      </c>
      <c r="K813" s="3">
        <v>8777.7199999999993</v>
      </c>
      <c r="L813" s="3">
        <v>0</v>
      </c>
      <c r="M813" s="3">
        <v>0</v>
      </c>
      <c r="N813" s="3">
        <v>0</v>
      </c>
      <c r="O813" s="3">
        <v>1141.1035999999999</v>
      </c>
      <c r="P813" s="3">
        <v>9918.8235999999997</v>
      </c>
      <c r="Q813" t="s">
        <v>8046</v>
      </c>
      <c r="R813" t="s">
        <v>8200</v>
      </c>
      <c r="S813" s="3" t="s">
        <v>8358</v>
      </c>
      <c r="T813" s="3">
        <v>87.77</v>
      </c>
    </row>
    <row r="814" spans="1:20" hidden="1" x14ac:dyDescent="0.25">
      <c r="A814" t="s">
        <v>8387</v>
      </c>
      <c r="B814" t="s">
        <v>8406</v>
      </c>
      <c r="C814" t="s">
        <v>1</v>
      </c>
      <c r="D814" t="s">
        <v>0</v>
      </c>
      <c r="E814">
        <v>5266</v>
      </c>
      <c r="F814" t="s">
        <v>8510</v>
      </c>
      <c r="G814" t="s">
        <v>8511</v>
      </c>
      <c r="H814" s="3">
        <v>0</v>
      </c>
      <c r="I814" s="3">
        <v>0</v>
      </c>
      <c r="J814" s="3">
        <v>0</v>
      </c>
      <c r="K814" s="3">
        <v>243.32</v>
      </c>
      <c r="L814" s="3">
        <v>0</v>
      </c>
      <c r="M814" s="3">
        <v>0</v>
      </c>
      <c r="N814" s="3">
        <v>0</v>
      </c>
      <c r="O814" s="3">
        <v>31.631599999999999</v>
      </c>
      <c r="P814" s="3">
        <v>274.95159999999998</v>
      </c>
      <c r="Q814" t="s">
        <v>8046</v>
      </c>
      <c r="R814" t="s">
        <v>8200</v>
      </c>
      <c r="S814" s="3" t="s">
        <v>8046</v>
      </c>
      <c r="T814" s="3">
        <v>0</v>
      </c>
    </row>
    <row r="815" spans="1:20" hidden="1" x14ac:dyDescent="0.25">
      <c r="A815" t="s">
        <v>8387</v>
      </c>
      <c r="B815" t="s">
        <v>8406</v>
      </c>
      <c r="C815" t="s">
        <v>1</v>
      </c>
      <c r="D815" t="s">
        <v>0</v>
      </c>
      <c r="E815">
        <v>28541</v>
      </c>
      <c r="F815" t="s">
        <v>1655</v>
      </c>
      <c r="G815" t="s">
        <v>1656</v>
      </c>
      <c r="H815" s="3">
        <v>1.6300000000000001</v>
      </c>
      <c r="I815" s="3">
        <v>0</v>
      </c>
      <c r="J815" s="3">
        <v>0</v>
      </c>
      <c r="K815" s="3">
        <v>20.67</v>
      </c>
      <c r="L815" s="3">
        <v>0</v>
      </c>
      <c r="M815" s="3">
        <v>0</v>
      </c>
      <c r="N815" s="3">
        <v>0</v>
      </c>
      <c r="O815" s="3">
        <v>2.6871000000000005</v>
      </c>
      <c r="P815" s="3">
        <v>24.987100000000002</v>
      </c>
      <c r="Q815" t="s">
        <v>8046</v>
      </c>
      <c r="R815" t="s">
        <v>8200</v>
      </c>
      <c r="S815" s="3" t="s">
        <v>8046</v>
      </c>
      <c r="T815" s="3">
        <v>0</v>
      </c>
    </row>
    <row r="816" spans="1:20" hidden="1" x14ac:dyDescent="0.25">
      <c r="A816" t="s">
        <v>8387</v>
      </c>
      <c r="B816" t="s">
        <v>8409</v>
      </c>
      <c r="C816" t="s">
        <v>1</v>
      </c>
      <c r="D816" t="s">
        <v>0</v>
      </c>
      <c r="E816">
        <v>73574</v>
      </c>
      <c r="F816" t="s">
        <v>3374</v>
      </c>
      <c r="G816" t="s">
        <v>3375</v>
      </c>
      <c r="H816" s="3">
        <v>2.86</v>
      </c>
      <c r="I816" s="3">
        <v>0</v>
      </c>
      <c r="J816" s="3">
        <v>0</v>
      </c>
      <c r="K816" s="3">
        <v>32.86</v>
      </c>
      <c r="L816" s="3">
        <v>0</v>
      </c>
      <c r="M816" s="3">
        <v>0</v>
      </c>
      <c r="N816" s="3">
        <v>0</v>
      </c>
      <c r="O816" s="3">
        <v>4.2717999999999998</v>
      </c>
      <c r="P816" s="3">
        <v>39.991799999999998</v>
      </c>
      <c r="Q816" t="s">
        <v>8046</v>
      </c>
      <c r="R816" t="s">
        <v>8200</v>
      </c>
      <c r="S816" s="3" t="s">
        <v>8046</v>
      </c>
      <c r="T816" s="3">
        <v>0</v>
      </c>
    </row>
    <row r="817" spans="1:20" hidden="1" x14ac:dyDescent="0.25">
      <c r="A817" t="s">
        <v>8387</v>
      </c>
      <c r="B817" t="s">
        <v>8509</v>
      </c>
      <c r="C817" t="s">
        <v>1</v>
      </c>
      <c r="D817" t="s">
        <v>0</v>
      </c>
      <c r="E817">
        <v>58394</v>
      </c>
      <c r="F817" t="s">
        <v>1670</v>
      </c>
      <c r="G817" t="s">
        <v>1671</v>
      </c>
      <c r="H817" s="3">
        <v>3.09</v>
      </c>
      <c r="I817" s="3">
        <v>0</v>
      </c>
      <c r="J817" s="3">
        <v>0</v>
      </c>
      <c r="K817" s="3">
        <v>35.32</v>
      </c>
      <c r="L817" s="3">
        <v>0</v>
      </c>
      <c r="M817" s="3">
        <v>0</v>
      </c>
      <c r="N817" s="3">
        <v>0</v>
      </c>
      <c r="O817" s="3">
        <v>4.5916000000000006</v>
      </c>
      <c r="P817" s="3">
        <v>43.001599999999996</v>
      </c>
      <c r="Q817" t="s">
        <v>8046</v>
      </c>
      <c r="R817" t="s">
        <v>8200</v>
      </c>
      <c r="S817" s="3" t="s">
        <v>8046</v>
      </c>
      <c r="T817" s="3">
        <v>0</v>
      </c>
    </row>
    <row r="818" spans="1:20" hidden="1" x14ac:dyDescent="0.25">
      <c r="A818" t="s">
        <v>8387</v>
      </c>
      <c r="B818" t="s">
        <v>8420</v>
      </c>
      <c r="C818" t="s">
        <v>1</v>
      </c>
      <c r="D818" t="s">
        <v>0</v>
      </c>
      <c r="E818">
        <v>10583</v>
      </c>
      <c r="F818" t="s">
        <v>1519</v>
      </c>
      <c r="G818" t="s">
        <v>1520</v>
      </c>
      <c r="H818" s="3">
        <v>0</v>
      </c>
      <c r="I818" s="3">
        <v>0</v>
      </c>
      <c r="J818" s="3">
        <v>0</v>
      </c>
      <c r="K818" s="3">
        <v>782.02</v>
      </c>
      <c r="L818" s="3">
        <v>0</v>
      </c>
      <c r="M818" s="3">
        <v>0</v>
      </c>
      <c r="N818" s="3">
        <v>0</v>
      </c>
      <c r="O818" s="3">
        <v>101.6626</v>
      </c>
      <c r="P818" s="3">
        <v>883.68259999999998</v>
      </c>
      <c r="Q818" t="s">
        <v>8046</v>
      </c>
      <c r="R818" t="s">
        <v>8200</v>
      </c>
      <c r="S818" s="3" t="s">
        <v>8341</v>
      </c>
      <c r="T818" s="3">
        <v>7.82</v>
      </c>
    </row>
    <row r="819" spans="1:20" hidden="1" x14ac:dyDescent="0.25">
      <c r="A819" t="s">
        <v>8387</v>
      </c>
      <c r="B819" t="s">
        <v>8420</v>
      </c>
      <c r="C819" t="s">
        <v>1</v>
      </c>
      <c r="D819" t="s">
        <v>0</v>
      </c>
      <c r="E819">
        <v>2802</v>
      </c>
      <c r="F819" t="s">
        <v>6324</v>
      </c>
      <c r="G819" t="s">
        <v>6325</v>
      </c>
      <c r="H819" s="3">
        <v>0</v>
      </c>
      <c r="I819" s="3">
        <v>0</v>
      </c>
      <c r="J819" s="3">
        <v>0</v>
      </c>
      <c r="K819" s="3">
        <v>176.8</v>
      </c>
      <c r="L819" s="3">
        <v>0</v>
      </c>
      <c r="M819" s="3">
        <v>0</v>
      </c>
      <c r="N819" s="3">
        <v>0</v>
      </c>
      <c r="O819" s="3">
        <v>22.984000000000002</v>
      </c>
      <c r="P819" s="3">
        <v>199.78400000000002</v>
      </c>
      <c r="Q819" t="s">
        <v>8046</v>
      </c>
      <c r="R819" t="s">
        <v>8200</v>
      </c>
      <c r="S819" s="3" t="s">
        <v>8046</v>
      </c>
      <c r="T819" s="3">
        <v>0</v>
      </c>
    </row>
    <row r="820" spans="1:20" hidden="1" x14ac:dyDescent="0.25">
      <c r="A820" t="s">
        <v>8387</v>
      </c>
      <c r="B820" t="s">
        <v>8420</v>
      </c>
      <c r="C820" t="s">
        <v>1</v>
      </c>
      <c r="D820" t="s">
        <v>0</v>
      </c>
      <c r="E820">
        <v>2781</v>
      </c>
      <c r="F820" t="s">
        <v>736</v>
      </c>
      <c r="G820" t="s">
        <v>737</v>
      </c>
      <c r="H820" s="3">
        <v>0</v>
      </c>
      <c r="I820" s="3">
        <v>0</v>
      </c>
      <c r="J820" s="3">
        <v>0</v>
      </c>
      <c r="K820" s="3">
        <v>217.5</v>
      </c>
      <c r="L820" s="3">
        <v>0</v>
      </c>
      <c r="M820" s="3">
        <v>0</v>
      </c>
      <c r="N820" s="3">
        <v>0</v>
      </c>
      <c r="O820" s="3">
        <v>28.275000000000002</v>
      </c>
      <c r="P820" s="3">
        <v>245.77500000000001</v>
      </c>
      <c r="Q820" t="s">
        <v>8046</v>
      </c>
      <c r="R820" t="s">
        <v>8200</v>
      </c>
      <c r="S820" s="3" t="s">
        <v>8046</v>
      </c>
      <c r="T820" s="3">
        <v>0</v>
      </c>
    </row>
    <row r="821" spans="1:20" hidden="1" x14ac:dyDescent="0.25">
      <c r="A821" t="s">
        <v>8387</v>
      </c>
      <c r="B821" t="s">
        <v>8420</v>
      </c>
      <c r="C821" t="s">
        <v>1</v>
      </c>
      <c r="D821" t="s">
        <v>0</v>
      </c>
      <c r="E821">
        <v>1203649</v>
      </c>
      <c r="F821" t="s">
        <v>1646</v>
      </c>
      <c r="G821" t="s">
        <v>1647</v>
      </c>
      <c r="H821" s="3">
        <v>0</v>
      </c>
      <c r="I821" s="3">
        <v>0</v>
      </c>
      <c r="J821" s="3">
        <v>0</v>
      </c>
      <c r="K821" s="3">
        <v>181.06</v>
      </c>
      <c r="L821" s="3">
        <v>0</v>
      </c>
      <c r="M821" s="3">
        <v>0</v>
      </c>
      <c r="N821" s="3">
        <v>0</v>
      </c>
      <c r="O821" s="3">
        <v>23.537800000000001</v>
      </c>
      <c r="P821" s="3">
        <v>204.59780000000001</v>
      </c>
      <c r="Q821" t="s">
        <v>8046</v>
      </c>
      <c r="R821" t="s">
        <v>8200</v>
      </c>
      <c r="S821" s="3" t="s">
        <v>8360</v>
      </c>
      <c r="T821" s="3">
        <v>1.81</v>
      </c>
    </row>
    <row r="822" spans="1:20" hidden="1" x14ac:dyDescent="0.25">
      <c r="A822" t="s">
        <v>8387</v>
      </c>
      <c r="B822" t="s">
        <v>8420</v>
      </c>
      <c r="C822" t="s">
        <v>1</v>
      </c>
      <c r="D822" t="s">
        <v>0</v>
      </c>
      <c r="E822">
        <v>493442</v>
      </c>
      <c r="F822" t="s">
        <v>2376</v>
      </c>
      <c r="G822" t="s">
        <v>2377</v>
      </c>
      <c r="H822" s="3">
        <v>0</v>
      </c>
      <c r="I822" s="3">
        <v>0</v>
      </c>
      <c r="J822" s="3">
        <v>0</v>
      </c>
      <c r="K822" s="3">
        <v>126.01</v>
      </c>
      <c r="L822" s="3">
        <v>0</v>
      </c>
      <c r="M822" s="3">
        <v>0</v>
      </c>
      <c r="N822" s="3">
        <v>0</v>
      </c>
      <c r="O822" s="3">
        <v>16.3813</v>
      </c>
      <c r="P822" s="3">
        <v>142.3913</v>
      </c>
      <c r="Q822" t="s">
        <v>8046</v>
      </c>
      <c r="R822" t="s">
        <v>8200</v>
      </c>
      <c r="S822" s="3" t="s">
        <v>8046</v>
      </c>
      <c r="T822" s="3">
        <v>0</v>
      </c>
    </row>
    <row r="823" spans="1:20" hidden="1" x14ac:dyDescent="0.25">
      <c r="A823" t="s">
        <v>8387</v>
      </c>
      <c r="B823" t="s">
        <v>8420</v>
      </c>
      <c r="C823" t="s">
        <v>1</v>
      </c>
      <c r="D823" t="s">
        <v>0</v>
      </c>
      <c r="E823">
        <v>842458</v>
      </c>
      <c r="F823" t="s">
        <v>1620</v>
      </c>
      <c r="G823" t="s">
        <v>1621</v>
      </c>
      <c r="H823" s="3">
        <v>2.74</v>
      </c>
      <c r="I823" s="3">
        <v>0</v>
      </c>
      <c r="J823" s="3">
        <v>0</v>
      </c>
      <c r="K823" s="3">
        <v>31.2</v>
      </c>
      <c r="L823" s="3">
        <v>0</v>
      </c>
      <c r="M823" s="3">
        <v>0</v>
      </c>
      <c r="N823" s="3">
        <v>0</v>
      </c>
      <c r="O823" s="3">
        <v>4.056</v>
      </c>
      <c r="P823" s="3">
        <v>37.995999999999995</v>
      </c>
      <c r="Q823" t="s">
        <v>8046</v>
      </c>
      <c r="R823" t="s">
        <v>8200</v>
      </c>
      <c r="S823" s="3" t="s">
        <v>8046</v>
      </c>
      <c r="T823" s="3">
        <v>0</v>
      </c>
    </row>
    <row r="824" spans="1:20" hidden="1" x14ac:dyDescent="0.25">
      <c r="A824" t="s">
        <v>8387</v>
      </c>
      <c r="B824" t="s">
        <v>8420</v>
      </c>
      <c r="C824" t="s">
        <v>1</v>
      </c>
      <c r="D824" t="s">
        <v>0</v>
      </c>
      <c r="E824">
        <v>117674</v>
      </c>
      <c r="F824" t="s">
        <v>1601</v>
      </c>
      <c r="G824" t="s">
        <v>1602</v>
      </c>
      <c r="H824" s="3">
        <v>2.12</v>
      </c>
      <c r="I824" s="3">
        <v>0</v>
      </c>
      <c r="J824" s="3">
        <v>0</v>
      </c>
      <c r="K824" s="3">
        <v>24.67</v>
      </c>
      <c r="L824" s="3">
        <v>0</v>
      </c>
      <c r="M824" s="3">
        <v>0</v>
      </c>
      <c r="N824" s="3">
        <v>0</v>
      </c>
      <c r="O824" s="3">
        <v>3.2071000000000005</v>
      </c>
      <c r="P824" s="3">
        <v>29.997100000000003</v>
      </c>
      <c r="Q824" t="s">
        <v>8046</v>
      </c>
      <c r="R824" t="s">
        <v>8200</v>
      </c>
      <c r="S824" s="3" t="s">
        <v>8046</v>
      </c>
      <c r="T824" s="3">
        <v>0</v>
      </c>
    </row>
    <row r="825" spans="1:20" hidden="1" x14ac:dyDescent="0.25">
      <c r="A825" t="s">
        <v>8387</v>
      </c>
      <c r="B825" t="s">
        <v>8420</v>
      </c>
      <c r="C825" t="s">
        <v>1</v>
      </c>
      <c r="D825" t="s">
        <v>0</v>
      </c>
      <c r="E825">
        <v>18649</v>
      </c>
      <c r="F825" t="s">
        <v>8507</v>
      </c>
      <c r="G825" t="s">
        <v>8508</v>
      </c>
      <c r="H825" s="3">
        <v>1.56</v>
      </c>
      <c r="I825" s="3">
        <v>0</v>
      </c>
      <c r="J825" s="3">
        <v>0</v>
      </c>
      <c r="K825" s="3">
        <v>16.32</v>
      </c>
      <c r="L825" s="3">
        <v>0</v>
      </c>
      <c r="M825" s="3">
        <v>0</v>
      </c>
      <c r="N825" s="3">
        <v>0</v>
      </c>
      <c r="O825" s="3">
        <v>2.1215999999999999</v>
      </c>
      <c r="P825" s="3">
        <v>20.0016</v>
      </c>
      <c r="Q825" t="s">
        <v>8046</v>
      </c>
      <c r="R825" t="s">
        <v>8200</v>
      </c>
      <c r="S825" s="3" t="s">
        <v>8046</v>
      </c>
      <c r="T825" s="3">
        <v>0</v>
      </c>
    </row>
    <row r="826" spans="1:20" hidden="1" x14ac:dyDescent="0.25">
      <c r="A826" t="s">
        <v>8387</v>
      </c>
      <c r="B826" t="s">
        <v>8420</v>
      </c>
      <c r="C826" t="s">
        <v>1</v>
      </c>
      <c r="D826" t="s">
        <v>0</v>
      </c>
      <c r="E826">
        <v>19566</v>
      </c>
      <c r="F826" t="s">
        <v>1616</v>
      </c>
      <c r="G826" t="s">
        <v>1617</v>
      </c>
      <c r="H826" s="3">
        <v>1.81</v>
      </c>
      <c r="I826" s="3">
        <v>0</v>
      </c>
      <c r="J826" s="3">
        <v>0</v>
      </c>
      <c r="K826" s="3">
        <v>20.52</v>
      </c>
      <c r="L826" s="3">
        <v>0</v>
      </c>
      <c r="M826" s="3">
        <v>0</v>
      </c>
      <c r="N826" s="3">
        <v>0</v>
      </c>
      <c r="O826" s="3">
        <v>2.6676000000000002</v>
      </c>
      <c r="P826" s="3">
        <v>24.997599999999998</v>
      </c>
      <c r="Q826" t="s">
        <v>8046</v>
      </c>
      <c r="R826" t="s">
        <v>8200</v>
      </c>
      <c r="S826" s="3" t="s">
        <v>8046</v>
      </c>
      <c r="T826" s="3">
        <v>0</v>
      </c>
    </row>
    <row r="827" spans="1:20" hidden="1" x14ac:dyDescent="0.25">
      <c r="A827" t="s">
        <v>8387</v>
      </c>
      <c r="B827" t="s">
        <v>8423</v>
      </c>
      <c r="C827" t="s">
        <v>1</v>
      </c>
      <c r="D827" t="s">
        <v>0</v>
      </c>
      <c r="E827">
        <v>8235</v>
      </c>
      <c r="F827" t="s">
        <v>1200</v>
      </c>
      <c r="G827" t="s">
        <v>1201</v>
      </c>
      <c r="H827" s="3">
        <v>0</v>
      </c>
      <c r="I827" s="3">
        <v>0</v>
      </c>
      <c r="J827" s="3">
        <v>0</v>
      </c>
      <c r="K827" s="3">
        <v>3807</v>
      </c>
      <c r="L827" s="3">
        <v>0</v>
      </c>
      <c r="M827" s="3">
        <v>0</v>
      </c>
      <c r="N827" s="3">
        <v>0</v>
      </c>
      <c r="O827" s="3">
        <v>494.91</v>
      </c>
      <c r="P827" s="3">
        <v>4301.91</v>
      </c>
      <c r="Q827" t="s">
        <v>8046</v>
      </c>
      <c r="R827" t="s">
        <v>8200</v>
      </c>
      <c r="S827" s="3" t="s">
        <v>8358</v>
      </c>
      <c r="T827" s="3">
        <v>38.07</v>
      </c>
    </row>
    <row r="828" spans="1:20" hidden="1" x14ac:dyDescent="0.25">
      <c r="A828" t="s">
        <v>8387</v>
      </c>
      <c r="B828" t="s">
        <v>8423</v>
      </c>
      <c r="C828" t="s">
        <v>1</v>
      </c>
      <c r="D828" t="s">
        <v>0</v>
      </c>
      <c r="E828">
        <v>8134</v>
      </c>
      <c r="F828" t="s">
        <v>2635</v>
      </c>
      <c r="G828" t="s">
        <v>2636</v>
      </c>
      <c r="H828" s="3">
        <v>0</v>
      </c>
      <c r="I828" s="3">
        <v>0</v>
      </c>
      <c r="J828" s="3">
        <v>0</v>
      </c>
      <c r="K828" s="3">
        <v>4.5999999999999996</v>
      </c>
      <c r="L828" s="3">
        <v>0</v>
      </c>
      <c r="M828" s="3">
        <v>0</v>
      </c>
      <c r="N828" s="3">
        <v>0</v>
      </c>
      <c r="O828" s="3">
        <v>0.59799999999999998</v>
      </c>
      <c r="P828" s="3">
        <v>5.1979999999999995</v>
      </c>
      <c r="Q828" t="s">
        <v>8046</v>
      </c>
      <c r="R828" t="s">
        <v>8200</v>
      </c>
      <c r="S828" s="3" t="s">
        <v>8046</v>
      </c>
      <c r="T828" s="3">
        <v>0</v>
      </c>
    </row>
    <row r="829" spans="1:20" hidden="1" x14ac:dyDescent="0.25">
      <c r="A829" t="s">
        <v>8387</v>
      </c>
      <c r="B829" t="s">
        <v>8423</v>
      </c>
      <c r="C829" t="s">
        <v>1</v>
      </c>
      <c r="D829" t="s">
        <v>0</v>
      </c>
      <c r="E829">
        <v>8125</v>
      </c>
      <c r="F829" t="s">
        <v>2635</v>
      </c>
      <c r="G829" t="s">
        <v>2636</v>
      </c>
      <c r="H829" s="3">
        <v>0</v>
      </c>
      <c r="I829" s="3">
        <v>0</v>
      </c>
      <c r="J829" s="3">
        <v>0</v>
      </c>
      <c r="K829" s="3">
        <v>138.13999999999999</v>
      </c>
      <c r="L829" s="3">
        <v>0</v>
      </c>
      <c r="M829" s="3">
        <v>0</v>
      </c>
      <c r="N829" s="3">
        <v>0</v>
      </c>
      <c r="O829" s="3">
        <v>17.96</v>
      </c>
      <c r="P829" s="3">
        <v>156.1</v>
      </c>
      <c r="Q829" t="s">
        <v>8046</v>
      </c>
      <c r="R829" t="s">
        <v>8200</v>
      </c>
      <c r="S829" s="3" t="s">
        <v>8345</v>
      </c>
      <c r="T829" s="3">
        <v>1.38</v>
      </c>
    </row>
    <row r="830" spans="1:20" hidden="1" x14ac:dyDescent="0.25">
      <c r="A830" t="s">
        <v>8387</v>
      </c>
      <c r="B830" t="s">
        <v>8430</v>
      </c>
      <c r="C830" t="s">
        <v>1</v>
      </c>
      <c r="D830" t="s">
        <v>0</v>
      </c>
      <c r="E830">
        <v>1630</v>
      </c>
      <c r="F830" t="s">
        <v>131</v>
      </c>
      <c r="G830" t="s">
        <v>132</v>
      </c>
      <c r="H830" s="3">
        <v>0</v>
      </c>
      <c r="I830" s="3">
        <v>0</v>
      </c>
      <c r="J830" s="3">
        <v>0</v>
      </c>
      <c r="K830" s="3">
        <v>224</v>
      </c>
      <c r="L830" s="3">
        <v>0</v>
      </c>
      <c r="M830" s="3">
        <v>0</v>
      </c>
      <c r="N830" s="3">
        <v>0</v>
      </c>
      <c r="O830" s="3">
        <v>29.12</v>
      </c>
      <c r="P830" s="3">
        <v>253.12</v>
      </c>
      <c r="Q830" t="s">
        <v>8046</v>
      </c>
      <c r="R830" t="s">
        <v>8200</v>
      </c>
      <c r="S830" s="3" t="s">
        <v>8046</v>
      </c>
      <c r="T830" s="3">
        <v>0</v>
      </c>
    </row>
    <row r="831" spans="1:20" hidden="1" x14ac:dyDescent="0.25">
      <c r="A831" t="s">
        <v>8387</v>
      </c>
      <c r="B831" t="s">
        <v>8430</v>
      </c>
      <c r="C831" t="s">
        <v>1</v>
      </c>
      <c r="D831" t="s">
        <v>0</v>
      </c>
      <c r="E831">
        <v>303331</v>
      </c>
      <c r="F831" t="s">
        <v>3251</v>
      </c>
      <c r="G831" t="s">
        <v>3252</v>
      </c>
      <c r="H831" s="3">
        <v>0</v>
      </c>
      <c r="I831" s="3">
        <v>0</v>
      </c>
      <c r="J831" s="3">
        <v>0</v>
      </c>
      <c r="K831" s="3">
        <v>121.46</v>
      </c>
      <c r="L831" s="3">
        <v>0</v>
      </c>
      <c r="M831" s="3">
        <v>0</v>
      </c>
      <c r="N831" s="3">
        <v>0</v>
      </c>
      <c r="O831" s="3">
        <v>15.7898</v>
      </c>
      <c r="P831" s="3">
        <v>137.24979999999999</v>
      </c>
      <c r="Q831" t="s">
        <v>8046</v>
      </c>
      <c r="R831" t="s">
        <v>8200</v>
      </c>
      <c r="S831" s="3" t="s">
        <v>8046</v>
      </c>
      <c r="T831" s="3">
        <v>0</v>
      </c>
    </row>
    <row r="832" spans="1:20" hidden="1" x14ac:dyDescent="0.25">
      <c r="A832" t="s">
        <v>8387</v>
      </c>
      <c r="B832" t="s">
        <v>8430</v>
      </c>
      <c r="C832" t="s">
        <v>1</v>
      </c>
      <c r="D832" t="s">
        <v>0</v>
      </c>
      <c r="E832">
        <v>1327</v>
      </c>
      <c r="F832" t="s">
        <v>7902</v>
      </c>
      <c r="G832" t="s">
        <v>7903</v>
      </c>
      <c r="H832" s="3">
        <v>0</v>
      </c>
      <c r="I832" s="3">
        <v>0</v>
      </c>
      <c r="J832" s="3">
        <v>0</v>
      </c>
      <c r="K832" s="3">
        <v>35</v>
      </c>
      <c r="L832" s="3">
        <v>0</v>
      </c>
      <c r="M832" s="3">
        <v>0</v>
      </c>
      <c r="N832" s="3">
        <v>0</v>
      </c>
      <c r="O832" s="3">
        <v>4.55</v>
      </c>
      <c r="P832" s="3">
        <v>39.549999999999997</v>
      </c>
      <c r="Q832" t="s">
        <v>8046</v>
      </c>
      <c r="R832" t="s">
        <v>8200</v>
      </c>
      <c r="S832" s="3" t="s">
        <v>8046</v>
      </c>
      <c r="T832" s="3">
        <v>0</v>
      </c>
    </row>
    <row r="833" spans="1:20" hidden="1" x14ac:dyDescent="0.25">
      <c r="A833" t="s">
        <v>8387</v>
      </c>
      <c r="B833" t="s">
        <v>8430</v>
      </c>
      <c r="C833" t="s">
        <v>1</v>
      </c>
      <c r="D833" t="s">
        <v>0</v>
      </c>
      <c r="E833">
        <v>193810</v>
      </c>
      <c r="F833" t="s">
        <v>1620</v>
      </c>
      <c r="G833" t="s">
        <v>1621</v>
      </c>
      <c r="H833" s="3">
        <v>2.5099999999999998</v>
      </c>
      <c r="I833" s="3">
        <v>0</v>
      </c>
      <c r="J833" s="3">
        <v>0</v>
      </c>
      <c r="K833" s="3">
        <v>28.75</v>
      </c>
      <c r="L833" s="3">
        <v>0</v>
      </c>
      <c r="M833" s="3">
        <v>0</v>
      </c>
      <c r="N833" s="3">
        <v>0</v>
      </c>
      <c r="O833" s="3">
        <v>3.7375000000000003</v>
      </c>
      <c r="P833" s="3">
        <v>34.997499999999995</v>
      </c>
      <c r="Q833" t="s">
        <v>8046</v>
      </c>
      <c r="R833" t="s">
        <v>8200</v>
      </c>
      <c r="S833" s="3" t="s">
        <v>8046</v>
      </c>
      <c r="T833" s="3">
        <v>0</v>
      </c>
    </row>
    <row r="834" spans="1:20" hidden="1" x14ac:dyDescent="0.25">
      <c r="A834" t="s">
        <v>8387</v>
      </c>
      <c r="B834" t="s">
        <v>8430</v>
      </c>
      <c r="C834" t="s">
        <v>1</v>
      </c>
      <c r="D834" t="s">
        <v>0</v>
      </c>
      <c r="E834">
        <v>12141</v>
      </c>
      <c r="F834" t="s">
        <v>1522</v>
      </c>
      <c r="G834" t="s">
        <v>1523</v>
      </c>
      <c r="H834" s="3">
        <v>1.45</v>
      </c>
      <c r="I834" s="3">
        <v>0</v>
      </c>
      <c r="J834" s="3">
        <v>0</v>
      </c>
      <c r="K834" s="3">
        <v>16.420000000000002</v>
      </c>
      <c r="L834" s="3">
        <v>0</v>
      </c>
      <c r="M834" s="3">
        <v>0</v>
      </c>
      <c r="N834" s="3">
        <v>0</v>
      </c>
      <c r="O834" s="3">
        <v>2.1346000000000003</v>
      </c>
      <c r="P834" s="3">
        <v>20.0046</v>
      </c>
      <c r="Q834" t="s">
        <v>8046</v>
      </c>
      <c r="R834" t="s">
        <v>8200</v>
      </c>
      <c r="S834" s="3" t="s">
        <v>8046</v>
      </c>
      <c r="T834" s="3">
        <v>0</v>
      </c>
    </row>
    <row r="835" spans="1:20" hidden="1" x14ac:dyDescent="0.25">
      <c r="A835" t="s">
        <v>8387</v>
      </c>
      <c r="B835" t="s">
        <v>8430</v>
      </c>
      <c r="C835" t="s">
        <v>1</v>
      </c>
      <c r="D835" t="s">
        <v>0</v>
      </c>
      <c r="E835">
        <v>12215</v>
      </c>
      <c r="F835" t="s">
        <v>1522</v>
      </c>
      <c r="G835" t="s">
        <v>1523</v>
      </c>
      <c r="H835" s="3">
        <v>2</v>
      </c>
      <c r="I835" s="3">
        <v>0</v>
      </c>
      <c r="J835" s="3">
        <v>0</v>
      </c>
      <c r="K835" s="3">
        <v>20.350000000000001</v>
      </c>
      <c r="L835" s="3">
        <v>0</v>
      </c>
      <c r="M835" s="3">
        <v>0</v>
      </c>
      <c r="N835" s="3">
        <v>0</v>
      </c>
      <c r="O835" s="3">
        <v>2.6455000000000002</v>
      </c>
      <c r="P835" s="3">
        <v>24.9955</v>
      </c>
      <c r="Q835" t="s">
        <v>8046</v>
      </c>
      <c r="R835" t="s">
        <v>8200</v>
      </c>
      <c r="S835" s="3" t="s">
        <v>8046</v>
      </c>
      <c r="T835" s="3">
        <v>0</v>
      </c>
    </row>
    <row r="836" spans="1:20" hidden="1" x14ac:dyDescent="0.25">
      <c r="A836" t="s">
        <v>8387</v>
      </c>
      <c r="B836" t="s">
        <v>8435</v>
      </c>
      <c r="C836" t="s">
        <v>1</v>
      </c>
      <c r="D836" t="s">
        <v>0</v>
      </c>
      <c r="E836">
        <v>203497</v>
      </c>
      <c r="F836" t="s">
        <v>1646</v>
      </c>
      <c r="G836" t="s">
        <v>1647</v>
      </c>
      <c r="H836" s="3">
        <v>0</v>
      </c>
      <c r="I836" s="3">
        <v>0</v>
      </c>
      <c r="J836" s="3">
        <v>0</v>
      </c>
      <c r="K836" s="3">
        <v>192.83</v>
      </c>
      <c r="L836" s="3">
        <v>0</v>
      </c>
      <c r="M836" s="3">
        <v>0</v>
      </c>
      <c r="N836" s="3">
        <v>0</v>
      </c>
      <c r="O836" s="3">
        <v>25.067900000000002</v>
      </c>
      <c r="P836" s="3">
        <v>217.89790000000002</v>
      </c>
      <c r="Q836" t="s">
        <v>8046</v>
      </c>
      <c r="R836" t="s">
        <v>8200</v>
      </c>
      <c r="S836" s="3" t="s">
        <v>8360</v>
      </c>
      <c r="T836" s="3">
        <v>1.93</v>
      </c>
    </row>
    <row r="837" spans="1:20" hidden="1" x14ac:dyDescent="0.25">
      <c r="A837" t="s">
        <v>8387</v>
      </c>
      <c r="B837" t="s">
        <v>8440</v>
      </c>
      <c r="C837" t="s">
        <v>1</v>
      </c>
      <c r="D837" t="s">
        <v>0</v>
      </c>
      <c r="E837">
        <v>57030</v>
      </c>
      <c r="F837" t="s">
        <v>1670</v>
      </c>
      <c r="G837" t="s">
        <v>1671</v>
      </c>
      <c r="H837" s="3">
        <v>2.37</v>
      </c>
      <c r="I837" s="3">
        <v>0</v>
      </c>
      <c r="J837" s="3">
        <v>0</v>
      </c>
      <c r="K837" s="3">
        <v>27.11</v>
      </c>
      <c r="L837" s="3">
        <v>0</v>
      </c>
      <c r="M837" s="3">
        <v>0</v>
      </c>
      <c r="N837" s="3">
        <v>0</v>
      </c>
      <c r="O837" s="3">
        <v>3.5243000000000002</v>
      </c>
      <c r="P837" s="3">
        <v>33.004300000000001</v>
      </c>
      <c r="Q837" t="s">
        <v>8046</v>
      </c>
      <c r="R837" t="s">
        <v>8200</v>
      </c>
      <c r="S837" s="3" t="s">
        <v>8046</v>
      </c>
      <c r="T837" s="3">
        <v>0</v>
      </c>
    </row>
    <row r="838" spans="1:20" hidden="1" x14ac:dyDescent="0.25">
      <c r="A838" t="s">
        <v>8387</v>
      </c>
      <c r="B838" t="s">
        <v>8440</v>
      </c>
      <c r="C838" t="s">
        <v>1</v>
      </c>
      <c r="D838" t="s">
        <v>0</v>
      </c>
      <c r="E838">
        <v>8182</v>
      </c>
      <c r="F838" t="s">
        <v>1200</v>
      </c>
      <c r="G838" t="s">
        <v>1201</v>
      </c>
      <c r="H838" s="3">
        <v>0</v>
      </c>
      <c r="I838" s="3">
        <v>0</v>
      </c>
      <c r="J838" s="3">
        <v>0</v>
      </c>
      <c r="K838" s="3">
        <v>5966.74</v>
      </c>
      <c r="L838" s="3">
        <v>0</v>
      </c>
      <c r="M838" s="3">
        <v>0</v>
      </c>
      <c r="N838" s="3">
        <v>0</v>
      </c>
      <c r="O838" s="3">
        <v>775.67619999999999</v>
      </c>
      <c r="P838" s="3">
        <v>6742.4161999999997</v>
      </c>
      <c r="Q838" t="s">
        <v>8046</v>
      </c>
      <c r="R838" t="s">
        <v>8200</v>
      </c>
      <c r="S838" s="3" t="s">
        <v>8358</v>
      </c>
      <c r="T838" s="3">
        <v>59.68</v>
      </c>
    </row>
    <row r="839" spans="1:20" hidden="1" x14ac:dyDescent="0.25">
      <c r="A839" t="s">
        <v>8387</v>
      </c>
      <c r="B839" t="s">
        <v>8440</v>
      </c>
      <c r="C839" t="s">
        <v>1</v>
      </c>
      <c r="D839" t="s">
        <v>0</v>
      </c>
      <c r="E839">
        <v>8193</v>
      </c>
      <c r="F839" t="s">
        <v>1200</v>
      </c>
      <c r="G839" t="s">
        <v>1201</v>
      </c>
      <c r="H839" s="3">
        <v>0</v>
      </c>
      <c r="I839" s="3">
        <v>0</v>
      </c>
      <c r="J839" s="3">
        <v>0</v>
      </c>
      <c r="K839" s="3">
        <v>6409.9</v>
      </c>
      <c r="L839" s="3">
        <v>0</v>
      </c>
      <c r="M839" s="3">
        <v>0</v>
      </c>
      <c r="N839" s="3">
        <v>0</v>
      </c>
      <c r="O839" s="3">
        <v>833.28700000000003</v>
      </c>
      <c r="P839" s="3">
        <v>7243.1869999999999</v>
      </c>
      <c r="Q839" t="s">
        <v>8046</v>
      </c>
      <c r="R839" t="s">
        <v>8200</v>
      </c>
      <c r="S839" s="3" t="s">
        <v>8358</v>
      </c>
      <c r="T839" s="3">
        <v>64.11</v>
      </c>
    </row>
    <row r="840" spans="1:20" hidden="1" x14ac:dyDescent="0.25">
      <c r="A840" t="s">
        <v>8387</v>
      </c>
      <c r="B840" t="s">
        <v>8440</v>
      </c>
      <c r="C840" t="s">
        <v>1</v>
      </c>
      <c r="D840" t="s">
        <v>0</v>
      </c>
      <c r="E840">
        <v>8181</v>
      </c>
      <c r="F840" t="s">
        <v>1200</v>
      </c>
      <c r="G840" t="s">
        <v>1201</v>
      </c>
      <c r="H840" s="3">
        <v>0</v>
      </c>
      <c r="I840" s="3">
        <v>0</v>
      </c>
      <c r="J840" s="3">
        <v>0</v>
      </c>
      <c r="K840" s="3">
        <v>6377.8</v>
      </c>
      <c r="L840" s="3">
        <v>0</v>
      </c>
      <c r="M840" s="3">
        <v>0</v>
      </c>
      <c r="N840" s="3">
        <v>0</v>
      </c>
      <c r="O840" s="3">
        <v>829.11400000000003</v>
      </c>
      <c r="P840" s="3">
        <v>7206.9140000000007</v>
      </c>
      <c r="Q840" t="s">
        <v>8046</v>
      </c>
      <c r="R840" t="s">
        <v>8200</v>
      </c>
      <c r="S840" s="3" t="s">
        <v>8358</v>
      </c>
      <c r="T840" s="3">
        <v>63.79</v>
      </c>
    </row>
    <row r="841" spans="1:20" hidden="1" x14ac:dyDescent="0.25">
      <c r="A841" t="s">
        <v>8387</v>
      </c>
      <c r="B841" t="s">
        <v>8440</v>
      </c>
      <c r="C841" t="s">
        <v>1</v>
      </c>
      <c r="D841" t="s">
        <v>0</v>
      </c>
      <c r="E841">
        <v>203433</v>
      </c>
      <c r="F841" t="s">
        <v>1646</v>
      </c>
      <c r="G841" t="s">
        <v>1647</v>
      </c>
      <c r="H841" s="3">
        <v>0</v>
      </c>
      <c r="I841" s="3">
        <v>0</v>
      </c>
      <c r="J841" s="3">
        <v>0</v>
      </c>
      <c r="K841" s="3">
        <v>137.5</v>
      </c>
      <c r="L841" s="3">
        <v>0</v>
      </c>
      <c r="M841" s="3">
        <v>0</v>
      </c>
      <c r="N841" s="3">
        <v>0</v>
      </c>
      <c r="O841" s="3">
        <v>17.875</v>
      </c>
      <c r="P841" s="3">
        <v>155.375</v>
      </c>
      <c r="Q841" t="s">
        <v>8046</v>
      </c>
      <c r="R841" t="s">
        <v>8200</v>
      </c>
      <c r="S841" s="3" t="s">
        <v>8360</v>
      </c>
      <c r="T841" s="3">
        <v>1.38</v>
      </c>
    </row>
    <row r="842" spans="1:20" hidden="1" x14ac:dyDescent="0.25">
      <c r="A842" t="s">
        <v>8387</v>
      </c>
      <c r="B842" t="s">
        <v>8440</v>
      </c>
      <c r="C842" t="s">
        <v>1</v>
      </c>
      <c r="D842" t="s">
        <v>0</v>
      </c>
      <c r="E842">
        <v>17571</v>
      </c>
      <c r="F842" t="s">
        <v>1488</v>
      </c>
      <c r="G842" t="s">
        <v>1489</v>
      </c>
      <c r="H842" s="3">
        <v>2.19</v>
      </c>
      <c r="I842" s="3">
        <v>0</v>
      </c>
      <c r="J842" s="3">
        <v>0</v>
      </c>
      <c r="K842" s="3">
        <v>24.62</v>
      </c>
      <c r="L842" s="3">
        <v>0</v>
      </c>
      <c r="M842" s="3">
        <v>0</v>
      </c>
      <c r="N842" s="3">
        <v>0</v>
      </c>
      <c r="O842" s="3">
        <v>3.2006000000000001</v>
      </c>
      <c r="P842" s="3">
        <v>30.010600000000004</v>
      </c>
      <c r="Q842" t="s">
        <v>8046</v>
      </c>
      <c r="R842" t="s">
        <v>8200</v>
      </c>
      <c r="S842" s="3" t="s">
        <v>8046</v>
      </c>
      <c r="T842" s="3">
        <v>0</v>
      </c>
    </row>
    <row r="843" spans="1:20" hidden="1" x14ac:dyDescent="0.25">
      <c r="A843" t="s">
        <v>8387</v>
      </c>
      <c r="B843" t="s">
        <v>8440</v>
      </c>
      <c r="C843" t="s">
        <v>1</v>
      </c>
      <c r="D843" t="s">
        <v>0</v>
      </c>
      <c r="E843">
        <v>19035</v>
      </c>
      <c r="F843" t="s">
        <v>2433</v>
      </c>
      <c r="G843" t="s">
        <v>2434</v>
      </c>
      <c r="H843" s="3">
        <v>0</v>
      </c>
      <c r="I843" s="3">
        <v>0</v>
      </c>
      <c r="J843" s="3">
        <v>0</v>
      </c>
      <c r="K843" s="3">
        <v>60.28</v>
      </c>
      <c r="L843" s="3">
        <v>0</v>
      </c>
      <c r="M843" s="3">
        <v>0</v>
      </c>
      <c r="N843" s="3">
        <v>0</v>
      </c>
      <c r="O843" s="3">
        <v>7.8364000000000003</v>
      </c>
      <c r="P843" s="3">
        <v>68.116399999999999</v>
      </c>
      <c r="Q843" t="s">
        <v>8046</v>
      </c>
      <c r="R843" t="s">
        <v>8200</v>
      </c>
      <c r="S843" s="3" t="s">
        <v>8046</v>
      </c>
      <c r="T843" s="3">
        <v>0</v>
      </c>
    </row>
    <row r="844" spans="1:20" hidden="1" x14ac:dyDescent="0.25">
      <c r="A844" t="s">
        <v>8387</v>
      </c>
      <c r="B844" t="s">
        <v>8440</v>
      </c>
      <c r="C844" t="s">
        <v>1</v>
      </c>
      <c r="D844" t="s">
        <v>0</v>
      </c>
      <c r="E844">
        <v>40184</v>
      </c>
      <c r="F844" t="s">
        <v>1554</v>
      </c>
      <c r="G844" t="s">
        <v>1555</v>
      </c>
      <c r="H844" s="3">
        <v>2.9699999999999998</v>
      </c>
      <c r="I844" s="3">
        <v>0</v>
      </c>
      <c r="J844" s="3">
        <v>0</v>
      </c>
      <c r="K844" s="3">
        <v>33.65</v>
      </c>
      <c r="L844" s="3">
        <v>0</v>
      </c>
      <c r="M844" s="3">
        <v>0</v>
      </c>
      <c r="N844" s="3">
        <v>0</v>
      </c>
      <c r="O844" s="3">
        <v>4.3745000000000003</v>
      </c>
      <c r="P844" s="3">
        <v>40.994499999999995</v>
      </c>
      <c r="Q844" t="s">
        <v>8046</v>
      </c>
      <c r="R844" t="s">
        <v>8200</v>
      </c>
      <c r="S844" s="3" t="s">
        <v>8046</v>
      </c>
      <c r="T844" s="3">
        <v>0</v>
      </c>
    </row>
    <row r="845" spans="1:20" hidden="1" x14ac:dyDescent="0.25">
      <c r="A845" t="s">
        <v>8387</v>
      </c>
      <c r="B845" t="s">
        <v>8440</v>
      </c>
      <c r="C845" t="s">
        <v>1</v>
      </c>
      <c r="D845" t="s">
        <v>0</v>
      </c>
      <c r="E845">
        <v>30574</v>
      </c>
      <c r="F845" t="s">
        <v>3202</v>
      </c>
      <c r="G845" t="s">
        <v>3203</v>
      </c>
      <c r="H845" s="3">
        <v>0</v>
      </c>
      <c r="I845" s="3">
        <v>0</v>
      </c>
      <c r="J845" s="3">
        <v>0</v>
      </c>
      <c r="K845" s="3">
        <v>41.64</v>
      </c>
      <c r="L845" s="3">
        <v>0</v>
      </c>
      <c r="M845" s="3">
        <v>0</v>
      </c>
      <c r="N845" s="3">
        <v>0</v>
      </c>
      <c r="O845" s="3">
        <v>5.4132000000000007</v>
      </c>
      <c r="P845" s="3">
        <v>47.053200000000004</v>
      </c>
      <c r="Q845" t="s">
        <v>8046</v>
      </c>
      <c r="R845" t="s">
        <v>8200</v>
      </c>
      <c r="S845" s="3" t="s">
        <v>8046</v>
      </c>
      <c r="T845" s="3">
        <v>0</v>
      </c>
    </row>
    <row r="846" spans="1:20" hidden="1" x14ac:dyDescent="0.25">
      <c r="A846" t="s">
        <v>8387</v>
      </c>
      <c r="B846" t="s">
        <v>8443</v>
      </c>
      <c r="C846" t="s">
        <v>1</v>
      </c>
      <c r="D846" t="s">
        <v>0</v>
      </c>
      <c r="E846">
        <v>16336</v>
      </c>
      <c r="F846" t="s">
        <v>8383</v>
      </c>
      <c r="G846" t="s">
        <v>8384</v>
      </c>
      <c r="H846" s="3">
        <v>0</v>
      </c>
      <c r="I846" s="3">
        <v>0</v>
      </c>
      <c r="J846" s="3">
        <v>0</v>
      </c>
      <c r="K846" s="3">
        <v>204.65</v>
      </c>
      <c r="L846" s="3">
        <v>0</v>
      </c>
      <c r="M846" s="3">
        <v>0</v>
      </c>
      <c r="N846" s="3">
        <v>0</v>
      </c>
      <c r="O846" s="3">
        <v>26.604500000000002</v>
      </c>
      <c r="P846" s="3">
        <v>231.25450000000001</v>
      </c>
      <c r="Q846" t="s">
        <v>8046</v>
      </c>
      <c r="R846" t="s">
        <v>8200</v>
      </c>
      <c r="S846" s="3" t="s">
        <v>8046</v>
      </c>
      <c r="T846" s="3">
        <v>0</v>
      </c>
    </row>
    <row r="847" spans="1:20" hidden="1" x14ac:dyDescent="0.25">
      <c r="A847" t="s">
        <v>8387</v>
      </c>
      <c r="B847" t="s">
        <v>8443</v>
      </c>
      <c r="C847" t="s">
        <v>1</v>
      </c>
      <c r="D847" t="s">
        <v>0</v>
      </c>
      <c r="E847">
        <v>2308</v>
      </c>
      <c r="F847" t="s">
        <v>3019</v>
      </c>
      <c r="G847" t="s">
        <v>3020</v>
      </c>
      <c r="H847" s="3">
        <v>0</v>
      </c>
      <c r="I847" s="3">
        <v>0</v>
      </c>
      <c r="J847" s="3">
        <v>0</v>
      </c>
      <c r="K847" s="3">
        <v>114.8</v>
      </c>
      <c r="L847" s="3">
        <v>0</v>
      </c>
      <c r="M847" s="3">
        <v>0</v>
      </c>
      <c r="N847" s="3">
        <v>0</v>
      </c>
      <c r="O847" s="3">
        <v>14.923999999999999</v>
      </c>
      <c r="P847" s="3">
        <v>129.72399999999999</v>
      </c>
      <c r="Q847" t="s">
        <v>8046</v>
      </c>
      <c r="R847" t="s">
        <v>8200</v>
      </c>
      <c r="S847" s="3" t="s">
        <v>8341</v>
      </c>
      <c r="T847" s="3">
        <v>1.1499999999999999</v>
      </c>
    </row>
    <row r="848" spans="1:20" hidden="1" x14ac:dyDescent="0.25">
      <c r="A848" t="s">
        <v>8387</v>
      </c>
      <c r="B848" t="s">
        <v>8443</v>
      </c>
      <c r="C848" t="s">
        <v>1</v>
      </c>
      <c r="D848" t="s">
        <v>0</v>
      </c>
      <c r="E848">
        <v>38778</v>
      </c>
      <c r="F848" t="s">
        <v>1670</v>
      </c>
      <c r="G848" t="s">
        <v>1671</v>
      </c>
      <c r="H848" s="3">
        <v>4.32</v>
      </c>
      <c r="I848" s="3">
        <v>0</v>
      </c>
      <c r="J848" s="3">
        <v>0</v>
      </c>
      <c r="K848" s="3">
        <v>49.27</v>
      </c>
      <c r="L848" s="3">
        <v>0</v>
      </c>
      <c r="M848" s="3">
        <v>0</v>
      </c>
      <c r="N848" s="3">
        <v>0</v>
      </c>
      <c r="O848" s="3">
        <v>6.4051000000000009</v>
      </c>
      <c r="P848" s="3">
        <v>59.995100000000008</v>
      </c>
      <c r="Q848" t="s">
        <v>8046</v>
      </c>
      <c r="R848" t="s">
        <v>8200</v>
      </c>
      <c r="S848" s="3" t="s">
        <v>8046</v>
      </c>
      <c r="T848" s="3">
        <v>0</v>
      </c>
    </row>
    <row r="849" spans="1:20" hidden="1" x14ac:dyDescent="0.25">
      <c r="A849" t="s">
        <v>8387</v>
      </c>
      <c r="B849" t="s">
        <v>8444</v>
      </c>
      <c r="C849" t="s">
        <v>1</v>
      </c>
      <c r="D849" t="s">
        <v>0</v>
      </c>
      <c r="E849">
        <v>191703</v>
      </c>
      <c r="F849" t="s">
        <v>1620</v>
      </c>
      <c r="G849" t="s">
        <v>1621</v>
      </c>
      <c r="H849" s="3">
        <v>1.44</v>
      </c>
      <c r="I849" s="3">
        <v>0</v>
      </c>
      <c r="J849" s="3">
        <v>0</v>
      </c>
      <c r="K849" s="3">
        <v>16.420000000000002</v>
      </c>
      <c r="L849" s="3">
        <v>0</v>
      </c>
      <c r="M849" s="3">
        <v>0</v>
      </c>
      <c r="N849" s="3">
        <v>0</v>
      </c>
      <c r="O849" s="3">
        <v>2.1346000000000003</v>
      </c>
      <c r="P849" s="3">
        <v>19.994600000000002</v>
      </c>
      <c r="Q849" t="s">
        <v>8046</v>
      </c>
      <c r="R849" t="s">
        <v>8200</v>
      </c>
      <c r="S849" s="3" t="s">
        <v>8046</v>
      </c>
      <c r="T849" s="3">
        <v>0</v>
      </c>
    </row>
    <row r="850" spans="1:20" hidden="1" x14ac:dyDescent="0.25">
      <c r="A850" t="s">
        <v>8387</v>
      </c>
      <c r="B850" t="s">
        <v>8444</v>
      </c>
      <c r="C850" t="s">
        <v>1</v>
      </c>
      <c r="D850" t="s">
        <v>0</v>
      </c>
      <c r="E850">
        <v>7847</v>
      </c>
      <c r="F850" t="s">
        <v>2635</v>
      </c>
      <c r="G850" t="s">
        <v>2636</v>
      </c>
      <c r="H850" s="3">
        <v>0</v>
      </c>
      <c r="I850" s="3">
        <v>0</v>
      </c>
      <c r="J850" s="3">
        <v>0</v>
      </c>
      <c r="K850" s="3">
        <v>68.13</v>
      </c>
      <c r="L850" s="3">
        <v>0</v>
      </c>
      <c r="M850" s="3">
        <v>0</v>
      </c>
      <c r="N850" s="3">
        <v>0</v>
      </c>
      <c r="O850" s="3">
        <v>8.8568999999999996</v>
      </c>
      <c r="P850" s="3">
        <v>76.986899999999991</v>
      </c>
      <c r="Q850" t="s">
        <v>8046</v>
      </c>
      <c r="R850" t="s">
        <v>8200</v>
      </c>
      <c r="S850" s="3" t="s">
        <v>8046</v>
      </c>
      <c r="T850" s="3">
        <v>0</v>
      </c>
    </row>
    <row r="851" spans="1:20" hidden="1" x14ac:dyDescent="0.25">
      <c r="A851" t="s">
        <v>8387</v>
      </c>
      <c r="B851" t="s">
        <v>8444</v>
      </c>
      <c r="C851" t="s">
        <v>1</v>
      </c>
      <c r="D851" t="s">
        <v>0</v>
      </c>
      <c r="E851">
        <v>73375</v>
      </c>
      <c r="F851" t="s">
        <v>1732</v>
      </c>
      <c r="G851" t="s">
        <v>1733</v>
      </c>
      <c r="H851" s="3">
        <v>1.51</v>
      </c>
      <c r="I851" s="3">
        <v>0</v>
      </c>
      <c r="J851" s="3">
        <v>0</v>
      </c>
      <c r="K851" s="3">
        <v>16.350000000000001</v>
      </c>
      <c r="L851" s="3">
        <v>0</v>
      </c>
      <c r="M851" s="3">
        <v>0</v>
      </c>
      <c r="N851" s="3">
        <v>0</v>
      </c>
      <c r="O851" s="3">
        <v>2.1255000000000002</v>
      </c>
      <c r="P851" s="3">
        <v>19.985500000000002</v>
      </c>
      <c r="Q851" t="s">
        <v>8046</v>
      </c>
      <c r="R851" t="s">
        <v>8200</v>
      </c>
      <c r="S851" s="3" t="s">
        <v>8046</v>
      </c>
      <c r="T851" s="3">
        <v>0</v>
      </c>
    </row>
    <row r="852" spans="1:20" hidden="1" x14ac:dyDescent="0.25">
      <c r="A852" t="s">
        <v>8387</v>
      </c>
      <c r="B852" t="s">
        <v>8447</v>
      </c>
      <c r="C852" t="s">
        <v>1</v>
      </c>
      <c r="D852" t="s">
        <v>0</v>
      </c>
      <c r="E852">
        <v>29283</v>
      </c>
      <c r="F852" t="s">
        <v>2256</v>
      </c>
      <c r="G852" t="s">
        <v>2257</v>
      </c>
      <c r="H852" s="3">
        <v>0</v>
      </c>
      <c r="I852" s="3">
        <v>0</v>
      </c>
      <c r="J852" s="3">
        <v>0</v>
      </c>
      <c r="K852" s="3">
        <v>390.64</v>
      </c>
      <c r="L852" s="3">
        <v>0</v>
      </c>
      <c r="M852" s="3">
        <v>0</v>
      </c>
      <c r="N852" s="3">
        <v>0</v>
      </c>
      <c r="O852" s="3">
        <v>50.783200000000001</v>
      </c>
      <c r="P852" s="3">
        <v>441.42320000000001</v>
      </c>
      <c r="Q852" t="s">
        <v>8046</v>
      </c>
      <c r="R852" t="s">
        <v>8200</v>
      </c>
      <c r="S852" s="3" t="s">
        <v>8345</v>
      </c>
      <c r="T852" s="3">
        <v>3.91</v>
      </c>
    </row>
    <row r="853" spans="1:20" hidden="1" x14ac:dyDescent="0.25">
      <c r="A853" t="s">
        <v>8387</v>
      </c>
      <c r="B853" t="s">
        <v>8447</v>
      </c>
      <c r="C853" t="s">
        <v>1</v>
      </c>
      <c r="D853" t="s">
        <v>0</v>
      </c>
      <c r="E853">
        <v>1564</v>
      </c>
      <c r="F853" t="s">
        <v>131</v>
      </c>
      <c r="G853" t="s">
        <v>132</v>
      </c>
      <c r="H853" s="3">
        <v>0</v>
      </c>
      <c r="I853" s="3">
        <v>0</v>
      </c>
      <c r="J853" s="3">
        <v>0</v>
      </c>
      <c r="K853" s="3">
        <v>859.18</v>
      </c>
      <c r="L853" s="3">
        <v>0</v>
      </c>
      <c r="M853" s="3">
        <v>0</v>
      </c>
      <c r="N853" s="3">
        <v>0</v>
      </c>
      <c r="O853" s="3">
        <v>111.6934</v>
      </c>
      <c r="P853" s="3">
        <v>970.87339999999995</v>
      </c>
      <c r="Q853" t="s">
        <v>8046</v>
      </c>
      <c r="R853" t="s">
        <v>8200</v>
      </c>
      <c r="S853" s="3" t="s">
        <v>8046</v>
      </c>
      <c r="T853" s="3">
        <v>0</v>
      </c>
    </row>
    <row r="854" spans="1:20" hidden="1" x14ac:dyDescent="0.25">
      <c r="A854" t="s">
        <v>8387</v>
      </c>
      <c r="B854" t="s">
        <v>8447</v>
      </c>
      <c r="C854" t="s">
        <v>1</v>
      </c>
      <c r="D854" t="s">
        <v>0</v>
      </c>
      <c r="E854">
        <v>1977</v>
      </c>
      <c r="F854" t="s">
        <v>1557</v>
      </c>
      <c r="G854" t="s">
        <v>1558</v>
      </c>
      <c r="H854" s="3">
        <v>0</v>
      </c>
      <c r="I854" s="3">
        <v>0</v>
      </c>
      <c r="J854" s="3">
        <v>0</v>
      </c>
      <c r="K854" s="3">
        <v>41.65</v>
      </c>
      <c r="L854" s="3">
        <v>0</v>
      </c>
      <c r="M854" s="3">
        <v>0</v>
      </c>
      <c r="N854" s="3">
        <v>0</v>
      </c>
      <c r="O854" s="3">
        <v>5.4145000000000003</v>
      </c>
      <c r="P854" s="3">
        <v>47.064499999999995</v>
      </c>
      <c r="Q854" t="s">
        <v>8046</v>
      </c>
      <c r="R854" t="s">
        <v>8200</v>
      </c>
      <c r="S854" s="3" t="s">
        <v>8046</v>
      </c>
      <c r="T854" s="3">
        <v>0</v>
      </c>
    </row>
    <row r="855" spans="1:20" hidden="1" x14ac:dyDescent="0.25">
      <c r="A855" t="s">
        <v>8387</v>
      </c>
      <c r="B855" t="s">
        <v>8447</v>
      </c>
      <c r="C855" t="s">
        <v>1</v>
      </c>
      <c r="D855" t="s">
        <v>0</v>
      </c>
      <c r="E855">
        <v>2358</v>
      </c>
      <c r="F855" t="s">
        <v>95</v>
      </c>
      <c r="G855" t="s">
        <v>96</v>
      </c>
      <c r="H855" s="3">
        <v>0</v>
      </c>
      <c r="I855" s="3">
        <v>0</v>
      </c>
      <c r="J855" s="3">
        <v>0</v>
      </c>
      <c r="K855" s="3">
        <v>21.06</v>
      </c>
      <c r="L855" s="3">
        <v>0</v>
      </c>
      <c r="M855" s="3">
        <v>0</v>
      </c>
      <c r="N855" s="3">
        <v>0</v>
      </c>
      <c r="O855" s="3">
        <v>2.7378</v>
      </c>
      <c r="P855" s="3">
        <v>23.797799999999999</v>
      </c>
      <c r="Q855" t="s">
        <v>8046</v>
      </c>
      <c r="R855" t="s">
        <v>8200</v>
      </c>
      <c r="S855" s="3" t="s">
        <v>8046</v>
      </c>
      <c r="T855" s="3">
        <v>0</v>
      </c>
    </row>
    <row r="856" spans="1:20" hidden="1" x14ac:dyDescent="0.25">
      <c r="A856" t="s">
        <v>8387</v>
      </c>
      <c r="B856" t="s">
        <v>8447</v>
      </c>
      <c r="C856" t="s">
        <v>1</v>
      </c>
      <c r="D856" t="s">
        <v>0</v>
      </c>
      <c r="E856">
        <v>11233</v>
      </c>
      <c r="F856" t="s">
        <v>1522</v>
      </c>
      <c r="G856" t="s">
        <v>1523</v>
      </c>
      <c r="H856" s="3">
        <v>2.79</v>
      </c>
      <c r="I856" s="3">
        <v>0</v>
      </c>
      <c r="J856" s="3">
        <v>0</v>
      </c>
      <c r="K856" s="3">
        <v>28.5</v>
      </c>
      <c r="L856" s="3">
        <v>0</v>
      </c>
      <c r="M856" s="3">
        <v>0</v>
      </c>
      <c r="N856" s="3">
        <v>0</v>
      </c>
      <c r="O856" s="3">
        <v>3.7050000000000001</v>
      </c>
      <c r="P856" s="3">
        <v>34.994999999999997</v>
      </c>
      <c r="Q856" t="s">
        <v>8046</v>
      </c>
      <c r="R856" t="s">
        <v>8200</v>
      </c>
      <c r="S856" s="3" t="s">
        <v>8046</v>
      </c>
      <c r="T856" s="3">
        <v>0</v>
      </c>
    </row>
    <row r="857" spans="1:20" hidden="1" x14ac:dyDescent="0.25">
      <c r="A857" t="s">
        <v>8387</v>
      </c>
      <c r="B857" t="s">
        <v>8450</v>
      </c>
      <c r="C857" t="s">
        <v>1</v>
      </c>
      <c r="D857" t="s">
        <v>0</v>
      </c>
      <c r="E857">
        <v>22892</v>
      </c>
      <c r="F857" t="s">
        <v>3019</v>
      </c>
      <c r="G857" t="s">
        <v>3020</v>
      </c>
      <c r="H857" s="3">
        <v>0</v>
      </c>
      <c r="I857" s="3">
        <v>0</v>
      </c>
      <c r="J857" s="3">
        <v>0</v>
      </c>
      <c r="K857" s="3">
        <v>164.56</v>
      </c>
      <c r="L857" s="3">
        <v>0</v>
      </c>
      <c r="M857" s="3">
        <v>0</v>
      </c>
      <c r="N857" s="3">
        <v>0</v>
      </c>
      <c r="O857" s="3">
        <v>21.392800000000001</v>
      </c>
      <c r="P857" s="3">
        <v>185.9528</v>
      </c>
      <c r="Q857" t="s">
        <v>8046</v>
      </c>
      <c r="R857" t="s">
        <v>8200</v>
      </c>
      <c r="S857" s="3" t="s">
        <v>8341</v>
      </c>
      <c r="T857" s="3">
        <v>1.65</v>
      </c>
    </row>
    <row r="858" spans="1:20" hidden="1" x14ac:dyDescent="0.25">
      <c r="A858" t="s">
        <v>8387</v>
      </c>
      <c r="B858" t="s">
        <v>8450</v>
      </c>
      <c r="C858" t="s">
        <v>1</v>
      </c>
      <c r="D858" t="s">
        <v>0</v>
      </c>
      <c r="E858">
        <v>1285</v>
      </c>
      <c r="F858" t="s">
        <v>7902</v>
      </c>
      <c r="G858" t="s">
        <v>7903</v>
      </c>
      <c r="H858" s="3">
        <v>0</v>
      </c>
      <c r="I858" s="3">
        <v>0</v>
      </c>
      <c r="J858" s="3">
        <v>0</v>
      </c>
      <c r="K858" s="3">
        <v>22.12</v>
      </c>
      <c r="L858" s="3">
        <v>0</v>
      </c>
      <c r="M858" s="3">
        <v>0</v>
      </c>
      <c r="N858" s="3">
        <v>0</v>
      </c>
      <c r="O858" s="3">
        <v>2.8756000000000004</v>
      </c>
      <c r="P858" s="3">
        <v>24.995600000000003</v>
      </c>
      <c r="Q858" t="s">
        <v>8046</v>
      </c>
      <c r="R858" t="s">
        <v>8200</v>
      </c>
      <c r="S858" s="3" t="s">
        <v>8046</v>
      </c>
      <c r="T858" s="3">
        <v>0</v>
      </c>
    </row>
    <row r="859" spans="1:20" hidden="1" x14ac:dyDescent="0.25">
      <c r="A859" t="s">
        <v>8387</v>
      </c>
      <c r="B859" t="s">
        <v>8450</v>
      </c>
      <c r="C859" t="s">
        <v>1</v>
      </c>
      <c r="D859" t="s">
        <v>0</v>
      </c>
      <c r="E859">
        <v>1418238</v>
      </c>
      <c r="F859" t="s">
        <v>1576</v>
      </c>
      <c r="G859" t="s">
        <v>1577</v>
      </c>
      <c r="H859" s="3">
        <v>0</v>
      </c>
      <c r="I859" s="3">
        <v>0</v>
      </c>
      <c r="J859" s="3">
        <v>0</v>
      </c>
      <c r="K859" s="3">
        <v>725.23</v>
      </c>
      <c r="L859" s="3">
        <v>0</v>
      </c>
      <c r="M859" s="3">
        <v>0</v>
      </c>
      <c r="N859" s="3">
        <v>0</v>
      </c>
      <c r="O859" s="3">
        <v>94.279900000000012</v>
      </c>
      <c r="P859" s="3">
        <v>819.50990000000002</v>
      </c>
      <c r="Q859" t="s">
        <v>8046</v>
      </c>
      <c r="R859" t="s">
        <v>8200</v>
      </c>
      <c r="S859" s="3" t="s">
        <v>8345</v>
      </c>
      <c r="T859" s="3">
        <v>7.25</v>
      </c>
    </row>
    <row r="860" spans="1:20" hidden="1" x14ac:dyDescent="0.25">
      <c r="A860" t="s">
        <v>8387</v>
      </c>
      <c r="B860" t="s">
        <v>8450</v>
      </c>
      <c r="C860" t="s">
        <v>1</v>
      </c>
      <c r="D860" t="s">
        <v>0</v>
      </c>
      <c r="E860">
        <v>1417616</v>
      </c>
      <c r="F860" t="s">
        <v>1576</v>
      </c>
      <c r="G860" t="s">
        <v>1577</v>
      </c>
      <c r="H860" s="3">
        <v>0</v>
      </c>
      <c r="I860" s="3">
        <v>0</v>
      </c>
      <c r="J860" s="3">
        <v>0</v>
      </c>
      <c r="K860" s="3">
        <v>740.5</v>
      </c>
      <c r="L860" s="3">
        <v>0</v>
      </c>
      <c r="M860" s="3">
        <v>0</v>
      </c>
      <c r="N860" s="3">
        <v>0</v>
      </c>
      <c r="O860" s="3">
        <v>96.265000000000001</v>
      </c>
      <c r="P860" s="3">
        <v>836.76499999999999</v>
      </c>
      <c r="Q860" t="s">
        <v>8046</v>
      </c>
      <c r="R860" t="s">
        <v>8200</v>
      </c>
      <c r="S860" s="3" t="s">
        <v>8345</v>
      </c>
      <c r="T860" s="3">
        <v>7.41</v>
      </c>
    </row>
    <row r="861" spans="1:20" hidden="1" x14ac:dyDescent="0.25">
      <c r="A861" t="s">
        <v>8387</v>
      </c>
      <c r="B861" t="s">
        <v>8450</v>
      </c>
      <c r="C861" t="s">
        <v>1</v>
      </c>
      <c r="D861" t="s">
        <v>0</v>
      </c>
      <c r="E861">
        <v>7112</v>
      </c>
      <c r="F861" t="s">
        <v>95</v>
      </c>
      <c r="G861" t="s">
        <v>96</v>
      </c>
      <c r="I861" s="3">
        <v>0</v>
      </c>
      <c r="J861" s="3">
        <v>0</v>
      </c>
      <c r="K861" s="3">
        <v>15.62</v>
      </c>
      <c r="L861" s="3">
        <v>0</v>
      </c>
      <c r="M861" s="3">
        <v>0</v>
      </c>
      <c r="N861" s="3">
        <v>0</v>
      </c>
      <c r="O861" s="3">
        <v>2.0306000000000002</v>
      </c>
      <c r="P861" s="3">
        <v>17.650600000000001</v>
      </c>
      <c r="Q861" t="s">
        <v>8046</v>
      </c>
      <c r="R861" t="s">
        <v>8200</v>
      </c>
      <c r="S861" s="3" t="s">
        <v>8046</v>
      </c>
      <c r="T861" s="3">
        <v>0</v>
      </c>
    </row>
    <row r="862" spans="1:20" hidden="1" x14ac:dyDescent="0.25">
      <c r="A862" t="s">
        <v>8387</v>
      </c>
      <c r="B862" t="s">
        <v>8450</v>
      </c>
      <c r="C862" t="s">
        <v>1</v>
      </c>
      <c r="D862" t="s">
        <v>0</v>
      </c>
      <c r="E862">
        <v>11106</v>
      </c>
      <c r="F862" t="s">
        <v>1522</v>
      </c>
      <c r="G862" t="s">
        <v>1523</v>
      </c>
      <c r="H862" s="3">
        <v>3.05</v>
      </c>
      <c r="I862" s="3">
        <v>0</v>
      </c>
      <c r="J862" s="3">
        <v>0</v>
      </c>
      <c r="K862" s="3">
        <v>34.47</v>
      </c>
      <c r="L862" s="3">
        <v>0</v>
      </c>
      <c r="M862" s="3">
        <v>0</v>
      </c>
      <c r="N862" s="3">
        <v>0</v>
      </c>
      <c r="O862" s="3">
        <v>4.4810999999999996</v>
      </c>
      <c r="P862" s="3">
        <v>42.001099999999994</v>
      </c>
      <c r="Q862" t="s">
        <v>8046</v>
      </c>
      <c r="R862" t="s">
        <v>8200</v>
      </c>
      <c r="S862" s="3" t="s">
        <v>8046</v>
      </c>
      <c r="T862" s="3">
        <v>0</v>
      </c>
    </row>
    <row r="863" spans="1:20" hidden="1" x14ac:dyDescent="0.25">
      <c r="A863" t="s">
        <v>8387</v>
      </c>
      <c r="B863" t="s">
        <v>8450</v>
      </c>
      <c r="C863" t="s">
        <v>1</v>
      </c>
      <c r="D863" t="s">
        <v>0</v>
      </c>
      <c r="E863">
        <v>2731</v>
      </c>
      <c r="F863" t="s">
        <v>1663</v>
      </c>
      <c r="G863" t="s">
        <v>1664</v>
      </c>
      <c r="H863" s="3">
        <v>2.34</v>
      </c>
      <c r="I863" s="3">
        <v>0</v>
      </c>
      <c r="J863" s="3">
        <v>0</v>
      </c>
      <c r="K863" s="3">
        <v>24.48</v>
      </c>
      <c r="L863" s="3">
        <v>0</v>
      </c>
      <c r="M863" s="3">
        <v>0</v>
      </c>
      <c r="N863" s="3">
        <v>0</v>
      </c>
      <c r="O863" s="3">
        <v>3.1824000000000003</v>
      </c>
      <c r="P863" s="3">
        <v>30.002400000000002</v>
      </c>
      <c r="Q863" t="s">
        <v>8046</v>
      </c>
      <c r="R863" t="s">
        <v>8200</v>
      </c>
      <c r="S863" s="3" t="s">
        <v>8046</v>
      </c>
      <c r="T863" s="3">
        <v>0</v>
      </c>
    </row>
    <row r="864" spans="1:20" hidden="1" x14ac:dyDescent="0.25">
      <c r="A864" t="s">
        <v>8387</v>
      </c>
      <c r="B864" t="s">
        <v>8455</v>
      </c>
      <c r="C864" t="s">
        <v>1</v>
      </c>
      <c r="D864" t="s">
        <v>0</v>
      </c>
      <c r="E864">
        <v>981</v>
      </c>
      <c r="F864" t="s">
        <v>8371</v>
      </c>
      <c r="G864" t="s">
        <v>8372</v>
      </c>
      <c r="H864" s="3">
        <v>0</v>
      </c>
      <c r="I864" s="3">
        <v>0</v>
      </c>
      <c r="J864" s="3">
        <v>0</v>
      </c>
      <c r="K864" s="3">
        <v>57.52</v>
      </c>
      <c r="L864" s="3">
        <v>0</v>
      </c>
      <c r="M864" s="3">
        <v>0</v>
      </c>
      <c r="N864" s="3">
        <v>0</v>
      </c>
      <c r="O864" s="3">
        <v>7.4776000000000007</v>
      </c>
      <c r="P864" s="3">
        <v>64.997600000000006</v>
      </c>
      <c r="Q864" t="s">
        <v>8046</v>
      </c>
      <c r="R864" t="s">
        <v>8200</v>
      </c>
      <c r="S864" s="3" t="s">
        <v>8046</v>
      </c>
      <c r="T864" s="3">
        <v>0</v>
      </c>
    </row>
    <row r="865" spans="1:20" hidden="1" x14ac:dyDescent="0.25">
      <c r="A865" t="s">
        <v>8387</v>
      </c>
      <c r="B865" t="s">
        <v>8455</v>
      </c>
      <c r="C865" t="s">
        <v>1</v>
      </c>
      <c r="D865" t="s">
        <v>0</v>
      </c>
      <c r="E865">
        <v>68853</v>
      </c>
      <c r="F865" t="s">
        <v>3374</v>
      </c>
      <c r="G865" t="s">
        <v>3375</v>
      </c>
      <c r="H865" s="3">
        <v>2.02</v>
      </c>
      <c r="I865" s="3">
        <v>0</v>
      </c>
      <c r="J865" s="3">
        <v>0</v>
      </c>
      <c r="K865" s="3">
        <v>22.99</v>
      </c>
      <c r="L865" s="3">
        <v>0</v>
      </c>
      <c r="M865" s="3">
        <v>0</v>
      </c>
      <c r="N865" s="3">
        <v>0</v>
      </c>
      <c r="O865" s="3">
        <v>2.9886999999999997</v>
      </c>
      <c r="P865" s="3">
        <v>27.998699999999999</v>
      </c>
      <c r="Q865" t="s">
        <v>8046</v>
      </c>
      <c r="R865" t="s">
        <v>8200</v>
      </c>
      <c r="S865" s="3" t="s">
        <v>8046</v>
      </c>
      <c r="T865" s="3">
        <v>0</v>
      </c>
    </row>
    <row r="866" spans="1:20" hidden="1" x14ac:dyDescent="0.25">
      <c r="A866" t="s">
        <v>8387</v>
      </c>
      <c r="B866" t="s">
        <v>8455</v>
      </c>
      <c r="C866" t="s">
        <v>1</v>
      </c>
      <c r="D866" t="s">
        <v>0</v>
      </c>
      <c r="E866">
        <v>1417508</v>
      </c>
      <c r="F866" t="s">
        <v>1576</v>
      </c>
      <c r="G866" t="s">
        <v>1577</v>
      </c>
      <c r="H866" s="3">
        <v>0</v>
      </c>
      <c r="I866" s="3">
        <v>0</v>
      </c>
      <c r="J866" s="3">
        <v>0</v>
      </c>
      <c r="K866" s="3">
        <v>1104</v>
      </c>
      <c r="L866" s="3">
        <v>0</v>
      </c>
      <c r="M866" s="3">
        <v>0</v>
      </c>
      <c r="N866" s="3">
        <v>0</v>
      </c>
      <c r="O866" s="3">
        <v>143.52000000000001</v>
      </c>
      <c r="P866" s="3">
        <v>1247.52</v>
      </c>
      <c r="Q866" t="s">
        <v>8046</v>
      </c>
      <c r="R866" t="s">
        <v>8200</v>
      </c>
      <c r="S866" s="3" t="s">
        <v>8345</v>
      </c>
      <c r="T866" s="3">
        <v>11.04</v>
      </c>
    </row>
    <row r="867" spans="1:20" hidden="1" x14ac:dyDescent="0.25">
      <c r="A867" t="s">
        <v>8387</v>
      </c>
      <c r="B867" t="s">
        <v>8455</v>
      </c>
      <c r="C867" t="s">
        <v>1</v>
      </c>
      <c r="D867" t="s">
        <v>0</v>
      </c>
      <c r="E867">
        <v>1417506</v>
      </c>
      <c r="F867" t="s">
        <v>1576</v>
      </c>
      <c r="G867" t="s">
        <v>1577</v>
      </c>
      <c r="H867" s="3">
        <v>0</v>
      </c>
      <c r="I867" s="3">
        <v>0</v>
      </c>
      <c r="J867" s="3">
        <v>0</v>
      </c>
      <c r="K867" s="3">
        <v>1172</v>
      </c>
      <c r="L867" s="3">
        <v>0</v>
      </c>
      <c r="M867" s="3">
        <v>0</v>
      </c>
      <c r="N867" s="3">
        <v>0</v>
      </c>
      <c r="O867" s="3">
        <v>152.36000000000001</v>
      </c>
      <c r="P867" s="3">
        <v>1324.3600000000001</v>
      </c>
      <c r="Q867" t="s">
        <v>8046</v>
      </c>
      <c r="R867" t="s">
        <v>8200</v>
      </c>
      <c r="S867" s="3" t="s">
        <v>8345</v>
      </c>
      <c r="T867" s="3">
        <v>11.72</v>
      </c>
    </row>
    <row r="868" spans="1:20" hidden="1" x14ac:dyDescent="0.25">
      <c r="A868" t="s">
        <v>8387</v>
      </c>
      <c r="B868" t="s">
        <v>8455</v>
      </c>
      <c r="C868" t="s">
        <v>1</v>
      </c>
      <c r="D868" t="s">
        <v>0</v>
      </c>
      <c r="E868">
        <v>10905</v>
      </c>
      <c r="F868" t="s">
        <v>1522</v>
      </c>
      <c r="G868" t="s">
        <v>1523</v>
      </c>
      <c r="H868" s="3">
        <v>2.54</v>
      </c>
      <c r="I868" s="3">
        <v>0</v>
      </c>
      <c r="J868" s="3">
        <v>0</v>
      </c>
      <c r="K868" s="3">
        <v>28.73</v>
      </c>
      <c r="L868" s="3">
        <v>0</v>
      </c>
      <c r="M868" s="3">
        <v>0</v>
      </c>
      <c r="N868" s="3">
        <v>0</v>
      </c>
      <c r="O868" s="3">
        <v>3.7349000000000001</v>
      </c>
      <c r="P868" s="3">
        <v>35.004899999999999</v>
      </c>
      <c r="Q868" t="s">
        <v>8046</v>
      </c>
      <c r="R868" t="s">
        <v>8200</v>
      </c>
      <c r="S868" s="3" t="s">
        <v>8046</v>
      </c>
      <c r="T868" s="3">
        <v>0</v>
      </c>
    </row>
    <row r="869" spans="1:20" hidden="1" x14ac:dyDescent="0.25">
      <c r="A869" t="s">
        <v>8387</v>
      </c>
      <c r="B869" t="s">
        <v>8464</v>
      </c>
      <c r="C869" t="s">
        <v>1</v>
      </c>
      <c r="D869" t="s">
        <v>0</v>
      </c>
      <c r="E869">
        <v>1997</v>
      </c>
      <c r="F869" t="s">
        <v>762</v>
      </c>
      <c r="G869" t="s">
        <v>763</v>
      </c>
      <c r="H869" s="3">
        <v>0</v>
      </c>
      <c r="I869" s="3">
        <v>0</v>
      </c>
      <c r="J869" s="3">
        <v>0</v>
      </c>
      <c r="K869" s="3">
        <v>149.4</v>
      </c>
      <c r="L869" s="3">
        <v>0</v>
      </c>
      <c r="M869" s="3">
        <v>0</v>
      </c>
      <c r="N869" s="3">
        <v>0</v>
      </c>
      <c r="O869" s="3">
        <v>19.422000000000001</v>
      </c>
      <c r="P869" s="3">
        <v>168.822</v>
      </c>
      <c r="Q869" t="s">
        <v>8046</v>
      </c>
      <c r="R869" t="s">
        <v>8200</v>
      </c>
      <c r="S869" s="3" t="s">
        <v>8046</v>
      </c>
      <c r="T869" s="3">
        <v>0</v>
      </c>
    </row>
    <row r="870" spans="1:20" hidden="1" x14ac:dyDescent="0.25">
      <c r="A870" t="s">
        <v>8387</v>
      </c>
      <c r="B870" t="s">
        <v>8464</v>
      </c>
      <c r="C870" t="s">
        <v>1</v>
      </c>
      <c r="D870" t="s">
        <v>0</v>
      </c>
      <c r="E870">
        <v>191</v>
      </c>
      <c r="F870" t="s">
        <v>8306</v>
      </c>
      <c r="G870" t="s">
        <v>8307</v>
      </c>
      <c r="H870" s="3">
        <v>0</v>
      </c>
      <c r="I870" s="3">
        <v>0</v>
      </c>
      <c r="J870" s="3">
        <v>0</v>
      </c>
      <c r="K870" s="3">
        <v>211.06</v>
      </c>
      <c r="L870" s="3">
        <v>0</v>
      </c>
      <c r="M870" s="3">
        <v>0</v>
      </c>
      <c r="N870" s="3">
        <v>0</v>
      </c>
      <c r="O870" s="3">
        <v>27.437800000000003</v>
      </c>
      <c r="P870" s="3">
        <v>238.49780000000001</v>
      </c>
      <c r="Q870" t="s">
        <v>8046</v>
      </c>
      <c r="R870" t="s">
        <v>8200</v>
      </c>
      <c r="S870" s="3" t="s">
        <v>8046</v>
      </c>
      <c r="T870" s="3">
        <v>0</v>
      </c>
    </row>
    <row r="871" spans="1:20" hidden="1" x14ac:dyDescent="0.25">
      <c r="A871" t="s">
        <v>8387</v>
      </c>
      <c r="B871" t="s">
        <v>8464</v>
      </c>
      <c r="C871" t="s">
        <v>1</v>
      </c>
      <c r="D871" t="s">
        <v>0</v>
      </c>
      <c r="E871">
        <v>2783</v>
      </c>
      <c r="F871" t="s">
        <v>6324</v>
      </c>
      <c r="G871" t="s">
        <v>6325</v>
      </c>
      <c r="H871" s="3">
        <v>0</v>
      </c>
      <c r="I871" s="3">
        <v>0</v>
      </c>
      <c r="J871" s="3">
        <v>0</v>
      </c>
      <c r="K871" s="3">
        <v>114</v>
      </c>
      <c r="L871" s="3">
        <v>0</v>
      </c>
      <c r="M871" s="3">
        <v>0</v>
      </c>
      <c r="N871" s="3">
        <v>0</v>
      </c>
      <c r="O871" s="3">
        <v>14.82</v>
      </c>
      <c r="P871" s="3">
        <v>128.82</v>
      </c>
      <c r="Q871" t="s">
        <v>8046</v>
      </c>
      <c r="R871" t="s">
        <v>8200</v>
      </c>
      <c r="S871" s="3" t="s">
        <v>8046</v>
      </c>
      <c r="T871" s="3">
        <v>0</v>
      </c>
    </row>
    <row r="872" spans="1:20" hidden="1" x14ac:dyDescent="0.25">
      <c r="A872" t="s">
        <v>8387</v>
      </c>
      <c r="B872" t="s">
        <v>8464</v>
      </c>
      <c r="C872" t="s">
        <v>1</v>
      </c>
      <c r="D872" t="s">
        <v>0</v>
      </c>
      <c r="E872">
        <v>43725</v>
      </c>
      <c r="F872" t="s">
        <v>1497</v>
      </c>
      <c r="G872" t="s">
        <v>1498</v>
      </c>
      <c r="H872" s="3">
        <v>0</v>
      </c>
      <c r="I872" s="3">
        <v>0</v>
      </c>
      <c r="J872" s="3">
        <v>0</v>
      </c>
      <c r="K872" s="3">
        <v>95.93</v>
      </c>
      <c r="L872" s="3">
        <v>0</v>
      </c>
      <c r="M872" s="3">
        <v>0</v>
      </c>
      <c r="N872" s="3">
        <v>0</v>
      </c>
      <c r="O872" s="3">
        <v>12.470900000000002</v>
      </c>
      <c r="P872" s="3">
        <v>108.40090000000001</v>
      </c>
      <c r="Q872" t="s">
        <v>8046</v>
      </c>
      <c r="R872" t="s">
        <v>8200</v>
      </c>
      <c r="S872" s="3" t="s">
        <v>8046</v>
      </c>
      <c r="T872" s="3">
        <v>0</v>
      </c>
    </row>
    <row r="873" spans="1:20" hidden="1" x14ac:dyDescent="0.25">
      <c r="A873" t="s">
        <v>8387</v>
      </c>
      <c r="B873" t="s">
        <v>8464</v>
      </c>
      <c r="C873" t="s">
        <v>1</v>
      </c>
      <c r="D873" t="s">
        <v>0</v>
      </c>
      <c r="E873">
        <v>1416922</v>
      </c>
      <c r="F873" t="s">
        <v>1576</v>
      </c>
      <c r="G873" t="s">
        <v>1577</v>
      </c>
      <c r="H873" s="3">
        <v>0</v>
      </c>
      <c r="I873" s="3">
        <v>0</v>
      </c>
      <c r="J873" s="3">
        <v>0</v>
      </c>
      <c r="K873" s="3">
        <v>245.1</v>
      </c>
      <c r="L873" s="3">
        <v>0</v>
      </c>
      <c r="M873" s="3">
        <v>0</v>
      </c>
      <c r="N873" s="3">
        <v>0</v>
      </c>
      <c r="O873" s="3">
        <v>31.863</v>
      </c>
      <c r="P873" s="3">
        <v>276.96299999999997</v>
      </c>
      <c r="Q873" t="s">
        <v>8046</v>
      </c>
      <c r="R873" t="s">
        <v>8200</v>
      </c>
      <c r="S873" s="3" t="s">
        <v>8345</v>
      </c>
      <c r="T873" s="3">
        <v>2.4500000000000002</v>
      </c>
    </row>
    <row r="874" spans="1:20" hidden="1" x14ac:dyDescent="0.25">
      <c r="A874" t="s">
        <v>8387</v>
      </c>
      <c r="B874" t="s">
        <v>8464</v>
      </c>
      <c r="C874" t="s">
        <v>1</v>
      </c>
      <c r="D874" t="s">
        <v>0</v>
      </c>
      <c r="E874">
        <v>1416692</v>
      </c>
      <c r="F874" t="s">
        <v>1576</v>
      </c>
      <c r="G874" t="s">
        <v>1577</v>
      </c>
      <c r="H874" s="3">
        <v>0</v>
      </c>
      <c r="I874" s="3">
        <v>0</v>
      </c>
      <c r="J874" s="3">
        <v>0</v>
      </c>
      <c r="K874" s="3">
        <v>1803.84</v>
      </c>
      <c r="L874" s="3">
        <v>0</v>
      </c>
      <c r="M874" s="3">
        <v>0</v>
      </c>
      <c r="N874" s="3">
        <v>0</v>
      </c>
      <c r="O874" s="3">
        <v>234.4992</v>
      </c>
      <c r="P874" s="3">
        <v>2038.3391999999999</v>
      </c>
      <c r="Q874" t="s">
        <v>8046</v>
      </c>
      <c r="R874" t="s">
        <v>8200</v>
      </c>
      <c r="S874" s="3" t="s">
        <v>8345</v>
      </c>
      <c r="T874" s="3">
        <v>18.04</v>
      </c>
    </row>
    <row r="875" spans="1:20" hidden="1" x14ac:dyDescent="0.25">
      <c r="A875" t="s">
        <v>8387</v>
      </c>
      <c r="B875" t="s">
        <v>8464</v>
      </c>
      <c r="C875" t="s">
        <v>1</v>
      </c>
      <c r="D875" t="s">
        <v>0</v>
      </c>
      <c r="E875">
        <v>693178</v>
      </c>
      <c r="F875" t="s">
        <v>1576</v>
      </c>
      <c r="G875" t="s">
        <v>1577</v>
      </c>
      <c r="H875" s="3">
        <v>0</v>
      </c>
      <c r="I875" s="3">
        <v>0</v>
      </c>
      <c r="J875" s="3">
        <v>0</v>
      </c>
      <c r="K875" s="3">
        <v>581.70000000000005</v>
      </c>
      <c r="L875" s="3">
        <v>0</v>
      </c>
      <c r="M875" s="3">
        <v>0</v>
      </c>
      <c r="N875" s="3">
        <v>0</v>
      </c>
      <c r="O875" s="3">
        <v>75.621000000000009</v>
      </c>
      <c r="P875" s="3">
        <v>657.32100000000003</v>
      </c>
      <c r="Q875" t="s">
        <v>8046</v>
      </c>
      <c r="R875" t="s">
        <v>8200</v>
      </c>
      <c r="S875" s="3" t="s">
        <v>8506</v>
      </c>
      <c r="T875" s="3">
        <v>5.82</v>
      </c>
    </row>
    <row r="876" spans="1:20" hidden="1" x14ac:dyDescent="0.25">
      <c r="A876" t="s">
        <v>8387</v>
      </c>
      <c r="B876" t="s">
        <v>8464</v>
      </c>
      <c r="C876" t="s">
        <v>1</v>
      </c>
      <c r="D876" t="s">
        <v>0</v>
      </c>
      <c r="E876">
        <v>285</v>
      </c>
      <c r="F876" t="s">
        <v>8504</v>
      </c>
      <c r="G876" t="s">
        <v>8505</v>
      </c>
      <c r="H876" s="3">
        <v>0</v>
      </c>
      <c r="I876" s="3">
        <v>0</v>
      </c>
      <c r="J876" s="3">
        <v>0</v>
      </c>
      <c r="K876" s="3">
        <v>168.58</v>
      </c>
      <c r="L876" s="3">
        <v>0</v>
      </c>
      <c r="M876" s="3">
        <v>0</v>
      </c>
      <c r="N876" s="3">
        <v>0</v>
      </c>
      <c r="O876" s="3">
        <v>21.915400000000002</v>
      </c>
      <c r="P876" s="3">
        <v>190.49540000000002</v>
      </c>
      <c r="Q876" t="s">
        <v>8046</v>
      </c>
      <c r="R876" t="s">
        <v>8200</v>
      </c>
      <c r="S876" s="3" t="s">
        <v>8046</v>
      </c>
      <c r="T876" s="3">
        <v>0</v>
      </c>
    </row>
    <row r="877" spans="1:20" hidden="1" x14ac:dyDescent="0.25">
      <c r="A877" t="s">
        <v>8387</v>
      </c>
      <c r="B877" t="s">
        <v>8464</v>
      </c>
      <c r="C877" t="s">
        <v>1</v>
      </c>
      <c r="D877" t="s">
        <v>0</v>
      </c>
      <c r="E877">
        <v>14986</v>
      </c>
      <c r="F877" t="s">
        <v>8502</v>
      </c>
      <c r="G877" t="s">
        <v>8503</v>
      </c>
      <c r="H877" s="3">
        <v>3.06</v>
      </c>
      <c r="I877" s="3">
        <v>0</v>
      </c>
      <c r="J877" s="3">
        <v>0</v>
      </c>
      <c r="K877" s="3">
        <v>33.58</v>
      </c>
      <c r="L877" s="3">
        <v>0</v>
      </c>
      <c r="M877" s="3">
        <v>0</v>
      </c>
      <c r="N877" s="3">
        <v>0</v>
      </c>
      <c r="O877" s="3">
        <v>4.3654000000000002</v>
      </c>
      <c r="P877" s="3">
        <v>41.005400000000002</v>
      </c>
      <c r="Q877" t="s">
        <v>8046</v>
      </c>
      <c r="R877" t="s">
        <v>8200</v>
      </c>
      <c r="S877" s="3" t="s">
        <v>8046</v>
      </c>
      <c r="T877" s="3">
        <v>0</v>
      </c>
    </row>
    <row r="878" spans="1:20" hidden="1" x14ac:dyDescent="0.25">
      <c r="A878" t="s">
        <v>8387</v>
      </c>
      <c r="B878" t="s">
        <v>8464</v>
      </c>
      <c r="C878" t="s">
        <v>1</v>
      </c>
      <c r="D878" t="s">
        <v>0</v>
      </c>
      <c r="E878">
        <v>5179</v>
      </c>
      <c r="F878" t="s">
        <v>119</v>
      </c>
      <c r="G878" t="s">
        <v>120</v>
      </c>
      <c r="H878" s="3">
        <v>0</v>
      </c>
      <c r="I878" s="3">
        <v>0</v>
      </c>
      <c r="J878" s="3">
        <v>0</v>
      </c>
      <c r="K878" s="3">
        <v>20.04</v>
      </c>
      <c r="L878" s="3">
        <v>0</v>
      </c>
      <c r="M878" s="3">
        <v>0</v>
      </c>
      <c r="N878" s="3">
        <v>0</v>
      </c>
      <c r="O878" s="3">
        <v>2.6052</v>
      </c>
      <c r="P878" s="3">
        <v>22.645199999999999</v>
      </c>
      <c r="Q878" t="s">
        <v>8046</v>
      </c>
      <c r="R878" t="s">
        <v>8200</v>
      </c>
      <c r="S878" s="3" t="s">
        <v>8046</v>
      </c>
      <c r="T878" s="3">
        <v>0</v>
      </c>
    </row>
    <row r="879" spans="1:20" hidden="1" x14ac:dyDescent="0.25">
      <c r="A879" t="s">
        <v>8387</v>
      </c>
      <c r="B879" t="s">
        <v>8464</v>
      </c>
      <c r="C879" t="s">
        <v>1</v>
      </c>
      <c r="D879" t="s">
        <v>0</v>
      </c>
      <c r="E879">
        <v>467538</v>
      </c>
      <c r="F879" t="s">
        <v>1546</v>
      </c>
      <c r="G879" t="s">
        <v>1547</v>
      </c>
      <c r="H879" s="3">
        <v>4.4800000000000004</v>
      </c>
      <c r="I879" s="3">
        <v>0</v>
      </c>
      <c r="J879" s="3">
        <v>0</v>
      </c>
      <c r="K879" s="3">
        <v>49.13</v>
      </c>
      <c r="L879" s="3">
        <v>0</v>
      </c>
      <c r="M879" s="3">
        <v>0</v>
      </c>
      <c r="N879" s="3">
        <v>0</v>
      </c>
      <c r="O879" s="3">
        <v>6.3869000000000007</v>
      </c>
      <c r="P879" s="3">
        <v>59.996899999999997</v>
      </c>
      <c r="Q879" t="s">
        <v>8046</v>
      </c>
      <c r="R879" t="s">
        <v>8200</v>
      </c>
      <c r="S879" s="3" t="s">
        <v>8046</v>
      </c>
      <c r="T879" s="3">
        <v>0</v>
      </c>
    </row>
    <row r="880" spans="1:20" hidden="1" x14ac:dyDescent="0.25">
      <c r="A880" t="s">
        <v>8387</v>
      </c>
      <c r="B880" t="s">
        <v>8466</v>
      </c>
      <c r="C880" t="s">
        <v>1</v>
      </c>
      <c r="D880" t="s">
        <v>0</v>
      </c>
      <c r="E880">
        <v>8060</v>
      </c>
      <c r="F880" t="s">
        <v>1200</v>
      </c>
      <c r="G880" t="s">
        <v>1201</v>
      </c>
      <c r="H880" s="3">
        <v>0</v>
      </c>
      <c r="I880" s="3">
        <v>0</v>
      </c>
      <c r="J880" s="3">
        <v>0</v>
      </c>
      <c r="K880" s="3">
        <v>525</v>
      </c>
      <c r="L880" s="3">
        <v>0</v>
      </c>
      <c r="M880" s="3">
        <v>0</v>
      </c>
      <c r="N880" s="3">
        <v>0</v>
      </c>
      <c r="O880" s="3">
        <v>68.25</v>
      </c>
      <c r="P880" s="3">
        <v>593.25</v>
      </c>
      <c r="Q880" t="s">
        <v>8046</v>
      </c>
      <c r="R880" t="s">
        <v>8200</v>
      </c>
      <c r="S880" s="3" t="s">
        <v>8358</v>
      </c>
      <c r="T880" s="3">
        <v>5.25</v>
      </c>
    </row>
    <row r="881" spans="1:20" hidden="1" x14ac:dyDescent="0.25">
      <c r="A881" t="s">
        <v>8387</v>
      </c>
      <c r="B881" t="s">
        <v>8466</v>
      </c>
      <c r="C881" t="s">
        <v>1</v>
      </c>
      <c r="D881" t="s">
        <v>0</v>
      </c>
      <c r="E881">
        <v>2277</v>
      </c>
      <c r="F881" t="s">
        <v>8500</v>
      </c>
      <c r="G881" t="s">
        <v>8501</v>
      </c>
      <c r="H881" s="3">
        <v>0</v>
      </c>
      <c r="I881" s="3">
        <v>0</v>
      </c>
      <c r="J881" s="3">
        <v>0</v>
      </c>
      <c r="K881" s="3">
        <v>17</v>
      </c>
      <c r="L881" s="3">
        <v>0</v>
      </c>
      <c r="M881" s="3">
        <v>0</v>
      </c>
      <c r="N881" s="3">
        <v>0</v>
      </c>
      <c r="O881" s="3">
        <v>2.21</v>
      </c>
      <c r="P881" s="3">
        <v>19.21</v>
      </c>
      <c r="Q881" t="s">
        <v>8046</v>
      </c>
      <c r="R881" t="s">
        <v>8200</v>
      </c>
      <c r="S881" s="3" t="s">
        <v>8046</v>
      </c>
      <c r="T881" s="3">
        <v>0</v>
      </c>
    </row>
    <row r="882" spans="1:20" hidden="1" x14ac:dyDescent="0.25">
      <c r="A882" t="s">
        <v>8387</v>
      </c>
      <c r="B882" t="s">
        <v>8466</v>
      </c>
      <c r="C882" t="s">
        <v>1</v>
      </c>
      <c r="D882" t="s">
        <v>0</v>
      </c>
      <c r="E882">
        <v>2781</v>
      </c>
      <c r="F882" t="s">
        <v>6324</v>
      </c>
      <c r="G882" t="s">
        <v>6325</v>
      </c>
      <c r="H882" s="3">
        <v>0</v>
      </c>
      <c r="I882" s="3">
        <v>0</v>
      </c>
      <c r="J882" s="3">
        <v>0</v>
      </c>
      <c r="K882" s="3">
        <v>442.64</v>
      </c>
      <c r="L882" s="3">
        <v>0</v>
      </c>
      <c r="M882" s="3">
        <v>0</v>
      </c>
      <c r="N882" s="3">
        <v>0</v>
      </c>
      <c r="O882" s="3">
        <v>57.543199999999999</v>
      </c>
      <c r="P882" s="3">
        <v>500.1832</v>
      </c>
      <c r="Q882" t="s">
        <v>8046</v>
      </c>
      <c r="R882" t="s">
        <v>8200</v>
      </c>
      <c r="S882" s="3" t="s">
        <v>8046</v>
      </c>
      <c r="T882" s="3">
        <v>0</v>
      </c>
    </row>
    <row r="883" spans="1:20" hidden="1" x14ac:dyDescent="0.25">
      <c r="A883" t="s">
        <v>8387</v>
      </c>
      <c r="B883" t="s">
        <v>8466</v>
      </c>
      <c r="C883" t="s">
        <v>1</v>
      </c>
      <c r="D883" t="s">
        <v>0</v>
      </c>
      <c r="E883">
        <v>1271</v>
      </c>
      <c r="F883" t="s">
        <v>7902</v>
      </c>
      <c r="G883" t="s">
        <v>7903</v>
      </c>
      <c r="H883" s="3">
        <v>0</v>
      </c>
      <c r="I883" s="3">
        <v>0</v>
      </c>
      <c r="J883" s="3">
        <v>0</v>
      </c>
      <c r="K883" s="3">
        <v>62.82</v>
      </c>
      <c r="L883" s="3">
        <v>0</v>
      </c>
      <c r="M883" s="3">
        <v>0</v>
      </c>
      <c r="N883" s="3">
        <v>0</v>
      </c>
      <c r="O883" s="3">
        <v>8.1666000000000007</v>
      </c>
      <c r="P883" s="3">
        <v>70.986599999999996</v>
      </c>
      <c r="Q883" t="s">
        <v>8046</v>
      </c>
      <c r="R883" t="s">
        <v>8200</v>
      </c>
      <c r="S883" s="3" t="s">
        <v>8046</v>
      </c>
      <c r="T883" s="3">
        <v>0</v>
      </c>
    </row>
    <row r="884" spans="1:20" hidden="1" x14ac:dyDescent="0.25">
      <c r="A884" t="s">
        <v>8387</v>
      </c>
      <c r="B884" t="s">
        <v>8466</v>
      </c>
      <c r="C884" t="s">
        <v>1</v>
      </c>
      <c r="D884" t="s">
        <v>0</v>
      </c>
      <c r="E884">
        <v>3849</v>
      </c>
      <c r="F884" t="s">
        <v>294</v>
      </c>
      <c r="G884" t="s">
        <v>295</v>
      </c>
      <c r="H884" s="3">
        <v>0</v>
      </c>
      <c r="I884" s="3">
        <v>0</v>
      </c>
      <c r="J884" s="3">
        <v>0</v>
      </c>
      <c r="K884" s="3">
        <v>212.39</v>
      </c>
      <c r="L884" s="3">
        <v>0</v>
      </c>
      <c r="M884" s="3">
        <v>0</v>
      </c>
      <c r="N884" s="3">
        <v>0</v>
      </c>
      <c r="O884" s="3">
        <v>27.610699999999998</v>
      </c>
      <c r="P884" s="3">
        <v>240.00069999999999</v>
      </c>
      <c r="Q884" t="s">
        <v>8046</v>
      </c>
      <c r="R884" t="s">
        <v>8200</v>
      </c>
      <c r="S884" s="3" t="s">
        <v>8046</v>
      </c>
      <c r="T884" s="3">
        <v>0</v>
      </c>
    </row>
    <row r="885" spans="1:20" hidden="1" x14ac:dyDescent="0.25">
      <c r="A885" t="s">
        <v>8387</v>
      </c>
      <c r="B885" t="s">
        <v>8466</v>
      </c>
      <c r="C885" t="s">
        <v>1</v>
      </c>
      <c r="D885" t="s">
        <v>0</v>
      </c>
      <c r="E885">
        <v>1416141</v>
      </c>
      <c r="F885" t="s">
        <v>1576</v>
      </c>
      <c r="G885" t="s">
        <v>1577</v>
      </c>
      <c r="H885" s="3">
        <v>0</v>
      </c>
      <c r="I885" s="3">
        <v>0</v>
      </c>
      <c r="J885" s="3">
        <v>0</v>
      </c>
      <c r="K885" s="3">
        <v>51.75</v>
      </c>
      <c r="L885" s="3">
        <v>0</v>
      </c>
      <c r="M885" s="3">
        <v>0</v>
      </c>
      <c r="N885" s="3">
        <v>0</v>
      </c>
      <c r="O885" s="3">
        <v>6.7275</v>
      </c>
      <c r="P885" s="3">
        <v>58.477499999999999</v>
      </c>
      <c r="Q885" t="s">
        <v>8046</v>
      </c>
      <c r="R885" t="s">
        <v>8200</v>
      </c>
      <c r="S885" s="3" t="s">
        <v>8046</v>
      </c>
      <c r="T885" s="3">
        <v>0</v>
      </c>
    </row>
    <row r="886" spans="1:20" hidden="1" x14ac:dyDescent="0.25">
      <c r="A886" t="s">
        <v>8387</v>
      </c>
      <c r="B886" t="s">
        <v>8466</v>
      </c>
      <c r="C886" t="s">
        <v>1</v>
      </c>
      <c r="D886" t="s">
        <v>0</v>
      </c>
      <c r="E886">
        <v>687422</v>
      </c>
      <c r="F886" t="s">
        <v>1576</v>
      </c>
      <c r="G886" t="s">
        <v>1577</v>
      </c>
      <c r="H886" s="3">
        <v>0</v>
      </c>
      <c r="I886" s="3">
        <v>0</v>
      </c>
      <c r="J886" s="3">
        <v>0</v>
      </c>
      <c r="K886" s="3">
        <v>410.64</v>
      </c>
      <c r="L886" s="3">
        <v>0</v>
      </c>
      <c r="M886" s="3">
        <v>0</v>
      </c>
      <c r="N886" s="3">
        <v>0</v>
      </c>
      <c r="O886" s="3">
        <v>53.383200000000002</v>
      </c>
      <c r="P886" s="3">
        <v>464.02319999999997</v>
      </c>
      <c r="Q886" t="s">
        <v>8046</v>
      </c>
      <c r="R886" t="s">
        <v>8200</v>
      </c>
      <c r="S886" s="3" t="s">
        <v>8345</v>
      </c>
      <c r="T886" s="3">
        <v>4.1100000000000003</v>
      </c>
    </row>
    <row r="887" spans="1:20" hidden="1" x14ac:dyDescent="0.25">
      <c r="A887" t="s">
        <v>8387</v>
      </c>
      <c r="B887" t="s">
        <v>8466</v>
      </c>
      <c r="C887" t="s">
        <v>1</v>
      </c>
      <c r="D887" t="s">
        <v>0</v>
      </c>
      <c r="E887">
        <v>54977</v>
      </c>
      <c r="F887" t="s">
        <v>1670</v>
      </c>
      <c r="G887" t="s">
        <v>1671</v>
      </c>
      <c r="H887" s="3">
        <v>4.97</v>
      </c>
      <c r="I887" s="3">
        <v>0</v>
      </c>
      <c r="J887" s="3">
        <v>0</v>
      </c>
      <c r="K887" s="3">
        <v>48.7</v>
      </c>
      <c r="L887" s="3">
        <v>0</v>
      </c>
      <c r="M887" s="3">
        <v>0</v>
      </c>
      <c r="N887" s="3">
        <v>0</v>
      </c>
      <c r="O887" s="3">
        <v>6.3310000000000004</v>
      </c>
      <c r="P887" s="3">
        <v>60.001000000000005</v>
      </c>
      <c r="Q887" t="s">
        <v>8046</v>
      </c>
      <c r="R887" t="s">
        <v>8200</v>
      </c>
      <c r="S887" s="3" t="s">
        <v>8046</v>
      </c>
      <c r="T887" s="3">
        <v>0</v>
      </c>
    </row>
    <row r="888" spans="1:20" hidden="1" x14ac:dyDescent="0.25">
      <c r="A888" t="s">
        <v>8387</v>
      </c>
      <c r="B888" t="s">
        <v>8471</v>
      </c>
      <c r="C888" t="s">
        <v>1</v>
      </c>
      <c r="D888" t="s">
        <v>0</v>
      </c>
      <c r="E888">
        <v>3843</v>
      </c>
      <c r="F888" t="s">
        <v>1705</v>
      </c>
      <c r="G888" t="s">
        <v>1706</v>
      </c>
      <c r="H888" s="3">
        <v>0</v>
      </c>
      <c r="I888" s="3">
        <v>0</v>
      </c>
      <c r="J888" s="3">
        <v>0</v>
      </c>
      <c r="K888" s="3">
        <v>671.25</v>
      </c>
      <c r="L888" s="3">
        <v>0</v>
      </c>
      <c r="M888" s="3">
        <v>0</v>
      </c>
      <c r="N888" s="3">
        <v>0</v>
      </c>
      <c r="O888" s="3">
        <v>87.262500000000003</v>
      </c>
      <c r="P888" s="3">
        <v>758.51250000000005</v>
      </c>
      <c r="Q888" t="s">
        <v>8046</v>
      </c>
      <c r="R888" t="s">
        <v>8200</v>
      </c>
      <c r="S888" s="3" t="s">
        <v>8046</v>
      </c>
      <c r="T888" s="3">
        <v>0</v>
      </c>
    </row>
    <row r="889" spans="1:20" hidden="1" x14ac:dyDescent="0.25">
      <c r="A889" t="s">
        <v>8387</v>
      </c>
      <c r="B889" t="s">
        <v>8471</v>
      </c>
      <c r="C889" t="s">
        <v>1</v>
      </c>
      <c r="D889" t="s">
        <v>0</v>
      </c>
      <c r="E889">
        <v>968871</v>
      </c>
      <c r="F889" t="s">
        <v>2440</v>
      </c>
      <c r="G889" t="s">
        <v>2441</v>
      </c>
      <c r="H889" s="3">
        <v>0</v>
      </c>
      <c r="I889" s="3">
        <v>0</v>
      </c>
      <c r="J889" s="3">
        <v>0</v>
      </c>
      <c r="K889" s="3">
        <v>530.12</v>
      </c>
      <c r="L889" s="3">
        <v>0</v>
      </c>
      <c r="M889" s="3">
        <v>0</v>
      </c>
      <c r="N889" s="3">
        <v>0</v>
      </c>
      <c r="O889" s="3">
        <v>68.915599999999998</v>
      </c>
      <c r="P889" s="3">
        <v>599.03560000000004</v>
      </c>
      <c r="Q889" t="s">
        <v>8046</v>
      </c>
      <c r="R889" t="s">
        <v>8200</v>
      </c>
      <c r="S889" s="3" t="s">
        <v>8359</v>
      </c>
      <c r="T889" s="3">
        <v>5.3</v>
      </c>
    </row>
    <row r="890" spans="1:20" hidden="1" x14ac:dyDescent="0.25">
      <c r="A890" t="s">
        <v>8387</v>
      </c>
      <c r="B890" t="s">
        <v>8471</v>
      </c>
      <c r="C890" t="s">
        <v>1</v>
      </c>
      <c r="D890" t="s">
        <v>0</v>
      </c>
      <c r="E890">
        <v>46004463</v>
      </c>
      <c r="F890" t="s">
        <v>3587</v>
      </c>
      <c r="G890" t="s">
        <v>3588</v>
      </c>
      <c r="H890" s="3">
        <v>0</v>
      </c>
      <c r="I890" s="3">
        <v>0</v>
      </c>
      <c r="J890" s="3">
        <v>0</v>
      </c>
      <c r="K890" s="3">
        <v>359.44</v>
      </c>
      <c r="L890" s="3">
        <v>0</v>
      </c>
      <c r="M890" s="3">
        <v>0</v>
      </c>
      <c r="N890" s="3">
        <v>0</v>
      </c>
      <c r="O890" s="3">
        <v>46.727200000000003</v>
      </c>
      <c r="P890" s="3">
        <v>406.16719999999998</v>
      </c>
      <c r="Q890" t="s">
        <v>8046</v>
      </c>
      <c r="R890" t="s">
        <v>8200</v>
      </c>
      <c r="S890" s="3" t="s">
        <v>8046</v>
      </c>
      <c r="T890" s="3">
        <v>0</v>
      </c>
    </row>
    <row r="891" spans="1:20" hidden="1" x14ac:dyDescent="0.25">
      <c r="A891" t="s">
        <v>8387</v>
      </c>
      <c r="B891" t="s">
        <v>8471</v>
      </c>
      <c r="C891" t="s">
        <v>1</v>
      </c>
      <c r="D891" t="s">
        <v>0</v>
      </c>
      <c r="E891">
        <v>14250</v>
      </c>
      <c r="F891" t="s">
        <v>8498</v>
      </c>
      <c r="G891" t="s">
        <v>8499</v>
      </c>
      <c r="H891" s="3">
        <v>0</v>
      </c>
      <c r="I891" s="3">
        <v>0</v>
      </c>
      <c r="J891" s="3">
        <v>0</v>
      </c>
      <c r="K891" s="3">
        <v>42.48</v>
      </c>
      <c r="L891" s="3">
        <v>0</v>
      </c>
      <c r="M891" s="3">
        <v>0</v>
      </c>
      <c r="N891" s="3">
        <v>0</v>
      </c>
      <c r="O891" s="3">
        <v>5.5224000000000002</v>
      </c>
      <c r="P891" s="3">
        <v>48.002399999999994</v>
      </c>
      <c r="Q891" t="s">
        <v>8046</v>
      </c>
      <c r="R891" t="s">
        <v>8200</v>
      </c>
      <c r="S891" s="3" t="s">
        <v>8046</v>
      </c>
      <c r="T891" s="3">
        <v>0</v>
      </c>
    </row>
    <row r="892" spans="1:20" hidden="1" x14ac:dyDescent="0.25">
      <c r="A892" t="s">
        <v>8387</v>
      </c>
      <c r="B892" t="s">
        <v>8471</v>
      </c>
      <c r="C892" t="s">
        <v>1</v>
      </c>
      <c r="D892" t="s">
        <v>0</v>
      </c>
      <c r="E892">
        <v>296318</v>
      </c>
      <c r="F892" t="s">
        <v>2788</v>
      </c>
      <c r="G892" t="s">
        <v>2789</v>
      </c>
      <c r="H892" s="3">
        <v>0</v>
      </c>
      <c r="I892" s="3">
        <v>0</v>
      </c>
      <c r="J892" s="3">
        <v>0</v>
      </c>
      <c r="K892" s="3">
        <v>30.6</v>
      </c>
      <c r="L892" s="3">
        <v>0</v>
      </c>
      <c r="M892" s="3">
        <v>0</v>
      </c>
      <c r="N892" s="3">
        <v>0</v>
      </c>
      <c r="O892" s="3">
        <v>3.9780000000000002</v>
      </c>
      <c r="P892" s="3">
        <v>34.578000000000003</v>
      </c>
      <c r="Q892" t="s">
        <v>8046</v>
      </c>
      <c r="R892" t="s">
        <v>8200</v>
      </c>
      <c r="S892" s="3" t="s">
        <v>8046</v>
      </c>
      <c r="T892" s="3">
        <v>0</v>
      </c>
    </row>
    <row r="893" spans="1:20" hidden="1" x14ac:dyDescent="0.25">
      <c r="A893" t="s">
        <v>8387</v>
      </c>
      <c r="B893" t="s">
        <v>8471</v>
      </c>
      <c r="C893" t="s">
        <v>1</v>
      </c>
      <c r="D893" t="s">
        <v>0</v>
      </c>
      <c r="E893">
        <v>1335728</v>
      </c>
      <c r="F893" t="s">
        <v>1601</v>
      </c>
      <c r="G893" t="s">
        <v>1602</v>
      </c>
      <c r="H893" s="3">
        <v>2.4499999999999997</v>
      </c>
      <c r="I893" s="3">
        <v>0</v>
      </c>
      <c r="J893" s="3">
        <v>0</v>
      </c>
      <c r="K893" s="3">
        <v>24.38</v>
      </c>
      <c r="L893" s="3">
        <v>0</v>
      </c>
      <c r="M893" s="3">
        <v>0</v>
      </c>
      <c r="N893" s="3">
        <v>0</v>
      </c>
      <c r="O893" s="3">
        <v>3.1694</v>
      </c>
      <c r="P893" s="3">
        <v>29.999399999999998</v>
      </c>
      <c r="Q893" t="s">
        <v>8046</v>
      </c>
      <c r="R893" t="s">
        <v>8200</v>
      </c>
      <c r="S893" s="3" t="s">
        <v>8046</v>
      </c>
      <c r="T893" s="3">
        <v>0</v>
      </c>
    </row>
    <row r="894" spans="1:20" hidden="1" x14ac:dyDescent="0.25">
      <c r="A894" t="s">
        <v>8387</v>
      </c>
      <c r="B894" t="s">
        <v>8471</v>
      </c>
      <c r="C894" t="s">
        <v>1</v>
      </c>
      <c r="D894" t="s">
        <v>0</v>
      </c>
      <c r="E894">
        <v>10123</v>
      </c>
      <c r="F894" t="s">
        <v>1522</v>
      </c>
      <c r="G894" t="s">
        <v>1523</v>
      </c>
      <c r="H894" s="3">
        <v>2.96</v>
      </c>
      <c r="I894" s="3">
        <v>0</v>
      </c>
      <c r="J894" s="3">
        <v>0</v>
      </c>
      <c r="K894" s="3">
        <v>28.35</v>
      </c>
      <c r="L894" s="3">
        <v>0</v>
      </c>
      <c r="M894" s="3">
        <v>0</v>
      </c>
      <c r="N894" s="3">
        <v>0</v>
      </c>
      <c r="O894" s="3">
        <v>3.6855000000000002</v>
      </c>
      <c r="P894" s="3">
        <v>34.9955</v>
      </c>
      <c r="Q894" t="s">
        <v>8046</v>
      </c>
      <c r="R894" t="s">
        <v>8200</v>
      </c>
      <c r="S894" s="3" t="s">
        <v>8046</v>
      </c>
      <c r="T894" s="3">
        <v>0</v>
      </c>
    </row>
    <row r="895" spans="1:20" hidden="1" x14ac:dyDescent="0.25">
      <c r="A895" t="s">
        <v>8387</v>
      </c>
      <c r="B895" t="s">
        <v>8479</v>
      </c>
      <c r="C895" t="s">
        <v>1</v>
      </c>
      <c r="D895" t="s">
        <v>0</v>
      </c>
      <c r="E895">
        <v>8023</v>
      </c>
      <c r="F895" t="s">
        <v>1200</v>
      </c>
      <c r="G895" t="s">
        <v>1201</v>
      </c>
      <c r="H895" s="3">
        <v>0</v>
      </c>
      <c r="I895" s="3">
        <v>0</v>
      </c>
      <c r="J895" s="3">
        <v>0</v>
      </c>
      <c r="K895" s="3">
        <v>4383</v>
      </c>
      <c r="L895" s="3">
        <v>0</v>
      </c>
      <c r="M895" s="3">
        <v>0</v>
      </c>
      <c r="N895" s="3">
        <v>0</v>
      </c>
      <c r="O895" s="3">
        <v>569.79</v>
      </c>
      <c r="P895" s="3">
        <v>4952.79</v>
      </c>
      <c r="Q895" t="s">
        <v>8046</v>
      </c>
      <c r="R895" t="s">
        <v>8200</v>
      </c>
      <c r="S895" s="3" t="s">
        <v>8358</v>
      </c>
      <c r="T895" s="3">
        <v>43.83</v>
      </c>
    </row>
    <row r="896" spans="1:20" hidden="1" x14ac:dyDescent="0.25">
      <c r="A896" t="s">
        <v>8387</v>
      </c>
      <c r="B896" t="s">
        <v>8479</v>
      </c>
      <c r="C896" t="s">
        <v>1</v>
      </c>
      <c r="D896" t="s">
        <v>0</v>
      </c>
      <c r="E896">
        <v>3217869</v>
      </c>
      <c r="F896" t="s">
        <v>1620</v>
      </c>
      <c r="G896" t="s">
        <v>1621</v>
      </c>
      <c r="H896" s="3">
        <v>2.65</v>
      </c>
      <c r="I896" s="3">
        <v>0</v>
      </c>
      <c r="J896" s="3">
        <v>0</v>
      </c>
      <c r="K896" s="3">
        <v>28.63</v>
      </c>
      <c r="L896" s="3">
        <v>0</v>
      </c>
      <c r="M896" s="3">
        <v>0</v>
      </c>
      <c r="N896" s="3">
        <v>0</v>
      </c>
      <c r="O896" s="3">
        <v>3.7219000000000002</v>
      </c>
      <c r="P896" s="3">
        <v>35.001899999999999</v>
      </c>
      <c r="Q896" t="s">
        <v>8046</v>
      </c>
      <c r="R896" t="s">
        <v>8200</v>
      </c>
      <c r="S896" s="3" t="s">
        <v>8046</v>
      </c>
      <c r="T896" s="3">
        <v>0</v>
      </c>
    </row>
    <row r="897" spans="1:20" hidden="1" x14ac:dyDescent="0.25">
      <c r="A897" t="s">
        <v>8387</v>
      </c>
      <c r="B897" t="s">
        <v>8485</v>
      </c>
      <c r="C897" t="s">
        <v>1</v>
      </c>
      <c r="D897" t="s">
        <v>0</v>
      </c>
      <c r="E897">
        <v>2583</v>
      </c>
      <c r="F897" t="s">
        <v>736</v>
      </c>
      <c r="G897" t="s">
        <v>737</v>
      </c>
      <c r="H897" s="3">
        <v>0</v>
      </c>
      <c r="I897" s="3">
        <v>0</v>
      </c>
      <c r="J897" s="3">
        <v>0</v>
      </c>
      <c r="K897" s="3">
        <v>110</v>
      </c>
      <c r="L897" s="3">
        <v>0</v>
      </c>
      <c r="M897" s="3">
        <v>0</v>
      </c>
      <c r="N897" s="3">
        <v>0</v>
      </c>
      <c r="O897" s="3">
        <v>14.3</v>
      </c>
      <c r="P897" s="3">
        <v>124.3</v>
      </c>
      <c r="Q897" t="s">
        <v>8046</v>
      </c>
      <c r="R897" t="s">
        <v>8200</v>
      </c>
      <c r="S897" s="3" t="s">
        <v>8046</v>
      </c>
      <c r="T897" s="3">
        <v>0</v>
      </c>
    </row>
    <row r="898" spans="1:20" hidden="1" x14ac:dyDescent="0.25">
      <c r="A898" t="s">
        <v>8387</v>
      </c>
      <c r="B898" t="s">
        <v>8485</v>
      </c>
      <c r="C898" t="s">
        <v>1</v>
      </c>
      <c r="D898" t="s">
        <v>0</v>
      </c>
      <c r="E898">
        <v>1429</v>
      </c>
      <c r="F898" t="s">
        <v>131</v>
      </c>
      <c r="G898" t="s">
        <v>132</v>
      </c>
      <c r="H898" s="3">
        <v>0</v>
      </c>
      <c r="I898" s="3">
        <v>0</v>
      </c>
      <c r="J898" s="3">
        <v>0</v>
      </c>
      <c r="K898" s="3">
        <v>1058.4100000000001</v>
      </c>
      <c r="L898" s="3">
        <v>0</v>
      </c>
      <c r="M898" s="3">
        <v>0</v>
      </c>
      <c r="N898" s="3">
        <v>0</v>
      </c>
      <c r="O898" s="3">
        <v>137.59330000000003</v>
      </c>
      <c r="P898" s="3">
        <v>1196.0033000000001</v>
      </c>
      <c r="Q898" t="s">
        <v>8046</v>
      </c>
      <c r="R898" t="s">
        <v>8200</v>
      </c>
      <c r="S898" s="3" t="s">
        <v>8046</v>
      </c>
      <c r="T898" s="3">
        <v>0</v>
      </c>
    </row>
    <row r="899" spans="1:20" hidden="1" x14ac:dyDescent="0.25">
      <c r="A899" t="s">
        <v>8387</v>
      </c>
      <c r="B899" t="s">
        <v>8485</v>
      </c>
      <c r="C899" t="s">
        <v>1</v>
      </c>
      <c r="D899" t="s">
        <v>0</v>
      </c>
      <c r="E899">
        <v>928</v>
      </c>
      <c r="F899" t="s">
        <v>1457</v>
      </c>
      <c r="G899" t="s">
        <v>1458</v>
      </c>
      <c r="H899" s="3">
        <v>0</v>
      </c>
      <c r="I899" s="3">
        <v>0</v>
      </c>
      <c r="J899" s="3">
        <v>0</v>
      </c>
      <c r="K899" s="3">
        <v>411.26</v>
      </c>
      <c r="L899" s="3">
        <v>0</v>
      </c>
      <c r="M899" s="3">
        <v>0</v>
      </c>
      <c r="N899" s="3">
        <v>0</v>
      </c>
      <c r="O899" s="3">
        <v>53.463799999999999</v>
      </c>
      <c r="P899" s="3">
        <v>464.72379999999998</v>
      </c>
      <c r="Q899" t="s">
        <v>8046</v>
      </c>
      <c r="R899" t="s">
        <v>8200</v>
      </c>
      <c r="S899" s="3" t="s">
        <v>8046</v>
      </c>
      <c r="T899" s="3">
        <v>0</v>
      </c>
    </row>
    <row r="900" spans="1:20" hidden="1" x14ac:dyDescent="0.25">
      <c r="A900" t="s">
        <v>8387</v>
      </c>
      <c r="B900" t="s">
        <v>8485</v>
      </c>
      <c r="C900" t="s">
        <v>1</v>
      </c>
      <c r="D900" t="s">
        <v>0</v>
      </c>
      <c r="E900">
        <v>12703</v>
      </c>
      <c r="F900" t="s">
        <v>119</v>
      </c>
      <c r="G900" t="s">
        <v>120</v>
      </c>
      <c r="H900" s="3">
        <v>0</v>
      </c>
      <c r="I900" s="3">
        <v>0</v>
      </c>
      <c r="J900" s="3">
        <v>0</v>
      </c>
      <c r="K900" s="3">
        <v>72.150000000000006</v>
      </c>
      <c r="L900" s="3">
        <v>0</v>
      </c>
      <c r="M900" s="3">
        <v>0</v>
      </c>
      <c r="N900" s="3">
        <v>0</v>
      </c>
      <c r="O900" s="3">
        <v>9.3795000000000019</v>
      </c>
      <c r="P900" s="3">
        <v>81.529500000000013</v>
      </c>
      <c r="Q900" t="s">
        <v>8046</v>
      </c>
      <c r="R900" t="s">
        <v>8200</v>
      </c>
      <c r="S900" s="3" t="s">
        <v>8046</v>
      </c>
      <c r="T900" s="3">
        <v>0</v>
      </c>
    </row>
    <row r="901" spans="1:20" hidden="1" x14ac:dyDescent="0.25">
      <c r="A901" t="s">
        <v>8387</v>
      </c>
      <c r="B901" t="s">
        <v>8485</v>
      </c>
      <c r="C901" t="s">
        <v>1</v>
      </c>
      <c r="D901" t="s">
        <v>0</v>
      </c>
      <c r="E901">
        <v>1848018</v>
      </c>
      <c r="F901" t="s">
        <v>1501</v>
      </c>
      <c r="G901" t="s">
        <v>1502</v>
      </c>
      <c r="H901" s="3">
        <v>4.1999999999999993</v>
      </c>
      <c r="I901" s="3">
        <v>0</v>
      </c>
      <c r="J901" s="3">
        <v>0</v>
      </c>
      <c r="K901" s="3">
        <v>44.96</v>
      </c>
      <c r="L901" s="3">
        <v>0</v>
      </c>
      <c r="M901" s="3">
        <v>0</v>
      </c>
      <c r="N901" s="3">
        <v>0</v>
      </c>
      <c r="O901" s="3">
        <v>5.8448000000000002</v>
      </c>
      <c r="P901" s="3">
        <v>55.004799999999996</v>
      </c>
      <c r="Q901" t="s">
        <v>8046</v>
      </c>
      <c r="R901" t="s">
        <v>8200</v>
      </c>
      <c r="S901" s="3" t="s">
        <v>8046</v>
      </c>
      <c r="T901" s="3">
        <v>0</v>
      </c>
    </row>
    <row r="902" spans="1:20" hidden="1" x14ac:dyDescent="0.25">
      <c r="A902" t="s">
        <v>8387</v>
      </c>
      <c r="B902" t="s">
        <v>8485</v>
      </c>
      <c r="C902" t="s">
        <v>1</v>
      </c>
      <c r="D902" t="s">
        <v>0</v>
      </c>
      <c r="E902">
        <v>9781</v>
      </c>
      <c r="F902" t="s">
        <v>1522</v>
      </c>
      <c r="G902" t="s">
        <v>1523</v>
      </c>
      <c r="H902" s="3">
        <v>0.76</v>
      </c>
      <c r="I902" s="3">
        <v>0</v>
      </c>
      <c r="J902" s="3">
        <v>0</v>
      </c>
      <c r="K902" s="3">
        <v>8.18</v>
      </c>
      <c r="L902" s="3">
        <v>0</v>
      </c>
      <c r="M902" s="3">
        <v>0</v>
      </c>
      <c r="N902" s="3">
        <v>0</v>
      </c>
      <c r="O902" s="3">
        <v>1.0633999999999999</v>
      </c>
      <c r="P902" s="3">
        <v>10.003399999999999</v>
      </c>
      <c r="Q902" t="s">
        <v>8046</v>
      </c>
      <c r="R902" t="s">
        <v>8200</v>
      </c>
      <c r="S902" s="3" t="s">
        <v>8046</v>
      </c>
      <c r="T902" s="3">
        <v>0</v>
      </c>
    </row>
    <row r="903" spans="1:20" hidden="1" x14ac:dyDescent="0.25">
      <c r="A903" t="s">
        <v>8387</v>
      </c>
      <c r="B903" t="s">
        <v>8145</v>
      </c>
      <c r="C903" t="s">
        <v>1</v>
      </c>
      <c r="D903" t="s">
        <v>0</v>
      </c>
      <c r="E903">
        <v>1403</v>
      </c>
      <c r="F903" t="s">
        <v>131</v>
      </c>
      <c r="G903" t="s">
        <v>132</v>
      </c>
      <c r="H903" s="3">
        <v>0</v>
      </c>
      <c r="I903" s="3">
        <v>0</v>
      </c>
      <c r="J903" s="3">
        <v>0</v>
      </c>
      <c r="K903" s="3">
        <v>1296</v>
      </c>
      <c r="L903" s="3">
        <v>0</v>
      </c>
      <c r="M903" s="3">
        <v>0</v>
      </c>
      <c r="N903" s="3">
        <v>0</v>
      </c>
      <c r="O903" s="3">
        <v>168.48000000000002</v>
      </c>
      <c r="P903" s="3">
        <v>1464.48</v>
      </c>
      <c r="Q903" t="s">
        <v>8046</v>
      </c>
      <c r="R903" t="s">
        <v>8200</v>
      </c>
      <c r="S903" s="3" t="s">
        <v>8046</v>
      </c>
      <c r="T903" s="3">
        <v>0</v>
      </c>
    </row>
    <row r="904" spans="1:20" hidden="1" x14ac:dyDescent="0.25">
      <c r="A904" t="s">
        <v>8387</v>
      </c>
      <c r="B904" t="s">
        <v>8145</v>
      </c>
      <c r="C904" t="s">
        <v>1</v>
      </c>
      <c r="D904" t="s">
        <v>0</v>
      </c>
      <c r="E904">
        <v>968410</v>
      </c>
      <c r="F904" t="s">
        <v>2440</v>
      </c>
      <c r="G904" t="s">
        <v>2441</v>
      </c>
      <c r="H904" s="3">
        <v>0</v>
      </c>
      <c r="I904" s="3">
        <v>0</v>
      </c>
      <c r="J904" s="3">
        <v>0</v>
      </c>
      <c r="K904" s="3">
        <v>766.72</v>
      </c>
      <c r="L904" s="3">
        <v>0</v>
      </c>
      <c r="M904" s="3">
        <v>0</v>
      </c>
      <c r="N904" s="3">
        <v>0</v>
      </c>
      <c r="O904" s="3">
        <v>99.673600000000008</v>
      </c>
      <c r="P904" s="3">
        <v>866.39359999999999</v>
      </c>
      <c r="Q904" t="s">
        <v>8046</v>
      </c>
      <c r="R904" t="s">
        <v>8200</v>
      </c>
      <c r="S904" s="3" t="s">
        <v>8359</v>
      </c>
      <c r="T904" s="3">
        <v>7.67</v>
      </c>
    </row>
    <row r="905" spans="1:20" hidden="1" x14ac:dyDescent="0.25">
      <c r="A905" t="s">
        <v>8387</v>
      </c>
      <c r="B905" t="s">
        <v>8145</v>
      </c>
      <c r="C905" t="s">
        <v>1</v>
      </c>
      <c r="D905" t="s">
        <v>0</v>
      </c>
      <c r="E905">
        <v>228036</v>
      </c>
      <c r="F905" t="s">
        <v>1497</v>
      </c>
      <c r="G905" t="s">
        <v>1498</v>
      </c>
      <c r="H905" s="3">
        <v>0</v>
      </c>
      <c r="I905" s="3">
        <v>0</v>
      </c>
      <c r="J905" s="3">
        <v>0</v>
      </c>
      <c r="K905" s="3">
        <v>10.97</v>
      </c>
      <c r="L905" s="3">
        <v>0</v>
      </c>
      <c r="M905" s="3">
        <v>0</v>
      </c>
      <c r="N905" s="3">
        <v>0</v>
      </c>
      <c r="O905" s="3">
        <v>1.4261000000000001</v>
      </c>
      <c r="P905" s="3">
        <v>12.396100000000001</v>
      </c>
      <c r="Q905" t="s">
        <v>8046</v>
      </c>
      <c r="R905" t="s">
        <v>8200</v>
      </c>
      <c r="S905" s="3" t="s">
        <v>8046</v>
      </c>
      <c r="T905" s="3">
        <v>0</v>
      </c>
    </row>
    <row r="906" spans="1:20" hidden="1" x14ac:dyDescent="0.25">
      <c r="A906" t="s">
        <v>8387</v>
      </c>
      <c r="B906" t="s">
        <v>8145</v>
      </c>
      <c r="C906" t="s">
        <v>1</v>
      </c>
      <c r="D906" t="s">
        <v>0</v>
      </c>
      <c r="E906">
        <v>1413989</v>
      </c>
      <c r="F906" t="s">
        <v>1576</v>
      </c>
      <c r="G906" t="s">
        <v>1577</v>
      </c>
      <c r="H906" s="3">
        <v>0</v>
      </c>
      <c r="I906" s="3">
        <v>0</v>
      </c>
      <c r="J906" s="3">
        <v>0</v>
      </c>
      <c r="K906" s="3">
        <v>2780.52</v>
      </c>
      <c r="L906" s="3">
        <v>0</v>
      </c>
      <c r="M906" s="3">
        <v>0</v>
      </c>
      <c r="N906" s="3">
        <v>0</v>
      </c>
      <c r="O906" s="3">
        <v>361.4676</v>
      </c>
      <c r="P906" s="3">
        <v>3141.9875999999999</v>
      </c>
      <c r="Q906" t="s">
        <v>8046</v>
      </c>
      <c r="R906" t="s">
        <v>8200</v>
      </c>
      <c r="S906" s="3" t="s">
        <v>8345</v>
      </c>
      <c r="T906" s="3">
        <v>27.81</v>
      </c>
    </row>
    <row r="907" spans="1:20" hidden="1" x14ac:dyDescent="0.25">
      <c r="A907" t="s">
        <v>8387</v>
      </c>
      <c r="B907" t="s">
        <v>8145</v>
      </c>
      <c r="C907" t="s">
        <v>1</v>
      </c>
      <c r="D907" t="s">
        <v>0</v>
      </c>
      <c r="E907">
        <v>1413962</v>
      </c>
      <c r="F907" t="s">
        <v>1576</v>
      </c>
      <c r="G907" t="s">
        <v>1577</v>
      </c>
      <c r="H907" s="3">
        <v>0</v>
      </c>
      <c r="I907" s="3">
        <v>0</v>
      </c>
      <c r="J907" s="3">
        <v>0</v>
      </c>
      <c r="K907" s="3">
        <v>552</v>
      </c>
      <c r="L907" s="3">
        <v>0</v>
      </c>
      <c r="M907" s="3">
        <v>0</v>
      </c>
      <c r="N907" s="3">
        <v>0</v>
      </c>
      <c r="O907" s="3">
        <v>71.760000000000005</v>
      </c>
      <c r="P907" s="3">
        <v>623.76</v>
      </c>
      <c r="Q907" t="s">
        <v>8046</v>
      </c>
      <c r="R907" t="s">
        <v>8200</v>
      </c>
      <c r="S907" s="3" t="s">
        <v>8345</v>
      </c>
      <c r="T907" s="3">
        <v>5.52</v>
      </c>
    </row>
    <row r="908" spans="1:20" hidden="1" x14ac:dyDescent="0.25">
      <c r="A908" t="s">
        <v>8387</v>
      </c>
      <c r="B908" t="s">
        <v>8145</v>
      </c>
      <c r="C908" t="s">
        <v>1</v>
      </c>
      <c r="D908" t="s">
        <v>0</v>
      </c>
      <c r="E908">
        <v>1414102</v>
      </c>
      <c r="F908" t="s">
        <v>1576</v>
      </c>
      <c r="G908" t="s">
        <v>1577</v>
      </c>
      <c r="H908" s="3">
        <v>0</v>
      </c>
      <c r="I908" s="3">
        <v>0</v>
      </c>
      <c r="J908" s="3">
        <v>0</v>
      </c>
      <c r="K908" s="3">
        <v>902</v>
      </c>
      <c r="L908" s="3">
        <v>0</v>
      </c>
      <c r="M908" s="3">
        <v>0</v>
      </c>
      <c r="N908" s="3">
        <v>0</v>
      </c>
      <c r="O908" s="3">
        <v>117.26</v>
      </c>
      <c r="P908" s="3">
        <v>1019.26</v>
      </c>
      <c r="Q908" t="s">
        <v>8046</v>
      </c>
      <c r="R908" t="s">
        <v>8200</v>
      </c>
      <c r="S908" s="3" t="s">
        <v>8345</v>
      </c>
      <c r="T908" s="3">
        <v>9.02</v>
      </c>
    </row>
    <row r="909" spans="1:20" hidden="1" x14ac:dyDescent="0.25">
      <c r="A909" t="s">
        <v>8387</v>
      </c>
      <c r="B909" t="s">
        <v>8145</v>
      </c>
      <c r="C909" t="s">
        <v>1</v>
      </c>
      <c r="D909" t="s">
        <v>0</v>
      </c>
      <c r="E909">
        <v>1413573</v>
      </c>
      <c r="F909" t="s">
        <v>1576</v>
      </c>
      <c r="G909" t="s">
        <v>1577</v>
      </c>
      <c r="H909" s="3">
        <v>0</v>
      </c>
      <c r="I909" s="3">
        <v>0</v>
      </c>
      <c r="J909" s="3">
        <v>0</v>
      </c>
      <c r="K909" s="3">
        <v>464.5</v>
      </c>
      <c r="L909" s="3">
        <v>0</v>
      </c>
      <c r="M909" s="3">
        <v>0</v>
      </c>
      <c r="N909" s="3">
        <v>0</v>
      </c>
      <c r="O909" s="3">
        <v>60.385000000000005</v>
      </c>
      <c r="P909" s="3">
        <v>524.88499999999999</v>
      </c>
      <c r="Q909" t="s">
        <v>8046</v>
      </c>
      <c r="R909" t="s">
        <v>8200</v>
      </c>
      <c r="S909" s="3" t="s">
        <v>8345</v>
      </c>
      <c r="T909" s="3">
        <v>4.6500000000000004</v>
      </c>
    </row>
    <row r="910" spans="1:20" hidden="1" x14ac:dyDescent="0.25">
      <c r="A910" t="s">
        <v>8387</v>
      </c>
      <c r="B910" t="s">
        <v>8145</v>
      </c>
      <c r="C910" t="s">
        <v>1</v>
      </c>
      <c r="D910" t="s">
        <v>0</v>
      </c>
      <c r="E910">
        <v>1413574</v>
      </c>
      <c r="F910" t="s">
        <v>1576</v>
      </c>
      <c r="G910" t="s">
        <v>1577</v>
      </c>
      <c r="H910" s="3">
        <v>0</v>
      </c>
      <c r="I910" s="3">
        <v>0</v>
      </c>
      <c r="J910" s="3">
        <v>0</v>
      </c>
      <c r="K910" s="3">
        <v>232.25</v>
      </c>
      <c r="L910" s="3">
        <v>0</v>
      </c>
      <c r="M910" s="3">
        <v>0</v>
      </c>
      <c r="N910" s="3">
        <v>0</v>
      </c>
      <c r="O910" s="3">
        <v>30.192500000000003</v>
      </c>
      <c r="P910" s="3">
        <v>262.4425</v>
      </c>
      <c r="Q910" t="s">
        <v>8046</v>
      </c>
      <c r="R910" t="s">
        <v>8200</v>
      </c>
      <c r="S910" s="3" t="s">
        <v>8345</v>
      </c>
      <c r="T910" s="3">
        <v>2.3199999999999998</v>
      </c>
    </row>
    <row r="911" spans="1:20" hidden="1" x14ac:dyDescent="0.25">
      <c r="A911" t="s">
        <v>8387</v>
      </c>
      <c r="B911" t="s">
        <v>8145</v>
      </c>
      <c r="C911" t="s">
        <v>1</v>
      </c>
      <c r="D911" t="s">
        <v>0</v>
      </c>
      <c r="E911">
        <v>1413570</v>
      </c>
      <c r="F911" t="s">
        <v>1576</v>
      </c>
      <c r="G911" t="s">
        <v>1577</v>
      </c>
      <c r="H911" s="3">
        <v>0</v>
      </c>
      <c r="I911" s="3">
        <v>0</v>
      </c>
      <c r="J911" s="3">
        <v>0</v>
      </c>
      <c r="K911" s="3">
        <v>1533.6</v>
      </c>
      <c r="L911" s="3">
        <v>0</v>
      </c>
      <c r="M911" s="3">
        <v>0</v>
      </c>
      <c r="N911" s="3">
        <v>0</v>
      </c>
      <c r="O911" s="3">
        <v>199.36799999999999</v>
      </c>
      <c r="P911" s="3">
        <v>1732.9679999999998</v>
      </c>
      <c r="Q911" t="s">
        <v>8046</v>
      </c>
      <c r="R911" t="s">
        <v>8200</v>
      </c>
      <c r="S911" s="3" t="s">
        <v>8345</v>
      </c>
      <c r="T911" s="3">
        <v>15.34</v>
      </c>
    </row>
    <row r="912" spans="1:20" hidden="1" x14ac:dyDescent="0.25">
      <c r="A912" t="s">
        <v>8387</v>
      </c>
      <c r="B912" t="s">
        <v>8145</v>
      </c>
      <c r="C912" t="s">
        <v>1</v>
      </c>
      <c r="D912" t="s">
        <v>0</v>
      </c>
      <c r="E912">
        <v>1182</v>
      </c>
      <c r="F912" t="s">
        <v>648</v>
      </c>
      <c r="G912" t="s">
        <v>649</v>
      </c>
      <c r="H912" s="3">
        <v>0</v>
      </c>
      <c r="I912" s="3">
        <v>0</v>
      </c>
      <c r="J912" s="3">
        <v>0</v>
      </c>
      <c r="K912" s="3">
        <v>105.9</v>
      </c>
      <c r="L912" s="3">
        <v>0</v>
      </c>
      <c r="M912" s="3">
        <v>0</v>
      </c>
      <c r="N912" s="3">
        <v>0</v>
      </c>
      <c r="O912" s="3">
        <v>13.767000000000001</v>
      </c>
      <c r="P912" s="3">
        <v>119.667</v>
      </c>
      <c r="Q912" t="s">
        <v>8046</v>
      </c>
      <c r="R912" t="s">
        <v>8200</v>
      </c>
      <c r="S912" s="3" t="s">
        <v>8046</v>
      </c>
      <c r="T912" s="3">
        <v>0</v>
      </c>
    </row>
    <row r="913" spans="1:20" hidden="1" x14ac:dyDescent="0.25">
      <c r="A913" t="s">
        <v>8387</v>
      </c>
      <c r="B913" t="s">
        <v>8145</v>
      </c>
      <c r="C913" t="s">
        <v>1</v>
      </c>
      <c r="D913" t="s">
        <v>0</v>
      </c>
      <c r="E913">
        <v>37046</v>
      </c>
      <c r="F913" t="s">
        <v>1670</v>
      </c>
      <c r="G913" t="s">
        <v>1671</v>
      </c>
      <c r="H913" s="3">
        <v>5.08</v>
      </c>
      <c r="I913" s="3">
        <v>0</v>
      </c>
      <c r="J913" s="3">
        <v>0</v>
      </c>
      <c r="K913" s="3">
        <v>49.49</v>
      </c>
      <c r="L913" s="3">
        <v>0</v>
      </c>
      <c r="M913" s="3">
        <v>0</v>
      </c>
      <c r="N913" s="3">
        <v>0</v>
      </c>
      <c r="O913" s="3">
        <v>6.4337000000000009</v>
      </c>
      <c r="P913" s="3">
        <v>61.003700000000002</v>
      </c>
      <c r="Q913" t="s">
        <v>8046</v>
      </c>
      <c r="R913" t="s">
        <v>8200</v>
      </c>
      <c r="S913" s="3" t="s">
        <v>8046</v>
      </c>
      <c r="T913" s="3">
        <v>0</v>
      </c>
    </row>
    <row r="914" spans="1:20" hidden="1" x14ac:dyDescent="0.25">
      <c r="A914" t="s">
        <v>8387</v>
      </c>
      <c r="B914" t="s">
        <v>8386</v>
      </c>
      <c r="C914" t="s">
        <v>1</v>
      </c>
      <c r="D914" t="s">
        <v>0</v>
      </c>
      <c r="E914">
        <v>227944</v>
      </c>
      <c r="F914" t="s">
        <v>1497</v>
      </c>
      <c r="G914" t="s">
        <v>1498</v>
      </c>
      <c r="H914" s="3">
        <v>0</v>
      </c>
      <c r="I914" s="3">
        <v>0</v>
      </c>
      <c r="J914" s="3">
        <v>0</v>
      </c>
      <c r="K914" s="3">
        <v>256.98</v>
      </c>
      <c r="L914" s="3">
        <v>0</v>
      </c>
      <c r="M914" s="3">
        <v>0</v>
      </c>
      <c r="N914" s="3">
        <v>0</v>
      </c>
      <c r="O914" s="3">
        <v>33.407400000000003</v>
      </c>
      <c r="P914" s="3">
        <v>290.38740000000001</v>
      </c>
      <c r="Q914" t="s">
        <v>8046</v>
      </c>
      <c r="R914" t="s">
        <v>8200</v>
      </c>
      <c r="S914" s="3" t="s">
        <v>8046</v>
      </c>
      <c r="T914" s="3">
        <v>0</v>
      </c>
    </row>
    <row r="915" spans="1:20" hidden="1" x14ac:dyDescent="0.25">
      <c r="A915" t="s">
        <v>8387</v>
      </c>
      <c r="B915" t="s">
        <v>8148</v>
      </c>
      <c r="C915" t="s">
        <v>1</v>
      </c>
      <c r="D915" t="s">
        <v>0</v>
      </c>
      <c r="E915">
        <v>279923</v>
      </c>
      <c r="F915" t="s">
        <v>3251</v>
      </c>
      <c r="G915" t="s">
        <v>3252</v>
      </c>
      <c r="H915" s="3">
        <v>0</v>
      </c>
      <c r="I915" s="3">
        <v>0</v>
      </c>
      <c r="J915" s="3">
        <v>0</v>
      </c>
      <c r="K915" s="3">
        <v>76.52</v>
      </c>
      <c r="L915" s="3">
        <v>0</v>
      </c>
      <c r="M915" s="3">
        <v>0</v>
      </c>
      <c r="N915" s="3">
        <v>0</v>
      </c>
      <c r="O915" s="3">
        <v>9.9475999999999996</v>
      </c>
      <c r="P915" s="3">
        <v>86.46759999999999</v>
      </c>
      <c r="Q915" t="s">
        <v>8046</v>
      </c>
      <c r="R915" t="s">
        <v>8200</v>
      </c>
      <c r="S915" s="3" t="s">
        <v>8046</v>
      </c>
      <c r="T915" s="3">
        <v>0</v>
      </c>
    </row>
    <row r="916" spans="1:20" hidden="1" x14ac:dyDescent="0.25">
      <c r="A916" t="s">
        <v>8387</v>
      </c>
      <c r="B916" t="s">
        <v>8148</v>
      </c>
      <c r="C916" t="s">
        <v>1</v>
      </c>
      <c r="D916" t="s">
        <v>0</v>
      </c>
      <c r="E916">
        <v>1227</v>
      </c>
      <c r="F916" t="s">
        <v>7902</v>
      </c>
      <c r="G916" t="s">
        <v>7903</v>
      </c>
      <c r="H916" s="3">
        <v>0</v>
      </c>
      <c r="I916" s="3">
        <v>0</v>
      </c>
      <c r="J916" s="3">
        <v>0</v>
      </c>
      <c r="K916" s="3">
        <v>25.66</v>
      </c>
      <c r="L916" s="3">
        <v>0</v>
      </c>
      <c r="M916" s="3">
        <v>0</v>
      </c>
      <c r="N916" s="3">
        <v>0</v>
      </c>
      <c r="O916" s="3">
        <v>3.3358000000000003</v>
      </c>
      <c r="P916" s="3">
        <v>28.995799999999999</v>
      </c>
      <c r="Q916" t="s">
        <v>8046</v>
      </c>
      <c r="R916" t="s">
        <v>8200</v>
      </c>
      <c r="S916" s="3" t="s">
        <v>8046</v>
      </c>
      <c r="T916" s="3">
        <v>0</v>
      </c>
    </row>
    <row r="917" spans="1:20" hidden="1" x14ac:dyDescent="0.25">
      <c r="A917" t="s">
        <v>8387</v>
      </c>
      <c r="B917" t="s">
        <v>8144</v>
      </c>
      <c r="C917" t="s">
        <v>1</v>
      </c>
      <c r="D917" t="s">
        <v>0</v>
      </c>
      <c r="E917">
        <v>38148</v>
      </c>
      <c r="F917" t="s">
        <v>8496</v>
      </c>
      <c r="G917" t="s">
        <v>8497</v>
      </c>
      <c r="H917" s="3">
        <v>4.29</v>
      </c>
      <c r="I917" s="3">
        <v>0</v>
      </c>
      <c r="J917" s="3">
        <v>0</v>
      </c>
      <c r="K917" s="3">
        <v>46.64</v>
      </c>
      <c r="L917" s="3">
        <v>0</v>
      </c>
      <c r="M917" s="3">
        <v>0</v>
      </c>
      <c r="N917" s="3">
        <v>0</v>
      </c>
      <c r="O917" s="3">
        <v>6.0632000000000001</v>
      </c>
      <c r="P917" s="3">
        <v>56.993200000000002</v>
      </c>
      <c r="Q917" t="s">
        <v>8046</v>
      </c>
      <c r="R917" t="s">
        <v>8200</v>
      </c>
      <c r="S917" s="3" t="s">
        <v>8046</v>
      </c>
      <c r="T917" s="3">
        <v>0</v>
      </c>
    </row>
    <row r="918" spans="1:20" hidden="1" x14ac:dyDescent="0.25">
      <c r="A918" t="s">
        <v>8387</v>
      </c>
      <c r="B918" t="s">
        <v>8149</v>
      </c>
      <c r="C918" t="s">
        <v>1</v>
      </c>
      <c r="D918" t="s">
        <v>0</v>
      </c>
      <c r="E918">
        <v>1842480</v>
      </c>
      <c r="F918" t="s">
        <v>1501</v>
      </c>
      <c r="G918" t="s">
        <v>1502</v>
      </c>
      <c r="H918" s="3">
        <v>3</v>
      </c>
      <c r="I918" s="3">
        <v>0</v>
      </c>
      <c r="J918" s="3">
        <v>0</v>
      </c>
      <c r="K918" s="3">
        <v>32.119999999999997</v>
      </c>
      <c r="L918" s="3">
        <v>0</v>
      </c>
      <c r="M918" s="3">
        <v>0</v>
      </c>
      <c r="N918" s="3">
        <v>0</v>
      </c>
      <c r="O918" s="3">
        <v>4.1756000000000002</v>
      </c>
      <c r="P918" s="3">
        <v>39.2956</v>
      </c>
      <c r="Q918" t="s">
        <v>8046</v>
      </c>
      <c r="R918" t="s">
        <v>8200</v>
      </c>
      <c r="S918" s="3" t="s">
        <v>8046</v>
      </c>
      <c r="T918" s="3">
        <v>0</v>
      </c>
    </row>
    <row r="919" spans="1:20" hidden="1" x14ac:dyDescent="0.25">
      <c r="A919" t="s">
        <v>8387</v>
      </c>
      <c r="B919" t="s">
        <v>8150</v>
      </c>
      <c r="C919" t="s">
        <v>1</v>
      </c>
      <c r="D919" t="s">
        <v>0</v>
      </c>
      <c r="E919">
        <v>1344</v>
      </c>
      <c r="F919" t="s">
        <v>131</v>
      </c>
      <c r="G919" t="s">
        <v>132</v>
      </c>
      <c r="H919" s="3">
        <v>0</v>
      </c>
      <c r="I919" s="3">
        <v>0</v>
      </c>
      <c r="J919" s="3">
        <v>0</v>
      </c>
      <c r="K919" s="3">
        <v>1563.61</v>
      </c>
      <c r="L919" s="3">
        <v>0</v>
      </c>
      <c r="M919" s="3">
        <v>0</v>
      </c>
      <c r="N919" s="3">
        <v>0</v>
      </c>
      <c r="O919" s="3">
        <v>203.26929999999999</v>
      </c>
      <c r="P919" s="3">
        <v>1766.8792999999998</v>
      </c>
      <c r="Q919" t="s">
        <v>8046</v>
      </c>
      <c r="R919" t="s">
        <v>8200</v>
      </c>
      <c r="S919" s="3" t="s">
        <v>8046</v>
      </c>
      <c r="T919" s="3">
        <v>0</v>
      </c>
    </row>
    <row r="920" spans="1:20" hidden="1" x14ac:dyDescent="0.25">
      <c r="A920" t="s">
        <v>8387</v>
      </c>
      <c r="B920" t="s">
        <v>8495</v>
      </c>
      <c r="C920" t="s">
        <v>1</v>
      </c>
      <c r="D920" t="s">
        <v>0</v>
      </c>
      <c r="E920">
        <v>223370</v>
      </c>
      <c r="F920" t="s">
        <v>1552</v>
      </c>
      <c r="G920" t="s">
        <v>1553</v>
      </c>
      <c r="H920" s="3">
        <v>4.13</v>
      </c>
      <c r="I920" s="3">
        <v>0</v>
      </c>
      <c r="J920" s="3">
        <v>0</v>
      </c>
      <c r="K920" s="3">
        <v>43.25</v>
      </c>
      <c r="L920" s="3">
        <v>0</v>
      </c>
      <c r="M920" s="3">
        <v>0</v>
      </c>
      <c r="N920" s="3">
        <v>0</v>
      </c>
      <c r="O920" s="3">
        <v>5.6225000000000005</v>
      </c>
      <c r="P920" s="3">
        <v>53.002500000000005</v>
      </c>
      <c r="Q920" t="s">
        <v>8046</v>
      </c>
      <c r="R920" t="s">
        <v>8200</v>
      </c>
      <c r="S920" s="3" t="s">
        <v>8046</v>
      </c>
      <c r="T920" s="3">
        <v>0</v>
      </c>
    </row>
    <row r="921" spans="1:20" hidden="1" x14ac:dyDescent="0.25">
      <c r="A921" t="s">
        <v>8387</v>
      </c>
      <c r="B921" t="s">
        <v>8142</v>
      </c>
      <c r="C921" t="s">
        <v>1</v>
      </c>
      <c r="D921" t="s">
        <v>0</v>
      </c>
      <c r="E921">
        <v>295777</v>
      </c>
      <c r="F921" t="s">
        <v>2788</v>
      </c>
      <c r="G921" t="s">
        <v>2789</v>
      </c>
      <c r="H921" s="3">
        <v>0</v>
      </c>
      <c r="I921" s="3">
        <v>0</v>
      </c>
      <c r="J921" s="3">
        <v>0</v>
      </c>
      <c r="K921" s="3">
        <v>21.5</v>
      </c>
      <c r="L921" s="3">
        <v>0</v>
      </c>
      <c r="M921" s="3">
        <v>0</v>
      </c>
      <c r="N921" s="3">
        <v>0</v>
      </c>
      <c r="O921" s="3">
        <v>2.7949999999999999</v>
      </c>
      <c r="P921" s="3">
        <v>24.295000000000002</v>
      </c>
      <c r="Q921" t="s">
        <v>8046</v>
      </c>
      <c r="R921" t="s">
        <v>8200</v>
      </c>
      <c r="S921" s="3" t="s">
        <v>8046</v>
      </c>
      <c r="T921" s="3">
        <v>0</v>
      </c>
    </row>
    <row r="922" spans="1:20" hidden="1" x14ac:dyDescent="0.25">
      <c r="A922" t="s">
        <v>8387</v>
      </c>
      <c r="B922" t="s">
        <v>8131</v>
      </c>
      <c r="C922" t="s">
        <v>1</v>
      </c>
      <c r="D922" t="s">
        <v>0</v>
      </c>
      <c r="E922">
        <v>1193</v>
      </c>
      <c r="F922" t="s">
        <v>7902</v>
      </c>
      <c r="G922" t="s">
        <v>7903</v>
      </c>
      <c r="H922" s="3">
        <v>0</v>
      </c>
      <c r="I922" s="3">
        <v>0</v>
      </c>
      <c r="J922" s="3">
        <v>0</v>
      </c>
      <c r="K922" s="3">
        <v>123.84</v>
      </c>
      <c r="L922" s="3">
        <v>0</v>
      </c>
      <c r="M922" s="3">
        <v>0</v>
      </c>
      <c r="N922" s="3">
        <v>0</v>
      </c>
      <c r="O922" s="3">
        <v>16.0992</v>
      </c>
      <c r="P922" s="3">
        <v>139.9392</v>
      </c>
      <c r="Q922" t="s">
        <v>8046</v>
      </c>
      <c r="R922" t="s">
        <v>8200</v>
      </c>
      <c r="S922" s="3" t="s">
        <v>8046</v>
      </c>
      <c r="T922" s="3">
        <v>0</v>
      </c>
    </row>
    <row r="923" spans="1:20" hidden="1" x14ac:dyDescent="0.25">
      <c r="A923" t="s">
        <v>8387</v>
      </c>
      <c r="B923" t="s">
        <v>8490</v>
      </c>
      <c r="C923" t="s">
        <v>1</v>
      </c>
      <c r="D923" t="s">
        <v>0</v>
      </c>
      <c r="E923">
        <v>32128</v>
      </c>
      <c r="F923" t="s">
        <v>1670</v>
      </c>
      <c r="G923" t="s">
        <v>1671</v>
      </c>
      <c r="H923" s="3">
        <v>5.4</v>
      </c>
      <c r="I923" s="3">
        <v>0</v>
      </c>
      <c r="J923" s="3">
        <v>0</v>
      </c>
      <c r="K923" s="3">
        <v>48.42</v>
      </c>
      <c r="L923" s="3">
        <v>0</v>
      </c>
      <c r="M923" s="3">
        <v>0</v>
      </c>
      <c r="N923" s="3">
        <v>0</v>
      </c>
      <c r="O923" s="3">
        <v>6.2946000000000009</v>
      </c>
      <c r="P923" s="3">
        <v>60.114600000000003</v>
      </c>
      <c r="Q923" t="s">
        <v>8046</v>
      </c>
      <c r="R923" t="s">
        <v>8200</v>
      </c>
      <c r="S923" s="3" t="s">
        <v>8046</v>
      </c>
      <c r="T923" s="3">
        <v>0</v>
      </c>
    </row>
    <row r="924" spans="1:20" hidden="1" x14ac:dyDescent="0.25">
      <c r="A924" t="s">
        <v>8387</v>
      </c>
      <c r="B924" t="s">
        <v>8141</v>
      </c>
      <c r="C924" t="s">
        <v>1</v>
      </c>
      <c r="D924" t="s">
        <v>0</v>
      </c>
      <c r="E924">
        <v>25286</v>
      </c>
      <c r="F924" t="s">
        <v>3120</v>
      </c>
      <c r="G924" t="s">
        <v>3121</v>
      </c>
      <c r="H924" s="3">
        <v>0</v>
      </c>
      <c r="I924" s="3">
        <v>0</v>
      </c>
      <c r="J924" s="3">
        <v>0</v>
      </c>
      <c r="K924" s="3">
        <v>502.92</v>
      </c>
      <c r="L924" s="3">
        <v>0</v>
      </c>
      <c r="M924" s="3">
        <v>0</v>
      </c>
      <c r="N924" s="3">
        <v>0</v>
      </c>
      <c r="O924" s="3">
        <v>65.379600000000011</v>
      </c>
      <c r="P924" s="3">
        <v>568.29960000000005</v>
      </c>
      <c r="Q924" t="s">
        <v>8046</v>
      </c>
      <c r="R924" t="s">
        <v>8200</v>
      </c>
      <c r="S924" s="3" t="s">
        <v>8341</v>
      </c>
      <c r="T924" s="3">
        <v>5.03</v>
      </c>
    </row>
    <row r="925" spans="1:20" hidden="1" x14ac:dyDescent="0.25">
      <c r="A925" t="s">
        <v>8387</v>
      </c>
      <c r="B925" t="s">
        <v>8141</v>
      </c>
      <c r="C925" t="s">
        <v>1</v>
      </c>
      <c r="D925" t="s">
        <v>0</v>
      </c>
      <c r="E925">
        <v>22389</v>
      </c>
      <c r="F925" t="s">
        <v>8493</v>
      </c>
      <c r="G925" t="s">
        <v>8494</v>
      </c>
      <c r="H925" s="3">
        <v>0</v>
      </c>
      <c r="I925" s="3">
        <v>0</v>
      </c>
      <c r="J925" s="3">
        <v>0</v>
      </c>
      <c r="K925" s="3">
        <v>1327.43</v>
      </c>
      <c r="L925" s="3">
        <v>0</v>
      </c>
      <c r="M925" s="3">
        <v>0</v>
      </c>
      <c r="N925" s="3">
        <v>0</v>
      </c>
      <c r="O925" s="3">
        <v>172.56590000000003</v>
      </c>
      <c r="P925" s="3">
        <v>1499.9959000000001</v>
      </c>
      <c r="Q925" t="s">
        <v>8046</v>
      </c>
      <c r="R925" t="s">
        <v>8200</v>
      </c>
      <c r="S925" s="3" t="s">
        <v>8046</v>
      </c>
      <c r="T925" s="3">
        <v>0</v>
      </c>
    </row>
    <row r="926" spans="1:20" hidden="1" x14ac:dyDescent="0.25">
      <c r="A926" t="s">
        <v>8387</v>
      </c>
      <c r="B926" t="s">
        <v>8141</v>
      </c>
      <c r="C926" t="s">
        <v>1</v>
      </c>
      <c r="D926" t="s">
        <v>0</v>
      </c>
      <c r="E926">
        <v>1173</v>
      </c>
      <c r="F926" t="s">
        <v>7902</v>
      </c>
      <c r="G926" t="s">
        <v>7903</v>
      </c>
      <c r="H926" s="3">
        <v>0</v>
      </c>
      <c r="I926" s="3">
        <v>0</v>
      </c>
      <c r="J926" s="3">
        <v>0</v>
      </c>
      <c r="K926" s="3">
        <v>339.18</v>
      </c>
      <c r="L926" s="3">
        <v>0</v>
      </c>
      <c r="M926" s="3">
        <v>0</v>
      </c>
      <c r="N926" s="3">
        <v>0</v>
      </c>
      <c r="O926" s="3">
        <v>44.093400000000003</v>
      </c>
      <c r="P926" s="3">
        <v>383.27340000000004</v>
      </c>
      <c r="Q926" t="s">
        <v>8046</v>
      </c>
      <c r="R926" t="s">
        <v>8200</v>
      </c>
      <c r="S926" s="3" t="s">
        <v>8046</v>
      </c>
      <c r="T926" s="3">
        <v>0</v>
      </c>
    </row>
    <row r="927" spans="1:20" hidden="1" x14ac:dyDescent="0.25">
      <c r="A927" t="s">
        <v>8387</v>
      </c>
      <c r="B927" t="s">
        <v>8367</v>
      </c>
      <c r="C927" t="s">
        <v>1</v>
      </c>
      <c r="D927" t="s">
        <v>0</v>
      </c>
      <c r="E927">
        <v>25127</v>
      </c>
      <c r="F927" t="s">
        <v>3120</v>
      </c>
      <c r="G927" t="s">
        <v>3121</v>
      </c>
      <c r="H927" s="3">
        <v>0</v>
      </c>
      <c r="I927" s="3">
        <v>0</v>
      </c>
      <c r="J927" s="3">
        <v>0</v>
      </c>
      <c r="K927" s="3">
        <v>441.37</v>
      </c>
      <c r="L927" s="3">
        <v>0</v>
      </c>
      <c r="M927" s="3">
        <v>0</v>
      </c>
      <c r="N927" s="3">
        <v>0</v>
      </c>
      <c r="O927" s="3">
        <v>57.378100000000003</v>
      </c>
      <c r="P927" s="3">
        <v>498.74810000000002</v>
      </c>
      <c r="Q927" t="s">
        <v>8046</v>
      </c>
      <c r="R927" t="s">
        <v>8200</v>
      </c>
      <c r="S927" s="3" t="s">
        <v>8341</v>
      </c>
      <c r="T927" s="3">
        <v>4.41</v>
      </c>
    </row>
    <row r="928" spans="1:20" hidden="1" x14ac:dyDescent="0.25">
      <c r="A928" t="s">
        <v>8387</v>
      </c>
      <c r="B928" t="s">
        <v>8133</v>
      </c>
      <c r="C928" t="s">
        <v>1</v>
      </c>
      <c r="D928" t="s">
        <v>0</v>
      </c>
      <c r="E928">
        <v>15625</v>
      </c>
      <c r="F928" t="s">
        <v>8383</v>
      </c>
      <c r="G928" t="s">
        <v>8384</v>
      </c>
      <c r="H928" s="3">
        <v>0</v>
      </c>
      <c r="I928" s="3">
        <v>0</v>
      </c>
      <c r="J928" s="3">
        <v>0</v>
      </c>
      <c r="K928" s="3">
        <v>121.12</v>
      </c>
      <c r="L928" s="3">
        <v>0</v>
      </c>
      <c r="M928" s="3">
        <v>0</v>
      </c>
      <c r="N928" s="3">
        <v>0</v>
      </c>
      <c r="O928" s="3">
        <v>15.745600000000001</v>
      </c>
      <c r="P928" s="3">
        <v>136.8656</v>
      </c>
      <c r="Q928" t="s">
        <v>8046</v>
      </c>
      <c r="R928" t="s">
        <v>8200</v>
      </c>
      <c r="S928" s="3" t="s">
        <v>8046</v>
      </c>
      <c r="T928" s="3">
        <v>0</v>
      </c>
    </row>
    <row r="929" spans="1:20" hidden="1" x14ac:dyDescent="0.25">
      <c r="A929" t="s">
        <v>8387</v>
      </c>
      <c r="B929" t="s">
        <v>8133</v>
      </c>
      <c r="C929" t="s">
        <v>1</v>
      </c>
      <c r="D929" t="s">
        <v>0</v>
      </c>
      <c r="E929">
        <v>2611</v>
      </c>
      <c r="F929" t="s">
        <v>8350</v>
      </c>
      <c r="G929" t="s">
        <v>8351</v>
      </c>
      <c r="H929" s="3">
        <v>0</v>
      </c>
      <c r="I929" s="3">
        <v>0</v>
      </c>
      <c r="J929" s="3">
        <v>0</v>
      </c>
      <c r="K929" s="3">
        <v>73.63</v>
      </c>
      <c r="L929" s="3">
        <v>0</v>
      </c>
      <c r="M929" s="3">
        <v>0</v>
      </c>
      <c r="N929" s="3">
        <v>0</v>
      </c>
      <c r="O929" s="3">
        <v>9.5718999999999994</v>
      </c>
      <c r="P929" s="3">
        <v>83.201899999999995</v>
      </c>
      <c r="Q929" t="s">
        <v>8046</v>
      </c>
      <c r="R929" t="s">
        <v>8200</v>
      </c>
      <c r="S929" s="3" t="s">
        <v>8046</v>
      </c>
      <c r="T929" s="3">
        <v>0</v>
      </c>
    </row>
    <row r="930" spans="1:20" hidden="1" x14ac:dyDescent="0.25">
      <c r="A930" t="s">
        <v>8387</v>
      </c>
      <c r="B930" t="s">
        <v>8134</v>
      </c>
      <c r="C930" t="s">
        <v>1</v>
      </c>
      <c r="D930" t="s">
        <v>0</v>
      </c>
      <c r="E930">
        <v>2568</v>
      </c>
      <c r="F930" t="s">
        <v>8350</v>
      </c>
      <c r="G930" t="s">
        <v>8351</v>
      </c>
      <c r="H930" s="3">
        <v>0</v>
      </c>
      <c r="I930" s="3">
        <v>0</v>
      </c>
      <c r="J930" s="3">
        <v>0</v>
      </c>
      <c r="K930" s="3">
        <v>113.27</v>
      </c>
      <c r="L930" s="3">
        <v>0</v>
      </c>
      <c r="M930" s="3">
        <v>0</v>
      </c>
      <c r="N930" s="3">
        <v>0</v>
      </c>
      <c r="O930" s="3">
        <v>14.725099999999999</v>
      </c>
      <c r="P930" s="3">
        <v>127.99509999999999</v>
      </c>
      <c r="Q930" t="s">
        <v>8046</v>
      </c>
      <c r="R930" t="s">
        <v>8200</v>
      </c>
      <c r="S930" s="3" t="s">
        <v>8046</v>
      </c>
      <c r="T930" s="3">
        <v>0</v>
      </c>
    </row>
    <row r="931" spans="1:20" hidden="1" x14ac:dyDescent="0.25">
      <c r="A931" t="s">
        <v>8387</v>
      </c>
      <c r="B931" t="s">
        <v>8492</v>
      </c>
      <c r="C931" t="s">
        <v>1</v>
      </c>
      <c r="D931" t="s">
        <v>0</v>
      </c>
      <c r="E931">
        <v>20455</v>
      </c>
      <c r="F931" t="s">
        <v>3019</v>
      </c>
      <c r="G931" t="s">
        <v>3020</v>
      </c>
      <c r="H931" s="3">
        <v>0</v>
      </c>
      <c r="I931" s="3">
        <v>0</v>
      </c>
      <c r="J931" s="3">
        <v>0</v>
      </c>
      <c r="K931" s="3">
        <v>67.900000000000006</v>
      </c>
      <c r="L931" s="3">
        <v>0</v>
      </c>
      <c r="M931" s="3">
        <v>0</v>
      </c>
      <c r="N931" s="3">
        <v>0</v>
      </c>
      <c r="O931" s="3">
        <v>8.8270000000000017</v>
      </c>
      <c r="P931" s="3">
        <v>76.727000000000004</v>
      </c>
      <c r="Q931" t="s">
        <v>8046</v>
      </c>
      <c r="R931" t="s">
        <v>8200</v>
      </c>
      <c r="S931" s="3" t="s">
        <v>8046</v>
      </c>
      <c r="T931" s="3">
        <v>0</v>
      </c>
    </row>
    <row r="932" spans="1:20" hidden="1" x14ac:dyDescent="0.25">
      <c r="A932" t="s">
        <v>8387</v>
      </c>
      <c r="B932" t="s">
        <v>8492</v>
      </c>
      <c r="C932" t="s">
        <v>1</v>
      </c>
      <c r="D932" t="s">
        <v>0</v>
      </c>
      <c r="E932">
        <v>6541</v>
      </c>
      <c r="F932" t="s">
        <v>1522</v>
      </c>
      <c r="G932" t="s">
        <v>1523</v>
      </c>
      <c r="H932" s="3">
        <v>2.88</v>
      </c>
      <c r="I932" s="3">
        <v>0</v>
      </c>
      <c r="J932" s="3">
        <v>0</v>
      </c>
      <c r="K932" s="3">
        <v>28.42</v>
      </c>
      <c r="L932" s="3">
        <v>0</v>
      </c>
      <c r="M932" s="3">
        <v>0</v>
      </c>
      <c r="N932" s="3">
        <v>0</v>
      </c>
      <c r="O932" s="3">
        <v>3.6946000000000003</v>
      </c>
      <c r="P932" s="3">
        <v>34.994599999999998</v>
      </c>
      <c r="Q932" t="s">
        <v>8046</v>
      </c>
      <c r="R932" t="s">
        <v>8200</v>
      </c>
      <c r="S932" s="3" t="s">
        <v>8046</v>
      </c>
      <c r="T932" s="3">
        <v>0</v>
      </c>
    </row>
    <row r="933" spans="1:20" hidden="1" x14ac:dyDescent="0.25">
      <c r="A933" t="s">
        <v>8387</v>
      </c>
      <c r="B933" t="s">
        <v>8491</v>
      </c>
      <c r="C933" t="s">
        <v>1</v>
      </c>
      <c r="D933" t="s">
        <v>0</v>
      </c>
      <c r="E933">
        <v>4648</v>
      </c>
      <c r="F933" t="s">
        <v>1522</v>
      </c>
      <c r="G933" t="s">
        <v>1523</v>
      </c>
      <c r="H933" s="3">
        <v>5.07</v>
      </c>
      <c r="I933" s="3">
        <v>0</v>
      </c>
      <c r="J933" s="3">
        <v>0</v>
      </c>
      <c r="K933" s="3">
        <v>44.18</v>
      </c>
      <c r="L933" s="3">
        <v>0</v>
      </c>
      <c r="M933" s="3">
        <v>0</v>
      </c>
      <c r="N933" s="3">
        <v>0</v>
      </c>
      <c r="O933" s="3">
        <v>5.7434000000000003</v>
      </c>
      <c r="P933" s="3">
        <v>54.993400000000001</v>
      </c>
      <c r="Q933" t="s">
        <v>8046</v>
      </c>
      <c r="R933" t="s">
        <v>8200</v>
      </c>
      <c r="S933" s="3" t="s">
        <v>8046</v>
      </c>
      <c r="T933" s="3">
        <v>0</v>
      </c>
    </row>
    <row r="934" spans="1:20" hidden="1" x14ac:dyDescent="0.25">
      <c r="A934" t="s">
        <v>8387</v>
      </c>
      <c r="B934" t="s">
        <v>8490</v>
      </c>
      <c r="C934" t="s">
        <v>1</v>
      </c>
      <c r="D934" t="s">
        <v>0</v>
      </c>
      <c r="E934">
        <v>970281</v>
      </c>
      <c r="F934" t="s">
        <v>1494</v>
      </c>
      <c r="G934" t="s">
        <v>1495</v>
      </c>
      <c r="H934" s="3">
        <v>0</v>
      </c>
      <c r="I934" s="3">
        <v>0</v>
      </c>
      <c r="J934" s="3">
        <v>0</v>
      </c>
      <c r="K934" s="3">
        <v>503</v>
      </c>
      <c r="L934" s="3">
        <v>0</v>
      </c>
      <c r="M934" s="3">
        <v>0</v>
      </c>
      <c r="N934" s="3">
        <v>0</v>
      </c>
      <c r="O934" s="3">
        <v>65.39</v>
      </c>
      <c r="P934" s="3">
        <v>568.39</v>
      </c>
      <c r="Q934" t="s">
        <v>8046</v>
      </c>
      <c r="R934" t="s">
        <v>8200</v>
      </c>
      <c r="S934" s="3" t="s">
        <v>8046</v>
      </c>
      <c r="T934" s="3">
        <v>0</v>
      </c>
    </row>
    <row r="935" spans="1:20" hidden="1" x14ac:dyDescent="0.25">
      <c r="A935" t="s">
        <v>8387</v>
      </c>
      <c r="B935" t="s">
        <v>8490</v>
      </c>
      <c r="C935" t="s">
        <v>1</v>
      </c>
      <c r="D935" t="s">
        <v>0</v>
      </c>
      <c r="E935">
        <v>14951</v>
      </c>
      <c r="F935" t="s">
        <v>1517</v>
      </c>
      <c r="G935" t="s">
        <v>1518</v>
      </c>
      <c r="H935" s="3">
        <v>0</v>
      </c>
      <c r="I935" s="3">
        <v>0</v>
      </c>
      <c r="J935" s="3">
        <v>0</v>
      </c>
      <c r="K935" s="3">
        <v>549.08000000000004</v>
      </c>
      <c r="L935" s="3">
        <v>0</v>
      </c>
      <c r="M935" s="3">
        <v>0</v>
      </c>
      <c r="N935" s="3">
        <v>0</v>
      </c>
      <c r="O935" s="3">
        <v>71.380400000000009</v>
      </c>
      <c r="P935" s="3">
        <v>620.46040000000005</v>
      </c>
      <c r="Q935" t="s">
        <v>8046</v>
      </c>
      <c r="R935" t="s">
        <v>8200</v>
      </c>
      <c r="S935" s="3" t="s">
        <v>8046</v>
      </c>
      <c r="T935" s="3">
        <v>0</v>
      </c>
    </row>
    <row r="936" spans="1:20" hidden="1" x14ac:dyDescent="0.25">
      <c r="A936" t="s">
        <v>8387</v>
      </c>
      <c r="B936" t="s">
        <v>8348</v>
      </c>
      <c r="C936" t="s">
        <v>1</v>
      </c>
      <c r="D936" t="s">
        <v>0</v>
      </c>
      <c r="E936">
        <v>8779</v>
      </c>
      <c r="F936" t="s">
        <v>1705</v>
      </c>
      <c r="G936" t="s">
        <v>1706</v>
      </c>
      <c r="H936" s="3">
        <v>0</v>
      </c>
      <c r="I936" s="3">
        <v>0</v>
      </c>
      <c r="J936" s="3">
        <v>0</v>
      </c>
      <c r="K936" s="3">
        <v>206.38</v>
      </c>
      <c r="L936" s="3">
        <v>0</v>
      </c>
      <c r="M936" s="3">
        <v>0</v>
      </c>
      <c r="N936" s="3">
        <v>0</v>
      </c>
      <c r="O936" s="3">
        <v>26.8294</v>
      </c>
      <c r="P936" s="3">
        <v>233.20939999999999</v>
      </c>
      <c r="Q936" t="s">
        <v>8046</v>
      </c>
      <c r="R936" t="s">
        <v>8200</v>
      </c>
      <c r="S936" s="3" t="s">
        <v>8046</v>
      </c>
      <c r="T936" s="3">
        <v>0</v>
      </c>
    </row>
    <row r="937" spans="1:20" hidden="1" x14ac:dyDescent="0.25">
      <c r="A937" t="s">
        <v>8387</v>
      </c>
      <c r="B937" t="s">
        <v>8489</v>
      </c>
      <c r="C937" t="s">
        <v>1</v>
      </c>
      <c r="D937" t="s">
        <v>0</v>
      </c>
      <c r="E937">
        <v>3239</v>
      </c>
      <c r="F937" t="s">
        <v>1522</v>
      </c>
      <c r="G937" t="s">
        <v>1523</v>
      </c>
      <c r="H937" s="3">
        <v>2.9699999999999998</v>
      </c>
      <c r="I937" s="3">
        <v>0</v>
      </c>
      <c r="J937" s="3">
        <v>0</v>
      </c>
      <c r="K937" s="3">
        <v>30.12</v>
      </c>
      <c r="L937" s="3">
        <v>0</v>
      </c>
      <c r="M937" s="3">
        <v>0</v>
      </c>
      <c r="N937" s="3">
        <v>0</v>
      </c>
      <c r="O937" s="3">
        <v>3.9156000000000004</v>
      </c>
      <c r="P937" s="3">
        <v>37.005600000000001</v>
      </c>
      <c r="Q937" t="s">
        <v>8046</v>
      </c>
      <c r="R937" t="s">
        <v>8200</v>
      </c>
      <c r="S937" s="3" t="s">
        <v>8046</v>
      </c>
      <c r="T937" s="3">
        <v>0</v>
      </c>
    </row>
    <row r="938" spans="1:20" hidden="1" x14ac:dyDescent="0.25">
      <c r="A938" t="s">
        <v>8387</v>
      </c>
      <c r="B938" t="s">
        <v>8488</v>
      </c>
      <c r="C938" t="s">
        <v>1</v>
      </c>
      <c r="D938" t="s">
        <v>0</v>
      </c>
      <c r="E938">
        <v>459761</v>
      </c>
      <c r="F938" t="s">
        <v>1546</v>
      </c>
      <c r="G938" t="s">
        <v>1547</v>
      </c>
      <c r="H938" s="3">
        <v>2.27</v>
      </c>
      <c r="I938" s="3">
        <v>0</v>
      </c>
      <c r="J938" s="3">
        <v>0</v>
      </c>
      <c r="K938" s="3">
        <v>26.31</v>
      </c>
      <c r="L938" s="3">
        <v>0</v>
      </c>
      <c r="M938" s="3">
        <v>0</v>
      </c>
      <c r="N938" s="3">
        <v>0</v>
      </c>
      <c r="O938" s="3">
        <v>3.4203000000000001</v>
      </c>
      <c r="P938" s="3">
        <v>32.000299999999996</v>
      </c>
      <c r="Q938" t="s">
        <v>8046</v>
      </c>
      <c r="R938" t="s">
        <v>8200</v>
      </c>
      <c r="S938" s="3" t="s">
        <v>8046</v>
      </c>
      <c r="T938" s="3">
        <v>0</v>
      </c>
    </row>
    <row r="939" spans="1:20" hidden="1" x14ac:dyDescent="0.25">
      <c r="A939" t="s">
        <v>8387</v>
      </c>
      <c r="B939" t="s">
        <v>8487</v>
      </c>
      <c r="C939" t="s">
        <v>1</v>
      </c>
      <c r="D939" t="s">
        <v>0</v>
      </c>
      <c r="E939">
        <v>1489</v>
      </c>
      <c r="F939" t="s">
        <v>1522</v>
      </c>
      <c r="G939" t="s">
        <v>1523</v>
      </c>
      <c r="H939" s="3">
        <v>3.05</v>
      </c>
      <c r="I939" s="3">
        <v>0</v>
      </c>
      <c r="J939" s="3">
        <v>0</v>
      </c>
      <c r="K939" s="3">
        <v>32.700000000000003</v>
      </c>
      <c r="L939" s="3">
        <v>0</v>
      </c>
      <c r="M939" s="3">
        <v>0</v>
      </c>
      <c r="N939" s="3">
        <v>0</v>
      </c>
      <c r="O939" s="3">
        <v>4.2510000000000003</v>
      </c>
      <c r="P939" s="3">
        <v>40.000999999999998</v>
      </c>
      <c r="Q939"/>
      <c r="R939" t="s">
        <v>8200</v>
      </c>
      <c r="S939" s="3" t="s">
        <v>8046</v>
      </c>
      <c r="T939" s="3">
        <v>0</v>
      </c>
    </row>
    <row r="940" spans="1:20" hidden="1" x14ac:dyDescent="0.25">
      <c r="A940" t="s">
        <v>8387</v>
      </c>
      <c r="B940" t="s">
        <v>8344</v>
      </c>
      <c r="C940" t="s">
        <v>1</v>
      </c>
      <c r="D940" t="s">
        <v>0</v>
      </c>
      <c r="E940">
        <v>458844</v>
      </c>
      <c r="F940" t="s">
        <v>1546</v>
      </c>
      <c r="G940" t="s">
        <v>1547</v>
      </c>
      <c r="H940" s="3">
        <v>5</v>
      </c>
      <c r="I940" s="3">
        <v>0</v>
      </c>
      <c r="J940" s="3">
        <v>0</v>
      </c>
      <c r="K940" s="3">
        <v>50.44</v>
      </c>
      <c r="L940" s="3">
        <v>0</v>
      </c>
      <c r="M940" s="3">
        <v>0</v>
      </c>
      <c r="N940" s="3">
        <v>0</v>
      </c>
      <c r="O940" s="3">
        <v>6.5571999999999999</v>
      </c>
      <c r="P940" s="3">
        <v>61.997199999999999</v>
      </c>
      <c r="Q940"/>
      <c r="R940" t="s">
        <v>8200</v>
      </c>
      <c r="S940" s="3" t="s">
        <v>8046</v>
      </c>
      <c r="T940" s="3">
        <v>0</v>
      </c>
    </row>
    <row r="941" spans="1:20" hidden="1" x14ac:dyDescent="0.25">
      <c r="A941" t="s">
        <v>8387</v>
      </c>
      <c r="B941" t="s">
        <v>8486</v>
      </c>
      <c r="C941" t="s">
        <v>1</v>
      </c>
      <c r="D941" t="s">
        <v>0</v>
      </c>
      <c r="E941">
        <v>2666</v>
      </c>
      <c r="F941" t="s">
        <v>6324</v>
      </c>
      <c r="G941" t="s">
        <v>6325</v>
      </c>
      <c r="H941" s="3">
        <v>0</v>
      </c>
      <c r="I941" s="3">
        <v>0</v>
      </c>
      <c r="J941" s="3">
        <v>0</v>
      </c>
      <c r="K941" s="3">
        <v>757.8</v>
      </c>
      <c r="L941" s="3">
        <v>0</v>
      </c>
      <c r="M941" s="3">
        <v>0</v>
      </c>
      <c r="N941" s="3">
        <v>0</v>
      </c>
      <c r="O941" s="3">
        <v>98.513999999999996</v>
      </c>
      <c r="P941" s="3">
        <v>856.31399999999996</v>
      </c>
      <c r="Q941"/>
      <c r="R941" t="s">
        <v>8200</v>
      </c>
      <c r="S941" s="3"/>
      <c r="T941"/>
    </row>
    <row r="942" spans="1:20" hidden="1" x14ac:dyDescent="0.25">
      <c r="A942" t="s">
        <v>8126</v>
      </c>
      <c r="B942" t="s">
        <v>8155</v>
      </c>
      <c r="C942" t="s">
        <v>1</v>
      </c>
      <c r="D942" t="s">
        <v>0</v>
      </c>
      <c r="E942">
        <v>1121</v>
      </c>
      <c r="F942" t="s">
        <v>7902</v>
      </c>
      <c r="G942" t="s">
        <v>7903</v>
      </c>
      <c r="H942" s="3">
        <v>0</v>
      </c>
      <c r="I942" s="3">
        <v>0</v>
      </c>
      <c r="J942" s="3">
        <v>0</v>
      </c>
      <c r="K942" s="3">
        <v>83.32</v>
      </c>
      <c r="L942" s="3">
        <v>0</v>
      </c>
      <c r="M942" s="3">
        <v>0</v>
      </c>
      <c r="N942" s="3">
        <v>0</v>
      </c>
      <c r="O942" s="3">
        <v>10.8316</v>
      </c>
      <c r="P942" s="3">
        <v>94.151599999999988</v>
      </c>
      <c r="Q942"/>
      <c r="R942" t="s">
        <v>8200</v>
      </c>
      <c r="S942" s="3" t="s">
        <v>8046</v>
      </c>
      <c r="T942"/>
    </row>
    <row r="943" spans="1:20" hidden="1" x14ac:dyDescent="0.25">
      <c r="A943" t="s">
        <v>8126</v>
      </c>
      <c r="B943" t="s">
        <v>8156</v>
      </c>
      <c r="C943" t="s">
        <v>1</v>
      </c>
      <c r="D943" t="s">
        <v>0</v>
      </c>
      <c r="E943">
        <v>295018</v>
      </c>
      <c r="F943" t="s">
        <v>2788</v>
      </c>
      <c r="G943" t="s">
        <v>2789</v>
      </c>
      <c r="H943" s="3">
        <v>0</v>
      </c>
      <c r="I943" s="3">
        <v>0</v>
      </c>
      <c r="J943" s="3">
        <v>0</v>
      </c>
      <c r="K943" s="3">
        <v>66.150000000000006</v>
      </c>
      <c r="L943" s="3">
        <v>0</v>
      </c>
      <c r="M943" s="3">
        <v>0</v>
      </c>
      <c r="N943" s="3">
        <v>0</v>
      </c>
      <c r="O943" s="3">
        <v>8.5995000000000008</v>
      </c>
      <c r="P943" s="3">
        <v>74.749500000000012</v>
      </c>
      <c r="Q943"/>
      <c r="R943" t="s">
        <v>8200</v>
      </c>
      <c r="S943" s="3" t="s">
        <v>8046</v>
      </c>
      <c r="T943"/>
    </row>
    <row r="944" spans="1:20" hidden="1" x14ac:dyDescent="0.25">
      <c r="A944" t="s">
        <v>8126</v>
      </c>
      <c r="B944" t="s">
        <v>8386</v>
      </c>
      <c r="C944" t="s">
        <v>1</v>
      </c>
      <c r="D944" t="s">
        <v>0</v>
      </c>
      <c r="E944">
        <v>98802398</v>
      </c>
      <c r="F944" t="s">
        <v>3587</v>
      </c>
      <c r="G944" t="s">
        <v>3588</v>
      </c>
      <c r="H944" s="3">
        <v>0</v>
      </c>
      <c r="I944" s="3">
        <v>0</v>
      </c>
      <c r="J944" s="3">
        <v>0</v>
      </c>
      <c r="K944" s="3">
        <v>124</v>
      </c>
      <c r="L944" s="3">
        <v>0</v>
      </c>
      <c r="M944" s="3">
        <v>0</v>
      </c>
      <c r="N944" s="3">
        <v>0</v>
      </c>
      <c r="O944" s="3">
        <v>16.12</v>
      </c>
      <c r="P944" s="3">
        <v>140.12</v>
      </c>
      <c r="Q944"/>
      <c r="R944" t="s">
        <v>8200</v>
      </c>
      <c r="S944" s="3" t="s">
        <v>8046</v>
      </c>
      <c r="T944"/>
    </row>
    <row r="945" spans="1:20" hidden="1" x14ac:dyDescent="0.25">
      <c r="A945" t="s">
        <v>8126</v>
      </c>
      <c r="B945" t="s">
        <v>8385</v>
      </c>
      <c r="C945" t="s">
        <v>1</v>
      </c>
      <c r="D945" t="s">
        <v>0</v>
      </c>
      <c r="E945">
        <v>3469</v>
      </c>
      <c r="F945" t="s">
        <v>1571</v>
      </c>
      <c r="G945" t="s">
        <v>1572</v>
      </c>
      <c r="H945" s="3">
        <v>0</v>
      </c>
      <c r="I945" s="3">
        <v>0</v>
      </c>
      <c r="J945" s="3">
        <v>0</v>
      </c>
      <c r="K945" s="3">
        <v>157.30000000000001</v>
      </c>
      <c r="L945" s="3">
        <v>0</v>
      </c>
      <c r="M945" s="3">
        <v>0</v>
      </c>
      <c r="N945" s="3">
        <v>0</v>
      </c>
      <c r="O945" s="3">
        <v>20.449000000000002</v>
      </c>
      <c r="P945" s="3">
        <v>177.74900000000002</v>
      </c>
      <c r="Q945"/>
      <c r="R945" t="s">
        <v>8200</v>
      </c>
      <c r="S945" s="3" t="s">
        <v>8046</v>
      </c>
      <c r="T945"/>
    </row>
    <row r="946" spans="1:20" hidden="1" x14ac:dyDescent="0.25">
      <c r="A946" t="s">
        <v>8126</v>
      </c>
      <c r="B946" t="s">
        <v>8145</v>
      </c>
      <c r="C946" t="s">
        <v>1</v>
      </c>
      <c r="D946" t="s">
        <v>0</v>
      </c>
      <c r="E946">
        <v>67623</v>
      </c>
      <c r="F946" t="s">
        <v>3374</v>
      </c>
      <c r="G946" t="s">
        <v>3375</v>
      </c>
      <c r="H946" s="3">
        <v>1.1399999999999999</v>
      </c>
      <c r="I946" s="3">
        <v>0</v>
      </c>
      <c r="J946" s="3">
        <v>0</v>
      </c>
      <c r="K946" s="3">
        <v>12.27</v>
      </c>
      <c r="L946" s="3">
        <v>0</v>
      </c>
      <c r="M946" s="3">
        <v>0</v>
      </c>
      <c r="N946" s="3">
        <v>0</v>
      </c>
      <c r="O946" s="3">
        <v>1.5951</v>
      </c>
      <c r="P946" s="3">
        <v>15.005100000000001</v>
      </c>
      <c r="Q946"/>
      <c r="R946" t="s">
        <v>8200</v>
      </c>
      <c r="S946" s="3" t="s">
        <v>8046</v>
      </c>
    </row>
    <row r="947" spans="1:20" hidden="1" x14ac:dyDescent="0.25">
      <c r="A947" t="s">
        <v>8126</v>
      </c>
      <c r="B947" t="s">
        <v>8145</v>
      </c>
      <c r="C947" t="s">
        <v>1</v>
      </c>
      <c r="D947" t="s">
        <v>0</v>
      </c>
      <c r="E947">
        <v>15730</v>
      </c>
      <c r="F947" t="s">
        <v>1653</v>
      </c>
      <c r="G947" t="s">
        <v>1654</v>
      </c>
      <c r="H947" s="3">
        <v>2.2400000000000002</v>
      </c>
      <c r="I947" s="3">
        <v>0</v>
      </c>
      <c r="J947" s="3">
        <v>0</v>
      </c>
      <c r="K947" s="3">
        <v>24.57</v>
      </c>
      <c r="L947" s="3">
        <v>0</v>
      </c>
      <c r="M947" s="3">
        <v>0</v>
      </c>
      <c r="N947" s="3">
        <v>0</v>
      </c>
      <c r="O947" s="3">
        <v>3.1941000000000002</v>
      </c>
      <c r="P947" s="3">
        <v>30.004100000000001</v>
      </c>
      <c r="Q947"/>
      <c r="R947" t="s">
        <v>8200</v>
      </c>
      <c r="S947" s="3" t="s">
        <v>8046</v>
      </c>
    </row>
    <row r="948" spans="1:20" hidden="1" x14ac:dyDescent="0.25">
      <c r="A948" t="s">
        <v>8126</v>
      </c>
      <c r="B948" t="s">
        <v>8198</v>
      </c>
      <c r="C948" t="s">
        <v>1</v>
      </c>
      <c r="D948" t="s">
        <v>0</v>
      </c>
      <c r="E948">
        <v>9533</v>
      </c>
      <c r="F948" t="s">
        <v>1522</v>
      </c>
      <c r="G948" t="s">
        <v>1523</v>
      </c>
      <c r="H948" s="3">
        <v>2.06</v>
      </c>
      <c r="I948" s="3">
        <v>0</v>
      </c>
      <c r="J948" s="3">
        <v>0</v>
      </c>
      <c r="K948" s="3">
        <v>21.19</v>
      </c>
      <c r="L948" s="3">
        <v>0</v>
      </c>
      <c r="M948" s="3">
        <v>0</v>
      </c>
      <c r="N948" s="3">
        <v>0</v>
      </c>
      <c r="O948" s="3">
        <v>2.7547000000000001</v>
      </c>
      <c r="P948" s="3">
        <v>26.0047</v>
      </c>
      <c r="Q948"/>
      <c r="R948" t="s">
        <v>8200</v>
      </c>
      <c r="S948" s="3" t="s">
        <v>8046</v>
      </c>
    </row>
    <row r="949" spans="1:20" hidden="1" x14ac:dyDescent="0.25">
      <c r="A949" t="s">
        <v>8126</v>
      </c>
      <c r="B949" t="s">
        <v>8148</v>
      </c>
      <c r="C949" t="s">
        <v>1</v>
      </c>
      <c r="D949" t="s">
        <v>0</v>
      </c>
      <c r="E949">
        <v>3765</v>
      </c>
      <c r="F949" t="s">
        <v>294</v>
      </c>
      <c r="G949" t="s">
        <v>295</v>
      </c>
      <c r="H949" s="3">
        <v>0</v>
      </c>
      <c r="I949" s="3">
        <v>0</v>
      </c>
      <c r="J949" s="3">
        <v>0</v>
      </c>
      <c r="K949" s="3">
        <v>426.69</v>
      </c>
      <c r="L949" s="3">
        <v>0</v>
      </c>
      <c r="M949" s="3">
        <v>0</v>
      </c>
      <c r="N949" s="3">
        <v>0</v>
      </c>
      <c r="O949" s="3">
        <v>55.469700000000003</v>
      </c>
      <c r="P949" s="3">
        <v>482.15969999999999</v>
      </c>
      <c r="Q949"/>
      <c r="R949" t="s">
        <v>8200</v>
      </c>
      <c r="S949" s="3" t="s">
        <v>8046</v>
      </c>
    </row>
    <row r="950" spans="1:20" hidden="1" x14ac:dyDescent="0.25">
      <c r="A950" t="s">
        <v>8126</v>
      </c>
      <c r="B950" t="s">
        <v>8148</v>
      </c>
      <c r="C950" t="s">
        <v>1</v>
      </c>
      <c r="D950" t="s">
        <v>0</v>
      </c>
      <c r="E950">
        <v>911</v>
      </c>
      <c r="F950" t="s">
        <v>1457</v>
      </c>
      <c r="G950" t="s">
        <v>1458</v>
      </c>
      <c r="H950" s="3">
        <v>0</v>
      </c>
      <c r="I950" s="3">
        <v>0</v>
      </c>
      <c r="J950" s="3">
        <v>0</v>
      </c>
      <c r="K950" s="3">
        <v>28</v>
      </c>
      <c r="L950" s="3">
        <v>0</v>
      </c>
      <c r="M950" s="3">
        <v>0</v>
      </c>
      <c r="N950" s="3">
        <v>0</v>
      </c>
      <c r="O950" s="3">
        <v>3.64</v>
      </c>
      <c r="P950" s="3">
        <v>31.64</v>
      </c>
      <c r="Q950"/>
      <c r="R950" t="s">
        <v>8200</v>
      </c>
      <c r="S950" s="3" t="s">
        <v>8046</v>
      </c>
    </row>
    <row r="951" spans="1:20" hidden="1" x14ac:dyDescent="0.25">
      <c r="A951" t="s">
        <v>8126</v>
      </c>
      <c r="B951" t="s">
        <v>8144</v>
      </c>
      <c r="C951" t="s">
        <v>1</v>
      </c>
      <c r="D951" t="s">
        <v>0</v>
      </c>
      <c r="E951">
        <v>16009</v>
      </c>
      <c r="F951" t="s">
        <v>8383</v>
      </c>
      <c r="G951" t="s">
        <v>8384</v>
      </c>
      <c r="H951" s="3">
        <v>0</v>
      </c>
      <c r="I951" s="3">
        <v>0</v>
      </c>
      <c r="J951" s="3">
        <v>0</v>
      </c>
      <c r="K951" s="3">
        <v>114.85</v>
      </c>
      <c r="L951" s="3">
        <v>0</v>
      </c>
      <c r="M951" s="3">
        <v>0</v>
      </c>
      <c r="N951" s="3">
        <v>0</v>
      </c>
      <c r="O951" s="3">
        <v>14.9305</v>
      </c>
      <c r="P951" s="3">
        <v>129.78049999999999</v>
      </c>
      <c r="Q951"/>
      <c r="R951" t="s">
        <v>8200</v>
      </c>
      <c r="S951" s="3" t="s">
        <v>8046</v>
      </c>
    </row>
    <row r="952" spans="1:20" hidden="1" x14ac:dyDescent="0.25">
      <c r="A952" t="s">
        <v>8126</v>
      </c>
      <c r="B952" t="s">
        <v>8144</v>
      </c>
      <c r="C952" t="s">
        <v>1</v>
      </c>
      <c r="D952" t="s">
        <v>0</v>
      </c>
      <c r="E952">
        <v>7955</v>
      </c>
      <c r="F952" t="s">
        <v>1200</v>
      </c>
      <c r="G952" t="s">
        <v>1201</v>
      </c>
      <c r="H952" s="3">
        <v>0</v>
      </c>
      <c r="I952" s="3">
        <v>0</v>
      </c>
      <c r="J952" s="3">
        <v>0</v>
      </c>
      <c r="K952" s="3">
        <v>630</v>
      </c>
      <c r="L952" s="3">
        <v>0</v>
      </c>
      <c r="M952" s="3">
        <v>0</v>
      </c>
      <c r="N952" s="3">
        <v>0</v>
      </c>
      <c r="O952" s="3">
        <v>81.900000000000006</v>
      </c>
      <c r="P952" s="3">
        <v>711.9</v>
      </c>
      <c r="Q952"/>
      <c r="R952" t="s">
        <v>8200</v>
      </c>
      <c r="S952" s="3" t="s">
        <v>8358</v>
      </c>
      <c r="T952" s="3">
        <v>6.3</v>
      </c>
    </row>
    <row r="953" spans="1:20" hidden="1" x14ac:dyDescent="0.25">
      <c r="A953" t="s">
        <v>8126</v>
      </c>
      <c r="B953" t="s">
        <v>8144</v>
      </c>
      <c r="C953" t="s">
        <v>1</v>
      </c>
      <c r="D953" t="s">
        <v>0</v>
      </c>
      <c r="E953">
        <v>7938</v>
      </c>
      <c r="F953" t="s">
        <v>1200</v>
      </c>
      <c r="G953" t="s">
        <v>1201</v>
      </c>
      <c r="H953" s="3">
        <v>0</v>
      </c>
      <c r="I953" s="3">
        <v>0</v>
      </c>
      <c r="J953" s="3">
        <v>0</v>
      </c>
      <c r="K953" s="3">
        <v>7053.52</v>
      </c>
      <c r="L953" s="3">
        <v>0</v>
      </c>
      <c r="M953" s="3">
        <v>0</v>
      </c>
      <c r="N953" s="3">
        <v>0</v>
      </c>
      <c r="O953" s="3">
        <v>916.95760000000007</v>
      </c>
      <c r="P953" s="3">
        <v>7970.4776000000002</v>
      </c>
      <c r="Q953"/>
      <c r="R953" t="s">
        <v>8200</v>
      </c>
      <c r="S953" s="3" t="s">
        <v>8358</v>
      </c>
      <c r="T953" s="3">
        <v>70.53</v>
      </c>
    </row>
    <row r="954" spans="1:20" hidden="1" x14ac:dyDescent="0.25">
      <c r="A954" t="s">
        <v>8126</v>
      </c>
      <c r="B954" t="s">
        <v>8144</v>
      </c>
      <c r="C954" t="s">
        <v>1</v>
      </c>
      <c r="D954" t="s">
        <v>0</v>
      </c>
      <c r="E954">
        <v>549</v>
      </c>
      <c r="F954" t="s">
        <v>5016</v>
      </c>
      <c r="G954" t="s">
        <v>5017</v>
      </c>
      <c r="H954" s="3">
        <v>0</v>
      </c>
      <c r="I954" s="3">
        <v>0</v>
      </c>
      <c r="J954" s="3">
        <v>0</v>
      </c>
      <c r="K954" s="3">
        <v>74.34</v>
      </c>
      <c r="L954" s="3">
        <v>0</v>
      </c>
      <c r="M954" s="3">
        <v>0</v>
      </c>
      <c r="N954" s="3">
        <v>0</v>
      </c>
      <c r="O954" s="3">
        <v>9.664200000000001</v>
      </c>
      <c r="P954" s="3">
        <v>84.004199999999997</v>
      </c>
      <c r="Q954"/>
      <c r="R954" t="s">
        <v>8200</v>
      </c>
      <c r="S954" s="3" t="s">
        <v>8046</v>
      </c>
    </row>
    <row r="955" spans="1:20" hidden="1" x14ac:dyDescent="0.25">
      <c r="A955" t="s">
        <v>8126</v>
      </c>
      <c r="B955" t="s">
        <v>8144</v>
      </c>
      <c r="C955" t="s">
        <v>1</v>
      </c>
      <c r="D955" t="s">
        <v>0</v>
      </c>
      <c r="E955">
        <v>19174</v>
      </c>
      <c r="F955" t="s">
        <v>1527</v>
      </c>
      <c r="G955" t="s">
        <v>1528</v>
      </c>
      <c r="H955" s="3">
        <v>0</v>
      </c>
      <c r="I955" s="3">
        <v>0</v>
      </c>
      <c r="J955" s="3">
        <v>0</v>
      </c>
      <c r="K955" s="3">
        <v>114.15</v>
      </c>
      <c r="L955" s="3">
        <v>0</v>
      </c>
      <c r="M955" s="3">
        <v>0</v>
      </c>
      <c r="N955" s="3">
        <v>0</v>
      </c>
      <c r="O955" s="3">
        <v>14.839500000000001</v>
      </c>
      <c r="P955" s="3">
        <v>128.98950000000002</v>
      </c>
      <c r="Q955"/>
      <c r="R955" t="s">
        <v>8200</v>
      </c>
      <c r="S955" s="3" t="s">
        <v>8046</v>
      </c>
    </row>
    <row r="956" spans="1:20" hidden="1" x14ac:dyDescent="0.25">
      <c r="A956" t="s">
        <v>8126</v>
      </c>
      <c r="B956" s="33" t="s">
        <v>8144</v>
      </c>
      <c r="C956" t="s">
        <v>1</v>
      </c>
      <c r="D956" t="s">
        <v>0</v>
      </c>
      <c r="E956">
        <v>1224</v>
      </c>
      <c r="F956" t="s">
        <v>1597</v>
      </c>
      <c r="G956" t="s">
        <v>1598</v>
      </c>
      <c r="H956" s="3">
        <v>0</v>
      </c>
      <c r="I956" s="3">
        <v>0</v>
      </c>
      <c r="J956" s="3">
        <v>0</v>
      </c>
      <c r="K956" s="3">
        <v>261</v>
      </c>
      <c r="L956" s="3">
        <v>0</v>
      </c>
      <c r="M956" s="3">
        <v>0</v>
      </c>
      <c r="N956" s="3">
        <v>0</v>
      </c>
      <c r="O956" s="3">
        <v>33.93</v>
      </c>
      <c r="P956" s="3">
        <v>294.93</v>
      </c>
      <c r="Q956"/>
      <c r="R956" t="s">
        <v>8200</v>
      </c>
      <c r="S956" s="3" t="s">
        <v>8046</v>
      </c>
    </row>
    <row r="957" spans="1:20" hidden="1" x14ac:dyDescent="0.25">
      <c r="A957" t="s">
        <v>8126</v>
      </c>
      <c r="B957" s="33" t="s">
        <v>8144</v>
      </c>
      <c r="C957" t="s">
        <v>1</v>
      </c>
      <c r="D957" t="s">
        <v>0</v>
      </c>
      <c r="E957">
        <v>1629</v>
      </c>
      <c r="F957" t="s">
        <v>384</v>
      </c>
      <c r="G957" t="s">
        <v>385</v>
      </c>
      <c r="H957" s="3">
        <v>0</v>
      </c>
      <c r="I957" s="3">
        <v>0</v>
      </c>
      <c r="J957" s="3">
        <v>0</v>
      </c>
      <c r="K957" s="3">
        <v>325.22000000000003</v>
      </c>
      <c r="L957" s="3">
        <v>0</v>
      </c>
      <c r="M957" s="3">
        <v>0</v>
      </c>
      <c r="N957" s="3">
        <v>0</v>
      </c>
      <c r="O957" s="3">
        <v>42.278600000000004</v>
      </c>
      <c r="P957" s="3">
        <v>367.49860000000001</v>
      </c>
      <c r="Q957"/>
      <c r="R957" t="s">
        <v>8200</v>
      </c>
      <c r="S957" s="3" t="s">
        <v>8046</v>
      </c>
    </row>
    <row r="958" spans="1:20" hidden="1" x14ac:dyDescent="0.25">
      <c r="A958" t="s">
        <v>8126</v>
      </c>
      <c r="B958" s="33" t="s">
        <v>8144</v>
      </c>
      <c r="C958" t="s">
        <v>1</v>
      </c>
      <c r="D958" t="s">
        <v>0</v>
      </c>
      <c r="E958">
        <v>12656</v>
      </c>
      <c r="F958" t="s">
        <v>119</v>
      </c>
      <c r="G958" t="s">
        <v>120</v>
      </c>
      <c r="H958" s="3">
        <v>0</v>
      </c>
      <c r="I958" s="3">
        <v>0</v>
      </c>
      <c r="J958" s="3">
        <v>0</v>
      </c>
      <c r="K958" s="3">
        <v>15.54</v>
      </c>
      <c r="L958" s="3">
        <v>0</v>
      </c>
      <c r="M958" s="3">
        <v>0</v>
      </c>
      <c r="N958" s="3">
        <v>0</v>
      </c>
      <c r="O958" s="3">
        <v>2.0202</v>
      </c>
      <c r="P958" s="3">
        <v>17.560199999999998</v>
      </c>
      <c r="Q958"/>
      <c r="R958" t="s">
        <v>8200</v>
      </c>
      <c r="S958" s="3" t="s">
        <v>8046</v>
      </c>
    </row>
    <row r="959" spans="1:20" hidden="1" x14ac:dyDescent="0.25">
      <c r="A959" t="s">
        <v>8126</v>
      </c>
      <c r="B959" s="33" t="s">
        <v>8144</v>
      </c>
      <c r="C959" t="s">
        <v>1</v>
      </c>
      <c r="D959" t="s">
        <v>0</v>
      </c>
      <c r="E959">
        <v>619</v>
      </c>
      <c r="F959" t="s">
        <v>2142</v>
      </c>
      <c r="G959" t="s">
        <v>2143</v>
      </c>
      <c r="H959" s="3">
        <v>1.1399999999999999</v>
      </c>
      <c r="I959" s="3">
        <v>0</v>
      </c>
      <c r="J959" s="3">
        <v>0</v>
      </c>
      <c r="K959" s="3">
        <v>12.27</v>
      </c>
      <c r="L959" s="3">
        <v>0</v>
      </c>
      <c r="M959" s="3">
        <v>0</v>
      </c>
      <c r="N959" s="3">
        <v>0</v>
      </c>
      <c r="O959" s="3">
        <v>1.5951</v>
      </c>
      <c r="P959" s="3">
        <v>15.005100000000001</v>
      </c>
      <c r="Q959"/>
      <c r="R959" t="s">
        <v>8200</v>
      </c>
      <c r="S959" s="3" t="s">
        <v>8046</v>
      </c>
    </row>
    <row r="960" spans="1:20" hidden="1" x14ac:dyDescent="0.25">
      <c r="A960" t="s">
        <v>8126</v>
      </c>
      <c r="B960" t="s">
        <v>8149</v>
      </c>
      <c r="C960" t="s">
        <v>1</v>
      </c>
      <c r="D960" t="s">
        <v>0</v>
      </c>
      <c r="E960">
        <v>461</v>
      </c>
      <c r="F960" t="s">
        <v>1499</v>
      </c>
      <c r="G960" t="s">
        <v>1500</v>
      </c>
      <c r="H960" s="3">
        <v>0</v>
      </c>
      <c r="I960" s="3">
        <v>0</v>
      </c>
      <c r="J960" s="3">
        <v>0</v>
      </c>
      <c r="K960" s="3">
        <v>34.82</v>
      </c>
      <c r="L960" s="3">
        <v>0</v>
      </c>
      <c r="M960" s="3">
        <v>0</v>
      </c>
      <c r="N960" s="3">
        <v>0</v>
      </c>
      <c r="O960" s="3">
        <v>4.5266000000000002</v>
      </c>
      <c r="P960" s="3">
        <v>39.346600000000002</v>
      </c>
      <c r="Q960"/>
      <c r="R960" t="s">
        <v>8200</v>
      </c>
      <c r="S960" s="3" t="s">
        <v>8046</v>
      </c>
    </row>
    <row r="961" spans="1:20" hidden="1" x14ac:dyDescent="0.25">
      <c r="A961" t="s">
        <v>8126</v>
      </c>
      <c r="B961" t="s">
        <v>8149</v>
      </c>
      <c r="C961" t="s">
        <v>1</v>
      </c>
      <c r="D961" t="s">
        <v>0</v>
      </c>
      <c r="E961">
        <v>6902</v>
      </c>
      <c r="F961" t="s">
        <v>1732</v>
      </c>
      <c r="G961" t="s">
        <v>1733</v>
      </c>
      <c r="H961" s="3">
        <v>0.75</v>
      </c>
      <c r="I961" s="3">
        <v>0</v>
      </c>
      <c r="J961" s="3">
        <v>0</v>
      </c>
      <c r="K961" s="3">
        <v>8.19</v>
      </c>
      <c r="L961" s="3">
        <v>0</v>
      </c>
      <c r="M961" s="3">
        <v>0</v>
      </c>
      <c r="N961" s="3">
        <v>0</v>
      </c>
      <c r="O961" s="3">
        <v>1.0647</v>
      </c>
      <c r="P961" s="3">
        <v>10.0047</v>
      </c>
      <c r="Q961"/>
      <c r="R961" t="s">
        <v>8200</v>
      </c>
      <c r="S961" s="3" t="s">
        <v>8046</v>
      </c>
    </row>
    <row r="962" spans="1:20" hidden="1" x14ac:dyDescent="0.25">
      <c r="A962" t="s">
        <v>8126</v>
      </c>
      <c r="B962" t="s">
        <v>8150</v>
      </c>
      <c r="C962" t="s">
        <v>1</v>
      </c>
      <c r="D962" t="s">
        <v>0</v>
      </c>
      <c r="E962">
        <v>139604</v>
      </c>
      <c r="F962" t="s">
        <v>1636</v>
      </c>
      <c r="G962" t="s">
        <v>1637</v>
      </c>
      <c r="H962" s="3">
        <v>3.06</v>
      </c>
      <c r="I962" s="3">
        <v>0</v>
      </c>
      <c r="J962" s="3">
        <v>0</v>
      </c>
      <c r="K962" s="3">
        <v>32.68</v>
      </c>
      <c r="L962" s="3">
        <v>0</v>
      </c>
      <c r="M962" s="3">
        <v>0</v>
      </c>
      <c r="N962" s="3">
        <v>0</v>
      </c>
      <c r="O962" s="3">
        <v>4.2484000000000002</v>
      </c>
      <c r="P962" s="3">
        <v>39.988399999999999</v>
      </c>
      <c r="Q962"/>
      <c r="R962" t="s">
        <v>8200</v>
      </c>
      <c r="S962" s="3" t="s">
        <v>8046</v>
      </c>
    </row>
    <row r="963" spans="1:20" hidden="1" x14ac:dyDescent="0.25">
      <c r="A963" t="s">
        <v>8126</v>
      </c>
      <c r="B963" t="s">
        <v>8150</v>
      </c>
      <c r="C963" t="s">
        <v>1</v>
      </c>
      <c r="D963" t="s">
        <v>0</v>
      </c>
      <c r="E963">
        <v>1787864</v>
      </c>
      <c r="F963" t="s">
        <v>1494</v>
      </c>
      <c r="G963" t="s">
        <v>1495</v>
      </c>
      <c r="H963" s="3">
        <v>0</v>
      </c>
      <c r="I963" s="3">
        <v>0</v>
      </c>
      <c r="J963" s="3">
        <v>0</v>
      </c>
      <c r="K963" s="3">
        <v>255.12</v>
      </c>
      <c r="L963" s="3">
        <v>0</v>
      </c>
      <c r="M963" s="3">
        <v>0</v>
      </c>
      <c r="N963" s="3">
        <v>0</v>
      </c>
      <c r="O963" s="3">
        <v>33.165600000000005</v>
      </c>
      <c r="P963" s="3">
        <v>288.28559999999999</v>
      </c>
      <c r="Q963"/>
      <c r="R963" t="s">
        <v>8200</v>
      </c>
      <c r="S963" s="3" t="s">
        <v>8046</v>
      </c>
    </row>
    <row r="964" spans="1:20" hidden="1" x14ac:dyDescent="0.25">
      <c r="A964" t="s">
        <v>8126</v>
      </c>
      <c r="B964" t="s">
        <v>8150</v>
      </c>
      <c r="C964" t="s">
        <v>1</v>
      </c>
      <c r="D964" t="s">
        <v>0</v>
      </c>
      <c r="E964">
        <v>24</v>
      </c>
      <c r="F964" t="s">
        <v>1742</v>
      </c>
      <c r="G964" t="s">
        <v>1743</v>
      </c>
      <c r="H964" s="3">
        <v>0</v>
      </c>
      <c r="I964" s="3">
        <v>0</v>
      </c>
      <c r="J964" s="3">
        <v>0</v>
      </c>
      <c r="K964" s="3">
        <v>20</v>
      </c>
      <c r="L964" s="3">
        <v>0</v>
      </c>
      <c r="M964" s="3">
        <v>0</v>
      </c>
      <c r="N964" s="3">
        <v>0</v>
      </c>
      <c r="O964" s="3">
        <v>2.6</v>
      </c>
      <c r="P964" s="3">
        <v>22.6</v>
      </c>
      <c r="Q964"/>
      <c r="R964" t="s">
        <v>8200</v>
      </c>
      <c r="S964" s="3" t="s">
        <v>8046</v>
      </c>
    </row>
    <row r="965" spans="1:20" hidden="1" x14ac:dyDescent="0.25">
      <c r="A965" t="s">
        <v>8126</v>
      </c>
      <c r="B965" t="s">
        <v>8143</v>
      </c>
      <c r="C965" t="s">
        <v>1</v>
      </c>
      <c r="D965" t="s">
        <v>0</v>
      </c>
      <c r="E965">
        <v>7882</v>
      </c>
      <c r="F965" t="s">
        <v>1200</v>
      </c>
      <c r="G965" t="s">
        <v>1201</v>
      </c>
      <c r="H965" s="3">
        <v>0</v>
      </c>
      <c r="I965" s="3">
        <v>0</v>
      </c>
      <c r="J965" s="3">
        <v>0</v>
      </c>
      <c r="K965" s="3">
        <v>10326.799999999999</v>
      </c>
      <c r="L965" s="3">
        <v>0</v>
      </c>
      <c r="M965" s="3">
        <v>0</v>
      </c>
      <c r="N965" s="3">
        <v>0</v>
      </c>
      <c r="O965" s="3">
        <v>1342.4839999999999</v>
      </c>
      <c r="P965" s="3">
        <v>11669.284</v>
      </c>
      <c r="Q965"/>
      <c r="R965" t="s">
        <v>8200</v>
      </c>
      <c r="S965" s="3" t="s">
        <v>8358</v>
      </c>
      <c r="T965" s="3">
        <v>103.26</v>
      </c>
    </row>
    <row r="966" spans="1:20" hidden="1" x14ac:dyDescent="0.25">
      <c r="A966" t="s">
        <v>8126</v>
      </c>
      <c r="B966" t="s">
        <v>8143</v>
      </c>
      <c r="C966" t="s">
        <v>1</v>
      </c>
      <c r="D966" t="s">
        <v>0</v>
      </c>
      <c r="E966">
        <v>31</v>
      </c>
      <c r="F966" t="s">
        <v>7900</v>
      </c>
      <c r="G966" t="s">
        <v>7901</v>
      </c>
      <c r="H966" s="3">
        <v>0</v>
      </c>
      <c r="I966" s="3">
        <v>0</v>
      </c>
      <c r="J966" s="3">
        <v>0</v>
      </c>
      <c r="K966" s="3">
        <v>44.25</v>
      </c>
      <c r="L966" s="3">
        <v>0</v>
      </c>
      <c r="M966" s="3">
        <v>0</v>
      </c>
      <c r="N966" s="3">
        <v>0</v>
      </c>
      <c r="O966" s="3">
        <v>5.7525000000000004</v>
      </c>
      <c r="P966" s="3">
        <v>50.002499999999998</v>
      </c>
      <c r="Q966"/>
      <c r="R966" t="s">
        <v>8200</v>
      </c>
      <c r="S966" s="3" t="s">
        <v>8046</v>
      </c>
    </row>
    <row r="967" spans="1:20" hidden="1" x14ac:dyDescent="0.25">
      <c r="A967" t="s">
        <v>8126</v>
      </c>
      <c r="B967" t="s">
        <v>8143</v>
      </c>
      <c r="C967" t="s">
        <v>1</v>
      </c>
      <c r="D967" t="s">
        <v>0</v>
      </c>
      <c r="E967">
        <v>6773</v>
      </c>
      <c r="F967" t="s">
        <v>2635</v>
      </c>
      <c r="G967" t="s">
        <v>2636</v>
      </c>
      <c r="H967" s="3">
        <v>0</v>
      </c>
      <c r="I967" s="3">
        <v>0</v>
      </c>
      <c r="J967" s="3">
        <v>0</v>
      </c>
      <c r="K967" s="3">
        <v>100</v>
      </c>
      <c r="L967" s="3">
        <v>0</v>
      </c>
      <c r="M967" s="3">
        <v>0</v>
      </c>
      <c r="N967" s="3">
        <v>0</v>
      </c>
      <c r="O967" s="3">
        <v>13</v>
      </c>
      <c r="P967" s="3">
        <v>113</v>
      </c>
      <c r="Q967"/>
      <c r="R967" t="s">
        <v>8200</v>
      </c>
      <c r="S967" s="3" t="s">
        <v>8345</v>
      </c>
      <c r="T967" s="3">
        <v>1</v>
      </c>
    </row>
    <row r="968" spans="1:20" hidden="1" x14ac:dyDescent="0.25">
      <c r="A968" t="s">
        <v>8126</v>
      </c>
      <c r="B968" t="s">
        <v>8143</v>
      </c>
      <c r="C968" t="s">
        <v>1</v>
      </c>
      <c r="D968" t="s">
        <v>0</v>
      </c>
      <c r="E968">
        <v>1881</v>
      </c>
      <c r="F968" t="s">
        <v>762</v>
      </c>
      <c r="G968" t="s">
        <v>763</v>
      </c>
      <c r="H968" s="3">
        <v>0</v>
      </c>
      <c r="I968" s="3">
        <v>0</v>
      </c>
      <c r="J968" s="3">
        <v>0</v>
      </c>
      <c r="K968" s="3">
        <v>83.9</v>
      </c>
      <c r="L968" s="3">
        <v>0</v>
      </c>
      <c r="M968" s="3">
        <v>0</v>
      </c>
      <c r="N968" s="3">
        <v>0</v>
      </c>
      <c r="O968" s="3">
        <v>10.907000000000002</v>
      </c>
      <c r="P968" s="3">
        <v>94.807000000000002</v>
      </c>
      <c r="Q968"/>
      <c r="R968" t="s">
        <v>8200</v>
      </c>
      <c r="S968" s="3" t="s">
        <v>8046</v>
      </c>
    </row>
    <row r="969" spans="1:20" hidden="1" x14ac:dyDescent="0.25">
      <c r="A969" t="s">
        <v>8126</v>
      </c>
      <c r="B969" t="s">
        <v>8143</v>
      </c>
      <c r="C969" t="s">
        <v>1</v>
      </c>
      <c r="D969" t="s">
        <v>0</v>
      </c>
      <c r="E969">
        <v>52719</v>
      </c>
      <c r="F969" t="s">
        <v>1670</v>
      </c>
      <c r="G969" t="s">
        <v>1671</v>
      </c>
      <c r="H969" s="3">
        <v>1.1800000000000002</v>
      </c>
      <c r="I969" s="3">
        <v>0</v>
      </c>
      <c r="J969" s="3">
        <v>0</v>
      </c>
      <c r="K969" s="3">
        <v>12.23</v>
      </c>
      <c r="L969" s="3">
        <v>0</v>
      </c>
      <c r="M969" s="3">
        <v>0</v>
      </c>
      <c r="N969" s="3">
        <v>0</v>
      </c>
      <c r="O969" s="3">
        <v>1.5899000000000001</v>
      </c>
      <c r="P969" s="3">
        <v>14.9999</v>
      </c>
      <c r="Q969"/>
      <c r="R969" t="s">
        <v>8200</v>
      </c>
      <c r="S969" s="3" t="s">
        <v>8046</v>
      </c>
    </row>
    <row r="970" spans="1:20" hidden="1" x14ac:dyDescent="0.25">
      <c r="A970" t="s">
        <v>8126</v>
      </c>
      <c r="B970" s="33" t="s">
        <v>8142</v>
      </c>
      <c r="C970" t="s">
        <v>1</v>
      </c>
      <c r="D970" t="s">
        <v>0</v>
      </c>
      <c r="E970">
        <v>26238</v>
      </c>
      <c r="F970" t="s">
        <v>3120</v>
      </c>
      <c r="G970" t="s">
        <v>3121</v>
      </c>
      <c r="H970" s="3">
        <v>0</v>
      </c>
      <c r="I970" s="3">
        <v>0</v>
      </c>
      <c r="J970" s="3">
        <v>0</v>
      </c>
      <c r="K970" s="3">
        <v>44.89</v>
      </c>
      <c r="L970" s="3">
        <v>0</v>
      </c>
      <c r="M970" s="3">
        <v>0</v>
      </c>
      <c r="N970" s="3">
        <v>0</v>
      </c>
      <c r="O970" s="3">
        <v>5.8357000000000001</v>
      </c>
      <c r="P970" s="3">
        <v>50.725700000000003</v>
      </c>
      <c r="Q970"/>
      <c r="R970" t="s">
        <v>8200</v>
      </c>
      <c r="S970" s="3" t="s">
        <v>8046</v>
      </c>
    </row>
    <row r="971" spans="1:20" hidden="1" x14ac:dyDescent="0.25">
      <c r="A971" t="s">
        <v>8126</v>
      </c>
      <c r="B971" t="s">
        <v>8151</v>
      </c>
      <c r="C971" t="s">
        <v>1</v>
      </c>
      <c r="D971" t="s">
        <v>0</v>
      </c>
      <c r="E971">
        <v>371160</v>
      </c>
      <c r="F971" t="s">
        <v>39</v>
      </c>
      <c r="G971" t="s">
        <v>1596</v>
      </c>
      <c r="H971" s="3">
        <v>1.34</v>
      </c>
      <c r="I971" s="3">
        <v>0</v>
      </c>
      <c r="J971" s="3">
        <v>0</v>
      </c>
      <c r="K971" s="3">
        <v>12.09</v>
      </c>
      <c r="L971" s="3">
        <v>0</v>
      </c>
      <c r="M971" s="3">
        <v>0</v>
      </c>
      <c r="N971" s="3">
        <v>0</v>
      </c>
      <c r="O971" s="3">
        <v>1.5717000000000001</v>
      </c>
      <c r="P971" s="3">
        <v>15.0017</v>
      </c>
      <c r="Q971"/>
      <c r="R971" t="s">
        <v>8200</v>
      </c>
      <c r="S971" s="3" t="s">
        <v>8046</v>
      </c>
      <c r="T971" s="3">
        <v>0</v>
      </c>
    </row>
    <row r="972" spans="1:20" hidden="1" x14ac:dyDescent="0.25">
      <c r="A972" t="s">
        <v>8126</v>
      </c>
      <c r="B972" t="s">
        <v>8151</v>
      </c>
      <c r="C972" t="s">
        <v>1</v>
      </c>
      <c r="D972" t="s">
        <v>0</v>
      </c>
      <c r="E972">
        <v>27155</v>
      </c>
      <c r="F972" t="s">
        <v>2256</v>
      </c>
      <c r="G972" t="s">
        <v>2257</v>
      </c>
      <c r="H972" s="3">
        <v>0</v>
      </c>
      <c r="I972" s="3">
        <v>0</v>
      </c>
      <c r="J972" s="3">
        <v>0</v>
      </c>
      <c r="K972" s="3">
        <v>186.06</v>
      </c>
      <c r="L972" s="3">
        <v>0</v>
      </c>
      <c r="M972" s="3">
        <v>0</v>
      </c>
      <c r="N972" s="3">
        <v>0</v>
      </c>
      <c r="O972" s="3">
        <v>24.187800000000003</v>
      </c>
      <c r="P972" s="3">
        <v>210.24780000000001</v>
      </c>
      <c r="Q972"/>
      <c r="R972" t="s">
        <v>8200</v>
      </c>
      <c r="S972" s="3" t="s">
        <v>8345</v>
      </c>
      <c r="T972" s="3">
        <v>1.86</v>
      </c>
    </row>
    <row r="973" spans="1:20" hidden="1" x14ac:dyDescent="0.25">
      <c r="A973" t="s">
        <v>8126</v>
      </c>
      <c r="B973" t="s">
        <v>8151</v>
      </c>
      <c r="C973" t="s">
        <v>1</v>
      </c>
      <c r="D973" t="s">
        <v>0</v>
      </c>
      <c r="E973">
        <v>6648</v>
      </c>
      <c r="F973" t="s">
        <v>2635</v>
      </c>
      <c r="G973" t="s">
        <v>2636</v>
      </c>
      <c r="H973" s="3">
        <v>0</v>
      </c>
      <c r="I973" s="3">
        <v>0</v>
      </c>
      <c r="J973" s="3">
        <v>0</v>
      </c>
      <c r="K973" s="3">
        <v>244.25</v>
      </c>
      <c r="L973" s="3">
        <v>0</v>
      </c>
      <c r="M973" s="3">
        <v>0</v>
      </c>
      <c r="N973" s="3">
        <v>0</v>
      </c>
      <c r="O973" s="3">
        <v>31.752500000000001</v>
      </c>
      <c r="P973" s="3">
        <v>276.0025</v>
      </c>
      <c r="Q973"/>
      <c r="R973" t="s">
        <v>8200</v>
      </c>
      <c r="S973" s="3" t="s">
        <v>8345</v>
      </c>
      <c r="T973" s="3">
        <v>2.44</v>
      </c>
    </row>
    <row r="974" spans="1:20" hidden="1" x14ac:dyDescent="0.25">
      <c r="A974" t="s">
        <v>8126</v>
      </c>
      <c r="B974" t="s">
        <v>8151</v>
      </c>
      <c r="C974" t="s">
        <v>1</v>
      </c>
      <c r="D974" t="s">
        <v>0</v>
      </c>
      <c r="E974">
        <v>22116</v>
      </c>
      <c r="F974" t="s">
        <v>2998</v>
      </c>
      <c r="G974" t="s">
        <v>2999</v>
      </c>
      <c r="H974" s="3">
        <v>0</v>
      </c>
      <c r="I974" s="3">
        <v>0</v>
      </c>
      <c r="J974" s="3">
        <v>0</v>
      </c>
      <c r="K974" s="3">
        <v>712.5</v>
      </c>
      <c r="L974" s="3">
        <v>0</v>
      </c>
      <c r="M974" s="3">
        <v>0</v>
      </c>
      <c r="N974" s="3">
        <v>0</v>
      </c>
      <c r="O974" s="3">
        <v>92.625</v>
      </c>
      <c r="P974" s="3">
        <v>805.125</v>
      </c>
      <c r="Q974"/>
      <c r="R974" t="s">
        <v>8200</v>
      </c>
      <c r="S974" s="3" t="s">
        <v>8345</v>
      </c>
      <c r="T974" s="3">
        <v>7.13</v>
      </c>
    </row>
    <row r="975" spans="1:20" hidden="1" x14ac:dyDescent="0.25">
      <c r="A975" t="s">
        <v>8126</v>
      </c>
      <c r="B975" t="s">
        <v>8151</v>
      </c>
      <c r="C975" t="s">
        <v>1</v>
      </c>
      <c r="D975" t="s">
        <v>0</v>
      </c>
      <c r="E975">
        <v>22025</v>
      </c>
      <c r="F975" t="s">
        <v>2998</v>
      </c>
      <c r="G975" t="s">
        <v>2999</v>
      </c>
      <c r="H975" s="3">
        <v>0</v>
      </c>
      <c r="I975" s="3">
        <v>0</v>
      </c>
      <c r="J975" s="3">
        <v>0</v>
      </c>
      <c r="K975" s="3">
        <v>156.25</v>
      </c>
      <c r="L975" s="3">
        <v>0</v>
      </c>
      <c r="M975" s="3">
        <v>0</v>
      </c>
      <c r="N975" s="3">
        <v>0</v>
      </c>
      <c r="O975" s="3">
        <v>20.3125</v>
      </c>
      <c r="P975" s="3">
        <v>176.5625</v>
      </c>
      <c r="Q975"/>
      <c r="R975" t="s">
        <v>8200</v>
      </c>
      <c r="S975" s="3" t="s">
        <v>8345</v>
      </c>
      <c r="T975" s="3">
        <v>1.56</v>
      </c>
    </row>
    <row r="976" spans="1:20" hidden="1" x14ac:dyDescent="0.25">
      <c r="A976" t="s">
        <v>8126</v>
      </c>
      <c r="B976" t="s">
        <v>8151</v>
      </c>
      <c r="C976" t="s">
        <v>1</v>
      </c>
      <c r="D976" t="s">
        <v>0</v>
      </c>
      <c r="E976">
        <v>58933</v>
      </c>
      <c r="F976" t="s">
        <v>1531</v>
      </c>
      <c r="G976" t="s">
        <v>1532</v>
      </c>
      <c r="H976" s="3">
        <v>2.7600000000000002</v>
      </c>
      <c r="I976" s="3">
        <v>0</v>
      </c>
      <c r="J976" s="3">
        <v>0</v>
      </c>
      <c r="K976" s="3">
        <v>28.53</v>
      </c>
      <c r="L976" s="3">
        <v>0</v>
      </c>
      <c r="M976" s="3">
        <v>0</v>
      </c>
      <c r="N976" s="3">
        <v>0</v>
      </c>
      <c r="O976" s="3">
        <v>3.7089000000000003</v>
      </c>
      <c r="P976" s="3">
        <v>34.998900000000006</v>
      </c>
      <c r="Q976"/>
      <c r="R976" t="s">
        <v>8200</v>
      </c>
      <c r="S976" s="3" t="s">
        <v>8046</v>
      </c>
    </row>
    <row r="977" spans="1:20" hidden="1" x14ac:dyDescent="0.25">
      <c r="A977" t="s">
        <v>8126</v>
      </c>
      <c r="B977" t="s">
        <v>8131</v>
      </c>
      <c r="C977" t="s">
        <v>1</v>
      </c>
      <c r="D977" t="s">
        <v>0</v>
      </c>
      <c r="E977">
        <v>202690</v>
      </c>
      <c r="F977" t="s">
        <v>1646</v>
      </c>
      <c r="G977" t="s">
        <v>1647</v>
      </c>
      <c r="H977" s="3">
        <v>0</v>
      </c>
      <c r="I977" s="3">
        <v>0</v>
      </c>
      <c r="J977" s="3">
        <v>0</v>
      </c>
      <c r="K977" s="3">
        <v>769.1</v>
      </c>
      <c r="L977" s="3">
        <v>0</v>
      </c>
      <c r="M977" s="3">
        <v>0</v>
      </c>
      <c r="N977" s="3">
        <v>0</v>
      </c>
      <c r="O977" s="3">
        <v>99.983000000000004</v>
      </c>
      <c r="P977" s="3">
        <v>869.08300000000008</v>
      </c>
      <c r="Q977"/>
      <c r="R977" t="s">
        <v>8200</v>
      </c>
      <c r="S977" s="3" t="s">
        <v>8360</v>
      </c>
      <c r="T977" s="3">
        <v>7.69</v>
      </c>
    </row>
    <row r="978" spans="1:20" hidden="1" x14ac:dyDescent="0.25">
      <c r="A978" t="s">
        <v>8126</v>
      </c>
      <c r="B978" t="s">
        <v>8131</v>
      </c>
      <c r="C978" t="s">
        <v>1</v>
      </c>
      <c r="D978" t="s">
        <v>0</v>
      </c>
      <c r="E978">
        <v>959</v>
      </c>
      <c r="F978" t="s">
        <v>8371</v>
      </c>
      <c r="G978" t="s">
        <v>8372</v>
      </c>
      <c r="H978" s="3">
        <v>0</v>
      </c>
      <c r="I978" s="3">
        <v>0</v>
      </c>
      <c r="J978" s="3">
        <v>0</v>
      </c>
      <c r="K978" s="3">
        <v>28.32</v>
      </c>
      <c r="L978" s="3">
        <v>0</v>
      </c>
      <c r="M978" s="3">
        <v>0</v>
      </c>
      <c r="N978" s="3">
        <v>0</v>
      </c>
      <c r="O978" s="3">
        <v>3.6816</v>
      </c>
      <c r="P978" s="3">
        <v>32.001600000000003</v>
      </c>
      <c r="Q978"/>
      <c r="R978" t="s">
        <v>8200</v>
      </c>
      <c r="S978" s="3" t="s">
        <v>8046</v>
      </c>
    </row>
    <row r="979" spans="1:20" hidden="1" x14ac:dyDescent="0.25">
      <c r="A979" t="s">
        <v>8126</v>
      </c>
      <c r="B979" t="s">
        <v>8131</v>
      </c>
      <c r="C979" t="s">
        <v>1</v>
      </c>
      <c r="D979" t="s">
        <v>0</v>
      </c>
      <c r="E979">
        <v>1099</v>
      </c>
      <c r="F979" t="s">
        <v>648</v>
      </c>
      <c r="G979" t="s">
        <v>649</v>
      </c>
      <c r="H979" s="3">
        <v>0</v>
      </c>
      <c r="I979" s="3">
        <v>0</v>
      </c>
      <c r="J979" s="3">
        <v>0</v>
      </c>
      <c r="K979" s="3">
        <v>105.9</v>
      </c>
      <c r="L979" s="3">
        <v>0</v>
      </c>
      <c r="M979" s="3">
        <v>0</v>
      </c>
      <c r="N979" s="3">
        <v>0</v>
      </c>
      <c r="O979" s="3">
        <v>13.767000000000001</v>
      </c>
      <c r="P979" s="3">
        <v>119.667</v>
      </c>
      <c r="Q979"/>
      <c r="R979" t="s">
        <v>8200</v>
      </c>
      <c r="S979" s="3" t="s">
        <v>8046</v>
      </c>
    </row>
    <row r="980" spans="1:20" hidden="1" x14ac:dyDescent="0.25">
      <c r="A980" t="s">
        <v>8126</v>
      </c>
      <c r="B980" t="s">
        <v>8131</v>
      </c>
      <c r="C980" t="s">
        <v>1</v>
      </c>
      <c r="D980" t="s">
        <v>0</v>
      </c>
      <c r="E980">
        <v>9919</v>
      </c>
      <c r="F980" t="s">
        <v>3074</v>
      </c>
      <c r="G980" t="s">
        <v>3075</v>
      </c>
      <c r="H980" s="3">
        <v>0</v>
      </c>
      <c r="I980" s="3">
        <v>0</v>
      </c>
      <c r="J980" s="3">
        <v>0</v>
      </c>
      <c r="K980" s="3">
        <v>455.4</v>
      </c>
      <c r="L980" s="3">
        <v>0</v>
      </c>
      <c r="M980" s="3">
        <v>0</v>
      </c>
      <c r="N980" s="3">
        <v>0</v>
      </c>
      <c r="O980" s="3">
        <v>59.201999999999998</v>
      </c>
      <c r="P980" s="3">
        <v>514.60199999999998</v>
      </c>
      <c r="Q980"/>
      <c r="R980" t="s">
        <v>8200</v>
      </c>
      <c r="S980" s="3" t="s">
        <v>8370</v>
      </c>
      <c r="T980" s="3">
        <v>4.55</v>
      </c>
    </row>
    <row r="981" spans="1:20" hidden="1" x14ac:dyDescent="0.25">
      <c r="A981" t="s">
        <v>8126</v>
      </c>
      <c r="B981" t="s">
        <v>8131</v>
      </c>
      <c r="C981" t="s">
        <v>1</v>
      </c>
      <c r="D981" t="s">
        <v>0</v>
      </c>
      <c r="E981">
        <v>51936</v>
      </c>
      <c r="F981" t="s">
        <v>1670</v>
      </c>
      <c r="G981" t="s">
        <v>1671</v>
      </c>
      <c r="H981" s="3">
        <v>1.6500000000000001</v>
      </c>
      <c r="I981" s="3">
        <v>0</v>
      </c>
      <c r="J981" s="3">
        <v>0</v>
      </c>
      <c r="K981" s="3">
        <v>17.12</v>
      </c>
      <c r="L981" s="3">
        <v>0</v>
      </c>
      <c r="M981" s="3">
        <v>0</v>
      </c>
      <c r="N981" s="3">
        <v>0</v>
      </c>
      <c r="O981" s="3">
        <v>2.2256</v>
      </c>
      <c r="P981" s="3">
        <v>20.9956</v>
      </c>
      <c r="Q981"/>
      <c r="R981" t="s">
        <v>8200</v>
      </c>
      <c r="S981" s="3" t="s">
        <v>8046</v>
      </c>
    </row>
    <row r="982" spans="1:20" hidden="1" x14ac:dyDescent="0.25">
      <c r="A982" t="s">
        <v>8126</v>
      </c>
      <c r="B982" t="s">
        <v>8152</v>
      </c>
      <c r="C982" t="s">
        <v>1</v>
      </c>
      <c r="D982" t="s">
        <v>0</v>
      </c>
      <c r="E982">
        <v>1618095</v>
      </c>
      <c r="F982" t="s">
        <v>3446</v>
      </c>
      <c r="G982" t="s">
        <v>3447</v>
      </c>
      <c r="H982" s="3">
        <v>0</v>
      </c>
      <c r="I982" s="3">
        <v>0</v>
      </c>
      <c r="J982" s="3">
        <v>0</v>
      </c>
      <c r="K982" s="3">
        <v>15.43</v>
      </c>
      <c r="L982" s="3">
        <v>0</v>
      </c>
      <c r="M982" s="3">
        <v>0</v>
      </c>
      <c r="N982" s="3">
        <v>0</v>
      </c>
      <c r="O982" s="3">
        <v>2.0059</v>
      </c>
      <c r="P982" s="3">
        <v>17.4359</v>
      </c>
      <c r="Q982"/>
      <c r="R982" t="s">
        <v>8200</v>
      </c>
      <c r="S982" s="3" t="s">
        <v>8046</v>
      </c>
    </row>
    <row r="983" spans="1:20" hidden="1" x14ac:dyDescent="0.25">
      <c r="A983" t="s">
        <v>8126</v>
      </c>
      <c r="B983" t="s">
        <v>8152</v>
      </c>
      <c r="C983" t="s">
        <v>1</v>
      </c>
      <c r="D983" t="s">
        <v>0</v>
      </c>
      <c r="E983">
        <v>1713</v>
      </c>
      <c r="F983" t="s">
        <v>575</v>
      </c>
      <c r="G983" t="s">
        <v>576</v>
      </c>
      <c r="H983" s="3">
        <v>0</v>
      </c>
      <c r="I983" s="3">
        <v>0</v>
      </c>
      <c r="J983" s="3">
        <v>0</v>
      </c>
      <c r="K983" s="3">
        <v>83.41</v>
      </c>
      <c r="L983" s="3">
        <v>0</v>
      </c>
      <c r="M983" s="3">
        <v>0</v>
      </c>
      <c r="N983" s="3">
        <v>0</v>
      </c>
      <c r="O983" s="3">
        <v>10.843299999999999</v>
      </c>
      <c r="P983" s="3">
        <v>94.253299999999996</v>
      </c>
      <c r="Q983"/>
      <c r="R983" t="s">
        <v>8200</v>
      </c>
      <c r="S983" s="3" t="s">
        <v>8046</v>
      </c>
    </row>
    <row r="984" spans="1:20" hidden="1" x14ac:dyDescent="0.25">
      <c r="A984" t="s">
        <v>8126</v>
      </c>
      <c r="B984" t="s">
        <v>8152</v>
      </c>
      <c r="C984" t="s">
        <v>1</v>
      </c>
      <c r="D984" t="s">
        <v>0</v>
      </c>
      <c r="E984">
        <v>1714</v>
      </c>
      <c r="F984" t="s">
        <v>575</v>
      </c>
      <c r="G984" t="s">
        <v>576</v>
      </c>
      <c r="H984" s="3">
        <v>0</v>
      </c>
      <c r="I984" s="3">
        <v>0</v>
      </c>
      <c r="J984" s="3">
        <v>0</v>
      </c>
      <c r="K984" s="3">
        <v>83.41</v>
      </c>
      <c r="L984" s="3">
        <v>0</v>
      </c>
      <c r="M984" s="3">
        <v>0</v>
      </c>
      <c r="N984" s="3">
        <v>0</v>
      </c>
      <c r="O984" s="3">
        <v>10.843299999999999</v>
      </c>
      <c r="P984" s="3">
        <v>94.253299999999996</v>
      </c>
      <c r="Q984"/>
      <c r="R984" t="s">
        <v>8200</v>
      </c>
      <c r="S984" s="3" t="s">
        <v>8046</v>
      </c>
    </row>
    <row r="985" spans="1:20" hidden="1" x14ac:dyDescent="0.25">
      <c r="A985" t="s">
        <v>8126</v>
      </c>
      <c r="B985" t="s">
        <v>8152</v>
      </c>
      <c r="C985" t="s">
        <v>1</v>
      </c>
      <c r="D985" t="s">
        <v>0</v>
      </c>
      <c r="E985">
        <v>1715</v>
      </c>
      <c r="F985" t="s">
        <v>575</v>
      </c>
      <c r="G985" t="s">
        <v>576</v>
      </c>
      <c r="H985" s="3">
        <v>0</v>
      </c>
      <c r="I985" s="3">
        <v>0</v>
      </c>
      <c r="J985" s="3">
        <v>0</v>
      </c>
      <c r="K985" s="3">
        <v>32.08</v>
      </c>
      <c r="L985" s="3">
        <v>0</v>
      </c>
      <c r="M985" s="3">
        <v>0</v>
      </c>
      <c r="N985" s="3">
        <v>0</v>
      </c>
      <c r="O985" s="3">
        <v>4.1703999999999999</v>
      </c>
      <c r="P985" s="3">
        <v>36.250399999999999</v>
      </c>
      <c r="Q985"/>
      <c r="R985" t="s">
        <v>8200</v>
      </c>
      <c r="S985" s="3" t="s">
        <v>8046</v>
      </c>
    </row>
    <row r="986" spans="1:20" hidden="1" x14ac:dyDescent="0.25">
      <c r="A986" t="s">
        <v>8126</v>
      </c>
      <c r="B986" t="s">
        <v>8152</v>
      </c>
      <c r="C986" t="s">
        <v>1</v>
      </c>
      <c r="D986" t="s">
        <v>0</v>
      </c>
      <c r="E986">
        <v>7822</v>
      </c>
      <c r="F986" t="s">
        <v>1200</v>
      </c>
      <c r="G986" t="s">
        <v>1201</v>
      </c>
      <c r="H986" s="3">
        <v>0</v>
      </c>
      <c r="I986" s="3">
        <v>0</v>
      </c>
      <c r="J986" s="3">
        <v>0</v>
      </c>
      <c r="K986" s="3">
        <v>5785.76</v>
      </c>
      <c r="L986" s="3">
        <v>0</v>
      </c>
      <c r="M986" s="3">
        <v>0</v>
      </c>
      <c r="N986" s="3">
        <v>0</v>
      </c>
      <c r="O986" s="3">
        <v>752.14880000000005</v>
      </c>
      <c r="P986" s="3">
        <v>6537.9088000000002</v>
      </c>
      <c r="Q986"/>
      <c r="R986" t="s">
        <v>8200</v>
      </c>
      <c r="S986" s="3" t="s">
        <v>8358</v>
      </c>
      <c r="T986" s="3">
        <v>57.87</v>
      </c>
    </row>
    <row r="987" spans="1:20" hidden="1" x14ac:dyDescent="0.25">
      <c r="A987" t="s">
        <v>8126</v>
      </c>
      <c r="B987" t="s">
        <v>8152</v>
      </c>
      <c r="C987" t="s">
        <v>1</v>
      </c>
      <c r="D987" t="s">
        <v>0</v>
      </c>
      <c r="E987">
        <v>8424</v>
      </c>
      <c r="F987" t="s">
        <v>1519</v>
      </c>
      <c r="G987" t="s">
        <v>1520</v>
      </c>
      <c r="H987" s="3">
        <v>0</v>
      </c>
      <c r="I987" s="3">
        <v>0</v>
      </c>
      <c r="J987" s="3">
        <v>0</v>
      </c>
      <c r="K987" s="3">
        <v>1493.11</v>
      </c>
      <c r="L987" s="3">
        <v>0</v>
      </c>
      <c r="M987" s="3">
        <v>0</v>
      </c>
      <c r="N987" s="3">
        <v>0</v>
      </c>
      <c r="O987" s="3">
        <v>194.10429999999999</v>
      </c>
      <c r="P987" s="3">
        <v>1687.2142999999999</v>
      </c>
      <c r="Q987"/>
      <c r="R987" t="s">
        <v>8200</v>
      </c>
      <c r="S987" s="3" t="s">
        <v>8341</v>
      </c>
      <c r="T987" s="3">
        <v>14.93</v>
      </c>
    </row>
    <row r="988" spans="1:20" hidden="1" x14ac:dyDescent="0.25">
      <c r="A988" t="s">
        <v>8126</v>
      </c>
      <c r="B988" t="s">
        <v>8152</v>
      </c>
      <c r="C988" t="s">
        <v>1</v>
      </c>
      <c r="D988" t="s">
        <v>0</v>
      </c>
      <c r="E988">
        <v>631462</v>
      </c>
      <c r="F988" t="s">
        <v>1576</v>
      </c>
      <c r="G988" t="s">
        <v>1577</v>
      </c>
      <c r="H988" s="3">
        <v>0</v>
      </c>
      <c r="I988" s="3">
        <v>0</v>
      </c>
      <c r="J988" s="3">
        <v>0</v>
      </c>
      <c r="K988" s="3">
        <v>477.84</v>
      </c>
      <c r="L988" s="3">
        <v>0</v>
      </c>
      <c r="M988" s="3">
        <v>0</v>
      </c>
      <c r="N988" s="3">
        <v>0</v>
      </c>
      <c r="O988" s="3">
        <v>62.119199999999999</v>
      </c>
      <c r="P988" s="3">
        <v>539.95920000000001</v>
      </c>
      <c r="Q988"/>
      <c r="R988" t="s">
        <v>8200</v>
      </c>
      <c r="S988" s="3" t="s">
        <v>8345</v>
      </c>
      <c r="T988" s="3">
        <v>4.78</v>
      </c>
    </row>
    <row r="989" spans="1:20" hidden="1" x14ac:dyDescent="0.25">
      <c r="A989" t="s">
        <v>8126</v>
      </c>
      <c r="B989" t="s">
        <v>8152</v>
      </c>
      <c r="C989" t="s">
        <v>1</v>
      </c>
      <c r="D989" t="s">
        <v>0</v>
      </c>
      <c r="E989">
        <v>631409</v>
      </c>
      <c r="F989" t="s">
        <v>1576</v>
      </c>
      <c r="G989" t="s">
        <v>1577</v>
      </c>
      <c r="H989" s="3">
        <v>0</v>
      </c>
      <c r="I989" s="3">
        <v>0</v>
      </c>
      <c r="J989" s="3">
        <v>0</v>
      </c>
      <c r="K989" s="3">
        <v>224</v>
      </c>
      <c r="L989" s="3">
        <v>0</v>
      </c>
      <c r="M989" s="3">
        <v>0</v>
      </c>
      <c r="N989" s="3">
        <v>0</v>
      </c>
      <c r="O989" s="3">
        <v>29.12</v>
      </c>
      <c r="P989" s="3">
        <v>253.12</v>
      </c>
      <c r="Q989"/>
      <c r="R989" t="s">
        <v>8200</v>
      </c>
      <c r="S989" s="3" t="s">
        <v>8345</v>
      </c>
      <c r="T989" s="3">
        <v>2.2400000000000002</v>
      </c>
    </row>
    <row r="990" spans="1:20" hidden="1" x14ac:dyDescent="0.25">
      <c r="A990" t="s">
        <v>8126</v>
      </c>
      <c r="B990" t="s">
        <v>8153</v>
      </c>
      <c r="C990" t="s">
        <v>1</v>
      </c>
      <c r="D990" t="s">
        <v>0</v>
      </c>
      <c r="E990">
        <v>26546</v>
      </c>
      <c r="F990" t="s">
        <v>2256</v>
      </c>
      <c r="G990" t="s">
        <v>2257</v>
      </c>
      <c r="H990" s="3">
        <v>0</v>
      </c>
      <c r="I990" s="3">
        <v>0</v>
      </c>
      <c r="J990" s="3">
        <v>0</v>
      </c>
      <c r="K990" s="3">
        <v>325.2</v>
      </c>
      <c r="L990" s="3">
        <v>0</v>
      </c>
      <c r="M990" s="3">
        <v>0</v>
      </c>
      <c r="N990" s="3">
        <v>0</v>
      </c>
      <c r="O990" s="3">
        <v>42.276000000000003</v>
      </c>
      <c r="P990" s="3">
        <v>367.476</v>
      </c>
      <c r="Q990"/>
      <c r="R990" t="s">
        <v>8200</v>
      </c>
      <c r="S990" s="3" t="s">
        <v>8345</v>
      </c>
      <c r="T990" s="3">
        <v>3.25</v>
      </c>
    </row>
    <row r="991" spans="1:20" hidden="1" x14ac:dyDescent="0.25">
      <c r="A991" t="s">
        <v>8126</v>
      </c>
      <c r="B991" t="s">
        <v>8153</v>
      </c>
      <c r="C991" t="s">
        <v>1</v>
      </c>
      <c r="D991" t="s">
        <v>0</v>
      </c>
      <c r="E991">
        <v>26553</v>
      </c>
      <c r="F991" t="s">
        <v>2256</v>
      </c>
      <c r="G991" t="s">
        <v>2257</v>
      </c>
      <c r="H991" s="3">
        <v>0</v>
      </c>
      <c r="I991" s="3">
        <v>0</v>
      </c>
      <c r="J991" s="3">
        <v>0</v>
      </c>
      <c r="K991" s="3">
        <v>232.16</v>
      </c>
      <c r="L991" s="3">
        <v>0</v>
      </c>
      <c r="M991" s="3">
        <v>0</v>
      </c>
      <c r="N991" s="3">
        <v>0</v>
      </c>
      <c r="O991" s="3">
        <v>30.180800000000001</v>
      </c>
      <c r="P991" s="3">
        <v>262.3408</v>
      </c>
      <c r="Q991"/>
      <c r="R991" t="s">
        <v>8200</v>
      </c>
      <c r="S991" s="3" t="s">
        <v>8345</v>
      </c>
      <c r="T991" s="3">
        <v>2.3199999999999998</v>
      </c>
    </row>
    <row r="992" spans="1:20" hidden="1" x14ac:dyDescent="0.25">
      <c r="A992" t="s">
        <v>8126</v>
      </c>
      <c r="B992" t="s">
        <v>8153</v>
      </c>
      <c r="C992" t="s">
        <v>1</v>
      </c>
      <c r="D992" t="s">
        <v>0</v>
      </c>
      <c r="E992">
        <v>2691</v>
      </c>
      <c r="F992" t="s">
        <v>8350</v>
      </c>
      <c r="G992" t="s">
        <v>8351</v>
      </c>
      <c r="H992" s="3">
        <v>0</v>
      </c>
      <c r="I992" s="3">
        <v>0</v>
      </c>
      <c r="J992" s="3">
        <v>0</v>
      </c>
      <c r="K992" s="3">
        <v>66.75</v>
      </c>
      <c r="L992" s="3">
        <v>0</v>
      </c>
      <c r="M992" s="3">
        <v>0</v>
      </c>
      <c r="N992" s="3">
        <v>0</v>
      </c>
      <c r="O992" s="3">
        <v>8.6775000000000002</v>
      </c>
      <c r="P992" s="3">
        <v>75.427499999999995</v>
      </c>
      <c r="Q992"/>
      <c r="R992" t="s">
        <v>8200</v>
      </c>
      <c r="S992" s="3" t="s">
        <v>8046</v>
      </c>
    </row>
    <row r="993" spans="1:20" hidden="1" x14ac:dyDescent="0.25">
      <c r="A993" t="s">
        <v>8126</v>
      </c>
      <c r="B993" t="s">
        <v>8153</v>
      </c>
      <c r="C993" t="s">
        <v>1</v>
      </c>
      <c r="D993" t="s">
        <v>0</v>
      </c>
      <c r="E993">
        <v>7858</v>
      </c>
      <c r="F993" t="s">
        <v>1522</v>
      </c>
      <c r="G993" t="s">
        <v>1523</v>
      </c>
      <c r="H993" s="3">
        <v>2.39</v>
      </c>
      <c r="I993" s="3">
        <v>0</v>
      </c>
      <c r="J993" s="3">
        <v>0</v>
      </c>
      <c r="K993" s="3">
        <v>24.43</v>
      </c>
      <c r="L993" s="3">
        <v>0</v>
      </c>
      <c r="M993" s="3">
        <v>0</v>
      </c>
      <c r="N993" s="3">
        <v>0</v>
      </c>
      <c r="O993" s="3">
        <v>3.1758999999999999</v>
      </c>
      <c r="P993" s="3">
        <v>29.995899999999999</v>
      </c>
      <c r="Q993"/>
      <c r="R993" t="s">
        <v>8200</v>
      </c>
      <c r="S993" s="3" t="s">
        <v>8046</v>
      </c>
    </row>
    <row r="994" spans="1:20" hidden="1" x14ac:dyDescent="0.25">
      <c r="A994" t="s">
        <v>8126</v>
      </c>
      <c r="B994" t="s">
        <v>8153</v>
      </c>
      <c r="C994" t="s">
        <v>1</v>
      </c>
      <c r="D994" t="s">
        <v>0</v>
      </c>
      <c r="E994">
        <v>166</v>
      </c>
      <c r="F994" t="s">
        <v>8306</v>
      </c>
      <c r="G994" t="s">
        <v>8307</v>
      </c>
      <c r="H994" s="3">
        <v>0</v>
      </c>
      <c r="I994" s="3">
        <v>0</v>
      </c>
      <c r="J994" s="3">
        <v>0</v>
      </c>
      <c r="K994" s="3">
        <v>1553.1</v>
      </c>
      <c r="L994" s="3">
        <v>0</v>
      </c>
      <c r="M994" s="3">
        <v>0</v>
      </c>
      <c r="N994" s="3">
        <v>0</v>
      </c>
      <c r="O994" s="3">
        <v>201.90299999999999</v>
      </c>
      <c r="P994" s="3">
        <v>1755.0029999999999</v>
      </c>
      <c r="Q994"/>
      <c r="R994" t="s">
        <v>8200</v>
      </c>
      <c r="S994" s="3" t="s">
        <v>8046</v>
      </c>
    </row>
    <row r="995" spans="1:20" hidden="1" x14ac:dyDescent="0.25">
      <c r="A995" t="s">
        <v>8126</v>
      </c>
      <c r="B995" t="s">
        <v>8153</v>
      </c>
      <c r="C995" t="s">
        <v>1</v>
      </c>
      <c r="D995" t="s">
        <v>0</v>
      </c>
      <c r="E995">
        <v>1704</v>
      </c>
      <c r="F995" t="s">
        <v>575</v>
      </c>
      <c r="G995" t="s">
        <v>576</v>
      </c>
      <c r="H995" s="3">
        <v>0</v>
      </c>
      <c r="I995" s="3">
        <v>0</v>
      </c>
      <c r="J995" s="3">
        <v>0</v>
      </c>
      <c r="K995" s="3">
        <v>39.82</v>
      </c>
      <c r="L995" s="3">
        <v>0</v>
      </c>
      <c r="M995" s="3">
        <v>0</v>
      </c>
      <c r="N995" s="3">
        <v>0</v>
      </c>
      <c r="O995" s="3">
        <v>5.1766000000000005</v>
      </c>
      <c r="P995" s="3">
        <v>44.996600000000001</v>
      </c>
      <c r="Q995"/>
      <c r="R995" t="s">
        <v>8200</v>
      </c>
      <c r="S995" s="3" t="s">
        <v>8046</v>
      </c>
    </row>
    <row r="996" spans="1:20" hidden="1" x14ac:dyDescent="0.25">
      <c r="A996" t="s">
        <v>8126</v>
      </c>
      <c r="B996" t="s">
        <v>8153</v>
      </c>
      <c r="C996" t="s">
        <v>1</v>
      </c>
      <c r="D996" t="s">
        <v>0</v>
      </c>
      <c r="E996">
        <v>1701</v>
      </c>
      <c r="F996" t="s">
        <v>575</v>
      </c>
      <c r="G996" t="s">
        <v>576</v>
      </c>
      <c r="H996" s="3">
        <v>0</v>
      </c>
      <c r="I996" s="3">
        <v>0</v>
      </c>
      <c r="J996" s="3">
        <v>0</v>
      </c>
      <c r="K996" s="3">
        <v>79.650000000000006</v>
      </c>
      <c r="L996" s="3">
        <v>0</v>
      </c>
      <c r="M996" s="3">
        <v>0</v>
      </c>
      <c r="N996" s="3">
        <v>0</v>
      </c>
      <c r="O996" s="3">
        <v>10.354500000000002</v>
      </c>
      <c r="P996" s="3">
        <v>90.004500000000007</v>
      </c>
      <c r="Q996"/>
      <c r="R996" t="s">
        <v>8200</v>
      </c>
      <c r="S996" s="3" t="s">
        <v>8046</v>
      </c>
    </row>
    <row r="997" spans="1:20" hidden="1" x14ac:dyDescent="0.25">
      <c r="A997" t="s">
        <v>8126</v>
      </c>
      <c r="B997" t="s">
        <v>8153</v>
      </c>
      <c r="C997" t="s">
        <v>1</v>
      </c>
      <c r="D997" t="s">
        <v>0</v>
      </c>
      <c r="E997">
        <v>1702</v>
      </c>
      <c r="F997" t="s">
        <v>575</v>
      </c>
      <c r="G997" t="s">
        <v>576</v>
      </c>
      <c r="H997" s="3">
        <v>0</v>
      </c>
      <c r="I997" s="3">
        <v>0</v>
      </c>
      <c r="J997" s="3">
        <v>0</v>
      </c>
      <c r="K997" s="3">
        <v>79.650000000000006</v>
      </c>
      <c r="L997" s="3">
        <v>0</v>
      </c>
      <c r="M997" s="3">
        <v>0</v>
      </c>
      <c r="N997" s="3">
        <v>0</v>
      </c>
      <c r="O997" s="3">
        <v>10.354500000000002</v>
      </c>
      <c r="P997" s="3">
        <v>90.004500000000007</v>
      </c>
      <c r="Q997"/>
      <c r="R997" t="s">
        <v>8200</v>
      </c>
      <c r="S997" s="3" t="s">
        <v>8046</v>
      </c>
    </row>
    <row r="998" spans="1:20" hidden="1" x14ac:dyDescent="0.25">
      <c r="A998" t="s">
        <v>8126</v>
      </c>
      <c r="B998" t="s">
        <v>8153</v>
      </c>
      <c r="C998" t="s">
        <v>1</v>
      </c>
      <c r="D998" t="s">
        <v>0</v>
      </c>
      <c r="E998">
        <v>1703</v>
      </c>
      <c r="F998" t="s">
        <v>575</v>
      </c>
      <c r="G998" t="s">
        <v>576</v>
      </c>
      <c r="H998" s="3">
        <v>0</v>
      </c>
      <c r="I998" s="3">
        <v>0</v>
      </c>
      <c r="J998" s="3">
        <v>0</v>
      </c>
      <c r="K998" s="3">
        <v>67.3</v>
      </c>
      <c r="L998" s="3">
        <v>0</v>
      </c>
      <c r="M998" s="3">
        <v>0</v>
      </c>
      <c r="N998" s="3">
        <v>0</v>
      </c>
      <c r="O998" s="3">
        <v>8.7490000000000006</v>
      </c>
      <c r="P998" s="3">
        <v>76.048999999999992</v>
      </c>
      <c r="Q998"/>
      <c r="R998" t="s">
        <v>8200</v>
      </c>
      <c r="S998" s="3" t="s">
        <v>8046</v>
      </c>
    </row>
    <row r="999" spans="1:20" hidden="1" x14ac:dyDescent="0.25">
      <c r="A999" t="s">
        <v>8126</v>
      </c>
      <c r="B999" t="s">
        <v>8153</v>
      </c>
      <c r="C999" t="s">
        <v>1</v>
      </c>
      <c r="D999" t="s">
        <v>0</v>
      </c>
      <c r="E999">
        <v>3456</v>
      </c>
      <c r="F999" t="s">
        <v>8361</v>
      </c>
      <c r="G999" t="s">
        <v>8362</v>
      </c>
      <c r="H999" s="3">
        <v>0</v>
      </c>
      <c r="I999" s="3">
        <v>0</v>
      </c>
      <c r="J999" s="3">
        <v>0</v>
      </c>
      <c r="K999" s="3">
        <v>442.48</v>
      </c>
      <c r="L999" s="3">
        <v>0</v>
      </c>
      <c r="M999" s="3">
        <v>0</v>
      </c>
      <c r="N999" s="3">
        <v>0</v>
      </c>
      <c r="O999" s="3">
        <v>57.522400000000005</v>
      </c>
      <c r="P999" s="3">
        <v>500.00240000000002</v>
      </c>
      <c r="Q999"/>
      <c r="R999" t="s">
        <v>8200</v>
      </c>
      <c r="S999" s="3" t="s">
        <v>8046</v>
      </c>
    </row>
    <row r="1000" spans="1:20" hidden="1" x14ac:dyDescent="0.25">
      <c r="A1000" t="s">
        <v>8126</v>
      </c>
      <c r="B1000" t="s">
        <v>8153</v>
      </c>
      <c r="C1000" t="s">
        <v>1</v>
      </c>
      <c r="D1000" t="s">
        <v>0</v>
      </c>
      <c r="E1000">
        <v>9008</v>
      </c>
      <c r="F1000" t="s">
        <v>2635</v>
      </c>
      <c r="G1000" t="s">
        <v>2636</v>
      </c>
      <c r="H1000" s="3">
        <v>0</v>
      </c>
      <c r="I1000" s="3">
        <v>0</v>
      </c>
      <c r="J1000" s="3">
        <v>0</v>
      </c>
      <c r="K1000" s="3">
        <v>290.70999999999998</v>
      </c>
      <c r="L1000" s="3">
        <v>0</v>
      </c>
      <c r="M1000" s="3">
        <v>0</v>
      </c>
      <c r="N1000" s="3">
        <v>0</v>
      </c>
      <c r="O1000" s="3">
        <v>37.792299999999997</v>
      </c>
      <c r="P1000" s="3">
        <v>328.50229999999999</v>
      </c>
      <c r="Q1000"/>
      <c r="R1000" t="s">
        <v>8200</v>
      </c>
      <c r="S1000" s="3" t="s">
        <v>8345</v>
      </c>
      <c r="T1000" s="3">
        <v>2.91</v>
      </c>
    </row>
    <row r="1001" spans="1:20" hidden="1" x14ac:dyDescent="0.25">
      <c r="A1001" t="s">
        <v>8126</v>
      </c>
      <c r="B1001" t="s">
        <v>8153</v>
      </c>
      <c r="C1001" t="s">
        <v>1</v>
      </c>
      <c r="D1001" t="s">
        <v>0</v>
      </c>
      <c r="E1001">
        <v>6243</v>
      </c>
      <c r="F1001" t="s">
        <v>2635</v>
      </c>
      <c r="G1001" t="s">
        <v>2636</v>
      </c>
      <c r="H1001" s="3">
        <v>0</v>
      </c>
      <c r="I1001" s="3">
        <v>0</v>
      </c>
      <c r="J1001" s="3">
        <v>0</v>
      </c>
      <c r="K1001" s="3">
        <v>199.12</v>
      </c>
      <c r="L1001" s="3">
        <v>0</v>
      </c>
      <c r="M1001" s="3">
        <v>0</v>
      </c>
      <c r="N1001" s="3">
        <v>0</v>
      </c>
      <c r="O1001" s="3">
        <v>25.8856</v>
      </c>
      <c r="P1001" s="3">
        <v>225.00560000000002</v>
      </c>
      <c r="Q1001"/>
      <c r="R1001" t="s">
        <v>8200</v>
      </c>
      <c r="S1001" s="3" t="s">
        <v>8345</v>
      </c>
      <c r="T1001" s="3">
        <v>1.99</v>
      </c>
    </row>
    <row r="1002" spans="1:20" hidden="1" x14ac:dyDescent="0.25">
      <c r="A1002" t="s">
        <v>8126</v>
      </c>
      <c r="B1002" t="s">
        <v>8153</v>
      </c>
      <c r="C1002" t="s">
        <v>1</v>
      </c>
      <c r="D1002" t="s">
        <v>0</v>
      </c>
      <c r="E1002">
        <v>6031</v>
      </c>
      <c r="F1002" t="s">
        <v>1778</v>
      </c>
      <c r="G1002" t="s">
        <v>1779</v>
      </c>
      <c r="H1002" s="3">
        <v>0</v>
      </c>
      <c r="I1002" s="3">
        <v>0</v>
      </c>
      <c r="J1002" s="3">
        <v>0</v>
      </c>
      <c r="K1002" s="3">
        <v>1133</v>
      </c>
      <c r="L1002" s="3">
        <v>0</v>
      </c>
      <c r="M1002" s="3">
        <v>0</v>
      </c>
      <c r="N1002" s="3">
        <v>0</v>
      </c>
      <c r="O1002" s="3">
        <v>147.29</v>
      </c>
      <c r="P1002" s="3">
        <v>1280.29</v>
      </c>
      <c r="Q1002"/>
      <c r="R1002" t="s">
        <v>8200</v>
      </c>
      <c r="S1002" s="3" t="s">
        <v>8341</v>
      </c>
      <c r="T1002" s="3">
        <v>11.33</v>
      </c>
    </row>
    <row r="1003" spans="1:20" hidden="1" x14ac:dyDescent="0.25">
      <c r="A1003" t="s">
        <v>8126</v>
      </c>
      <c r="B1003" t="s">
        <v>8153</v>
      </c>
      <c r="C1003" t="s">
        <v>1</v>
      </c>
      <c r="D1003" t="s">
        <v>0</v>
      </c>
      <c r="E1003">
        <v>966051</v>
      </c>
      <c r="F1003" t="s">
        <v>2440</v>
      </c>
      <c r="G1003" t="s">
        <v>2441</v>
      </c>
      <c r="H1003" s="3">
        <v>0</v>
      </c>
      <c r="I1003" s="3">
        <v>0</v>
      </c>
      <c r="J1003" s="3">
        <v>0</v>
      </c>
      <c r="K1003" s="3">
        <v>709.2</v>
      </c>
      <c r="L1003" s="3">
        <v>0</v>
      </c>
      <c r="M1003" s="3">
        <v>0</v>
      </c>
      <c r="N1003" s="3">
        <v>0</v>
      </c>
      <c r="O1003" s="3">
        <v>92.196000000000012</v>
      </c>
      <c r="P1003" s="3">
        <v>801.39600000000007</v>
      </c>
      <c r="Q1003"/>
      <c r="R1003" t="s">
        <v>8200</v>
      </c>
      <c r="S1003" s="3" t="s">
        <v>8359</v>
      </c>
      <c r="T1003" s="3">
        <v>7.09</v>
      </c>
    </row>
    <row r="1004" spans="1:20" hidden="1" x14ac:dyDescent="0.25">
      <c r="A1004" t="s">
        <v>8126</v>
      </c>
      <c r="B1004" t="s">
        <v>8153</v>
      </c>
      <c r="C1004" t="s">
        <v>1</v>
      </c>
      <c r="D1004" t="s">
        <v>0</v>
      </c>
      <c r="E1004">
        <v>966061</v>
      </c>
      <c r="F1004" t="s">
        <v>2440</v>
      </c>
      <c r="G1004" t="s">
        <v>2441</v>
      </c>
      <c r="H1004" s="3">
        <v>0</v>
      </c>
      <c r="I1004" s="3">
        <v>0</v>
      </c>
      <c r="J1004" s="3">
        <v>0</v>
      </c>
      <c r="K1004" s="3">
        <v>1121.49</v>
      </c>
      <c r="L1004" s="3">
        <v>0</v>
      </c>
      <c r="M1004" s="3">
        <v>0</v>
      </c>
      <c r="N1004" s="3">
        <v>0</v>
      </c>
      <c r="O1004" s="3">
        <v>145.7937</v>
      </c>
      <c r="P1004" s="3">
        <v>1267.2837</v>
      </c>
      <c r="Q1004"/>
      <c r="R1004" t="s">
        <v>8200</v>
      </c>
      <c r="S1004" s="3" t="s">
        <v>8359</v>
      </c>
      <c r="T1004" s="3">
        <v>11.21</v>
      </c>
    </row>
    <row r="1005" spans="1:20" hidden="1" x14ac:dyDescent="0.25">
      <c r="A1005" t="s">
        <v>8126</v>
      </c>
      <c r="B1005" t="s">
        <v>8141</v>
      </c>
      <c r="C1005" t="s">
        <v>1</v>
      </c>
      <c r="D1005" t="s">
        <v>0</v>
      </c>
      <c r="E1005">
        <v>2659</v>
      </c>
      <c r="F1005" t="s">
        <v>8350</v>
      </c>
      <c r="G1005" t="s">
        <v>8351</v>
      </c>
      <c r="H1005" s="3">
        <v>0</v>
      </c>
      <c r="I1005" s="3">
        <v>0</v>
      </c>
      <c r="J1005" s="3">
        <v>0</v>
      </c>
      <c r="K1005" s="3">
        <v>320.97000000000003</v>
      </c>
      <c r="L1005" s="3">
        <v>0</v>
      </c>
      <c r="M1005" s="3">
        <v>0</v>
      </c>
      <c r="N1005" s="3">
        <v>0</v>
      </c>
      <c r="O1005" s="3">
        <v>41.726100000000002</v>
      </c>
      <c r="P1005" s="3">
        <v>362.6961</v>
      </c>
      <c r="Q1005"/>
      <c r="R1005" t="s">
        <v>8200</v>
      </c>
      <c r="S1005" s="3" t="s">
        <v>8046</v>
      </c>
    </row>
    <row r="1006" spans="1:20" hidden="1" x14ac:dyDescent="0.25">
      <c r="A1006" t="s">
        <v>8126</v>
      </c>
      <c r="B1006" t="s">
        <v>8141</v>
      </c>
      <c r="C1006" t="s">
        <v>1</v>
      </c>
      <c r="D1006" t="s">
        <v>0</v>
      </c>
      <c r="E1006">
        <v>25285</v>
      </c>
      <c r="F1006" t="s">
        <v>3120</v>
      </c>
      <c r="G1006" t="s">
        <v>3121</v>
      </c>
      <c r="H1006" s="3">
        <v>0</v>
      </c>
      <c r="I1006" s="3">
        <v>0</v>
      </c>
      <c r="J1006" s="3">
        <v>0</v>
      </c>
      <c r="K1006" s="3">
        <v>509.84</v>
      </c>
      <c r="L1006" s="3">
        <v>0</v>
      </c>
      <c r="M1006" s="3">
        <v>0</v>
      </c>
      <c r="N1006" s="3">
        <v>0</v>
      </c>
      <c r="O1006" s="3">
        <v>66.279200000000003</v>
      </c>
      <c r="P1006" s="3">
        <v>576.11919999999998</v>
      </c>
      <c r="Q1006"/>
      <c r="R1006" t="s">
        <v>8200</v>
      </c>
      <c r="S1006" s="3" t="s">
        <v>8341</v>
      </c>
      <c r="T1006" s="3">
        <v>5.0999999999999996</v>
      </c>
    </row>
    <row r="1007" spans="1:20" hidden="1" x14ac:dyDescent="0.25">
      <c r="A1007" t="s">
        <v>8126</v>
      </c>
      <c r="B1007" t="s">
        <v>8141</v>
      </c>
      <c r="C1007" t="s">
        <v>1</v>
      </c>
      <c r="D1007" t="s">
        <v>0</v>
      </c>
      <c r="E1007">
        <v>1247</v>
      </c>
      <c r="F1007" t="s">
        <v>131</v>
      </c>
      <c r="G1007" t="s">
        <v>132</v>
      </c>
      <c r="H1007" s="3">
        <v>0</v>
      </c>
      <c r="I1007" s="3">
        <v>0</v>
      </c>
      <c r="J1007" s="3">
        <v>0</v>
      </c>
      <c r="K1007" s="3">
        <v>1070.5</v>
      </c>
      <c r="L1007" s="3">
        <v>0</v>
      </c>
      <c r="M1007" s="3">
        <v>0</v>
      </c>
      <c r="N1007" s="3">
        <v>0</v>
      </c>
      <c r="O1007" s="3">
        <v>139.16499999999999</v>
      </c>
      <c r="P1007" s="3">
        <v>1209.665</v>
      </c>
      <c r="Q1007"/>
      <c r="R1007" t="s">
        <v>8200</v>
      </c>
      <c r="S1007" s="3" t="s">
        <v>8046</v>
      </c>
    </row>
    <row r="1008" spans="1:20" hidden="1" x14ac:dyDescent="0.25">
      <c r="A1008" t="s">
        <v>8126</v>
      </c>
      <c r="B1008" t="s">
        <v>8141</v>
      </c>
      <c r="C1008" t="s">
        <v>1</v>
      </c>
      <c r="D1008" t="s">
        <v>0</v>
      </c>
      <c r="E1008">
        <v>3431</v>
      </c>
      <c r="F1008" t="s">
        <v>8361</v>
      </c>
      <c r="G1008" t="s">
        <v>8362</v>
      </c>
      <c r="H1008" s="3">
        <v>0</v>
      </c>
      <c r="I1008" s="3">
        <v>0</v>
      </c>
      <c r="J1008" s="3">
        <v>0</v>
      </c>
      <c r="K1008" s="3">
        <v>221.24</v>
      </c>
      <c r="L1008" s="3">
        <v>0</v>
      </c>
      <c r="M1008" s="3">
        <v>0</v>
      </c>
      <c r="N1008" s="3">
        <v>0</v>
      </c>
      <c r="O1008" s="3">
        <v>28.761200000000002</v>
      </c>
      <c r="P1008" s="3">
        <v>250.00120000000001</v>
      </c>
      <c r="Q1008"/>
      <c r="R1008" t="s">
        <v>8200</v>
      </c>
      <c r="S1008" s="3" t="s">
        <v>8046</v>
      </c>
    </row>
    <row r="1009" spans="1:20" hidden="1" x14ac:dyDescent="0.25">
      <c r="A1009" t="s">
        <v>8126</v>
      </c>
      <c r="B1009" t="s">
        <v>8141</v>
      </c>
      <c r="C1009" t="s">
        <v>1</v>
      </c>
      <c r="D1009" t="s">
        <v>0</v>
      </c>
      <c r="E1009">
        <v>11</v>
      </c>
      <c r="F1009" t="s">
        <v>8368</v>
      </c>
      <c r="G1009" t="s">
        <v>8369</v>
      </c>
      <c r="H1009" s="3">
        <v>0</v>
      </c>
      <c r="I1009" s="3">
        <v>0</v>
      </c>
      <c r="J1009" s="3">
        <v>0</v>
      </c>
      <c r="K1009" s="3">
        <v>75.22</v>
      </c>
      <c r="L1009" s="3">
        <v>0</v>
      </c>
      <c r="M1009" s="3">
        <v>0</v>
      </c>
      <c r="N1009" s="3">
        <v>0</v>
      </c>
      <c r="O1009" s="3">
        <v>9.7786000000000008</v>
      </c>
      <c r="P1009" s="3">
        <v>84.998599999999996</v>
      </c>
      <c r="Q1009"/>
      <c r="R1009" t="s">
        <v>8200</v>
      </c>
      <c r="S1009" s="3" t="s">
        <v>8046</v>
      </c>
    </row>
    <row r="1010" spans="1:20" hidden="1" x14ac:dyDescent="0.25">
      <c r="A1010" t="s">
        <v>8126</v>
      </c>
      <c r="B1010" t="s">
        <v>8141</v>
      </c>
      <c r="C1010" t="s">
        <v>1</v>
      </c>
      <c r="D1010" t="s">
        <v>0</v>
      </c>
      <c r="E1010">
        <v>8268</v>
      </c>
      <c r="F1010" t="s">
        <v>1565</v>
      </c>
      <c r="G1010" t="s">
        <v>1566</v>
      </c>
      <c r="H1010" s="3">
        <v>0</v>
      </c>
      <c r="I1010" s="3">
        <v>0</v>
      </c>
      <c r="J1010" s="3">
        <v>0</v>
      </c>
      <c r="K1010" s="3">
        <v>367.5</v>
      </c>
      <c r="L1010" s="3">
        <v>0</v>
      </c>
      <c r="M1010" s="3">
        <v>0</v>
      </c>
      <c r="N1010" s="3">
        <v>0</v>
      </c>
      <c r="O1010" s="3">
        <v>47.774999999999999</v>
      </c>
      <c r="P1010" s="3">
        <v>415.27499999999998</v>
      </c>
      <c r="Q1010"/>
      <c r="R1010" t="s">
        <v>8200</v>
      </c>
      <c r="S1010" s="3" t="s">
        <v>8046</v>
      </c>
    </row>
    <row r="1011" spans="1:20" hidden="1" x14ac:dyDescent="0.25">
      <c r="A1011" t="s">
        <v>8126</v>
      </c>
      <c r="B1011" t="s">
        <v>8141</v>
      </c>
      <c r="C1011" t="s">
        <v>1</v>
      </c>
      <c r="D1011" t="s">
        <v>0</v>
      </c>
      <c r="E1011">
        <v>134949</v>
      </c>
      <c r="F1011" t="s">
        <v>1620</v>
      </c>
      <c r="G1011" t="s">
        <v>1621</v>
      </c>
      <c r="H1011" s="3">
        <v>2.8499999999999996</v>
      </c>
      <c r="I1011" s="3">
        <v>0</v>
      </c>
      <c r="J1011" s="3">
        <v>0</v>
      </c>
      <c r="K1011" s="3">
        <v>29.34</v>
      </c>
      <c r="L1011" s="3">
        <v>0</v>
      </c>
      <c r="M1011" s="3">
        <v>0</v>
      </c>
      <c r="N1011" s="3">
        <v>0</v>
      </c>
      <c r="O1011" s="3">
        <v>3.8142</v>
      </c>
      <c r="P1011" s="3">
        <v>36.004199999999997</v>
      </c>
      <c r="Q1011"/>
      <c r="R1011" t="s">
        <v>8200</v>
      </c>
      <c r="S1011" s="3" t="s">
        <v>8046</v>
      </c>
    </row>
    <row r="1012" spans="1:20" hidden="1" x14ac:dyDescent="0.25">
      <c r="A1012" t="s">
        <v>8126</v>
      </c>
      <c r="B1012" t="s">
        <v>8141</v>
      </c>
      <c r="C1012" t="s">
        <v>1</v>
      </c>
      <c r="D1012" t="s">
        <v>0</v>
      </c>
      <c r="E1012">
        <v>853</v>
      </c>
      <c r="F1012" t="s">
        <v>1457</v>
      </c>
      <c r="G1012" t="s">
        <v>1458</v>
      </c>
      <c r="H1012" s="3">
        <v>0</v>
      </c>
      <c r="I1012" s="3">
        <v>0</v>
      </c>
      <c r="J1012" s="3">
        <v>0</v>
      </c>
      <c r="K1012" s="3">
        <v>150.12</v>
      </c>
      <c r="L1012" s="3">
        <v>0</v>
      </c>
      <c r="M1012" s="3">
        <v>0</v>
      </c>
      <c r="N1012" s="3">
        <v>0</v>
      </c>
      <c r="O1012" s="3">
        <v>19.515600000000003</v>
      </c>
      <c r="P1012" s="3">
        <v>169.63560000000001</v>
      </c>
      <c r="Q1012"/>
      <c r="R1012" t="s">
        <v>8200</v>
      </c>
      <c r="S1012" s="3" t="s">
        <v>8046</v>
      </c>
    </row>
    <row r="1013" spans="1:20" hidden="1" x14ac:dyDescent="0.25">
      <c r="A1013" t="s">
        <v>8126</v>
      </c>
      <c r="B1013" t="s">
        <v>8141</v>
      </c>
      <c r="C1013" t="s">
        <v>1</v>
      </c>
      <c r="D1013" t="s">
        <v>0</v>
      </c>
      <c r="E1013">
        <v>292699</v>
      </c>
      <c r="F1013" t="s">
        <v>3344</v>
      </c>
      <c r="G1013" t="s">
        <v>1635</v>
      </c>
      <c r="H1013" s="3">
        <v>0</v>
      </c>
      <c r="I1013" s="3">
        <v>0</v>
      </c>
      <c r="J1013" s="3">
        <v>0</v>
      </c>
      <c r="K1013" s="3">
        <v>260.49</v>
      </c>
      <c r="L1013" s="3">
        <v>0</v>
      </c>
      <c r="M1013" s="3">
        <v>0</v>
      </c>
      <c r="N1013" s="3">
        <v>0</v>
      </c>
      <c r="O1013" s="3">
        <v>33.863700000000001</v>
      </c>
      <c r="P1013" s="3">
        <v>294.3537</v>
      </c>
      <c r="Q1013"/>
      <c r="R1013" t="s">
        <v>8200</v>
      </c>
      <c r="S1013" s="3" t="s">
        <v>8046</v>
      </c>
    </row>
    <row r="1014" spans="1:20" hidden="1" x14ac:dyDescent="0.25">
      <c r="A1014" t="s">
        <v>8126</v>
      </c>
      <c r="B1014" t="s">
        <v>8141</v>
      </c>
      <c r="C1014" t="s">
        <v>1</v>
      </c>
      <c r="D1014" t="s">
        <v>0</v>
      </c>
      <c r="E1014">
        <v>622492</v>
      </c>
      <c r="F1014" t="s">
        <v>1576</v>
      </c>
      <c r="G1014" t="s">
        <v>1577</v>
      </c>
      <c r="H1014" s="3">
        <v>0</v>
      </c>
      <c r="I1014" s="3">
        <v>0</v>
      </c>
      <c r="J1014" s="3">
        <v>0</v>
      </c>
      <c r="K1014" s="3">
        <v>198.48</v>
      </c>
      <c r="L1014" s="3">
        <v>0</v>
      </c>
      <c r="M1014" s="3">
        <v>0</v>
      </c>
      <c r="N1014" s="3">
        <v>0</v>
      </c>
      <c r="O1014" s="3">
        <v>25.802399999999999</v>
      </c>
      <c r="P1014" s="3">
        <v>224.2824</v>
      </c>
      <c r="Q1014"/>
      <c r="R1014" t="s">
        <v>8200</v>
      </c>
      <c r="S1014" s="3" t="s">
        <v>8345</v>
      </c>
      <c r="T1014" s="3">
        <v>1.98</v>
      </c>
    </row>
    <row r="1015" spans="1:20" hidden="1" x14ac:dyDescent="0.25">
      <c r="A1015" t="s">
        <v>8126</v>
      </c>
      <c r="B1015" s="33" t="s">
        <v>8154</v>
      </c>
      <c r="C1015" t="s">
        <v>1</v>
      </c>
      <c r="D1015" t="s">
        <v>0</v>
      </c>
      <c r="E1015">
        <v>342</v>
      </c>
      <c r="F1015" t="s">
        <v>7846</v>
      </c>
      <c r="G1015" t="s">
        <v>7847</v>
      </c>
      <c r="H1015" s="3">
        <v>0</v>
      </c>
      <c r="I1015" s="3">
        <v>0</v>
      </c>
      <c r="J1015" s="3">
        <v>0</v>
      </c>
      <c r="K1015" s="3">
        <v>88.5</v>
      </c>
      <c r="L1015" s="3">
        <v>0</v>
      </c>
      <c r="M1015" s="3">
        <v>0</v>
      </c>
      <c r="N1015" s="3">
        <v>0</v>
      </c>
      <c r="O1015" s="3">
        <v>11.505000000000001</v>
      </c>
      <c r="P1015" s="3">
        <v>100.005</v>
      </c>
      <c r="Q1015"/>
      <c r="R1015" t="s">
        <v>8200</v>
      </c>
      <c r="S1015" s="3" t="s">
        <v>8046</v>
      </c>
    </row>
    <row r="1016" spans="1:20" hidden="1" x14ac:dyDescent="0.25">
      <c r="A1016" t="s">
        <v>8126</v>
      </c>
      <c r="B1016" s="33" t="s">
        <v>8154</v>
      </c>
      <c r="C1016" t="s">
        <v>1</v>
      </c>
      <c r="D1016" t="s">
        <v>0</v>
      </c>
      <c r="E1016">
        <v>7837</v>
      </c>
      <c r="F1016" t="s">
        <v>1678</v>
      </c>
      <c r="G1016" t="s">
        <v>1679</v>
      </c>
      <c r="H1016" s="3">
        <v>4.16</v>
      </c>
      <c r="I1016" s="3">
        <v>0</v>
      </c>
      <c r="J1016" s="3">
        <v>0</v>
      </c>
      <c r="K1016" s="3">
        <v>44.99</v>
      </c>
      <c r="L1016" s="3">
        <v>0</v>
      </c>
      <c r="M1016" s="3">
        <v>0</v>
      </c>
      <c r="N1016" s="3">
        <v>0</v>
      </c>
      <c r="O1016" s="3">
        <v>5.8487000000000009</v>
      </c>
      <c r="P1016" s="3">
        <v>54.998700000000007</v>
      </c>
      <c r="Q1016"/>
      <c r="R1016" t="s">
        <v>8200</v>
      </c>
      <c r="S1016" s="3" t="s">
        <v>8046</v>
      </c>
    </row>
    <row r="1017" spans="1:20" hidden="1" x14ac:dyDescent="0.25">
      <c r="A1017" t="s">
        <v>8126</v>
      </c>
      <c r="B1017" t="s">
        <v>8367</v>
      </c>
      <c r="C1017" t="s">
        <v>1</v>
      </c>
      <c r="D1017" t="s">
        <v>0</v>
      </c>
      <c r="E1017">
        <v>14354</v>
      </c>
      <c r="F1017" t="s">
        <v>1653</v>
      </c>
      <c r="G1017" t="s">
        <v>1654</v>
      </c>
      <c r="H1017" s="3">
        <v>2.19</v>
      </c>
      <c r="I1017" s="3">
        <v>0</v>
      </c>
      <c r="J1017" s="3">
        <v>0</v>
      </c>
      <c r="K1017" s="3">
        <v>20.190000000000001</v>
      </c>
      <c r="L1017" s="3">
        <v>0</v>
      </c>
      <c r="M1017" s="3">
        <v>0</v>
      </c>
      <c r="N1017" s="3">
        <v>0</v>
      </c>
      <c r="O1017" s="3">
        <v>2.6247000000000003</v>
      </c>
      <c r="P1017" s="3">
        <v>25.004700000000003</v>
      </c>
      <c r="Q1017"/>
      <c r="R1017" t="s">
        <v>8200</v>
      </c>
      <c r="S1017" s="3" t="s">
        <v>8046</v>
      </c>
    </row>
    <row r="1018" spans="1:20" hidden="1" x14ac:dyDescent="0.25">
      <c r="A1018" t="s">
        <v>8126</v>
      </c>
      <c r="B1018" t="s">
        <v>8367</v>
      </c>
      <c r="C1018" t="s">
        <v>1</v>
      </c>
      <c r="D1018" t="s">
        <v>0</v>
      </c>
      <c r="E1018">
        <v>1165</v>
      </c>
      <c r="F1018" t="s">
        <v>7902</v>
      </c>
      <c r="G1018" t="s">
        <v>7903</v>
      </c>
      <c r="H1018" s="3">
        <v>0</v>
      </c>
      <c r="I1018" s="3">
        <v>0</v>
      </c>
      <c r="J1018" s="3">
        <v>0</v>
      </c>
      <c r="K1018" s="3">
        <v>72.52</v>
      </c>
      <c r="L1018" s="3">
        <v>0</v>
      </c>
      <c r="M1018" s="3">
        <v>0</v>
      </c>
      <c r="N1018" s="3">
        <v>0</v>
      </c>
      <c r="O1018" s="3">
        <v>9.4276</v>
      </c>
      <c r="P1018" s="3">
        <v>81.947599999999994</v>
      </c>
      <c r="Q1018"/>
      <c r="R1018" t="s">
        <v>8200</v>
      </c>
      <c r="S1018" s="3" t="s">
        <v>8046</v>
      </c>
    </row>
    <row r="1019" spans="1:20" hidden="1" x14ac:dyDescent="0.25">
      <c r="A1019" t="s">
        <v>8126</v>
      </c>
      <c r="B1019" t="s">
        <v>8130</v>
      </c>
      <c r="C1019" t="s">
        <v>1</v>
      </c>
      <c r="D1019" t="s">
        <v>0</v>
      </c>
      <c r="E1019">
        <v>5713</v>
      </c>
      <c r="F1019" t="s">
        <v>1522</v>
      </c>
      <c r="G1019" t="s">
        <v>1523</v>
      </c>
      <c r="H1019" s="3">
        <v>2.82</v>
      </c>
      <c r="I1019" s="3">
        <v>0</v>
      </c>
      <c r="J1019" s="3">
        <v>0</v>
      </c>
      <c r="K1019" s="3">
        <v>24.05</v>
      </c>
      <c r="L1019" s="3">
        <v>0</v>
      </c>
      <c r="M1019" s="3">
        <v>0</v>
      </c>
      <c r="N1019" s="3">
        <v>0</v>
      </c>
      <c r="O1019" s="3">
        <v>3.1265000000000001</v>
      </c>
      <c r="P1019" s="3">
        <v>29.996500000000001</v>
      </c>
      <c r="Q1019"/>
      <c r="R1019" t="s">
        <v>8200</v>
      </c>
      <c r="S1019" s="3" t="s">
        <v>8046</v>
      </c>
      <c r="T1019" s="3">
        <v>0</v>
      </c>
    </row>
    <row r="1020" spans="1:20" hidden="1" x14ac:dyDescent="0.25">
      <c r="A1020" t="s">
        <v>8126</v>
      </c>
      <c r="B1020" t="s">
        <v>8130</v>
      </c>
      <c r="C1020" t="s">
        <v>1</v>
      </c>
      <c r="D1020" t="s">
        <v>0</v>
      </c>
      <c r="E1020">
        <v>7337</v>
      </c>
      <c r="F1020" t="s">
        <v>1522</v>
      </c>
      <c r="G1020" t="s">
        <v>1523</v>
      </c>
      <c r="H1020" s="3">
        <v>1.35</v>
      </c>
      <c r="I1020" s="3">
        <v>0</v>
      </c>
      <c r="J1020" s="3">
        <v>0</v>
      </c>
      <c r="K1020" s="3">
        <v>12.08</v>
      </c>
      <c r="L1020" s="3">
        <v>0</v>
      </c>
      <c r="M1020" s="3">
        <v>0</v>
      </c>
      <c r="N1020" s="3">
        <v>0</v>
      </c>
      <c r="O1020" s="3">
        <v>1.5704</v>
      </c>
      <c r="P1020" s="3">
        <v>15.000399999999999</v>
      </c>
      <c r="Q1020"/>
      <c r="R1020" t="s">
        <v>8200</v>
      </c>
      <c r="S1020" s="3" t="s">
        <v>8046</v>
      </c>
      <c r="T1020" s="3">
        <v>0</v>
      </c>
    </row>
    <row r="1021" spans="1:20" hidden="1" x14ac:dyDescent="0.25">
      <c r="A1021" t="s">
        <v>8126</v>
      </c>
      <c r="B1021" t="s">
        <v>8130</v>
      </c>
      <c r="C1021" t="s">
        <v>1</v>
      </c>
      <c r="D1021" t="s">
        <v>0</v>
      </c>
      <c r="E1021">
        <v>618784</v>
      </c>
      <c r="F1021" t="s">
        <v>1576</v>
      </c>
      <c r="G1021" t="s">
        <v>1577</v>
      </c>
      <c r="H1021" s="3">
        <v>0</v>
      </c>
      <c r="I1021" s="3">
        <v>0</v>
      </c>
      <c r="J1021" s="3">
        <v>0</v>
      </c>
      <c r="K1021" s="3">
        <v>223.75</v>
      </c>
      <c r="L1021" s="3">
        <v>0</v>
      </c>
      <c r="M1021" s="3">
        <v>0</v>
      </c>
      <c r="N1021" s="3">
        <v>0</v>
      </c>
      <c r="O1021" s="3">
        <v>29.087500000000002</v>
      </c>
      <c r="P1021" s="3">
        <v>252.83750000000001</v>
      </c>
      <c r="Q1021"/>
      <c r="R1021" t="s">
        <v>8200</v>
      </c>
      <c r="S1021" s="3" t="s">
        <v>8345</v>
      </c>
      <c r="T1021" s="3">
        <v>2.2400000000000002</v>
      </c>
    </row>
    <row r="1022" spans="1:20" hidden="1" x14ac:dyDescent="0.25">
      <c r="A1022" t="s">
        <v>8126</v>
      </c>
      <c r="B1022" t="s">
        <v>8130</v>
      </c>
      <c r="C1022" t="s">
        <v>1</v>
      </c>
      <c r="D1022" t="s">
        <v>0</v>
      </c>
      <c r="E1022">
        <v>13370</v>
      </c>
      <c r="F1022" t="s">
        <v>1488</v>
      </c>
      <c r="G1022" t="s">
        <v>1489</v>
      </c>
      <c r="H1022" s="3">
        <v>2.73</v>
      </c>
      <c r="I1022" s="3">
        <v>0</v>
      </c>
      <c r="J1022" s="3">
        <v>0</v>
      </c>
      <c r="K1022" s="3">
        <v>28.56</v>
      </c>
      <c r="L1022" s="3">
        <v>0</v>
      </c>
      <c r="M1022" s="3">
        <v>0</v>
      </c>
      <c r="N1022" s="3">
        <v>0</v>
      </c>
      <c r="O1022" s="3">
        <v>3.7128000000000001</v>
      </c>
      <c r="P1022" s="3">
        <v>35.002800000000001</v>
      </c>
      <c r="Q1022"/>
      <c r="R1022" t="s">
        <v>8200</v>
      </c>
      <c r="S1022" s="3" t="s">
        <v>8046</v>
      </c>
    </row>
    <row r="1023" spans="1:20" hidden="1" x14ac:dyDescent="0.25">
      <c r="A1023" t="s">
        <v>8126</v>
      </c>
      <c r="B1023" t="s">
        <v>8130</v>
      </c>
      <c r="C1023" t="s">
        <v>1</v>
      </c>
      <c r="D1023" t="s">
        <v>0</v>
      </c>
      <c r="E1023">
        <v>4644</v>
      </c>
      <c r="F1023" t="s">
        <v>8365</v>
      </c>
      <c r="G1023" t="s">
        <v>8366</v>
      </c>
      <c r="H1023" s="3">
        <v>1.98</v>
      </c>
      <c r="I1023" s="3">
        <v>0</v>
      </c>
      <c r="J1023" s="3">
        <v>0</v>
      </c>
      <c r="K1023" s="3">
        <v>20.3</v>
      </c>
      <c r="L1023" s="3">
        <v>0</v>
      </c>
      <c r="M1023" s="3">
        <v>0</v>
      </c>
      <c r="N1023" s="3">
        <v>0</v>
      </c>
      <c r="O1023" s="3">
        <v>2.6390000000000002</v>
      </c>
      <c r="P1023" s="3">
        <v>24.919</v>
      </c>
      <c r="Q1023"/>
      <c r="R1023" t="s">
        <v>8200</v>
      </c>
      <c r="S1023" s="3" t="s">
        <v>8046</v>
      </c>
    </row>
    <row r="1024" spans="1:20" hidden="1" x14ac:dyDescent="0.25">
      <c r="A1024" t="s">
        <v>8126</v>
      </c>
      <c r="B1024" t="s">
        <v>8130</v>
      </c>
      <c r="C1024" t="s">
        <v>1</v>
      </c>
      <c r="D1024" t="s">
        <v>0</v>
      </c>
      <c r="E1024">
        <v>491</v>
      </c>
      <c r="F1024" t="s">
        <v>278</v>
      </c>
      <c r="G1024" t="s">
        <v>279</v>
      </c>
      <c r="H1024" s="3">
        <v>0</v>
      </c>
      <c r="I1024" s="3">
        <v>0</v>
      </c>
      <c r="J1024" s="3">
        <v>0</v>
      </c>
      <c r="K1024" s="3">
        <v>145</v>
      </c>
      <c r="L1024" s="3">
        <v>0</v>
      </c>
      <c r="M1024" s="3">
        <v>0</v>
      </c>
      <c r="N1024" s="3">
        <v>0</v>
      </c>
      <c r="O1024" s="3">
        <v>18.850000000000001</v>
      </c>
      <c r="P1024" s="3">
        <v>163.85</v>
      </c>
      <c r="Q1024"/>
      <c r="R1024" t="s">
        <v>8200</v>
      </c>
      <c r="S1024" s="3" t="s">
        <v>8046</v>
      </c>
    </row>
    <row r="1025" spans="1:20" hidden="1" x14ac:dyDescent="0.25">
      <c r="A1025" t="s">
        <v>8126</v>
      </c>
      <c r="B1025" t="s">
        <v>8130</v>
      </c>
      <c r="C1025" t="s">
        <v>1</v>
      </c>
      <c r="D1025" t="s">
        <v>0</v>
      </c>
      <c r="E1025">
        <v>2643</v>
      </c>
      <c r="F1025" t="s">
        <v>8350</v>
      </c>
      <c r="G1025" t="s">
        <v>8351</v>
      </c>
      <c r="H1025" s="3">
        <v>0</v>
      </c>
      <c r="I1025" s="3">
        <v>0</v>
      </c>
      <c r="J1025" s="3">
        <v>0</v>
      </c>
      <c r="K1025" s="3">
        <v>353.45</v>
      </c>
      <c r="L1025" s="3">
        <v>0</v>
      </c>
      <c r="M1025" s="3">
        <v>0</v>
      </c>
      <c r="N1025" s="3">
        <v>0</v>
      </c>
      <c r="O1025" s="3">
        <v>45.948500000000003</v>
      </c>
      <c r="P1025" s="3">
        <v>399.39850000000001</v>
      </c>
      <c r="Q1025"/>
      <c r="R1025" t="s">
        <v>8200</v>
      </c>
      <c r="S1025" s="3" t="s">
        <v>8046</v>
      </c>
    </row>
    <row r="1026" spans="1:20" hidden="1" x14ac:dyDescent="0.25">
      <c r="A1026" t="s">
        <v>8126</v>
      </c>
      <c r="B1026" t="s">
        <v>8130</v>
      </c>
      <c r="C1026" t="s">
        <v>1</v>
      </c>
      <c r="D1026" t="s">
        <v>0</v>
      </c>
      <c r="E1026">
        <v>34981</v>
      </c>
      <c r="F1026" t="s">
        <v>2436</v>
      </c>
      <c r="G1026" t="s">
        <v>2437</v>
      </c>
      <c r="H1026" s="3">
        <v>0</v>
      </c>
      <c r="I1026" s="3">
        <v>0</v>
      </c>
      <c r="J1026" s="3">
        <v>0</v>
      </c>
      <c r="K1026" s="3">
        <v>303.39</v>
      </c>
      <c r="L1026" s="3">
        <v>0</v>
      </c>
      <c r="M1026" s="3">
        <v>0</v>
      </c>
      <c r="N1026" s="3">
        <v>0</v>
      </c>
      <c r="O1026" s="3">
        <v>39.4407</v>
      </c>
      <c r="P1026" s="3">
        <v>342.83069999999998</v>
      </c>
      <c r="Q1026"/>
      <c r="R1026" t="s">
        <v>8200</v>
      </c>
      <c r="S1026" s="3" t="s">
        <v>8359</v>
      </c>
      <c r="T1026" s="3">
        <v>3.03</v>
      </c>
    </row>
    <row r="1027" spans="1:20" hidden="1" x14ac:dyDescent="0.25">
      <c r="A1027" t="s">
        <v>8126</v>
      </c>
      <c r="B1027" t="s">
        <v>8132</v>
      </c>
      <c r="C1027" t="s">
        <v>1</v>
      </c>
      <c r="D1027" t="s">
        <v>0</v>
      </c>
      <c r="E1027">
        <v>34794</v>
      </c>
      <c r="F1027" t="s">
        <v>2436</v>
      </c>
      <c r="G1027" t="s">
        <v>2437</v>
      </c>
      <c r="H1027" s="3">
        <v>0</v>
      </c>
      <c r="I1027" s="3">
        <v>0</v>
      </c>
      <c r="J1027" s="3">
        <v>0</v>
      </c>
      <c r="K1027" s="3">
        <v>464.78</v>
      </c>
      <c r="L1027" s="3">
        <v>0</v>
      </c>
      <c r="M1027" s="3">
        <v>0</v>
      </c>
      <c r="N1027" s="3">
        <v>0</v>
      </c>
      <c r="O1027" s="3">
        <v>60.421399999999998</v>
      </c>
      <c r="P1027" s="3">
        <v>525.20139999999992</v>
      </c>
      <c r="Q1027"/>
      <c r="R1027" t="s">
        <v>8200</v>
      </c>
      <c r="S1027" s="3" t="s">
        <v>8359</v>
      </c>
      <c r="T1027" s="3">
        <v>4.6500000000000004</v>
      </c>
    </row>
    <row r="1028" spans="1:20" hidden="1" x14ac:dyDescent="0.25">
      <c r="A1028" t="s">
        <v>8126</v>
      </c>
      <c r="B1028" t="s">
        <v>8132</v>
      </c>
      <c r="C1028" t="s">
        <v>1</v>
      </c>
      <c r="D1028" t="s">
        <v>0</v>
      </c>
      <c r="E1028">
        <v>34821</v>
      </c>
      <c r="F1028" t="s">
        <v>2436</v>
      </c>
      <c r="G1028" t="s">
        <v>2437</v>
      </c>
      <c r="H1028" s="3">
        <v>0</v>
      </c>
      <c r="I1028" s="3">
        <v>0</v>
      </c>
      <c r="J1028" s="3">
        <v>0</v>
      </c>
      <c r="K1028" s="3">
        <v>62.27</v>
      </c>
      <c r="L1028" s="3">
        <v>0</v>
      </c>
      <c r="M1028" s="3">
        <v>0</v>
      </c>
      <c r="N1028" s="3">
        <v>0</v>
      </c>
      <c r="O1028" s="3">
        <v>8.0951000000000004</v>
      </c>
      <c r="P1028" s="3">
        <v>70.365099999999998</v>
      </c>
      <c r="Q1028"/>
      <c r="R1028" t="s">
        <v>8200</v>
      </c>
      <c r="S1028" s="3" t="s">
        <v>8046</v>
      </c>
    </row>
    <row r="1029" spans="1:20" hidden="1" x14ac:dyDescent="0.25">
      <c r="A1029" t="s">
        <v>8126</v>
      </c>
      <c r="B1029" t="s">
        <v>8132</v>
      </c>
      <c r="C1029" t="s">
        <v>1</v>
      </c>
      <c r="D1029" t="s">
        <v>0</v>
      </c>
      <c r="E1029">
        <v>34796</v>
      </c>
      <c r="F1029" t="s">
        <v>2436</v>
      </c>
      <c r="G1029" t="s">
        <v>2437</v>
      </c>
      <c r="H1029" s="3">
        <v>0</v>
      </c>
      <c r="I1029" s="3">
        <v>0</v>
      </c>
      <c r="J1029" s="3">
        <v>0</v>
      </c>
      <c r="K1029" s="3">
        <v>29.03</v>
      </c>
      <c r="L1029" s="3">
        <v>0</v>
      </c>
      <c r="M1029" s="3">
        <v>0</v>
      </c>
      <c r="N1029" s="3">
        <v>0</v>
      </c>
      <c r="O1029" s="3">
        <v>3.7739000000000003</v>
      </c>
      <c r="P1029" s="3">
        <v>32.803899999999999</v>
      </c>
      <c r="Q1029"/>
      <c r="R1029" t="s">
        <v>8200</v>
      </c>
      <c r="S1029" s="3" t="s">
        <v>8046</v>
      </c>
    </row>
    <row r="1030" spans="1:20" hidden="1" x14ac:dyDescent="0.25">
      <c r="A1030" t="s">
        <v>8126</v>
      </c>
      <c r="B1030" t="s">
        <v>8132</v>
      </c>
      <c r="C1030" t="s">
        <v>1</v>
      </c>
      <c r="D1030" t="s">
        <v>0</v>
      </c>
      <c r="E1030">
        <v>34797</v>
      </c>
      <c r="F1030" t="s">
        <v>2436</v>
      </c>
      <c r="G1030" t="s">
        <v>2437</v>
      </c>
      <c r="H1030" s="3">
        <v>0</v>
      </c>
      <c r="I1030" s="3">
        <v>0</v>
      </c>
      <c r="J1030" s="3">
        <v>0</v>
      </c>
      <c r="K1030" s="3">
        <v>10.4</v>
      </c>
      <c r="L1030" s="3">
        <v>0</v>
      </c>
      <c r="M1030" s="3">
        <v>0</v>
      </c>
      <c r="N1030" s="3">
        <v>0</v>
      </c>
      <c r="O1030" s="3">
        <v>1.3520000000000001</v>
      </c>
      <c r="P1030" s="3">
        <v>11.752000000000001</v>
      </c>
      <c r="Q1030"/>
      <c r="R1030" t="s">
        <v>8200</v>
      </c>
      <c r="S1030" s="3" t="s">
        <v>8046</v>
      </c>
    </row>
    <row r="1031" spans="1:20" hidden="1" x14ac:dyDescent="0.25">
      <c r="A1031" t="s">
        <v>8126</v>
      </c>
      <c r="B1031" t="s">
        <v>8132</v>
      </c>
      <c r="C1031" t="s">
        <v>1</v>
      </c>
      <c r="D1031" t="s">
        <v>0</v>
      </c>
      <c r="E1031">
        <v>34800</v>
      </c>
      <c r="F1031" t="s">
        <v>2436</v>
      </c>
      <c r="G1031" t="s">
        <v>2437</v>
      </c>
      <c r="H1031" s="3">
        <v>0</v>
      </c>
      <c r="I1031" s="3">
        <v>0</v>
      </c>
      <c r="J1031" s="3">
        <v>0</v>
      </c>
      <c r="K1031" s="3">
        <v>367.99</v>
      </c>
      <c r="L1031" s="3">
        <v>0</v>
      </c>
      <c r="M1031" s="3">
        <v>0</v>
      </c>
      <c r="N1031" s="3">
        <v>0</v>
      </c>
      <c r="O1031" s="3">
        <v>47.838700000000003</v>
      </c>
      <c r="P1031" s="3">
        <v>415.82870000000003</v>
      </c>
      <c r="Q1031"/>
      <c r="R1031" t="s">
        <v>8200</v>
      </c>
      <c r="S1031" s="3" t="s">
        <v>8359</v>
      </c>
      <c r="T1031" s="3">
        <v>3.68</v>
      </c>
    </row>
    <row r="1032" spans="1:20" hidden="1" x14ac:dyDescent="0.25">
      <c r="A1032" t="s">
        <v>8126</v>
      </c>
      <c r="B1032" t="s">
        <v>8132</v>
      </c>
      <c r="C1032" t="s">
        <v>1</v>
      </c>
      <c r="D1032" t="s">
        <v>0</v>
      </c>
      <c r="E1032">
        <v>34798</v>
      </c>
      <c r="F1032" t="s">
        <v>2436</v>
      </c>
      <c r="G1032" t="s">
        <v>2437</v>
      </c>
      <c r="H1032" s="3">
        <v>0</v>
      </c>
      <c r="I1032" s="3">
        <v>0</v>
      </c>
      <c r="J1032" s="3">
        <v>0</v>
      </c>
      <c r="K1032" s="3">
        <v>32.31</v>
      </c>
      <c r="L1032" s="3">
        <v>0</v>
      </c>
      <c r="M1032" s="3">
        <v>0</v>
      </c>
      <c r="N1032" s="3">
        <v>0</v>
      </c>
      <c r="O1032" s="3">
        <v>4.2003000000000004</v>
      </c>
      <c r="P1032" s="3">
        <v>36.510300000000001</v>
      </c>
      <c r="Q1032"/>
      <c r="R1032" t="s">
        <v>8200</v>
      </c>
      <c r="S1032" s="3" t="s">
        <v>8046</v>
      </c>
    </row>
    <row r="1033" spans="1:20" hidden="1" x14ac:dyDescent="0.25">
      <c r="A1033" t="s">
        <v>8126</v>
      </c>
      <c r="B1033" t="s">
        <v>8132</v>
      </c>
      <c r="C1033" t="s">
        <v>1</v>
      </c>
      <c r="D1033" t="s">
        <v>0</v>
      </c>
      <c r="E1033">
        <v>34799</v>
      </c>
      <c r="F1033" t="s">
        <v>2436</v>
      </c>
      <c r="G1033" t="s">
        <v>2437</v>
      </c>
      <c r="H1033" s="3">
        <v>0</v>
      </c>
      <c r="I1033" s="3">
        <v>0</v>
      </c>
      <c r="J1033" s="3">
        <v>0</v>
      </c>
      <c r="K1033" s="3">
        <v>108.04</v>
      </c>
      <c r="L1033" s="3">
        <v>0</v>
      </c>
      <c r="M1033" s="3">
        <v>0</v>
      </c>
      <c r="N1033" s="3">
        <v>0</v>
      </c>
      <c r="O1033" s="3">
        <v>14.045200000000001</v>
      </c>
      <c r="P1033" s="3">
        <v>122.08520000000001</v>
      </c>
      <c r="Q1033"/>
      <c r="R1033" t="s">
        <v>8200</v>
      </c>
      <c r="S1033" s="3" t="s">
        <v>8359</v>
      </c>
      <c r="T1033" s="3">
        <v>1.08</v>
      </c>
    </row>
    <row r="1034" spans="1:20" hidden="1" x14ac:dyDescent="0.25">
      <c r="A1034" t="s">
        <v>8126</v>
      </c>
      <c r="B1034" t="s">
        <v>8132</v>
      </c>
      <c r="C1034" t="s">
        <v>1</v>
      </c>
      <c r="D1034" t="s">
        <v>0</v>
      </c>
      <c r="E1034">
        <v>655</v>
      </c>
      <c r="F1034" t="s">
        <v>8363</v>
      </c>
      <c r="G1034" t="s">
        <v>8364</v>
      </c>
      <c r="H1034" s="3">
        <v>0</v>
      </c>
      <c r="I1034" s="3">
        <v>0</v>
      </c>
      <c r="J1034" s="3">
        <v>0</v>
      </c>
      <c r="K1034" s="3">
        <v>147.68</v>
      </c>
      <c r="L1034" s="3">
        <v>0</v>
      </c>
      <c r="M1034" s="3">
        <v>0</v>
      </c>
      <c r="N1034" s="3">
        <v>0</v>
      </c>
      <c r="O1034" s="3">
        <v>19.198400000000003</v>
      </c>
      <c r="P1034" s="3">
        <v>166.8784</v>
      </c>
      <c r="Q1034"/>
      <c r="R1034" t="s">
        <v>8200</v>
      </c>
      <c r="S1034" s="3" t="s">
        <v>8046</v>
      </c>
    </row>
    <row r="1035" spans="1:20" hidden="1" x14ac:dyDescent="0.25">
      <c r="A1035" t="s">
        <v>8126</v>
      </c>
      <c r="B1035" t="s">
        <v>8132</v>
      </c>
      <c r="C1035" t="s">
        <v>1</v>
      </c>
      <c r="D1035" t="s">
        <v>0</v>
      </c>
      <c r="E1035">
        <v>611777</v>
      </c>
      <c r="F1035" t="s">
        <v>1576</v>
      </c>
      <c r="G1035" t="s">
        <v>1577</v>
      </c>
      <c r="H1035" s="3">
        <v>0</v>
      </c>
      <c r="I1035" s="3">
        <v>0</v>
      </c>
      <c r="J1035" s="3">
        <v>0</v>
      </c>
      <c r="K1035" s="3">
        <v>425.04</v>
      </c>
      <c r="L1035" s="3">
        <v>0</v>
      </c>
      <c r="M1035" s="3">
        <v>0</v>
      </c>
      <c r="N1035" s="3">
        <v>0</v>
      </c>
      <c r="O1035" s="3">
        <v>55.255200000000002</v>
      </c>
      <c r="P1035" s="3">
        <v>480.29520000000002</v>
      </c>
      <c r="Q1035"/>
      <c r="R1035" t="s">
        <v>8200</v>
      </c>
      <c r="S1035" s="3" t="s">
        <v>8345</v>
      </c>
      <c r="T1035" s="3">
        <v>4.25</v>
      </c>
    </row>
    <row r="1036" spans="1:20" hidden="1" x14ac:dyDescent="0.25">
      <c r="A1036" t="s">
        <v>8126</v>
      </c>
      <c r="B1036" t="s">
        <v>8133</v>
      </c>
      <c r="C1036" t="s">
        <v>1</v>
      </c>
      <c r="D1036" t="s">
        <v>0</v>
      </c>
      <c r="E1036">
        <v>610443</v>
      </c>
      <c r="F1036" t="s">
        <v>1576</v>
      </c>
      <c r="G1036" t="s">
        <v>1577</v>
      </c>
      <c r="H1036" s="3">
        <v>0</v>
      </c>
      <c r="I1036" s="3">
        <v>0</v>
      </c>
      <c r="J1036" s="3">
        <v>0</v>
      </c>
      <c r="K1036" s="3">
        <v>1014.66</v>
      </c>
      <c r="L1036" s="3">
        <v>0</v>
      </c>
      <c r="M1036" s="3">
        <v>0</v>
      </c>
      <c r="N1036" s="3">
        <v>0</v>
      </c>
      <c r="O1036" s="3">
        <v>131.9058</v>
      </c>
      <c r="P1036" s="3">
        <v>1146.5657999999999</v>
      </c>
      <c r="Q1036"/>
      <c r="R1036" t="s">
        <v>8200</v>
      </c>
      <c r="S1036" s="3" t="s">
        <v>8345</v>
      </c>
      <c r="T1036" s="3">
        <v>10.15</v>
      </c>
    </row>
    <row r="1037" spans="1:20" hidden="1" x14ac:dyDescent="0.25">
      <c r="A1037" t="s">
        <v>8126</v>
      </c>
      <c r="B1037" t="s">
        <v>8133</v>
      </c>
      <c r="C1037" t="s">
        <v>1</v>
      </c>
      <c r="D1037" t="s">
        <v>0</v>
      </c>
      <c r="E1037">
        <v>6980</v>
      </c>
      <c r="F1037" t="s">
        <v>1522</v>
      </c>
      <c r="G1037" t="s">
        <v>1523</v>
      </c>
      <c r="H1037" s="3">
        <v>3.66</v>
      </c>
      <c r="I1037" s="3">
        <v>0</v>
      </c>
      <c r="J1037" s="3">
        <v>0</v>
      </c>
      <c r="K1037" s="3">
        <v>37.47</v>
      </c>
      <c r="L1037" s="3">
        <v>0</v>
      </c>
      <c r="M1037" s="3">
        <v>0</v>
      </c>
      <c r="N1037" s="3">
        <v>0</v>
      </c>
      <c r="O1037" s="3">
        <v>4.8711000000000002</v>
      </c>
      <c r="P1037" s="3">
        <v>46.001099999999994</v>
      </c>
      <c r="Q1037"/>
      <c r="R1037" t="s">
        <v>8200</v>
      </c>
      <c r="S1037" s="3" t="s">
        <v>8046</v>
      </c>
    </row>
    <row r="1038" spans="1:20" hidden="1" x14ac:dyDescent="0.25">
      <c r="A1038" t="s">
        <v>8126</v>
      </c>
      <c r="B1038" t="s">
        <v>8133</v>
      </c>
      <c r="C1038" t="s">
        <v>1</v>
      </c>
      <c r="D1038" t="s">
        <v>0</v>
      </c>
      <c r="E1038">
        <v>50347</v>
      </c>
      <c r="F1038" t="s">
        <v>1670</v>
      </c>
      <c r="G1038" t="s">
        <v>1671</v>
      </c>
      <c r="H1038" s="3">
        <v>3.04</v>
      </c>
      <c r="I1038" s="3">
        <v>0</v>
      </c>
      <c r="J1038" s="3">
        <v>0</v>
      </c>
      <c r="K1038" s="3">
        <v>31.82</v>
      </c>
      <c r="L1038" s="3">
        <v>0</v>
      </c>
      <c r="M1038" s="3">
        <v>0</v>
      </c>
      <c r="N1038" s="3">
        <v>0</v>
      </c>
      <c r="O1038" s="3">
        <v>4.1366000000000005</v>
      </c>
      <c r="P1038" s="3">
        <v>38.996600000000001</v>
      </c>
      <c r="Q1038"/>
      <c r="R1038" t="s">
        <v>8200</v>
      </c>
      <c r="S1038" s="3" t="s">
        <v>8046</v>
      </c>
    </row>
    <row r="1039" spans="1:20" hidden="1" x14ac:dyDescent="0.25">
      <c r="A1039" t="s">
        <v>8126</v>
      </c>
      <c r="B1039" t="s">
        <v>8133</v>
      </c>
      <c r="C1039" t="s">
        <v>1</v>
      </c>
      <c r="D1039" t="s">
        <v>0</v>
      </c>
      <c r="E1039">
        <v>49307</v>
      </c>
      <c r="F1039" t="s">
        <v>1626</v>
      </c>
      <c r="G1039" t="s">
        <v>1627</v>
      </c>
      <c r="H1039" s="3">
        <v>1.56</v>
      </c>
      <c r="I1039" s="3">
        <v>0</v>
      </c>
      <c r="J1039" s="3">
        <v>0</v>
      </c>
      <c r="K1039" s="3">
        <v>16.32</v>
      </c>
      <c r="L1039" s="3">
        <v>0</v>
      </c>
      <c r="M1039" s="3">
        <v>0</v>
      </c>
      <c r="N1039" s="3">
        <v>0</v>
      </c>
      <c r="O1039" s="3">
        <v>2.1215999999999999</v>
      </c>
      <c r="P1039" s="3">
        <v>20.0016</v>
      </c>
      <c r="Q1039"/>
      <c r="R1039" t="s">
        <v>8200</v>
      </c>
      <c r="S1039" s="3" t="s">
        <v>8046</v>
      </c>
    </row>
    <row r="1040" spans="1:20" hidden="1" x14ac:dyDescent="0.25">
      <c r="A1040" t="s">
        <v>8126</v>
      </c>
      <c r="B1040" t="s">
        <v>8134</v>
      </c>
      <c r="C1040" t="s">
        <v>1</v>
      </c>
      <c r="D1040" t="s">
        <v>0</v>
      </c>
      <c r="E1040">
        <v>202244</v>
      </c>
      <c r="F1040" t="s">
        <v>2701</v>
      </c>
      <c r="G1040" t="s">
        <v>2702</v>
      </c>
      <c r="H1040" s="3">
        <v>0</v>
      </c>
      <c r="I1040" s="3">
        <v>0</v>
      </c>
      <c r="J1040" s="3">
        <v>0</v>
      </c>
      <c r="K1040" s="3">
        <v>920.5</v>
      </c>
      <c r="L1040" s="3">
        <v>0</v>
      </c>
      <c r="M1040" s="3">
        <v>0</v>
      </c>
      <c r="N1040" s="3">
        <v>0</v>
      </c>
      <c r="O1040" s="3">
        <v>119.66500000000001</v>
      </c>
      <c r="P1040" s="3">
        <v>1040.165</v>
      </c>
      <c r="Q1040"/>
      <c r="R1040" t="s">
        <v>8200</v>
      </c>
      <c r="S1040" s="3" t="s">
        <v>8345</v>
      </c>
      <c r="T1040" s="3">
        <v>9.2100000000000009</v>
      </c>
    </row>
    <row r="1041" spans="1:20" hidden="1" x14ac:dyDescent="0.25">
      <c r="A1041" t="s">
        <v>8126</v>
      </c>
      <c r="B1041" t="s">
        <v>8134</v>
      </c>
      <c r="C1041" t="s">
        <v>1</v>
      </c>
      <c r="D1041" t="s">
        <v>0</v>
      </c>
      <c r="E1041">
        <v>1088</v>
      </c>
      <c r="F1041" t="s">
        <v>1597</v>
      </c>
      <c r="G1041" t="s">
        <v>1598</v>
      </c>
      <c r="H1041" s="3">
        <v>0</v>
      </c>
      <c r="I1041" s="3">
        <v>0</v>
      </c>
      <c r="J1041" s="3">
        <v>0</v>
      </c>
      <c r="K1041" s="3">
        <v>14</v>
      </c>
      <c r="L1041" s="3">
        <v>0</v>
      </c>
      <c r="M1041" s="3">
        <v>0</v>
      </c>
      <c r="N1041" s="3">
        <v>0</v>
      </c>
      <c r="O1041" s="3">
        <v>1.82</v>
      </c>
      <c r="P1041" s="3">
        <v>15.82</v>
      </c>
      <c r="Q1041"/>
      <c r="R1041" t="s">
        <v>8200</v>
      </c>
      <c r="S1041" s="3" t="s">
        <v>8046</v>
      </c>
    </row>
    <row r="1042" spans="1:20" hidden="1" x14ac:dyDescent="0.25">
      <c r="A1042" t="s">
        <v>8126</v>
      </c>
      <c r="B1042" t="s">
        <v>8140</v>
      </c>
      <c r="C1042" t="s">
        <v>1</v>
      </c>
      <c r="D1042" t="s">
        <v>0</v>
      </c>
      <c r="E1042">
        <v>49896</v>
      </c>
      <c r="F1042" t="s">
        <v>1670</v>
      </c>
      <c r="G1042" t="s">
        <v>1671</v>
      </c>
      <c r="H1042" s="3">
        <v>2.75</v>
      </c>
      <c r="I1042" s="3">
        <v>0</v>
      </c>
      <c r="J1042" s="3">
        <v>0</v>
      </c>
      <c r="K1042" s="3">
        <v>24.12</v>
      </c>
      <c r="L1042" s="3">
        <v>0</v>
      </c>
      <c r="M1042" s="3">
        <v>0</v>
      </c>
      <c r="N1042" s="3">
        <v>0</v>
      </c>
      <c r="O1042" s="3">
        <v>3.1356000000000002</v>
      </c>
      <c r="P1042" s="3">
        <v>30.005600000000001</v>
      </c>
      <c r="Q1042"/>
      <c r="R1042" t="s">
        <v>8200</v>
      </c>
      <c r="S1042" s="3" t="s">
        <v>8046</v>
      </c>
      <c r="T1042" s="3">
        <v>0</v>
      </c>
    </row>
    <row r="1043" spans="1:20" hidden="1" x14ac:dyDescent="0.25">
      <c r="A1043" t="s">
        <v>8126</v>
      </c>
      <c r="B1043" t="s">
        <v>8140</v>
      </c>
      <c r="C1043" t="s">
        <v>1</v>
      </c>
      <c r="D1043" t="s">
        <v>0</v>
      </c>
      <c r="E1043">
        <v>5734</v>
      </c>
      <c r="F1043" t="s">
        <v>2635</v>
      </c>
      <c r="G1043" t="s">
        <v>2636</v>
      </c>
      <c r="H1043" s="3">
        <v>0</v>
      </c>
      <c r="I1043" s="3">
        <v>0</v>
      </c>
      <c r="J1043" s="3">
        <v>0</v>
      </c>
      <c r="K1043" s="3">
        <v>119.12</v>
      </c>
      <c r="L1043" s="3">
        <v>0</v>
      </c>
      <c r="M1043" s="3">
        <v>0</v>
      </c>
      <c r="N1043" s="3">
        <v>0</v>
      </c>
      <c r="O1043" s="3">
        <v>15.485600000000002</v>
      </c>
      <c r="P1043" s="3">
        <v>134.60560000000001</v>
      </c>
      <c r="Q1043"/>
      <c r="R1043" t="s">
        <v>8200</v>
      </c>
      <c r="S1043" s="3" t="s">
        <v>8345</v>
      </c>
      <c r="T1043" s="3">
        <v>1.19</v>
      </c>
    </row>
    <row r="1044" spans="1:20" hidden="1" x14ac:dyDescent="0.25">
      <c r="A1044" t="s">
        <v>8126</v>
      </c>
      <c r="B1044" t="s">
        <v>8140</v>
      </c>
      <c r="C1044" t="s">
        <v>1</v>
      </c>
      <c r="D1044" t="s">
        <v>0</v>
      </c>
      <c r="E1044">
        <v>7702</v>
      </c>
      <c r="F1044" t="s">
        <v>1200</v>
      </c>
      <c r="G1044" t="s">
        <v>1201</v>
      </c>
      <c r="H1044" s="3">
        <v>0</v>
      </c>
      <c r="I1044" s="3">
        <v>0</v>
      </c>
      <c r="J1044" s="3">
        <v>0</v>
      </c>
      <c r="K1044" s="3">
        <v>718</v>
      </c>
      <c r="L1044" s="3">
        <v>0</v>
      </c>
      <c r="M1044" s="3">
        <v>0</v>
      </c>
      <c r="N1044" s="3">
        <v>0</v>
      </c>
      <c r="O1044" s="3">
        <v>93.34</v>
      </c>
      <c r="P1044" s="3">
        <v>811.34</v>
      </c>
      <c r="Q1044"/>
      <c r="R1044" t="s">
        <v>8200</v>
      </c>
      <c r="S1044" s="3" t="s">
        <v>8358</v>
      </c>
      <c r="T1044" s="3">
        <v>7.18</v>
      </c>
    </row>
    <row r="1045" spans="1:20" hidden="1" x14ac:dyDescent="0.25">
      <c r="A1045" t="s">
        <v>8126</v>
      </c>
      <c r="B1045" t="s">
        <v>8140</v>
      </c>
      <c r="C1045" t="s">
        <v>1</v>
      </c>
      <c r="D1045" t="s">
        <v>0</v>
      </c>
      <c r="E1045">
        <v>600647</v>
      </c>
      <c r="F1045" t="s">
        <v>1576</v>
      </c>
      <c r="G1045" t="s">
        <v>1577</v>
      </c>
      <c r="H1045" s="3">
        <v>0</v>
      </c>
      <c r="I1045" s="3">
        <v>0</v>
      </c>
      <c r="J1045" s="3">
        <v>0</v>
      </c>
      <c r="K1045" s="3">
        <v>1436.5</v>
      </c>
      <c r="L1045" s="3">
        <v>0</v>
      </c>
      <c r="M1045" s="3">
        <v>0</v>
      </c>
      <c r="N1045" s="3">
        <v>0</v>
      </c>
      <c r="O1045" s="3">
        <v>186.745</v>
      </c>
      <c r="P1045" s="3">
        <v>1623.2449999999999</v>
      </c>
      <c r="Q1045"/>
      <c r="R1045" t="s">
        <v>8200</v>
      </c>
      <c r="S1045" s="3" t="s">
        <v>8345</v>
      </c>
      <c r="T1045" s="3">
        <v>14.37</v>
      </c>
    </row>
    <row r="1046" spans="1:20" hidden="1" x14ac:dyDescent="0.25">
      <c r="A1046" t="s">
        <v>8126</v>
      </c>
      <c r="B1046" t="s">
        <v>8140</v>
      </c>
      <c r="C1046" t="s">
        <v>1</v>
      </c>
      <c r="D1046" t="s">
        <v>0</v>
      </c>
      <c r="E1046">
        <v>163</v>
      </c>
      <c r="F1046" t="s">
        <v>8306</v>
      </c>
      <c r="G1046" t="s">
        <v>8307</v>
      </c>
      <c r="H1046" s="3">
        <v>0</v>
      </c>
      <c r="I1046" s="3">
        <v>0</v>
      </c>
      <c r="J1046" s="3">
        <v>0</v>
      </c>
      <c r="K1046" s="3">
        <v>601.33000000000004</v>
      </c>
      <c r="L1046" s="3">
        <v>0</v>
      </c>
      <c r="M1046" s="3">
        <v>0</v>
      </c>
      <c r="N1046" s="3">
        <v>0</v>
      </c>
      <c r="O1046" s="3">
        <v>78.172900000000013</v>
      </c>
      <c r="P1046" s="3">
        <v>679.50290000000007</v>
      </c>
      <c r="Q1046"/>
      <c r="R1046" t="s">
        <v>8200</v>
      </c>
      <c r="S1046" s="3" t="s">
        <v>8046</v>
      </c>
    </row>
    <row r="1047" spans="1:20" hidden="1" x14ac:dyDescent="0.25">
      <c r="A1047" t="s">
        <v>8126</v>
      </c>
      <c r="B1047" t="s">
        <v>8140</v>
      </c>
      <c r="C1047" t="s">
        <v>1</v>
      </c>
      <c r="D1047" t="s">
        <v>0</v>
      </c>
      <c r="E1047">
        <v>3314</v>
      </c>
      <c r="F1047" t="s">
        <v>8361</v>
      </c>
      <c r="G1047" t="s">
        <v>8362</v>
      </c>
      <c r="H1047" s="3">
        <v>0</v>
      </c>
      <c r="I1047" s="3">
        <v>0</v>
      </c>
      <c r="J1047" s="3">
        <v>0</v>
      </c>
      <c r="K1047" s="3">
        <v>221.24</v>
      </c>
      <c r="L1047" s="3">
        <v>0</v>
      </c>
      <c r="M1047" s="3">
        <v>0</v>
      </c>
      <c r="N1047" s="3">
        <v>0</v>
      </c>
      <c r="O1047" s="3">
        <v>28.761200000000002</v>
      </c>
      <c r="P1047" s="3">
        <v>250.00120000000001</v>
      </c>
      <c r="Q1047"/>
      <c r="R1047" t="s">
        <v>8200</v>
      </c>
      <c r="S1047" s="3" t="s">
        <v>8046</v>
      </c>
    </row>
    <row r="1048" spans="1:20" ht="15.75" hidden="1" customHeight="1" x14ac:dyDescent="0.25">
      <c r="A1048" t="s">
        <v>8126</v>
      </c>
      <c r="B1048" t="s">
        <v>8140</v>
      </c>
      <c r="C1048" t="s">
        <v>1</v>
      </c>
      <c r="D1048" t="s">
        <v>0</v>
      </c>
      <c r="E1048">
        <v>7708</v>
      </c>
      <c r="F1048" t="s">
        <v>1519</v>
      </c>
      <c r="G1048" t="s">
        <v>1520</v>
      </c>
      <c r="H1048" s="3">
        <v>0</v>
      </c>
      <c r="I1048" s="3">
        <v>0</v>
      </c>
      <c r="J1048" s="3">
        <v>0</v>
      </c>
      <c r="K1048" s="3">
        <v>2604.7199999999998</v>
      </c>
      <c r="L1048" s="3">
        <v>0</v>
      </c>
      <c r="M1048" s="3">
        <v>0</v>
      </c>
      <c r="N1048" s="3">
        <v>0</v>
      </c>
      <c r="O1048" s="3">
        <v>338.61359999999996</v>
      </c>
      <c r="P1048" s="3">
        <v>2943.3335999999999</v>
      </c>
      <c r="Q1048"/>
      <c r="R1048" t="s">
        <v>8200</v>
      </c>
      <c r="S1048" s="3" t="s">
        <v>8341</v>
      </c>
      <c r="T1048" s="3">
        <v>26.05</v>
      </c>
    </row>
    <row r="1049" spans="1:20" hidden="1" x14ac:dyDescent="0.25">
      <c r="A1049" t="s">
        <v>8126</v>
      </c>
      <c r="B1049" t="s">
        <v>8140</v>
      </c>
      <c r="C1049" t="s">
        <v>1</v>
      </c>
      <c r="D1049" t="s">
        <v>0</v>
      </c>
      <c r="E1049">
        <v>821</v>
      </c>
      <c r="F1049" t="s">
        <v>1457</v>
      </c>
      <c r="G1049" t="s">
        <v>1458</v>
      </c>
      <c r="H1049" s="3">
        <v>0</v>
      </c>
      <c r="I1049" s="3">
        <v>0</v>
      </c>
      <c r="J1049" s="3">
        <v>0</v>
      </c>
      <c r="K1049" s="3">
        <v>28</v>
      </c>
      <c r="L1049" s="3">
        <v>0</v>
      </c>
      <c r="M1049" s="3">
        <v>0</v>
      </c>
      <c r="N1049" s="3">
        <v>0</v>
      </c>
      <c r="O1049" s="3">
        <v>3.64</v>
      </c>
      <c r="P1049" s="3">
        <v>31.64</v>
      </c>
      <c r="Q1049"/>
      <c r="R1049" t="s">
        <v>8200</v>
      </c>
      <c r="S1049" s="3" t="s">
        <v>8046</v>
      </c>
    </row>
    <row r="1050" spans="1:20" hidden="1" x14ac:dyDescent="0.25">
      <c r="A1050" t="s">
        <v>8126</v>
      </c>
      <c r="B1050" t="s">
        <v>8140</v>
      </c>
      <c r="C1050" t="s">
        <v>1</v>
      </c>
      <c r="D1050" t="s">
        <v>0</v>
      </c>
      <c r="E1050">
        <v>1043</v>
      </c>
      <c r="F1050" t="s">
        <v>1663</v>
      </c>
      <c r="G1050" t="s">
        <v>1664</v>
      </c>
      <c r="H1050" s="3">
        <v>3.1500000000000004</v>
      </c>
      <c r="I1050" s="3">
        <v>0</v>
      </c>
      <c r="J1050" s="3">
        <v>0</v>
      </c>
      <c r="K1050" s="3">
        <v>31.72</v>
      </c>
      <c r="L1050" s="3">
        <v>0</v>
      </c>
      <c r="M1050" s="3">
        <v>0</v>
      </c>
      <c r="N1050" s="3">
        <v>0</v>
      </c>
      <c r="O1050" s="3">
        <v>4.1235999999999997</v>
      </c>
      <c r="P1050" s="3">
        <v>38.993600000000001</v>
      </c>
      <c r="Q1050"/>
      <c r="R1050" t="s">
        <v>8200</v>
      </c>
      <c r="S1050" s="3" t="s">
        <v>8046</v>
      </c>
    </row>
    <row r="1051" spans="1:20" hidden="1" x14ac:dyDescent="0.25">
      <c r="A1051" t="s">
        <v>8126</v>
      </c>
      <c r="B1051" t="s">
        <v>8199</v>
      </c>
      <c r="C1051" t="s">
        <v>1</v>
      </c>
      <c r="D1051" t="s">
        <v>0</v>
      </c>
      <c r="E1051">
        <v>484210</v>
      </c>
      <c r="F1051" t="s">
        <v>2376</v>
      </c>
      <c r="G1051" t="s">
        <v>2377</v>
      </c>
      <c r="H1051" s="3">
        <v>0</v>
      </c>
      <c r="I1051" s="3">
        <v>0</v>
      </c>
      <c r="J1051" s="3">
        <v>0</v>
      </c>
      <c r="K1051" s="3">
        <v>127.75</v>
      </c>
      <c r="L1051" s="3">
        <v>0</v>
      </c>
      <c r="M1051" s="3">
        <v>0</v>
      </c>
      <c r="N1051" s="3">
        <v>0</v>
      </c>
      <c r="O1051" s="3">
        <v>16.607500000000002</v>
      </c>
      <c r="P1051" s="3">
        <v>144.35750000000002</v>
      </c>
      <c r="Q1051"/>
      <c r="R1051" t="s">
        <v>8200</v>
      </c>
      <c r="S1051" s="3" t="s">
        <v>8046</v>
      </c>
    </row>
    <row r="1052" spans="1:20" hidden="1" x14ac:dyDescent="0.25">
      <c r="A1052" t="s">
        <v>8126</v>
      </c>
      <c r="B1052" t="s">
        <v>8199</v>
      </c>
      <c r="C1052" t="s">
        <v>1</v>
      </c>
      <c r="D1052" t="s">
        <v>0</v>
      </c>
      <c r="E1052">
        <v>303659</v>
      </c>
      <c r="F1052" t="s">
        <v>1501</v>
      </c>
      <c r="G1052" t="s">
        <v>1502</v>
      </c>
      <c r="H1052" s="3">
        <v>2.0699999999999998</v>
      </c>
      <c r="I1052" s="3">
        <v>0</v>
      </c>
      <c r="J1052" s="3">
        <v>0</v>
      </c>
      <c r="K1052" s="3">
        <v>20.29</v>
      </c>
      <c r="L1052" s="3">
        <v>0</v>
      </c>
      <c r="M1052" s="3">
        <v>0</v>
      </c>
      <c r="N1052" s="3">
        <v>0</v>
      </c>
      <c r="O1052" s="3">
        <v>2.6377000000000002</v>
      </c>
      <c r="P1052" s="3">
        <v>24.997699999999998</v>
      </c>
      <c r="Q1052"/>
      <c r="R1052" t="s">
        <v>8200</v>
      </c>
      <c r="S1052" s="3" t="s">
        <v>8046</v>
      </c>
    </row>
    <row r="1053" spans="1:20" hidden="1" x14ac:dyDescent="0.25">
      <c r="A1053" t="s">
        <v>8126</v>
      </c>
      <c r="B1053" t="s">
        <v>8135</v>
      </c>
      <c r="C1053" t="s">
        <v>1</v>
      </c>
      <c r="D1053" t="s">
        <v>0</v>
      </c>
      <c r="E1053">
        <v>3470</v>
      </c>
      <c r="F1053" t="s">
        <v>1571</v>
      </c>
      <c r="G1053" t="s">
        <v>1572</v>
      </c>
      <c r="H1053" s="3">
        <v>0</v>
      </c>
      <c r="I1053" s="3">
        <v>0</v>
      </c>
      <c r="J1053" s="3">
        <v>0</v>
      </c>
      <c r="K1053" s="3">
        <v>157.30000000000001</v>
      </c>
      <c r="L1053" s="3">
        <v>0</v>
      </c>
      <c r="M1053" s="3">
        <v>0</v>
      </c>
      <c r="N1053" s="3">
        <v>0</v>
      </c>
      <c r="O1053" s="3">
        <v>20.449000000000002</v>
      </c>
      <c r="P1053" s="3">
        <v>177.74900000000002</v>
      </c>
      <c r="Q1053"/>
      <c r="R1053" t="s">
        <v>8200</v>
      </c>
      <c r="S1053" s="3" t="s">
        <v>8046</v>
      </c>
    </row>
    <row r="1054" spans="1:20" hidden="1" x14ac:dyDescent="0.25">
      <c r="A1054" t="s">
        <v>8126</v>
      </c>
      <c r="B1054" t="s">
        <v>8135</v>
      </c>
      <c r="C1054" t="s">
        <v>1</v>
      </c>
      <c r="D1054" t="s">
        <v>0</v>
      </c>
      <c r="E1054">
        <v>158</v>
      </c>
      <c r="F1054" t="s">
        <v>8306</v>
      </c>
      <c r="G1054" t="s">
        <v>8307</v>
      </c>
      <c r="H1054" s="3">
        <v>0</v>
      </c>
      <c r="I1054" s="3">
        <v>0</v>
      </c>
      <c r="J1054" s="3">
        <v>0</v>
      </c>
      <c r="K1054" s="3">
        <v>59.73</v>
      </c>
      <c r="L1054" s="3">
        <v>0</v>
      </c>
      <c r="M1054" s="3">
        <v>0</v>
      </c>
      <c r="N1054" s="3">
        <v>0</v>
      </c>
      <c r="O1054" s="3">
        <v>7.7648999999999999</v>
      </c>
      <c r="P1054" s="3">
        <v>67.494900000000001</v>
      </c>
      <c r="Q1054"/>
      <c r="R1054" t="s">
        <v>8200</v>
      </c>
      <c r="S1054" s="3" t="s">
        <v>8046</v>
      </c>
    </row>
    <row r="1055" spans="1:20" hidden="1" x14ac:dyDescent="0.25">
      <c r="A1055" t="s">
        <v>8126</v>
      </c>
      <c r="B1055" t="s">
        <v>8135</v>
      </c>
      <c r="C1055" t="s">
        <v>1</v>
      </c>
      <c r="D1055" t="s">
        <v>0</v>
      </c>
      <c r="E1055">
        <v>3138</v>
      </c>
      <c r="F1055" t="s">
        <v>7877</v>
      </c>
      <c r="G1055" t="s">
        <v>7878</v>
      </c>
      <c r="H1055" s="3">
        <v>0</v>
      </c>
      <c r="I1055" s="3">
        <v>0</v>
      </c>
      <c r="J1055" s="3">
        <v>0</v>
      </c>
      <c r="K1055" s="3">
        <v>8</v>
      </c>
      <c r="L1055" s="3">
        <v>0</v>
      </c>
      <c r="M1055" s="3">
        <v>0</v>
      </c>
      <c r="N1055" s="3">
        <v>0</v>
      </c>
      <c r="O1055" s="3">
        <v>1.04</v>
      </c>
      <c r="P1055" s="3">
        <v>9.0399999999999991</v>
      </c>
      <c r="Q1055"/>
      <c r="R1055" t="s">
        <v>8200</v>
      </c>
      <c r="S1055" s="3" t="s">
        <v>8046</v>
      </c>
    </row>
    <row r="1056" spans="1:20" hidden="1" x14ac:dyDescent="0.25">
      <c r="A1056" t="s">
        <v>8126</v>
      </c>
      <c r="B1056" t="s">
        <v>8135</v>
      </c>
      <c r="C1056" t="s">
        <v>1</v>
      </c>
      <c r="D1056" t="s">
        <v>0</v>
      </c>
      <c r="E1056">
        <v>46004364</v>
      </c>
      <c r="F1056" t="s">
        <v>3587</v>
      </c>
      <c r="G1056" t="s">
        <v>3588</v>
      </c>
      <c r="H1056" s="3">
        <v>0</v>
      </c>
      <c r="I1056" s="3">
        <v>0</v>
      </c>
      <c r="J1056" s="3">
        <v>0</v>
      </c>
      <c r="K1056" s="3">
        <v>440.71</v>
      </c>
      <c r="L1056" s="3">
        <v>0</v>
      </c>
      <c r="M1056" s="3">
        <v>0</v>
      </c>
      <c r="N1056" s="3">
        <v>0</v>
      </c>
      <c r="O1056" s="3">
        <v>57.292299999999997</v>
      </c>
      <c r="P1056" s="3">
        <v>498.00229999999999</v>
      </c>
      <c r="Q1056"/>
      <c r="R1056" t="s">
        <v>8200</v>
      </c>
      <c r="S1056" s="3" t="s">
        <v>8046</v>
      </c>
    </row>
    <row r="1057" spans="1:20" hidden="1" x14ac:dyDescent="0.25">
      <c r="A1057" t="s">
        <v>8126</v>
      </c>
      <c r="B1057" t="s">
        <v>8155</v>
      </c>
      <c r="C1057" t="s">
        <v>1</v>
      </c>
      <c r="D1057" t="s">
        <v>0</v>
      </c>
      <c r="E1057">
        <v>6170</v>
      </c>
      <c r="F1057" t="s">
        <v>1522</v>
      </c>
      <c r="G1057" t="s">
        <v>1523</v>
      </c>
      <c r="H1057" s="3">
        <v>1.88</v>
      </c>
      <c r="I1057" s="3">
        <v>0</v>
      </c>
      <c r="J1057" s="3">
        <v>0</v>
      </c>
      <c r="K1057" s="3">
        <v>16.04</v>
      </c>
      <c r="L1057" s="3">
        <v>0</v>
      </c>
      <c r="M1057" s="3">
        <v>0</v>
      </c>
      <c r="N1057" s="3">
        <v>0</v>
      </c>
      <c r="O1057" s="3">
        <v>2.0851999999999999</v>
      </c>
      <c r="P1057" s="3">
        <v>20.005199999999999</v>
      </c>
      <c r="Q1057"/>
      <c r="R1057" t="s">
        <v>8200</v>
      </c>
      <c r="S1057" s="3" t="s">
        <v>8046</v>
      </c>
    </row>
    <row r="1058" spans="1:20" hidden="1" x14ac:dyDescent="0.25">
      <c r="A1058" t="s">
        <v>8126</v>
      </c>
      <c r="B1058" t="s">
        <v>8155</v>
      </c>
      <c r="C1058" t="s">
        <v>1</v>
      </c>
      <c r="D1058" t="s">
        <v>0</v>
      </c>
      <c r="E1058">
        <v>305998</v>
      </c>
      <c r="F1058" t="s">
        <v>2701</v>
      </c>
      <c r="G1058" t="s">
        <v>2702</v>
      </c>
      <c r="H1058" s="3">
        <v>0</v>
      </c>
      <c r="I1058" s="3">
        <v>0</v>
      </c>
      <c r="J1058" s="3">
        <v>0</v>
      </c>
      <c r="K1058" s="3">
        <v>47.36</v>
      </c>
      <c r="L1058" s="3">
        <v>0</v>
      </c>
      <c r="M1058" s="3">
        <v>0</v>
      </c>
      <c r="N1058" s="3">
        <v>0</v>
      </c>
      <c r="O1058" s="3">
        <v>6.1568000000000005</v>
      </c>
      <c r="P1058" s="3">
        <v>53.516800000000003</v>
      </c>
      <c r="Q1058"/>
      <c r="R1058" t="s">
        <v>8200</v>
      </c>
      <c r="S1058" s="3" t="s">
        <v>8046</v>
      </c>
    </row>
    <row r="1059" spans="1:20" hidden="1" x14ac:dyDescent="0.25">
      <c r="A1059" t="s">
        <v>8126</v>
      </c>
      <c r="B1059" t="s">
        <v>8155</v>
      </c>
      <c r="C1059" t="s">
        <v>1</v>
      </c>
      <c r="D1059" t="s">
        <v>0</v>
      </c>
      <c r="E1059">
        <v>1124</v>
      </c>
      <c r="F1059" t="s">
        <v>7902</v>
      </c>
      <c r="G1059" t="s">
        <v>7903</v>
      </c>
      <c r="H1059" s="3">
        <v>0</v>
      </c>
      <c r="I1059" s="3">
        <v>0</v>
      </c>
      <c r="J1059" s="3">
        <v>0</v>
      </c>
      <c r="K1059" s="3">
        <v>65</v>
      </c>
      <c r="L1059" s="3">
        <v>0</v>
      </c>
      <c r="M1059" s="3">
        <v>0</v>
      </c>
      <c r="N1059" s="3">
        <v>0</v>
      </c>
      <c r="O1059" s="3">
        <v>8.4500000000000011</v>
      </c>
      <c r="P1059" s="3">
        <v>73.45</v>
      </c>
      <c r="Q1059"/>
      <c r="R1059" t="s">
        <v>8200</v>
      </c>
      <c r="S1059" s="3" t="s">
        <v>8046</v>
      </c>
    </row>
    <row r="1060" spans="1:20" hidden="1" x14ac:dyDescent="0.25">
      <c r="A1060" t="s">
        <v>8126</v>
      </c>
      <c r="B1060" t="s">
        <v>8156</v>
      </c>
      <c r="C1060" t="s">
        <v>1</v>
      </c>
      <c r="D1060" t="s">
        <v>0</v>
      </c>
      <c r="E1060">
        <v>3662</v>
      </c>
      <c r="F1060" t="s">
        <v>7988</v>
      </c>
      <c r="G1060" t="s">
        <v>7989</v>
      </c>
      <c r="H1060" s="3">
        <v>0</v>
      </c>
      <c r="I1060" s="3">
        <v>0</v>
      </c>
      <c r="J1060" s="3">
        <v>0</v>
      </c>
      <c r="K1060" s="3">
        <v>88.5</v>
      </c>
      <c r="L1060" s="3">
        <v>0</v>
      </c>
      <c r="M1060" s="3">
        <v>0</v>
      </c>
      <c r="N1060" s="3">
        <v>0</v>
      </c>
      <c r="O1060" s="3">
        <v>11.505000000000001</v>
      </c>
      <c r="P1060" s="3">
        <v>100.005</v>
      </c>
      <c r="Q1060"/>
      <c r="R1060" t="s">
        <v>8200</v>
      </c>
      <c r="S1060" s="3" t="s">
        <v>8046</v>
      </c>
    </row>
    <row r="1061" spans="1:20" hidden="1" x14ac:dyDescent="0.25">
      <c r="A1061" t="s">
        <v>8126</v>
      </c>
      <c r="B1061" t="s">
        <v>8156</v>
      </c>
      <c r="C1061" t="s">
        <v>1</v>
      </c>
      <c r="D1061" t="s">
        <v>0</v>
      </c>
      <c r="E1061">
        <v>202130</v>
      </c>
      <c r="F1061" t="s">
        <v>1646</v>
      </c>
      <c r="G1061" t="s">
        <v>1647</v>
      </c>
      <c r="H1061" s="3">
        <v>0</v>
      </c>
      <c r="I1061" s="3">
        <v>0</v>
      </c>
      <c r="J1061" s="3">
        <v>0</v>
      </c>
      <c r="K1061" s="3">
        <v>373</v>
      </c>
      <c r="L1061" s="3">
        <v>0</v>
      </c>
      <c r="M1061" s="3">
        <v>0</v>
      </c>
      <c r="N1061" s="3">
        <v>0</v>
      </c>
      <c r="O1061" s="3">
        <v>48.49</v>
      </c>
      <c r="P1061" s="3">
        <v>421.49</v>
      </c>
      <c r="Q1061"/>
      <c r="R1061" t="s">
        <v>8200</v>
      </c>
      <c r="S1061" s="3" t="s">
        <v>8360</v>
      </c>
      <c r="T1061" s="3">
        <v>3.73</v>
      </c>
    </row>
    <row r="1062" spans="1:20" hidden="1" x14ac:dyDescent="0.25">
      <c r="A1062" t="s">
        <v>8126</v>
      </c>
      <c r="B1062" t="s">
        <v>8156</v>
      </c>
      <c r="C1062" t="s">
        <v>1</v>
      </c>
      <c r="D1062" t="s">
        <v>0</v>
      </c>
      <c r="E1062">
        <v>7653</v>
      </c>
      <c r="F1062" t="s">
        <v>1200</v>
      </c>
      <c r="G1062" t="s">
        <v>1201</v>
      </c>
      <c r="H1062" s="3">
        <v>0</v>
      </c>
      <c r="I1062" s="3">
        <v>0</v>
      </c>
      <c r="J1062" s="3">
        <v>0</v>
      </c>
      <c r="K1062" s="3">
        <v>72</v>
      </c>
      <c r="L1062" s="3">
        <v>0</v>
      </c>
      <c r="M1062" s="3">
        <v>0</v>
      </c>
      <c r="N1062" s="3">
        <v>0</v>
      </c>
      <c r="O1062" s="3">
        <v>9.36</v>
      </c>
      <c r="P1062" s="3">
        <v>81.36</v>
      </c>
      <c r="Q1062"/>
      <c r="R1062" t="s">
        <v>8200</v>
      </c>
      <c r="S1062" s="3" t="s">
        <v>8046</v>
      </c>
    </row>
    <row r="1063" spans="1:20" hidden="1" x14ac:dyDescent="0.25">
      <c r="A1063" t="s">
        <v>8126</v>
      </c>
      <c r="B1063" t="s">
        <v>8156</v>
      </c>
      <c r="C1063" t="s">
        <v>1</v>
      </c>
      <c r="D1063" t="s">
        <v>0</v>
      </c>
      <c r="E1063">
        <v>469</v>
      </c>
      <c r="F1063" t="s">
        <v>278</v>
      </c>
      <c r="G1063" t="s">
        <v>279</v>
      </c>
      <c r="H1063" s="3">
        <v>0</v>
      </c>
      <c r="I1063" s="3">
        <v>0</v>
      </c>
      <c r="J1063" s="3">
        <v>0</v>
      </c>
      <c r="K1063" s="3">
        <v>334.5</v>
      </c>
      <c r="L1063" s="3">
        <v>0</v>
      </c>
      <c r="M1063" s="3">
        <v>0</v>
      </c>
      <c r="N1063" s="3">
        <v>0</v>
      </c>
      <c r="O1063" s="3">
        <v>43.484999999999999</v>
      </c>
      <c r="P1063" s="3">
        <v>377.98500000000001</v>
      </c>
      <c r="Q1063"/>
      <c r="R1063" t="s">
        <v>8200</v>
      </c>
      <c r="S1063" s="3" t="s">
        <v>8046</v>
      </c>
    </row>
    <row r="1064" spans="1:20" hidden="1" x14ac:dyDescent="0.25">
      <c r="A1064" t="s">
        <v>8126</v>
      </c>
      <c r="B1064" t="s">
        <v>8156</v>
      </c>
      <c r="C1064" t="s">
        <v>1</v>
      </c>
      <c r="D1064" t="s">
        <v>0</v>
      </c>
      <c r="E1064">
        <v>8983</v>
      </c>
      <c r="F1064" t="s">
        <v>1488</v>
      </c>
      <c r="G1064" t="s">
        <v>1489</v>
      </c>
      <c r="H1064" s="3">
        <v>0.85000000000000009</v>
      </c>
      <c r="I1064" s="3">
        <v>0</v>
      </c>
      <c r="J1064" s="3">
        <v>0</v>
      </c>
      <c r="K1064" s="3">
        <v>8.1</v>
      </c>
      <c r="L1064" s="3">
        <v>0</v>
      </c>
      <c r="M1064" s="3">
        <v>0</v>
      </c>
      <c r="N1064" s="3">
        <v>0</v>
      </c>
      <c r="O1064" s="3">
        <v>1.0529999999999999</v>
      </c>
      <c r="P1064" s="3">
        <v>10.003</v>
      </c>
      <c r="Q1064"/>
      <c r="R1064" t="s">
        <v>8200</v>
      </c>
      <c r="S1064" s="3" t="s">
        <v>8046</v>
      </c>
    </row>
    <row r="1065" spans="1:20" hidden="1" x14ac:dyDescent="0.25">
      <c r="A1065" t="s">
        <v>8126</v>
      </c>
      <c r="B1065" t="s">
        <v>8156</v>
      </c>
      <c r="C1065" t="s">
        <v>1</v>
      </c>
      <c r="D1065" t="s">
        <v>0</v>
      </c>
      <c r="E1065">
        <v>12467</v>
      </c>
      <c r="F1065" t="s">
        <v>119</v>
      </c>
      <c r="G1065" t="s">
        <v>120</v>
      </c>
      <c r="H1065" s="3">
        <v>0</v>
      </c>
      <c r="I1065" s="3">
        <v>0</v>
      </c>
      <c r="J1065" s="3">
        <v>0</v>
      </c>
      <c r="K1065" s="3">
        <v>5.81</v>
      </c>
      <c r="L1065" s="3">
        <v>0</v>
      </c>
      <c r="M1065" s="3">
        <v>0</v>
      </c>
      <c r="N1065" s="3">
        <v>0</v>
      </c>
      <c r="O1065" s="3">
        <v>0.75529999999999997</v>
      </c>
      <c r="P1065" s="3">
        <v>6.5652999999999997</v>
      </c>
      <c r="Q1065"/>
      <c r="R1065" t="s">
        <v>8200</v>
      </c>
      <c r="S1065" s="3" t="s">
        <v>8046</v>
      </c>
    </row>
    <row r="1066" spans="1:20" hidden="1" x14ac:dyDescent="0.25">
      <c r="A1066" t="s">
        <v>8126</v>
      </c>
      <c r="B1066" t="s">
        <v>8156</v>
      </c>
      <c r="C1066" t="s">
        <v>1</v>
      </c>
      <c r="D1066" t="s">
        <v>0</v>
      </c>
      <c r="E1066">
        <v>34387</v>
      </c>
      <c r="F1066" t="s">
        <v>2436</v>
      </c>
      <c r="G1066" t="s">
        <v>2437</v>
      </c>
      <c r="H1066" s="3">
        <v>0</v>
      </c>
      <c r="I1066" s="3">
        <v>0</v>
      </c>
      <c r="J1066" s="3">
        <v>0</v>
      </c>
      <c r="K1066" s="3">
        <v>423.81</v>
      </c>
      <c r="L1066" s="3">
        <v>0</v>
      </c>
      <c r="M1066" s="3">
        <v>0</v>
      </c>
      <c r="N1066" s="3">
        <v>0</v>
      </c>
      <c r="O1066" s="3">
        <v>55.095300000000002</v>
      </c>
      <c r="P1066" s="3">
        <v>478.90530000000001</v>
      </c>
      <c r="Q1066"/>
      <c r="R1066" t="s">
        <v>8200</v>
      </c>
      <c r="S1066" s="3" t="s">
        <v>8359</v>
      </c>
      <c r="T1066" s="3">
        <v>4.24</v>
      </c>
    </row>
    <row r="1067" spans="1:20" hidden="1" x14ac:dyDescent="0.25">
      <c r="A1067" t="s">
        <v>8126</v>
      </c>
      <c r="B1067" t="s">
        <v>8156</v>
      </c>
      <c r="C1067" t="s">
        <v>1</v>
      </c>
      <c r="D1067" t="s">
        <v>0</v>
      </c>
      <c r="E1067">
        <v>7651</v>
      </c>
      <c r="F1067" t="s">
        <v>1200</v>
      </c>
      <c r="G1067" t="s">
        <v>1201</v>
      </c>
      <c r="H1067" s="3">
        <v>0</v>
      </c>
      <c r="I1067" s="3">
        <v>0</v>
      </c>
      <c r="J1067" s="3">
        <v>0</v>
      </c>
      <c r="K1067" s="3">
        <v>4709</v>
      </c>
      <c r="L1067" s="3">
        <v>0</v>
      </c>
      <c r="M1067" s="3">
        <v>0</v>
      </c>
      <c r="N1067" s="3">
        <v>0</v>
      </c>
      <c r="O1067" s="3">
        <v>612.17000000000007</v>
      </c>
      <c r="P1067" s="3">
        <v>5321.17</v>
      </c>
      <c r="Q1067"/>
      <c r="R1067" t="s">
        <v>8200</v>
      </c>
      <c r="S1067" s="3" t="s">
        <v>8358</v>
      </c>
      <c r="T1067" s="3">
        <v>47.09</v>
      </c>
    </row>
    <row r="1068" spans="1:20" hidden="1" x14ac:dyDescent="0.25">
      <c r="A1068" t="s">
        <v>8126</v>
      </c>
      <c r="B1068" t="s">
        <v>8156</v>
      </c>
      <c r="C1068" t="s">
        <v>1</v>
      </c>
      <c r="D1068" t="s">
        <v>0</v>
      </c>
      <c r="E1068">
        <v>1593336</v>
      </c>
      <c r="F1068" t="s">
        <v>3446</v>
      </c>
      <c r="G1068" t="s">
        <v>3447</v>
      </c>
      <c r="H1068" s="3">
        <v>0</v>
      </c>
      <c r="I1068" s="3">
        <v>0</v>
      </c>
      <c r="J1068" s="3">
        <v>0</v>
      </c>
      <c r="K1068" s="3">
        <v>15.43</v>
      </c>
      <c r="L1068" s="3">
        <v>0</v>
      </c>
      <c r="M1068" s="3">
        <v>0</v>
      </c>
      <c r="N1068" s="3">
        <v>0</v>
      </c>
      <c r="O1068" s="3">
        <v>2.0059</v>
      </c>
      <c r="P1068" s="3">
        <v>17.4359</v>
      </c>
      <c r="Q1068"/>
      <c r="R1068" t="s">
        <v>8200</v>
      </c>
      <c r="S1068" s="3" t="s">
        <v>8046</v>
      </c>
    </row>
    <row r="1069" spans="1:20" hidden="1" x14ac:dyDescent="0.25">
      <c r="A1069" t="s">
        <v>8126</v>
      </c>
      <c r="B1069" t="s">
        <v>8156</v>
      </c>
      <c r="C1069" t="s">
        <v>1</v>
      </c>
      <c r="D1069" t="s">
        <v>0</v>
      </c>
      <c r="E1069">
        <v>131159</v>
      </c>
      <c r="F1069" t="s">
        <v>1620</v>
      </c>
      <c r="G1069" t="s">
        <v>1621</v>
      </c>
      <c r="H1069" s="3">
        <v>2.34</v>
      </c>
      <c r="I1069" s="3">
        <v>0</v>
      </c>
      <c r="J1069" s="3">
        <v>0</v>
      </c>
      <c r="K1069" s="3">
        <v>20.05</v>
      </c>
      <c r="L1069" s="3">
        <v>0</v>
      </c>
      <c r="M1069" s="3">
        <v>0</v>
      </c>
      <c r="N1069" s="3">
        <v>0</v>
      </c>
      <c r="O1069" s="3">
        <v>2.6065</v>
      </c>
      <c r="P1069" s="3">
        <v>24.996500000000001</v>
      </c>
      <c r="Q1069"/>
      <c r="R1069" t="s">
        <v>8200</v>
      </c>
      <c r="S1069" s="3" t="s">
        <v>8046</v>
      </c>
    </row>
    <row r="1070" spans="1:20" hidden="1" x14ac:dyDescent="0.25">
      <c r="A1070" t="s">
        <v>8126</v>
      </c>
      <c r="B1070" t="s">
        <v>8156</v>
      </c>
      <c r="C1070" t="s">
        <v>1</v>
      </c>
      <c r="D1070" t="s">
        <v>0</v>
      </c>
      <c r="E1070">
        <v>5961</v>
      </c>
      <c r="F1070" t="s">
        <v>1522</v>
      </c>
      <c r="G1070" t="s">
        <v>1523</v>
      </c>
      <c r="H1070" s="3">
        <v>2.96</v>
      </c>
      <c r="I1070" s="3">
        <v>0</v>
      </c>
      <c r="J1070" s="3">
        <v>0</v>
      </c>
      <c r="K1070" s="3">
        <v>29.24</v>
      </c>
      <c r="L1070" s="3">
        <v>0</v>
      </c>
      <c r="M1070" s="3">
        <v>0</v>
      </c>
      <c r="N1070" s="3">
        <v>0</v>
      </c>
      <c r="O1070" s="3">
        <v>3.8012000000000001</v>
      </c>
      <c r="P1070" s="3">
        <v>36.001199999999997</v>
      </c>
      <c r="Q1070"/>
      <c r="R1070" t="s">
        <v>8200</v>
      </c>
      <c r="S1070" s="3" t="s">
        <v>8046</v>
      </c>
    </row>
    <row r="1071" spans="1:20" hidden="1" x14ac:dyDescent="0.25">
      <c r="A1071" t="s">
        <v>8126</v>
      </c>
      <c r="B1071" t="s">
        <v>8136</v>
      </c>
      <c r="C1071" t="s">
        <v>1</v>
      </c>
      <c r="D1071" t="s">
        <v>0</v>
      </c>
      <c r="E1071">
        <v>2503</v>
      </c>
      <c r="F1071" t="s">
        <v>8350</v>
      </c>
      <c r="G1071" t="s">
        <v>8351</v>
      </c>
      <c r="H1071" s="3">
        <v>0</v>
      </c>
      <c r="I1071" s="3">
        <v>0</v>
      </c>
      <c r="J1071" s="3">
        <v>0</v>
      </c>
      <c r="K1071" s="3">
        <v>674.56</v>
      </c>
      <c r="L1071" s="3">
        <v>0</v>
      </c>
      <c r="M1071" s="3">
        <v>0</v>
      </c>
      <c r="N1071" s="3">
        <v>0</v>
      </c>
      <c r="O1071" s="3">
        <v>87.692799999999991</v>
      </c>
      <c r="P1071" s="3">
        <v>762.25279999999998</v>
      </c>
      <c r="Q1071"/>
      <c r="R1071" t="s">
        <v>8200</v>
      </c>
      <c r="S1071" s="3" t="s">
        <v>8046</v>
      </c>
    </row>
    <row r="1072" spans="1:20" hidden="1" x14ac:dyDescent="0.25">
      <c r="A1072" t="s">
        <v>8126</v>
      </c>
      <c r="B1072" t="s">
        <v>8136</v>
      </c>
      <c r="C1072" t="s">
        <v>1</v>
      </c>
      <c r="D1072" t="s">
        <v>0</v>
      </c>
      <c r="E1072">
        <v>5234</v>
      </c>
      <c r="F1072" t="s">
        <v>2635</v>
      </c>
      <c r="G1072" t="s">
        <v>2636</v>
      </c>
      <c r="H1072" s="3">
        <v>0</v>
      </c>
      <c r="I1072" s="3">
        <v>0</v>
      </c>
      <c r="J1072" s="3">
        <v>0</v>
      </c>
      <c r="K1072" s="3">
        <v>208.43</v>
      </c>
      <c r="L1072" s="3">
        <v>0</v>
      </c>
      <c r="M1072" s="3">
        <v>0</v>
      </c>
      <c r="N1072" s="3">
        <v>0</v>
      </c>
      <c r="O1072" s="3">
        <v>27.0959</v>
      </c>
      <c r="P1072" s="3">
        <v>235.52590000000001</v>
      </c>
      <c r="Q1072"/>
      <c r="R1072" t="s">
        <v>8200</v>
      </c>
      <c r="S1072" s="3" t="s">
        <v>8345</v>
      </c>
      <c r="T1072" s="3">
        <v>2.08</v>
      </c>
    </row>
    <row r="1073" spans="1:20" hidden="1" x14ac:dyDescent="0.25">
      <c r="A1073" t="s">
        <v>8126</v>
      </c>
      <c r="B1073" t="s">
        <v>8136</v>
      </c>
      <c r="C1073" t="s">
        <v>1</v>
      </c>
      <c r="D1073" t="s">
        <v>0</v>
      </c>
      <c r="E1073">
        <v>5241</v>
      </c>
      <c r="F1073" t="s">
        <v>2635</v>
      </c>
      <c r="G1073" t="s">
        <v>2636</v>
      </c>
      <c r="H1073" s="3">
        <v>0</v>
      </c>
      <c r="I1073" s="3">
        <v>0</v>
      </c>
      <c r="J1073" s="3">
        <v>0</v>
      </c>
      <c r="K1073" s="3">
        <v>92.04</v>
      </c>
      <c r="L1073" s="3">
        <v>0</v>
      </c>
      <c r="M1073" s="3">
        <v>0</v>
      </c>
      <c r="N1073" s="3">
        <v>0</v>
      </c>
      <c r="O1073" s="3">
        <v>11.965200000000001</v>
      </c>
      <c r="P1073" s="3">
        <v>104.0052</v>
      </c>
      <c r="Q1073"/>
      <c r="R1073" t="s">
        <v>8200</v>
      </c>
      <c r="S1073" s="3" t="s">
        <v>8046</v>
      </c>
    </row>
    <row r="1074" spans="1:20" hidden="1" x14ac:dyDescent="0.25">
      <c r="A1074" t="s">
        <v>8126</v>
      </c>
      <c r="B1074" t="s">
        <v>8136</v>
      </c>
      <c r="C1074" t="s">
        <v>1</v>
      </c>
      <c r="D1074" t="s">
        <v>0</v>
      </c>
      <c r="E1074">
        <v>98505</v>
      </c>
      <c r="F1074" t="s">
        <v>4690</v>
      </c>
      <c r="G1074" t="s">
        <v>4691</v>
      </c>
      <c r="H1074" s="3">
        <v>0</v>
      </c>
      <c r="I1074" s="3">
        <v>0</v>
      </c>
      <c r="J1074" s="3">
        <v>0</v>
      </c>
      <c r="K1074" s="3">
        <v>191.16</v>
      </c>
      <c r="L1074" s="3">
        <v>0</v>
      </c>
      <c r="M1074" s="3">
        <v>0</v>
      </c>
      <c r="N1074" s="3">
        <v>0</v>
      </c>
      <c r="O1074" s="3">
        <v>24.8508</v>
      </c>
      <c r="P1074" s="3">
        <v>216.01079999999999</v>
      </c>
      <c r="Q1074"/>
      <c r="R1074" t="s">
        <v>8200</v>
      </c>
      <c r="S1074" s="3" t="s">
        <v>8046</v>
      </c>
    </row>
    <row r="1075" spans="1:20" hidden="1" x14ac:dyDescent="0.25">
      <c r="A1075" t="s">
        <v>8126</v>
      </c>
      <c r="B1075" t="s">
        <v>8136</v>
      </c>
      <c r="C1075" t="s">
        <v>1</v>
      </c>
      <c r="D1075" t="s">
        <v>0</v>
      </c>
      <c r="E1075">
        <v>801</v>
      </c>
      <c r="F1075" t="s">
        <v>1457</v>
      </c>
      <c r="G1075" t="s">
        <v>1458</v>
      </c>
      <c r="H1075" s="3">
        <v>0</v>
      </c>
      <c r="I1075" s="3">
        <v>0</v>
      </c>
      <c r="J1075" s="3">
        <v>0</v>
      </c>
      <c r="K1075" s="3">
        <v>94.38</v>
      </c>
      <c r="L1075" s="3">
        <v>0</v>
      </c>
      <c r="M1075" s="3">
        <v>0</v>
      </c>
      <c r="N1075" s="3">
        <v>0</v>
      </c>
      <c r="O1075" s="3">
        <v>12.269399999999999</v>
      </c>
      <c r="P1075" s="3">
        <v>106.6494</v>
      </c>
      <c r="Q1075"/>
      <c r="R1075" t="s">
        <v>8200</v>
      </c>
      <c r="S1075" s="3" t="s">
        <v>8046</v>
      </c>
    </row>
    <row r="1076" spans="1:20" hidden="1" x14ac:dyDescent="0.25">
      <c r="A1076" t="s">
        <v>8126</v>
      </c>
      <c r="B1076" t="s">
        <v>8139</v>
      </c>
      <c r="C1076" t="s">
        <v>1</v>
      </c>
      <c r="D1076" t="s">
        <v>0</v>
      </c>
      <c r="E1076">
        <v>1062</v>
      </c>
      <c r="F1076" t="s">
        <v>131</v>
      </c>
      <c r="G1076" t="s">
        <v>132</v>
      </c>
      <c r="H1076" s="3">
        <v>0</v>
      </c>
      <c r="I1076" s="3">
        <v>0</v>
      </c>
      <c r="J1076" s="3">
        <v>0</v>
      </c>
      <c r="K1076" s="3">
        <v>847.65</v>
      </c>
      <c r="L1076" s="3">
        <v>0</v>
      </c>
      <c r="M1076" s="3">
        <v>0</v>
      </c>
      <c r="N1076" s="3">
        <v>0</v>
      </c>
      <c r="O1076" s="3">
        <v>110.19450000000001</v>
      </c>
      <c r="P1076" s="3">
        <v>957.84449999999993</v>
      </c>
      <c r="Q1076"/>
      <c r="R1076" t="s">
        <v>8200</v>
      </c>
      <c r="S1076" s="3" t="s">
        <v>8046</v>
      </c>
    </row>
    <row r="1077" spans="1:20" hidden="1" x14ac:dyDescent="0.25">
      <c r="A1077" t="s">
        <v>8126</v>
      </c>
      <c r="B1077" t="s">
        <v>8139</v>
      </c>
      <c r="C1077" t="s">
        <v>1</v>
      </c>
      <c r="D1077" t="s">
        <v>0</v>
      </c>
      <c r="E1077">
        <v>7619</v>
      </c>
      <c r="F1077" t="s">
        <v>1200</v>
      </c>
      <c r="G1077" t="s">
        <v>1201</v>
      </c>
      <c r="H1077" s="3">
        <v>0</v>
      </c>
      <c r="I1077" s="3">
        <v>0</v>
      </c>
      <c r="J1077" s="3">
        <v>0</v>
      </c>
      <c r="K1077" s="3">
        <v>13871.6</v>
      </c>
      <c r="L1077" s="3">
        <v>0</v>
      </c>
      <c r="M1077" s="3">
        <v>0</v>
      </c>
      <c r="N1077" s="3">
        <v>0</v>
      </c>
      <c r="O1077" s="3">
        <v>1803.3080000000002</v>
      </c>
      <c r="P1077" s="3">
        <v>15674.908000000001</v>
      </c>
      <c r="Q1077"/>
      <c r="R1077" t="s">
        <v>8200</v>
      </c>
      <c r="S1077" s="3" t="s">
        <v>8358</v>
      </c>
      <c r="T1077" s="3">
        <v>138.72</v>
      </c>
    </row>
    <row r="1078" spans="1:20" hidden="1" x14ac:dyDescent="0.25">
      <c r="A1078" t="s">
        <v>8126</v>
      </c>
      <c r="B1078" t="s">
        <v>8139</v>
      </c>
      <c r="C1078" t="s">
        <v>1</v>
      </c>
      <c r="D1078" t="s">
        <v>0</v>
      </c>
      <c r="E1078">
        <v>793</v>
      </c>
      <c r="F1078" t="s">
        <v>1457</v>
      </c>
      <c r="G1078" t="s">
        <v>1458</v>
      </c>
      <c r="H1078" s="3">
        <v>0</v>
      </c>
      <c r="I1078" s="3">
        <v>0</v>
      </c>
      <c r="J1078" s="3">
        <v>0</v>
      </c>
      <c r="K1078" s="3">
        <v>85.4</v>
      </c>
      <c r="L1078" s="3">
        <v>0</v>
      </c>
      <c r="M1078" s="3">
        <v>0</v>
      </c>
      <c r="N1078" s="3">
        <v>0</v>
      </c>
      <c r="O1078" s="3">
        <v>11.102</v>
      </c>
      <c r="P1078" s="3">
        <v>96.50200000000001</v>
      </c>
      <c r="Q1078"/>
      <c r="R1078" t="s">
        <v>8200</v>
      </c>
      <c r="S1078" s="3" t="s">
        <v>8046</v>
      </c>
    </row>
    <row r="1079" spans="1:20" hidden="1" x14ac:dyDescent="0.25">
      <c r="A1079" t="s">
        <v>8126</v>
      </c>
      <c r="B1079" t="s">
        <v>8139</v>
      </c>
      <c r="C1079" t="s">
        <v>1</v>
      </c>
      <c r="D1079" t="s">
        <v>0</v>
      </c>
      <c r="E1079">
        <v>46004340</v>
      </c>
      <c r="F1079" t="s">
        <v>3587</v>
      </c>
      <c r="G1079" t="s">
        <v>3588</v>
      </c>
      <c r="H1079" s="3">
        <v>0</v>
      </c>
      <c r="I1079" s="3">
        <v>0</v>
      </c>
      <c r="J1079" s="3">
        <v>0</v>
      </c>
      <c r="K1079" s="3">
        <v>43.36</v>
      </c>
      <c r="L1079" s="3">
        <v>0</v>
      </c>
      <c r="M1079" s="3">
        <v>0</v>
      </c>
      <c r="N1079" s="3">
        <v>0</v>
      </c>
      <c r="O1079" s="3">
        <v>5.6368</v>
      </c>
      <c r="P1079" s="3">
        <v>48.9968</v>
      </c>
      <c r="Q1079"/>
      <c r="R1079" t="s">
        <v>8200</v>
      </c>
      <c r="S1079" s="3" t="s">
        <v>8046</v>
      </c>
    </row>
    <row r="1080" spans="1:20" hidden="1" x14ac:dyDescent="0.25">
      <c r="A1080" t="s">
        <v>8126</v>
      </c>
      <c r="B1080" t="s">
        <v>8139</v>
      </c>
      <c r="C1080" t="s">
        <v>1</v>
      </c>
      <c r="D1080" t="s">
        <v>0</v>
      </c>
      <c r="E1080">
        <v>482365</v>
      </c>
      <c r="F1080" t="s">
        <v>2376</v>
      </c>
      <c r="G1080" t="s">
        <v>2377</v>
      </c>
      <c r="H1080" s="3">
        <v>6.37</v>
      </c>
      <c r="I1080" s="3">
        <v>0</v>
      </c>
      <c r="J1080" s="3">
        <v>0</v>
      </c>
      <c r="K1080" s="3">
        <v>25.57</v>
      </c>
      <c r="L1080" s="3">
        <v>0</v>
      </c>
      <c r="M1080" s="3">
        <v>0</v>
      </c>
      <c r="N1080" s="3">
        <v>0</v>
      </c>
      <c r="O1080" s="3">
        <v>3.3241000000000001</v>
      </c>
      <c r="P1080" s="3">
        <v>35.264099999999999</v>
      </c>
      <c r="Q1080"/>
      <c r="R1080" t="s">
        <v>8200</v>
      </c>
      <c r="S1080" s="3" t="s">
        <v>8046</v>
      </c>
    </row>
    <row r="1081" spans="1:20" hidden="1" x14ac:dyDescent="0.25">
      <c r="A1081" t="s">
        <v>8126</v>
      </c>
      <c r="B1081" t="s">
        <v>8139</v>
      </c>
      <c r="C1081" t="s">
        <v>1</v>
      </c>
      <c r="D1081" t="s">
        <v>0</v>
      </c>
      <c r="E1081">
        <v>252</v>
      </c>
      <c r="F1081" t="s">
        <v>1630</v>
      </c>
      <c r="G1081" t="s">
        <v>1631</v>
      </c>
      <c r="H1081" s="3">
        <v>0</v>
      </c>
      <c r="I1081" s="3">
        <v>0</v>
      </c>
      <c r="J1081" s="3">
        <v>0</v>
      </c>
      <c r="K1081" s="3">
        <v>28.76</v>
      </c>
      <c r="L1081" s="3">
        <v>0</v>
      </c>
      <c r="M1081" s="3">
        <v>0</v>
      </c>
      <c r="N1081" s="3">
        <v>0</v>
      </c>
      <c r="O1081" s="3">
        <v>3.7388000000000003</v>
      </c>
      <c r="P1081" s="3">
        <v>32.498800000000003</v>
      </c>
      <c r="Q1081"/>
      <c r="R1081" t="s">
        <v>8200</v>
      </c>
      <c r="S1081" s="3" t="s">
        <v>8046</v>
      </c>
    </row>
    <row r="1082" spans="1:20" hidden="1" x14ac:dyDescent="0.25">
      <c r="A1082" t="s">
        <v>8126</v>
      </c>
      <c r="B1082" t="s">
        <v>8139</v>
      </c>
      <c r="C1082" t="s">
        <v>1</v>
      </c>
      <c r="D1082" t="s">
        <v>0</v>
      </c>
      <c r="E1082">
        <v>244009</v>
      </c>
      <c r="F1082" t="s">
        <v>3251</v>
      </c>
      <c r="G1082" t="s">
        <v>3252</v>
      </c>
      <c r="H1082" s="3">
        <v>0</v>
      </c>
      <c r="I1082" s="3">
        <v>0</v>
      </c>
      <c r="J1082" s="3">
        <v>0</v>
      </c>
      <c r="K1082" s="3">
        <v>81.56</v>
      </c>
      <c r="L1082" s="3">
        <v>0</v>
      </c>
      <c r="M1082" s="3">
        <v>0</v>
      </c>
      <c r="N1082" s="3">
        <v>0</v>
      </c>
      <c r="O1082" s="3">
        <v>10.6028</v>
      </c>
      <c r="P1082" s="3">
        <v>92.162800000000004</v>
      </c>
      <c r="Q1082"/>
      <c r="R1082" t="s">
        <v>8200</v>
      </c>
      <c r="S1082" s="3" t="s">
        <v>8046</v>
      </c>
    </row>
    <row r="1083" spans="1:20" hidden="1" x14ac:dyDescent="0.25">
      <c r="A1083" t="s">
        <v>8126</v>
      </c>
      <c r="B1083" t="s">
        <v>8357</v>
      </c>
      <c r="C1083" t="s">
        <v>1</v>
      </c>
      <c r="D1083" t="s">
        <v>0</v>
      </c>
      <c r="E1083">
        <v>344088</v>
      </c>
      <c r="F1083" t="s">
        <v>39</v>
      </c>
      <c r="G1083" t="s">
        <v>1596</v>
      </c>
      <c r="H1083" s="3">
        <v>2.0999999999999996</v>
      </c>
      <c r="I1083" s="3">
        <v>0</v>
      </c>
      <c r="J1083" s="3">
        <v>0</v>
      </c>
      <c r="K1083" s="3">
        <v>20.27</v>
      </c>
      <c r="L1083" s="3">
        <v>0</v>
      </c>
      <c r="M1083" s="3">
        <v>0</v>
      </c>
      <c r="N1083" s="3">
        <v>0</v>
      </c>
      <c r="O1083" s="3">
        <v>2.6351</v>
      </c>
      <c r="P1083" s="3">
        <v>25.005099999999999</v>
      </c>
      <c r="Q1083"/>
      <c r="R1083" t="s">
        <v>8200</v>
      </c>
      <c r="S1083" s="3" t="s">
        <v>8046</v>
      </c>
    </row>
    <row r="1084" spans="1:20" hidden="1" x14ac:dyDescent="0.25">
      <c r="A1084" t="s">
        <v>8126</v>
      </c>
      <c r="B1084" t="s">
        <v>8357</v>
      </c>
      <c r="C1084" t="s">
        <v>1</v>
      </c>
      <c r="D1084" t="s">
        <v>0</v>
      </c>
      <c r="E1084">
        <v>22940</v>
      </c>
      <c r="F1084" t="s">
        <v>1540</v>
      </c>
      <c r="G1084" t="s">
        <v>1541</v>
      </c>
      <c r="H1084" s="3">
        <v>2.13</v>
      </c>
      <c r="I1084" s="3">
        <v>0</v>
      </c>
      <c r="J1084" s="3">
        <v>0</v>
      </c>
      <c r="K1084" s="3">
        <v>21.12</v>
      </c>
      <c r="L1084" s="3">
        <v>0</v>
      </c>
      <c r="M1084" s="3">
        <v>0</v>
      </c>
      <c r="N1084" s="3">
        <v>0</v>
      </c>
      <c r="O1084" s="3">
        <v>2.7456</v>
      </c>
      <c r="P1084" s="3">
        <v>25.9956</v>
      </c>
      <c r="Q1084"/>
      <c r="R1084" t="s">
        <v>8200</v>
      </c>
      <c r="S1084" s="3" t="s">
        <v>8046</v>
      </c>
    </row>
    <row r="1085" spans="1:20" hidden="1" x14ac:dyDescent="0.25">
      <c r="A1085" t="s">
        <v>8126</v>
      </c>
      <c r="B1085" t="s">
        <v>8157</v>
      </c>
      <c r="C1085" t="s">
        <v>1</v>
      </c>
      <c r="D1085" t="s">
        <v>0</v>
      </c>
      <c r="E1085">
        <v>3726</v>
      </c>
      <c r="F1085" t="s">
        <v>1705</v>
      </c>
      <c r="G1085" t="s">
        <v>1706</v>
      </c>
      <c r="H1085" s="3">
        <v>0</v>
      </c>
      <c r="I1085" s="3">
        <v>0</v>
      </c>
      <c r="J1085" s="3">
        <v>0</v>
      </c>
      <c r="K1085" s="3">
        <v>671.25</v>
      </c>
      <c r="L1085" s="3">
        <v>0</v>
      </c>
      <c r="M1085" s="3">
        <v>0</v>
      </c>
      <c r="N1085" s="3">
        <v>0</v>
      </c>
      <c r="O1085" s="3">
        <v>87.262500000000003</v>
      </c>
      <c r="P1085" s="3">
        <v>758.51250000000005</v>
      </c>
      <c r="Q1085"/>
      <c r="R1085" t="s">
        <v>8200</v>
      </c>
      <c r="S1085" s="3" t="s">
        <v>8046</v>
      </c>
    </row>
    <row r="1086" spans="1:20" hidden="1" x14ac:dyDescent="0.25">
      <c r="A1086" t="s">
        <v>8126</v>
      </c>
      <c r="B1086" t="s">
        <v>8356</v>
      </c>
      <c r="C1086" t="s">
        <v>1</v>
      </c>
      <c r="D1086" t="s">
        <v>0</v>
      </c>
      <c r="E1086">
        <v>5346</v>
      </c>
      <c r="F1086" t="s">
        <v>1522</v>
      </c>
      <c r="G1086" t="s">
        <v>1523</v>
      </c>
      <c r="H1086" s="3">
        <v>1.23</v>
      </c>
      <c r="I1086" s="3">
        <v>0</v>
      </c>
      <c r="J1086" s="3">
        <v>0</v>
      </c>
      <c r="K1086" s="3">
        <v>12.19</v>
      </c>
      <c r="L1086" s="3">
        <v>0</v>
      </c>
      <c r="M1086" s="3">
        <v>0</v>
      </c>
      <c r="N1086" s="3">
        <v>0</v>
      </c>
      <c r="O1086" s="3">
        <v>1.5847</v>
      </c>
      <c r="P1086" s="3">
        <v>15.0047</v>
      </c>
      <c r="Q1086"/>
      <c r="R1086" t="s">
        <v>8200</v>
      </c>
      <c r="S1086" s="3" t="s">
        <v>8046</v>
      </c>
    </row>
    <row r="1087" spans="1:20" hidden="1" x14ac:dyDescent="0.25">
      <c r="A1087" t="s">
        <v>8126</v>
      </c>
      <c r="B1087" t="s">
        <v>8355</v>
      </c>
      <c r="C1087" t="s">
        <v>1</v>
      </c>
      <c r="D1087" t="s">
        <v>0</v>
      </c>
      <c r="E1087">
        <v>184078</v>
      </c>
      <c r="F1087" t="s">
        <v>1546</v>
      </c>
      <c r="G1087" t="s">
        <v>1547</v>
      </c>
      <c r="H1087" s="3">
        <v>1.9</v>
      </c>
      <c r="I1087" s="3">
        <v>0</v>
      </c>
      <c r="J1087" s="3">
        <v>0</v>
      </c>
      <c r="K1087" s="3">
        <v>20.440000000000001</v>
      </c>
      <c r="L1087" s="3">
        <v>0</v>
      </c>
      <c r="M1087" s="3">
        <v>0</v>
      </c>
      <c r="N1087" s="3">
        <v>0</v>
      </c>
      <c r="O1087" s="3">
        <v>2.6572000000000005</v>
      </c>
      <c r="P1087" s="3">
        <v>24.997199999999999</v>
      </c>
      <c r="Q1087"/>
      <c r="R1087" t="s">
        <v>8200</v>
      </c>
      <c r="S1087" s="3" t="s">
        <v>8046</v>
      </c>
    </row>
    <row r="1088" spans="1:20" hidden="1" x14ac:dyDescent="0.25">
      <c r="A1088" t="s">
        <v>8126</v>
      </c>
      <c r="B1088" s="33" t="s">
        <v>8354</v>
      </c>
      <c r="C1088" t="s">
        <v>1</v>
      </c>
      <c r="D1088" t="s">
        <v>0</v>
      </c>
      <c r="E1088">
        <v>70293</v>
      </c>
      <c r="F1088" t="s">
        <v>1531</v>
      </c>
      <c r="G1088" t="s">
        <v>1532</v>
      </c>
      <c r="H1088" s="3">
        <v>1.9900000000000002</v>
      </c>
      <c r="I1088" s="3">
        <v>0</v>
      </c>
      <c r="J1088" s="3">
        <v>0</v>
      </c>
      <c r="K1088" s="3">
        <v>20.350000000000001</v>
      </c>
      <c r="L1088" s="3">
        <v>0</v>
      </c>
      <c r="M1088" s="3">
        <v>0</v>
      </c>
      <c r="N1088" s="3">
        <v>0</v>
      </c>
      <c r="O1088" s="3">
        <v>2.6455000000000002</v>
      </c>
      <c r="P1088" s="3">
        <v>24.985500000000002</v>
      </c>
      <c r="Q1088"/>
      <c r="R1088" t="s">
        <v>8200</v>
      </c>
      <c r="S1088" s="3" t="s">
        <v>8046</v>
      </c>
    </row>
    <row r="1089" spans="1:20" hidden="1" x14ac:dyDescent="0.25">
      <c r="A1089" t="s">
        <v>8126</v>
      </c>
      <c r="B1089" t="s">
        <v>8353</v>
      </c>
      <c r="C1089" t="s">
        <v>1</v>
      </c>
      <c r="D1089" s="33" t="s">
        <v>8333</v>
      </c>
      <c r="E1089">
        <v>562355</v>
      </c>
      <c r="F1089" t="s">
        <v>1576</v>
      </c>
      <c r="G1089" t="s">
        <v>1577</v>
      </c>
      <c r="H1089" s="3">
        <v>0</v>
      </c>
      <c r="I1089" s="3">
        <v>0</v>
      </c>
      <c r="J1089" s="3">
        <v>0</v>
      </c>
      <c r="K1089" s="3">
        <v>198.88</v>
      </c>
      <c r="L1089" s="3">
        <v>0</v>
      </c>
      <c r="M1089" s="3">
        <v>0</v>
      </c>
      <c r="N1089" s="3">
        <v>0</v>
      </c>
      <c r="O1089" s="3">
        <v>25.854400000000002</v>
      </c>
      <c r="P1089" s="3">
        <v>224.73439999999999</v>
      </c>
      <c r="Q1089"/>
      <c r="R1089" t="s">
        <v>8200</v>
      </c>
      <c r="S1089" s="3" t="s">
        <v>8046</v>
      </c>
    </row>
    <row r="1090" spans="1:20" hidden="1" x14ac:dyDescent="0.25">
      <c r="A1090" t="s">
        <v>8126</v>
      </c>
      <c r="B1090" t="s">
        <v>8352</v>
      </c>
      <c r="C1090" t="s">
        <v>1</v>
      </c>
      <c r="D1090" t="s">
        <v>0</v>
      </c>
      <c r="E1090">
        <v>2067954</v>
      </c>
      <c r="F1090" t="s">
        <v>1497</v>
      </c>
      <c r="G1090" t="s">
        <v>1498</v>
      </c>
      <c r="H1090" s="3">
        <v>0</v>
      </c>
      <c r="I1090" s="3">
        <v>0</v>
      </c>
      <c r="J1090" s="3">
        <v>0</v>
      </c>
      <c r="K1090" s="3">
        <v>92.48</v>
      </c>
      <c r="L1090" s="3">
        <v>0</v>
      </c>
      <c r="M1090" s="3">
        <v>0</v>
      </c>
      <c r="N1090" s="3">
        <v>0</v>
      </c>
      <c r="O1090" s="3">
        <v>12.022400000000001</v>
      </c>
      <c r="P1090" s="3">
        <v>104.50240000000001</v>
      </c>
      <c r="Q1090"/>
      <c r="R1090" t="s">
        <v>8200</v>
      </c>
      <c r="S1090" s="3" t="s">
        <v>8046</v>
      </c>
    </row>
    <row r="1091" spans="1:20" hidden="1" x14ac:dyDescent="0.25">
      <c r="A1091" t="s">
        <v>8126</v>
      </c>
      <c r="B1091" t="s">
        <v>8349</v>
      </c>
      <c r="C1091" t="s">
        <v>1</v>
      </c>
      <c r="D1091" t="s">
        <v>0</v>
      </c>
      <c r="E1091">
        <v>2454</v>
      </c>
      <c r="F1091" t="s">
        <v>8350</v>
      </c>
      <c r="G1091" t="s">
        <v>8351</v>
      </c>
      <c r="H1091" s="3">
        <v>0</v>
      </c>
      <c r="I1091" s="3">
        <v>0</v>
      </c>
      <c r="J1091" s="3">
        <v>0</v>
      </c>
      <c r="K1091" s="3">
        <v>207.08</v>
      </c>
      <c r="L1091" s="3">
        <v>0</v>
      </c>
      <c r="M1091" s="3">
        <v>0</v>
      </c>
      <c r="N1091" s="3">
        <v>0</v>
      </c>
      <c r="O1091" s="3">
        <v>26.920400000000001</v>
      </c>
      <c r="P1091" s="3">
        <v>234.00040000000001</v>
      </c>
      <c r="Q1091"/>
      <c r="R1091" t="s">
        <v>8200</v>
      </c>
      <c r="S1091" s="3" t="s">
        <v>8046</v>
      </c>
    </row>
    <row r="1092" spans="1:20" hidden="1" x14ac:dyDescent="0.25">
      <c r="A1092" t="s">
        <v>8126</v>
      </c>
      <c r="B1092" t="s">
        <v>8348</v>
      </c>
      <c r="C1092" t="s">
        <v>1</v>
      </c>
      <c r="D1092" t="s">
        <v>0</v>
      </c>
      <c r="E1092">
        <v>112095</v>
      </c>
      <c r="F1092" t="s">
        <v>1546</v>
      </c>
      <c r="G1092" t="s">
        <v>1547</v>
      </c>
      <c r="H1092" s="3">
        <v>1.1800000000000002</v>
      </c>
      <c r="I1092" s="3">
        <v>0</v>
      </c>
      <c r="J1092" s="3">
        <v>0</v>
      </c>
      <c r="K1092" s="3">
        <v>12.23</v>
      </c>
      <c r="L1092" s="3">
        <v>0</v>
      </c>
      <c r="M1092" s="3">
        <v>0</v>
      </c>
      <c r="N1092" s="3">
        <v>0</v>
      </c>
      <c r="O1092" s="3">
        <v>1.5899000000000001</v>
      </c>
      <c r="P1092" s="3">
        <v>14.9999</v>
      </c>
      <c r="Q1092"/>
      <c r="R1092" t="s">
        <v>8200</v>
      </c>
      <c r="S1092" s="3" t="s">
        <v>8046</v>
      </c>
    </row>
    <row r="1093" spans="1:20" hidden="1" x14ac:dyDescent="0.25">
      <c r="A1093" t="s">
        <v>8126</v>
      </c>
      <c r="B1093" t="s">
        <v>8347</v>
      </c>
      <c r="C1093" t="s">
        <v>1</v>
      </c>
      <c r="D1093" s="33" t="s">
        <v>8333</v>
      </c>
      <c r="E1093">
        <v>530661</v>
      </c>
      <c r="F1093" t="s">
        <v>1576</v>
      </c>
      <c r="G1093" t="s">
        <v>1577</v>
      </c>
      <c r="H1093" s="3">
        <v>0</v>
      </c>
      <c r="I1093" s="3">
        <v>0</v>
      </c>
      <c r="J1093" s="3">
        <v>0</v>
      </c>
      <c r="K1093" s="3">
        <v>1291.73</v>
      </c>
      <c r="L1093" s="3">
        <v>0</v>
      </c>
      <c r="M1093" s="3">
        <v>0</v>
      </c>
      <c r="N1093" s="3">
        <v>0</v>
      </c>
      <c r="O1093" s="3">
        <v>167.92490000000001</v>
      </c>
      <c r="P1093" s="3">
        <v>1459.6549</v>
      </c>
      <c r="Q1093"/>
      <c r="R1093" t="s">
        <v>8200</v>
      </c>
      <c r="S1093" s="3" t="s">
        <v>8046</v>
      </c>
    </row>
    <row r="1094" spans="1:20" hidden="1" x14ac:dyDescent="0.25">
      <c r="A1094" t="s">
        <v>8126</v>
      </c>
      <c r="B1094" t="s">
        <v>8347</v>
      </c>
      <c r="C1094" t="s">
        <v>1</v>
      </c>
      <c r="D1094" t="s">
        <v>0</v>
      </c>
      <c r="E1094">
        <v>39638</v>
      </c>
      <c r="F1094" t="s">
        <v>1670</v>
      </c>
      <c r="G1094" t="s">
        <v>1671</v>
      </c>
      <c r="H1094" s="3">
        <v>2.59</v>
      </c>
      <c r="I1094" s="3">
        <v>0</v>
      </c>
      <c r="J1094" s="3">
        <v>0</v>
      </c>
      <c r="K1094" s="3">
        <v>26.91</v>
      </c>
      <c r="L1094" s="3">
        <v>0</v>
      </c>
      <c r="M1094" s="3">
        <v>0</v>
      </c>
      <c r="N1094" s="3">
        <v>0</v>
      </c>
      <c r="O1094" s="3">
        <v>3.4983</v>
      </c>
      <c r="P1094" s="3">
        <v>32.9983</v>
      </c>
      <c r="Q1094"/>
      <c r="R1094" t="s">
        <v>8200</v>
      </c>
      <c r="S1094" s="3" t="s">
        <v>8046</v>
      </c>
    </row>
    <row r="1095" spans="1:20" hidden="1" x14ac:dyDescent="0.25">
      <c r="A1095" t="s">
        <v>8126</v>
      </c>
      <c r="B1095" t="s">
        <v>8346</v>
      </c>
      <c r="C1095" t="s">
        <v>1</v>
      </c>
      <c r="D1095" t="s">
        <v>0</v>
      </c>
      <c r="E1095">
        <v>6634</v>
      </c>
      <c r="F1095" t="s">
        <v>2635</v>
      </c>
      <c r="G1095" t="s">
        <v>2636</v>
      </c>
      <c r="H1095" s="3">
        <v>0</v>
      </c>
      <c r="I1095" s="3">
        <v>0</v>
      </c>
      <c r="J1095" s="3">
        <v>0</v>
      </c>
      <c r="K1095" s="3">
        <v>40.799999999999997</v>
      </c>
      <c r="L1095" s="3">
        <v>0</v>
      </c>
      <c r="M1095" s="3">
        <v>0</v>
      </c>
      <c r="N1095" s="3">
        <v>0</v>
      </c>
      <c r="O1095" s="3">
        <v>5.3039999999999994</v>
      </c>
      <c r="P1095" s="3">
        <v>46.103999999999999</v>
      </c>
      <c r="Q1095"/>
      <c r="R1095" t="s">
        <v>8200</v>
      </c>
      <c r="S1095" s="3" t="s">
        <v>8046</v>
      </c>
    </row>
    <row r="1096" spans="1:20" hidden="1" x14ac:dyDescent="0.25">
      <c r="A1096" t="s">
        <v>8126</v>
      </c>
      <c r="B1096" t="s">
        <v>8346</v>
      </c>
      <c r="C1096" t="s">
        <v>1</v>
      </c>
      <c r="D1096" t="s">
        <v>0</v>
      </c>
      <c r="E1096">
        <v>6658</v>
      </c>
      <c r="F1096" t="s">
        <v>2635</v>
      </c>
      <c r="G1096" t="s">
        <v>2636</v>
      </c>
      <c r="H1096" s="3">
        <v>0</v>
      </c>
      <c r="I1096" s="3">
        <v>0</v>
      </c>
      <c r="J1096" s="3">
        <v>0</v>
      </c>
      <c r="K1096" s="3">
        <v>174.82</v>
      </c>
      <c r="L1096" s="3">
        <v>0</v>
      </c>
      <c r="M1096" s="3">
        <v>0</v>
      </c>
      <c r="N1096" s="3">
        <v>0</v>
      </c>
      <c r="O1096" s="3">
        <v>22.726600000000001</v>
      </c>
      <c r="P1096" s="3">
        <v>197.54659999999998</v>
      </c>
      <c r="Q1096"/>
      <c r="R1096" t="s">
        <v>8200</v>
      </c>
      <c r="S1096" s="3" t="s">
        <v>8345</v>
      </c>
      <c r="T1096" s="3">
        <v>1.75</v>
      </c>
    </row>
    <row r="1097" spans="1:20" hidden="1" x14ac:dyDescent="0.25">
      <c r="A1097" t="s">
        <v>8126</v>
      </c>
      <c r="B1097" t="s">
        <v>8344</v>
      </c>
      <c r="C1097" t="s">
        <v>1</v>
      </c>
      <c r="D1097" t="s">
        <v>0</v>
      </c>
      <c r="E1097">
        <v>6503</v>
      </c>
      <c r="F1097" t="s">
        <v>2635</v>
      </c>
      <c r="G1097" t="s">
        <v>2636</v>
      </c>
      <c r="H1097" s="3">
        <v>0</v>
      </c>
      <c r="I1097" s="3">
        <v>0</v>
      </c>
      <c r="J1097" s="3">
        <v>0</v>
      </c>
      <c r="K1097" s="3">
        <v>398.23</v>
      </c>
      <c r="L1097" s="3">
        <v>0</v>
      </c>
      <c r="M1097" s="3">
        <v>0</v>
      </c>
      <c r="N1097" s="3">
        <v>0</v>
      </c>
      <c r="O1097" s="3">
        <v>51.769900000000007</v>
      </c>
      <c r="P1097" s="3">
        <v>449.99990000000003</v>
      </c>
      <c r="Q1097"/>
      <c r="R1097" t="s">
        <v>8200</v>
      </c>
      <c r="S1097" s="3" t="s">
        <v>8345</v>
      </c>
      <c r="T1097" s="3">
        <v>3.98</v>
      </c>
    </row>
    <row r="1098" spans="1:20" hidden="1" x14ac:dyDescent="0.25">
      <c r="A1098" t="s">
        <v>8126</v>
      </c>
      <c r="B1098" t="s">
        <v>8343</v>
      </c>
      <c r="C1098" t="s">
        <v>1</v>
      </c>
      <c r="D1098" t="s">
        <v>0</v>
      </c>
      <c r="E1098">
        <v>1643</v>
      </c>
      <c r="F1098" t="s">
        <v>1682</v>
      </c>
      <c r="G1098" t="s">
        <v>1683</v>
      </c>
      <c r="H1098" s="3">
        <v>0</v>
      </c>
      <c r="I1098" s="3">
        <v>0</v>
      </c>
      <c r="J1098" s="3">
        <v>0</v>
      </c>
      <c r="K1098" s="3">
        <v>180.2</v>
      </c>
      <c r="L1098" s="3">
        <v>0</v>
      </c>
      <c r="M1098" s="3">
        <v>0</v>
      </c>
      <c r="N1098" s="3">
        <v>0</v>
      </c>
      <c r="O1098" s="3">
        <v>23.425999999999998</v>
      </c>
      <c r="P1098" s="3">
        <v>203.62599999999998</v>
      </c>
      <c r="Q1098"/>
      <c r="R1098" t="s">
        <v>8200</v>
      </c>
      <c r="S1098" s="3" t="s">
        <v>8046</v>
      </c>
    </row>
    <row r="1099" spans="1:20" hidden="1" x14ac:dyDescent="0.25">
      <c r="A1099" t="s">
        <v>8126</v>
      </c>
      <c r="B1099" t="s">
        <v>8342</v>
      </c>
      <c r="C1099" t="s">
        <v>1</v>
      </c>
      <c r="D1099" t="s">
        <v>0</v>
      </c>
      <c r="E1099">
        <v>4472</v>
      </c>
      <c r="F1099" t="s">
        <v>1778</v>
      </c>
      <c r="G1099" t="s">
        <v>1779</v>
      </c>
      <c r="H1099" s="3">
        <v>0</v>
      </c>
      <c r="I1099" s="3">
        <v>0</v>
      </c>
      <c r="J1099" s="3">
        <v>0</v>
      </c>
      <c r="K1099" s="3">
        <v>194.7</v>
      </c>
      <c r="L1099" s="3">
        <v>0</v>
      </c>
      <c r="M1099" s="3">
        <v>0</v>
      </c>
      <c r="N1099" s="3">
        <v>0</v>
      </c>
      <c r="O1099" s="3">
        <v>25.311</v>
      </c>
      <c r="P1099" s="3">
        <v>220.011</v>
      </c>
      <c r="Q1099"/>
      <c r="R1099" t="s">
        <v>8200</v>
      </c>
      <c r="S1099" s="3" t="s">
        <v>8341</v>
      </c>
      <c r="T1099" s="3">
        <v>1.95</v>
      </c>
    </row>
    <row r="1100" spans="1:20" hidden="1" x14ac:dyDescent="0.25">
      <c r="A1100" t="s">
        <v>8126</v>
      </c>
      <c r="B1100" t="s">
        <v>8340</v>
      </c>
      <c r="C1100" t="s">
        <v>1</v>
      </c>
      <c r="D1100" t="s">
        <v>0</v>
      </c>
      <c r="E1100">
        <v>4413</v>
      </c>
      <c r="F1100" t="s">
        <v>1778</v>
      </c>
      <c r="G1100" t="s">
        <v>1779</v>
      </c>
      <c r="H1100" s="3">
        <v>0</v>
      </c>
      <c r="I1100" s="3">
        <v>0</v>
      </c>
      <c r="J1100" s="3">
        <v>0</v>
      </c>
      <c r="K1100" s="3">
        <v>97.35</v>
      </c>
      <c r="L1100" s="3">
        <v>0</v>
      </c>
      <c r="M1100" s="3">
        <v>0</v>
      </c>
      <c r="N1100" s="3">
        <v>0</v>
      </c>
      <c r="O1100" s="3">
        <v>12.6555</v>
      </c>
      <c r="P1100" s="3">
        <v>110.0055</v>
      </c>
      <c r="Q1100"/>
      <c r="R1100" t="s">
        <v>8200</v>
      </c>
      <c r="S1100" s="3" t="s">
        <v>8046</v>
      </c>
      <c r="T1100" s="3">
        <v>0</v>
      </c>
    </row>
    <row r="1101" spans="1:20" hidden="1" x14ac:dyDescent="0.25">
      <c r="A1101" t="s">
        <v>8126</v>
      </c>
      <c r="B1101" t="s">
        <v>8340</v>
      </c>
      <c r="C1101" t="s">
        <v>1</v>
      </c>
      <c r="D1101" t="s">
        <v>0</v>
      </c>
      <c r="E1101">
        <v>4412</v>
      </c>
      <c r="F1101" t="s">
        <v>1778</v>
      </c>
      <c r="G1101" t="s">
        <v>1779</v>
      </c>
      <c r="H1101" s="3">
        <v>0</v>
      </c>
      <c r="I1101" s="3">
        <v>0</v>
      </c>
      <c r="J1101" s="3">
        <v>0</v>
      </c>
      <c r="K1101" s="3">
        <v>159.12</v>
      </c>
      <c r="L1101" s="3">
        <v>0</v>
      </c>
      <c r="M1101" s="3">
        <v>0</v>
      </c>
      <c r="N1101" s="3">
        <v>0</v>
      </c>
      <c r="O1101" s="3">
        <v>20.685600000000001</v>
      </c>
      <c r="P1101" s="3">
        <v>179.8056</v>
      </c>
      <c r="Q1101"/>
      <c r="R1101" t="s">
        <v>8200</v>
      </c>
      <c r="S1101" s="3" t="s">
        <v>8341</v>
      </c>
      <c r="T1101" s="3">
        <v>1.59</v>
      </c>
    </row>
    <row r="1102" spans="1:20" hidden="1" x14ac:dyDescent="0.25">
      <c r="A1102" t="s">
        <v>8126</v>
      </c>
      <c r="B1102" t="s">
        <v>8340</v>
      </c>
      <c r="C1102" t="s">
        <v>1</v>
      </c>
      <c r="D1102" s="33" t="s">
        <v>8333</v>
      </c>
      <c r="E1102">
        <v>458760</v>
      </c>
      <c r="F1102" t="s">
        <v>1576</v>
      </c>
      <c r="G1102" t="s">
        <v>1577</v>
      </c>
      <c r="H1102" s="3">
        <v>0</v>
      </c>
      <c r="I1102" s="3">
        <v>0</v>
      </c>
      <c r="J1102" s="3">
        <v>0</v>
      </c>
      <c r="K1102" s="3">
        <v>575</v>
      </c>
      <c r="L1102" s="3">
        <v>0</v>
      </c>
      <c r="M1102" s="3">
        <v>0</v>
      </c>
      <c r="N1102" s="3">
        <v>0</v>
      </c>
      <c r="O1102" s="3">
        <v>74.75</v>
      </c>
      <c r="P1102" s="3">
        <v>649.75</v>
      </c>
      <c r="Q1102"/>
      <c r="R1102" s="33" t="s">
        <v>8200</v>
      </c>
      <c r="S1102" s="3"/>
    </row>
    <row r="1103" spans="1:20" hidden="1" x14ac:dyDescent="0.25">
      <c r="A1103" t="s">
        <v>8126</v>
      </c>
      <c r="B1103" t="s">
        <v>8339</v>
      </c>
      <c r="C1103" t="s">
        <v>1</v>
      </c>
      <c r="D1103" s="33" t="s">
        <v>8333</v>
      </c>
      <c r="E1103">
        <v>364649</v>
      </c>
      <c r="F1103" t="s">
        <v>1576</v>
      </c>
      <c r="G1103" t="s">
        <v>1577</v>
      </c>
      <c r="H1103" s="3">
        <v>0</v>
      </c>
      <c r="I1103" s="3">
        <v>0</v>
      </c>
      <c r="J1103" s="3">
        <v>0</v>
      </c>
      <c r="K1103" s="3">
        <v>1561.53</v>
      </c>
      <c r="L1103" s="3">
        <v>0</v>
      </c>
      <c r="M1103" s="3">
        <v>0</v>
      </c>
      <c r="N1103" s="3">
        <v>0</v>
      </c>
      <c r="O1103" s="3">
        <v>202.99889999999999</v>
      </c>
      <c r="P1103" s="3">
        <v>1764.5289</v>
      </c>
      <c r="Q1103"/>
      <c r="R1103" s="33" t="s">
        <v>8200</v>
      </c>
      <c r="S1103" s="3"/>
    </row>
    <row r="1104" spans="1:20" hidden="1" x14ac:dyDescent="0.25">
      <c r="A1104" t="s">
        <v>8126</v>
      </c>
      <c r="B1104" t="s">
        <v>8338</v>
      </c>
      <c r="C1104" t="s">
        <v>1</v>
      </c>
      <c r="D1104" s="33" t="s">
        <v>8333</v>
      </c>
      <c r="E1104">
        <v>317125</v>
      </c>
      <c r="F1104" t="s">
        <v>1576</v>
      </c>
      <c r="G1104" t="s">
        <v>1577</v>
      </c>
      <c r="H1104" s="3">
        <v>0</v>
      </c>
      <c r="I1104" s="3">
        <v>0</v>
      </c>
      <c r="J1104" s="3">
        <v>0</v>
      </c>
      <c r="K1104" s="3">
        <v>129.03</v>
      </c>
      <c r="L1104" s="3">
        <v>0</v>
      </c>
      <c r="M1104" s="3">
        <v>0</v>
      </c>
      <c r="N1104" s="3">
        <v>0</v>
      </c>
      <c r="O1104" s="3">
        <v>16.773900000000001</v>
      </c>
      <c r="P1104" s="3">
        <v>145.8039</v>
      </c>
      <c r="Q1104"/>
      <c r="R1104" t="s">
        <v>8200</v>
      </c>
      <c r="S1104" s="3"/>
    </row>
    <row r="1105" spans="1:20" hidden="1" x14ac:dyDescent="0.25"/>
    <row r="1106" spans="1:20" x14ac:dyDescent="0.25">
      <c r="A1106" t="s">
        <v>7895</v>
      </c>
      <c r="H1106" s="3">
        <f>SUBTOTAL(109,Tabla1[C. EXENTAS])</f>
        <v>0</v>
      </c>
      <c r="K1106" s="3">
        <f>SUBTOTAL(109,Tabla1[C. GRAVADA])</f>
        <v>55458.49</v>
      </c>
      <c r="O1106" s="3">
        <f>SUBTOTAL(109,Tabla1[IVA])</f>
        <v>7209.6036999999997</v>
      </c>
      <c r="P1106" s="3">
        <f>SUBTOTAL(109,Tabla1[TOTAL C.])</f>
        <v>62668.093700000005</v>
      </c>
      <c r="Q1106" s="145"/>
      <c r="T1106" s="24">
        <f>SUBTOTAL(109,Tabla1[PERCEPCIONES])</f>
        <v>554.62</v>
      </c>
    </row>
  </sheetData>
  <dataConsolidate/>
  <phoneticPr fontId="8" type="noConversion"/>
  <conditionalFormatting sqref="E318:E1105 E1107:E1048576 E1:E316">
    <cfRule type="duplicateValues" dxfId="22" priority="4"/>
    <cfRule type="duplicateValues" dxfId="21" priority="5"/>
  </conditionalFormatting>
  <conditionalFormatting sqref="E317">
    <cfRule type="duplicateValues" dxfId="20" priority="2"/>
    <cfRule type="duplicateValues" dxfId="19" priority="3"/>
  </conditionalFormatting>
  <conditionalFormatting sqref="E1107:E1048576 E1:E1105">
    <cfRule type="duplicateValues" dxfId="18" priority="1"/>
  </conditionalFormatting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B1:XFD22"/>
  <sheetViews>
    <sheetView showGridLines="0" topLeftCell="XEQ2" zoomScale="110" zoomScaleNormal="110" zoomScaleSheetLayoutView="100" workbookViewId="0">
      <selection activeCell="XFD22" sqref="XFD22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1.5703125" bestFit="1" customWidth="1"/>
    <col min="7" max="7" width="21.28515625" customWidth="1"/>
    <col min="8" max="8" width="29.42578125" bestFit="1" customWidth="1"/>
  </cols>
  <sheetData>
    <row r="1" spans="2:9 16384:16384" ht="90" customHeight="1" thickBot="1" x14ac:dyDescent="0.3"/>
    <row r="2" spans="2:9 16384:16384" x14ac:dyDescent="0.25">
      <c r="B2" s="78" t="s">
        <v>17</v>
      </c>
      <c r="D2" s="79" t="s">
        <v>8611</v>
      </c>
      <c r="F2" s="3"/>
      <c r="XFD2" t="s">
        <v>8126</v>
      </c>
    </row>
    <row r="3" spans="2:9 16384:16384" x14ac:dyDescent="0.25">
      <c r="B3" s="78" t="s">
        <v>2</v>
      </c>
      <c r="D3" s="95" t="s">
        <v>8873</v>
      </c>
      <c r="F3" s="80"/>
      <c r="XFD3" t="s">
        <v>8387</v>
      </c>
    </row>
    <row r="4" spans="2:9 16384:16384" x14ac:dyDescent="0.25">
      <c r="B4" s="78" t="s">
        <v>3</v>
      </c>
      <c r="D4" s="12" t="s">
        <v>1</v>
      </c>
      <c r="F4" s="3"/>
      <c r="XFD4" t="s">
        <v>8388</v>
      </c>
    </row>
    <row r="5" spans="2:9 16384:16384" x14ac:dyDescent="0.25">
      <c r="B5" s="78" t="s">
        <v>4</v>
      </c>
      <c r="D5" s="12" t="s">
        <v>0</v>
      </c>
      <c r="F5" s="3"/>
      <c r="XFD5" t="s">
        <v>8607</v>
      </c>
    </row>
    <row r="6" spans="2:9 16384:16384" x14ac:dyDescent="0.25">
      <c r="B6" s="81" t="s">
        <v>28</v>
      </c>
      <c r="D6" s="82" t="s">
        <v>8158</v>
      </c>
      <c r="F6" s="3"/>
      <c r="XFD6" t="s">
        <v>8608</v>
      </c>
    </row>
    <row r="7" spans="2:9 16384:16384" x14ac:dyDescent="0.25">
      <c r="B7" s="78" t="s">
        <v>27</v>
      </c>
      <c r="D7" s="82" t="s">
        <v>8159</v>
      </c>
      <c r="F7" s="3"/>
      <c r="XFD7" t="s">
        <v>8609</v>
      </c>
    </row>
    <row r="8" spans="2:9 16384:16384" ht="16.5" customHeight="1" x14ac:dyDescent="0.25">
      <c r="B8" s="78" t="s">
        <v>26</v>
      </c>
      <c r="D8" s="83"/>
      <c r="F8" s="84"/>
      <c r="XFD8" t="s">
        <v>8610</v>
      </c>
    </row>
    <row r="9" spans="2:9 16384:16384" ht="16.5" customHeight="1" x14ac:dyDescent="0.25">
      <c r="B9" s="78" t="s">
        <v>25</v>
      </c>
      <c r="D9" s="85">
        <f>+D8</f>
        <v>0</v>
      </c>
      <c r="F9" s="86"/>
      <c r="G9" t="s">
        <v>8125</v>
      </c>
      <c r="XFD9" t="s">
        <v>8611</v>
      </c>
    </row>
    <row r="10" spans="2:9 16384:16384" ht="16.5" customHeight="1" x14ac:dyDescent="0.25">
      <c r="B10" s="78" t="s">
        <v>24</v>
      </c>
      <c r="D10" s="87" t="str">
        <f>+G11</f>
        <v>04071405751037</v>
      </c>
      <c r="F10" s="88"/>
      <c r="G10" s="89"/>
      <c r="H10" s="90" t="str">
        <f>IFERROR(VLOOKUP(G10,'base de clientes'!A:B,2,0),"")</f>
        <v/>
      </c>
      <c r="XFD10" t="s">
        <v>8612</v>
      </c>
    </row>
    <row r="11" spans="2:9 16384:16384" ht="16.5" customHeight="1" x14ac:dyDescent="0.25">
      <c r="B11" s="81" t="s">
        <v>71</v>
      </c>
      <c r="D11" s="71" t="str">
        <f>+CONCATENATE(H10&amp;H11)</f>
        <v>JOSE ERICK RAUDA QUIJADA</v>
      </c>
      <c r="F11" s="91"/>
      <c r="G11" s="89" t="s">
        <v>8224</v>
      </c>
      <c r="H11" s="90" t="str">
        <f>IFERROR(VLOOKUP(G11,'base de clientes'!A:B,2,0),"")</f>
        <v>JOSE ERICK RAUDA QUIJADA</v>
      </c>
      <c r="I11" s="1"/>
      <c r="XFD11" t="s">
        <v>8613</v>
      </c>
    </row>
    <row r="12" spans="2:9 16384:16384" ht="16.5" customHeight="1" x14ac:dyDescent="0.25">
      <c r="B12" s="81" t="s">
        <v>73</v>
      </c>
      <c r="D12" s="15">
        <v>0</v>
      </c>
      <c r="F12" s="3"/>
      <c r="XFD12" t="s">
        <v>8614</v>
      </c>
    </row>
    <row r="13" spans="2:9 16384:16384" ht="12" customHeight="1" x14ac:dyDescent="0.25">
      <c r="B13" s="81" t="s">
        <v>72</v>
      </c>
      <c r="D13" s="9">
        <v>0</v>
      </c>
      <c r="F13" s="3"/>
      <c r="XFD13" t="s">
        <v>8615</v>
      </c>
    </row>
    <row r="14" spans="2:9 16384:16384" x14ac:dyDescent="0.25">
      <c r="B14" s="78" t="s">
        <v>23</v>
      </c>
      <c r="D14" s="92">
        <v>0</v>
      </c>
      <c r="F14" s="91"/>
    </row>
    <row r="15" spans="2:9 16384:16384" x14ac:dyDescent="0.25">
      <c r="B15" s="78" t="s">
        <v>22</v>
      </c>
      <c r="D15" s="15">
        <f>D14*0.13</f>
        <v>0</v>
      </c>
      <c r="F15" s="3"/>
    </row>
    <row r="16" spans="2:9 16384:16384" hidden="1" x14ac:dyDescent="0.25">
      <c r="B16" s="78" t="s">
        <v>21</v>
      </c>
      <c r="D16" s="9">
        <v>0</v>
      </c>
      <c r="F16" s="3"/>
    </row>
    <row r="17" spans="2:8" hidden="1" x14ac:dyDescent="0.25">
      <c r="B17" s="78" t="s">
        <v>20</v>
      </c>
      <c r="D17" s="9">
        <v>0</v>
      </c>
      <c r="F17" s="3"/>
    </row>
    <row r="18" spans="2:8" ht="15" customHeight="1" x14ac:dyDescent="0.25">
      <c r="B18" s="78" t="s">
        <v>74</v>
      </c>
      <c r="D18" s="9">
        <f>+(D12+D13+D14+D15+D16+D17)</f>
        <v>0</v>
      </c>
      <c r="F18" s="91"/>
    </row>
    <row r="19" spans="2:8" x14ac:dyDescent="0.25">
      <c r="B19" s="78" t="s">
        <v>8125</v>
      </c>
      <c r="D19" s="93">
        <f>+G10</f>
        <v>0</v>
      </c>
      <c r="F19" s="3"/>
    </row>
    <row r="20" spans="2:8" ht="15.75" thickBot="1" x14ac:dyDescent="0.3">
      <c r="B20" s="78" t="s">
        <v>18</v>
      </c>
      <c r="D20" s="94" t="s">
        <v>1</v>
      </c>
      <c r="F20" s="3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dataValidations count="3">
    <dataValidation type="list" allowBlank="1" showInputMessage="1" showErrorMessage="1" sqref="D2">
      <formula1>$XFD$2:$XFD$11</formula1>
    </dataValidation>
    <dataValidation type="decimal" errorStyle="warning" allowBlank="1" showInputMessage="1" showErrorMessage="1" errorTitle="Solo puede introducir numeros" sqref="D14">
      <formula1>1</formula1>
      <formula2>1000000</formula2>
    </dataValidation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</dataValidations>
  <pageMargins left="0.7" right="0.7" top="0.75" bottom="0.75" header="0.3" footer="0.3"/>
  <pageSetup orientation="landscape" horizontalDpi="4294967294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E2:W2139"/>
  <sheetViews>
    <sheetView topLeftCell="E1" zoomScaleNormal="100" workbookViewId="0">
      <selection activeCell="E1" sqref="E1"/>
    </sheetView>
  </sheetViews>
  <sheetFormatPr baseColWidth="10" defaultColWidth="11.42578125" defaultRowHeight="15" x14ac:dyDescent="0.25"/>
  <cols>
    <col min="1" max="4" width="0" hidden="1" customWidth="1"/>
    <col min="6" max="6" width="11.42578125" style="1"/>
    <col min="7" max="7" width="15.42578125" customWidth="1"/>
    <col min="8" max="8" width="14.28515625" customWidth="1"/>
    <col min="9" max="9" width="19.85546875" customWidth="1"/>
    <col min="12" max="12" width="11.5703125" customWidth="1"/>
    <col min="13" max="13" width="16.28515625" customWidth="1"/>
    <col min="14" max="14" width="27.28515625" customWidth="1"/>
    <col min="15" max="15" width="16.42578125" style="3" customWidth="1"/>
    <col min="16" max="16" width="19.28515625" style="3" customWidth="1"/>
    <col min="17" max="17" width="14.42578125" style="3" customWidth="1"/>
    <col min="18" max="18" width="12.85546875" style="3" customWidth="1"/>
    <col min="19" max="19" width="12.42578125" style="3" customWidth="1"/>
    <col min="20" max="20" width="14.42578125" style="3" customWidth="1"/>
    <col min="21" max="22" width="15.140625" style="3" customWidth="1"/>
  </cols>
  <sheetData>
    <row r="2" spans="5:23" x14ac:dyDescent="0.25">
      <c r="E2" t="s">
        <v>17</v>
      </c>
      <c r="F2" s="1" t="s">
        <v>2</v>
      </c>
      <c r="G2" t="s">
        <v>3</v>
      </c>
      <c r="H2" t="s">
        <v>4</v>
      </c>
      <c r="I2" t="s">
        <v>28</v>
      </c>
      <c r="J2" t="s">
        <v>27</v>
      </c>
      <c r="K2" t="s">
        <v>26</v>
      </c>
      <c r="L2" t="s">
        <v>25</v>
      </c>
      <c r="M2" t="s">
        <v>24</v>
      </c>
      <c r="N2" t="s">
        <v>71</v>
      </c>
      <c r="O2" s="3" t="s">
        <v>73</v>
      </c>
      <c r="P2" s="3" t="s">
        <v>72</v>
      </c>
      <c r="Q2" s="3" t="s">
        <v>23</v>
      </c>
      <c r="R2" s="3" t="s">
        <v>22</v>
      </c>
      <c r="S2" s="3" t="s">
        <v>21</v>
      </c>
      <c r="T2" s="3" t="s">
        <v>20</v>
      </c>
      <c r="U2" s="3" t="s">
        <v>74</v>
      </c>
      <c r="V2" s="3" t="s">
        <v>8125</v>
      </c>
      <c r="W2" t="s">
        <v>18</v>
      </c>
    </row>
    <row r="3" spans="5:23" x14ac:dyDescent="0.25">
      <c r="E3" t="s">
        <v>8611</v>
      </c>
      <c r="F3" s="1" t="s">
        <v>8873</v>
      </c>
      <c r="G3" t="s">
        <v>1</v>
      </c>
      <c r="H3" t="s">
        <v>0</v>
      </c>
      <c r="I3" t="s">
        <v>8158</v>
      </c>
      <c r="J3" t="s">
        <v>8159</v>
      </c>
      <c r="K3">
        <v>145</v>
      </c>
      <c r="L3">
        <v>145</v>
      </c>
      <c r="M3" t="s">
        <v>8224</v>
      </c>
      <c r="N3" t="s">
        <v>8225</v>
      </c>
      <c r="O3" s="3">
        <v>0</v>
      </c>
      <c r="P3" s="3">
        <v>0</v>
      </c>
      <c r="Q3" s="3">
        <v>31</v>
      </c>
      <c r="R3" s="3">
        <v>4.03</v>
      </c>
      <c r="S3" s="3">
        <v>0</v>
      </c>
      <c r="T3" s="3">
        <v>0</v>
      </c>
      <c r="U3" s="3">
        <v>35.03</v>
      </c>
      <c r="W3" t="s">
        <v>1</v>
      </c>
    </row>
    <row r="4" spans="5:23" x14ac:dyDescent="0.25">
      <c r="E4" t="s">
        <v>8611</v>
      </c>
      <c r="F4" s="1" t="s">
        <v>8873</v>
      </c>
      <c r="G4" t="s">
        <v>1</v>
      </c>
      <c r="H4" t="s">
        <v>0</v>
      </c>
      <c r="I4" t="s">
        <v>8158</v>
      </c>
      <c r="J4" t="s">
        <v>8159</v>
      </c>
      <c r="K4">
        <v>146</v>
      </c>
      <c r="L4">
        <v>146</v>
      </c>
      <c r="M4" t="s">
        <v>1062</v>
      </c>
      <c r="N4" t="s">
        <v>1063</v>
      </c>
      <c r="O4" s="3">
        <v>0</v>
      </c>
      <c r="P4" s="3">
        <v>0</v>
      </c>
      <c r="Q4" s="3">
        <v>154.65</v>
      </c>
      <c r="R4" s="3">
        <v>20.104500000000002</v>
      </c>
      <c r="S4" s="3">
        <v>0</v>
      </c>
      <c r="T4" s="3">
        <v>0</v>
      </c>
      <c r="U4" s="3">
        <v>174.75450000000001</v>
      </c>
      <c r="W4" t="s">
        <v>1</v>
      </c>
    </row>
    <row r="5" spans="5:23" x14ac:dyDescent="0.25">
      <c r="E5" t="s">
        <v>8611</v>
      </c>
      <c r="F5" s="1" t="s">
        <v>8873</v>
      </c>
      <c r="G5" t="s">
        <v>1</v>
      </c>
      <c r="H5" t="s">
        <v>0</v>
      </c>
      <c r="I5" t="s">
        <v>8158</v>
      </c>
      <c r="J5" t="s">
        <v>8159</v>
      </c>
      <c r="K5">
        <v>147</v>
      </c>
      <c r="L5">
        <v>147</v>
      </c>
      <c r="M5" t="s">
        <v>8190</v>
      </c>
      <c r="N5" t="s">
        <v>8191</v>
      </c>
      <c r="O5" s="3">
        <v>0</v>
      </c>
      <c r="P5" s="3">
        <v>0</v>
      </c>
      <c r="Q5" s="3">
        <v>407.08</v>
      </c>
      <c r="R5" s="3">
        <v>52.920400000000001</v>
      </c>
      <c r="S5" s="3">
        <v>0</v>
      </c>
      <c r="T5" s="3">
        <v>0</v>
      </c>
      <c r="U5" s="3">
        <v>460.00040000000001</v>
      </c>
      <c r="W5" t="s">
        <v>1</v>
      </c>
    </row>
    <row r="6" spans="5:23" hidden="1" x14ac:dyDescent="0.25">
      <c r="E6" t="s">
        <v>8611</v>
      </c>
      <c r="F6" s="1" t="s">
        <v>8873</v>
      </c>
      <c r="G6" t="s">
        <v>1</v>
      </c>
      <c r="H6" t="s">
        <v>0</v>
      </c>
      <c r="I6" t="s">
        <v>8158</v>
      </c>
      <c r="J6" t="s">
        <v>8159</v>
      </c>
      <c r="K6">
        <v>148</v>
      </c>
      <c r="L6">
        <v>148</v>
      </c>
      <c r="M6" t="s">
        <v>7852</v>
      </c>
      <c r="N6" t="s">
        <v>7851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t="s">
        <v>1</v>
      </c>
    </row>
    <row r="7" spans="5:23" x14ac:dyDescent="0.25">
      <c r="E7" t="s">
        <v>8611</v>
      </c>
      <c r="F7" s="1" t="s">
        <v>8873</v>
      </c>
      <c r="G7" t="s">
        <v>1</v>
      </c>
      <c r="H7" t="s">
        <v>0</v>
      </c>
      <c r="I7" t="s">
        <v>8158</v>
      </c>
      <c r="J7" t="s">
        <v>8159</v>
      </c>
      <c r="K7">
        <v>149</v>
      </c>
      <c r="L7">
        <v>149</v>
      </c>
      <c r="M7" t="s">
        <v>8404</v>
      </c>
      <c r="N7" t="s">
        <v>8405</v>
      </c>
      <c r="O7" s="3">
        <v>0</v>
      </c>
      <c r="P7" s="3">
        <v>0</v>
      </c>
      <c r="Q7" s="3">
        <v>15.42</v>
      </c>
      <c r="R7" s="3">
        <v>2.0045999999999999</v>
      </c>
      <c r="S7" s="3">
        <v>0</v>
      </c>
      <c r="T7" s="3">
        <v>0</v>
      </c>
      <c r="U7" s="3">
        <v>17.424599999999998</v>
      </c>
      <c r="W7" t="s">
        <v>1</v>
      </c>
    </row>
    <row r="8" spans="5:23" x14ac:dyDescent="0.25">
      <c r="E8" t="s">
        <v>8611</v>
      </c>
      <c r="F8" s="1" t="s">
        <v>8873</v>
      </c>
      <c r="G8" t="s">
        <v>1</v>
      </c>
      <c r="H8" t="s">
        <v>0</v>
      </c>
      <c r="I8" t="s">
        <v>8158</v>
      </c>
      <c r="J8" t="s">
        <v>8159</v>
      </c>
      <c r="K8">
        <v>150</v>
      </c>
      <c r="L8">
        <v>150</v>
      </c>
      <c r="M8" t="s">
        <v>8224</v>
      </c>
      <c r="N8" t="s">
        <v>8225</v>
      </c>
      <c r="O8" s="3">
        <v>0</v>
      </c>
      <c r="P8" s="3">
        <v>0</v>
      </c>
      <c r="Q8" s="3">
        <v>87.79</v>
      </c>
      <c r="R8" s="3">
        <v>11.412700000000001</v>
      </c>
      <c r="S8" s="3">
        <v>0</v>
      </c>
      <c r="T8" s="3">
        <v>0</v>
      </c>
      <c r="U8" s="3">
        <v>99.202700000000007</v>
      </c>
      <c r="W8" t="s">
        <v>1</v>
      </c>
    </row>
    <row r="9" spans="5:23" x14ac:dyDescent="0.25">
      <c r="E9" t="s">
        <v>8611</v>
      </c>
      <c r="F9" s="1" t="s">
        <v>8881</v>
      </c>
      <c r="G9" t="s">
        <v>1</v>
      </c>
      <c r="H9" t="s">
        <v>0</v>
      </c>
      <c r="I9" t="s">
        <v>8869</v>
      </c>
      <c r="J9" t="s">
        <v>8868</v>
      </c>
      <c r="K9">
        <v>13812</v>
      </c>
      <c r="L9">
        <v>13812</v>
      </c>
      <c r="M9" t="s">
        <v>8269</v>
      </c>
      <c r="N9" t="s">
        <v>8270</v>
      </c>
      <c r="O9" s="3">
        <v>0</v>
      </c>
      <c r="P9" s="3">
        <v>0</v>
      </c>
      <c r="Q9" s="3">
        <v>110.65</v>
      </c>
      <c r="R9" s="3">
        <v>14.384500000000001</v>
      </c>
      <c r="S9" s="3">
        <v>0</v>
      </c>
      <c r="T9" s="3">
        <v>0</v>
      </c>
      <c r="U9" s="3">
        <v>125.03450000000001</v>
      </c>
      <c r="W9" t="s">
        <v>1</v>
      </c>
    </row>
    <row r="10" spans="5:23" x14ac:dyDescent="0.25">
      <c r="E10" t="s">
        <v>8611</v>
      </c>
      <c r="F10" s="1" t="s">
        <v>8881</v>
      </c>
      <c r="G10" t="s">
        <v>1</v>
      </c>
      <c r="H10" t="s">
        <v>0</v>
      </c>
      <c r="I10" t="s">
        <v>8869</v>
      </c>
      <c r="J10" t="s">
        <v>8868</v>
      </c>
      <c r="K10">
        <v>13813</v>
      </c>
      <c r="L10">
        <v>13813</v>
      </c>
      <c r="M10" t="s">
        <v>8188</v>
      </c>
      <c r="N10" t="s">
        <v>8189</v>
      </c>
      <c r="O10" s="3">
        <v>0</v>
      </c>
      <c r="P10" s="3">
        <v>0</v>
      </c>
      <c r="Q10" s="3">
        <v>58</v>
      </c>
      <c r="R10" s="3">
        <v>7.54</v>
      </c>
      <c r="S10" s="3">
        <v>0</v>
      </c>
      <c r="T10" s="3">
        <v>0</v>
      </c>
      <c r="U10" s="3">
        <v>65.540000000000006</v>
      </c>
      <c r="W10" t="s">
        <v>1</v>
      </c>
    </row>
    <row r="11" spans="5:23" x14ac:dyDescent="0.25">
      <c r="E11" t="s">
        <v>8611</v>
      </c>
      <c r="F11" s="1" t="s">
        <v>8881</v>
      </c>
      <c r="G11" t="s">
        <v>1</v>
      </c>
      <c r="H11" t="s">
        <v>0</v>
      </c>
      <c r="I11" t="s">
        <v>8869</v>
      </c>
      <c r="J11" t="s">
        <v>8868</v>
      </c>
      <c r="K11">
        <v>13814</v>
      </c>
      <c r="L11">
        <v>13814</v>
      </c>
      <c r="M11" t="s">
        <v>8188</v>
      </c>
      <c r="N11" t="s">
        <v>8189</v>
      </c>
      <c r="O11" s="3">
        <v>0</v>
      </c>
      <c r="P11" s="3">
        <v>0</v>
      </c>
      <c r="Q11" s="3">
        <v>231.28</v>
      </c>
      <c r="R11" s="3">
        <v>30.066400000000002</v>
      </c>
      <c r="S11" s="3">
        <v>0</v>
      </c>
      <c r="T11" s="3">
        <v>0</v>
      </c>
      <c r="U11" s="3">
        <v>261.34640000000002</v>
      </c>
      <c r="W11" t="s">
        <v>1</v>
      </c>
    </row>
    <row r="12" spans="5:23" x14ac:dyDescent="0.25">
      <c r="E12" t="s">
        <v>8611</v>
      </c>
      <c r="F12" s="1" t="s">
        <v>8881</v>
      </c>
      <c r="G12" t="s">
        <v>1</v>
      </c>
      <c r="H12" t="s">
        <v>0</v>
      </c>
      <c r="I12" t="s">
        <v>8869</v>
      </c>
      <c r="J12" t="s">
        <v>8868</v>
      </c>
      <c r="K12">
        <v>13815</v>
      </c>
      <c r="L12">
        <v>13815</v>
      </c>
      <c r="M12" t="s">
        <v>8391</v>
      </c>
      <c r="N12" t="s">
        <v>8392</v>
      </c>
      <c r="O12" s="3">
        <v>0</v>
      </c>
      <c r="P12" s="3">
        <v>0</v>
      </c>
      <c r="Q12" s="3">
        <v>123.01</v>
      </c>
      <c r="R12" s="3">
        <v>15.991300000000001</v>
      </c>
      <c r="S12" s="3">
        <v>0</v>
      </c>
      <c r="T12" s="3">
        <v>0</v>
      </c>
      <c r="U12" s="3">
        <v>139.00130000000001</v>
      </c>
      <c r="W12" t="s">
        <v>1</v>
      </c>
    </row>
    <row r="13" spans="5:23" x14ac:dyDescent="0.25">
      <c r="E13" t="s">
        <v>8611</v>
      </c>
      <c r="F13" s="1" t="s">
        <v>8881</v>
      </c>
      <c r="G13" t="s">
        <v>1</v>
      </c>
      <c r="H13" t="s">
        <v>0</v>
      </c>
      <c r="I13" t="s">
        <v>8869</v>
      </c>
      <c r="J13" t="s">
        <v>8868</v>
      </c>
      <c r="K13">
        <v>13816</v>
      </c>
      <c r="L13">
        <v>13816</v>
      </c>
      <c r="M13" t="s">
        <v>8160</v>
      </c>
      <c r="N13" t="s">
        <v>8161</v>
      </c>
      <c r="O13" s="3">
        <v>0</v>
      </c>
      <c r="P13" s="3">
        <v>0</v>
      </c>
      <c r="Q13" s="3">
        <v>57.59</v>
      </c>
      <c r="R13" s="3">
        <v>7.4867000000000008</v>
      </c>
      <c r="S13" s="3">
        <v>0</v>
      </c>
      <c r="T13" s="3">
        <v>0</v>
      </c>
      <c r="U13" s="3">
        <v>65.076700000000002</v>
      </c>
      <c r="W13" t="s">
        <v>1</v>
      </c>
    </row>
    <row r="14" spans="5:23" x14ac:dyDescent="0.25">
      <c r="E14" t="s">
        <v>8611</v>
      </c>
      <c r="F14" s="1" t="s">
        <v>8881</v>
      </c>
      <c r="G14" t="s">
        <v>1</v>
      </c>
      <c r="H14" t="s">
        <v>0</v>
      </c>
      <c r="I14" t="s">
        <v>8869</v>
      </c>
      <c r="J14" t="s">
        <v>8868</v>
      </c>
      <c r="K14">
        <v>13817</v>
      </c>
      <c r="L14">
        <v>13817</v>
      </c>
      <c r="M14" t="s">
        <v>2907</v>
      </c>
      <c r="N14" t="s">
        <v>2908</v>
      </c>
      <c r="O14" s="3">
        <v>0</v>
      </c>
      <c r="P14" s="3">
        <v>0</v>
      </c>
      <c r="Q14" s="3">
        <v>193</v>
      </c>
      <c r="R14" s="3">
        <v>25.09</v>
      </c>
      <c r="S14" s="3">
        <v>0</v>
      </c>
      <c r="T14" s="3">
        <v>0</v>
      </c>
      <c r="U14" s="3">
        <v>218.09</v>
      </c>
      <c r="W14" t="s">
        <v>1</v>
      </c>
    </row>
    <row r="15" spans="5:23" x14ac:dyDescent="0.25">
      <c r="E15" t="s">
        <v>8611</v>
      </c>
      <c r="F15" s="1" t="s">
        <v>8881</v>
      </c>
      <c r="G15" t="s">
        <v>1</v>
      </c>
      <c r="H15" t="s">
        <v>0</v>
      </c>
      <c r="I15" t="s">
        <v>8869</v>
      </c>
      <c r="J15" t="s">
        <v>8868</v>
      </c>
      <c r="K15">
        <v>13818</v>
      </c>
      <c r="L15">
        <v>13818</v>
      </c>
      <c r="M15" t="s">
        <v>8718</v>
      </c>
      <c r="N15" t="s">
        <v>8235</v>
      </c>
      <c r="O15" s="3">
        <v>0</v>
      </c>
      <c r="P15" s="3">
        <v>0</v>
      </c>
      <c r="Q15" s="3">
        <v>144</v>
      </c>
      <c r="R15" s="3">
        <v>18.72</v>
      </c>
      <c r="S15" s="3">
        <v>0</v>
      </c>
      <c r="T15" s="3">
        <v>0</v>
      </c>
      <c r="U15" s="3">
        <v>162.72</v>
      </c>
      <c r="W15" t="s">
        <v>1</v>
      </c>
    </row>
    <row r="16" spans="5:23" x14ac:dyDescent="0.25">
      <c r="E16" t="s">
        <v>8611</v>
      </c>
      <c r="F16" s="1" t="s">
        <v>8881</v>
      </c>
      <c r="G16" t="s">
        <v>1</v>
      </c>
      <c r="H16" t="s">
        <v>0</v>
      </c>
      <c r="I16" t="s">
        <v>8869</v>
      </c>
      <c r="J16" t="s">
        <v>8868</v>
      </c>
      <c r="K16">
        <v>13819</v>
      </c>
      <c r="L16">
        <v>13819</v>
      </c>
      <c r="M16" t="s">
        <v>214</v>
      </c>
      <c r="N16" t="s">
        <v>215</v>
      </c>
      <c r="O16" s="3">
        <v>0</v>
      </c>
      <c r="P16" s="3">
        <v>0</v>
      </c>
      <c r="Q16" s="3">
        <v>638.36</v>
      </c>
      <c r="R16" s="3">
        <v>82.986800000000002</v>
      </c>
      <c r="S16" s="3">
        <v>0</v>
      </c>
      <c r="T16" s="3">
        <v>0</v>
      </c>
      <c r="U16" s="3">
        <v>721.34680000000003</v>
      </c>
      <c r="W16" t="s">
        <v>1</v>
      </c>
    </row>
    <row r="17" spans="5:23" x14ac:dyDescent="0.25">
      <c r="E17" t="s">
        <v>8611</v>
      </c>
      <c r="F17" s="1" t="s">
        <v>8881</v>
      </c>
      <c r="G17" t="s">
        <v>1</v>
      </c>
      <c r="H17" t="s">
        <v>0</v>
      </c>
      <c r="I17" t="s">
        <v>8869</v>
      </c>
      <c r="J17" t="s">
        <v>8868</v>
      </c>
      <c r="K17">
        <v>13820</v>
      </c>
      <c r="L17">
        <v>13820</v>
      </c>
      <c r="M17" t="s">
        <v>8269</v>
      </c>
      <c r="N17" t="s">
        <v>8270</v>
      </c>
      <c r="O17" s="3">
        <v>0</v>
      </c>
      <c r="P17" s="3">
        <v>0</v>
      </c>
      <c r="Q17" s="3">
        <v>61.2</v>
      </c>
      <c r="R17" s="3">
        <v>7.9560000000000004</v>
      </c>
      <c r="S17" s="3">
        <v>0</v>
      </c>
      <c r="T17" s="3">
        <v>0</v>
      </c>
      <c r="U17" s="3">
        <v>69.156000000000006</v>
      </c>
      <c r="W17" t="s">
        <v>1</v>
      </c>
    </row>
    <row r="18" spans="5:23" x14ac:dyDescent="0.25">
      <c r="E18" t="s">
        <v>8611</v>
      </c>
      <c r="F18" s="1" t="s">
        <v>8881</v>
      </c>
      <c r="G18" t="s">
        <v>1</v>
      </c>
      <c r="H18" t="s">
        <v>0</v>
      </c>
      <c r="I18" t="s">
        <v>8869</v>
      </c>
      <c r="J18" t="s">
        <v>8868</v>
      </c>
      <c r="K18">
        <v>13821</v>
      </c>
      <c r="L18">
        <v>13821</v>
      </c>
      <c r="M18" t="s">
        <v>8850</v>
      </c>
      <c r="N18" t="s">
        <v>8851</v>
      </c>
      <c r="O18" s="3">
        <v>0</v>
      </c>
      <c r="P18" s="3">
        <v>0</v>
      </c>
      <c r="Q18" s="3">
        <v>62.58</v>
      </c>
      <c r="R18" s="3">
        <v>8.1354000000000006</v>
      </c>
      <c r="S18" s="3">
        <v>0</v>
      </c>
      <c r="T18" s="3">
        <v>0</v>
      </c>
      <c r="U18" s="3">
        <v>70.715400000000002</v>
      </c>
      <c r="W18" t="s">
        <v>1</v>
      </c>
    </row>
    <row r="19" spans="5:23" x14ac:dyDescent="0.25">
      <c r="E19" t="s">
        <v>8611</v>
      </c>
      <c r="F19" s="1" t="s">
        <v>8881</v>
      </c>
      <c r="G19" t="s">
        <v>1</v>
      </c>
      <c r="H19" t="s">
        <v>0</v>
      </c>
      <c r="I19" t="s">
        <v>8869</v>
      </c>
      <c r="J19" t="s">
        <v>8868</v>
      </c>
      <c r="K19">
        <v>13822</v>
      </c>
      <c r="L19">
        <v>13822</v>
      </c>
      <c r="M19" t="s">
        <v>8850</v>
      </c>
      <c r="N19" t="s">
        <v>8851</v>
      </c>
      <c r="O19" s="3">
        <v>0</v>
      </c>
      <c r="P19" s="3">
        <v>0</v>
      </c>
      <c r="Q19" s="3">
        <v>32.700000000000003</v>
      </c>
      <c r="R19" s="3">
        <v>4.2510000000000003</v>
      </c>
      <c r="S19" s="3">
        <v>0</v>
      </c>
      <c r="T19" s="3">
        <v>0</v>
      </c>
      <c r="U19" s="3">
        <v>36.951000000000001</v>
      </c>
      <c r="W19" t="s">
        <v>1</v>
      </c>
    </row>
    <row r="20" spans="5:23" x14ac:dyDescent="0.25">
      <c r="E20" t="s">
        <v>8611</v>
      </c>
      <c r="F20" s="1" t="s">
        <v>8881</v>
      </c>
      <c r="G20" t="s">
        <v>1</v>
      </c>
      <c r="H20" t="s">
        <v>0</v>
      </c>
      <c r="I20" t="s">
        <v>8869</v>
      </c>
      <c r="J20" t="s">
        <v>8868</v>
      </c>
      <c r="K20">
        <v>13823</v>
      </c>
      <c r="L20">
        <v>13823</v>
      </c>
      <c r="M20" t="s">
        <v>8160</v>
      </c>
      <c r="N20" t="s">
        <v>8161</v>
      </c>
      <c r="O20" s="3">
        <v>0</v>
      </c>
      <c r="P20" s="3">
        <v>0</v>
      </c>
      <c r="Q20" s="3">
        <v>29.06</v>
      </c>
      <c r="R20" s="3">
        <v>3.7778</v>
      </c>
      <c r="S20" s="3">
        <v>0</v>
      </c>
      <c r="T20" s="3">
        <v>0</v>
      </c>
      <c r="U20" s="3">
        <v>32.837800000000001</v>
      </c>
      <c r="W20" t="s">
        <v>1</v>
      </c>
    </row>
    <row r="21" spans="5:23" x14ac:dyDescent="0.25">
      <c r="E21" t="s">
        <v>8611</v>
      </c>
      <c r="F21" s="1" t="s">
        <v>8881</v>
      </c>
      <c r="G21" t="s">
        <v>1</v>
      </c>
      <c r="H21" t="s">
        <v>0</v>
      </c>
      <c r="I21" t="s">
        <v>8869</v>
      </c>
      <c r="J21" t="s">
        <v>8868</v>
      </c>
      <c r="K21">
        <v>13824</v>
      </c>
      <c r="L21">
        <v>13824</v>
      </c>
      <c r="M21" t="s">
        <v>238</v>
      </c>
      <c r="N21" t="s">
        <v>239</v>
      </c>
      <c r="O21" s="3">
        <v>0</v>
      </c>
      <c r="P21" s="3">
        <v>0</v>
      </c>
      <c r="Q21" s="3">
        <v>218.48</v>
      </c>
      <c r="R21" s="3">
        <v>28.4024</v>
      </c>
      <c r="S21" s="3">
        <v>0</v>
      </c>
      <c r="T21" s="3">
        <v>0</v>
      </c>
      <c r="U21" s="3">
        <v>246.88239999999999</v>
      </c>
      <c r="W21" t="s">
        <v>1</v>
      </c>
    </row>
    <row r="22" spans="5:23" x14ac:dyDescent="0.25">
      <c r="E22" t="s">
        <v>8611</v>
      </c>
      <c r="F22" s="1" t="s">
        <v>8881</v>
      </c>
      <c r="G22" t="s">
        <v>1</v>
      </c>
      <c r="H22" t="s">
        <v>0</v>
      </c>
      <c r="I22" t="s">
        <v>8869</v>
      </c>
      <c r="J22" t="s">
        <v>8868</v>
      </c>
      <c r="K22">
        <v>13825</v>
      </c>
      <c r="L22">
        <v>13825</v>
      </c>
      <c r="M22" t="s">
        <v>8269</v>
      </c>
      <c r="N22" t="s">
        <v>8270</v>
      </c>
      <c r="O22" s="3">
        <v>0</v>
      </c>
      <c r="P22" s="3">
        <v>0</v>
      </c>
      <c r="Q22" s="3">
        <v>30.97</v>
      </c>
      <c r="R22" s="3">
        <v>4.0260999999999996</v>
      </c>
      <c r="S22" s="3">
        <v>0</v>
      </c>
      <c r="T22" s="3">
        <v>0</v>
      </c>
      <c r="U22" s="3">
        <v>34.996099999999998</v>
      </c>
      <c r="W22" t="s">
        <v>1</v>
      </c>
    </row>
    <row r="23" spans="5:23" x14ac:dyDescent="0.25">
      <c r="E23" t="s">
        <v>8611</v>
      </c>
      <c r="F23" s="1" t="s">
        <v>8881</v>
      </c>
      <c r="G23" t="s">
        <v>1</v>
      </c>
      <c r="H23" t="s">
        <v>0</v>
      </c>
      <c r="I23" t="s">
        <v>8869</v>
      </c>
      <c r="J23" t="s">
        <v>8868</v>
      </c>
      <c r="K23">
        <v>13826</v>
      </c>
      <c r="L23">
        <v>13826</v>
      </c>
      <c r="M23" t="s">
        <v>734</v>
      </c>
      <c r="N23" t="s">
        <v>735</v>
      </c>
      <c r="O23" s="3">
        <v>0</v>
      </c>
      <c r="P23" s="3">
        <v>0</v>
      </c>
      <c r="Q23" s="3">
        <v>532.5</v>
      </c>
      <c r="R23" s="3">
        <v>69.225000000000009</v>
      </c>
      <c r="S23" s="3">
        <v>0</v>
      </c>
      <c r="T23" s="3">
        <v>0</v>
      </c>
      <c r="U23" s="3">
        <v>601.72500000000002</v>
      </c>
      <c r="W23" t="s">
        <v>1</v>
      </c>
    </row>
    <row r="24" spans="5:23" x14ac:dyDescent="0.25">
      <c r="E24" t="s">
        <v>8611</v>
      </c>
      <c r="F24" s="1" t="s">
        <v>8881</v>
      </c>
      <c r="G24" t="s">
        <v>1</v>
      </c>
      <c r="H24" t="s">
        <v>0</v>
      </c>
      <c r="I24" t="s">
        <v>8869</v>
      </c>
      <c r="J24" t="s">
        <v>8868</v>
      </c>
      <c r="K24">
        <v>13827</v>
      </c>
      <c r="L24">
        <v>13827</v>
      </c>
      <c r="M24" t="s">
        <v>734</v>
      </c>
      <c r="N24" t="s">
        <v>735</v>
      </c>
      <c r="O24" s="3">
        <v>0</v>
      </c>
      <c r="P24" s="3">
        <v>0</v>
      </c>
      <c r="Q24" s="3">
        <v>802.83</v>
      </c>
      <c r="R24" s="3">
        <v>104.36790000000001</v>
      </c>
      <c r="S24" s="3">
        <v>0</v>
      </c>
      <c r="T24" s="3">
        <v>0</v>
      </c>
      <c r="U24" s="3">
        <v>907.1979</v>
      </c>
      <c r="W24" t="s">
        <v>1</v>
      </c>
    </row>
    <row r="25" spans="5:23" x14ac:dyDescent="0.25">
      <c r="E25" t="s">
        <v>8611</v>
      </c>
      <c r="F25" s="1" t="s">
        <v>8881</v>
      </c>
      <c r="G25" t="s">
        <v>1</v>
      </c>
      <c r="H25" t="s">
        <v>0</v>
      </c>
      <c r="I25" t="s">
        <v>8869</v>
      </c>
      <c r="J25" t="s">
        <v>8868</v>
      </c>
      <c r="K25">
        <v>13828</v>
      </c>
      <c r="L25">
        <v>13828</v>
      </c>
      <c r="M25" t="s">
        <v>8555</v>
      </c>
      <c r="N25" t="s">
        <v>8556</v>
      </c>
      <c r="O25" s="3">
        <v>0</v>
      </c>
      <c r="P25" s="3">
        <v>0</v>
      </c>
      <c r="Q25" s="3">
        <v>92.25</v>
      </c>
      <c r="R25" s="3">
        <v>11.9925</v>
      </c>
      <c r="S25" s="3">
        <v>0</v>
      </c>
      <c r="T25" s="3">
        <v>0</v>
      </c>
      <c r="U25" s="3">
        <v>104.24250000000001</v>
      </c>
      <c r="W25" t="s">
        <v>1</v>
      </c>
    </row>
    <row r="26" spans="5:23" hidden="1" x14ac:dyDescent="0.25">
      <c r="E26" t="s">
        <v>8611</v>
      </c>
      <c r="F26" s="1" t="s">
        <v>8881</v>
      </c>
      <c r="G26" t="s">
        <v>1</v>
      </c>
      <c r="H26" t="s">
        <v>0</v>
      </c>
      <c r="I26" t="s">
        <v>8869</v>
      </c>
      <c r="J26" t="s">
        <v>8868</v>
      </c>
      <c r="K26">
        <v>13829</v>
      </c>
      <c r="L26">
        <v>13829</v>
      </c>
      <c r="M26" t="s">
        <v>7852</v>
      </c>
      <c r="N26" t="s">
        <v>7851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t="s">
        <v>1</v>
      </c>
    </row>
    <row r="27" spans="5:23" x14ac:dyDescent="0.25">
      <c r="E27" t="s">
        <v>8611</v>
      </c>
      <c r="F27" s="1" t="s">
        <v>8881</v>
      </c>
      <c r="G27" t="s">
        <v>1</v>
      </c>
      <c r="H27" t="s">
        <v>0</v>
      </c>
      <c r="I27" t="s">
        <v>8869</v>
      </c>
      <c r="J27" t="s">
        <v>8868</v>
      </c>
      <c r="K27">
        <v>13830</v>
      </c>
      <c r="L27">
        <v>13830</v>
      </c>
      <c r="M27" t="s">
        <v>8224</v>
      </c>
      <c r="N27" t="s">
        <v>8225</v>
      </c>
      <c r="O27" s="3">
        <v>0</v>
      </c>
      <c r="P27" s="3">
        <v>0</v>
      </c>
      <c r="Q27" s="3">
        <v>269.72000000000003</v>
      </c>
      <c r="R27" s="3">
        <v>35.063600000000008</v>
      </c>
      <c r="S27" s="3">
        <v>0</v>
      </c>
      <c r="T27" s="3">
        <v>0</v>
      </c>
      <c r="U27" s="3">
        <v>304.78360000000004</v>
      </c>
      <c r="W27" t="s">
        <v>1</v>
      </c>
    </row>
    <row r="28" spans="5:23" hidden="1" x14ac:dyDescent="0.25">
      <c r="E28" t="s">
        <v>8611</v>
      </c>
      <c r="F28" s="1" t="s">
        <v>8881</v>
      </c>
      <c r="G28" t="s">
        <v>1</v>
      </c>
      <c r="H28" t="s">
        <v>0</v>
      </c>
      <c r="I28" t="s">
        <v>8869</v>
      </c>
      <c r="J28" t="s">
        <v>8868</v>
      </c>
      <c r="K28">
        <v>13831</v>
      </c>
      <c r="L28">
        <v>13831</v>
      </c>
      <c r="M28" t="s">
        <v>7852</v>
      </c>
      <c r="N28" t="s">
        <v>7851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t="s">
        <v>1</v>
      </c>
    </row>
    <row r="29" spans="5:23" x14ac:dyDescent="0.25">
      <c r="E29" t="s">
        <v>8611</v>
      </c>
      <c r="F29" s="1" t="s">
        <v>8881</v>
      </c>
      <c r="G29" t="s">
        <v>1</v>
      </c>
      <c r="H29" t="s">
        <v>0</v>
      </c>
      <c r="I29" t="s">
        <v>8869</v>
      </c>
      <c r="J29" t="s">
        <v>8868</v>
      </c>
      <c r="K29">
        <v>13832</v>
      </c>
      <c r="L29">
        <v>13832</v>
      </c>
      <c r="M29" t="s">
        <v>7869</v>
      </c>
      <c r="N29" t="s">
        <v>7870</v>
      </c>
      <c r="O29" s="3">
        <v>0</v>
      </c>
      <c r="P29" s="3">
        <v>0</v>
      </c>
      <c r="Q29" s="3">
        <v>47.95</v>
      </c>
      <c r="R29" s="3">
        <v>6.2335000000000003</v>
      </c>
      <c r="S29" s="3">
        <v>0</v>
      </c>
      <c r="T29" s="3">
        <v>0</v>
      </c>
      <c r="U29" s="3">
        <v>54.183500000000002</v>
      </c>
      <c r="W29" t="s">
        <v>1</v>
      </c>
    </row>
    <row r="30" spans="5:23" x14ac:dyDescent="0.25">
      <c r="E30" t="s">
        <v>8611</v>
      </c>
      <c r="F30" s="1" t="s">
        <v>8881</v>
      </c>
      <c r="G30" t="s">
        <v>1</v>
      </c>
      <c r="H30" t="s">
        <v>0</v>
      </c>
      <c r="I30" t="s">
        <v>8869</v>
      </c>
      <c r="J30" t="s">
        <v>8868</v>
      </c>
      <c r="K30">
        <v>13833</v>
      </c>
      <c r="L30">
        <v>13833</v>
      </c>
      <c r="M30" t="s">
        <v>8711</v>
      </c>
      <c r="N30" t="s">
        <v>8712</v>
      </c>
      <c r="O30" s="3">
        <v>0</v>
      </c>
      <c r="P30" s="3">
        <v>0</v>
      </c>
      <c r="Q30" s="3">
        <v>187.4</v>
      </c>
      <c r="R30" s="3">
        <v>24.362000000000002</v>
      </c>
      <c r="S30" s="3">
        <v>0</v>
      </c>
      <c r="T30" s="3">
        <v>0</v>
      </c>
      <c r="U30" s="3">
        <v>211.762</v>
      </c>
      <c r="W30" t="s">
        <v>1</v>
      </c>
    </row>
    <row r="31" spans="5:23" x14ac:dyDescent="0.25">
      <c r="E31" t="s">
        <v>8611</v>
      </c>
      <c r="F31" s="1" t="s">
        <v>8881</v>
      </c>
      <c r="G31" t="s">
        <v>1</v>
      </c>
      <c r="H31" t="s">
        <v>0</v>
      </c>
      <c r="I31" t="s">
        <v>8869</v>
      </c>
      <c r="J31" t="s">
        <v>8868</v>
      </c>
      <c r="K31">
        <v>13834</v>
      </c>
      <c r="L31">
        <v>13834</v>
      </c>
      <c r="M31" t="s">
        <v>8711</v>
      </c>
      <c r="N31" t="s">
        <v>8712</v>
      </c>
      <c r="O31" s="3">
        <v>0</v>
      </c>
      <c r="P31" s="3">
        <v>0</v>
      </c>
      <c r="Q31" s="3">
        <v>292.42</v>
      </c>
      <c r="R31" s="3">
        <v>38.014600000000002</v>
      </c>
      <c r="S31" s="3">
        <v>0</v>
      </c>
      <c r="T31" s="3">
        <v>0</v>
      </c>
      <c r="U31" s="3">
        <v>330.43460000000005</v>
      </c>
      <c r="W31" t="s">
        <v>1</v>
      </c>
    </row>
    <row r="32" spans="5:23" x14ac:dyDescent="0.25">
      <c r="E32" t="s">
        <v>8611</v>
      </c>
      <c r="F32" s="1" t="s">
        <v>8881</v>
      </c>
      <c r="G32" t="s">
        <v>1</v>
      </c>
      <c r="H32" t="s">
        <v>0</v>
      </c>
      <c r="I32" t="s">
        <v>8869</v>
      </c>
      <c r="J32" t="s">
        <v>8868</v>
      </c>
      <c r="K32">
        <v>13835</v>
      </c>
      <c r="L32">
        <v>13835</v>
      </c>
      <c r="N32" t="s">
        <v>8229</v>
      </c>
      <c r="O32" s="3">
        <v>0</v>
      </c>
      <c r="P32" s="3">
        <v>0</v>
      </c>
      <c r="Q32" s="3">
        <v>90.43</v>
      </c>
      <c r="R32" s="3">
        <v>11.7559</v>
      </c>
      <c r="S32" s="3">
        <v>0</v>
      </c>
      <c r="T32" s="3">
        <v>0</v>
      </c>
      <c r="U32" s="3">
        <v>102.1859</v>
      </c>
      <c r="V32" s="3" t="s">
        <v>8719</v>
      </c>
      <c r="W32" t="s">
        <v>1</v>
      </c>
    </row>
    <row r="33" spans="5:23" x14ac:dyDescent="0.25">
      <c r="E33" t="s">
        <v>8611</v>
      </c>
      <c r="F33" s="1" t="s">
        <v>8881</v>
      </c>
      <c r="G33" t="s">
        <v>1</v>
      </c>
      <c r="H33" t="s">
        <v>0</v>
      </c>
      <c r="I33" t="s">
        <v>8869</v>
      </c>
      <c r="J33" t="s">
        <v>8868</v>
      </c>
      <c r="K33">
        <v>13836</v>
      </c>
      <c r="L33">
        <v>13836</v>
      </c>
      <c r="M33" t="s">
        <v>8209</v>
      </c>
      <c r="N33" t="s">
        <v>8210</v>
      </c>
      <c r="O33" s="3">
        <v>0</v>
      </c>
      <c r="P33" s="3">
        <v>0</v>
      </c>
      <c r="Q33" s="3">
        <v>910.22</v>
      </c>
      <c r="R33" s="3">
        <v>118.32860000000001</v>
      </c>
      <c r="S33" s="3">
        <v>0</v>
      </c>
      <c r="T33" s="3">
        <v>0</v>
      </c>
      <c r="U33" s="3">
        <v>1028.5486000000001</v>
      </c>
      <c r="W33" t="s">
        <v>1</v>
      </c>
    </row>
    <row r="34" spans="5:23" x14ac:dyDescent="0.25">
      <c r="E34" t="s">
        <v>8611</v>
      </c>
      <c r="F34" s="1" t="s">
        <v>8881</v>
      </c>
      <c r="G34" t="s">
        <v>1</v>
      </c>
      <c r="H34" t="s">
        <v>0</v>
      </c>
      <c r="I34" t="s">
        <v>8869</v>
      </c>
      <c r="J34" t="s">
        <v>8868</v>
      </c>
      <c r="K34">
        <v>13937</v>
      </c>
      <c r="L34">
        <v>13937</v>
      </c>
      <c r="M34" t="s">
        <v>436</v>
      </c>
      <c r="N34" t="s">
        <v>437</v>
      </c>
      <c r="O34" s="3">
        <v>0</v>
      </c>
      <c r="P34" s="3">
        <v>0</v>
      </c>
      <c r="Q34" s="3">
        <v>77.040000000000006</v>
      </c>
      <c r="R34" s="3">
        <v>10.015200000000002</v>
      </c>
      <c r="S34" s="3">
        <v>0</v>
      </c>
      <c r="T34" s="3">
        <v>0</v>
      </c>
      <c r="U34" s="3">
        <v>87.055200000000013</v>
      </c>
      <c r="W34" t="s">
        <v>1</v>
      </c>
    </row>
    <row r="35" spans="5:23" x14ac:dyDescent="0.25">
      <c r="E35" t="s">
        <v>8611</v>
      </c>
      <c r="F35" s="1" t="s">
        <v>8881</v>
      </c>
      <c r="G35" t="s">
        <v>1</v>
      </c>
      <c r="H35" t="s">
        <v>0</v>
      </c>
      <c r="I35" t="s">
        <v>8869</v>
      </c>
      <c r="J35" t="s">
        <v>8868</v>
      </c>
      <c r="K35">
        <v>13838</v>
      </c>
      <c r="L35">
        <v>13838</v>
      </c>
      <c r="M35" t="s">
        <v>8255</v>
      </c>
      <c r="N35" t="s">
        <v>8256</v>
      </c>
      <c r="O35" s="3">
        <v>0</v>
      </c>
      <c r="P35" s="3">
        <v>0</v>
      </c>
      <c r="Q35" s="3">
        <v>447.74</v>
      </c>
      <c r="R35" s="3">
        <v>58.206200000000003</v>
      </c>
      <c r="S35" s="3">
        <v>0</v>
      </c>
      <c r="T35" s="3">
        <v>0</v>
      </c>
      <c r="U35" s="3">
        <v>505.94620000000003</v>
      </c>
      <c r="W35" t="s">
        <v>1</v>
      </c>
    </row>
    <row r="36" spans="5:23" x14ac:dyDescent="0.25">
      <c r="E36" t="s">
        <v>8611</v>
      </c>
      <c r="F36" s="1" t="s">
        <v>8881</v>
      </c>
      <c r="G36" t="s">
        <v>1</v>
      </c>
      <c r="H36" t="s">
        <v>0</v>
      </c>
      <c r="I36" t="s">
        <v>8869</v>
      </c>
      <c r="J36" t="s">
        <v>8868</v>
      </c>
      <c r="K36">
        <v>13839</v>
      </c>
      <c r="L36">
        <v>13839</v>
      </c>
      <c r="M36" t="s">
        <v>8255</v>
      </c>
      <c r="N36" t="s">
        <v>8256</v>
      </c>
      <c r="O36" s="3">
        <v>0</v>
      </c>
      <c r="P36" s="3">
        <v>0</v>
      </c>
      <c r="Q36" s="3">
        <v>65.28</v>
      </c>
      <c r="R36" s="3">
        <v>8.4863999999999997</v>
      </c>
      <c r="S36" s="3">
        <v>0</v>
      </c>
      <c r="T36" s="3">
        <v>0</v>
      </c>
      <c r="U36" s="3">
        <v>73.766400000000004</v>
      </c>
      <c r="W36" t="s">
        <v>1</v>
      </c>
    </row>
    <row r="37" spans="5:23" x14ac:dyDescent="0.25">
      <c r="E37" t="s">
        <v>8611</v>
      </c>
      <c r="F37" s="1" t="s">
        <v>8880</v>
      </c>
      <c r="G37" t="s">
        <v>1</v>
      </c>
      <c r="H37" t="s">
        <v>0</v>
      </c>
      <c r="I37" t="s">
        <v>8869</v>
      </c>
      <c r="J37" t="s">
        <v>8868</v>
      </c>
      <c r="K37">
        <v>13840</v>
      </c>
      <c r="L37">
        <v>13840</v>
      </c>
      <c r="M37" t="s">
        <v>8255</v>
      </c>
      <c r="N37" t="s">
        <v>8256</v>
      </c>
      <c r="O37" s="3">
        <v>0</v>
      </c>
      <c r="P37" s="3">
        <v>0</v>
      </c>
      <c r="Q37" s="3">
        <v>267.24</v>
      </c>
      <c r="R37" s="3">
        <v>34.741199999999999</v>
      </c>
      <c r="S37" s="3">
        <v>0</v>
      </c>
      <c r="T37" s="3">
        <v>0</v>
      </c>
      <c r="U37" s="3">
        <v>301.9812</v>
      </c>
      <c r="W37" t="s">
        <v>1</v>
      </c>
    </row>
    <row r="38" spans="5:23" x14ac:dyDescent="0.25">
      <c r="E38" t="s">
        <v>8611</v>
      </c>
      <c r="F38" s="1" t="s">
        <v>8880</v>
      </c>
      <c r="G38" t="s">
        <v>1</v>
      </c>
      <c r="H38" t="s">
        <v>0</v>
      </c>
      <c r="I38" t="s">
        <v>8869</v>
      </c>
      <c r="J38" t="s">
        <v>8868</v>
      </c>
      <c r="K38">
        <v>13841</v>
      </c>
      <c r="L38">
        <v>13841</v>
      </c>
      <c r="M38" t="s">
        <v>1223</v>
      </c>
      <c r="N38" t="s">
        <v>1224</v>
      </c>
      <c r="O38" s="3">
        <v>0</v>
      </c>
      <c r="P38" s="3">
        <v>0</v>
      </c>
      <c r="Q38" s="3">
        <v>29.67</v>
      </c>
      <c r="R38" s="3">
        <v>3.8571000000000004</v>
      </c>
      <c r="S38" s="3">
        <v>0</v>
      </c>
      <c r="T38" s="3">
        <v>0</v>
      </c>
      <c r="U38" s="3">
        <v>33.527100000000004</v>
      </c>
      <c r="W38" t="s">
        <v>1</v>
      </c>
    </row>
    <row r="39" spans="5:23" x14ac:dyDescent="0.25">
      <c r="E39" t="s">
        <v>8611</v>
      </c>
      <c r="F39" s="1" t="s">
        <v>8880</v>
      </c>
      <c r="G39" t="s">
        <v>1</v>
      </c>
      <c r="H39" t="s">
        <v>0</v>
      </c>
      <c r="I39" t="s">
        <v>8869</v>
      </c>
      <c r="J39" t="s">
        <v>8868</v>
      </c>
      <c r="K39">
        <v>13842</v>
      </c>
      <c r="L39">
        <v>13842</v>
      </c>
      <c r="M39" t="s">
        <v>8561</v>
      </c>
      <c r="N39" t="s">
        <v>8562</v>
      </c>
      <c r="O39" s="3">
        <v>0</v>
      </c>
      <c r="P39" s="3">
        <v>0</v>
      </c>
      <c r="Q39" s="3">
        <v>130.5</v>
      </c>
      <c r="R39" s="3">
        <v>16.965</v>
      </c>
      <c r="S39" s="3">
        <v>0</v>
      </c>
      <c r="T39" s="3">
        <v>0</v>
      </c>
      <c r="U39" s="3">
        <v>147.465</v>
      </c>
      <c r="W39" t="s">
        <v>1</v>
      </c>
    </row>
    <row r="40" spans="5:23" x14ac:dyDescent="0.25">
      <c r="E40" t="s">
        <v>8611</v>
      </c>
      <c r="F40" s="1" t="s">
        <v>8880</v>
      </c>
      <c r="G40" t="s">
        <v>1</v>
      </c>
      <c r="H40" t="s">
        <v>0</v>
      </c>
      <c r="I40" t="s">
        <v>8869</v>
      </c>
      <c r="J40" t="s">
        <v>8868</v>
      </c>
      <c r="K40">
        <v>13843</v>
      </c>
      <c r="L40">
        <v>13843</v>
      </c>
      <c r="M40" t="s">
        <v>1062</v>
      </c>
      <c r="N40" t="s">
        <v>1063</v>
      </c>
      <c r="O40" s="3">
        <v>0</v>
      </c>
      <c r="P40" s="3">
        <v>0</v>
      </c>
      <c r="Q40" s="3">
        <v>446.6</v>
      </c>
      <c r="R40" s="3">
        <v>58.058000000000007</v>
      </c>
      <c r="S40" s="3">
        <v>0</v>
      </c>
      <c r="T40" s="3">
        <v>0</v>
      </c>
      <c r="U40" s="3">
        <v>504.65800000000002</v>
      </c>
      <c r="W40" t="s">
        <v>1</v>
      </c>
    </row>
    <row r="41" spans="5:23" x14ac:dyDescent="0.25">
      <c r="E41" t="s">
        <v>8611</v>
      </c>
      <c r="F41" s="1" t="s">
        <v>8880</v>
      </c>
      <c r="G41" t="s">
        <v>1</v>
      </c>
      <c r="H41" t="s">
        <v>0</v>
      </c>
      <c r="I41" t="s">
        <v>8869</v>
      </c>
      <c r="J41" t="s">
        <v>8868</v>
      </c>
      <c r="K41">
        <v>13844</v>
      </c>
      <c r="L41">
        <v>13844</v>
      </c>
      <c r="M41" t="s">
        <v>1062</v>
      </c>
      <c r="N41" t="s">
        <v>1063</v>
      </c>
      <c r="O41" s="3">
        <v>0</v>
      </c>
      <c r="P41" s="3">
        <v>0</v>
      </c>
      <c r="Q41" s="3">
        <v>35.380000000000003</v>
      </c>
      <c r="R41" s="3">
        <v>4.5994000000000002</v>
      </c>
      <c r="S41" s="3">
        <v>0</v>
      </c>
      <c r="T41" s="3">
        <v>0</v>
      </c>
      <c r="U41" s="3">
        <v>39.979400000000005</v>
      </c>
      <c r="W41" t="s">
        <v>1</v>
      </c>
    </row>
    <row r="42" spans="5:23" x14ac:dyDescent="0.25">
      <c r="E42" t="s">
        <v>8611</v>
      </c>
      <c r="F42" s="1" t="s">
        <v>8880</v>
      </c>
      <c r="G42" t="s">
        <v>1</v>
      </c>
      <c r="H42" t="s">
        <v>0</v>
      </c>
      <c r="I42" t="s">
        <v>8869</v>
      </c>
      <c r="J42" t="s">
        <v>8868</v>
      </c>
      <c r="K42">
        <v>13845</v>
      </c>
      <c r="L42">
        <v>13845</v>
      </c>
      <c r="M42" t="s">
        <v>8263</v>
      </c>
      <c r="N42" t="s">
        <v>8264</v>
      </c>
      <c r="O42" s="3">
        <v>0</v>
      </c>
      <c r="P42" s="3">
        <v>0</v>
      </c>
      <c r="Q42" s="3">
        <v>54.44</v>
      </c>
      <c r="R42" s="3">
        <v>7.0772000000000004</v>
      </c>
      <c r="S42" s="3">
        <v>0</v>
      </c>
      <c r="T42" s="3">
        <v>0</v>
      </c>
      <c r="U42" s="3">
        <v>61.517199999999995</v>
      </c>
      <c r="W42" t="s">
        <v>1</v>
      </c>
    </row>
    <row r="43" spans="5:23" x14ac:dyDescent="0.25">
      <c r="E43" t="s">
        <v>8611</v>
      </c>
      <c r="F43" s="1" t="s">
        <v>8880</v>
      </c>
      <c r="G43" t="s">
        <v>1</v>
      </c>
      <c r="H43" t="s">
        <v>0</v>
      </c>
      <c r="I43" t="s">
        <v>8869</v>
      </c>
      <c r="J43" t="s">
        <v>8868</v>
      </c>
      <c r="K43">
        <v>13846</v>
      </c>
      <c r="L43">
        <v>13846</v>
      </c>
      <c r="M43" t="s">
        <v>8263</v>
      </c>
      <c r="N43" t="s">
        <v>8264</v>
      </c>
      <c r="O43" s="3">
        <v>0</v>
      </c>
      <c r="P43" s="3">
        <v>0</v>
      </c>
      <c r="Q43" s="3">
        <v>8.66</v>
      </c>
      <c r="R43" s="3">
        <v>1.1258000000000001</v>
      </c>
      <c r="S43" s="3">
        <v>0</v>
      </c>
      <c r="T43" s="3">
        <v>0</v>
      </c>
      <c r="U43" s="3">
        <v>9.7858000000000001</v>
      </c>
      <c r="W43" t="s">
        <v>1</v>
      </c>
    </row>
    <row r="44" spans="5:23" hidden="1" x14ac:dyDescent="0.25">
      <c r="E44" t="s">
        <v>8611</v>
      </c>
      <c r="F44" s="1" t="s">
        <v>8880</v>
      </c>
      <c r="G44" t="s">
        <v>1</v>
      </c>
      <c r="H44" t="s">
        <v>0</v>
      </c>
      <c r="I44" t="s">
        <v>8869</v>
      </c>
      <c r="J44" t="s">
        <v>8868</v>
      </c>
      <c r="K44">
        <v>13847</v>
      </c>
      <c r="L44">
        <v>13847</v>
      </c>
      <c r="M44" t="s">
        <v>7852</v>
      </c>
      <c r="N44" t="s">
        <v>7851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t="s">
        <v>1</v>
      </c>
    </row>
    <row r="45" spans="5:23" x14ac:dyDescent="0.25">
      <c r="E45" t="s">
        <v>8611</v>
      </c>
      <c r="F45" s="1" t="s">
        <v>8880</v>
      </c>
      <c r="G45" t="s">
        <v>1</v>
      </c>
      <c r="H45" t="s">
        <v>0</v>
      </c>
      <c r="I45" t="s">
        <v>8869</v>
      </c>
      <c r="J45" t="s">
        <v>8868</v>
      </c>
      <c r="K45">
        <v>13848</v>
      </c>
      <c r="L45">
        <v>13848</v>
      </c>
      <c r="M45" t="s">
        <v>8404</v>
      </c>
      <c r="N45" t="s">
        <v>8405</v>
      </c>
      <c r="O45" s="3">
        <v>0</v>
      </c>
      <c r="P45" s="3">
        <v>0</v>
      </c>
      <c r="Q45" s="3">
        <v>22.92</v>
      </c>
      <c r="R45" s="3">
        <v>2.9796000000000005</v>
      </c>
      <c r="S45" s="3">
        <v>0</v>
      </c>
      <c r="T45" s="3">
        <v>0</v>
      </c>
      <c r="U45" s="3">
        <v>25.899600000000003</v>
      </c>
      <c r="W45" t="s">
        <v>1</v>
      </c>
    </row>
    <row r="46" spans="5:23" x14ac:dyDescent="0.25">
      <c r="E46" t="s">
        <v>8611</v>
      </c>
      <c r="F46" s="1" t="s">
        <v>8880</v>
      </c>
      <c r="G46" t="s">
        <v>1</v>
      </c>
      <c r="H46" t="s">
        <v>0</v>
      </c>
      <c r="I46" t="s">
        <v>8869</v>
      </c>
      <c r="J46" t="s">
        <v>8868</v>
      </c>
      <c r="K46">
        <v>13849</v>
      </c>
      <c r="L46">
        <v>13849</v>
      </c>
      <c r="M46" t="s">
        <v>8727</v>
      </c>
      <c r="N46" t="s">
        <v>8728</v>
      </c>
      <c r="O46" s="3">
        <v>0</v>
      </c>
      <c r="P46" s="3">
        <v>0</v>
      </c>
      <c r="Q46" s="3">
        <v>126.75</v>
      </c>
      <c r="R46" s="3">
        <v>16.477499999999999</v>
      </c>
      <c r="S46" s="3">
        <v>0</v>
      </c>
      <c r="T46" s="3">
        <v>0</v>
      </c>
      <c r="U46" s="3">
        <v>143.22749999999999</v>
      </c>
      <c r="W46" t="s">
        <v>1</v>
      </c>
    </row>
    <row r="47" spans="5:23" x14ac:dyDescent="0.25">
      <c r="E47" t="s">
        <v>8611</v>
      </c>
      <c r="F47" s="1" t="s">
        <v>8880</v>
      </c>
      <c r="G47" t="s">
        <v>1</v>
      </c>
      <c r="H47" t="s">
        <v>0</v>
      </c>
      <c r="I47" t="s">
        <v>8869</v>
      </c>
      <c r="J47" t="s">
        <v>8868</v>
      </c>
      <c r="K47">
        <v>13850</v>
      </c>
      <c r="L47">
        <v>13850</v>
      </c>
      <c r="M47" t="s">
        <v>8727</v>
      </c>
      <c r="N47" t="s">
        <v>8728</v>
      </c>
      <c r="O47" s="3">
        <v>0</v>
      </c>
      <c r="P47" s="3">
        <v>0</v>
      </c>
      <c r="Q47" s="3">
        <v>31.4</v>
      </c>
      <c r="R47" s="3">
        <v>4.0819999999999999</v>
      </c>
      <c r="S47" s="3">
        <v>0</v>
      </c>
      <c r="T47" s="3">
        <v>0</v>
      </c>
      <c r="U47" s="3">
        <v>35.481999999999999</v>
      </c>
      <c r="W47" t="s">
        <v>1</v>
      </c>
    </row>
    <row r="48" spans="5:23" x14ac:dyDescent="0.25">
      <c r="E48" t="s">
        <v>8611</v>
      </c>
      <c r="F48" s="1" t="s">
        <v>8880</v>
      </c>
      <c r="G48" t="s">
        <v>1</v>
      </c>
      <c r="H48" t="s">
        <v>0</v>
      </c>
      <c r="I48" t="s">
        <v>8869</v>
      </c>
      <c r="J48" t="s">
        <v>8868</v>
      </c>
      <c r="K48">
        <v>13851</v>
      </c>
      <c r="L48">
        <v>13851</v>
      </c>
      <c r="M48" t="s">
        <v>8441</v>
      </c>
      <c r="N48" t="s">
        <v>8442</v>
      </c>
      <c r="O48" s="3">
        <v>0</v>
      </c>
      <c r="P48" s="3">
        <v>0</v>
      </c>
      <c r="Q48" s="3">
        <v>71.400000000000006</v>
      </c>
      <c r="R48" s="3">
        <v>9.2820000000000018</v>
      </c>
      <c r="S48" s="3">
        <v>0</v>
      </c>
      <c r="T48" s="3">
        <v>0</v>
      </c>
      <c r="U48" s="3">
        <v>80.682000000000002</v>
      </c>
      <c r="W48" t="s">
        <v>1</v>
      </c>
    </row>
    <row r="49" spans="5:23" x14ac:dyDescent="0.25">
      <c r="E49" t="s">
        <v>8611</v>
      </c>
      <c r="F49" s="1" t="s">
        <v>8880</v>
      </c>
      <c r="G49" t="s">
        <v>1</v>
      </c>
      <c r="H49" t="s">
        <v>0</v>
      </c>
      <c r="I49" t="s">
        <v>8869</v>
      </c>
      <c r="J49" t="s">
        <v>8868</v>
      </c>
      <c r="K49">
        <v>13852</v>
      </c>
      <c r="L49">
        <v>13852</v>
      </c>
      <c r="M49" t="s">
        <v>8281</v>
      </c>
      <c r="N49" t="s">
        <v>8282</v>
      </c>
      <c r="O49" s="3">
        <v>0</v>
      </c>
      <c r="P49" s="3">
        <v>0</v>
      </c>
      <c r="Q49" s="3">
        <v>19.95</v>
      </c>
      <c r="R49" s="3">
        <v>2.5935000000000001</v>
      </c>
      <c r="S49" s="3">
        <v>0</v>
      </c>
      <c r="T49" s="3">
        <v>0</v>
      </c>
      <c r="U49" s="3">
        <v>22.543499999999998</v>
      </c>
      <c r="W49" t="s">
        <v>1</v>
      </c>
    </row>
    <row r="50" spans="5:23" x14ac:dyDescent="0.25">
      <c r="E50" t="s">
        <v>8611</v>
      </c>
      <c r="F50" s="1" t="s">
        <v>8880</v>
      </c>
      <c r="G50" t="s">
        <v>1</v>
      </c>
      <c r="H50" t="s">
        <v>0</v>
      </c>
      <c r="I50" t="s">
        <v>8869</v>
      </c>
      <c r="J50" t="s">
        <v>8868</v>
      </c>
      <c r="K50">
        <v>13853</v>
      </c>
      <c r="L50">
        <v>13853</v>
      </c>
      <c r="M50" t="s">
        <v>8166</v>
      </c>
      <c r="N50" t="s">
        <v>8167</v>
      </c>
      <c r="O50" s="3">
        <v>0</v>
      </c>
      <c r="P50" s="3">
        <v>0</v>
      </c>
      <c r="Q50" s="3">
        <v>148.36000000000001</v>
      </c>
      <c r="R50" s="3">
        <v>19.286800000000003</v>
      </c>
      <c r="S50" s="3">
        <v>0</v>
      </c>
      <c r="T50" s="3">
        <v>0</v>
      </c>
      <c r="U50" s="3">
        <v>167.64680000000001</v>
      </c>
      <c r="W50" t="s">
        <v>1</v>
      </c>
    </row>
    <row r="51" spans="5:23" x14ac:dyDescent="0.25">
      <c r="E51" t="s">
        <v>8611</v>
      </c>
      <c r="F51" s="1" t="s">
        <v>8880</v>
      </c>
      <c r="G51" t="s">
        <v>1</v>
      </c>
      <c r="H51" t="s">
        <v>0</v>
      </c>
      <c r="I51" t="s">
        <v>8869</v>
      </c>
      <c r="J51" t="s">
        <v>8868</v>
      </c>
      <c r="K51">
        <v>13854</v>
      </c>
      <c r="L51">
        <v>13854</v>
      </c>
      <c r="M51" t="s">
        <v>238</v>
      </c>
      <c r="N51" t="s">
        <v>239</v>
      </c>
      <c r="O51" s="3">
        <v>0</v>
      </c>
      <c r="P51" s="3">
        <v>0</v>
      </c>
      <c r="Q51" s="3">
        <v>153.80000000000001</v>
      </c>
      <c r="R51" s="3">
        <v>19.994000000000003</v>
      </c>
      <c r="S51" s="3">
        <v>0</v>
      </c>
      <c r="T51" s="3">
        <v>0</v>
      </c>
      <c r="U51" s="3">
        <v>173.79400000000001</v>
      </c>
      <c r="W51" t="s">
        <v>1</v>
      </c>
    </row>
    <row r="52" spans="5:23" x14ac:dyDescent="0.25">
      <c r="E52" t="s">
        <v>8611</v>
      </c>
      <c r="F52" s="1" t="s">
        <v>8880</v>
      </c>
      <c r="G52" t="s">
        <v>1</v>
      </c>
      <c r="H52" t="s">
        <v>0</v>
      </c>
      <c r="I52" t="s">
        <v>8869</v>
      </c>
      <c r="J52" t="s">
        <v>8868</v>
      </c>
      <c r="K52">
        <v>13855</v>
      </c>
      <c r="L52">
        <v>13855</v>
      </c>
      <c r="M52" t="s">
        <v>8166</v>
      </c>
      <c r="N52" t="s">
        <v>8167</v>
      </c>
      <c r="O52" s="3">
        <v>0</v>
      </c>
      <c r="P52" s="3">
        <v>0</v>
      </c>
      <c r="Q52" s="3">
        <v>20</v>
      </c>
      <c r="R52" s="3">
        <v>2.6</v>
      </c>
      <c r="S52" s="3">
        <v>0</v>
      </c>
      <c r="T52" s="3">
        <v>0</v>
      </c>
      <c r="U52" s="3">
        <v>22.6</v>
      </c>
      <c r="W52" t="s">
        <v>1</v>
      </c>
    </row>
    <row r="53" spans="5:23" x14ac:dyDescent="0.25">
      <c r="E53" t="s">
        <v>8611</v>
      </c>
      <c r="F53" s="1" t="s">
        <v>8880</v>
      </c>
      <c r="G53" t="s">
        <v>1</v>
      </c>
      <c r="H53" t="s">
        <v>0</v>
      </c>
      <c r="I53" t="s">
        <v>8869</v>
      </c>
      <c r="J53" t="s">
        <v>8868</v>
      </c>
      <c r="K53">
        <v>13856</v>
      </c>
      <c r="L53">
        <v>13856</v>
      </c>
      <c r="M53" t="s">
        <v>8404</v>
      </c>
      <c r="N53" t="s">
        <v>8405</v>
      </c>
      <c r="O53" s="3">
        <v>0</v>
      </c>
      <c r="P53" s="3">
        <v>0</v>
      </c>
      <c r="Q53" s="3">
        <v>1.64</v>
      </c>
      <c r="R53" s="3">
        <v>0.2132</v>
      </c>
      <c r="S53" s="3">
        <v>0</v>
      </c>
      <c r="T53" s="3">
        <v>0</v>
      </c>
      <c r="U53" s="3">
        <v>1.8532</v>
      </c>
      <c r="W53" t="s">
        <v>1</v>
      </c>
    </row>
    <row r="54" spans="5:23" x14ac:dyDescent="0.25">
      <c r="E54" t="s">
        <v>8611</v>
      </c>
      <c r="F54" s="1" t="s">
        <v>8880</v>
      </c>
      <c r="G54" t="s">
        <v>1</v>
      </c>
      <c r="H54" t="s">
        <v>0</v>
      </c>
      <c r="I54" t="s">
        <v>8869</v>
      </c>
      <c r="J54" t="s">
        <v>8868</v>
      </c>
      <c r="K54">
        <v>13857</v>
      </c>
      <c r="L54">
        <v>13857</v>
      </c>
      <c r="M54" t="s">
        <v>8328</v>
      </c>
      <c r="N54" t="s">
        <v>8294</v>
      </c>
      <c r="O54" s="3">
        <v>0</v>
      </c>
      <c r="P54" s="3">
        <v>0</v>
      </c>
      <c r="Q54" s="3">
        <v>1190</v>
      </c>
      <c r="R54" s="3">
        <v>154.70000000000002</v>
      </c>
      <c r="S54" s="3">
        <v>0</v>
      </c>
      <c r="T54" s="3">
        <v>0</v>
      </c>
      <c r="U54" s="3">
        <v>1344.7</v>
      </c>
      <c r="W54" t="s">
        <v>1</v>
      </c>
    </row>
    <row r="55" spans="5:23" x14ac:dyDescent="0.25">
      <c r="E55" t="s">
        <v>8611</v>
      </c>
      <c r="F55" s="1" t="s">
        <v>8880</v>
      </c>
      <c r="G55" t="s">
        <v>1</v>
      </c>
      <c r="H55" t="s">
        <v>0</v>
      </c>
      <c r="I55" t="s">
        <v>8869</v>
      </c>
      <c r="J55" t="s">
        <v>8868</v>
      </c>
      <c r="K55">
        <v>13858</v>
      </c>
      <c r="L55">
        <v>13858</v>
      </c>
      <c r="M55" t="s">
        <v>8328</v>
      </c>
      <c r="N55" t="s">
        <v>8294</v>
      </c>
      <c r="O55" s="3">
        <v>0</v>
      </c>
      <c r="P55" s="3">
        <v>0</v>
      </c>
      <c r="Q55" s="3">
        <v>344.1</v>
      </c>
      <c r="R55" s="3">
        <v>44.733000000000004</v>
      </c>
      <c r="S55" s="3">
        <v>0</v>
      </c>
      <c r="T55" s="3">
        <v>0</v>
      </c>
      <c r="U55" s="3">
        <v>388.83300000000003</v>
      </c>
      <c r="W55" t="s">
        <v>1</v>
      </c>
    </row>
    <row r="56" spans="5:23" x14ac:dyDescent="0.25">
      <c r="E56" t="s">
        <v>8611</v>
      </c>
      <c r="F56" s="1" t="s">
        <v>8880</v>
      </c>
      <c r="G56" t="s">
        <v>1</v>
      </c>
      <c r="H56" t="s">
        <v>0</v>
      </c>
      <c r="I56" t="s">
        <v>8869</v>
      </c>
      <c r="J56" t="s">
        <v>8868</v>
      </c>
      <c r="K56">
        <v>13859</v>
      </c>
      <c r="L56">
        <v>13859</v>
      </c>
      <c r="M56" t="s">
        <v>2506</v>
      </c>
      <c r="N56" t="s">
        <v>2507</v>
      </c>
      <c r="O56" s="3">
        <v>0</v>
      </c>
      <c r="P56" s="3">
        <v>0</v>
      </c>
      <c r="Q56" s="3">
        <v>2227.6</v>
      </c>
      <c r="R56" s="3">
        <v>289.58800000000002</v>
      </c>
      <c r="S56" s="3">
        <v>0</v>
      </c>
      <c r="T56" s="3">
        <v>0</v>
      </c>
      <c r="U56" s="3">
        <v>2517.1880000000001</v>
      </c>
      <c r="W56" t="s">
        <v>1</v>
      </c>
    </row>
    <row r="57" spans="5:23" x14ac:dyDescent="0.25">
      <c r="E57" t="s">
        <v>8611</v>
      </c>
      <c r="F57" s="1" t="s">
        <v>8880</v>
      </c>
      <c r="G57" t="s">
        <v>1</v>
      </c>
      <c r="H57" t="s">
        <v>0</v>
      </c>
      <c r="I57" t="s">
        <v>8869</v>
      </c>
      <c r="J57" t="s">
        <v>8868</v>
      </c>
      <c r="K57">
        <v>13860</v>
      </c>
      <c r="L57">
        <v>13860</v>
      </c>
      <c r="M57" t="s">
        <v>436</v>
      </c>
      <c r="N57" t="s">
        <v>437</v>
      </c>
      <c r="O57" s="3">
        <v>0</v>
      </c>
      <c r="P57" s="3">
        <v>0</v>
      </c>
      <c r="Q57" s="3">
        <v>41.16</v>
      </c>
      <c r="R57" s="3">
        <v>5.3507999999999996</v>
      </c>
      <c r="S57" s="3">
        <v>0</v>
      </c>
      <c r="T57" s="3">
        <v>0</v>
      </c>
      <c r="U57" s="3">
        <v>46.510799999999996</v>
      </c>
      <c r="W57" t="s">
        <v>1</v>
      </c>
    </row>
    <row r="58" spans="5:23" x14ac:dyDescent="0.25">
      <c r="E58" t="s">
        <v>8611</v>
      </c>
      <c r="F58" s="1" t="s">
        <v>8880</v>
      </c>
      <c r="G58" t="s">
        <v>1</v>
      </c>
      <c r="H58" t="s">
        <v>0</v>
      </c>
      <c r="I58" t="s">
        <v>8869</v>
      </c>
      <c r="J58" t="s">
        <v>8868</v>
      </c>
      <c r="K58">
        <v>13861</v>
      </c>
      <c r="L58">
        <v>13861</v>
      </c>
      <c r="M58" t="s">
        <v>8209</v>
      </c>
      <c r="N58" t="s">
        <v>8210</v>
      </c>
      <c r="O58" s="3">
        <v>0</v>
      </c>
      <c r="P58" s="3">
        <v>0</v>
      </c>
      <c r="Q58" s="3">
        <v>1166.5999999999999</v>
      </c>
      <c r="R58" s="3">
        <v>151.65799999999999</v>
      </c>
      <c r="S58" s="3">
        <v>0</v>
      </c>
      <c r="T58" s="3">
        <v>0</v>
      </c>
      <c r="U58" s="3">
        <v>1318.2579999999998</v>
      </c>
      <c r="W58" t="s">
        <v>1</v>
      </c>
    </row>
    <row r="59" spans="5:23" x14ac:dyDescent="0.25">
      <c r="E59" t="s">
        <v>8611</v>
      </c>
      <c r="F59" s="1" t="s">
        <v>8880</v>
      </c>
      <c r="G59" t="s">
        <v>1</v>
      </c>
      <c r="H59" t="s">
        <v>0</v>
      </c>
      <c r="I59" t="s">
        <v>8869</v>
      </c>
      <c r="J59" t="s">
        <v>8868</v>
      </c>
      <c r="K59">
        <v>13862</v>
      </c>
      <c r="L59">
        <v>13862</v>
      </c>
      <c r="M59" t="s">
        <v>1483</v>
      </c>
      <c r="N59" t="s">
        <v>1484</v>
      </c>
      <c r="O59" s="3">
        <v>0</v>
      </c>
      <c r="P59" s="3">
        <v>0</v>
      </c>
      <c r="Q59" s="3">
        <v>46.4</v>
      </c>
      <c r="R59" s="3">
        <v>6.032</v>
      </c>
      <c r="S59" s="3">
        <v>0</v>
      </c>
      <c r="T59" s="3">
        <v>0</v>
      </c>
      <c r="U59" s="3">
        <v>52.432000000000002</v>
      </c>
      <c r="W59" t="s">
        <v>1</v>
      </c>
    </row>
    <row r="60" spans="5:23" x14ac:dyDescent="0.25">
      <c r="E60" t="s">
        <v>8611</v>
      </c>
      <c r="F60" s="1" t="s">
        <v>8880</v>
      </c>
      <c r="G60" t="s">
        <v>1</v>
      </c>
      <c r="H60" t="s">
        <v>0</v>
      </c>
      <c r="I60" t="s">
        <v>8869</v>
      </c>
      <c r="J60" t="s">
        <v>8868</v>
      </c>
      <c r="K60">
        <v>13863</v>
      </c>
      <c r="L60">
        <v>13863</v>
      </c>
      <c r="M60" t="s">
        <v>1483</v>
      </c>
      <c r="N60" t="s">
        <v>1484</v>
      </c>
      <c r="O60" s="3">
        <v>0</v>
      </c>
      <c r="P60" s="3">
        <v>0</v>
      </c>
      <c r="Q60" s="3">
        <v>53.1</v>
      </c>
      <c r="R60" s="3">
        <v>6.9030000000000005</v>
      </c>
      <c r="S60" s="3">
        <v>0</v>
      </c>
      <c r="T60" s="3">
        <v>0</v>
      </c>
      <c r="U60" s="3">
        <v>60.003</v>
      </c>
      <c r="W60" t="s">
        <v>1</v>
      </c>
    </row>
    <row r="61" spans="5:23" x14ac:dyDescent="0.25">
      <c r="E61" t="s">
        <v>8611</v>
      </c>
      <c r="F61" s="1" t="s">
        <v>8880</v>
      </c>
      <c r="G61" t="s">
        <v>1</v>
      </c>
      <c r="H61" t="s">
        <v>0</v>
      </c>
      <c r="I61" t="s">
        <v>8869</v>
      </c>
      <c r="J61" t="s">
        <v>8868</v>
      </c>
      <c r="K61">
        <v>13864</v>
      </c>
      <c r="L61">
        <v>13864</v>
      </c>
      <c r="M61" t="s">
        <v>1483</v>
      </c>
      <c r="N61" t="s">
        <v>1484</v>
      </c>
      <c r="O61" s="3">
        <v>0</v>
      </c>
      <c r="P61" s="3">
        <v>0</v>
      </c>
      <c r="Q61" s="3">
        <v>23.18</v>
      </c>
      <c r="R61" s="3">
        <v>3.0133999999999999</v>
      </c>
      <c r="S61" s="3">
        <v>0</v>
      </c>
      <c r="T61" s="3">
        <v>0</v>
      </c>
      <c r="U61" s="3">
        <v>26.1934</v>
      </c>
      <c r="W61" t="s">
        <v>1</v>
      </c>
    </row>
    <row r="62" spans="5:23" hidden="1" x14ac:dyDescent="0.25">
      <c r="E62" t="s">
        <v>8611</v>
      </c>
      <c r="F62" s="1" t="s">
        <v>8880</v>
      </c>
      <c r="G62" t="s">
        <v>1</v>
      </c>
      <c r="H62" t="s">
        <v>0</v>
      </c>
      <c r="I62" t="s">
        <v>8869</v>
      </c>
      <c r="J62" t="s">
        <v>8868</v>
      </c>
      <c r="K62">
        <v>13865</v>
      </c>
      <c r="L62">
        <v>13865</v>
      </c>
      <c r="M62" t="s">
        <v>7852</v>
      </c>
      <c r="N62" t="s">
        <v>7851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t="s">
        <v>1</v>
      </c>
    </row>
    <row r="63" spans="5:23" x14ac:dyDescent="0.25">
      <c r="E63" t="s">
        <v>8611</v>
      </c>
      <c r="F63" s="1" t="s">
        <v>8880</v>
      </c>
      <c r="G63" t="s">
        <v>1</v>
      </c>
      <c r="H63" t="s">
        <v>0</v>
      </c>
      <c r="I63" t="s">
        <v>8869</v>
      </c>
      <c r="J63" t="s">
        <v>8868</v>
      </c>
      <c r="K63">
        <v>13866</v>
      </c>
      <c r="L63">
        <v>13866</v>
      </c>
      <c r="M63" t="s">
        <v>8188</v>
      </c>
      <c r="N63" t="s">
        <v>8189</v>
      </c>
      <c r="O63" s="3">
        <v>0</v>
      </c>
      <c r="P63" s="3">
        <v>0</v>
      </c>
      <c r="Q63" s="3">
        <v>100.92</v>
      </c>
      <c r="R63" s="3">
        <v>13.1196</v>
      </c>
      <c r="S63" s="3">
        <v>0</v>
      </c>
      <c r="T63" s="3">
        <v>0</v>
      </c>
      <c r="U63" s="3">
        <v>114.03960000000001</v>
      </c>
      <c r="W63" t="s">
        <v>1</v>
      </c>
    </row>
    <row r="64" spans="5:23" x14ac:dyDescent="0.25">
      <c r="E64" t="s">
        <v>8611</v>
      </c>
      <c r="F64" s="1" t="s">
        <v>8880</v>
      </c>
      <c r="G64" t="s">
        <v>1</v>
      </c>
      <c r="H64" t="s">
        <v>0</v>
      </c>
      <c r="I64" t="s">
        <v>8869</v>
      </c>
      <c r="J64" t="s">
        <v>8868</v>
      </c>
      <c r="K64">
        <v>13867</v>
      </c>
      <c r="L64">
        <v>13867</v>
      </c>
      <c r="M64" t="s">
        <v>1062</v>
      </c>
      <c r="N64" t="s">
        <v>1063</v>
      </c>
      <c r="O64" s="3">
        <v>0</v>
      </c>
      <c r="P64" s="3">
        <v>0</v>
      </c>
      <c r="Q64" s="3">
        <v>521.78</v>
      </c>
      <c r="R64" s="3">
        <v>67.831400000000002</v>
      </c>
      <c r="S64" s="3">
        <v>0</v>
      </c>
      <c r="T64" s="3">
        <v>0</v>
      </c>
      <c r="U64" s="3">
        <v>589.6114</v>
      </c>
      <c r="W64" t="s">
        <v>1</v>
      </c>
    </row>
    <row r="65" spans="5:23" x14ac:dyDescent="0.25">
      <c r="E65" t="s">
        <v>8611</v>
      </c>
      <c r="F65" s="1" t="s">
        <v>8879</v>
      </c>
      <c r="G65" t="s">
        <v>1</v>
      </c>
      <c r="H65" t="s">
        <v>0</v>
      </c>
      <c r="I65" t="s">
        <v>8869</v>
      </c>
      <c r="J65" t="s">
        <v>8868</v>
      </c>
      <c r="K65">
        <v>13868</v>
      </c>
      <c r="L65">
        <v>13868</v>
      </c>
      <c r="M65" t="s">
        <v>8273</v>
      </c>
      <c r="N65" t="s">
        <v>8274</v>
      </c>
      <c r="O65" s="3">
        <v>0</v>
      </c>
      <c r="P65" s="3">
        <v>0</v>
      </c>
      <c r="Q65" s="3">
        <v>384.58</v>
      </c>
      <c r="R65" s="3">
        <v>49.995399999999997</v>
      </c>
      <c r="S65" s="3">
        <v>0</v>
      </c>
      <c r="T65" s="3">
        <v>0</v>
      </c>
      <c r="U65" s="3">
        <v>434.5754</v>
      </c>
      <c r="W65" t="s">
        <v>1</v>
      </c>
    </row>
    <row r="66" spans="5:23" x14ac:dyDescent="0.25">
      <c r="E66" t="s">
        <v>8611</v>
      </c>
      <c r="F66" s="1" t="s">
        <v>8879</v>
      </c>
      <c r="G66" t="s">
        <v>1</v>
      </c>
      <c r="H66" t="s">
        <v>0</v>
      </c>
      <c r="I66" t="s">
        <v>8869</v>
      </c>
      <c r="J66" t="s">
        <v>8868</v>
      </c>
      <c r="K66">
        <v>13869</v>
      </c>
      <c r="L66">
        <v>13869</v>
      </c>
      <c r="M66" t="s">
        <v>8273</v>
      </c>
      <c r="N66" t="s">
        <v>8274</v>
      </c>
      <c r="O66" s="3">
        <v>0</v>
      </c>
      <c r="P66" s="3">
        <v>0</v>
      </c>
      <c r="Q66" s="3">
        <v>312.18</v>
      </c>
      <c r="R66" s="3">
        <v>40.583400000000005</v>
      </c>
      <c r="S66" s="3">
        <v>0</v>
      </c>
      <c r="T66" s="3">
        <v>0</v>
      </c>
      <c r="U66" s="3">
        <v>352.76339999999999</v>
      </c>
      <c r="W66" t="s">
        <v>1</v>
      </c>
    </row>
    <row r="67" spans="5:23" x14ac:dyDescent="0.25">
      <c r="E67" t="s">
        <v>8611</v>
      </c>
      <c r="F67" s="1" t="s">
        <v>8879</v>
      </c>
      <c r="G67" t="s">
        <v>1</v>
      </c>
      <c r="H67" t="s">
        <v>0</v>
      </c>
      <c r="I67" t="s">
        <v>8869</v>
      </c>
      <c r="J67" t="s">
        <v>8868</v>
      </c>
      <c r="K67">
        <v>13870</v>
      </c>
      <c r="L67">
        <v>13870</v>
      </c>
      <c r="M67" t="s">
        <v>149</v>
      </c>
      <c r="N67" t="s">
        <v>150</v>
      </c>
      <c r="O67" s="3">
        <v>0</v>
      </c>
      <c r="P67" s="3">
        <v>0</v>
      </c>
      <c r="Q67" s="3">
        <v>264.95999999999998</v>
      </c>
      <c r="R67" s="3">
        <v>34.444800000000001</v>
      </c>
      <c r="S67" s="3">
        <v>0</v>
      </c>
      <c r="T67" s="3">
        <v>0</v>
      </c>
      <c r="U67" s="3">
        <v>299.40479999999997</v>
      </c>
      <c r="W67" t="s">
        <v>1</v>
      </c>
    </row>
    <row r="68" spans="5:23" x14ac:dyDescent="0.25">
      <c r="E68" t="s">
        <v>8611</v>
      </c>
      <c r="F68" s="1" t="s">
        <v>8879</v>
      </c>
      <c r="G68" t="s">
        <v>1</v>
      </c>
      <c r="H68" t="s">
        <v>0</v>
      </c>
      <c r="I68" t="s">
        <v>8869</v>
      </c>
      <c r="J68" t="s">
        <v>8868</v>
      </c>
      <c r="K68">
        <v>13871</v>
      </c>
      <c r="L68">
        <v>13871</v>
      </c>
      <c r="M68" t="s">
        <v>149</v>
      </c>
      <c r="N68" t="s">
        <v>150</v>
      </c>
      <c r="O68" s="3">
        <v>0</v>
      </c>
      <c r="P68" s="3">
        <v>0</v>
      </c>
      <c r="Q68" s="3">
        <v>18.96</v>
      </c>
      <c r="R68" s="3">
        <v>2.4648000000000003</v>
      </c>
      <c r="S68" s="3">
        <v>0</v>
      </c>
      <c r="T68" s="3">
        <v>0</v>
      </c>
      <c r="U68" s="3">
        <v>21.424800000000001</v>
      </c>
      <c r="W68" t="s">
        <v>1</v>
      </c>
    </row>
    <row r="69" spans="5:23" x14ac:dyDescent="0.25">
      <c r="E69" t="s">
        <v>8611</v>
      </c>
      <c r="F69" s="1" t="s">
        <v>8879</v>
      </c>
      <c r="G69" t="s">
        <v>1</v>
      </c>
      <c r="H69" t="s">
        <v>0</v>
      </c>
      <c r="I69" t="s">
        <v>8869</v>
      </c>
      <c r="J69" t="s">
        <v>8868</v>
      </c>
      <c r="K69">
        <v>13872</v>
      </c>
      <c r="L69">
        <v>13872</v>
      </c>
      <c r="M69" t="s">
        <v>8241</v>
      </c>
      <c r="N69" t="s">
        <v>8242</v>
      </c>
      <c r="O69" s="3">
        <v>0</v>
      </c>
      <c r="P69" s="3">
        <v>0</v>
      </c>
      <c r="Q69" s="3">
        <v>265.5</v>
      </c>
      <c r="R69" s="3">
        <v>34.515000000000001</v>
      </c>
      <c r="S69" s="3">
        <v>0</v>
      </c>
      <c r="T69" s="3">
        <v>0</v>
      </c>
      <c r="U69" s="3">
        <v>300.01499999999999</v>
      </c>
      <c r="W69" t="s">
        <v>1</v>
      </c>
    </row>
    <row r="70" spans="5:23" hidden="1" x14ac:dyDescent="0.25">
      <c r="E70" t="s">
        <v>8611</v>
      </c>
      <c r="F70" s="1" t="s">
        <v>8879</v>
      </c>
      <c r="G70" t="s">
        <v>1</v>
      </c>
      <c r="H70" t="s">
        <v>0</v>
      </c>
      <c r="I70" t="s">
        <v>8869</v>
      </c>
      <c r="J70" t="s">
        <v>8868</v>
      </c>
      <c r="K70">
        <v>13873</v>
      </c>
      <c r="L70">
        <v>13873</v>
      </c>
      <c r="M70" t="s">
        <v>7852</v>
      </c>
      <c r="N70" t="s">
        <v>7851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t="s">
        <v>1</v>
      </c>
    </row>
    <row r="71" spans="5:23" x14ac:dyDescent="0.25">
      <c r="E71" t="s">
        <v>8611</v>
      </c>
      <c r="F71" s="1" t="s">
        <v>8879</v>
      </c>
      <c r="G71" t="s">
        <v>1</v>
      </c>
      <c r="H71" t="s">
        <v>0</v>
      </c>
      <c r="I71" t="s">
        <v>8869</v>
      </c>
      <c r="J71" t="s">
        <v>8868</v>
      </c>
      <c r="K71">
        <v>13873</v>
      </c>
      <c r="L71">
        <v>13873</v>
      </c>
      <c r="M71" t="s">
        <v>8277</v>
      </c>
      <c r="N71" t="s">
        <v>8278</v>
      </c>
      <c r="O71" s="3">
        <v>0</v>
      </c>
      <c r="P71" s="3">
        <v>0</v>
      </c>
      <c r="Q71" s="3">
        <v>319.14</v>
      </c>
      <c r="R71" s="3">
        <v>41.488199999999999</v>
      </c>
      <c r="S71" s="3">
        <v>0</v>
      </c>
      <c r="T71" s="3">
        <v>0</v>
      </c>
      <c r="U71" s="3">
        <v>360.62819999999999</v>
      </c>
      <c r="W71" t="s">
        <v>1</v>
      </c>
    </row>
    <row r="72" spans="5:23" x14ac:dyDescent="0.25">
      <c r="E72" t="s">
        <v>8611</v>
      </c>
      <c r="F72" s="1" t="s">
        <v>8879</v>
      </c>
      <c r="G72" t="s">
        <v>1</v>
      </c>
      <c r="H72" t="s">
        <v>0</v>
      </c>
      <c r="I72" t="s">
        <v>8869</v>
      </c>
      <c r="J72" t="s">
        <v>8868</v>
      </c>
      <c r="K72">
        <v>13874</v>
      </c>
      <c r="L72">
        <v>13874</v>
      </c>
      <c r="M72" t="s">
        <v>8249</v>
      </c>
      <c r="N72" t="s">
        <v>8250</v>
      </c>
      <c r="O72" s="3">
        <v>0</v>
      </c>
      <c r="P72" s="3">
        <v>0</v>
      </c>
      <c r="Q72" s="3">
        <v>112.5</v>
      </c>
      <c r="R72" s="3">
        <v>14.625</v>
      </c>
      <c r="S72" s="3">
        <v>0</v>
      </c>
      <c r="T72" s="3">
        <v>0</v>
      </c>
      <c r="U72" s="3">
        <v>127.125</v>
      </c>
      <c r="W72" t="s">
        <v>1</v>
      </c>
    </row>
    <row r="73" spans="5:23" x14ac:dyDescent="0.25">
      <c r="E73" t="s">
        <v>8611</v>
      </c>
      <c r="F73" s="1" t="s">
        <v>8879</v>
      </c>
      <c r="G73" t="s">
        <v>1</v>
      </c>
      <c r="H73" t="s">
        <v>0</v>
      </c>
      <c r="I73" t="s">
        <v>8869</v>
      </c>
      <c r="J73" t="s">
        <v>8868</v>
      </c>
      <c r="K73">
        <v>13875</v>
      </c>
      <c r="L73">
        <v>13875</v>
      </c>
      <c r="M73" t="s">
        <v>8269</v>
      </c>
      <c r="N73" t="s">
        <v>8270</v>
      </c>
      <c r="O73" s="3">
        <v>0</v>
      </c>
      <c r="P73" s="3">
        <v>0</v>
      </c>
      <c r="Q73" s="3">
        <v>48.7</v>
      </c>
      <c r="R73" s="3">
        <v>6.3310000000000004</v>
      </c>
      <c r="S73" s="3">
        <v>0</v>
      </c>
      <c r="T73" s="3">
        <v>0</v>
      </c>
      <c r="U73" s="3">
        <v>55.031000000000006</v>
      </c>
      <c r="W73" t="s">
        <v>1</v>
      </c>
    </row>
    <row r="74" spans="5:23" x14ac:dyDescent="0.25">
      <c r="E74" t="s">
        <v>8611</v>
      </c>
      <c r="F74" s="1" t="s">
        <v>8879</v>
      </c>
      <c r="G74" t="s">
        <v>1</v>
      </c>
      <c r="H74" t="s">
        <v>0</v>
      </c>
      <c r="I74" t="s">
        <v>8869</v>
      </c>
      <c r="J74" t="s">
        <v>8868</v>
      </c>
      <c r="K74">
        <v>13876</v>
      </c>
      <c r="L74">
        <v>13876</v>
      </c>
      <c r="M74" t="s">
        <v>1483</v>
      </c>
      <c r="N74" t="s">
        <v>1484</v>
      </c>
      <c r="O74" s="3">
        <v>0</v>
      </c>
      <c r="P74" s="3">
        <v>0</v>
      </c>
      <c r="Q74" s="3">
        <v>107.9</v>
      </c>
      <c r="R74" s="3">
        <v>14.027000000000001</v>
      </c>
      <c r="S74" s="3">
        <v>0</v>
      </c>
      <c r="T74" s="3">
        <v>0</v>
      </c>
      <c r="U74" s="3">
        <v>121.92700000000001</v>
      </c>
      <c r="W74" t="s">
        <v>1</v>
      </c>
    </row>
    <row r="75" spans="5:23" x14ac:dyDescent="0.25">
      <c r="E75" t="s">
        <v>8611</v>
      </c>
      <c r="F75" s="1" t="s">
        <v>8879</v>
      </c>
      <c r="G75" t="s">
        <v>1</v>
      </c>
      <c r="H75" t="s">
        <v>0</v>
      </c>
      <c r="I75" t="s">
        <v>8869</v>
      </c>
      <c r="J75" t="s">
        <v>8868</v>
      </c>
      <c r="K75">
        <v>13877</v>
      </c>
      <c r="L75">
        <v>13877</v>
      </c>
      <c r="M75" t="s">
        <v>1483</v>
      </c>
      <c r="N75" t="s">
        <v>1484</v>
      </c>
      <c r="O75" s="3">
        <v>0</v>
      </c>
      <c r="P75" s="3">
        <v>0</v>
      </c>
      <c r="Q75" s="3">
        <v>18.100000000000001</v>
      </c>
      <c r="R75" s="3">
        <v>2.3530000000000002</v>
      </c>
      <c r="S75" s="3">
        <v>0</v>
      </c>
      <c r="T75" s="3">
        <v>0</v>
      </c>
      <c r="U75" s="3">
        <v>20.453000000000003</v>
      </c>
      <c r="W75" t="s">
        <v>1</v>
      </c>
    </row>
    <row r="76" spans="5:23" x14ac:dyDescent="0.25">
      <c r="E76" t="s">
        <v>8611</v>
      </c>
      <c r="F76" s="1" t="s">
        <v>8879</v>
      </c>
      <c r="G76" t="s">
        <v>1</v>
      </c>
      <c r="H76" t="s">
        <v>0</v>
      </c>
      <c r="I76" t="s">
        <v>8869</v>
      </c>
      <c r="J76" t="s">
        <v>8868</v>
      </c>
      <c r="K76">
        <v>13878</v>
      </c>
      <c r="L76">
        <v>13878</v>
      </c>
      <c r="M76" t="s">
        <v>8190</v>
      </c>
      <c r="N76" t="s">
        <v>8191</v>
      </c>
      <c r="O76" s="3">
        <v>0</v>
      </c>
      <c r="P76" s="3">
        <v>0</v>
      </c>
      <c r="Q76" s="3">
        <v>407.08</v>
      </c>
      <c r="R76" s="3">
        <v>52.920400000000001</v>
      </c>
      <c r="S76" s="3">
        <v>0</v>
      </c>
      <c r="T76" s="3">
        <v>0</v>
      </c>
      <c r="U76" s="3">
        <v>460.00040000000001</v>
      </c>
      <c r="W76" t="s">
        <v>1</v>
      </c>
    </row>
    <row r="77" spans="5:23" x14ac:dyDescent="0.25">
      <c r="E77" t="s">
        <v>8611</v>
      </c>
      <c r="F77" s="1" t="s">
        <v>8879</v>
      </c>
      <c r="G77" t="s">
        <v>1</v>
      </c>
      <c r="H77" t="s">
        <v>0</v>
      </c>
      <c r="I77" t="s">
        <v>8869</v>
      </c>
      <c r="J77" t="s">
        <v>8868</v>
      </c>
      <c r="K77">
        <v>13879</v>
      </c>
      <c r="L77">
        <v>13879</v>
      </c>
      <c r="M77" t="s">
        <v>214</v>
      </c>
      <c r="N77" t="s">
        <v>215</v>
      </c>
      <c r="O77" s="3">
        <v>0</v>
      </c>
      <c r="P77" s="3">
        <v>0</v>
      </c>
      <c r="Q77" s="3">
        <v>1759.73</v>
      </c>
      <c r="R77" s="3">
        <v>228.76490000000001</v>
      </c>
      <c r="S77" s="3">
        <v>0</v>
      </c>
      <c r="T77" s="3">
        <v>0</v>
      </c>
      <c r="U77" s="3">
        <v>1988.4949000000001</v>
      </c>
      <c r="W77" t="s">
        <v>1</v>
      </c>
    </row>
    <row r="78" spans="5:23" x14ac:dyDescent="0.25">
      <c r="E78" t="s">
        <v>8611</v>
      </c>
      <c r="F78" s="1" t="s">
        <v>8879</v>
      </c>
      <c r="G78" t="s">
        <v>1</v>
      </c>
      <c r="H78" t="s">
        <v>0</v>
      </c>
      <c r="I78" t="s">
        <v>8869</v>
      </c>
      <c r="J78" t="s">
        <v>8868</v>
      </c>
      <c r="K78">
        <v>13880</v>
      </c>
      <c r="L78">
        <v>13880</v>
      </c>
      <c r="M78" t="s">
        <v>214</v>
      </c>
      <c r="N78" t="s">
        <v>215</v>
      </c>
      <c r="O78" s="3">
        <v>0</v>
      </c>
      <c r="P78" s="3">
        <v>0</v>
      </c>
      <c r="Q78" s="3">
        <v>58</v>
      </c>
      <c r="R78" s="3">
        <v>7.54</v>
      </c>
      <c r="S78" s="3">
        <v>0</v>
      </c>
      <c r="T78" s="3">
        <v>0</v>
      </c>
      <c r="U78" s="3">
        <v>65.540000000000006</v>
      </c>
      <c r="W78" t="s">
        <v>1</v>
      </c>
    </row>
    <row r="79" spans="5:23" x14ac:dyDescent="0.25">
      <c r="E79" t="s">
        <v>8611</v>
      </c>
      <c r="F79" s="1" t="s">
        <v>8879</v>
      </c>
      <c r="G79" t="s">
        <v>1</v>
      </c>
      <c r="H79" t="s">
        <v>0</v>
      </c>
      <c r="I79" t="s">
        <v>8869</v>
      </c>
      <c r="J79" t="s">
        <v>8868</v>
      </c>
      <c r="K79">
        <v>13881</v>
      </c>
      <c r="L79">
        <v>13881</v>
      </c>
      <c r="M79" t="s">
        <v>8166</v>
      </c>
      <c r="N79" t="s">
        <v>8167</v>
      </c>
      <c r="O79" s="3">
        <v>0</v>
      </c>
      <c r="P79" s="3">
        <v>0</v>
      </c>
      <c r="Q79" s="3">
        <v>48.2</v>
      </c>
      <c r="R79" s="3">
        <v>6.2660000000000009</v>
      </c>
      <c r="S79" s="3">
        <v>0</v>
      </c>
      <c r="T79" s="3">
        <v>0</v>
      </c>
      <c r="U79" s="3">
        <v>54.466000000000001</v>
      </c>
      <c r="W79" t="s">
        <v>1</v>
      </c>
    </row>
    <row r="80" spans="5:23" x14ac:dyDescent="0.25">
      <c r="E80" t="s">
        <v>8611</v>
      </c>
      <c r="F80" s="1" t="s">
        <v>8878</v>
      </c>
      <c r="G80" t="s">
        <v>1</v>
      </c>
      <c r="H80" t="s">
        <v>0</v>
      </c>
      <c r="I80" t="s">
        <v>8869</v>
      </c>
      <c r="J80" t="s">
        <v>8868</v>
      </c>
      <c r="K80">
        <v>13882</v>
      </c>
      <c r="L80">
        <v>13882</v>
      </c>
      <c r="M80" t="s">
        <v>8277</v>
      </c>
      <c r="N80" t="s">
        <v>8278</v>
      </c>
      <c r="O80" s="3">
        <v>0</v>
      </c>
      <c r="P80" s="3">
        <v>0</v>
      </c>
      <c r="Q80" s="3">
        <v>261.85000000000002</v>
      </c>
      <c r="R80" s="3">
        <v>34.040500000000002</v>
      </c>
      <c r="S80" s="3">
        <v>0</v>
      </c>
      <c r="T80" s="3">
        <v>0</v>
      </c>
      <c r="U80" s="3">
        <v>295.89050000000003</v>
      </c>
      <c r="W80" t="s">
        <v>1</v>
      </c>
    </row>
    <row r="81" spans="5:23" hidden="1" x14ac:dyDescent="0.25">
      <c r="E81" t="s">
        <v>8611</v>
      </c>
      <c r="F81" s="1" t="s">
        <v>8878</v>
      </c>
      <c r="G81" t="s">
        <v>1</v>
      </c>
      <c r="H81" t="s">
        <v>0</v>
      </c>
      <c r="I81" t="s">
        <v>8869</v>
      </c>
      <c r="J81" t="s">
        <v>8868</v>
      </c>
      <c r="K81">
        <v>13883</v>
      </c>
      <c r="L81">
        <v>13883</v>
      </c>
      <c r="M81" t="s">
        <v>7852</v>
      </c>
      <c r="N81" t="s">
        <v>7851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t="s">
        <v>1</v>
      </c>
    </row>
    <row r="82" spans="5:23" x14ac:dyDescent="0.25">
      <c r="E82" t="s">
        <v>8611</v>
      </c>
      <c r="F82" s="1" t="s">
        <v>8878</v>
      </c>
      <c r="G82" t="s">
        <v>1</v>
      </c>
      <c r="H82" t="s">
        <v>0</v>
      </c>
      <c r="I82" t="s">
        <v>8869</v>
      </c>
      <c r="J82" t="s">
        <v>8868</v>
      </c>
      <c r="K82">
        <v>13884</v>
      </c>
      <c r="L82">
        <v>13884</v>
      </c>
      <c r="M82" t="s">
        <v>8269</v>
      </c>
      <c r="N82" t="s">
        <v>8270</v>
      </c>
      <c r="O82" s="3">
        <v>0</v>
      </c>
      <c r="P82" s="3">
        <v>0</v>
      </c>
      <c r="Q82" s="3">
        <v>18</v>
      </c>
      <c r="R82" s="3">
        <v>2.34</v>
      </c>
      <c r="S82" s="3">
        <v>0</v>
      </c>
      <c r="T82" s="3">
        <v>0</v>
      </c>
      <c r="U82" s="3">
        <v>20.34</v>
      </c>
      <c r="W82" t="s">
        <v>1</v>
      </c>
    </row>
    <row r="83" spans="5:23" x14ac:dyDescent="0.25">
      <c r="E83" t="s">
        <v>8611</v>
      </c>
      <c r="F83" s="1" t="s">
        <v>8878</v>
      </c>
      <c r="G83" t="s">
        <v>1</v>
      </c>
      <c r="H83" t="s">
        <v>0</v>
      </c>
      <c r="I83" t="s">
        <v>8869</v>
      </c>
      <c r="J83" t="s">
        <v>8868</v>
      </c>
      <c r="K83">
        <v>13885</v>
      </c>
      <c r="L83">
        <v>13885</v>
      </c>
      <c r="N83" t="s">
        <v>8454</v>
      </c>
      <c r="O83" s="3">
        <v>0</v>
      </c>
      <c r="P83" s="3">
        <v>0</v>
      </c>
      <c r="Q83" s="3">
        <v>8.75</v>
      </c>
      <c r="R83" s="3">
        <v>1.1375</v>
      </c>
      <c r="S83" s="3">
        <v>0</v>
      </c>
      <c r="T83" s="3">
        <v>0</v>
      </c>
      <c r="U83" s="3">
        <v>9.8874999999999993</v>
      </c>
      <c r="V83" s="3" t="s">
        <v>8651</v>
      </c>
      <c r="W83" t="s">
        <v>1</v>
      </c>
    </row>
    <row r="84" spans="5:23" x14ac:dyDescent="0.25">
      <c r="E84" t="s">
        <v>8611</v>
      </c>
      <c r="F84" s="1" t="s">
        <v>8878</v>
      </c>
      <c r="G84" t="s">
        <v>1</v>
      </c>
      <c r="H84" t="s">
        <v>0</v>
      </c>
      <c r="I84" t="s">
        <v>8869</v>
      </c>
      <c r="J84" t="s">
        <v>8868</v>
      </c>
      <c r="K84">
        <v>13886</v>
      </c>
      <c r="L84">
        <v>13886</v>
      </c>
      <c r="M84" t="s">
        <v>936</v>
      </c>
      <c r="N84" t="s">
        <v>937</v>
      </c>
      <c r="O84" s="3">
        <v>0</v>
      </c>
      <c r="P84" s="3">
        <v>0</v>
      </c>
      <c r="Q84" s="3">
        <v>315</v>
      </c>
      <c r="R84" s="3">
        <v>40.950000000000003</v>
      </c>
      <c r="S84" s="3">
        <v>0</v>
      </c>
      <c r="T84" s="3">
        <v>0</v>
      </c>
      <c r="U84" s="3">
        <v>355.95</v>
      </c>
      <c r="W84" t="s">
        <v>1</v>
      </c>
    </row>
    <row r="85" spans="5:23" x14ac:dyDescent="0.25">
      <c r="E85" t="s">
        <v>8611</v>
      </c>
      <c r="F85" s="1" t="s">
        <v>8878</v>
      </c>
      <c r="G85" t="s">
        <v>1</v>
      </c>
      <c r="H85" t="s">
        <v>0</v>
      </c>
      <c r="I85" t="s">
        <v>8869</v>
      </c>
      <c r="J85" t="s">
        <v>8868</v>
      </c>
      <c r="K85">
        <v>13887</v>
      </c>
      <c r="L85">
        <v>13887</v>
      </c>
      <c r="M85" t="s">
        <v>8190</v>
      </c>
      <c r="N85" t="s">
        <v>8191</v>
      </c>
      <c r="O85" s="3">
        <v>0</v>
      </c>
      <c r="P85" s="3">
        <v>0</v>
      </c>
      <c r="Q85" s="3">
        <v>471.15</v>
      </c>
      <c r="R85" s="3">
        <v>61.249499999999998</v>
      </c>
      <c r="S85" s="3">
        <v>0</v>
      </c>
      <c r="T85" s="3">
        <v>0</v>
      </c>
      <c r="U85" s="3">
        <v>532.39949999999999</v>
      </c>
      <c r="W85" t="s">
        <v>1</v>
      </c>
    </row>
    <row r="86" spans="5:23" hidden="1" x14ac:dyDescent="0.25">
      <c r="E86" t="s">
        <v>8611</v>
      </c>
      <c r="F86" s="1" t="s">
        <v>8878</v>
      </c>
      <c r="G86" t="s">
        <v>1</v>
      </c>
      <c r="H86" t="s">
        <v>0</v>
      </c>
      <c r="I86" t="s">
        <v>8869</v>
      </c>
      <c r="J86" t="s">
        <v>8868</v>
      </c>
      <c r="K86">
        <v>13888</v>
      </c>
      <c r="L86">
        <v>13888</v>
      </c>
      <c r="M86" t="s">
        <v>7852</v>
      </c>
      <c r="N86" t="s">
        <v>7851</v>
      </c>
      <c r="O86" s="3">
        <v>0</v>
      </c>
      <c r="P86" s="3">
        <v>0</v>
      </c>
      <c r="Q86" s="3">
        <v>0</v>
      </c>
      <c r="R86" s="3">
        <v>0</v>
      </c>
      <c r="S86" s="3">
        <v>0</v>
      </c>
      <c r="T86" s="3">
        <v>0</v>
      </c>
      <c r="U86" s="3">
        <v>0</v>
      </c>
      <c r="V86" s="3">
        <v>0</v>
      </c>
      <c r="W86" t="s">
        <v>1</v>
      </c>
    </row>
    <row r="87" spans="5:23" x14ac:dyDescent="0.25">
      <c r="E87" t="s">
        <v>8611</v>
      </c>
      <c r="F87" s="1" t="s">
        <v>8878</v>
      </c>
      <c r="G87" t="s">
        <v>1</v>
      </c>
      <c r="H87" t="s">
        <v>0</v>
      </c>
      <c r="I87" t="s">
        <v>8869</v>
      </c>
      <c r="J87" t="s">
        <v>8868</v>
      </c>
      <c r="K87">
        <v>13889</v>
      </c>
      <c r="L87">
        <v>13889</v>
      </c>
      <c r="M87" t="s">
        <v>8547</v>
      </c>
      <c r="N87" t="s">
        <v>8548</v>
      </c>
      <c r="O87" s="3">
        <v>0</v>
      </c>
      <c r="P87" s="3">
        <v>0</v>
      </c>
      <c r="Q87" s="3">
        <v>36.9</v>
      </c>
      <c r="R87" s="3">
        <v>4.7969999999999997</v>
      </c>
      <c r="S87" s="3">
        <v>0</v>
      </c>
      <c r="T87" s="3">
        <v>0</v>
      </c>
      <c r="U87" s="3">
        <v>41.696999999999996</v>
      </c>
      <c r="W87" t="s">
        <v>1</v>
      </c>
    </row>
    <row r="88" spans="5:23" x14ac:dyDescent="0.25">
      <c r="E88" t="s">
        <v>8611</v>
      </c>
      <c r="F88" s="1" t="s">
        <v>8878</v>
      </c>
      <c r="G88" t="s">
        <v>1</v>
      </c>
      <c r="H88" t="s">
        <v>0</v>
      </c>
      <c r="I88" t="s">
        <v>8869</v>
      </c>
      <c r="J88" t="s">
        <v>8868</v>
      </c>
      <c r="K88">
        <v>13890</v>
      </c>
      <c r="L88">
        <v>13890</v>
      </c>
      <c r="M88" t="s">
        <v>115</v>
      </c>
      <c r="N88" t="s">
        <v>116</v>
      </c>
      <c r="O88" s="3">
        <v>0</v>
      </c>
      <c r="P88" s="3">
        <v>0</v>
      </c>
      <c r="Q88" s="3">
        <v>1756.82</v>
      </c>
      <c r="R88" s="3">
        <v>228.38659999999999</v>
      </c>
      <c r="S88" s="3">
        <v>0</v>
      </c>
      <c r="T88" s="3">
        <v>0</v>
      </c>
      <c r="U88" s="3">
        <v>1985.2066</v>
      </c>
      <c r="W88" t="s">
        <v>1</v>
      </c>
    </row>
    <row r="89" spans="5:23" x14ac:dyDescent="0.25">
      <c r="E89" t="s">
        <v>8611</v>
      </c>
      <c r="F89" s="1" t="s">
        <v>8878</v>
      </c>
      <c r="G89" t="s">
        <v>1</v>
      </c>
      <c r="H89" t="s">
        <v>0</v>
      </c>
      <c r="I89" t="s">
        <v>8869</v>
      </c>
      <c r="J89" t="s">
        <v>8868</v>
      </c>
      <c r="K89">
        <v>13891</v>
      </c>
      <c r="L89">
        <v>13891</v>
      </c>
      <c r="M89" t="s">
        <v>8209</v>
      </c>
      <c r="N89" t="s">
        <v>8210</v>
      </c>
      <c r="O89" s="3">
        <v>0</v>
      </c>
      <c r="P89" s="3">
        <v>0</v>
      </c>
      <c r="Q89" s="3">
        <v>250</v>
      </c>
      <c r="R89" s="3">
        <v>32.5</v>
      </c>
      <c r="S89" s="3">
        <v>0</v>
      </c>
      <c r="T89" s="3">
        <v>0</v>
      </c>
      <c r="U89" s="3">
        <v>282.5</v>
      </c>
      <c r="W89" t="s">
        <v>1</v>
      </c>
    </row>
    <row r="90" spans="5:23" x14ac:dyDescent="0.25">
      <c r="E90" t="s">
        <v>8611</v>
      </c>
      <c r="F90" s="1" t="s">
        <v>8878</v>
      </c>
      <c r="G90" t="s">
        <v>1</v>
      </c>
      <c r="H90" t="s">
        <v>0</v>
      </c>
      <c r="I90" t="s">
        <v>8869</v>
      </c>
      <c r="J90" t="s">
        <v>8868</v>
      </c>
      <c r="K90">
        <v>13892</v>
      </c>
      <c r="L90">
        <v>13892</v>
      </c>
      <c r="M90" t="s">
        <v>1062</v>
      </c>
      <c r="N90" t="s">
        <v>1063</v>
      </c>
      <c r="O90" s="3">
        <v>0</v>
      </c>
      <c r="P90" s="3">
        <v>0</v>
      </c>
      <c r="Q90" s="3">
        <v>47.57</v>
      </c>
      <c r="R90" s="3">
        <v>6.1840999999999999</v>
      </c>
      <c r="S90" s="3">
        <v>0</v>
      </c>
      <c r="T90" s="3">
        <v>0</v>
      </c>
      <c r="U90" s="3">
        <v>53.754100000000001</v>
      </c>
      <c r="W90" t="s">
        <v>1</v>
      </c>
    </row>
    <row r="91" spans="5:23" x14ac:dyDescent="0.25">
      <c r="E91" t="s">
        <v>8611</v>
      </c>
      <c r="F91" s="1" t="s">
        <v>8878</v>
      </c>
      <c r="G91" t="s">
        <v>1</v>
      </c>
      <c r="H91" t="s">
        <v>0</v>
      </c>
      <c r="I91" t="s">
        <v>8869</v>
      </c>
      <c r="J91" t="s">
        <v>8868</v>
      </c>
      <c r="K91">
        <v>13893</v>
      </c>
      <c r="L91">
        <v>13893</v>
      </c>
      <c r="M91" t="s">
        <v>1062</v>
      </c>
      <c r="N91" t="s">
        <v>1063</v>
      </c>
      <c r="O91" s="3">
        <v>0</v>
      </c>
      <c r="P91" s="3">
        <v>0</v>
      </c>
      <c r="Q91" s="3">
        <v>282.5</v>
      </c>
      <c r="R91" s="3">
        <v>36.725000000000001</v>
      </c>
      <c r="S91" s="3">
        <v>0</v>
      </c>
      <c r="T91" s="3">
        <v>0</v>
      </c>
      <c r="U91" s="3">
        <v>319.22500000000002</v>
      </c>
      <c r="W91" t="s">
        <v>1</v>
      </c>
    </row>
    <row r="92" spans="5:23" x14ac:dyDescent="0.25">
      <c r="E92" t="s">
        <v>8611</v>
      </c>
      <c r="F92" s="1" t="s">
        <v>8878</v>
      </c>
      <c r="G92" t="s">
        <v>1</v>
      </c>
      <c r="H92" t="s">
        <v>0</v>
      </c>
      <c r="I92" t="s">
        <v>8869</v>
      </c>
      <c r="J92" t="s">
        <v>8868</v>
      </c>
      <c r="K92">
        <v>13894</v>
      </c>
      <c r="L92">
        <v>13894</v>
      </c>
      <c r="M92" t="s">
        <v>8226</v>
      </c>
      <c r="N92" t="s">
        <v>8227</v>
      </c>
      <c r="O92" s="3">
        <v>0</v>
      </c>
      <c r="P92" s="3">
        <v>0</v>
      </c>
      <c r="Q92" s="3">
        <v>514.77</v>
      </c>
      <c r="R92" s="3">
        <v>66.920100000000005</v>
      </c>
      <c r="S92" s="3">
        <v>0</v>
      </c>
      <c r="T92" s="3">
        <v>0</v>
      </c>
      <c r="U92" s="3">
        <v>581.69010000000003</v>
      </c>
      <c r="W92" t="s">
        <v>1</v>
      </c>
    </row>
    <row r="93" spans="5:23" x14ac:dyDescent="0.25">
      <c r="E93" t="s">
        <v>8611</v>
      </c>
      <c r="F93" s="1" t="s">
        <v>8878</v>
      </c>
      <c r="G93" t="s">
        <v>1</v>
      </c>
      <c r="H93" t="s">
        <v>0</v>
      </c>
      <c r="I93" t="s">
        <v>8869</v>
      </c>
      <c r="J93" t="s">
        <v>8868</v>
      </c>
      <c r="K93">
        <v>13895</v>
      </c>
      <c r="L93">
        <v>13895</v>
      </c>
      <c r="M93" t="s">
        <v>8239</v>
      </c>
      <c r="N93" t="s">
        <v>8240</v>
      </c>
      <c r="O93" s="3">
        <v>0</v>
      </c>
      <c r="P93" s="3">
        <v>0</v>
      </c>
      <c r="Q93" s="3">
        <v>100</v>
      </c>
      <c r="R93" s="3">
        <v>13</v>
      </c>
      <c r="S93" s="3">
        <v>0</v>
      </c>
      <c r="T93" s="3">
        <v>0</v>
      </c>
      <c r="U93" s="3">
        <v>113</v>
      </c>
      <c r="W93" t="s">
        <v>1</v>
      </c>
    </row>
    <row r="94" spans="5:23" x14ac:dyDescent="0.25">
      <c r="E94" t="s">
        <v>8611</v>
      </c>
      <c r="F94" s="1" t="s">
        <v>8878</v>
      </c>
      <c r="G94" t="s">
        <v>1</v>
      </c>
      <c r="H94" t="s">
        <v>0</v>
      </c>
      <c r="I94" t="s">
        <v>8869</v>
      </c>
      <c r="J94" t="s">
        <v>8868</v>
      </c>
      <c r="K94">
        <v>13896</v>
      </c>
      <c r="L94">
        <v>13896</v>
      </c>
      <c r="M94" s="3" t="s">
        <v>8249</v>
      </c>
      <c r="N94" t="s">
        <v>8250</v>
      </c>
      <c r="O94" s="3">
        <v>0</v>
      </c>
      <c r="P94" s="3">
        <v>0</v>
      </c>
      <c r="Q94" s="3">
        <v>25.47</v>
      </c>
      <c r="R94" s="3">
        <v>3.3111000000000002</v>
      </c>
      <c r="S94" s="3">
        <v>0</v>
      </c>
      <c r="T94" s="3">
        <v>0</v>
      </c>
      <c r="U94" s="3">
        <v>28.781099999999999</v>
      </c>
      <c r="W94" t="s">
        <v>1</v>
      </c>
    </row>
    <row r="95" spans="5:23" x14ac:dyDescent="0.25">
      <c r="E95" t="s">
        <v>8611</v>
      </c>
      <c r="F95" s="1" t="s">
        <v>8878</v>
      </c>
      <c r="G95" t="s">
        <v>1</v>
      </c>
      <c r="H95" t="s">
        <v>0</v>
      </c>
      <c r="I95" t="s">
        <v>8869</v>
      </c>
      <c r="J95" t="s">
        <v>8868</v>
      </c>
      <c r="K95">
        <v>13897</v>
      </c>
      <c r="L95">
        <v>13897</v>
      </c>
      <c r="N95" t="s">
        <v>8822</v>
      </c>
      <c r="O95" s="3">
        <v>0</v>
      </c>
      <c r="P95" s="3">
        <v>0</v>
      </c>
      <c r="Q95" s="3">
        <v>76.319999999999993</v>
      </c>
      <c r="R95" s="3">
        <v>9.9215999999999998</v>
      </c>
      <c r="S95" s="3">
        <v>0</v>
      </c>
      <c r="T95" s="3">
        <v>0</v>
      </c>
      <c r="U95" s="3">
        <v>86.241599999999991</v>
      </c>
      <c r="V95" s="3" t="s">
        <v>8821</v>
      </c>
      <c r="W95" t="s">
        <v>1</v>
      </c>
    </row>
    <row r="96" spans="5:23" x14ac:dyDescent="0.25">
      <c r="E96" t="s">
        <v>8611</v>
      </c>
      <c r="F96" s="1" t="s">
        <v>8878</v>
      </c>
      <c r="G96" t="s">
        <v>1</v>
      </c>
      <c r="H96" t="s">
        <v>0</v>
      </c>
      <c r="I96" t="s">
        <v>8869</v>
      </c>
      <c r="J96" t="s">
        <v>8868</v>
      </c>
      <c r="K96">
        <v>13898</v>
      </c>
      <c r="L96">
        <v>13898</v>
      </c>
      <c r="N96" t="s">
        <v>8822</v>
      </c>
      <c r="O96" s="3">
        <v>0</v>
      </c>
      <c r="P96" s="3">
        <v>0</v>
      </c>
      <c r="Q96" s="3">
        <v>81.599999999999994</v>
      </c>
      <c r="R96" s="3">
        <v>10.607999999999999</v>
      </c>
      <c r="S96" s="3">
        <v>0</v>
      </c>
      <c r="T96" s="3">
        <v>0</v>
      </c>
      <c r="U96" s="3">
        <v>92.207999999999998</v>
      </c>
      <c r="V96" s="3" t="s">
        <v>8821</v>
      </c>
      <c r="W96" t="s">
        <v>1</v>
      </c>
    </row>
    <row r="97" spans="5:23" x14ac:dyDescent="0.25">
      <c r="E97" t="s">
        <v>8611</v>
      </c>
      <c r="F97" s="1" t="s">
        <v>8878</v>
      </c>
      <c r="G97" t="s">
        <v>1</v>
      </c>
      <c r="H97" t="s">
        <v>0</v>
      </c>
      <c r="I97" t="s">
        <v>8869</v>
      </c>
      <c r="J97" t="s">
        <v>8868</v>
      </c>
      <c r="K97">
        <v>13899</v>
      </c>
      <c r="L97">
        <v>13899</v>
      </c>
      <c r="N97" t="s">
        <v>8822</v>
      </c>
      <c r="O97" s="3">
        <v>0</v>
      </c>
      <c r="P97" s="3">
        <v>0</v>
      </c>
      <c r="Q97" s="3">
        <v>60.12</v>
      </c>
      <c r="R97" s="3">
        <v>7.8155999999999999</v>
      </c>
      <c r="S97" s="3">
        <v>0</v>
      </c>
      <c r="T97" s="3">
        <v>0</v>
      </c>
      <c r="U97" s="3">
        <v>67.935599999999994</v>
      </c>
      <c r="V97" s="3" t="s">
        <v>8821</v>
      </c>
      <c r="W97" t="s">
        <v>1</v>
      </c>
    </row>
    <row r="98" spans="5:23" x14ac:dyDescent="0.25">
      <c r="E98" t="s">
        <v>8611</v>
      </c>
      <c r="F98" s="1" t="s">
        <v>8877</v>
      </c>
      <c r="G98" t="s">
        <v>1</v>
      </c>
      <c r="H98" t="s">
        <v>0</v>
      </c>
      <c r="I98" t="s">
        <v>8869</v>
      </c>
      <c r="J98" t="s">
        <v>8868</v>
      </c>
      <c r="K98">
        <v>13900</v>
      </c>
      <c r="L98">
        <v>13900</v>
      </c>
      <c r="N98" t="s">
        <v>8822</v>
      </c>
      <c r="O98" s="3">
        <v>0</v>
      </c>
      <c r="P98" s="3">
        <v>0</v>
      </c>
      <c r="Q98" s="3">
        <v>217.76</v>
      </c>
      <c r="R98" s="3">
        <v>28.308800000000002</v>
      </c>
      <c r="S98" s="3">
        <v>0</v>
      </c>
      <c r="T98" s="3">
        <v>0</v>
      </c>
      <c r="U98" s="3">
        <v>246.06879999999998</v>
      </c>
      <c r="V98" s="3" t="s">
        <v>8821</v>
      </c>
      <c r="W98" t="s">
        <v>1</v>
      </c>
    </row>
    <row r="99" spans="5:23" x14ac:dyDescent="0.25">
      <c r="E99" t="s">
        <v>8611</v>
      </c>
      <c r="F99" s="1" t="s">
        <v>8877</v>
      </c>
      <c r="G99" t="s">
        <v>1</v>
      </c>
      <c r="H99" t="s">
        <v>0</v>
      </c>
      <c r="I99" t="s">
        <v>8869</v>
      </c>
      <c r="J99" t="s">
        <v>8868</v>
      </c>
      <c r="K99">
        <v>13901</v>
      </c>
      <c r="L99">
        <v>13901</v>
      </c>
      <c r="M99" t="s">
        <v>8182</v>
      </c>
      <c r="N99" t="s">
        <v>8183</v>
      </c>
      <c r="O99" s="3">
        <v>0</v>
      </c>
      <c r="P99" s="3">
        <v>0</v>
      </c>
      <c r="Q99" s="3">
        <v>208.51</v>
      </c>
      <c r="R99" s="3">
        <v>27.106300000000001</v>
      </c>
      <c r="S99" s="3">
        <v>0</v>
      </c>
      <c r="T99" s="3">
        <v>0</v>
      </c>
      <c r="U99" s="3">
        <v>235.6163</v>
      </c>
      <c r="W99" t="s">
        <v>1</v>
      </c>
    </row>
    <row r="100" spans="5:23" x14ac:dyDescent="0.25">
      <c r="E100" t="s">
        <v>8611</v>
      </c>
      <c r="F100" s="1" t="s">
        <v>8877</v>
      </c>
      <c r="G100" t="s">
        <v>1</v>
      </c>
      <c r="H100" t="s">
        <v>0</v>
      </c>
      <c r="I100" t="s">
        <v>8869</v>
      </c>
      <c r="J100" t="s">
        <v>8868</v>
      </c>
      <c r="K100">
        <v>13902</v>
      </c>
      <c r="L100">
        <v>13902</v>
      </c>
      <c r="M100" t="s">
        <v>8259</v>
      </c>
      <c r="N100" t="s">
        <v>8260</v>
      </c>
      <c r="O100" s="3">
        <v>0</v>
      </c>
      <c r="P100" s="3">
        <v>0</v>
      </c>
      <c r="Q100" s="3">
        <v>121.92</v>
      </c>
      <c r="R100" s="3">
        <v>15.849600000000001</v>
      </c>
      <c r="S100" s="3">
        <v>0</v>
      </c>
      <c r="T100" s="3">
        <v>0</v>
      </c>
      <c r="U100" s="3">
        <v>137.7696</v>
      </c>
      <c r="W100" t="s">
        <v>1</v>
      </c>
    </row>
    <row r="101" spans="5:23" x14ac:dyDescent="0.25">
      <c r="E101" t="s">
        <v>8611</v>
      </c>
      <c r="F101" s="1" t="s">
        <v>8877</v>
      </c>
      <c r="G101" t="s">
        <v>1</v>
      </c>
      <c r="H101" t="s">
        <v>0</v>
      </c>
      <c r="I101" t="s">
        <v>8869</v>
      </c>
      <c r="J101" t="s">
        <v>8868</v>
      </c>
      <c r="K101">
        <v>13903</v>
      </c>
      <c r="L101">
        <v>13903</v>
      </c>
      <c r="M101" t="s">
        <v>8209</v>
      </c>
      <c r="N101" t="s">
        <v>8210</v>
      </c>
      <c r="O101" s="3">
        <v>0</v>
      </c>
      <c r="P101" s="3">
        <v>0</v>
      </c>
      <c r="Q101" s="3">
        <v>50</v>
      </c>
      <c r="R101" s="3">
        <v>6.5</v>
      </c>
      <c r="S101" s="3">
        <v>0</v>
      </c>
      <c r="T101" s="3">
        <v>0</v>
      </c>
      <c r="U101" s="3">
        <v>56.5</v>
      </c>
      <c r="W101" t="s">
        <v>1</v>
      </c>
    </row>
    <row r="102" spans="5:23" x14ac:dyDescent="0.25">
      <c r="E102" t="s">
        <v>8611</v>
      </c>
      <c r="F102" s="1" t="s">
        <v>8877</v>
      </c>
      <c r="G102" t="s">
        <v>1</v>
      </c>
      <c r="H102" t="s">
        <v>0</v>
      </c>
      <c r="I102" t="s">
        <v>8869</v>
      </c>
      <c r="J102" t="s">
        <v>8868</v>
      </c>
      <c r="K102">
        <v>13904</v>
      </c>
      <c r="L102">
        <v>13904</v>
      </c>
      <c r="N102" t="s">
        <v>8208</v>
      </c>
      <c r="O102" s="3">
        <v>0</v>
      </c>
      <c r="P102" s="3">
        <v>0</v>
      </c>
      <c r="Q102" s="3">
        <v>40.1</v>
      </c>
      <c r="R102" s="3">
        <v>5.2130000000000001</v>
      </c>
      <c r="S102" s="3">
        <v>0</v>
      </c>
      <c r="T102" s="3">
        <v>0</v>
      </c>
      <c r="U102" s="3">
        <v>45.313000000000002</v>
      </c>
      <c r="V102" s="3" t="s">
        <v>8650</v>
      </c>
      <c r="W102" t="s">
        <v>1</v>
      </c>
    </row>
    <row r="103" spans="5:23" x14ac:dyDescent="0.25">
      <c r="E103" t="s">
        <v>8611</v>
      </c>
      <c r="F103" s="1" t="s">
        <v>8877</v>
      </c>
      <c r="G103" t="s">
        <v>1</v>
      </c>
      <c r="H103" t="s">
        <v>0</v>
      </c>
      <c r="I103" t="s">
        <v>8869</v>
      </c>
      <c r="J103" t="s">
        <v>8868</v>
      </c>
      <c r="K103">
        <v>13905</v>
      </c>
      <c r="L103">
        <v>13905</v>
      </c>
      <c r="M103" t="s">
        <v>216</v>
      </c>
      <c r="N103" t="s">
        <v>217</v>
      </c>
      <c r="O103" s="3">
        <v>0</v>
      </c>
      <c r="P103" s="3">
        <v>0</v>
      </c>
      <c r="Q103" s="3">
        <v>73.87</v>
      </c>
      <c r="R103" s="3">
        <v>9.6031000000000013</v>
      </c>
      <c r="S103" s="3">
        <v>0</v>
      </c>
      <c r="T103" s="3">
        <v>0</v>
      </c>
      <c r="U103" s="3">
        <v>83.473100000000002</v>
      </c>
      <c r="W103" t="s">
        <v>1</v>
      </c>
    </row>
    <row r="104" spans="5:23" x14ac:dyDescent="0.25">
      <c r="E104" t="s">
        <v>8611</v>
      </c>
      <c r="F104" s="1" t="s">
        <v>8877</v>
      </c>
      <c r="G104" t="s">
        <v>1</v>
      </c>
      <c r="H104" t="s">
        <v>0</v>
      </c>
      <c r="I104" t="s">
        <v>8869</v>
      </c>
      <c r="J104" t="s">
        <v>8868</v>
      </c>
      <c r="K104">
        <v>13906</v>
      </c>
      <c r="L104">
        <v>13906</v>
      </c>
      <c r="M104" t="s">
        <v>216</v>
      </c>
      <c r="N104" t="s">
        <v>217</v>
      </c>
      <c r="O104" s="3">
        <v>0</v>
      </c>
      <c r="P104" s="3">
        <v>0</v>
      </c>
      <c r="Q104" s="3">
        <v>25.25</v>
      </c>
      <c r="R104" s="3">
        <v>3.2825000000000002</v>
      </c>
      <c r="S104" s="3">
        <v>0</v>
      </c>
      <c r="T104" s="3">
        <v>0</v>
      </c>
      <c r="U104" s="3">
        <v>28.532499999999999</v>
      </c>
      <c r="W104" t="s">
        <v>1</v>
      </c>
    </row>
    <row r="105" spans="5:23" hidden="1" x14ac:dyDescent="0.25">
      <c r="E105" t="s">
        <v>8611</v>
      </c>
      <c r="F105" s="1" t="s">
        <v>8877</v>
      </c>
      <c r="G105" t="s">
        <v>1</v>
      </c>
      <c r="H105" t="s">
        <v>0</v>
      </c>
      <c r="I105" t="s">
        <v>8869</v>
      </c>
      <c r="J105" t="s">
        <v>8868</v>
      </c>
      <c r="K105">
        <v>13907</v>
      </c>
      <c r="L105">
        <v>13907</v>
      </c>
      <c r="M105" t="s">
        <v>7852</v>
      </c>
      <c r="N105" t="s">
        <v>7851</v>
      </c>
      <c r="O105" s="3">
        <v>0</v>
      </c>
      <c r="P105" s="3">
        <v>0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t="s">
        <v>1</v>
      </c>
    </row>
    <row r="106" spans="5:23" hidden="1" x14ac:dyDescent="0.25">
      <c r="E106" t="s">
        <v>8611</v>
      </c>
      <c r="F106" s="1" t="s">
        <v>8877</v>
      </c>
      <c r="G106" t="s">
        <v>1</v>
      </c>
      <c r="H106" t="s">
        <v>0</v>
      </c>
      <c r="I106" t="s">
        <v>8869</v>
      </c>
      <c r="J106" t="s">
        <v>8868</v>
      </c>
      <c r="K106">
        <v>13908</v>
      </c>
      <c r="L106">
        <v>13908</v>
      </c>
      <c r="M106" t="s">
        <v>7852</v>
      </c>
      <c r="N106" t="s">
        <v>7851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t="s">
        <v>1</v>
      </c>
    </row>
    <row r="107" spans="5:23" hidden="1" x14ac:dyDescent="0.25">
      <c r="E107" t="s">
        <v>8611</v>
      </c>
      <c r="F107" s="1" t="s">
        <v>8877</v>
      </c>
      <c r="G107" t="s">
        <v>1</v>
      </c>
      <c r="H107" t="s">
        <v>0</v>
      </c>
      <c r="I107" t="s">
        <v>8869</v>
      </c>
      <c r="J107" t="s">
        <v>8868</v>
      </c>
      <c r="K107">
        <v>13909</v>
      </c>
      <c r="L107">
        <v>13909</v>
      </c>
      <c r="M107" t="s">
        <v>7852</v>
      </c>
      <c r="N107" t="s">
        <v>7851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t="s">
        <v>1</v>
      </c>
    </row>
    <row r="108" spans="5:23" x14ac:dyDescent="0.25">
      <c r="E108" t="s">
        <v>8611</v>
      </c>
      <c r="F108" s="1" t="s">
        <v>8877</v>
      </c>
      <c r="G108" t="s">
        <v>1</v>
      </c>
      <c r="H108" t="s">
        <v>0</v>
      </c>
      <c r="I108" t="s">
        <v>8869</v>
      </c>
      <c r="J108" t="s">
        <v>8868</v>
      </c>
      <c r="K108">
        <v>13910</v>
      </c>
      <c r="L108">
        <v>13910</v>
      </c>
      <c r="M108" t="s">
        <v>8114</v>
      </c>
      <c r="N108" t="s">
        <v>8115</v>
      </c>
      <c r="O108" s="3">
        <v>0</v>
      </c>
      <c r="P108" s="3">
        <v>0</v>
      </c>
      <c r="Q108" s="3">
        <v>255.6</v>
      </c>
      <c r="R108" s="3">
        <v>33.228000000000002</v>
      </c>
      <c r="S108" s="3">
        <v>0</v>
      </c>
      <c r="T108" s="3">
        <v>0</v>
      </c>
      <c r="U108" s="3">
        <v>288.82799999999997</v>
      </c>
      <c r="W108" t="s">
        <v>1</v>
      </c>
    </row>
    <row r="109" spans="5:23" x14ac:dyDescent="0.25">
      <c r="E109" t="s">
        <v>8611</v>
      </c>
      <c r="F109" s="1" t="s">
        <v>8877</v>
      </c>
      <c r="G109" t="s">
        <v>1</v>
      </c>
      <c r="H109" t="s">
        <v>0</v>
      </c>
      <c r="I109" t="s">
        <v>8869</v>
      </c>
      <c r="J109" t="s">
        <v>8868</v>
      </c>
      <c r="K109">
        <v>13911</v>
      </c>
      <c r="L109">
        <v>13911</v>
      </c>
      <c r="M109" t="s">
        <v>8569</v>
      </c>
      <c r="N109" t="s">
        <v>8570</v>
      </c>
      <c r="O109" s="3">
        <v>0</v>
      </c>
      <c r="P109" s="3">
        <v>0</v>
      </c>
      <c r="Q109" s="3">
        <v>86.11</v>
      </c>
      <c r="R109" s="3">
        <v>11.1943</v>
      </c>
      <c r="S109" s="3">
        <v>0</v>
      </c>
      <c r="T109" s="3">
        <v>0</v>
      </c>
      <c r="U109" s="3">
        <v>97.304299999999998</v>
      </c>
      <c r="W109" t="s">
        <v>1</v>
      </c>
    </row>
    <row r="110" spans="5:23" x14ac:dyDescent="0.25">
      <c r="E110" t="s">
        <v>8611</v>
      </c>
      <c r="F110" s="1" t="s">
        <v>8877</v>
      </c>
      <c r="G110" t="s">
        <v>1</v>
      </c>
      <c r="H110" t="s">
        <v>0</v>
      </c>
      <c r="I110" t="s">
        <v>8869</v>
      </c>
      <c r="J110" t="s">
        <v>8868</v>
      </c>
      <c r="K110">
        <v>13912</v>
      </c>
      <c r="L110">
        <v>13912</v>
      </c>
      <c r="M110" t="s">
        <v>238</v>
      </c>
      <c r="N110" t="s">
        <v>239</v>
      </c>
      <c r="O110" s="3">
        <v>0</v>
      </c>
      <c r="P110" s="3">
        <v>0</v>
      </c>
      <c r="Q110" s="3">
        <v>99.18</v>
      </c>
      <c r="R110" s="3">
        <v>12.893400000000002</v>
      </c>
      <c r="S110" s="3">
        <v>0</v>
      </c>
      <c r="T110" s="3">
        <v>0</v>
      </c>
      <c r="U110" s="3">
        <v>112.07340000000001</v>
      </c>
      <c r="W110" t="s">
        <v>1</v>
      </c>
    </row>
    <row r="111" spans="5:23" hidden="1" x14ac:dyDescent="0.25">
      <c r="E111" t="s">
        <v>8611</v>
      </c>
      <c r="F111" s="1" t="s">
        <v>8877</v>
      </c>
      <c r="G111" t="s">
        <v>1</v>
      </c>
      <c r="H111" t="s">
        <v>0</v>
      </c>
      <c r="I111" t="s">
        <v>8869</v>
      </c>
      <c r="J111" t="s">
        <v>8868</v>
      </c>
      <c r="K111">
        <v>13913</v>
      </c>
      <c r="L111">
        <v>13913</v>
      </c>
      <c r="M111" t="s">
        <v>7852</v>
      </c>
      <c r="N111" t="s">
        <v>7851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t="s">
        <v>1</v>
      </c>
    </row>
    <row r="112" spans="5:23" x14ac:dyDescent="0.25">
      <c r="E112" t="s">
        <v>8611</v>
      </c>
      <c r="F112" s="1" t="s">
        <v>8877</v>
      </c>
      <c r="G112" t="s">
        <v>1</v>
      </c>
      <c r="H112" t="s">
        <v>0</v>
      </c>
      <c r="I112" t="s">
        <v>8869</v>
      </c>
      <c r="J112" t="s">
        <v>8868</v>
      </c>
      <c r="K112">
        <v>13914</v>
      </c>
      <c r="L112">
        <v>13914</v>
      </c>
      <c r="N112" t="s">
        <v>8454</v>
      </c>
      <c r="O112" s="3">
        <v>0</v>
      </c>
      <c r="P112" s="3">
        <v>0</v>
      </c>
      <c r="Q112" s="3">
        <v>34.9</v>
      </c>
      <c r="R112" s="3">
        <v>4.5369999999999999</v>
      </c>
      <c r="S112" s="3">
        <v>0</v>
      </c>
      <c r="T112" s="3">
        <v>0</v>
      </c>
      <c r="U112" s="3">
        <v>39.436999999999998</v>
      </c>
      <c r="V112" s="3" t="s">
        <v>8651</v>
      </c>
      <c r="W112" t="s">
        <v>1</v>
      </c>
    </row>
    <row r="113" spans="5:23" x14ac:dyDescent="0.25">
      <c r="E113" t="s">
        <v>8611</v>
      </c>
      <c r="F113" s="1" t="s">
        <v>8877</v>
      </c>
      <c r="G113" t="s">
        <v>1</v>
      </c>
      <c r="H113" t="s">
        <v>0</v>
      </c>
      <c r="I113" t="s">
        <v>8869</v>
      </c>
      <c r="J113" t="s">
        <v>8868</v>
      </c>
      <c r="K113">
        <v>13915</v>
      </c>
      <c r="L113">
        <v>13915</v>
      </c>
      <c r="M113" t="s">
        <v>8209</v>
      </c>
      <c r="N113" t="s">
        <v>8210</v>
      </c>
      <c r="O113" s="3">
        <v>0</v>
      </c>
      <c r="P113" s="3">
        <v>0</v>
      </c>
      <c r="Q113" s="3">
        <v>74.2</v>
      </c>
      <c r="R113" s="3">
        <v>9.6460000000000008</v>
      </c>
      <c r="S113" s="3">
        <v>0</v>
      </c>
      <c r="T113" s="3">
        <v>0</v>
      </c>
      <c r="U113" s="3">
        <v>83.846000000000004</v>
      </c>
      <c r="W113" t="s">
        <v>1</v>
      </c>
    </row>
    <row r="114" spans="5:23" x14ac:dyDescent="0.25">
      <c r="E114" t="s">
        <v>8611</v>
      </c>
      <c r="F114" s="1" t="s">
        <v>8877</v>
      </c>
      <c r="G114" t="s">
        <v>1</v>
      </c>
      <c r="H114" t="s">
        <v>0</v>
      </c>
      <c r="I114" t="s">
        <v>8869</v>
      </c>
      <c r="J114" t="s">
        <v>8868</v>
      </c>
      <c r="K114">
        <v>13916</v>
      </c>
      <c r="L114">
        <v>13916</v>
      </c>
      <c r="M114" t="s">
        <v>8209</v>
      </c>
      <c r="N114" t="s">
        <v>8210</v>
      </c>
      <c r="O114" s="3">
        <v>0</v>
      </c>
      <c r="P114" s="3">
        <v>0</v>
      </c>
      <c r="Q114" s="3">
        <v>915.96</v>
      </c>
      <c r="R114" s="3">
        <v>119.07480000000001</v>
      </c>
      <c r="S114" s="3">
        <v>0</v>
      </c>
      <c r="T114" s="3">
        <v>0</v>
      </c>
      <c r="U114" s="3">
        <v>1035.0348000000001</v>
      </c>
      <c r="W114" t="s">
        <v>1</v>
      </c>
    </row>
    <row r="115" spans="5:23" x14ac:dyDescent="0.25">
      <c r="E115" t="s">
        <v>8611</v>
      </c>
      <c r="F115" s="1" t="s">
        <v>8877</v>
      </c>
      <c r="G115" t="s">
        <v>1</v>
      </c>
      <c r="H115" t="s">
        <v>0</v>
      </c>
      <c r="I115" t="s">
        <v>8869</v>
      </c>
      <c r="J115" t="s">
        <v>8868</v>
      </c>
      <c r="K115">
        <v>13917</v>
      </c>
      <c r="L115">
        <v>13917</v>
      </c>
      <c r="M115" t="s">
        <v>129</v>
      </c>
      <c r="N115" t="s">
        <v>130</v>
      </c>
      <c r="O115" s="3">
        <v>0</v>
      </c>
      <c r="P115" s="3">
        <v>0</v>
      </c>
      <c r="Q115" s="3">
        <v>83.65</v>
      </c>
      <c r="R115" s="3">
        <v>10.874500000000001</v>
      </c>
      <c r="S115" s="3">
        <v>0</v>
      </c>
      <c r="T115" s="3">
        <v>0</v>
      </c>
      <c r="U115" s="3">
        <v>94.524500000000003</v>
      </c>
      <c r="W115" t="s">
        <v>1</v>
      </c>
    </row>
    <row r="116" spans="5:23" x14ac:dyDescent="0.25">
      <c r="E116" t="s">
        <v>8611</v>
      </c>
      <c r="F116" s="1" t="s">
        <v>8877</v>
      </c>
      <c r="G116" t="s">
        <v>1</v>
      </c>
      <c r="H116" t="s">
        <v>0</v>
      </c>
      <c r="I116" t="s">
        <v>8869</v>
      </c>
      <c r="J116" t="s">
        <v>8868</v>
      </c>
      <c r="K116">
        <v>13918</v>
      </c>
      <c r="L116">
        <v>13918</v>
      </c>
      <c r="M116" t="s">
        <v>1062</v>
      </c>
      <c r="N116" t="s">
        <v>1063</v>
      </c>
      <c r="O116" s="3">
        <v>0</v>
      </c>
      <c r="P116" s="3">
        <v>0</v>
      </c>
      <c r="Q116" s="3">
        <v>304.43</v>
      </c>
      <c r="R116" s="3">
        <v>39.575900000000004</v>
      </c>
      <c r="S116" s="3">
        <v>0</v>
      </c>
      <c r="T116" s="3">
        <v>0</v>
      </c>
      <c r="U116" s="3">
        <v>344.0059</v>
      </c>
      <c r="W116" t="s">
        <v>1</v>
      </c>
    </row>
    <row r="117" spans="5:23" x14ac:dyDescent="0.25">
      <c r="E117" t="s">
        <v>8611</v>
      </c>
      <c r="F117" s="1" t="s">
        <v>8877</v>
      </c>
      <c r="G117" t="s">
        <v>1</v>
      </c>
      <c r="H117" t="s">
        <v>0</v>
      </c>
      <c r="I117" t="s">
        <v>8869</v>
      </c>
      <c r="J117" t="s">
        <v>8868</v>
      </c>
      <c r="K117">
        <v>13919</v>
      </c>
      <c r="L117">
        <v>13919</v>
      </c>
      <c r="M117" t="s">
        <v>8295</v>
      </c>
      <c r="N117" t="s">
        <v>935</v>
      </c>
      <c r="O117" s="3">
        <v>0</v>
      </c>
      <c r="P117" s="3">
        <v>0</v>
      </c>
      <c r="Q117" s="3">
        <v>1000</v>
      </c>
      <c r="R117" s="3">
        <v>130</v>
      </c>
      <c r="S117" s="3">
        <v>0</v>
      </c>
      <c r="T117" s="3">
        <v>0</v>
      </c>
      <c r="U117" s="3">
        <v>1130</v>
      </c>
      <c r="W117" t="s">
        <v>1</v>
      </c>
    </row>
    <row r="118" spans="5:23" x14ac:dyDescent="0.25">
      <c r="E118" t="s">
        <v>8611</v>
      </c>
      <c r="F118" s="1" t="s">
        <v>8877</v>
      </c>
      <c r="G118" t="s">
        <v>1</v>
      </c>
      <c r="H118" t="s">
        <v>0</v>
      </c>
      <c r="I118" t="s">
        <v>8869</v>
      </c>
      <c r="J118" t="s">
        <v>8868</v>
      </c>
      <c r="K118">
        <v>13920</v>
      </c>
      <c r="L118">
        <v>13920</v>
      </c>
      <c r="M118" t="s">
        <v>8295</v>
      </c>
      <c r="N118" t="s">
        <v>935</v>
      </c>
      <c r="O118" s="3">
        <v>0</v>
      </c>
      <c r="P118" s="3">
        <v>0</v>
      </c>
      <c r="Q118" s="3">
        <v>50</v>
      </c>
      <c r="R118" s="3">
        <v>6.5</v>
      </c>
      <c r="S118" s="3">
        <v>0</v>
      </c>
      <c r="T118" s="3">
        <v>0</v>
      </c>
      <c r="U118" s="3">
        <v>56.5</v>
      </c>
      <c r="W118" t="s">
        <v>1</v>
      </c>
    </row>
    <row r="119" spans="5:23" x14ac:dyDescent="0.25">
      <c r="E119" t="s">
        <v>8611</v>
      </c>
      <c r="F119" s="1" t="s">
        <v>8877</v>
      </c>
      <c r="G119" t="s">
        <v>1</v>
      </c>
      <c r="H119" t="s">
        <v>0</v>
      </c>
      <c r="I119" t="s">
        <v>8869</v>
      </c>
      <c r="J119" t="s">
        <v>8868</v>
      </c>
      <c r="K119">
        <v>13921</v>
      </c>
      <c r="L119">
        <v>13921</v>
      </c>
      <c r="M119" t="s">
        <v>8186</v>
      </c>
      <c r="N119" t="s">
        <v>8187</v>
      </c>
      <c r="O119" s="3">
        <v>0</v>
      </c>
      <c r="P119" s="3">
        <v>0</v>
      </c>
      <c r="Q119" s="3">
        <v>13</v>
      </c>
      <c r="R119" s="3">
        <v>1.69</v>
      </c>
      <c r="S119" s="3">
        <v>0</v>
      </c>
      <c r="T119" s="3">
        <v>0</v>
      </c>
      <c r="U119" s="3">
        <v>14.69</v>
      </c>
      <c r="W119" t="s">
        <v>1</v>
      </c>
    </row>
    <row r="120" spans="5:23" x14ac:dyDescent="0.25">
      <c r="E120" t="s">
        <v>8611</v>
      </c>
      <c r="F120" s="1" t="s">
        <v>8877</v>
      </c>
      <c r="G120" t="s">
        <v>1</v>
      </c>
      <c r="H120" t="s">
        <v>0</v>
      </c>
      <c r="I120" t="s">
        <v>8869</v>
      </c>
      <c r="J120" t="s">
        <v>8868</v>
      </c>
      <c r="K120">
        <v>13922</v>
      </c>
      <c r="L120">
        <v>13922</v>
      </c>
      <c r="M120" t="s">
        <v>115</v>
      </c>
      <c r="N120" t="s">
        <v>116</v>
      </c>
      <c r="O120" s="3">
        <v>0</v>
      </c>
      <c r="P120" s="3">
        <v>0</v>
      </c>
      <c r="Q120" s="3">
        <v>225.62</v>
      </c>
      <c r="R120" s="3">
        <v>29.3306</v>
      </c>
      <c r="S120" s="3">
        <v>0</v>
      </c>
      <c r="T120" s="3">
        <v>0</v>
      </c>
      <c r="U120" s="3">
        <v>254.95060000000001</v>
      </c>
      <c r="W120" t="s">
        <v>1</v>
      </c>
    </row>
    <row r="121" spans="5:23" x14ac:dyDescent="0.25">
      <c r="E121" t="s">
        <v>8611</v>
      </c>
      <c r="F121" s="1" t="s">
        <v>8877</v>
      </c>
      <c r="G121" t="s">
        <v>1</v>
      </c>
      <c r="H121" t="s">
        <v>0</v>
      </c>
      <c r="I121" t="s">
        <v>8869</v>
      </c>
      <c r="J121" t="s">
        <v>8868</v>
      </c>
      <c r="K121">
        <v>13923</v>
      </c>
      <c r="L121">
        <v>13923</v>
      </c>
      <c r="M121" t="s">
        <v>115</v>
      </c>
      <c r="N121" t="s">
        <v>116</v>
      </c>
      <c r="O121" s="3">
        <v>0</v>
      </c>
      <c r="P121" s="3">
        <v>0</v>
      </c>
      <c r="Q121" s="3">
        <v>460.18</v>
      </c>
      <c r="R121" s="3">
        <v>59.823399999999999</v>
      </c>
      <c r="S121" s="3">
        <v>0</v>
      </c>
      <c r="T121" s="3">
        <v>0</v>
      </c>
      <c r="U121" s="3">
        <v>520.00340000000006</v>
      </c>
      <c r="W121" t="s">
        <v>1</v>
      </c>
    </row>
    <row r="122" spans="5:23" hidden="1" x14ac:dyDescent="0.25">
      <c r="E122" t="s">
        <v>8611</v>
      </c>
      <c r="F122" s="1" t="s">
        <v>8876</v>
      </c>
      <c r="G122" t="s">
        <v>1</v>
      </c>
      <c r="H122" t="s">
        <v>0</v>
      </c>
      <c r="I122" t="s">
        <v>8869</v>
      </c>
      <c r="J122" t="s">
        <v>8868</v>
      </c>
      <c r="K122">
        <v>13924</v>
      </c>
      <c r="L122">
        <v>13924</v>
      </c>
      <c r="M122" t="s">
        <v>7852</v>
      </c>
      <c r="N122" t="s">
        <v>7851</v>
      </c>
      <c r="O122" s="3">
        <v>0</v>
      </c>
      <c r="P122" s="3">
        <v>0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t="s">
        <v>1</v>
      </c>
    </row>
    <row r="123" spans="5:23" hidden="1" x14ac:dyDescent="0.25">
      <c r="E123" t="s">
        <v>8611</v>
      </c>
      <c r="F123" s="1" t="s">
        <v>8876</v>
      </c>
      <c r="G123" t="s">
        <v>1</v>
      </c>
      <c r="H123" t="s">
        <v>0</v>
      </c>
      <c r="I123" t="s">
        <v>8869</v>
      </c>
      <c r="J123" t="s">
        <v>8868</v>
      </c>
      <c r="K123">
        <v>13925</v>
      </c>
      <c r="L123">
        <v>13925</v>
      </c>
      <c r="M123" t="s">
        <v>7852</v>
      </c>
      <c r="N123" t="s">
        <v>7851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0</v>
      </c>
      <c r="W123" t="s">
        <v>1</v>
      </c>
    </row>
    <row r="124" spans="5:23" x14ac:dyDescent="0.25">
      <c r="E124" t="s">
        <v>8611</v>
      </c>
      <c r="F124" s="1" t="s">
        <v>8876</v>
      </c>
      <c r="G124" t="s">
        <v>1</v>
      </c>
      <c r="H124" t="s">
        <v>0</v>
      </c>
      <c r="I124" t="s">
        <v>8869</v>
      </c>
      <c r="J124" t="s">
        <v>8868</v>
      </c>
      <c r="K124">
        <v>13926</v>
      </c>
      <c r="L124">
        <v>13926</v>
      </c>
      <c r="M124" t="s">
        <v>149</v>
      </c>
      <c r="N124" t="s">
        <v>150</v>
      </c>
      <c r="O124" s="3">
        <v>0</v>
      </c>
      <c r="P124" s="3">
        <v>0</v>
      </c>
      <c r="Q124" s="3">
        <v>67.5</v>
      </c>
      <c r="R124" s="3">
        <v>8.7750000000000004</v>
      </c>
      <c r="S124" s="3">
        <v>0</v>
      </c>
      <c r="T124" s="3">
        <v>0</v>
      </c>
      <c r="U124" s="3">
        <v>76.275000000000006</v>
      </c>
      <c r="W124" t="s">
        <v>1</v>
      </c>
    </row>
    <row r="125" spans="5:23" x14ac:dyDescent="0.25">
      <c r="E125" t="s">
        <v>8611</v>
      </c>
      <c r="F125" s="1" t="s">
        <v>8876</v>
      </c>
      <c r="G125" t="s">
        <v>1</v>
      </c>
      <c r="H125" t="s">
        <v>0</v>
      </c>
      <c r="I125" t="s">
        <v>8869</v>
      </c>
      <c r="J125" t="s">
        <v>8868</v>
      </c>
      <c r="K125">
        <v>13927</v>
      </c>
      <c r="L125">
        <v>13927</v>
      </c>
      <c r="M125" t="s">
        <v>8190</v>
      </c>
      <c r="N125" t="s">
        <v>8191</v>
      </c>
      <c r="O125" s="3">
        <v>0</v>
      </c>
      <c r="P125" s="3">
        <v>0</v>
      </c>
      <c r="Q125" s="3">
        <v>121.7</v>
      </c>
      <c r="R125" s="3">
        <v>15.821000000000002</v>
      </c>
      <c r="S125" s="3">
        <v>0</v>
      </c>
      <c r="T125" s="3">
        <v>0</v>
      </c>
      <c r="U125" s="3">
        <v>137.52100000000002</v>
      </c>
      <c r="W125" t="s">
        <v>1</v>
      </c>
    </row>
    <row r="126" spans="5:23" x14ac:dyDescent="0.25">
      <c r="E126" t="s">
        <v>8611</v>
      </c>
      <c r="F126" s="1" t="s">
        <v>8876</v>
      </c>
      <c r="G126" t="s">
        <v>1</v>
      </c>
      <c r="H126" t="s">
        <v>0</v>
      </c>
      <c r="I126" t="s">
        <v>8869</v>
      </c>
      <c r="J126" t="s">
        <v>8868</v>
      </c>
      <c r="K126">
        <v>13928</v>
      </c>
      <c r="L126">
        <v>13928</v>
      </c>
      <c r="M126" t="s">
        <v>1273</v>
      </c>
      <c r="N126" t="s">
        <v>1274</v>
      </c>
      <c r="O126" s="3">
        <v>0</v>
      </c>
      <c r="P126" s="3">
        <v>0</v>
      </c>
      <c r="Q126" s="3">
        <v>353.09</v>
      </c>
      <c r="R126" s="3">
        <v>45.901699999999998</v>
      </c>
      <c r="S126" s="3">
        <v>0</v>
      </c>
      <c r="T126" s="3">
        <v>0</v>
      </c>
      <c r="U126" s="3">
        <v>398.99169999999998</v>
      </c>
      <c r="W126" t="s">
        <v>1</v>
      </c>
    </row>
    <row r="127" spans="5:23" x14ac:dyDescent="0.25">
      <c r="E127" t="s">
        <v>8611</v>
      </c>
      <c r="F127" s="1" t="s">
        <v>8876</v>
      </c>
      <c r="G127" t="s">
        <v>1</v>
      </c>
      <c r="H127" t="s">
        <v>0</v>
      </c>
      <c r="I127" t="s">
        <v>8869</v>
      </c>
      <c r="J127" t="s">
        <v>8868</v>
      </c>
      <c r="K127">
        <v>13929</v>
      </c>
      <c r="L127">
        <v>13929</v>
      </c>
      <c r="M127" t="s">
        <v>440</v>
      </c>
      <c r="N127" t="s">
        <v>441</v>
      </c>
      <c r="O127" s="3">
        <v>0</v>
      </c>
      <c r="P127" s="3">
        <v>0</v>
      </c>
      <c r="Q127" s="3">
        <v>75.19</v>
      </c>
      <c r="R127" s="3">
        <v>9.7746999999999993</v>
      </c>
      <c r="S127" s="3">
        <v>0</v>
      </c>
      <c r="T127" s="3">
        <v>0</v>
      </c>
      <c r="U127" s="3">
        <v>84.964699999999993</v>
      </c>
      <c r="W127" t="s">
        <v>1</v>
      </c>
    </row>
    <row r="128" spans="5:23" x14ac:dyDescent="0.25">
      <c r="E128" t="s">
        <v>8611</v>
      </c>
      <c r="F128" s="1" t="s">
        <v>8876</v>
      </c>
      <c r="G128" t="s">
        <v>1</v>
      </c>
      <c r="H128" t="s">
        <v>0</v>
      </c>
      <c r="I128" t="s">
        <v>8869</v>
      </c>
      <c r="J128" t="s">
        <v>8868</v>
      </c>
      <c r="K128">
        <v>13930</v>
      </c>
      <c r="L128">
        <v>13930</v>
      </c>
      <c r="M128" t="s">
        <v>807</v>
      </c>
      <c r="N128" t="s">
        <v>808</v>
      </c>
      <c r="O128" s="3">
        <v>0</v>
      </c>
      <c r="P128" s="3">
        <v>0</v>
      </c>
      <c r="Q128" s="3">
        <v>63.48</v>
      </c>
      <c r="R128" s="3">
        <v>8.2523999999999997</v>
      </c>
      <c r="S128" s="3">
        <v>0</v>
      </c>
      <c r="T128" s="3">
        <v>0</v>
      </c>
      <c r="U128" s="3">
        <v>71.732399999999998</v>
      </c>
      <c r="W128" t="s">
        <v>1</v>
      </c>
    </row>
    <row r="129" spans="5:23" x14ac:dyDescent="0.25">
      <c r="E129" t="s">
        <v>8611</v>
      </c>
      <c r="F129" s="1" t="s">
        <v>8876</v>
      </c>
      <c r="G129" t="s">
        <v>1</v>
      </c>
      <c r="H129" t="s">
        <v>0</v>
      </c>
      <c r="I129" t="s">
        <v>8869</v>
      </c>
      <c r="J129" t="s">
        <v>8868</v>
      </c>
      <c r="K129">
        <v>13931</v>
      </c>
      <c r="L129">
        <v>13931</v>
      </c>
      <c r="M129" t="s">
        <v>1062</v>
      </c>
      <c r="N129" t="s">
        <v>1063</v>
      </c>
      <c r="O129" s="3">
        <v>0</v>
      </c>
      <c r="P129" s="3">
        <v>0</v>
      </c>
      <c r="Q129" s="3">
        <v>286.63</v>
      </c>
      <c r="R129" s="3">
        <v>37.261899999999997</v>
      </c>
      <c r="S129" s="3">
        <v>0</v>
      </c>
      <c r="T129" s="3">
        <v>0</v>
      </c>
      <c r="U129" s="3">
        <v>323.89189999999996</v>
      </c>
      <c r="W129" t="s">
        <v>1</v>
      </c>
    </row>
    <row r="130" spans="5:23" x14ac:dyDescent="0.25">
      <c r="E130" t="s">
        <v>8611</v>
      </c>
      <c r="F130" s="1" t="s">
        <v>8876</v>
      </c>
      <c r="G130" t="s">
        <v>1</v>
      </c>
      <c r="H130" t="s">
        <v>0</v>
      </c>
      <c r="I130" t="s">
        <v>8869</v>
      </c>
      <c r="J130" t="s">
        <v>8868</v>
      </c>
      <c r="K130">
        <v>13932</v>
      </c>
      <c r="L130">
        <v>13932</v>
      </c>
      <c r="M130" t="s">
        <v>8269</v>
      </c>
      <c r="N130" t="s">
        <v>8270</v>
      </c>
      <c r="O130" s="3">
        <v>0</v>
      </c>
      <c r="P130" s="3">
        <v>0</v>
      </c>
      <c r="Q130" s="3">
        <v>19.46</v>
      </c>
      <c r="R130" s="3">
        <v>2.5298000000000003</v>
      </c>
      <c r="S130" s="3">
        <v>0</v>
      </c>
      <c r="T130" s="3">
        <v>0</v>
      </c>
      <c r="U130" s="3">
        <v>21.989800000000002</v>
      </c>
      <c r="W130" t="s">
        <v>1</v>
      </c>
    </row>
    <row r="131" spans="5:23" x14ac:dyDescent="0.25">
      <c r="E131" t="s">
        <v>8611</v>
      </c>
      <c r="F131" s="1" t="s">
        <v>8876</v>
      </c>
      <c r="G131" t="s">
        <v>1</v>
      </c>
      <c r="H131" t="s">
        <v>0</v>
      </c>
      <c r="I131" t="s">
        <v>8869</v>
      </c>
      <c r="J131" t="s">
        <v>8868</v>
      </c>
      <c r="K131">
        <v>13933</v>
      </c>
      <c r="L131">
        <v>13933</v>
      </c>
      <c r="M131" t="s">
        <v>8308</v>
      </c>
      <c r="N131" t="s">
        <v>8309</v>
      </c>
      <c r="O131" s="3">
        <v>0</v>
      </c>
      <c r="P131" s="3">
        <v>0</v>
      </c>
      <c r="Q131" s="3">
        <v>30.3</v>
      </c>
      <c r="R131" s="3">
        <v>3.9390000000000001</v>
      </c>
      <c r="S131" s="3">
        <v>0</v>
      </c>
      <c r="T131" s="3">
        <v>0</v>
      </c>
      <c r="U131" s="3">
        <v>34.239000000000004</v>
      </c>
      <c r="W131" t="s">
        <v>1</v>
      </c>
    </row>
    <row r="132" spans="5:23" x14ac:dyDescent="0.25">
      <c r="E132" t="s">
        <v>8611</v>
      </c>
      <c r="F132" s="1" t="s">
        <v>8876</v>
      </c>
      <c r="G132" t="s">
        <v>1</v>
      </c>
      <c r="H132" t="s">
        <v>0</v>
      </c>
      <c r="I132" t="s">
        <v>8869</v>
      </c>
      <c r="J132" t="s">
        <v>8868</v>
      </c>
      <c r="K132">
        <v>13934</v>
      </c>
      <c r="L132">
        <v>13934</v>
      </c>
      <c r="M132" t="s">
        <v>8226</v>
      </c>
      <c r="N132" t="s">
        <v>8227</v>
      </c>
      <c r="O132" s="3">
        <v>0</v>
      </c>
      <c r="P132" s="3">
        <v>0</v>
      </c>
      <c r="Q132" s="3">
        <v>72.599999999999994</v>
      </c>
      <c r="R132" s="3">
        <v>9.4379999999999988</v>
      </c>
      <c r="S132" s="3">
        <v>0</v>
      </c>
      <c r="T132" s="3">
        <v>0</v>
      </c>
      <c r="U132" s="3">
        <v>82.037999999999997</v>
      </c>
      <c r="W132" t="s">
        <v>1</v>
      </c>
    </row>
    <row r="133" spans="5:23" x14ac:dyDescent="0.25">
      <c r="E133" t="s">
        <v>8611</v>
      </c>
      <c r="F133" s="1" t="s">
        <v>8876</v>
      </c>
      <c r="G133" t="s">
        <v>1</v>
      </c>
      <c r="H133" t="s">
        <v>0</v>
      </c>
      <c r="I133" t="s">
        <v>8869</v>
      </c>
      <c r="J133" t="s">
        <v>8868</v>
      </c>
      <c r="K133">
        <v>13935</v>
      </c>
      <c r="L133">
        <v>13935</v>
      </c>
      <c r="M133" t="s">
        <v>762</v>
      </c>
      <c r="N133" t="s">
        <v>763</v>
      </c>
      <c r="O133" s="3">
        <v>0</v>
      </c>
      <c r="P133" s="3">
        <v>0</v>
      </c>
      <c r="Q133" s="3">
        <v>291.18</v>
      </c>
      <c r="R133" s="3">
        <v>37.853400000000001</v>
      </c>
      <c r="S133" s="3">
        <v>0</v>
      </c>
      <c r="T133" s="3">
        <v>0</v>
      </c>
      <c r="U133" s="3">
        <v>329.03340000000003</v>
      </c>
      <c r="W133" t="s">
        <v>1</v>
      </c>
    </row>
    <row r="134" spans="5:23" x14ac:dyDescent="0.25">
      <c r="E134" t="s">
        <v>8611</v>
      </c>
      <c r="F134" s="1" t="s">
        <v>8876</v>
      </c>
      <c r="G134" t="s">
        <v>1</v>
      </c>
      <c r="H134" t="s">
        <v>0</v>
      </c>
      <c r="I134" t="s">
        <v>8869</v>
      </c>
      <c r="J134" t="s">
        <v>8868</v>
      </c>
      <c r="K134">
        <v>13936</v>
      </c>
      <c r="L134">
        <v>13936</v>
      </c>
      <c r="M134" t="s">
        <v>8850</v>
      </c>
      <c r="N134" t="s">
        <v>8851</v>
      </c>
      <c r="O134" s="3">
        <v>0</v>
      </c>
      <c r="P134" s="3">
        <v>0</v>
      </c>
      <c r="Q134" s="3">
        <v>96</v>
      </c>
      <c r="R134" s="3">
        <v>12.48</v>
      </c>
      <c r="S134" s="3">
        <v>0</v>
      </c>
      <c r="T134" s="3">
        <v>0</v>
      </c>
      <c r="U134" s="3">
        <v>108.48</v>
      </c>
      <c r="W134" t="s">
        <v>1</v>
      </c>
    </row>
    <row r="135" spans="5:23" x14ac:dyDescent="0.25">
      <c r="E135" t="s">
        <v>8611</v>
      </c>
      <c r="F135" s="1" t="s">
        <v>8876</v>
      </c>
      <c r="G135" t="s">
        <v>1</v>
      </c>
      <c r="H135" t="s">
        <v>0</v>
      </c>
      <c r="I135" t="s">
        <v>8869</v>
      </c>
      <c r="J135" t="s">
        <v>8868</v>
      </c>
      <c r="K135">
        <v>13938</v>
      </c>
      <c r="L135">
        <v>13938</v>
      </c>
      <c r="M135" t="s">
        <v>7956</v>
      </c>
      <c r="N135" t="s">
        <v>7957</v>
      </c>
      <c r="O135" s="3">
        <v>0</v>
      </c>
      <c r="P135" s="3">
        <v>0</v>
      </c>
      <c r="Q135" s="3">
        <v>139.18</v>
      </c>
      <c r="R135" s="3">
        <v>18.093400000000003</v>
      </c>
      <c r="S135" s="3">
        <v>0</v>
      </c>
      <c r="T135" s="3">
        <v>0</v>
      </c>
      <c r="U135" s="3">
        <v>157.27340000000001</v>
      </c>
      <c r="W135" t="s">
        <v>1</v>
      </c>
    </row>
    <row r="136" spans="5:23" x14ac:dyDescent="0.25">
      <c r="E136" t="s">
        <v>8611</v>
      </c>
      <c r="F136" s="1" t="s">
        <v>8876</v>
      </c>
      <c r="G136" t="s">
        <v>1</v>
      </c>
      <c r="H136" t="s">
        <v>0</v>
      </c>
      <c r="I136" t="s">
        <v>8869</v>
      </c>
      <c r="J136" t="s">
        <v>8868</v>
      </c>
      <c r="K136">
        <v>13939</v>
      </c>
      <c r="L136">
        <v>13939</v>
      </c>
      <c r="M136" t="s">
        <v>115</v>
      </c>
      <c r="N136" t="s">
        <v>116</v>
      </c>
      <c r="O136" s="3">
        <v>0</v>
      </c>
      <c r="P136" s="3">
        <v>0</v>
      </c>
      <c r="Q136" s="3">
        <v>1174.78</v>
      </c>
      <c r="R136" s="3">
        <v>152.72139999999999</v>
      </c>
      <c r="S136" s="3">
        <v>0</v>
      </c>
      <c r="T136" s="3">
        <v>0</v>
      </c>
      <c r="U136" s="3">
        <v>1327.5013999999999</v>
      </c>
      <c r="W136" t="s">
        <v>1</v>
      </c>
    </row>
    <row r="137" spans="5:23" hidden="1" x14ac:dyDescent="0.25">
      <c r="E137" t="s">
        <v>8611</v>
      </c>
      <c r="F137" s="1" t="s">
        <v>8876</v>
      </c>
      <c r="G137" t="s">
        <v>1</v>
      </c>
      <c r="H137" t="s">
        <v>0</v>
      </c>
      <c r="I137" t="s">
        <v>8869</v>
      </c>
      <c r="J137" t="s">
        <v>8868</v>
      </c>
      <c r="K137">
        <v>13940</v>
      </c>
      <c r="L137">
        <v>13940</v>
      </c>
      <c r="M137" t="s">
        <v>7852</v>
      </c>
      <c r="N137" t="s">
        <v>7851</v>
      </c>
      <c r="O137" s="3">
        <v>0</v>
      </c>
      <c r="P137" s="3">
        <v>0</v>
      </c>
      <c r="Q137" s="3">
        <v>0</v>
      </c>
      <c r="R137" s="3">
        <v>0</v>
      </c>
      <c r="S137" s="3">
        <v>0</v>
      </c>
      <c r="T137" s="3">
        <v>0</v>
      </c>
      <c r="U137" s="3">
        <v>0</v>
      </c>
      <c r="V137" s="3">
        <v>0</v>
      </c>
      <c r="W137" t="s">
        <v>1</v>
      </c>
    </row>
    <row r="138" spans="5:23" x14ac:dyDescent="0.25">
      <c r="E138" t="s">
        <v>8611</v>
      </c>
      <c r="F138" s="1" t="s">
        <v>8876</v>
      </c>
      <c r="G138" t="s">
        <v>1</v>
      </c>
      <c r="H138" t="s">
        <v>0</v>
      </c>
      <c r="I138" t="s">
        <v>8869</v>
      </c>
      <c r="J138" t="s">
        <v>8868</v>
      </c>
      <c r="K138">
        <v>13941</v>
      </c>
      <c r="L138">
        <v>13941</v>
      </c>
      <c r="M138" t="s">
        <v>8114</v>
      </c>
      <c r="N138" t="s">
        <v>8115</v>
      </c>
      <c r="O138" s="3">
        <v>0</v>
      </c>
      <c r="P138" s="3">
        <v>0</v>
      </c>
      <c r="Q138" s="3">
        <v>319.5</v>
      </c>
      <c r="R138" s="3">
        <v>41.535000000000004</v>
      </c>
      <c r="S138" s="3">
        <v>0</v>
      </c>
      <c r="T138" s="3">
        <v>0</v>
      </c>
      <c r="U138" s="3">
        <v>361.03500000000003</v>
      </c>
      <c r="W138" t="s">
        <v>1</v>
      </c>
    </row>
    <row r="139" spans="5:23" x14ac:dyDescent="0.25">
      <c r="E139" t="s">
        <v>8611</v>
      </c>
      <c r="F139" s="1" t="s">
        <v>8876</v>
      </c>
      <c r="G139" t="s">
        <v>1</v>
      </c>
      <c r="H139" t="s">
        <v>0</v>
      </c>
      <c r="I139" t="s">
        <v>8869</v>
      </c>
      <c r="J139" t="s">
        <v>8868</v>
      </c>
      <c r="K139">
        <v>13942</v>
      </c>
      <c r="L139">
        <v>13942</v>
      </c>
      <c r="M139" t="s">
        <v>8166</v>
      </c>
      <c r="N139" t="s">
        <v>8167</v>
      </c>
      <c r="O139" s="3">
        <v>0</v>
      </c>
      <c r="P139" s="3">
        <v>0</v>
      </c>
      <c r="Q139" s="3">
        <v>118.12</v>
      </c>
      <c r="R139" s="3">
        <v>15.355600000000001</v>
      </c>
      <c r="S139" s="3">
        <v>0</v>
      </c>
      <c r="T139" s="3">
        <v>0</v>
      </c>
      <c r="U139" s="3">
        <v>133.47560000000001</v>
      </c>
      <c r="W139" t="s">
        <v>1</v>
      </c>
    </row>
    <row r="140" spans="5:23" x14ac:dyDescent="0.25">
      <c r="E140" t="s">
        <v>8611</v>
      </c>
      <c r="F140" s="1" t="s">
        <v>8876</v>
      </c>
      <c r="G140" t="s">
        <v>1</v>
      </c>
      <c r="H140" t="s">
        <v>0</v>
      </c>
      <c r="I140" t="s">
        <v>8869</v>
      </c>
      <c r="J140" t="s">
        <v>8868</v>
      </c>
      <c r="K140">
        <v>13943</v>
      </c>
      <c r="L140">
        <v>13943</v>
      </c>
      <c r="M140" t="s">
        <v>1346</v>
      </c>
      <c r="N140" t="s">
        <v>1347</v>
      </c>
      <c r="O140" s="3">
        <v>0</v>
      </c>
      <c r="P140" s="3">
        <v>0</v>
      </c>
      <c r="Q140" s="3">
        <v>60.84</v>
      </c>
      <c r="R140" s="3">
        <v>7.9092000000000011</v>
      </c>
      <c r="S140" s="3">
        <v>0</v>
      </c>
      <c r="T140" s="3">
        <v>0</v>
      </c>
      <c r="U140" s="3">
        <v>68.749200000000002</v>
      </c>
      <c r="W140" t="s">
        <v>1</v>
      </c>
    </row>
    <row r="141" spans="5:23" x14ac:dyDescent="0.25">
      <c r="E141" t="s">
        <v>8611</v>
      </c>
      <c r="F141" s="1" t="s">
        <v>8876</v>
      </c>
      <c r="G141" t="s">
        <v>1</v>
      </c>
      <c r="H141" t="s">
        <v>0</v>
      </c>
      <c r="I141" t="s">
        <v>8869</v>
      </c>
      <c r="J141" t="s">
        <v>8868</v>
      </c>
      <c r="K141">
        <v>13944</v>
      </c>
      <c r="L141">
        <v>13944</v>
      </c>
      <c r="M141" t="s">
        <v>8310</v>
      </c>
      <c r="N141" t="s">
        <v>8311</v>
      </c>
      <c r="O141" s="3">
        <v>0</v>
      </c>
      <c r="P141" s="3">
        <v>0</v>
      </c>
      <c r="Q141" s="3">
        <v>77.430000000000007</v>
      </c>
      <c r="R141" s="3">
        <v>10.065900000000001</v>
      </c>
      <c r="S141" s="3">
        <v>0</v>
      </c>
      <c r="T141" s="3">
        <v>0</v>
      </c>
      <c r="U141" s="3">
        <v>87.495900000000006</v>
      </c>
      <c r="W141" t="s">
        <v>1</v>
      </c>
    </row>
    <row r="142" spans="5:23" x14ac:dyDescent="0.25">
      <c r="E142" t="s">
        <v>8611</v>
      </c>
      <c r="F142" s="1" t="s">
        <v>8876</v>
      </c>
      <c r="G142" t="s">
        <v>1</v>
      </c>
      <c r="H142" t="s">
        <v>0</v>
      </c>
      <c r="I142" t="s">
        <v>8869</v>
      </c>
      <c r="J142" t="s">
        <v>8868</v>
      </c>
      <c r="K142">
        <v>13945</v>
      </c>
      <c r="L142">
        <v>13945</v>
      </c>
      <c r="M142" t="s">
        <v>8214</v>
      </c>
      <c r="N142" t="s">
        <v>8215</v>
      </c>
      <c r="O142" s="3">
        <v>0</v>
      </c>
      <c r="P142" s="3">
        <v>0</v>
      </c>
      <c r="Q142" s="3">
        <v>199.25</v>
      </c>
      <c r="R142" s="3">
        <v>25.9025</v>
      </c>
      <c r="S142" s="3">
        <v>0</v>
      </c>
      <c r="T142" s="3">
        <v>0</v>
      </c>
      <c r="U142" s="3">
        <v>225.1525</v>
      </c>
      <c r="W142" t="s">
        <v>1</v>
      </c>
    </row>
    <row r="143" spans="5:23" x14ac:dyDescent="0.25">
      <c r="E143" t="s">
        <v>8611</v>
      </c>
      <c r="F143" s="1" t="s">
        <v>8876</v>
      </c>
      <c r="G143" t="s">
        <v>1</v>
      </c>
      <c r="H143" t="s">
        <v>0</v>
      </c>
      <c r="I143" t="s">
        <v>8869</v>
      </c>
      <c r="J143" t="s">
        <v>8868</v>
      </c>
      <c r="K143">
        <v>13946</v>
      </c>
      <c r="L143">
        <v>13946</v>
      </c>
      <c r="M143" t="s">
        <v>8255</v>
      </c>
      <c r="N143" t="s">
        <v>8256</v>
      </c>
      <c r="O143" s="3">
        <v>0</v>
      </c>
      <c r="P143" s="3">
        <v>0</v>
      </c>
      <c r="Q143" s="3">
        <v>36</v>
      </c>
      <c r="R143" s="3">
        <v>4.68</v>
      </c>
      <c r="S143" s="3">
        <v>0</v>
      </c>
      <c r="T143" s="3">
        <v>0</v>
      </c>
      <c r="U143" s="3">
        <v>40.68</v>
      </c>
      <c r="W143" t="s">
        <v>1</v>
      </c>
    </row>
    <row r="144" spans="5:23" hidden="1" x14ac:dyDescent="0.25">
      <c r="E144" t="s">
        <v>8611</v>
      </c>
      <c r="F144" s="1" t="s">
        <v>8876</v>
      </c>
      <c r="G144" t="s">
        <v>1</v>
      </c>
      <c r="H144" t="s">
        <v>0</v>
      </c>
      <c r="I144" t="s">
        <v>8869</v>
      </c>
      <c r="J144" t="s">
        <v>8868</v>
      </c>
      <c r="K144">
        <v>13947</v>
      </c>
      <c r="L144">
        <v>13947</v>
      </c>
      <c r="M144" t="s">
        <v>7852</v>
      </c>
      <c r="N144" t="s">
        <v>7851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0</v>
      </c>
      <c r="V144" s="3">
        <v>0</v>
      </c>
      <c r="W144" t="s">
        <v>1</v>
      </c>
    </row>
    <row r="145" spans="5:23" x14ac:dyDescent="0.25">
      <c r="E145" t="s">
        <v>8611</v>
      </c>
      <c r="F145" s="1" t="s">
        <v>8876</v>
      </c>
      <c r="G145" t="s">
        <v>1</v>
      </c>
      <c r="H145" t="s">
        <v>0</v>
      </c>
      <c r="I145" t="s">
        <v>8869</v>
      </c>
      <c r="J145" t="s">
        <v>8868</v>
      </c>
      <c r="K145">
        <v>13948</v>
      </c>
      <c r="L145">
        <v>13948</v>
      </c>
      <c r="M145" t="s">
        <v>238</v>
      </c>
      <c r="N145" t="s">
        <v>239</v>
      </c>
      <c r="O145" s="3">
        <v>0</v>
      </c>
      <c r="P145" s="3">
        <v>0</v>
      </c>
      <c r="Q145" s="3">
        <v>329.58</v>
      </c>
      <c r="R145" s="3">
        <v>42.845399999999998</v>
      </c>
      <c r="S145" s="3">
        <v>0</v>
      </c>
      <c r="T145" s="3">
        <v>0</v>
      </c>
      <c r="U145" s="3">
        <v>372.42539999999997</v>
      </c>
      <c r="W145" t="s">
        <v>1</v>
      </c>
    </row>
    <row r="146" spans="5:23" x14ac:dyDescent="0.25">
      <c r="E146" t="s">
        <v>8611</v>
      </c>
      <c r="F146" s="1" t="s">
        <v>8876</v>
      </c>
      <c r="G146" t="s">
        <v>1</v>
      </c>
      <c r="H146" t="s">
        <v>0</v>
      </c>
      <c r="I146" t="s">
        <v>8869</v>
      </c>
      <c r="J146" t="s">
        <v>8868</v>
      </c>
      <c r="K146">
        <v>13949</v>
      </c>
      <c r="L146">
        <v>13949</v>
      </c>
      <c r="M146" t="s">
        <v>762</v>
      </c>
      <c r="N146" t="s">
        <v>763</v>
      </c>
      <c r="O146" s="3">
        <v>0</v>
      </c>
      <c r="P146" s="3">
        <v>0</v>
      </c>
      <c r="Q146" s="3">
        <v>44.25</v>
      </c>
      <c r="R146" s="3">
        <v>5.7525000000000004</v>
      </c>
      <c r="S146" s="3">
        <v>0</v>
      </c>
      <c r="T146" s="3">
        <v>0</v>
      </c>
      <c r="U146" s="3">
        <v>50.002499999999998</v>
      </c>
      <c r="W146" t="s">
        <v>1</v>
      </c>
    </row>
    <row r="147" spans="5:23" x14ac:dyDescent="0.25">
      <c r="E147" t="s">
        <v>8611</v>
      </c>
      <c r="F147" s="1" t="s">
        <v>8875</v>
      </c>
      <c r="G147" t="s">
        <v>1</v>
      </c>
      <c r="H147" t="s">
        <v>0</v>
      </c>
      <c r="I147" t="s">
        <v>8869</v>
      </c>
      <c r="J147" t="s">
        <v>8868</v>
      </c>
      <c r="K147">
        <v>13950</v>
      </c>
      <c r="L147">
        <v>13950</v>
      </c>
      <c r="M147" t="s">
        <v>8569</v>
      </c>
      <c r="N147" t="s">
        <v>8570</v>
      </c>
      <c r="O147" s="3">
        <v>0</v>
      </c>
      <c r="P147" s="3">
        <v>0</v>
      </c>
      <c r="Q147" s="3">
        <v>153.76</v>
      </c>
      <c r="R147" s="3">
        <v>19.988800000000001</v>
      </c>
      <c r="S147" s="3">
        <v>0</v>
      </c>
      <c r="T147" s="3">
        <v>0</v>
      </c>
      <c r="U147" s="3">
        <v>173.74879999999999</v>
      </c>
      <c r="W147" t="s">
        <v>1</v>
      </c>
    </row>
    <row r="148" spans="5:23" hidden="1" x14ac:dyDescent="0.25">
      <c r="E148" t="s">
        <v>8611</v>
      </c>
      <c r="F148" s="1" t="s">
        <v>8875</v>
      </c>
      <c r="G148" t="s">
        <v>1</v>
      </c>
      <c r="H148" t="s">
        <v>0</v>
      </c>
      <c r="I148" t="s">
        <v>8869</v>
      </c>
      <c r="J148" t="s">
        <v>8868</v>
      </c>
      <c r="K148">
        <v>13951</v>
      </c>
      <c r="L148">
        <v>13951</v>
      </c>
      <c r="M148" t="s">
        <v>7852</v>
      </c>
      <c r="N148" t="s">
        <v>7851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t="s">
        <v>1</v>
      </c>
    </row>
    <row r="149" spans="5:23" x14ac:dyDescent="0.25">
      <c r="E149" t="s">
        <v>8611</v>
      </c>
      <c r="F149" s="1" t="s">
        <v>8875</v>
      </c>
      <c r="G149" t="s">
        <v>1</v>
      </c>
      <c r="H149" t="s">
        <v>0</v>
      </c>
      <c r="I149" t="s">
        <v>8869</v>
      </c>
      <c r="J149" t="s">
        <v>8868</v>
      </c>
      <c r="K149">
        <v>13952</v>
      </c>
      <c r="L149">
        <v>13952</v>
      </c>
      <c r="N149" t="s">
        <v>8169</v>
      </c>
      <c r="O149" s="3">
        <v>0</v>
      </c>
      <c r="P149" s="3">
        <v>0</v>
      </c>
      <c r="Q149" s="3">
        <v>28.8</v>
      </c>
      <c r="R149" s="3">
        <v>3.7440000000000002</v>
      </c>
      <c r="S149" s="3">
        <v>0</v>
      </c>
      <c r="T149" s="3">
        <v>0</v>
      </c>
      <c r="U149" s="3">
        <v>32.544000000000004</v>
      </c>
      <c r="V149" s="3" t="s">
        <v>8646</v>
      </c>
      <c r="W149" t="s">
        <v>1</v>
      </c>
    </row>
    <row r="150" spans="5:23" x14ac:dyDescent="0.25">
      <c r="E150" t="s">
        <v>8611</v>
      </c>
      <c r="F150" s="1" t="s">
        <v>8875</v>
      </c>
      <c r="G150" t="s">
        <v>1</v>
      </c>
      <c r="H150" t="s">
        <v>0</v>
      </c>
      <c r="I150" t="s">
        <v>8869</v>
      </c>
      <c r="J150" t="s">
        <v>8868</v>
      </c>
      <c r="K150">
        <v>13953</v>
      </c>
      <c r="L150">
        <v>13953</v>
      </c>
      <c r="M150" t="s">
        <v>4250</v>
      </c>
      <c r="N150" t="s">
        <v>4251</v>
      </c>
      <c r="O150" s="3">
        <v>0</v>
      </c>
      <c r="P150" s="3">
        <v>0</v>
      </c>
      <c r="Q150" s="3">
        <v>79</v>
      </c>
      <c r="R150" s="3">
        <v>10.27</v>
      </c>
      <c r="S150" s="3">
        <v>0</v>
      </c>
      <c r="T150" s="3">
        <v>0</v>
      </c>
      <c r="U150" s="3">
        <v>89.27</v>
      </c>
      <c r="W150" t="s">
        <v>1</v>
      </c>
    </row>
    <row r="151" spans="5:23" hidden="1" x14ac:dyDescent="0.25">
      <c r="E151" t="s">
        <v>8611</v>
      </c>
      <c r="F151" s="1" t="s">
        <v>8875</v>
      </c>
      <c r="G151" t="s">
        <v>1</v>
      </c>
      <c r="H151" t="s">
        <v>0</v>
      </c>
      <c r="I151" t="s">
        <v>8869</v>
      </c>
      <c r="J151" t="s">
        <v>8868</v>
      </c>
      <c r="K151">
        <v>13954</v>
      </c>
      <c r="L151">
        <v>13954</v>
      </c>
      <c r="M151" t="s">
        <v>7852</v>
      </c>
      <c r="N151" t="s">
        <v>7851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t="s">
        <v>1</v>
      </c>
    </row>
    <row r="152" spans="5:23" x14ac:dyDescent="0.25">
      <c r="E152" t="s">
        <v>8611</v>
      </c>
      <c r="F152" s="1" t="s">
        <v>8875</v>
      </c>
      <c r="G152" t="s">
        <v>1</v>
      </c>
      <c r="H152" t="s">
        <v>0</v>
      </c>
      <c r="I152" t="s">
        <v>8869</v>
      </c>
      <c r="J152" t="s">
        <v>8868</v>
      </c>
      <c r="K152">
        <v>13955</v>
      </c>
      <c r="L152">
        <v>13955</v>
      </c>
      <c r="M152" t="s">
        <v>4250</v>
      </c>
      <c r="N152" t="s">
        <v>4251</v>
      </c>
      <c r="O152" s="3">
        <v>0</v>
      </c>
      <c r="P152" s="3">
        <v>0</v>
      </c>
      <c r="Q152" s="3">
        <v>281.16000000000003</v>
      </c>
      <c r="R152" s="3">
        <v>36.550800000000002</v>
      </c>
      <c r="S152" s="3">
        <v>0</v>
      </c>
      <c r="T152" s="3">
        <v>0</v>
      </c>
      <c r="U152" s="3">
        <v>317.71080000000001</v>
      </c>
      <c r="W152" t="s">
        <v>1</v>
      </c>
    </row>
    <row r="153" spans="5:23" x14ac:dyDescent="0.25">
      <c r="E153" t="s">
        <v>8611</v>
      </c>
      <c r="F153" s="1" t="s">
        <v>8875</v>
      </c>
      <c r="G153" t="s">
        <v>1</v>
      </c>
      <c r="H153" t="s">
        <v>0</v>
      </c>
      <c r="I153" t="s">
        <v>8869</v>
      </c>
      <c r="J153" t="s">
        <v>8868</v>
      </c>
      <c r="K153">
        <v>13956</v>
      </c>
      <c r="L153">
        <v>13956</v>
      </c>
      <c r="M153" t="s">
        <v>8243</v>
      </c>
      <c r="N153" t="s">
        <v>8244</v>
      </c>
      <c r="O153" s="3">
        <v>0</v>
      </c>
      <c r="P153" s="3">
        <v>0</v>
      </c>
      <c r="Q153" s="3">
        <v>100.67</v>
      </c>
      <c r="R153" s="3">
        <v>13.087100000000001</v>
      </c>
      <c r="S153" s="3">
        <v>0</v>
      </c>
      <c r="T153" s="3">
        <v>0</v>
      </c>
      <c r="U153" s="3">
        <v>113.75710000000001</v>
      </c>
      <c r="W153" t="s">
        <v>1</v>
      </c>
    </row>
    <row r="154" spans="5:23" x14ac:dyDescent="0.25">
      <c r="E154" t="s">
        <v>8611</v>
      </c>
      <c r="F154" s="1" t="s">
        <v>8875</v>
      </c>
      <c r="G154" t="s">
        <v>1</v>
      </c>
      <c r="H154" t="s">
        <v>0</v>
      </c>
      <c r="I154" t="s">
        <v>8869</v>
      </c>
      <c r="J154" t="s">
        <v>8868</v>
      </c>
      <c r="K154">
        <v>13957</v>
      </c>
      <c r="L154">
        <v>13957</v>
      </c>
      <c r="M154" t="s">
        <v>8243</v>
      </c>
      <c r="N154" t="s">
        <v>8244</v>
      </c>
      <c r="O154" s="3">
        <v>0</v>
      </c>
      <c r="P154" s="3">
        <v>0</v>
      </c>
      <c r="Q154" s="3">
        <v>224.61</v>
      </c>
      <c r="R154" s="3">
        <v>29.199300000000004</v>
      </c>
      <c r="S154" s="3">
        <v>0</v>
      </c>
      <c r="T154" s="3">
        <v>0</v>
      </c>
      <c r="U154" s="3">
        <v>253.80930000000001</v>
      </c>
      <c r="W154" t="s">
        <v>1</v>
      </c>
    </row>
    <row r="155" spans="5:23" x14ac:dyDescent="0.25">
      <c r="E155" t="s">
        <v>8611</v>
      </c>
      <c r="F155" s="1" t="s">
        <v>8875</v>
      </c>
      <c r="G155" t="s">
        <v>1</v>
      </c>
      <c r="H155" t="s">
        <v>0</v>
      </c>
      <c r="I155" t="s">
        <v>8869</v>
      </c>
      <c r="J155" t="s">
        <v>8868</v>
      </c>
      <c r="K155">
        <v>13958</v>
      </c>
      <c r="L155">
        <v>13958</v>
      </c>
      <c r="N155" t="s">
        <v>8235</v>
      </c>
      <c r="O155" s="3">
        <v>0</v>
      </c>
      <c r="P155" s="3">
        <v>0</v>
      </c>
      <c r="Q155" s="3">
        <v>95.34</v>
      </c>
      <c r="R155" s="3">
        <v>12.394200000000001</v>
      </c>
      <c r="S155" s="3">
        <v>0</v>
      </c>
      <c r="T155" s="3">
        <v>0</v>
      </c>
      <c r="U155" s="3">
        <v>107.7342</v>
      </c>
      <c r="V155" s="3" t="s">
        <v>8718</v>
      </c>
      <c r="W155" t="s">
        <v>1</v>
      </c>
    </row>
    <row r="156" spans="5:23" x14ac:dyDescent="0.25">
      <c r="E156" t="s">
        <v>8611</v>
      </c>
      <c r="F156" s="1" t="s">
        <v>8875</v>
      </c>
      <c r="G156" t="s">
        <v>1</v>
      </c>
      <c r="H156" t="s">
        <v>0</v>
      </c>
      <c r="I156" t="s">
        <v>8869</v>
      </c>
      <c r="J156" t="s">
        <v>8868</v>
      </c>
      <c r="K156">
        <v>13959</v>
      </c>
      <c r="L156">
        <v>13959</v>
      </c>
      <c r="M156" t="s">
        <v>3269</v>
      </c>
      <c r="N156" t="s">
        <v>3270</v>
      </c>
      <c r="O156" s="3">
        <v>0</v>
      </c>
      <c r="P156" s="3">
        <v>0</v>
      </c>
      <c r="Q156" s="3">
        <v>83.63</v>
      </c>
      <c r="R156" s="3">
        <v>10.8719</v>
      </c>
      <c r="S156" s="3">
        <v>0</v>
      </c>
      <c r="T156" s="3">
        <v>0</v>
      </c>
      <c r="U156" s="3">
        <v>94.501899999999992</v>
      </c>
      <c r="W156" t="s">
        <v>1</v>
      </c>
    </row>
    <row r="157" spans="5:23" x14ac:dyDescent="0.25">
      <c r="E157" t="s">
        <v>8611</v>
      </c>
      <c r="F157" s="1" t="s">
        <v>8875</v>
      </c>
      <c r="G157" t="s">
        <v>1</v>
      </c>
      <c r="H157" t="s">
        <v>0</v>
      </c>
      <c r="I157" t="s">
        <v>8869</v>
      </c>
      <c r="J157" t="s">
        <v>8868</v>
      </c>
      <c r="K157">
        <v>13960</v>
      </c>
      <c r="L157">
        <v>13960</v>
      </c>
      <c r="M157" t="s">
        <v>7869</v>
      </c>
      <c r="N157" t="s">
        <v>7870</v>
      </c>
      <c r="O157" s="3">
        <v>0</v>
      </c>
      <c r="P157" s="3">
        <v>0</v>
      </c>
      <c r="Q157" s="3">
        <v>531.99</v>
      </c>
      <c r="R157" s="3">
        <v>69.15870000000001</v>
      </c>
      <c r="S157" s="3">
        <v>0</v>
      </c>
      <c r="T157" s="3">
        <v>0</v>
      </c>
      <c r="U157" s="3">
        <v>601.14869999999996</v>
      </c>
      <c r="W157" t="s">
        <v>1</v>
      </c>
    </row>
    <row r="158" spans="5:23" x14ac:dyDescent="0.25">
      <c r="E158" t="s">
        <v>8611</v>
      </c>
      <c r="F158" s="1" t="s">
        <v>8875</v>
      </c>
      <c r="G158" t="s">
        <v>1</v>
      </c>
      <c r="H158" t="s">
        <v>0</v>
      </c>
      <c r="I158" t="s">
        <v>8869</v>
      </c>
      <c r="J158" t="s">
        <v>8868</v>
      </c>
      <c r="K158">
        <v>13961</v>
      </c>
      <c r="L158">
        <v>13961</v>
      </c>
      <c r="M158" t="s">
        <v>8431</v>
      </c>
      <c r="N158" t="s">
        <v>8432</v>
      </c>
      <c r="O158" s="3">
        <v>0</v>
      </c>
      <c r="P158" s="3">
        <v>0</v>
      </c>
      <c r="Q158" s="3">
        <v>114.29</v>
      </c>
      <c r="R158" s="3">
        <v>14.857700000000001</v>
      </c>
      <c r="S158" s="3">
        <v>0</v>
      </c>
      <c r="T158" s="3">
        <v>0</v>
      </c>
      <c r="U158" s="3">
        <v>129.14770000000001</v>
      </c>
      <c r="W158" t="s">
        <v>1</v>
      </c>
    </row>
    <row r="159" spans="5:23" x14ac:dyDescent="0.25">
      <c r="E159" t="s">
        <v>8611</v>
      </c>
      <c r="F159" s="1" t="s">
        <v>8875</v>
      </c>
      <c r="G159" t="s">
        <v>1</v>
      </c>
      <c r="H159" t="s">
        <v>0</v>
      </c>
      <c r="I159" t="s">
        <v>8869</v>
      </c>
      <c r="J159" t="s">
        <v>8868</v>
      </c>
      <c r="K159">
        <v>13962</v>
      </c>
      <c r="L159">
        <v>13962</v>
      </c>
      <c r="M159" t="s">
        <v>8018</v>
      </c>
      <c r="N159" t="s">
        <v>8019</v>
      </c>
      <c r="O159" s="3">
        <v>0</v>
      </c>
      <c r="P159" s="3">
        <v>0</v>
      </c>
      <c r="Q159" s="3">
        <v>44.25</v>
      </c>
      <c r="R159" s="3">
        <v>5.7525000000000004</v>
      </c>
      <c r="S159" s="3">
        <v>0</v>
      </c>
      <c r="T159" s="3">
        <v>0</v>
      </c>
      <c r="U159" s="3">
        <v>50.002499999999998</v>
      </c>
      <c r="W159" t="s">
        <v>1</v>
      </c>
    </row>
    <row r="160" spans="5:23" hidden="1" x14ac:dyDescent="0.25">
      <c r="E160" t="s">
        <v>8611</v>
      </c>
      <c r="F160" s="1" t="s">
        <v>8875</v>
      </c>
      <c r="G160" t="s">
        <v>1</v>
      </c>
      <c r="H160" t="s">
        <v>0</v>
      </c>
      <c r="I160" t="s">
        <v>8869</v>
      </c>
      <c r="J160" t="s">
        <v>8868</v>
      </c>
      <c r="K160">
        <v>13963</v>
      </c>
      <c r="L160">
        <v>13963</v>
      </c>
      <c r="M160" t="s">
        <v>7852</v>
      </c>
      <c r="N160" t="s">
        <v>7851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t="s">
        <v>1</v>
      </c>
    </row>
    <row r="161" spans="5:23" x14ac:dyDescent="0.25">
      <c r="E161" t="s">
        <v>8611</v>
      </c>
      <c r="F161" s="1" t="s">
        <v>8875</v>
      </c>
      <c r="G161" t="s">
        <v>1</v>
      </c>
      <c r="H161" t="s">
        <v>0</v>
      </c>
      <c r="I161" t="s">
        <v>8869</v>
      </c>
      <c r="J161" t="s">
        <v>8868</v>
      </c>
      <c r="K161">
        <v>13964</v>
      </c>
      <c r="L161">
        <v>13964</v>
      </c>
      <c r="N161" t="s">
        <v>8219</v>
      </c>
      <c r="O161" s="3">
        <v>0</v>
      </c>
      <c r="P161" s="3">
        <v>0</v>
      </c>
      <c r="Q161" s="3">
        <v>8.1999999999999993</v>
      </c>
      <c r="R161" s="3">
        <v>1.0659999999999998</v>
      </c>
      <c r="S161" s="3">
        <v>0</v>
      </c>
      <c r="T161" s="3">
        <v>0</v>
      </c>
      <c r="U161" s="3">
        <v>9.2659999999999982</v>
      </c>
      <c r="V161" s="3" t="s">
        <v>8636</v>
      </c>
      <c r="W161" t="s">
        <v>1</v>
      </c>
    </row>
    <row r="162" spans="5:23" x14ac:dyDescent="0.25">
      <c r="E162" t="s">
        <v>8611</v>
      </c>
      <c r="F162" s="1" t="s">
        <v>8875</v>
      </c>
      <c r="G162" t="s">
        <v>1</v>
      </c>
      <c r="H162" t="s">
        <v>0</v>
      </c>
      <c r="I162" t="s">
        <v>8869</v>
      </c>
      <c r="J162" t="s">
        <v>8868</v>
      </c>
      <c r="K162">
        <v>13965</v>
      </c>
      <c r="L162">
        <v>13965</v>
      </c>
      <c r="M162" t="s">
        <v>8166</v>
      </c>
      <c r="N162" t="s">
        <v>8167</v>
      </c>
      <c r="O162" s="3">
        <v>0</v>
      </c>
      <c r="P162" s="3">
        <v>0</v>
      </c>
      <c r="Q162" s="3">
        <v>173</v>
      </c>
      <c r="R162" s="3">
        <v>22.490000000000002</v>
      </c>
      <c r="S162" s="3">
        <v>0</v>
      </c>
      <c r="T162" s="3">
        <v>0</v>
      </c>
      <c r="U162" s="3">
        <v>195.49</v>
      </c>
      <c r="W162" t="s">
        <v>1</v>
      </c>
    </row>
    <row r="163" spans="5:23" x14ac:dyDescent="0.25">
      <c r="E163" t="s">
        <v>8611</v>
      </c>
      <c r="F163" s="1" t="s">
        <v>8875</v>
      </c>
      <c r="G163" t="s">
        <v>1</v>
      </c>
      <c r="H163" t="s">
        <v>0</v>
      </c>
      <c r="I163" t="s">
        <v>8869</v>
      </c>
      <c r="J163" t="s">
        <v>8868</v>
      </c>
      <c r="K163">
        <v>13966</v>
      </c>
      <c r="L163">
        <v>13966</v>
      </c>
      <c r="M163" t="s">
        <v>8209</v>
      </c>
      <c r="N163" t="s">
        <v>8210</v>
      </c>
      <c r="O163" s="3">
        <v>0</v>
      </c>
      <c r="P163" s="3">
        <v>0</v>
      </c>
      <c r="Q163" s="3">
        <v>600</v>
      </c>
      <c r="R163" s="3">
        <v>78</v>
      </c>
      <c r="S163" s="3">
        <v>0</v>
      </c>
      <c r="T163" s="3">
        <v>0</v>
      </c>
      <c r="U163" s="3">
        <v>678</v>
      </c>
      <c r="W163" t="s">
        <v>1</v>
      </c>
    </row>
    <row r="164" spans="5:23" x14ac:dyDescent="0.25">
      <c r="E164" t="s">
        <v>8611</v>
      </c>
      <c r="F164" s="1" t="s">
        <v>8875</v>
      </c>
      <c r="G164" t="s">
        <v>1</v>
      </c>
      <c r="H164" t="s">
        <v>0</v>
      </c>
      <c r="I164" t="s">
        <v>8869</v>
      </c>
      <c r="J164" t="s">
        <v>8868</v>
      </c>
      <c r="K164">
        <v>13967</v>
      </c>
      <c r="L164">
        <v>13967</v>
      </c>
      <c r="M164" t="s">
        <v>216</v>
      </c>
      <c r="N164" t="s">
        <v>217</v>
      </c>
      <c r="O164" s="3">
        <v>0</v>
      </c>
      <c r="P164" s="3">
        <v>0</v>
      </c>
      <c r="Q164" s="3">
        <v>20.2</v>
      </c>
      <c r="R164" s="3">
        <v>2.6259999999999999</v>
      </c>
      <c r="S164" s="3">
        <v>0</v>
      </c>
      <c r="T164" s="3">
        <v>0</v>
      </c>
      <c r="U164" s="3">
        <v>22.826000000000001</v>
      </c>
      <c r="W164" t="s">
        <v>1</v>
      </c>
    </row>
    <row r="165" spans="5:23" hidden="1" x14ac:dyDescent="0.25">
      <c r="E165" t="s">
        <v>8611</v>
      </c>
      <c r="F165" s="1" t="s">
        <v>8874</v>
      </c>
      <c r="G165" t="s">
        <v>1</v>
      </c>
      <c r="H165" t="s">
        <v>0</v>
      </c>
      <c r="I165" t="s">
        <v>8869</v>
      </c>
      <c r="J165" t="s">
        <v>8868</v>
      </c>
      <c r="K165">
        <v>13968</v>
      </c>
      <c r="L165">
        <v>13968</v>
      </c>
      <c r="M165" t="s">
        <v>7852</v>
      </c>
      <c r="N165" t="s">
        <v>7851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t="s">
        <v>1</v>
      </c>
    </row>
    <row r="166" spans="5:23" hidden="1" x14ac:dyDescent="0.25">
      <c r="E166" t="s">
        <v>8611</v>
      </c>
      <c r="F166" s="1" t="s">
        <v>8874</v>
      </c>
      <c r="G166" t="s">
        <v>1</v>
      </c>
      <c r="H166" t="s">
        <v>0</v>
      </c>
      <c r="I166" t="s">
        <v>8869</v>
      </c>
      <c r="J166" t="s">
        <v>8868</v>
      </c>
      <c r="K166">
        <v>13969</v>
      </c>
      <c r="L166">
        <v>13969</v>
      </c>
      <c r="M166" t="s">
        <v>7852</v>
      </c>
      <c r="N166" t="s">
        <v>7851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t="s">
        <v>1</v>
      </c>
    </row>
    <row r="167" spans="5:23" hidden="1" x14ac:dyDescent="0.25">
      <c r="E167" t="s">
        <v>8611</v>
      </c>
      <c r="F167" s="1" t="s">
        <v>8874</v>
      </c>
      <c r="G167" t="s">
        <v>1</v>
      </c>
      <c r="H167" t="s">
        <v>0</v>
      </c>
      <c r="I167" t="s">
        <v>8869</v>
      </c>
      <c r="J167" t="s">
        <v>8868</v>
      </c>
      <c r="K167">
        <v>13970</v>
      </c>
      <c r="L167">
        <v>13970</v>
      </c>
      <c r="M167" t="s">
        <v>7852</v>
      </c>
      <c r="N167" t="s">
        <v>7851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t="s">
        <v>1</v>
      </c>
    </row>
    <row r="168" spans="5:23" x14ac:dyDescent="0.25">
      <c r="E168" t="s">
        <v>8611</v>
      </c>
      <c r="F168" s="1" t="s">
        <v>8874</v>
      </c>
      <c r="G168" t="s">
        <v>1</v>
      </c>
      <c r="H168" t="s">
        <v>0</v>
      </c>
      <c r="I168" t="s">
        <v>8869</v>
      </c>
      <c r="J168" t="s">
        <v>8868</v>
      </c>
      <c r="K168">
        <v>13971</v>
      </c>
      <c r="L168">
        <v>13971</v>
      </c>
      <c r="M168" t="s">
        <v>8404</v>
      </c>
      <c r="N168" t="s">
        <v>8405</v>
      </c>
      <c r="O168" s="3">
        <v>0</v>
      </c>
      <c r="P168" s="3">
        <v>0</v>
      </c>
      <c r="Q168" s="3">
        <v>13.24</v>
      </c>
      <c r="R168" s="3">
        <v>1.7212000000000001</v>
      </c>
      <c r="S168" s="3">
        <v>0</v>
      </c>
      <c r="T168" s="3">
        <v>0</v>
      </c>
      <c r="U168" s="3">
        <v>14.9612</v>
      </c>
      <c r="W168" t="s">
        <v>1</v>
      </c>
    </row>
    <row r="169" spans="5:23" x14ac:dyDescent="0.25">
      <c r="E169" t="s">
        <v>8611</v>
      </c>
      <c r="F169" s="1" t="s">
        <v>8874</v>
      </c>
      <c r="G169" t="s">
        <v>1</v>
      </c>
      <c r="H169" t="s">
        <v>0</v>
      </c>
      <c r="I169" t="s">
        <v>8869</v>
      </c>
      <c r="J169" t="s">
        <v>8868</v>
      </c>
      <c r="K169">
        <v>13972</v>
      </c>
      <c r="L169">
        <v>13972</v>
      </c>
      <c r="M169" t="s">
        <v>1423</v>
      </c>
      <c r="N169" t="s">
        <v>1424</v>
      </c>
      <c r="O169" s="3">
        <v>0</v>
      </c>
      <c r="P169" s="3">
        <v>0</v>
      </c>
      <c r="Q169" s="3">
        <v>116.25</v>
      </c>
      <c r="R169" s="3">
        <v>15.112500000000001</v>
      </c>
      <c r="S169" s="3">
        <v>0</v>
      </c>
      <c r="T169" s="3">
        <v>0</v>
      </c>
      <c r="U169" s="3">
        <v>131.36250000000001</v>
      </c>
      <c r="W169" t="s">
        <v>1</v>
      </c>
    </row>
    <row r="170" spans="5:23" x14ac:dyDescent="0.25">
      <c r="E170" t="s">
        <v>8611</v>
      </c>
      <c r="F170" s="1" t="s">
        <v>8874</v>
      </c>
      <c r="G170" t="s">
        <v>1</v>
      </c>
      <c r="H170" t="s">
        <v>0</v>
      </c>
      <c r="I170" t="s">
        <v>8869</v>
      </c>
      <c r="J170" t="s">
        <v>8868</v>
      </c>
      <c r="K170">
        <v>13973</v>
      </c>
      <c r="L170">
        <v>13973</v>
      </c>
      <c r="M170" t="s">
        <v>153</v>
      </c>
      <c r="N170" t="s">
        <v>154</v>
      </c>
      <c r="O170" s="3">
        <v>0</v>
      </c>
      <c r="P170" s="3">
        <v>0</v>
      </c>
      <c r="Q170" s="3">
        <v>189</v>
      </c>
      <c r="R170" s="3">
        <v>24.57</v>
      </c>
      <c r="S170" s="3">
        <v>0</v>
      </c>
      <c r="T170" s="3">
        <v>0</v>
      </c>
      <c r="U170" s="3">
        <v>213.57</v>
      </c>
      <c r="W170" t="s">
        <v>1</v>
      </c>
    </row>
    <row r="171" spans="5:23" x14ac:dyDescent="0.25">
      <c r="E171" t="s">
        <v>8611</v>
      </c>
      <c r="F171" s="1" t="s">
        <v>8874</v>
      </c>
      <c r="G171" t="s">
        <v>1</v>
      </c>
      <c r="H171" t="s">
        <v>0</v>
      </c>
      <c r="I171" t="s">
        <v>8869</v>
      </c>
      <c r="J171" t="s">
        <v>8868</v>
      </c>
      <c r="K171">
        <v>13974</v>
      </c>
      <c r="L171">
        <v>13974</v>
      </c>
      <c r="M171" t="s">
        <v>4250</v>
      </c>
      <c r="N171" t="s">
        <v>4251</v>
      </c>
      <c r="O171" s="3">
        <v>0</v>
      </c>
      <c r="P171" s="3">
        <v>0</v>
      </c>
      <c r="Q171" s="3">
        <v>37.72</v>
      </c>
      <c r="R171" s="3">
        <v>4.9036</v>
      </c>
      <c r="S171" s="3">
        <v>0</v>
      </c>
      <c r="T171" s="3">
        <v>0</v>
      </c>
      <c r="U171" s="3">
        <v>42.623599999999996</v>
      </c>
      <c r="W171" t="s">
        <v>1</v>
      </c>
    </row>
    <row r="172" spans="5:23" x14ac:dyDescent="0.25">
      <c r="E172" t="s">
        <v>8611</v>
      </c>
      <c r="F172" s="1" t="s">
        <v>8874</v>
      </c>
      <c r="G172" t="s">
        <v>1</v>
      </c>
      <c r="H172" t="s">
        <v>0</v>
      </c>
      <c r="I172" t="s">
        <v>8869</v>
      </c>
      <c r="J172" t="s">
        <v>8868</v>
      </c>
      <c r="K172">
        <v>13975</v>
      </c>
      <c r="L172">
        <v>13975</v>
      </c>
      <c r="M172" t="s">
        <v>4250</v>
      </c>
      <c r="N172" t="s">
        <v>4251</v>
      </c>
      <c r="O172" s="3">
        <v>0</v>
      </c>
      <c r="P172" s="3">
        <v>0</v>
      </c>
      <c r="Q172" s="3">
        <v>141.49</v>
      </c>
      <c r="R172" s="3">
        <v>18.393700000000003</v>
      </c>
      <c r="S172" s="3">
        <v>0</v>
      </c>
      <c r="T172" s="3">
        <v>0</v>
      </c>
      <c r="U172" s="3">
        <v>159.8837</v>
      </c>
      <c r="W172" t="s">
        <v>1</v>
      </c>
    </row>
    <row r="173" spans="5:23" x14ac:dyDescent="0.25">
      <c r="E173" t="s">
        <v>8611</v>
      </c>
      <c r="F173" s="1" t="s">
        <v>8874</v>
      </c>
      <c r="G173" t="s">
        <v>1</v>
      </c>
      <c r="H173" t="s">
        <v>0</v>
      </c>
      <c r="I173" t="s">
        <v>8869</v>
      </c>
      <c r="J173" t="s">
        <v>8868</v>
      </c>
      <c r="K173">
        <v>13976</v>
      </c>
      <c r="L173">
        <v>13976</v>
      </c>
      <c r="M173" t="s">
        <v>8209</v>
      </c>
      <c r="N173" t="s">
        <v>8210</v>
      </c>
      <c r="O173" s="3">
        <v>0</v>
      </c>
      <c r="P173" s="3">
        <v>0</v>
      </c>
      <c r="Q173" s="3">
        <v>460</v>
      </c>
      <c r="R173" s="3">
        <v>59.800000000000004</v>
      </c>
      <c r="S173" s="3">
        <v>0</v>
      </c>
      <c r="T173" s="3">
        <v>0</v>
      </c>
      <c r="U173" s="3">
        <v>519.79999999999995</v>
      </c>
      <c r="W173" t="s">
        <v>1</v>
      </c>
    </row>
    <row r="174" spans="5:23" hidden="1" x14ac:dyDescent="0.25">
      <c r="E174" t="s">
        <v>8611</v>
      </c>
      <c r="F174" s="1" t="s">
        <v>8874</v>
      </c>
      <c r="G174" t="s">
        <v>1</v>
      </c>
      <c r="H174" t="s">
        <v>0</v>
      </c>
      <c r="I174" t="s">
        <v>8869</v>
      </c>
      <c r="J174" t="s">
        <v>8868</v>
      </c>
      <c r="K174">
        <v>13977</v>
      </c>
      <c r="L174">
        <v>13977</v>
      </c>
      <c r="M174" t="s">
        <v>7852</v>
      </c>
      <c r="N174" t="s">
        <v>7851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t="s">
        <v>1</v>
      </c>
    </row>
    <row r="175" spans="5:23" hidden="1" x14ac:dyDescent="0.25">
      <c r="E175" t="s">
        <v>8611</v>
      </c>
      <c r="F175" s="1" t="s">
        <v>8874</v>
      </c>
      <c r="G175" t="s">
        <v>1</v>
      </c>
      <c r="H175" t="s">
        <v>0</v>
      </c>
      <c r="I175" t="s">
        <v>8869</v>
      </c>
      <c r="J175" t="s">
        <v>8868</v>
      </c>
      <c r="K175">
        <v>13978</v>
      </c>
      <c r="L175">
        <v>13978</v>
      </c>
      <c r="M175" t="s">
        <v>7852</v>
      </c>
      <c r="N175" t="s">
        <v>7851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t="s">
        <v>1</v>
      </c>
    </row>
    <row r="176" spans="5:23" hidden="1" x14ac:dyDescent="0.25">
      <c r="E176" t="s">
        <v>8611</v>
      </c>
      <c r="F176" s="1" t="s">
        <v>8874</v>
      </c>
      <c r="G176" t="s">
        <v>1</v>
      </c>
      <c r="H176" t="s">
        <v>0</v>
      </c>
      <c r="I176" t="s">
        <v>8869</v>
      </c>
      <c r="J176" t="s">
        <v>8868</v>
      </c>
      <c r="K176">
        <v>13979</v>
      </c>
      <c r="L176">
        <v>13979</v>
      </c>
      <c r="M176" t="s">
        <v>7852</v>
      </c>
      <c r="N176" t="s">
        <v>7851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t="s">
        <v>1</v>
      </c>
    </row>
    <row r="177" spans="5:23" x14ac:dyDescent="0.25">
      <c r="E177" t="s">
        <v>8611</v>
      </c>
      <c r="F177" s="1" t="s">
        <v>8874</v>
      </c>
      <c r="G177" t="s">
        <v>1</v>
      </c>
      <c r="H177" t="s">
        <v>0</v>
      </c>
      <c r="I177" t="s">
        <v>8869</v>
      </c>
      <c r="J177" t="s">
        <v>8868</v>
      </c>
      <c r="K177">
        <v>13980</v>
      </c>
      <c r="L177">
        <v>13980</v>
      </c>
      <c r="M177" t="s">
        <v>8114</v>
      </c>
      <c r="N177" t="s">
        <v>8115</v>
      </c>
      <c r="O177" s="3">
        <v>0</v>
      </c>
      <c r="P177" s="3">
        <v>0</v>
      </c>
      <c r="Q177" s="3">
        <v>5.8</v>
      </c>
      <c r="R177" s="3">
        <v>0.754</v>
      </c>
      <c r="S177" s="3">
        <v>0</v>
      </c>
      <c r="T177" s="3">
        <v>0</v>
      </c>
      <c r="U177" s="3">
        <v>6.5540000000000003</v>
      </c>
      <c r="W177" t="s">
        <v>1</v>
      </c>
    </row>
    <row r="178" spans="5:23" hidden="1" x14ac:dyDescent="0.25">
      <c r="E178" t="s">
        <v>8611</v>
      </c>
      <c r="F178" s="1" t="s">
        <v>8874</v>
      </c>
      <c r="G178" t="s">
        <v>1</v>
      </c>
      <c r="H178" t="s">
        <v>0</v>
      </c>
      <c r="I178" t="s">
        <v>8869</v>
      </c>
      <c r="J178" t="s">
        <v>8868</v>
      </c>
      <c r="K178">
        <v>13981</v>
      </c>
      <c r="L178">
        <v>13981</v>
      </c>
      <c r="M178" t="s">
        <v>7852</v>
      </c>
      <c r="N178" t="s">
        <v>7851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t="s">
        <v>1</v>
      </c>
    </row>
    <row r="179" spans="5:23" x14ac:dyDescent="0.25">
      <c r="E179" t="s">
        <v>8611</v>
      </c>
      <c r="F179" s="1" t="s">
        <v>8874</v>
      </c>
      <c r="G179" t="s">
        <v>1</v>
      </c>
      <c r="H179" t="s">
        <v>0</v>
      </c>
      <c r="I179" t="s">
        <v>8869</v>
      </c>
      <c r="J179" t="s">
        <v>8868</v>
      </c>
      <c r="K179">
        <v>13982</v>
      </c>
      <c r="L179">
        <v>13982</v>
      </c>
      <c r="M179" t="s">
        <v>8573</v>
      </c>
      <c r="N179" t="s">
        <v>8574</v>
      </c>
      <c r="O179" s="3">
        <v>0</v>
      </c>
      <c r="P179" s="3">
        <v>0</v>
      </c>
      <c r="Q179" s="3">
        <v>177.95</v>
      </c>
      <c r="R179" s="3">
        <v>23.133499999999998</v>
      </c>
      <c r="S179" s="3">
        <v>0</v>
      </c>
      <c r="T179" s="3">
        <v>0</v>
      </c>
      <c r="U179" s="3">
        <v>201.08349999999999</v>
      </c>
      <c r="W179" t="s">
        <v>1</v>
      </c>
    </row>
    <row r="180" spans="5:23" x14ac:dyDescent="0.25">
      <c r="E180" t="s">
        <v>8611</v>
      </c>
      <c r="F180" s="1" t="s">
        <v>8874</v>
      </c>
      <c r="G180" t="s">
        <v>1</v>
      </c>
      <c r="H180" t="s">
        <v>0</v>
      </c>
      <c r="I180" t="s">
        <v>8869</v>
      </c>
      <c r="J180" t="s">
        <v>8868</v>
      </c>
      <c r="K180">
        <v>13983</v>
      </c>
      <c r="L180">
        <v>13983</v>
      </c>
      <c r="M180" t="s">
        <v>164</v>
      </c>
      <c r="N180" t="s">
        <v>165</v>
      </c>
      <c r="O180" s="3">
        <v>0</v>
      </c>
      <c r="P180" s="3">
        <v>0</v>
      </c>
      <c r="Q180" s="3">
        <v>110.55</v>
      </c>
      <c r="R180" s="3">
        <v>14.371499999999999</v>
      </c>
      <c r="S180" s="3">
        <v>0</v>
      </c>
      <c r="T180" s="3">
        <v>0</v>
      </c>
      <c r="U180" s="3">
        <v>124.92149999999999</v>
      </c>
      <c r="W180" t="s">
        <v>1</v>
      </c>
    </row>
    <row r="181" spans="5:23" x14ac:dyDescent="0.25">
      <c r="E181" t="s">
        <v>8611</v>
      </c>
      <c r="F181" s="1" t="s">
        <v>8874</v>
      </c>
      <c r="G181" t="s">
        <v>1</v>
      </c>
      <c r="H181" t="s">
        <v>0</v>
      </c>
      <c r="I181" t="s">
        <v>8869</v>
      </c>
      <c r="J181" t="s">
        <v>8868</v>
      </c>
      <c r="K181">
        <v>13984</v>
      </c>
      <c r="L181">
        <v>13984</v>
      </c>
      <c r="M181" t="s">
        <v>238</v>
      </c>
      <c r="N181" t="s">
        <v>239</v>
      </c>
      <c r="O181" s="3">
        <v>0</v>
      </c>
      <c r="P181" s="3">
        <v>0</v>
      </c>
      <c r="Q181" s="3">
        <v>171.93</v>
      </c>
      <c r="R181" s="3">
        <v>22.350900000000003</v>
      </c>
      <c r="S181" s="3">
        <v>0</v>
      </c>
      <c r="T181" s="3">
        <v>0</v>
      </c>
      <c r="U181" s="3">
        <v>194.2809</v>
      </c>
      <c r="W181" t="s">
        <v>1</v>
      </c>
    </row>
    <row r="182" spans="5:23" x14ac:dyDescent="0.25">
      <c r="E182" t="s">
        <v>8611</v>
      </c>
      <c r="F182" s="1" t="s">
        <v>8874</v>
      </c>
      <c r="G182" t="s">
        <v>1</v>
      </c>
      <c r="H182" t="s">
        <v>0</v>
      </c>
      <c r="I182" t="s">
        <v>8869</v>
      </c>
      <c r="J182" t="s">
        <v>8868</v>
      </c>
      <c r="K182">
        <v>13985</v>
      </c>
      <c r="L182">
        <v>13985</v>
      </c>
      <c r="M182" t="s">
        <v>238</v>
      </c>
      <c r="N182" t="s">
        <v>239</v>
      </c>
      <c r="O182" s="3">
        <v>0</v>
      </c>
      <c r="P182" s="3">
        <v>0</v>
      </c>
      <c r="Q182" s="3">
        <v>22.3</v>
      </c>
      <c r="R182" s="3">
        <v>2.899</v>
      </c>
      <c r="S182" s="3">
        <v>0</v>
      </c>
      <c r="T182" s="3">
        <v>0</v>
      </c>
      <c r="U182" s="3">
        <v>25.199000000000002</v>
      </c>
      <c r="W182" t="s">
        <v>1</v>
      </c>
    </row>
    <row r="183" spans="5:23" x14ac:dyDescent="0.25">
      <c r="E183" t="s">
        <v>8611</v>
      </c>
      <c r="F183" s="1" t="s">
        <v>8873</v>
      </c>
      <c r="G183" t="s">
        <v>1</v>
      </c>
      <c r="H183" t="s">
        <v>0</v>
      </c>
      <c r="I183" t="s">
        <v>8869</v>
      </c>
      <c r="J183" t="s">
        <v>8868</v>
      </c>
      <c r="K183">
        <v>13986</v>
      </c>
      <c r="L183">
        <v>13986</v>
      </c>
      <c r="M183" t="s">
        <v>8243</v>
      </c>
      <c r="N183" t="s">
        <v>8244</v>
      </c>
      <c r="O183" s="3">
        <v>0</v>
      </c>
      <c r="P183" s="3">
        <v>0</v>
      </c>
      <c r="Q183" s="3">
        <v>59.56</v>
      </c>
      <c r="R183" s="3">
        <v>7.7428000000000008</v>
      </c>
      <c r="S183" s="3">
        <v>0</v>
      </c>
      <c r="T183" s="3">
        <v>0</v>
      </c>
      <c r="U183" s="3">
        <v>67.302800000000005</v>
      </c>
      <c r="W183" t="s">
        <v>1</v>
      </c>
    </row>
    <row r="184" spans="5:23" x14ac:dyDescent="0.25">
      <c r="E184" t="s">
        <v>8611</v>
      </c>
      <c r="F184" s="1" t="s">
        <v>8873</v>
      </c>
      <c r="G184" t="s">
        <v>1</v>
      </c>
      <c r="H184" t="s">
        <v>0</v>
      </c>
      <c r="I184" t="s">
        <v>8869</v>
      </c>
      <c r="J184" t="s">
        <v>8868</v>
      </c>
      <c r="K184">
        <v>13987</v>
      </c>
      <c r="L184">
        <v>13987</v>
      </c>
      <c r="M184" t="s">
        <v>635</v>
      </c>
      <c r="N184" t="s">
        <v>636</v>
      </c>
      <c r="O184" s="3">
        <v>0</v>
      </c>
      <c r="P184" s="3">
        <v>0</v>
      </c>
      <c r="Q184" s="3">
        <v>183.19</v>
      </c>
      <c r="R184" s="3">
        <v>23.814700000000002</v>
      </c>
      <c r="S184" s="3">
        <v>0</v>
      </c>
      <c r="T184" s="3">
        <v>0</v>
      </c>
      <c r="U184" s="3">
        <v>207.00470000000001</v>
      </c>
      <c r="W184" t="s">
        <v>1</v>
      </c>
    </row>
    <row r="185" spans="5:23" hidden="1" x14ac:dyDescent="0.25">
      <c r="E185" t="s">
        <v>8611</v>
      </c>
      <c r="F185" s="1" t="s">
        <v>8873</v>
      </c>
      <c r="G185" t="s">
        <v>1</v>
      </c>
      <c r="H185" t="s">
        <v>0</v>
      </c>
      <c r="I185" t="s">
        <v>8869</v>
      </c>
      <c r="J185" t="s">
        <v>8868</v>
      </c>
      <c r="K185">
        <v>13988</v>
      </c>
      <c r="L185">
        <v>13988</v>
      </c>
      <c r="M185" t="s">
        <v>7852</v>
      </c>
      <c r="N185" t="s">
        <v>7851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t="s">
        <v>1</v>
      </c>
    </row>
    <row r="186" spans="5:23" x14ac:dyDescent="0.25">
      <c r="E186" t="s">
        <v>8611</v>
      </c>
      <c r="F186" s="1" t="s">
        <v>8873</v>
      </c>
      <c r="G186" t="s">
        <v>1</v>
      </c>
      <c r="H186" t="s">
        <v>0</v>
      </c>
      <c r="I186" t="s">
        <v>8869</v>
      </c>
      <c r="J186" t="s">
        <v>8868</v>
      </c>
      <c r="K186">
        <v>13989</v>
      </c>
      <c r="L186">
        <v>13989</v>
      </c>
      <c r="M186" t="s">
        <v>1793</v>
      </c>
      <c r="N186" t="s">
        <v>1794</v>
      </c>
      <c r="O186" s="3">
        <v>0</v>
      </c>
      <c r="P186" s="3">
        <v>0</v>
      </c>
      <c r="Q186" s="3">
        <v>1794.38</v>
      </c>
      <c r="R186" s="3">
        <v>233.26940000000002</v>
      </c>
      <c r="S186" s="3">
        <v>0</v>
      </c>
      <c r="T186" s="3">
        <v>0</v>
      </c>
      <c r="U186" s="3">
        <v>2027.6494000000002</v>
      </c>
      <c r="W186" t="s">
        <v>1</v>
      </c>
    </row>
    <row r="187" spans="5:23" x14ac:dyDescent="0.25">
      <c r="E187" t="s">
        <v>8611</v>
      </c>
      <c r="F187" s="1" t="s">
        <v>8873</v>
      </c>
      <c r="G187" t="s">
        <v>1</v>
      </c>
      <c r="H187" t="s">
        <v>0</v>
      </c>
      <c r="I187" t="s">
        <v>8869</v>
      </c>
      <c r="J187" t="s">
        <v>8868</v>
      </c>
      <c r="K187">
        <v>13990</v>
      </c>
      <c r="L187">
        <v>13990</v>
      </c>
      <c r="M187" t="s">
        <v>8170</v>
      </c>
      <c r="N187" t="s">
        <v>8171</v>
      </c>
      <c r="O187" s="3">
        <v>0</v>
      </c>
      <c r="P187" s="3">
        <v>0</v>
      </c>
      <c r="Q187" s="3">
        <v>20.62</v>
      </c>
      <c r="R187" s="3">
        <v>2.6806000000000001</v>
      </c>
      <c r="S187" s="3">
        <v>0</v>
      </c>
      <c r="T187" s="3">
        <v>0</v>
      </c>
      <c r="U187" s="3">
        <v>23.300600000000003</v>
      </c>
      <c r="W187" t="s">
        <v>1</v>
      </c>
    </row>
    <row r="188" spans="5:23" x14ac:dyDescent="0.25">
      <c r="E188" t="s">
        <v>8611</v>
      </c>
      <c r="F188" s="1" t="s">
        <v>8873</v>
      </c>
      <c r="G188" t="s">
        <v>1</v>
      </c>
      <c r="H188" t="s">
        <v>0</v>
      </c>
      <c r="I188" t="s">
        <v>8869</v>
      </c>
      <c r="J188" t="s">
        <v>8868</v>
      </c>
      <c r="K188">
        <v>13991</v>
      </c>
      <c r="L188">
        <v>13991</v>
      </c>
      <c r="M188" t="s">
        <v>8114</v>
      </c>
      <c r="N188" t="s">
        <v>8115</v>
      </c>
      <c r="O188" s="3">
        <v>0</v>
      </c>
      <c r="P188" s="3">
        <v>0</v>
      </c>
      <c r="Q188" s="3">
        <v>178.55</v>
      </c>
      <c r="R188" s="3">
        <v>23.211500000000001</v>
      </c>
      <c r="S188" s="3">
        <v>0</v>
      </c>
      <c r="T188" s="3">
        <v>0</v>
      </c>
      <c r="U188" s="3">
        <v>201.76150000000001</v>
      </c>
      <c r="W188" t="s">
        <v>1</v>
      </c>
    </row>
    <row r="189" spans="5:23" x14ac:dyDescent="0.25">
      <c r="E189" t="s">
        <v>8611</v>
      </c>
      <c r="F189" s="1" t="s">
        <v>8873</v>
      </c>
      <c r="G189" t="s">
        <v>1</v>
      </c>
      <c r="H189" t="s">
        <v>0</v>
      </c>
      <c r="I189" t="s">
        <v>8869</v>
      </c>
      <c r="J189" t="s">
        <v>8868</v>
      </c>
      <c r="K189">
        <v>13992</v>
      </c>
      <c r="L189">
        <v>13992</v>
      </c>
      <c r="N189" t="s">
        <v>8208</v>
      </c>
      <c r="O189" s="3">
        <v>0</v>
      </c>
      <c r="P189" s="3">
        <v>0</v>
      </c>
      <c r="Q189" s="3">
        <v>48.4</v>
      </c>
      <c r="R189" s="3">
        <v>6.2919999999999998</v>
      </c>
      <c r="S189" s="3">
        <v>0</v>
      </c>
      <c r="T189" s="3">
        <v>0</v>
      </c>
      <c r="U189" s="3">
        <v>54.692</v>
      </c>
      <c r="V189" s="3" t="s">
        <v>8650</v>
      </c>
      <c r="W189" t="s">
        <v>1</v>
      </c>
    </row>
    <row r="190" spans="5:23" x14ac:dyDescent="0.25">
      <c r="E190" t="s">
        <v>8611</v>
      </c>
      <c r="F190" s="1" t="s">
        <v>8873</v>
      </c>
      <c r="G190" t="s">
        <v>1</v>
      </c>
      <c r="H190" t="s">
        <v>0</v>
      </c>
      <c r="I190" t="s">
        <v>8869</v>
      </c>
      <c r="J190" t="s">
        <v>8868</v>
      </c>
      <c r="K190">
        <v>13993</v>
      </c>
      <c r="L190">
        <v>13993</v>
      </c>
      <c r="M190" t="s">
        <v>8310</v>
      </c>
      <c r="N190" t="s">
        <v>8311</v>
      </c>
      <c r="O190" s="3">
        <v>0</v>
      </c>
      <c r="P190" s="3">
        <v>0</v>
      </c>
      <c r="Q190" s="3">
        <v>59.99</v>
      </c>
      <c r="R190" s="3">
        <v>7.7987000000000002</v>
      </c>
      <c r="S190" s="3">
        <v>0</v>
      </c>
      <c r="T190" s="3">
        <v>0</v>
      </c>
      <c r="U190" s="3">
        <v>67.788700000000006</v>
      </c>
      <c r="W190" t="s">
        <v>1</v>
      </c>
    </row>
    <row r="191" spans="5:23" x14ac:dyDescent="0.25">
      <c r="E191" t="s">
        <v>8611</v>
      </c>
      <c r="F191" s="1" t="s">
        <v>8873</v>
      </c>
      <c r="G191" t="s">
        <v>1</v>
      </c>
      <c r="H191" t="s">
        <v>0</v>
      </c>
      <c r="I191" t="s">
        <v>8869</v>
      </c>
      <c r="J191" t="s">
        <v>8868</v>
      </c>
      <c r="K191">
        <v>13994</v>
      </c>
      <c r="L191">
        <v>13994</v>
      </c>
      <c r="M191" t="s">
        <v>8310</v>
      </c>
      <c r="N191" t="s">
        <v>8311</v>
      </c>
      <c r="O191" s="3">
        <v>0</v>
      </c>
      <c r="P191" s="3">
        <v>0</v>
      </c>
      <c r="Q191" s="3">
        <v>21.24</v>
      </c>
      <c r="R191" s="3">
        <v>2.7612000000000001</v>
      </c>
      <c r="S191" s="3">
        <v>0</v>
      </c>
      <c r="T191" s="3">
        <v>0</v>
      </c>
      <c r="U191" s="3">
        <v>24.001199999999997</v>
      </c>
      <c r="W191" t="s">
        <v>1</v>
      </c>
    </row>
    <row r="192" spans="5:23" x14ac:dyDescent="0.25">
      <c r="E192" t="s">
        <v>8611</v>
      </c>
      <c r="F192" s="1" t="s">
        <v>8873</v>
      </c>
      <c r="G192" t="s">
        <v>1</v>
      </c>
      <c r="H192" t="s">
        <v>0</v>
      </c>
      <c r="I192" t="s">
        <v>8869</v>
      </c>
      <c r="J192" t="s">
        <v>8868</v>
      </c>
      <c r="K192">
        <v>13995</v>
      </c>
      <c r="L192">
        <v>13995</v>
      </c>
      <c r="N192" t="s">
        <v>8640</v>
      </c>
      <c r="O192" s="3">
        <v>0</v>
      </c>
      <c r="P192" s="3">
        <v>0</v>
      </c>
      <c r="Q192" s="3">
        <v>589.79</v>
      </c>
      <c r="R192" s="3">
        <v>76.672699999999992</v>
      </c>
      <c r="S192" s="3">
        <v>0</v>
      </c>
      <c r="T192" s="3">
        <v>0</v>
      </c>
      <c r="U192" s="3">
        <v>666.46269999999993</v>
      </c>
      <c r="V192" s="3" t="s">
        <v>8639</v>
      </c>
      <c r="W192" t="s">
        <v>1</v>
      </c>
    </row>
    <row r="193" spans="5:23" x14ac:dyDescent="0.25">
      <c r="E193" t="s">
        <v>8611</v>
      </c>
      <c r="F193" s="1" t="s">
        <v>8873</v>
      </c>
      <c r="G193" t="s">
        <v>1</v>
      </c>
      <c r="H193" t="s">
        <v>0</v>
      </c>
      <c r="I193" t="s">
        <v>8869</v>
      </c>
      <c r="J193" t="s">
        <v>8868</v>
      </c>
      <c r="K193">
        <v>13996</v>
      </c>
      <c r="L193">
        <v>13996</v>
      </c>
      <c r="M193" t="s">
        <v>8289</v>
      </c>
      <c r="N193" t="s">
        <v>8290</v>
      </c>
      <c r="O193" s="3">
        <v>0</v>
      </c>
      <c r="P193" s="3">
        <v>0</v>
      </c>
      <c r="Q193" s="3">
        <v>522.79999999999995</v>
      </c>
      <c r="R193" s="3">
        <v>67.963999999999999</v>
      </c>
      <c r="S193" s="3">
        <v>0</v>
      </c>
      <c r="T193" s="3">
        <v>0</v>
      </c>
      <c r="U193" s="3">
        <v>590.7639999999999</v>
      </c>
      <c r="W193" t="s">
        <v>1</v>
      </c>
    </row>
    <row r="194" spans="5:23" x14ac:dyDescent="0.25">
      <c r="E194" t="s">
        <v>8611</v>
      </c>
      <c r="F194" s="1" t="s">
        <v>8873</v>
      </c>
      <c r="G194" t="s">
        <v>1</v>
      </c>
      <c r="H194" t="s">
        <v>0</v>
      </c>
      <c r="I194" t="s">
        <v>8869</v>
      </c>
      <c r="J194" t="s">
        <v>8868</v>
      </c>
      <c r="K194">
        <v>13997</v>
      </c>
      <c r="L194">
        <v>13997</v>
      </c>
      <c r="M194" t="s">
        <v>8224</v>
      </c>
      <c r="N194" t="s">
        <v>8225</v>
      </c>
      <c r="O194" s="3">
        <v>0</v>
      </c>
      <c r="P194" s="3">
        <v>0</v>
      </c>
      <c r="Q194" s="3">
        <v>205.76</v>
      </c>
      <c r="R194" s="3">
        <v>26.748799999999999</v>
      </c>
      <c r="S194" s="3">
        <v>0</v>
      </c>
      <c r="T194" s="3">
        <v>0</v>
      </c>
      <c r="U194" s="3">
        <v>232.50879999999998</v>
      </c>
      <c r="W194" t="s">
        <v>1</v>
      </c>
    </row>
    <row r="195" spans="5:23" x14ac:dyDescent="0.25">
      <c r="E195" t="s">
        <v>8611</v>
      </c>
      <c r="F195" s="1" t="s">
        <v>8873</v>
      </c>
      <c r="G195" t="s">
        <v>1</v>
      </c>
      <c r="H195" t="s">
        <v>0</v>
      </c>
      <c r="I195" t="s">
        <v>8869</v>
      </c>
      <c r="J195" t="s">
        <v>8868</v>
      </c>
      <c r="K195">
        <v>13998</v>
      </c>
      <c r="L195">
        <v>13998</v>
      </c>
      <c r="M195" t="s">
        <v>8205</v>
      </c>
      <c r="N195" t="s">
        <v>8206</v>
      </c>
      <c r="O195" s="3">
        <v>0</v>
      </c>
      <c r="P195" s="3">
        <v>0</v>
      </c>
      <c r="Q195" s="3">
        <v>162.25</v>
      </c>
      <c r="R195" s="3">
        <v>21.092500000000001</v>
      </c>
      <c r="S195" s="3">
        <v>0</v>
      </c>
      <c r="T195" s="3">
        <v>0</v>
      </c>
      <c r="U195" s="3">
        <v>183.3425</v>
      </c>
      <c r="W195" t="s">
        <v>1</v>
      </c>
    </row>
    <row r="196" spans="5:23" x14ac:dyDescent="0.25">
      <c r="E196" t="s">
        <v>8611</v>
      </c>
      <c r="F196" s="1" t="s">
        <v>8873</v>
      </c>
      <c r="G196" t="s">
        <v>1</v>
      </c>
      <c r="H196" t="s">
        <v>0</v>
      </c>
      <c r="I196" t="s">
        <v>8869</v>
      </c>
      <c r="J196" t="s">
        <v>8868</v>
      </c>
      <c r="K196">
        <v>13999</v>
      </c>
      <c r="L196">
        <v>13999</v>
      </c>
      <c r="M196" t="s">
        <v>8205</v>
      </c>
      <c r="N196" t="s">
        <v>8206</v>
      </c>
      <c r="O196" s="3">
        <v>0</v>
      </c>
      <c r="P196" s="3">
        <v>0</v>
      </c>
      <c r="Q196" s="3">
        <v>41.35</v>
      </c>
      <c r="R196" s="3">
        <v>5.3755000000000006</v>
      </c>
      <c r="S196" s="3">
        <v>0</v>
      </c>
      <c r="T196" s="3">
        <v>0</v>
      </c>
      <c r="U196" s="3">
        <v>46.725500000000004</v>
      </c>
      <c r="W196" t="s">
        <v>1</v>
      </c>
    </row>
    <row r="197" spans="5:23" x14ac:dyDescent="0.25">
      <c r="E197" t="s">
        <v>8611</v>
      </c>
      <c r="F197" s="1" t="s">
        <v>8873</v>
      </c>
      <c r="G197" t="s">
        <v>1</v>
      </c>
      <c r="H197" t="s">
        <v>0</v>
      </c>
      <c r="I197" t="s">
        <v>8869</v>
      </c>
      <c r="J197" t="s">
        <v>8868</v>
      </c>
      <c r="K197">
        <v>14000</v>
      </c>
      <c r="L197">
        <v>14000</v>
      </c>
      <c r="N197" t="s">
        <v>8219</v>
      </c>
      <c r="O197" s="3">
        <v>0</v>
      </c>
      <c r="P197" s="3">
        <v>0</v>
      </c>
      <c r="Q197" s="3">
        <v>34.9</v>
      </c>
      <c r="R197" s="3">
        <v>4.5369999999999999</v>
      </c>
      <c r="S197" s="3">
        <v>0</v>
      </c>
      <c r="T197" s="3">
        <v>0</v>
      </c>
      <c r="U197" s="3">
        <v>39.436999999999998</v>
      </c>
      <c r="V197" s="3" t="s">
        <v>8636</v>
      </c>
      <c r="W197" t="s">
        <v>1</v>
      </c>
    </row>
    <row r="198" spans="5:23" x14ac:dyDescent="0.25">
      <c r="E198" t="s">
        <v>8611</v>
      </c>
      <c r="F198" s="1" t="s">
        <v>8873</v>
      </c>
      <c r="G198" t="s">
        <v>1</v>
      </c>
      <c r="H198" t="s">
        <v>0</v>
      </c>
      <c r="I198" t="s">
        <v>8869</v>
      </c>
      <c r="J198" t="s">
        <v>8868</v>
      </c>
      <c r="K198">
        <v>1</v>
      </c>
      <c r="L198">
        <v>1</v>
      </c>
      <c r="M198" t="s">
        <v>1062</v>
      </c>
      <c r="N198" t="s">
        <v>1063</v>
      </c>
      <c r="O198" s="3">
        <v>0</v>
      </c>
      <c r="P198" s="3">
        <v>0</v>
      </c>
      <c r="Q198" s="3">
        <v>211.99</v>
      </c>
      <c r="R198" s="3">
        <v>27.558700000000002</v>
      </c>
      <c r="S198" s="3">
        <v>0</v>
      </c>
      <c r="T198" s="3">
        <v>0</v>
      </c>
      <c r="U198" s="3">
        <v>239.5487</v>
      </c>
      <c r="W198" t="s">
        <v>1</v>
      </c>
    </row>
    <row r="199" spans="5:23" x14ac:dyDescent="0.25">
      <c r="E199" t="s">
        <v>8611</v>
      </c>
      <c r="F199" s="1" t="s">
        <v>8873</v>
      </c>
      <c r="G199" t="s">
        <v>1</v>
      </c>
      <c r="H199" t="s">
        <v>0</v>
      </c>
      <c r="I199" t="s">
        <v>8869</v>
      </c>
      <c r="J199" t="s">
        <v>8868</v>
      </c>
      <c r="K199">
        <v>2</v>
      </c>
      <c r="L199">
        <v>2</v>
      </c>
      <c r="M199" t="s">
        <v>807</v>
      </c>
      <c r="N199" t="s">
        <v>808</v>
      </c>
      <c r="O199" s="3">
        <v>0</v>
      </c>
      <c r="P199" s="3">
        <v>0</v>
      </c>
      <c r="Q199" s="3">
        <v>885</v>
      </c>
      <c r="R199" s="3">
        <v>115.05</v>
      </c>
      <c r="S199" s="3">
        <v>0</v>
      </c>
      <c r="T199" s="3">
        <v>0</v>
      </c>
      <c r="U199" s="3">
        <v>1000.05</v>
      </c>
      <c r="W199" t="s">
        <v>1</v>
      </c>
    </row>
    <row r="200" spans="5:23" x14ac:dyDescent="0.25">
      <c r="E200" t="s">
        <v>8611</v>
      </c>
      <c r="F200" s="1" t="s">
        <v>8873</v>
      </c>
      <c r="G200" t="s">
        <v>1</v>
      </c>
      <c r="H200" t="s">
        <v>0</v>
      </c>
      <c r="I200" t="s">
        <v>8869</v>
      </c>
      <c r="J200" t="s">
        <v>8868</v>
      </c>
      <c r="K200">
        <v>3</v>
      </c>
      <c r="L200">
        <v>3</v>
      </c>
      <c r="M200" t="s">
        <v>8255</v>
      </c>
      <c r="N200" t="s">
        <v>8256</v>
      </c>
      <c r="O200" s="3">
        <v>0</v>
      </c>
      <c r="P200" s="3">
        <v>0</v>
      </c>
      <c r="Q200" s="3">
        <v>235.8</v>
      </c>
      <c r="R200" s="3">
        <v>30.654000000000003</v>
      </c>
      <c r="S200" s="3">
        <v>0</v>
      </c>
      <c r="T200" s="3">
        <v>0</v>
      </c>
      <c r="U200" s="3">
        <v>266.45400000000001</v>
      </c>
      <c r="W200" t="s">
        <v>1</v>
      </c>
    </row>
    <row r="201" spans="5:23" x14ac:dyDescent="0.25">
      <c r="E201" t="s">
        <v>8611</v>
      </c>
      <c r="F201" s="1" t="s">
        <v>8873</v>
      </c>
      <c r="G201" t="s">
        <v>1</v>
      </c>
      <c r="H201" t="s">
        <v>0</v>
      </c>
      <c r="I201" t="s">
        <v>8869</v>
      </c>
      <c r="J201" t="s">
        <v>8868</v>
      </c>
      <c r="K201">
        <v>4</v>
      </c>
      <c r="L201">
        <v>4</v>
      </c>
      <c r="M201" t="s">
        <v>8302</v>
      </c>
      <c r="N201" t="s">
        <v>8303</v>
      </c>
      <c r="O201" s="3">
        <v>0</v>
      </c>
      <c r="P201" s="3">
        <v>0</v>
      </c>
      <c r="Q201" s="3">
        <v>154.5</v>
      </c>
      <c r="R201" s="3">
        <v>20.085000000000001</v>
      </c>
      <c r="S201" s="3">
        <v>0</v>
      </c>
      <c r="T201" s="3">
        <v>0</v>
      </c>
      <c r="U201" s="3">
        <v>174.58500000000001</v>
      </c>
      <c r="W201" t="s">
        <v>1</v>
      </c>
    </row>
    <row r="202" spans="5:23" x14ac:dyDescent="0.25">
      <c r="E202" t="s">
        <v>8611</v>
      </c>
      <c r="F202" s="1" t="s">
        <v>8873</v>
      </c>
      <c r="G202" t="s">
        <v>1</v>
      </c>
      <c r="H202" t="s">
        <v>0</v>
      </c>
      <c r="I202" t="s">
        <v>8869</v>
      </c>
      <c r="J202" t="s">
        <v>8868</v>
      </c>
      <c r="K202">
        <v>5</v>
      </c>
      <c r="L202">
        <v>5</v>
      </c>
      <c r="M202" t="s">
        <v>8706</v>
      </c>
      <c r="N202" t="s">
        <v>8707</v>
      </c>
      <c r="O202" s="3">
        <v>0</v>
      </c>
      <c r="P202" s="3">
        <v>0</v>
      </c>
      <c r="Q202" s="3">
        <v>307.5</v>
      </c>
      <c r="R202" s="3">
        <v>39.975000000000001</v>
      </c>
      <c r="S202" s="3">
        <v>0</v>
      </c>
      <c r="T202" s="3">
        <v>0</v>
      </c>
      <c r="U202" s="3">
        <v>347.47500000000002</v>
      </c>
      <c r="W202" t="s">
        <v>1</v>
      </c>
    </row>
    <row r="203" spans="5:23" x14ac:dyDescent="0.25">
      <c r="E203" t="s">
        <v>8611</v>
      </c>
      <c r="F203" s="1" t="s">
        <v>8873</v>
      </c>
      <c r="G203" t="s">
        <v>1</v>
      </c>
      <c r="H203" t="s">
        <v>0</v>
      </c>
      <c r="I203" t="s">
        <v>8869</v>
      </c>
      <c r="J203" t="s">
        <v>8868</v>
      </c>
      <c r="K203">
        <v>6</v>
      </c>
      <c r="L203">
        <v>6</v>
      </c>
      <c r="N203" t="s">
        <v>8219</v>
      </c>
      <c r="O203" s="3">
        <v>0</v>
      </c>
      <c r="P203" s="3">
        <v>0</v>
      </c>
      <c r="Q203" s="3">
        <v>249.78</v>
      </c>
      <c r="R203" s="3">
        <v>32.471400000000003</v>
      </c>
      <c r="S203" s="3">
        <v>0</v>
      </c>
      <c r="T203" s="3">
        <v>0</v>
      </c>
      <c r="U203" s="3">
        <v>282.25139999999999</v>
      </c>
      <c r="V203" s="3" t="s">
        <v>8636</v>
      </c>
      <c r="W203" t="s">
        <v>1</v>
      </c>
    </row>
    <row r="204" spans="5:23" x14ac:dyDescent="0.25">
      <c r="E204" t="s">
        <v>8611</v>
      </c>
      <c r="F204" s="1" t="s">
        <v>8873</v>
      </c>
      <c r="G204" t="s">
        <v>1</v>
      </c>
      <c r="H204" t="s">
        <v>0</v>
      </c>
      <c r="I204" t="s">
        <v>8869</v>
      </c>
      <c r="J204" t="s">
        <v>8868</v>
      </c>
      <c r="K204">
        <v>7</v>
      </c>
      <c r="L204">
        <v>7</v>
      </c>
      <c r="M204" t="s">
        <v>8226</v>
      </c>
      <c r="N204" t="s">
        <v>8227</v>
      </c>
      <c r="O204" s="3">
        <v>0</v>
      </c>
      <c r="P204" s="3">
        <v>0</v>
      </c>
      <c r="Q204" s="3">
        <v>714.66</v>
      </c>
      <c r="R204" s="3">
        <v>92.905799999999999</v>
      </c>
      <c r="S204" s="3">
        <v>0</v>
      </c>
      <c r="T204" s="3">
        <v>0</v>
      </c>
      <c r="U204" s="3">
        <v>807.56579999999997</v>
      </c>
      <c r="W204" t="s">
        <v>1</v>
      </c>
    </row>
    <row r="205" spans="5:23" hidden="1" x14ac:dyDescent="0.25">
      <c r="E205" t="s">
        <v>8611</v>
      </c>
      <c r="F205" s="1" t="s">
        <v>8873</v>
      </c>
      <c r="G205" t="s">
        <v>1</v>
      </c>
      <c r="H205" t="s">
        <v>0</v>
      </c>
      <c r="I205" t="s">
        <v>8869</v>
      </c>
      <c r="J205" t="s">
        <v>8868</v>
      </c>
      <c r="K205">
        <v>8</v>
      </c>
      <c r="L205">
        <v>8</v>
      </c>
      <c r="M205" t="s">
        <v>7852</v>
      </c>
      <c r="N205" t="s">
        <v>7851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t="s">
        <v>1</v>
      </c>
    </row>
    <row r="206" spans="5:23" x14ac:dyDescent="0.25">
      <c r="E206" t="s">
        <v>8611</v>
      </c>
      <c r="F206" s="1" t="s">
        <v>8873</v>
      </c>
      <c r="G206" t="s">
        <v>1</v>
      </c>
      <c r="H206" t="s">
        <v>0</v>
      </c>
      <c r="I206" t="s">
        <v>8869</v>
      </c>
      <c r="J206" t="s">
        <v>8868</v>
      </c>
      <c r="K206">
        <v>9</v>
      </c>
      <c r="L206">
        <v>9</v>
      </c>
      <c r="M206" t="s">
        <v>8018</v>
      </c>
      <c r="N206" t="s">
        <v>8019</v>
      </c>
      <c r="O206" s="3">
        <v>0</v>
      </c>
      <c r="P206" s="3">
        <v>0</v>
      </c>
      <c r="Q206" s="3">
        <v>67.97</v>
      </c>
      <c r="R206" s="3">
        <v>8.8361000000000001</v>
      </c>
      <c r="S206" s="3">
        <v>0</v>
      </c>
      <c r="T206" s="3">
        <v>0</v>
      </c>
      <c r="U206" s="3">
        <v>76.806100000000001</v>
      </c>
      <c r="W206" t="s">
        <v>1</v>
      </c>
    </row>
    <row r="207" spans="5:23" x14ac:dyDescent="0.25">
      <c r="E207" t="s">
        <v>8611</v>
      </c>
      <c r="F207" s="1" t="s">
        <v>8873</v>
      </c>
      <c r="G207" t="s">
        <v>1</v>
      </c>
      <c r="H207" t="s">
        <v>0</v>
      </c>
      <c r="I207" t="s">
        <v>8869</v>
      </c>
      <c r="J207" t="s">
        <v>8868</v>
      </c>
      <c r="K207">
        <v>10</v>
      </c>
      <c r="L207">
        <v>10</v>
      </c>
      <c r="M207" t="s">
        <v>8018</v>
      </c>
      <c r="N207" t="s">
        <v>8019</v>
      </c>
      <c r="O207" s="3">
        <v>0</v>
      </c>
      <c r="P207" s="3">
        <v>0</v>
      </c>
      <c r="Q207" s="3">
        <v>11.9</v>
      </c>
      <c r="R207" s="3">
        <v>1.5470000000000002</v>
      </c>
      <c r="S207" s="3">
        <v>0</v>
      </c>
      <c r="T207" s="3">
        <v>0</v>
      </c>
      <c r="U207" s="3">
        <v>13.447000000000001</v>
      </c>
      <c r="W207" t="s">
        <v>1</v>
      </c>
    </row>
    <row r="208" spans="5:23" x14ac:dyDescent="0.25">
      <c r="E208" t="s">
        <v>8611</v>
      </c>
      <c r="F208" s="1" t="s">
        <v>8873</v>
      </c>
      <c r="G208" t="s">
        <v>1</v>
      </c>
      <c r="H208" t="s">
        <v>0</v>
      </c>
      <c r="I208" t="s">
        <v>8869</v>
      </c>
      <c r="J208" t="s">
        <v>8868</v>
      </c>
      <c r="K208">
        <v>11</v>
      </c>
      <c r="L208">
        <v>11</v>
      </c>
      <c r="N208" t="s">
        <v>8796</v>
      </c>
      <c r="O208" s="3">
        <v>0</v>
      </c>
      <c r="P208" s="3">
        <v>0</v>
      </c>
      <c r="Q208" s="3">
        <v>109.55</v>
      </c>
      <c r="R208" s="3">
        <v>14.2415</v>
      </c>
      <c r="S208" s="3">
        <v>0</v>
      </c>
      <c r="T208" s="3">
        <v>0</v>
      </c>
      <c r="U208" s="3">
        <v>123.7915</v>
      </c>
      <c r="V208" s="3" t="s">
        <v>8795</v>
      </c>
      <c r="W208" t="s">
        <v>1</v>
      </c>
    </row>
    <row r="209" spans="5:23" x14ac:dyDescent="0.25">
      <c r="E209" t="s">
        <v>8611</v>
      </c>
      <c r="F209" s="1" t="s">
        <v>8873</v>
      </c>
      <c r="G209" t="s">
        <v>1</v>
      </c>
      <c r="H209" t="s">
        <v>0</v>
      </c>
      <c r="I209" t="s">
        <v>8869</v>
      </c>
      <c r="J209" t="s">
        <v>8868</v>
      </c>
      <c r="K209">
        <v>12</v>
      </c>
      <c r="L209">
        <v>12</v>
      </c>
      <c r="M209" t="s">
        <v>8738</v>
      </c>
      <c r="N209" t="s">
        <v>8739</v>
      </c>
      <c r="O209" s="3">
        <v>0</v>
      </c>
      <c r="P209" s="3">
        <v>0</v>
      </c>
      <c r="Q209" s="3">
        <v>192.2</v>
      </c>
      <c r="R209" s="3">
        <v>24.986000000000001</v>
      </c>
      <c r="S209" s="3">
        <v>0</v>
      </c>
      <c r="T209" s="3">
        <v>0</v>
      </c>
      <c r="U209" s="3">
        <v>217.18599999999998</v>
      </c>
      <c r="W209" t="s">
        <v>1</v>
      </c>
    </row>
    <row r="210" spans="5:23" x14ac:dyDescent="0.25">
      <c r="E210" t="s">
        <v>8611</v>
      </c>
      <c r="F210" s="1" t="s">
        <v>8872</v>
      </c>
      <c r="G210" t="s">
        <v>1</v>
      </c>
      <c r="H210" t="s">
        <v>0</v>
      </c>
      <c r="I210" t="s">
        <v>8869</v>
      </c>
      <c r="J210" t="s">
        <v>8868</v>
      </c>
      <c r="K210">
        <v>13</v>
      </c>
      <c r="L210">
        <v>13</v>
      </c>
      <c r="N210" t="s">
        <v>8208</v>
      </c>
      <c r="O210" s="3">
        <v>0</v>
      </c>
      <c r="P210" s="3">
        <v>0</v>
      </c>
      <c r="Q210" s="3">
        <v>87.98</v>
      </c>
      <c r="R210" s="3">
        <v>11.4374</v>
      </c>
      <c r="S210" s="3">
        <v>0</v>
      </c>
      <c r="T210" s="3">
        <v>0</v>
      </c>
      <c r="U210" s="3">
        <v>99.417400000000001</v>
      </c>
      <c r="V210" s="3" t="s">
        <v>8650</v>
      </c>
      <c r="W210" t="s">
        <v>1</v>
      </c>
    </row>
    <row r="211" spans="5:23" x14ac:dyDescent="0.25">
      <c r="E211" t="s">
        <v>8611</v>
      </c>
      <c r="F211" s="1" t="s">
        <v>8872</v>
      </c>
      <c r="G211" t="s">
        <v>1</v>
      </c>
      <c r="H211" t="s">
        <v>0</v>
      </c>
      <c r="I211" t="s">
        <v>8869</v>
      </c>
      <c r="J211" t="s">
        <v>8868</v>
      </c>
      <c r="K211">
        <v>14</v>
      </c>
      <c r="L211">
        <v>14</v>
      </c>
      <c r="M211" t="s">
        <v>8648</v>
      </c>
      <c r="N211" t="s">
        <v>8649</v>
      </c>
      <c r="O211" s="3">
        <v>0</v>
      </c>
      <c r="P211" s="3">
        <v>0</v>
      </c>
      <c r="Q211" s="3">
        <v>261</v>
      </c>
      <c r="R211" s="3">
        <v>33.93</v>
      </c>
      <c r="S211" s="3">
        <v>0</v>
      </c>
      <c r="T211" s="3">
        <v>0</v>
      </c>
      <c r="U211" s="3">
        <v>294.93</v>
      </c>
      <c r="W211" t="s">
        <v>1</v>
      </c>
    </row>
    <row r="212" spans="5:23" x14ac:dyDescent="0.25">
      <c r="E212" t="s">
        <v>8611</v>
      </c>
      <c r="F212" s="1" t="s">
        <v>8872</v>
      </c>
      <c r="G212" t="s">
        <v>1</v>
      </c>
      <c r="H212" t="s">
        <v>0</v>
      </c>
      <c r="I212" t="s">
        <v>8869</v>
      </c>
      <c r="J212" t="s">
        <v>8868</v>
      </c>
      <c r="K212">
        <v>15</v>
      </c>
      <c r="L212">
        <v>15</v>
      </c>
      <c r="M212" t="s">
        <v>8285</v>
      </c>
      <c r="N212" t="s">
        <v>8286</v>
      </c>
      <c r="O212" s="3">
        <v>0</v>
      </c>
      <c r="P212" s="3">
        <v>0</v>
      </c>
      <c r="Q212" s="3">
        <v>196.06</v>
      </c>
      <c r="R212" s="3">
        <v>25.4878</v>
      </c>
      <c r="S212" s="3">
        <v>0</v>
      </c>
      <c r="T212" s="3">
        <v>0</v>
      </c>
      <c r="U212" s="3">
        <v>221.5478</v>
      </c>
      <c r="W212" t="s">
        <v>1</v>
      </c>
    </row>
    <row r="213" spans="5:23" hidden="1" x14ac:dyDescent="0.25">
      <c r="E213" t="s">
        <v>8611</v>
      </c>
      <c r="F213" s="1" t="s">
        <v>8872</v>
      </c>
      <c r="G213" t="s">
        <v>1</v>
      </c>
      <c r="H213" t="s">
        <v>0</v>
      </c>
      <c r="I213" t="s">
        <v>8869</v>
      </c>
      <c r="J213" t="s">
        <v>8868</v>
      </c>
      <c r="K213">
        <v>16</v>
      </c>
      <c r="L213">
        <v>16</v>
      </c>
      <c r="M213" t="s">
        <v>7852</v>
      </c>
      <c r="N213" t="s">
        <v>7851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t="s">
        <v>1</v>
      </c>
    </row>
    <row r="214" spans="5:23" x14ac:dyDescent="0.25">
      <c r="E214" t="s">
        <v>8611</v>
      </c>
      <c r="F214" s="1" t="s">
        <v>8872</v>
      </c>
      <c r="G214" t="s">
        <v>1</v>
      </c>
      <c r="H214" t="s">
        <v>0</v>
      </c>
      <c r="I214" t="s">
        <v>8869</v>
      </c>
      <c r="J214" t="s">
        <v>8868</v>
      </c>
      <c r="K214">
        <v>17</v>
      </c>
      <c r="L214">
        <v>17</v>
      </c>
      <c r="M214" t="s">
        <v>8418</v>
      </c>
      <c r="N214" t="s">
        <v>8419</v>
      </c>
      <c r="O214" s="3">
        <v>0</v>
      </c>
      <c r="P214" s="3">
        <v>0</v>
      </c>
      <c r="Q214" s="3">
        <v>121.03</v>
      </c>
      <c r="R214" s="3">
        <v>15.7339</v>
      </c>
      <c r="S214" s="3">
        <v>0</v>
      </c>
      <c r="T214" s="3">
        <v>0</v>
      </c>
      <c r="U214" s="3">
        <v>136.76390000000001</v>
      </c>
      <c r="W214" t="s">
        <v>1</v>
      </c>
    </row>
    <row r="215" spans="5:23" x14ac:dyDescent="0.25">
      <c r="E215" t="s">
        <v>8611</v>
      </c>
      <c r="F215" s="1" t="s">
        <v>8872</v>
      </c>
      <c r="G215" t="s">
        <v>1</v>
      </c>
      <c r="H215" t="s">
        <v>0</v>
      </c>
      <c r="I215" t="s">
        <v>8869</v>
      </c>
      <c r="J215" t="s">
        <v>8868</v>
      </c>
      <c r="K215">
        <v>18</v>
      </c>
      <c r="L215">
        <v>18</v>
      </c>
      <c r="M215" t="s">
        <v>8418</v>
      </c>
      <c r="N215" t="s">
        <v>8419</v>
      </c>
      <c r="O215" s="3">
        <v>0</v>
      </c>
      <c r="P215" s="3">
        <v>0</v>
      </c>
      <c r="Q215" s="3">
        <v>90</v>
      </c>
      <c r="R215" s="3">
        <v>11.700000000000001</v>
      </c>
      <c r="S215" s="3">
        <v>0</v>
      </c>
      <c r="T215" s="3">
        <v>0</v>
      </c>
      <c r="U215" s="3">
        <v>101.7</v>
      </c>
      <c r="W215" t="s">
        <v>1</v>
      </c>
    </row>
    <row r="216" spans="5:23" x14ac:dyDescent="0.25">
      <c r="E216" t="s">
        <v>8611</v>
      </c>
      <c r="F216" s="1" t="s">
        <v>8872</v>
      </c>
      <c r="G216" t="s">
        <v>1</v>
      </c>
      <c r="H216" t="s">
        <v>0</v>
      </c>
      <c r="I216" t="s">
        <v>8869</v>
      </c>
      <c r="J216" t="s">
        <v>8868</v>
      </c>
      <c r="K216">
        <v>19</v>
      </c>
      <c r="L216">
        <v>19</v>
      </c>
      <c r="M216" t="s">
        <v>4266</v>
      </c>
      <c r="N216" t="s">
        <v>4267</v>
      </c>
      <c r="O216" s="3">
        <v>0</v>
      </c>
      <c r="P216" s="3">
        <v>0</v>
      </c>
      <c r="Q216" s="3">
        <v>61.5</v>
      </c>
      <c r="R216" s="3">
        <v>7.9950000000000001</v>
      </c>
      <c r="S216" s="3">
        <v>0</v>
      </c>
      <c r="T216" s="3">
        <v>0</v>
      </c>
      <c r="U216" s="3">
        <v>69.495000000000005</v>
      </c>
      <c r="W216" t="s">
        <v>1</v>
      </c>
    </row>
    <row r="217" spans="5:23" x14ac:dyDescent="0.25">
      <c r="E217" t="s">
        <v>8611</v>
      </c>
      <c r="F217" s="1" t="s">
        <v>8872</v>
      </c>
      <c r="G217" t="s">
        <v>1</v>
      </c>
      <c r="H217" t="s">
        <v>0</v>
      </c>
      <c r="I217" t="s">
        <v>8869</v>
      </c>
      <c r="J217" t="s">
        <v>8868</v>
      </c>
      <c r="K217">
        <v>20</v>
      </c>
      <c r="L217">
        <v>20</v>
      </c>
      <c r="M217" t="s">
        <v>4266</v>
      </c>
      <c r="N217" t="s">
        <v>4267</v>
      </c>
      <c r="O217" s="3">
        <v>0</v>
      </c>
      <c r="P217" s="3">
        <v>0</v>
      </c>
      <c r="Q217" s="3">
        <v>126.08</v>
      </c>
      <c r="R217" s="3">
        <v>16.3904</v>
      </c>
      <c r="S217" s="3">
        <v>0</v>
      </c>
      <c r="T217" s="3">
        <v>0</v>
      </c>
      <c r="U217" s="3">
        <v>142.47039999999998</v>
      </c>
      <c r="W217" t="s">
        <v>1</v>
      </c>
    </row>
    <row r="218" spans="5:23" x14ac:dyDescent="0.25">
      <c r="E218" t="s">
        <v>8611</v>
      </c>
      <c r="F218" s="1" t="s">
        <v>8872</v>
      </c>
      <c r="G218" t="s">
        <v>1</v>
      </c>
      <c r="H218" t="s">
        <v>0</v>
      </c>
      <c r="I218" t="s">
        <v>8869</v>
      </c>
      <c r="J218" t="s">
        <v>8868</v>
      </c>
      <c r="K218">
        <v>21</v>
      </c>
      <c r="L218">
        <v>21</v>
      </c>
      <c r="M218" t="s">
        <v>4266</v>
      </c>
      <c r="N218" t="s">
        <v>4267</v>
      </c>
      <c r="O218" s="3">
        <v>0</v>
      </c>
      <c r="P218" s="3">
        <v>0</v>
      </c>
      <c r="Q218" s="3">
        <v>640.38</v>
      </c>
      <c r="R218" s="3">
        <v>83.249400000000009</v>
      </c>
      <c r="S218" s="3">
        <v>0</v>
      </c>
      <c r="T218" s="3">
        <v>0</v>
      </c>
      <c r="U218" s="3">
        <v>723.62940000000003</v>
      </c>
      <c r="W218" t="s">
        <v>1</v>
      </c>
    </row>
    <row r="219" spans="5:23" x14ac:dyDescent="0.25">
      <c r="E219" t="s">
        <v>8611</v>
      </c>
      <c r="F219" s="1" t="s">
        <v>8872</v>
      </c>
      <c r="G219" t="s">
        <v>1</v>
      </c>
      <c r="H219" t="s">
        <v>0</v>
      </c>
      <c r="I219" t="s">
        <v>8869</v>
      </c>
      <c r="J219" t="s">
        <v>8868</v>
      </c>
      <c r="K219">
        <v>22</v>
      </c>
      <c r="L219">
        <v>22</v>
      </c>
      <c r="M219" t="s">
        <v>238</v>
      </c>
      <c r="N219" t="s">
        <v>239</v>
      </c>
      <c r="O219" s="3">
        <v>0</v>
      </c>
      <c r="P219" s="3">
        <v>0</v>
      </c>
      <c r="Q219" s="3">
        <v>75.599999999999994</v>
      </c>
      <c r="R219" s="3">
        <v>9.8279999999999994</v>
      </c>
      <c r="S219" s="3">
        <v>0</v>
      </c>
      <c r="T219" s="3">
        <v>0</v>
      </c>
      <c r="U219" s="3">
        <v>85.427999999999997</v>
      </c>
      <c r="W219" t="s">
        <v>1</v>
      </c>
    </row>
    <row r="220" spans="5:23" x14ac:dyDescent="0.25">
      <c r="E220" t="s">
        <v>8611</v>
      </c>
      <c r="F220" s="1" t="s">
        <v>8872</v>
      </c>
      <c r="G220" t="s">
        <v>1</v>
      </c>
      <c r="H220" t="s">
        <v>0</v>
      </c>
      <c r="I220" t="s">
        <v>8869</v>
      </c>
      <c r="J220" t="s">
        <v>8868</v>
      </c>
      <c r="K220">
        <v>23</v>
      </c>
      <c r="L220">
        <v>23</v>
      </c>
      <c r="M220" t="s">
        <v>8652</v>
      </c>
      <c r="N220" t="s">
        <v>8653</v>
      </c>
      <c r="O220" s="3">
        <v>0</v>
      </c>
      <c r="P220" s="3">
        <v>0</v>
      </c>
      <c r="Q220" s="3">
        <v>159.29</v>
      </c>
      <c r="R220" s="3">
        <v>20.707699999999999</v>
      </c>
      <c r="S220" s="3">
        <v>0</v>
      </c>
      <c r="T220" s="3">
        <v>0</v>
      </c>
      <c r="U220" s="3">
        <v>179.99769999999998</v>
      </c>
      <c r="W220" t="s">
        <v>1</v>
      </c>
    </row>
    <row r="221" spans="5:23" x14ac:dyDescent="0.25">
      <c r="E221" t="s">
        <v>8611</v>
      </c>
      <c r="F221" s="1" t="s">
        <v>8872</v>
      </c>
      <c r="G221" t="s">
        <v>1</v>
      </c>
      <c r="H221" t="s">
        <v>0</v>
      </c>
      <c r="I221" t="s">
        <v>8869</v>
      </c>
      <c r="J221" t="s">
        <v>8868</v>
      </c>
      <c r="K221">
        <v>24</v>
      </c>
      <c r="L221">
        <v>24</v>
      </c>
      <c r="M221" t="s">
        <v>8269</v>
      </c>
      <c r="N221" t="s">
        <v>8270</v>
      </c>
      <c r="O221" s="3">
        <v>0</v>
      </c>
      <c r="P221" s="3">
        <v>0</v>
      </c>
      <c r="Q221" s="3">
        <v>600</v>
      </c>
      <c r="R221" s="3">
        <v>78</v>
      </c>
      <c r="S221" s="3">
        <v>0</v>
      </c>
      <c r="T221" s="3">
        <v>0</v>
      </c>
      <c r="U221" s="3">
        <v>678</v>
      </c>
      <c r="W221" t="s">
        <v>1</v>
      </c>
    </row>
    <row r="222" spans="5:23" x14ac:dyDescent="0.25">
      <c r="E222" t="s">
        <v>8611</v>
      </c>
      <c r="F222" s="1" t="s">
        <v>8871</v>
      </c>
      <c r="G222" t="s">
        <v>1</v>
      </c>
      <c r="H222" t="s">
        <v>0</v>
      </c>
      <c r="I222" t="s">
        <v>8869</v>
      </c>
      <c r="J222" t="s">
        <v>8868</v>
      </c>
      <c r="K222">
        <v>25</v>
      </c>
      <c r="L222">
        <v>25</v>
      </c>
      <c r="M222" t="s">
        <v>8269</v>
      </c>
      <c r="N222" t="s">
        <v>8270</v>
      </c>
      <c r="O222" s="3">
        <v>0</v>
      </c>
      <c r="P222" s="3">
        <v>0</v>
      </c>
      <c r="Q222" s="3">
        <v>60</v>
      </c>
      <c r="R222" s="3">
        <v>7.8000000000000007</v>
      </c>
      <c r="S222" s="3">
        <v>0</v>
      </c>
      <c r="T222" s="3">
        <v>0</v>
      </c>
      <c r="U222" s="3">
        <v>67.8</v>
      </c>
      <c r="W222" t="s">
        <v>1</v>
      </c>
    </row>
    <row r="223" spans="5:23" x14ac:dyDescent="0.25">
      <c r="E223" t="s">
        <v>8611</v>
      </c>
      <c r="F223" s="1" t="s">
        <v>8871</v>
      </c>
      <c r="G223" t="s">
        <v>1</v>
      </c>
      <c r="H223" t="s">
        <v>0</v>
      </c>
      <c r="I223" t="s">
        <v>8869</v>
      </c>
      <c r="J223" t="s">
        <v>8868</v>
      </c>
      <c r="K223">
        <v>26</v>
      </c>
      <c r="L223">
        <v>26</v>
      </c>
      <c r="M223" t="s">
        <v>115</v>
      </c>
      <c r="N223" t="s">
        <v>116</v>
      </c>
      <c r="O223" s="3">
        <v>0</v>
      </c>
      <c r="P223" s="3">
        <v>0</v>
      </c>
      <c r="Q223" s="3">
        <v>221.4</v>
      </c>
      <c r="R223" s="3">
        <v>28.782</v>
      </c>
      <c r="S223" s="3">
        <v>0</v>
      </c>
      <c r="T223" s="3">
        <v>0</v>
      </c>
      <c r="U223" s="3">
        <v>250.18200000000002</v>
      </c>
      <c r="W223" t="s">
        <v>1</v>
      </c>
    </row>
    <row r="224" spans="5:23" x14ac:dyDescent="0.25">
      <c r="E224" t="s">
        <v>8611</v>
      </c>
      <c r="F224" s="1" t="s">
        <v>8871</v>
      </c>
      <c r="G224" t="s">
        <v>1</v>
      </c>
      <c r="H224" t="s">
        <v>0</v>
      </c>
      <c r="I224" t="s">
        <v>8869</v>
      </c>
      <c r="J224" t="s">
        <v>8868</v>
      </c>
      <c r="K224">
        <v>27</v>
      </c>
      <c r="L224">
        <v>27</v>
      </c>
      <c r="M224" t="s">
        <v>115</v>
      </c>
      <c r="N224" t="s">
        <v>116</v>
      </c>
      <c r="O224" s="3">
        <v>0</v>
      </c>
      <c r="P224" s="3">
        <v>0</v>
      </c>
      <c r="Q224" s="3">
        <v>76.8</v>
      </c>
      <c r="R224" s="3">
        <v>9.984</v>
      </c>
      <c r="S224" s="3">
        <v>0</v>
      </c>
      <c r="T224" s="3">
        <v>0</v>
      </c>
      <c r="U224" s="3">
        <v>86.783999999999992</v>
      </c>
      <c r="W224" t="s">
        <v>1</v>
      </c>
    </row>
    <row r="225" spans="5:23" x14ac:dyDescent="0.25">
      <c r="E225" t="s">
        <v>8611</v>
      </c>
      <c r="F225" s="1" t="s">
        <v>8871</v>
      </c>
      <c r="G225" t="s">
        <v>1</v>
      </c>
      <c r="H225" t="s">
        <v>0</v>
      </c>
      <c r="I225" t="s">
        <v>8869</v>
      </c>
      <c r="J225" t="s">
        <v>8868</v>
      </c>
      <c r="K225">
        <v>28</v>
      </c>
      <c r="L225">
        <v>28</v>
      </c>
      <c r="M225" t="s">
        <v>8296</v>
      </c>
      <c r="N225" t="s">
        <v>8297</v>
      </c>
      <c r="O225" s="3">
        <v>0</v>
      </c>
      <c r="P225" s="3">
        <v>0</v>
      </c>
      <c r="Q225" s="3">
        <v>66.37</v>
      </c>
      <c r="R225" s="3">
        <v>8.6281000000000017</v>
      </c>
      <c r="S225" s="3">
        <v>0</v>
      </c>
      <c r="T225" s="3">
        <v>0</v>
      </c>
      <c r="U225" s="3">
        <v>74.998100000000008</v>
      </c>
      <c r="W225" t="s">
        <v>1</v>
      </c>
    </row>
    <row r="226" spans="5:23" x14ac:dyDescent="0.25">
      <c r="E226" t="s">
        <v>8611</v>
      </c>
      <c r="F226" s="1" t="s">
        <v>8871</v>
      </c>
      <c r="G226" t="s">
        <v>1</v>
      </c>
      <c r="H226" t="s">
        <v>0</v>
      </c>
      <c r="I226" t="s">
        <v>8869</v>
      </c>
      <c r="J226" t="s">
        <v>8868</v>
      </c>
      <c r="K226">
        <v>29</v>
      </c>
      <c r="L226">
        <v>29</v>
      </c>
      <c r="M226" t="s">
        <v>8296</v>
      </c>
      <c r="N226" t="s">
        <v>8297</v>
      </c>
      <c r="O226" s="3">
        <v>0</v>
      </c>
      <c r="P226" s="3">
        <v>0</v>
      </c>
      <c r="Q226" s="3">
        <v>48.67</v>
      </c>
      <c r="R226" s="3">
        <v>6.3271000000000006</v>
      </c>
      <c r="S226" s="3">
        <v>0</v>
      </c>
      <c r="T226" s="3">
        <v>0</v>
      </c>
      <c r="U226" s="3">
        <v>54.997100000000003</v>
      </c>
      <c r="W226" t="s">
        <v>1</v>
      </c>
    </row>
    <row r="227" spans="5:23" hidden="1" x14ac:dyDescent="0.25">
      <c r="E227" t="s">
        <v>8611</v>
      </c>
      <c r="F227" s="1" t="s">
        <v>8871</v>
      </c>
      <c r="G227" t="s">
        <v>1</v>
      </c>
      <c r="H227" t="s">
        <v>0</v>
      </c>
      <c r="I227" t="s">
        <v>8869</v>
      </c>
      <c r="J227" t="s">
        <v>8868</v>
      </c>
      <c r="K227">
        <v>30</v>
      </c>
      <c r="L227">
        <v>30</v>
      </c>
      <c r="M227" t="s">
        <v>7852</v>
      </c>
      <c r="N227" t="s">
        <v>7851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t="s">
        <v>1</v>
      </c>
    </row>
    <row r="228" spans="5:23" x14ac:dyDescent="0.25">
      <c r="E228" t="s">
        <v>8611</v>
      </c>
      <c r="F228" s="1" t="s">
        <v>8871</v>
      </c>
      <c r="G228" t="s">
        <v>1</v>
      </c>
      <c r="H228" t="s">
        <v>0</v>
      </c>
      <c r="I228" t="s">
        <v>8869</v>
      </c>
      <c r="J228" t="s">
        <v>8868</v>
      </c>
      <c r="K228">
        <v>31</v>
      </c>
      <c r="L228">
        <v>31</v>
      </c>
      <c r="M228" t="s">
        <v>164</v>
      </c>
      <c r="N228" t="s">
        <v>165</v>
      </c>
      <c r="O228" s="3">
        <v>0</v>
      </c>
      <c r="P228" s="3">
        <v>0</v>
      </c>
      <c r="Q228" s="3">
        <v>59.84</v>
      </c>
      <c r="R228" s="3">
        <v>7.7792000000000003</v>
      </c>
      <c r="S228" s="3">
        <v>0</v>
      </c>
      <c r="T228" s="3">
        <v>0</v>
      </c>
      <c r="U228" s="3">
        <v>67.619200000000006</v>
      </c>
      <c r="W228" t="s">
        <v>1</v>
      </c>
    </row>
    <row r="229" spans="5:23" x14ac:dyDescent="0.25">
      <c r="E229" t="s">
        <v>8611</v>
      </c>
      <c r="F229" s="1" t="s">
        <v>8871</v>
      </c>
      <c r="G229" t="s">
        <v>1</v>
      </c>
      <c r="H229" t="s">
        <v>0</v>
      </c>
      <c r="I229" t="s">
        <v>8869</v>
      </c>
      <c r="J229" t="s">
        <v>8868</v>
      </c>
      <c r="K229">
        <v>32</v>
      </c>
      <c r="L229">
        <v>32</v>
      </c>
      <c r="M229" t="s">
        <v>8243</v>
      </c>
      <c r="N229" t="s">
        <v>8244</v>
      </c>
      <c r="O229" s="3">
        <v>0</v>
      </c>
      <c r="P229" s="3">
        <v>0</v>
      </c>
      <c r="Q229" s="3">
        <v>28.84</v>
      </c>
      <c r="R229" s="3">
        <v>3.7492000000000001</v>
      </c>
      <c r="S229" s="3">
        <v>0</v>
      </c>
      <c r="T229" s="3">
        <v>0</v>
      </c>
      <c r="U229" s="3">
        <v>32.589199999999998</v>
      </c>
      <c r="W229" t="s">
        <v>1</v>
      </c>
    </row>
    <row r="230" spans="5:23" x14ac:dyDescent="0.25">
      <c r="E230" t="s">
        <v>8611</v>
      </c>
      <c r="F230" s="1" t="s">
        <v>8871</v>
      </c>
      <c r="G230" t="s">
        <v>1</v>
      </c>
      <c r="H230" t="s">
        <v>0</v>
      </c>
      <c r="I230" t="s">
        <v>8869</v>
      </c>
      <c r="J230" t="s">
        <v>8868</v>
      </c>
      <c r="K230">
        <v>33</v>
      </c>
      <c r="L230">
        <v>33</v>
      </c>
      <c r="M230" t="s">
        <v>8391</v>
      </c>
      <c r="N230" t="s">
        <v>8392</v>
      </c>
      <c r="O230" s="3">
        <v>0</v>
      </c>
      <c r="P230" s="3">
        <v>0</v>
      </c>
      <c r="Q230" s="3">
        <v>123.01</v>
      </c>
      <c r="R230" s="3">
        <v>15.991300000000001</v>
      </c>
      <c r="S230" s="3">
        <v>0</v>
      </c>
      <c r="T230" s="3">
        <v>0</v>
      </c>
      <c r="U230" s="3">
        <v>139.00130000000001</v>
      </c>
      <c r="W230" t="s">
        <v>1</v>
      </c>
    </row>
    <row r="231" spans="5:23" x14ac:dyDescent="0.25">
      <c r="E231" t="s">
        <v>8611</v>
      </c>
      <c r="F231" s="1" t="s">
        <v>8871</v>
      </c>
      <c r="G231" t="s">
        <v>1</v>
      </c>
      <c r="H231" t="s">
        <v>0</v>
      </c>
      <c r="I231" t="s">
        <v>8869</v>
      </c>
      <c r="J231" t="s">
        <v>8868</v>
      </c>
      <c r="K231">
        <v>34</v>
      </c>
      <c r="L231">
        <v>34</v>
      </c>
      <c r="M231" t="s">
        <v>8660</v>
      </c>
      <c r="N231" t="s">
        <v>8661</v>
      </c>
      <c r="O231" s="3">
        <v>0</v>
      </c>
      <c r="P231" s="3">
        <v>0</v>
      </c>
      <c r="Q231" s="3">
        <v>37.17</v>
      </c>
      <c r="R231" s="3">
        <v>4.8321000000000005</v>
      </c>
      <c r="S231" s="3">
        <v>0</v>
      </c>
      <c r="T231" s="3">
        <v>0</v>
      </c>
      <c r="U231" s="3">
        <v>42.002099999999999</v>
      </c>
      <c r="W231" t="s">
        <v>1</v>
      </c>
    </row>
    <row r="232" spans="5:23" x14ac:dyDescent="0.25">
      <c r="E232" t="s">
        <v>8611</v>
      </c>
      <c r="F232" s="1" t="s">
        <v>8871</v>
      </c>
      <c r="G232" t="s">
        <v>1</v>
      </c>
      <c r="H232" t="s">
        <v>0</v>
      </c>
      <c r="I232" t="s">
        <v>8869</v>
      </c>
      <c r="J232" t="s">
        <v>8868</v>
      </c>
      <c r="K232">
        <v>35</v>
      </c>
      <c r="L232">
        <v>35</v>
      </c>
      <c r="N232" t="s">
        <v>8208</v>
      </c>
      <c r="O232" s="3">
        <v>0</v>
      </c>
      <c r="P232" s="3">
        <v>0</v>
      </c>
      <c r="Q232" s="3">
        <v>47.91</v>
      </c>
      <c r="R232" s="3">
        <v>6.2282999999999999</v>
      </c>
      <c r="S232" s="3">
        <v>0</v>
      </c>
      <c r="T232" s="3">
        <v>0</v>
      </c>
      <c r="U232" s="3">
        <v>54.138299999999994</v>
      </c>
      <c r="V232" s="3" t="s">
        <v>8650</v>
      </c>
      <c r="W232" t="s">
        <v>1</v>
      </c>
    </row>
    <row r="233" spans="5:23" x14ac:dyDescent="0.25">
      <c r="E233" t="s">
        <v>8611</v>
      </c>
      <c r="F233" s="1" t="s">
        <v>8871</v>
      </c>
      <c r="G233" t="s">
        <v>1</v>
      </c>
      <c r="H233" t="s">
        <v>0</v>
      </c>
      <c r="I233" t="s">
        <v>8869</v>
      </c>
      <c r="J233" t="s">
        <v>8868</v>
      </c>
      <c r="K233">
        <v>36</v>
      </c>
      <c r="L233">
        <v>36</v>
      </c>
      <c r="M233" t="s">
        <v>8241</v>
      </c>
      <c r="N233" t="s">
        <v>8242</v>
      </c>
      <c r="O233" s="3">
        <v>0</v>
      </c>
      <c r="P233" s="3">
        <v>0</v>
      </c>
      <c r="Q233" s="3">
        <v>202.02</v>
      </c>
      <c r="R233" s="3">
        <v>26.262600000000003</v>
      </c>
      <c r="S233" s="3">
        <v>0</v>
      </c>
      <c r="T233" s="3">
        <v>0</v>
      </c>
      <c r="U233" s="3">
        <v>228.2826</v>
      </c>
      <c r="W233" t="s">
        <v>1</v>
      </c>
    </row>
    <row r="234" spans="5:23" x14ac:dyDescent="0.25">
      <c r="E234" t="s">
        <v>8611</v>
      </c>
      <c r="F234" s="1" t="s">
        <v>8871</v>
      </c>
      <c r="G234" t="s">
        <v>1</v>
      </c>
      <c r="H234" t="s">
        <v>0</v>
      </c>
      <c r="I234" t="s">
        <v>8869</v>
      </c>
      <c r="J234" t="s">
        <v>8868</v>
      </c>
      <c r="K234">
        <v>37</v>
      </c>
      <c r="L234">
        <v>37</v>
      </c>
      <c r="M234" t="s">
        <v>734</v>
      </c>
      <c r="N234" t="s">
        <v>735</v>
      </c>
      <c r="O234" s="3">
        <v>0</v>
      </c>
      <c r="P234" s="3">
        <v>0</v>
      </c>
      <c r="Q234" s="3">
        <v>802.81</v>
      </c>
      <c r="R234" s="3">
        <v>104.36529999999999</v>
      </c>
      <c r="S234" s="3">
        <v>0</v>
      </c>
      <c r="T234" s="3">
        <v>0</v>
      </c>
      <c r="U234" s="3">
        <v>907.17529999999988</v>
      </c>
      <c r="W234" t="s">
        <v>1</v>
      </c>
    </row>
    <row r="235" spans="5:23" x14ac:dyDescent="0.25">
      <c r="E235" t="s">
        <v>8611</v>
      </c>
      <c r="F235" s="1" t="s">
        <v>8871</v>
      </c>
      <c r="G235" t="s">
        <v>1</v>
      </c>
      <c r="H235" t="s">
        <v>0</v>
      </c>
      <c r="I235" t="s">
        <v>8869</v>
      </c>
      <c r="J235" t="s">
        <v>8868</v>
      </c>
      <c r="K235">
        <v>38</v>
      </c>
      <c r="L235">
        <v>38</v>
      </c>
      <c r="M235" t="s">
        <v>1346</v>
      </c>
      <c r="N235" t="s">
        <v>1347</v>
      </c>
      <c r="O235" s="3">
        <v>0</v>
      </c>
      <c r="P235" s="3">
        <v>0</v>
      </c>
      <c r="Q235" s="3">
        <v>29.2</v>
      </c>
      <c r="R235" s="3">
        <v>3.7959999999999998</v>
      </c>
      <c r="S235" s="3">
        <v>0</v>
      </c>
      <c r="T235" s="3">
        <v>0</v>
      </c>
      <c r="U235" s="3">
        <v>32.996000000000002</v>
      </c>
      <c r="W235" t="s">
        <v>1</v>
      </c>
    </row>
    <row r="236" spans="5:23" x14ac:dyDescent="0.25">
      <c r="E236" t="s">
        <v>8611</v>
      </c>
      <c r="F236" s="1" t="s">
        <v>8871</v>
      </c>
      <c r="G236" t="s">
        <v>1</v>
      </c>
      <c r="H236" t="s">
        <v>0</v>
      </c>
      <c r="I236" t="s">
        <v>8869</v>
      </c>
      <c r="J236" t="s">
        <v>8868</v>
      </c>
      <c r="K236">
        <v>39</v>
      </c>
      <c r="L236">
        <v>39</v>
      </c>
      <c r="M236" t="s">
        <v>440</v>
      </c>
      <c r="N236" t="s">
        <v>441</v>
      </c>
      <c r="O236" s="3">
        <v>0</v>
      </c>
      <c r="P236" s="3">
        <v>0</v>
      </c>
      <c r="Q236" s="3">
        <v>157.93</v>
      </c>
      <c r="R236" s="3">
        <v>20.530900000000003</v>
      </c>
      <c r="S236" s="3">
        <v>0</v>
      </c>
      <c r="T236" s="3">
        <v>0</v>
      </c>
      <c r="U236" s="3">
        <v>178.46090000000001</v>
      </c>
      <c r="W236" t="s">
        <v>1</v>
      </c>
    </row>
    <row r="237" spans="5:23" x14ac:dyDescent="0.25">
      <c r="E237" t="s">
        <v>8611</v>
      </c>
      <c r="F237" s="1" t="s">
        <v>8871</v>
      </c>
      <c r="G237" t="s">
        <v>1</v>
      </c>
      <c r="H237" t="s">
        <v>0</v>
      </c>
      <c r="I237" t="s">
        <v>8869</v>
      </c>
      <c r="J237" t="s">
        <v>8868</v>
      </c>
      <c r="K237">
        <v>40</v>
      </c>
      <c r="L237">
        <v>40</v>
      </c>
      <c r="M237" t="s">
        <v>8306</v>
      </c>
      <c r="N237" t="s">
        <v>8307</v>
      </c>
      <c r="O237" s="3">
        <v>0</v>
      </c>
      <c r="P237" s="3">
        <v>0</v>
      </c>
      <c r="Q237" s="3">
        <v>16.66</v>
      </c>
      <c r="R237" s="3">
        <v>2.1657999999999999</v>
      </c>
      <c r="S237" s="3">
        <v>0</v>
      </c>
      <c r="T237" s="3">
        <v>0</v>
      </c>
      <c r="U237" s="3">
        <v>18.825800000000001</v>
      </c>
      <c r="W237" t="s">
        <v>1</v>
      </c>
    </row>
    <row r="238" spans="5:23" x14ac:dyDescent="0.25">
      <c r="E238" t="s">
        <v>8611</v>
      </c>
      <c r="F238" s="1" t="s">
        <v>8871</v>
      </c>
      <c r="G238" t="s">
        <v>1</v>
      </c>
      <c r="H238" t="s">
        <v>0</v>
      </c>
      <c r="I238" t="s">
        <v>8869</v>
      </c>
      <c r="J238" t="s">
        <v>8868</v>
      </c>
      <c r="K238">
        <v>41</v>
      </c>
      <c r="L238">
        <v>41</v>
      </c>
      <c r="M238" t="s">
        <v>115</v>
      </c>
      <c r="N238" t="s">
        <v>116</v>
      </c>
      <c r="O238" s="3">
        <v>0</v>
      </c>
      <c r="P238" s="3">
        <v>0</v>
      </c>
      <c r="Q238" s="3">
        <v>1246.43</v>
      </c>
      <c r="R238" s="3">
        <v>162.03590000000003</v>
      </c>
      <c r="S238" s="3">
        <v>0</v>
      </c>
      <c r="T238" s="3">
        <v>0</v>
      </c>
      <c r="U238" s="3">
        <v>1408.4659000000001</v>
      </c>
      <c r="W238" t="s">
        <v>1</v>
      </c>
    </row>
    <row r="239" spans="5:23" x14ac:dyDescent="0.25">
      <c r="E239" t="s">
        <v>8611</v>
      </c>
      <c r="F239" s="1" t="s">
        <v>8871</v>
      </c>
      <c r="G239" t="s">
        <v>1</v>
      </c>
      <c r="H239" t="s">
        <v>0</v>
      </c>
      <c r="I239" t="s">
        <v>8869</v>
      </c>
      <c r="J239" t="s">
        <v>8868</v>
      </c>
      <c r="K239">
        <v>42</v>
      </c>
      <c r="L239">
        <v>42</v>
      </c>
      <c r="M239" t="s">
        <v>8243</v>
      </c>
      <c r="N239" t="s">
        <v>8244</v>
      </c>
      <c r="O239" s="3">
        <v>0</v>
      </c>
      <c r="P239" s="3">
        <v>0</v>
      </c>
      <c r="Q239" s="3">
        <v>5.4</v>
      </c>
      <c r="R239" s="3">
        <v>0.70200000000000007</v>
      </c>
      <c r="S239" s="3">
        <v>0</v>
      </c>
      <c r="T239" s="3">
        <v>0</v>
      </c>
      <c r="U239" s="3">
        <v>6.1020000000000003</v>
      </c>
      <c r="W239" t="s">
        <v>1</v>
      </c>
    </row>
    <row r="240" spans="5:23" x14ac:dyDescent="0.25">
      <c r="E240" t="s">
        <v>8611</v>
      </c>
      <c r="F240" s="1" t="s">
        <v>8871</v>
      </c>
      <c r="G240" t="s">
        <v>1</v>
      </c>
      <c r="H240" t="s">
        <v>0</v>
      </c>
      <c r="I240" t="s">
        <v>8869</v>
      </c>
      <c r="J240" t="s">
        <v>8868</v>
      </c>
      <c r="K240">
        <v>43</v>
      </c>
      <c r="L240">
        <v>43</v>
      </c>
      <c r="M240" t="s">
        <v>238</v>
      </c>
      <c r="N240" t="s">
        <v>239</v>
      </c>
      <c r="O240" s="3">
        <v>0</v>
      </c>
      <c r="P240" s="3">
        <v>0</v>
      </c>
      <c r="Q240" s="3">
        <v>265.79000000000002</v>
      </c>
      <c r="R240" s="3">
        <v>34.552700000000002</v>
      </c>
      <c r="S240" s="3">
        <v>0</v>
      </c>
      <c r="T240" s="3">
        <v>0</v>
      </c>
      <c r="U240" s="3">
        <v>300.34270000000004</v>
      </c>
      <c r="W240" t="s">
        <v>1</v>
      </c>
    </row>
    <row r="241" spans="5:23" x14ac:dyDescent="0.25">
      <c r="E241" t="s">
        <v>8611</v>
      </c>
      <c r="F241" s="1" t="s">
        <v>8871</v>
      </c>
      <c r="G241" t="s">
        <v>1</v>
      </c>
      <c r="H241" t="s">
        <v>0</v>
      </c>
      <c r="I241" t="s">
        <v>8869</v>
      </c>
      <c r="J241" t="s">
        <v>8868</v>
      </c>
      <c r="K241">
        <v>44</v>
      </c>
      <c r="L241">
        <v>44</v>
      </c>
      <c r="M241" t="s">
        <v>936</v>
      </c>
      <c r="N241" t="s">
        <v>937</v>
      </c>
      <c r="O241" s="3">
        <v>0</v>
      </c>
      <c r="P241" s="3">
        <v>0</v>
      </c>
      <c r="Q241" s="3">
        <v>319</v>
      </c>
      <c r="R241" s="3">
        <v>41.47</v>
      </c>
      <c r="S241" s="3">
        <v>0</v>
      </c>
      <c r="T241" s="3">
        <v>0</v>
      </c>
      <c r="U241" s="3">
        <v>360.47</v>
      </c>
      <c r="W241" t="s">
        <v>1</v>
      </c>
    </row>
    <row r="242" spans="5:23" x14ac:dyDescent="0.25">
      <c r="E242" t="s">
        <v>8611</v>
      </c>
      <c r="F242" s="1" t="s">
        <v>8870</v>
      </c>
      <c r="G242" t="s">
        <v>1</v>
      </c>
      <c r="H242" t="s">
        <v>0</v>
      </c>
      <c r="I242" t="s">
        <v>8869</v>
      </c>
      <c r="J242" t="s">
        <v>8868</v>
      </c>
      <c r="K242">
        <v>45</v>
      </c>
      <c r="L242">
        <v>45</v>
      </c>
      <c r="M242" t="s">
        <v>8269</v>
      </c>
      <c r="N242" t="s">
        <v>8270</v>
      </c>
      <c r="O242" s="3">
        <v>0</v>
      </c>
      <c r="P242" s="3">
        <v>0</v>
      </c>
      <c r="Q242" s="3">
        <v>48.7</v>
      </c>
      <c r="R242" s="3">
        <v>6.3310000000000004</v>
      </c>
      <c r="S242" s="3">
        <v>0</v>
      </c>
      <c r="T242" s="3">
        <v>0</v>
      </c>
      <c r="U242" s="3">
        <v>55.031000000000006</v>
      </c>
      <c r="W242" t="s">
        <v>1</v>
      </c>
    </row>
    <row r="243" spans="5:23" x14ac:dyDescent="0.25">
      <c r="E243" t="s">
        <v>8611</v>
      </c>
      <c r="F243" s="1" t="s">
        <v>8870</v>
      </c>
      <c r="G243" t="s">
        <v>1</v>
      </c>
      <c r="H243" t="s">
        <v>0</v>
      </c>
      <c r="I243" t="s">
        <v>8869</v>
      </c>
      <c r="J243" t="s">
        <v>8868</v>
      </c>
      <c r="K243">
        <v>46</v>
      </c>
      <c r="L243">
        <v>46</v>
      </c>
      <c r="N243" t="s">
        <v>8280</v>
      </c>
      <c r="O243" s="3">
        <v>0</v>
      </c>
      <c r="P243" s="3">
        <v>0</v>
      </c>
      <c r="Q243" s="3">
        <v>15</v>
      </c>
      <c r="R243" s="3">
        <v>1.9500000000000002</v>
      </c>
      <c r="S243" s="3">
        <v>0</v>
      </c>
      <c r="T243" s="3">
        <v>0</v>
      </c>
      <c r="U243" s="3">
        <v>16.95</v>
      </c>
      <c r="V243" s="3" t="s">
        <v>8708</v>
      </c>
      <c r="W243" t="s">
        <v>1</v>
      </c>
    </row>
    <row r="244" spans="5:23" x14ac:dyDescent="0.25">
      <c r="E244" t="s">
        <v>8611</v>
      </c>
      <c r="F244" s="1" t="s">
        <v>8870</v>
      </c>
      <c r="G244" t="s">
        <v>1</v>
      </c>
      <c r="H244" t="s">
        <v>0</v>
      </c>
      <c r="I244" t="s">
        <v>8869</v>
      </c>
      <c r="J244" t="s">
        <v>8868</v>
      </c>
      <c r="K244">
        <v>47</v>
      </c>
      <c r="L244">
        <v>47</v>
      </c>
      <c r="M244" t="s">
        <v>214</v>
      </c>
      <c r="N244" t="s">
        <v>215</v>
      </c>
      <c r="O244" s="3">
        <v>0</v>
      </c>
      <c r="P244" s="3">
        <v>0</v>
      </c>
      <c r="Q244" s="3">
        <v>240</v>
      </c>
      <c r="R244" s="3">
        <v>31.200000000000003</v>
      </c>
      <c r="S244" s="3">
        <v>0</v>
      </c>
      <c r="T244" s="3">
        <v>0</v>
      </c>
      <c r="U244" s="3">
        <v>271.2</v>
      </c>
      <c r="W244" t="s">
        <v>1</v>
      </c>
    </row>
    <row r="245" spans="5:23" x14ac:dyDescent="0.25">
      <c r="E245" t="s">
        <v>8611</v>
      </c>
      <c r="F245" s="1" t="s">
        <v>8870</v>
      </c>
      <c r="G245" t="s">
        <v>1</v>
      </c>
      <c r="H245" t="s">
        <v>0</v>
      </c>
      <c r="I245" t="s">
        <v>8869</v>
      </c>
      <c r="J245" t="s">
        <v>8868</v>
      </c>
      <c r="K245">
        <v>48</v>
      </c>
      <c r="L245">
        <v>48</v>
      </c>
      <c r="M245" t="s">
        <v>1062</v>
      </c>
      <c r="N245" t="s">
        <v>1063</v>
      </c>
      <c r="O245" s="3">
        <v>0</v>
      </c>
      <c r="P245" s="3">
        <v>0</v>
      </c>
      <c r="Q245" s="3">
        <v>309.60000000000002</v>
      </c>
      <c r="R245" s="3">
        <v>40.248000000000005</v>
      </c>
      <c r="S245" s="3">
        <v>0</v>
      </c>
      <c r="T245" s="3">
        <v>0</v>
      </c>
      <c r="U245" s="3">
        <v>349.84800000000001</v>
      </c>
      <c r="W245" t="s">
        <v>1</v>
      </c>
    </row>
    <row r="246" spans="5:23" x14ac:dyDescent="0.25">
      <c r="E246" t="s">
        <v>8611</v>
      </c>
      <c r="F246" s="1" t="s">
        <v>8870</v>
      </c>
      <c r="G246" t="s">
        <v>1</v>
      </c>
      <c r="H246" t="s">
        <v>0</v>
      </c>
      <c r="I246" t="s">
        <v>8869</v>
      </c>
      <c r="J246" t="s">
        <v>8868</v>
      </c>
      <c r="K246">
        <v>49</v>
      </c>
      <c r="L246">
        <v>49</v>
      </c>
      <c r="M246" t="s">
        <v>8213</v>
      </c>
      <c r="N246" t="s">
        <v>8181</v>
      </c>
      <c r="O246" s="3">
        <v>0</v>
      </c>
      <c r="P246" s="3">
        <v>0</v>
      </c>
      <c r="Q246" s="3">
        <v>15.28</v>
      </c>
      <c r="R246" s="3">
        <v>1.9863999999999999</v>
      </c>
      <c r="S246" s="3">
        <v>0</v>
      </c>
      <c r="T246" s="3">
        <v>0</v>
      </c>
      <c r="U246" s="3">
        <v>17.266400000000001</v>
      </c>
      <c r="W246" t="s">
        <v>1</v>
      </c>
    </row>
    <row r="247" spans="5:23" x14ac:dyDescent="0.25">
      <c r="E247" t="s">
        <v>8611</v>
      </c>
      <c r="F247" s="1" t="s">
        <v>8870</v>
      </c>
      <c r="G247" t="s">
        <v>1</v>
      </c>
      <c r="H247" t="s">
        <v>0</v>
      </c>
      <c r="I247" t="s">
        <v>8869</v>
      </c>
      <c r="J247" t="s">
        <v>8868</v>
      </c>
      <c r="K247">
        <v>50</v>
      </c>
      <c r="L247">
        <v>50</v>
      </c>
      <c r="M247" t="s">
        <v>8209</v>
      </c>
      <c r="N247" t="s">
        <v>8210</v>
      </c>
      <c r="O247" s="3">
        <v>0</v>
      </c>
      <c r="P247" s="3">
        <v>0</v>
      </c>
      <c r="Q247" s="3">
        <v>174.9</v>
      </c>
      <c r="R247" s="3">
        <v>22.737000000000002</v>
      </c>
      <c r="S247" s="3">
        <v>0</v>
      </c>
      <c r="T247" s="3">
        <v>0</v>
      </c>
      <c r="U247" s="3">
        <v>197.637</v>
      </c>
      <c r="W247" t="s">
        <v>1</v>
      </c>
    </row>
    <row r="248" spans="5:23" x14ac:dyDescent="0.25">
      <c r="E248" t="s">
        <v>8611</v>
      </c>
      <c r="F248" s="1" t="s">
        <v>8870</v>
      </c>
      <c r="G248" t="s">
        <v>1</v>
      </c>
      <c r="H248" t="s">
        <v>0</v>
      </c>
      <c r="I248" t="s">
        <v>8869</v>
      </c>
      <c r="J248" t="s">
        <v>8868</v>
      </c>
      <c r="K248">
        <v>51</v>
      </c>
      <c r="L248">
        <v>51</v>
      </c>
      <c r="M248" t="s">
        <v>1423</v>
      </c>
      <c r="N248" t="s">
        <v>1424</v>
      </c>
      <c r="O248" s="3">
        <v>0</v>
      </c>
      <c r="P248" s="3">
        <v>0</v>
      </c>
      <c r="Q248" s="3">
        <v>133.04</v>
      </c>
      <c r="R248" s="3">
        <v>17.295200000000001</v>
      </c>
      <c r="S248" s="3">
        <v>0</v>
      </c>
      <c r="T248" s="3">
        <v>0</v>
      </c>
      <c r="U248" s="3">
        <v>150.33519999999999</v>
      </c>
      <c r="W248" t="s">
        <v>1</v>
      </c>
    </row>
    <row r="249" spans="5:23" hidden="1" x14ac:dyDescent="0.25">
      <c r="E249" t="s">
        <v>8611</v>
      </c>
      <c r="F249" s="1" t="s">
        <v>8870</v>
      </c>
      <c r="G249" t="s">
        <v>1</v>
      </c>
      <c r="H249" t="s">
        <v>0</v>
      </c>
      <c r="I249" t="s">
        <v>8869</v>
      </c>
      <c r="J249" t="s">
        <v>8868</v>
      </c>
      <c r="K249">
        <v>52</v>
      </c>
      <c r="L249">
        <v>52</v>
      </c>
      <c r="M249" t="s">
        <v>7852</v>
      </c>
      <c r="N249" t="s">
        <v>7851</v>
      </c>
      <c r="O249" s="3">
        <v>0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t="s">
        <v>1</v>
      </c>
    </row>
    <row r="250" spans="5:23" x14ac:dyDescent="0.25">
      <c r="E250" t="s">
        <v>8611</v>
      </c>
      <c r="F250" s="1" t="s">
        <v>8870</v>
      </c>
      <c r="G250" t="s">
        <v>1</v>
      </c>
      <c r="H250" t="s">
        <v>0</v>
      </c>
      <c r="I250" t="s">
        <v>8869</v>
      </c>
      <c r="J250" t="s">
        <v>8868</v>
      </c>
      <c r="K250">
        <v>52</v>
      </c>
      <c r="L250">
        <v>52</v>
      </c>
      <c r="M250" t="s">
        <v>1062</v>
      </c>
      <c r="N250" t="s">
        <v>1063</v>
      </c>
      <c r="O250" s="3">
        <v>0</v>
      </c>
      <c r="P250" s="3">
        <v>0</v>
      </c>
      <c r="Q250" s="3">
        <v>320</v>
      </c>
      <c r="R250" s="3">
        <v>41.6</v>
      </c>
      <c r="S250" s="3">
        <v>0</v>
      </c>
      <c r="T250" s="3">
        <v>0</v>
      </c>
      <c r="U250" s="3">
        <v>361.6</v>
      </c>
      <c r="W250" t="s">
        <v>1</v>
      </c>
    </row>
    <row r="251" spans="5:23" x14ac:dyDescent="0.25">
      <c r="E251" t="s">
        <v>8611</v>
      </c>
      <c r="F251" s="1" t="s">
        <v>8870</v>
      </c>
      <c r="G251" t="s">
        <v>1</v>
      </c>
      <c r="H251" t="s">
        <v>0</v>
      </c>
      <c r="I251" t="s">
        <v>8869</v>
      </c>
      <c r="J251" t="s">
        <v>8868</v>
      </c>
      <c r="K251">
        <v>53</v>
      </c>
      <c r="L251">
        <v>53</v>
      </c>
      <c r="M251" t="s">
        <v>1062</v>
      </c>
      <c r="N251" t="s">
        <v>1063</v>
      </c>
      <c r="O251" s="3">
        <v>0</v>
      </c>
      <c r="P251" s="3">
        <v>0</v>
      </c>
      <c r="Q251" s="3">
        <v>240</v>
      </c>
      <c r="R251" s="3">
        <v>31.200000000000003</v>
      </c>
      <c r="S251" s="3">
        <v>0</v>
      </c>
      <c r="T251" s="3">
        <v>0</v>
      </c>
      <c r="U251" s="3">
        <v>271.2</v>
      </c>
      <c r="W251" t="s">
        <v>1</v>
      </c>
    </row>
    <row r="252" spans="5:23" x14ac:dyDescent="0.25">
      <c r="E252" t="s">
        <v>8611</v>
      </c>
      <c r="F252" s="1" t="s">
        <v>8870</v>
      </c>
      <c r="G252" t="s">
        <v>1</v>
      </c>
      <c r="H252" t="s">
        <v>0</v>
      </c>
      <c r="I252" t="s">
        <v>8869</v>
      </c>
      <c r="J252" t="s">
        <v>8868</v>
      </c>
      <c r="K252">
        <v>54</v>
      </c>
      <c r="L252">
        <v>54</v>
      </c>
      <c r="M252" t="s">
        <v>8166</v>
      </c>
      <c r="N252" t="s">
        <v>8167</v>
      </c>
      <c r="O252" s="3">
        <v>0</v>
      </c>
      <c r="P252" s="3">
        <v>0</v>
      </c>
      <c r="Q252" s="3">
        <v>20</v>
      </c>
      <c r="R252" s="3">
        <v>2.6</v>
      </c>
      <c r="S252" s="3">
        <v>0</v>
      </c>
      <c r="T252" s="3">
        <v>0</v>
      </c>
      <c r="U252" s="3">
        <v>22.6</v>
      </c>
      <c r="W252" t="s">
        <v>1</v>
      </c>
    </row>
    <row r="253" spans="5:23" x14ac:dyDescent="0.25">
      <c r="E253" t="s">
        <v>8611</v>
      </c>
      <c r="F253" s="1" t="s">
        <v>8870</v>
      </c>
      <c r="G253" t="s">
        <v>1</v>
      </c>
      <c r="H253" t="s">
        <v>0</v>
      </c>
      <c r="I253" t="s">
        <v>8869</v>
      </c>
      <c r="J253" t="s">
        <v>8868</v>
      </c>
      <c r="K253">
        <v>55</v>
      </c>
      <c r="L253">
        <v>55</v>
      </c>
      <c r="M253" t="s">
        <v>8226</v>
      </c>
      <c r="N253" t="s">
        <v>8227</v>
      </c>
      <c r="O253" s="3">
        <v>0</v>
      </c>
      <c r="P253" s="3">
        <v>0</v>
      </c>
      <c r="Q253" s="3">
        <v>437.4</v>
      </c>
      <c r="R253" s="3">
        <v>56.862000000000002</v>
      </c>
      <c r="S253" s="3">
        <v>0</v>
      </c>
      <c r="T253" s="3">
        <v>0</v>
      </c>
      <c r="U253" s="3">
        <v>494.262</v>
      </c>
      <c r="W253" t="s">
        <v>1</v>
      </c>
    </row>
    <row r="254" spans="5:23" x14ac:dyDescent="0.25">
      <c r="E254" t="s">
        <v>8611</v>
      </c>
      <c r="F254" s="1" t="s">
        <v>8870</v>
      </c>
      <c r="G254" t="s">
        <v>1</v>
      </c>
      <c r="H254" t="s">
        <v>0</v>
      </c>
      <c r="I254" t="s">
        <v>8869</v>
      </c>
      <c r="J254" t="s">
        <v>8868</v>
      </c>
      <c r="K254">
        <v>56</v>
      </c>
      <c r="L254">
        <v>56</v>
      </c>
      <c r="M254" t="s">
        <v>8652</v>
      </c>
      <c r="N254" t="s">
        <v>8653</v>
      </c>
      <c r="O254" s="3">
        <v>0</v>
      </c>
      <c r="P254" s="3">
        <v>0</v>
      </c>
      <c r="Q254" s="3">
        <v>496.26</v>
      </c>
      <c r="R254" s="3">
        <v>64.513800000000003</v>
      </c>
      <c r="S254" s="3">
        <v>0</v>
      </c>
      <c r="T254" s="3">
        <v>0</v>
      </c>
      <c r="U254" s="3">
        <v>560.77379999999994</v>
      </c>
      <c r="W254" t="s">
        <v>1</v>
      </c>
    </row>
    <row r="255" spans="5:23" x14ac:dyDescent="0.25">
      <c r="E255" t="s">
        <v>8611</v>
      </c>
      <c r="F255" s="1" t="s">
        <v>8870</v>
      </c>
      <c r="G255" t="s">
        <v>1</v>
      </c>
      <c r="H255" t="s">
        <v>0</v>
      </c>
      <c r="I255" t="s">
        <v>8869</v>
      </c>
      <c r="J255" t="s">
        <v>8868</v>
      </c>
      <c r="K255">
        <v>57</v>
      </c>
      <c r="L255">
        <v>57</v>
      </c>
      <c r="M255" t="s">
        <v>8265</v>
      </c>
      <c r="N255" t="s">
        <v>8266</v>
      </c>
      <c r="O255" s="3">
        <v>0</v>
      </c>
      <c r="P255" s="3">
        <v>0</v>
      </c>
      <c r="Q255" s="3">
        <v>786.75</v>
      </c>
      <c r="R255" s="3">
        <v>102.2775</v>
      </c>
      <c r="S255" s="3">
        <v>0</v>
      </c>
      <c r="T255" s="3">
        <v>0</v>
      </c>
      <c r="U255" s="3">
        <v>889.02750000000003</v>
      </c>
      <c r="W255" t="s">
        <v>1</v>
      </c>
    </row>
    <row r="256" spans="5:23" hidden="1" x14ac:dyDescent="0.25">
      <c r="E256" t="s">
        <v>8610</v>
      </c>
      <c r="F256" s="1" t="s">
        <v>8852</v>
      </c>
      <c r="G256" t="s">
        <v>1</v>
      </c>
      <c r="H256" t="s">
        <v>0</v>
      </c>
      <c r="I256" t="s">
        <v>8158</v>
      </c>
      <c r="J256" t="s">
        <v>8159</v>
      </c>
      <c r="K256">
        <v>144</v>
      </c>
      <c r="L256">
        <v>144</v>
      </c>
      <c r="M256" t="s">
        <v>7852</v>
      </c>
      <c r="N256" t="s">
        <v>7851</v>
      </c>
      <c r="O256" s="3">
        <v>0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 t="s">
        <v>1</v>
      </c>
    </row>
    <row r="257" spans="5:23" hidden="1" x14ac:dyDescent="0.25">
      <c r="E257" t="s">
        <v>8610</v>
      </c>
      <c r="F257" s="1" t="s">
        <v>8852</v>
      </c>
      <c r="G257" t="s">
        <v>1</v>
      </c>
      <c r="H257" t="s">
        <v>0</v>
      </c>
      <c r="I257" t="s">
        <v>8158</v>
      </c>
      <c r="J257" t="s">
        <v>8159</v>
      </c>
      <c r="K257">
        <v>143</v>
      </c>
      <c r="L257">
        <v>143</v>
      </c>
      <c r="M257" t="s">
        <v>8855</v>
      </c>
      <c r="N257" t="s">
        <v>8856</v>
      </c>
      <c r="O257" s="3">
        <v>0</v>
      </c>
      <c r="P257" s="3">
        <v>0</v>
      </c>
      <c r="Q257" s="3">
        <v>12.57</v>
      </c>
      <c r="R257" s="3">
        <v>1.6341000000000001</v>
      </c>
      <c r="S257" s="3">
        <v>0</v>
      </c>
      <c r="T257" s="3">
        <v>0</v>
      </c>
      <c r="U257" s="3">
        <v>14.2041</v>
      </c>
      <c r="V257" s="3">
        <v>0</v>
      </c>
      <c r="W257" s="3" t="s">
        <v>1</v>
      </c>
    </row>
    <row r="258" spans="5:23" hidden="1" x14ac:dyDescent="0.25">
      <c r="E258" t="s">
        <v>8610</v>
      </c>
      <c r="F258" s="1" t="s">
        <v>8839</v>
      </c>
      <c r="G258" t="s">
        <v>1</v>
      </c>
      <c r="H258" t="s">
        <v>8333</v>
      </c>
      <c r="I258" t="s">
        <v>8334</v>
      </c>
      <c r="J258" t="s">
        <v>8335</v>
      </c>
      <c r="K258">
        <v>333</v>
      </c>
      <c r="L258">
        <v>333</v>
      </c>
      <c r="M258" t="s">
        <v>7986</v>
      </c>
      <c r="N258" t="s">
        <v>7987</v>
      </c>
      <c r="O258" s="3">
        <v>0</v>
      </c>
      <c r="P258" s="3">
        <v>0</v>
      </c>
      <c r="Q258" s="3">
        <v>5.25</v>
      </c>
      <c r="R258" s="3">
        <v>0.6825</v>
      </c>
      <c r="S258" s="3">
        <v>0</v>
      </c>
      <c r="T258" s="3">
        <v>0</v>
      </c>
      <c r="U258" s="3">
        <v>5.9325000000000001</v>
      </c>
      <c r="V258" s="3">
        <v>0</v>
      </c>
      <c r="W258" s="3" t="s">
        <v>1</v>
      </c>
    </row>
    <row r="259" spans="5:23" hidden="1" x14ac:dyDescent="0.25">
      <c r="E259" t="s">
        <v>8610</v>
      </c>
      <c r="F259" s="1" t="s">
        <v>8839</v>
      </c>
      <c r="G259" t="s">
        <v>1</v>
      </c>
      <c r="H259" t="s">
        <v>8333</v>
      </c>
      <c r="I259" t="s">
        <v>8334</v>
      </c>
      <c r="J259" t="s">
        <v>8335</v>
      </c>
      <c r="K259">
        <v>334</v>
      </c>
      <c r="L259">
        <v>334</v>
      </c>
      <c r="M259" t="s">
        <v>7852</v>
      </c>
      <c r="N259" t="s">
        <v>7851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 t="s">
        <v>1</v>
      </c>
    </row>
    <row r="260" spans="5:23" hidden="1" x14ac:dyDescent="0.25">
      <c r="E260" t="s">
        <v>8610</v>
      </c>
      <c r="F260" s="1" t="s">
        <v>8839</v>
      </c>
      <c r="G260" t="s">
        <v>1</v>
      </c>
      <c r="H260" t="s">
        <v>8333</v>
      </c>
      <c r="I260" t="s">
        <v>8334</v>
      </c>
      <c r="J260" t="s">
        <v>8335</v>
      </c>
      <c r="K260">
        <v>335</v>
      </c>
      <c r="L260">
        <v>335</v>
      </c>
      <c r="M260" t="s">
        <v>7852</v>
      </c>
      <c r="N260" t="s">
        <v>7851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 t="s">
        <v>1</v>
      </c>
    </row>
    <row r="261" spans="5:23" hidden="1" x14ac:dyDescent="0.25">
      <c r="E261" t="s">
        <v>8610</v>
      </c>
      <c r="F261" s="1" t="s">
        <v>8839</v>
      </c>
      <c r="G261" t="s">
        <v>1</v>
      </c>
      <c r="H261" t="s">
        <v>8333</v>
      </c>
      <c r="I261" t="s">
        <v>8334</v>
      </c>
      <c r="J261" t="s">
        <v>8335</v>
      </c>
      <c r="K261">
        <v>336</v>
      </c>
      <c r="L261">
        <v>336</v>
      </c>
      <c r="M261" t="s">
        <v>7986</v>
      </c>
      <c r="N261" t="s">
        <v>7987</v>
      </c>
      <c r="O261" s="3">
        <v>0</v>
      </c>
      <c r="P261" s="3">
        <v>0</v>
      </c>
      <c r="Q261" s="3">
        <v>26.6</v>
      </c>
      <c r="R261" s="3">
        <v>3.4580000000000002</v>
      </c>
      <c r="S261" s="3">
        <v>0</v>
      </c>
      <c r="T261" s="3">
        <v>0</v>
      </c>
      <c r="U261" s="3">
        <v>30.058</v>
      </c>
      <c r="V261" s="3">
        <v>0</v>
      </c>
      <c r="W261" s="3" t="s">
        <v>1</v>
      </c>
    </row>
    <row r="262" spans="5:23" hidden="1" x14ac:dyDescent="0.25">
      <c r="E262" t="s">
        <v>8610</v>
      </c>
      <c r="F262" s="1" t="s">
        <v>8818</v>
      </c>
      <c r="G262" t="s">
        <v>1</v>
      </c>
      <c r="H262" t="s">
        <v>8333</v>
      </c>
      <c r="I262" t="s">
        <v>8334</v>
      </c>
      <c r="J262" t="s">
        <v>8335</v>
      </c>
      <c r="K262">
        <v>337</v>
      </c>
      <c r="L262">
        <v>337</v>
      </c>
      <c r="M262" t="s">
        <v>7986</v>
      </c>
      <c r="N262" t="s">
        <v>7987</v>
      </c>
      <c r="O262" s="3">
        <v>0</v>
      </c>
      <c r="P262" s="3">
        <v>0</v>
      </c>
      <c r="Q262" s="3">
        <v>387.1</v>
      </c>
      <c r="R262" s="3">
        <v>50.323000000000008</v>
      </c>
      <c r="S262" s="3">
        <v>0</v>
      </c>
      <c r="T262" s="3">
        <v>0</v>
      </c>
      <c r="U262" s="3">
        <v>437.423</v>
      </c>
      <c r="V262" s="3">
        <v>0</v>
      </c>
      <c r="W262" s="3" t="s">
        <v>1</v>
      </c>
    </row>
    <row r="263" spans="5:23" hidden="1" x14ac:dyDescent="0.25">
      <c r="E263" t="s">
        <v>8610</v>
      </c>
      <c r="F263" s="1" t="s">
        <v>8818</v>
      </c>
      <c r="G263" t="s">
        <v>1</v>
      </c>
      <c r="H263" t="s">
        <v>8333</v>
      </c>
      <c r="I263" t="s">
        <v>8334</v>
      </c>
      <c r="J263" t="s">
        <v>8335</v>
      </c>
      <c r="K263">
        <v>338</v>
      </c>
      <c r="L263">
        <v>338</v>
      </c>
      <c r="M263" t="s">
        <v>107</v>
      </c>
      <c r="N263" t="s">
        <v>108</v>
      </c>
      <c r="O263" s="3">
        <v>0</v>
      </c>
      <c r="P263" s="3">
        <v>0</v>
      </c>
      <c r="Q263" s="3">
        <v>110.88</v>
      </c>
      <c r="R263" s="3">
        <v>14.414400000000001</v>
      </c>
      <c r="S263" s="3">
        <v>0</v>
      </c>
      <c r="T263" s="3">
        <v>0</v>
      </c>
      <c r="U263" s="3">
        <v>125.2944</v>
      </c>
      <c r="V263" s="3">
        <v>0</v>
      </c>
      <c r="W263" s="3" t="s">
        <v>1</v>
      </c>
    </row>
    <row r="264" spans="5:23" hidden="1" x14ac:dyDescent="0.25">
      <c r="E264" t="s">
        <v>8610</v>
      </c>
      <c r="F264" s="1" t="s">
        <v>8818</v>
      </c>
      <c r="G264" t="s">
        <v>1</v>
      </c>
      <c r="H264" t="s">
        <v>8333</v>
      </c>
      <c r="I264" t="s">
        <v>8334</v>
      </c>
      <c r="J264" t="s">
        <v>8335</v>
      </c>
      <c r="K264">
        <v>339</v>
      </c>
      <c r="L264">
        <v>339</v>
      </c>
      <c r="M264" t="s">
        <v>107</v>
      </c>
      <c r="N264" t="s">
        <v>108</v>
      </c>
      <c r="O264" s="3">
        <v>0</v>
      </c>
      <c r="P264" s="3">
        <v>0</v>
      </c>
      <c r="Q264" s="3">
        <v>33.53</v>
      </c>
      <c r="R264" s="3">
        <v>4.3589000000000002</v>
      </c>
      <c r="S264" s="3">
        <v>0</v>
      </c>
      <c r="T264" s="3">
        <v>0</v>
      </c>
      <c r="U264" s="3">
        <v>37.8889</v>
      </c>
      <c r="V264" s="3">
        <v>0</v>
      </c>
      <c r="W264" s="3" t="s">
        <v>1</v>
      </c>
    </row>
    <row r="265" spans="5:23" hidden="1" x14ac:dyDescent="0.25">
      <c r="E265" t="s">
        <v>8610</v>
      </c>
      <c r="F265" s="1" t="s">
        <v>8852</v>
      </c>
      <c r="G265" t="s">
        <v>1</v>
      </c>
      <c r="H265" t="s">
        <v>0</v>
      </c>
      <c r="I265" t="s">
        <v>8165</v>
      </c>
      <c r="J265" t="s">
        <v>8164</v>
      </c>
      <c r="K265">
        <v>13488</v>
      </c>
      <c r="L265">
        <v>13488</v>
      </c>
      <c r="M265" t="s">
        <v>7852</v>
      </c>
      <c r="N265" t="s">
        <v>7851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 t="s">
        <v>1</v>
      </c>
    </row>
    <row r="266" spans="5:23" ht="18.75" hidden="1" customHeight="1" x14ac:dyDescent="0.25">
      <c r="E266" t="s">
        <v>8610</v>
      </c>
      <c r="F266" s="1" t="s">
        <v>8852</v>
      </c>
      <c r="G266" t="s">
        <v>1</v>
      </c>
      <c r="H266" t="s">
        <v>0</v>
      </c>
      <c r="I266" t="s">
        <v>8165</v>
      </c>
      <c r="J266" t="s">
        <v>8164</v>
      </c>
      <c r="K266">
        <v>13532</v>
      </c>
      <c r="L266">
        <v>13532</v>
      </c>
      <c r="M266" t="s">
        <v>8174</v>
      </c>
      <c r="N266" t="s">
        <v>8175</v>
      </c>
      <c r="O266" s="3">
        <v>0</v>
      </c>
      <c r="P266" s="3">
        <v>0</v>
      </c>
      <c r="Q266" s="3">
        <v>30</v>
      </c>
      <c r="R266" s="3">
        <v>3.9000000000000004</v>
      </c>
      <c r="S266" s="3">
        <v>0</v>
      </c>
      <c r="T266" s="3">
        <v>0</v>
      </c>
      <c r="U266" s="3">
        <v>33.9</v>
      </c>
      <c r="V266" s="3">
        <v>0</v>
      </c>
      <c r="W266" s="3" t="s">
        <v>1</v>
      </c>
    </row>
    <row r="267" spans="5:23" hidden="1" x14ac:dyDescent="0.25">
      <c r="E267" t="s">
        <v>8610</v>
      </c>
      <c r="F267" s="1" t="s">
        <v>8852</v>
      </c>
      <c r="G267" t="s">
        <v>1</v>
      </c>
      <c r="H267" t="s">
        <v>0</v>
      </c>
      <c r="I267" t="s">
        <v>8165</v>
      </c>
      <c r="J267" t="s">
        <v>8164</v>
      </c>
      <c r="K267">
        <v>13533</v>
      </c>
      <c r="L267">
        <v>13533</v>
      </c>
      <c r="M267" t="s">
        <v>8269</v>
      </c>
      <c r="N267" t="s">
        <v>8270</v>
      </c>
      <c r="O267" s="3">
        <v>0</v>
      </c>
      <c r="P267" s="3">
        <v>0</v>
      </c>
      <c r="Q267" s="3">
        <v>90.3</v>
      </c>
      <c r="R267" s="3">
        <v>11.739000000000001</v>
      </c>
      <c r="S267" s="3">
        <v>0</v>
      </c>
      <c r="T267" s="3">
        <v>0</v>
      </c>
      <c r="U267" s="3">
        <v>102.039</v>
      </c>
      <c r="V267" s="3">
        <v>0</v>
      </c>
      <c r="W267" s="3" t="s">
        <v>1</v>
      </c>
    </row>
    <row r="268" spans="5:23" hidden="1" x14ac:dyDescent="0.25">
      <c r="E268" t="s">
        <v>8610</v>
      </c>
      <c r="F268" s="1" t="s">
        <v>8852</v>
      </c>
      <c r="G268" t="s">
        <v>1</v>
      </c>
      <c r="H268" t="s">
        <v>0</v>
      </c>
      <c r="I268" t="s">
        <v>8165</v>
      </c>
      <c r="J268" t="s">
        <v>8164</v>
      </c>
      <c r="K268">
        <v>13534</v>
      </c>
      <c r="L268">
        <v>13534</v>
      </c>
      <c r="M268" t="s">
        <v>7852</v>
      </c>
      <c r="N268" t="s">
        <v>7851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 t="s">
        <v>1</v>
      </c>
    </row>
    <row r="269" spans="5:23" hidden="1" x14ac:dyDescent="0.25">
      <c r="E269" t="s">
        <v>8610</v>
      </c>
      <c r="F269" s="1" t="s">
        <v>8852</v>
      </c>
      <c r="G269" t="s">
        <v>1</v>
      </c>
      <c r="H269" t="s">
        <v>0</v>
      </c>
      <c r="I269" t="s">
        <v>8165</v>
      </c>
      <c r="J269" t="s">
        <v>8164</v>
      </c>
      <c r="K269">
        <v>13535</v>
      </c>
      <c r="L269">
        <v>13535</v>
      </c>
      <c r="M269">
        <v>0</v>
      </c>
      <c r="N269" t="s">
        <v>8229</v>
      </c>
      <c r="O269" s="3">
        <v>0</v>
      </c>
      <c r="P269" s="3">
        <v>0</v>
      </c>
      <c r="Q269" s="3">
        <v>273.56</v>
      </c>
      <c r="R269" s="3">
        <v>35.562800000000003</v>
      </c>
      <c r="S269" s="3">
        <v>0</v>
      </c>
      <c r="T269" s="3">
        <v>0</v>
      </c>
      <c r="U269" s="3">
        <v>309.12279999999998</v>
      </c>
      <c r="V269" t="s">
        <v>8719</v>
      </c>
      <c r="W269" s="3" t="s">
        <v>1</v>
      </c>
    </row>
    <row r="270" spans="5:23" hidden="1" x14ac:dyDescent="0.25">
      <c r="E270" t="s">
        <v>8610</v>
      </c>
      <c r="F270" s="1" t="s">
        <v>8852</v>
      </c>
      <c r="G270" t="s">
        <v>1</v>
      </c>
      <c r="H270" t="s">
        <v>0</v>
      </c>
      <c r="I270" t="s">
        <v>8165</v>
      </c>
      <c r="J270" t="s">
        <v>8164</v>
      </c>
      <c r="K270">
        <v>13536</v>
      </c>
      <c r="L270">
        <v>13536</v>
      </c>
      <c r="M270">
        <v>0</v>
      </c>
      <c r="N270" t="s">
        <v>8229</v>
      </c>
      <c r="O270" s="3">
        <v>0</v>
      </c>
      <c r="P270" s="3">
        <v>0</v>
      </c>
      <c r="Q270" s="3">
        <v>35.1</v>
      </c>
      <c r="R270" s="3">
        <v>4.5630000000000006</v>
      </c>
      <c r="S270" s="3">
        <v>0</v>
      </c>
      <c r="T270" s="3">
        <v>0</v>
      </c>
      <c r="U270" s="3">
        <v>39.663000000000004</v>
      </c>
      <c r="V270" t="s">
        <v>8719</v>
      </c>
      <c r="W270" s="3" t="s">
        <v>1</v>
      </c>
    </row>
    <row r="271" spans="5:23" hidden="1" x14ac:dyDescent="0.25">
      <c r="E271" t="s">
        <v>8610</v>
      </c>
      <c r="F271" s="1" t="s">
        <v>8852</v>
      </c>
      <c r="G271" t="s">
        <v>1</v>
      </c>
      <c r="H271" t="s">
        <v>0</v>
      </c>
      <c r="I271" t="s">
        <v>8165</v>
      </c>
      <c r="J271" t="s">
        <v>8164</v>
      </c>
      <c r="K271">
        <v>13537</v>
      </c>
      <c r="L271">
        <v>13537</v>
      </c>
      <c r="M271" t="s">
        <v>1062</v>
      </c>
      <c r="N271" t="s">
        <v>1063</v>
      </c>
      <c r="O271" s="3">
        <v>0</v>
      </c>
      <c r="P271" s="3">
        <v>0</v>
      </c>
      <c r="Q271" s="3">
        <v>374.28</v>
      </c>
      <c r="R271" s="3">
        <v>48.656399999999998</v>
      </c>
      <c r="S271" s="3">
        <v>0</v>
      </c>
      <c r="T271" s="3">
        <v>0</v>
      </c>
      <c r="U271" s="3">
        <v>422.93639999999999</v>
      </c>
      <c r="V271" s="3">
        <v>0</v>
      </c>
      <c r="W271" s="3" t="s">
        <v>1</v>
      </c>
    </row>
    <row r="272" spans="5:23" hidden="1" x14ac:dyDescent="0.25">
      <c r="E272" t="s">
        <v>8610</v>
      </c>
      <c r="F272" s="1" t="s">
        <v>8852</v>
      </c>
      <c r="G272" t="s">
        <v>1</v>
      </c>
      <c r="H272" t="s">
        <v>0</v>
      </c>
      <c r="I272" t="s">
        <v>8165</v>
      </c>
      <c r="J272" t="s">
        <v>8164</v>
      </c>
      <c r="K272">
        <v>13538</v>
      </c>
      <c r="L272">
        <v>13538</v>
      </c>
      <c r="M272" t="s">
        <v>8480</v>
      </c>
      <c r="N272" t="s">
        <v>8481</v>
      </c>
      <c r="O272" s="3">
        <v>0</v>
      </c>
      <c r="P272" s="3">
        <v>0</v>
      </c>
      <c r="Q272" s="3">
        <v>147.41999999999999</v>
      </c>
      <c r="R272" s="3">
        <v>19.1646</v>
      </c>
      <c r="S272" s="3">
        <v>0</v>
      </c>
      <c r="T272" s="3">
        <v>0</v>
      </c>
      <c r="U272" s="3">
        <v>166.58459999999999</v>
      </c>
      <c r="V272" s="3">
        <v>0</v>
      </c>
      <c r="W272" s="3" t="s">
        <v>1</v>
      </c>
    </row>
    <row r="273" spans="5:23" hidden="1" x14ac:dyDescent="0.25">
      <c r="E273" t="s">
        <v>8610</v>
      </c>
      <c r="F273" s="1" t="s">
        <v>8852</v>
      </c>
      <c r="G273" t="s">
        <v>1</v>
      </c>
      <c r="H273" t="s">
        <v>0</v>
      </c>
      <c r="I273" t="s">
        <v>8165</v>
      </c>
      <c r="J273" t="s">
        <v>8164</v>
      </c>
      <c r="K273">
        <v>13539</v>
      </c>
      <c r="L273">
        <v>13539</v>
      </c>
      <c r="M273" t="s">
        <v>8190</v>
      </c>
      <c r="N273" t="s">
        <v>8191</v>
      </c>
      <c r="O273" s="3">
        <v>0</v>
      </c>
      <c r="P273" s="3">
        <v>0</v>
      </c>
      <c r="Q273" s="3">
        <v>407.08</v>
      </c>
      <c r="R273" s="3">
        <v>52.920400000000001</v>
      </c>
      <c r="S273" s="3">
        <v>0</v>
      </c>
      <c r="T273" s="3">
        <v>0</v>
      </c>
      <c r="U273" s="3">
        <v>460.00040000000001</v>
      </c>
      <c r="V273" s="3">
        <v>0</v>
      </c>
      <c r="W273" s="3" t="s">
        <v>1</v>
      </c>
    </row>
    <row r="274" spans="5:23" hidden="1" x14ac:dyDescent="0.25">
      <c r="E274" t="s">
        <v>8610</v>
      </c>
      <c r="F274" s="1" t="s">
        <v>8852</v>
      </c>
      <c r="G274" t="s">
        <v>1</v>
      </c>
      <c r="H274" t="s">
        <v>0</v>
      </c>
      <c r="I274" t="s">
        <v>8165</v>
      </c>
      <c r="J274" t="s">
        <v>8164</v>
      </c>
      <c r="K274">
        <v>13540</v>
      </c>
      <c r="L274">
        <v>13540</v>
      </c>
      <c r="M274" t="s">
        <v>238</v>
      </c>
      <c r="N274" t="s">
        <v>239</v>
      </c>
      <c r="O274" s="3">
        <v>0</v>
      </c>
      <c r="P274" s="3">
        <v>0</v>
      </c>
      <c r="Q274" s="3">
        <v>170.35</v>
      </c>
      <c r="R274" s="3">
        <v>22.145499999999998</v>
      </c>
      <c r="S274" s="3">
        <v>0</v>
      </c>
      <c r="T274" s="3">
        <v>0</v>
      </c>
      <c r="U274" s="3">
        <v>192.49549999999999</v>
      </c>
      <c r="V274" s="3">
        <v>0</v>
      </c>
      <c r="W274" s="3" t="s">
        <v>1</v>
      </c>
    </row>
    <row r="275" spans="5:23" hidden="1" x14ac:dyDescent="0.25">
      <c r="E275" t="s">
        <v>8610</v>
      </c>
      <c r="F275" s="1" t="s">
        <v>8852</v>
      </c>
      <c r="G275" t="s">
        <v>1</v>
      </c>
      <c r="H275" t="s">
        <v>0</v>
      </c>
      <c r="I275" t="s">
        <v>8165</v>
      </c>
      <c r="J275" t="s">
        <v>8164</v>
      </c>
      <c r="K275">
        <v>13541</v>
      </c>
      <c r="L275">
        <v>13541</v>
      </c>
      <c r="M275" t="s">
        <v>7869</v>
      </c>
      <c r="N275" t="s">
        <v>7870</v>
      </c>
      <c r="O275" s="3">
        <v>0</v>
      </c>
      <c r="P275" s="3">
        <v>0</v>
      </c>
      <c r="Q275" s="3">
        <v>63.2</v>
      </c>
      <c r="R275" s="3">
        <v>8.2160000000000011</v>
      </c>
      <c r="S275" s="3">
        <v>0</v>
      </c>
      <c r="T275" s="3">
        <v>0</v>
      </c>
      <c r="U275" s="3">
        <v>71.415999999999997</v>
      </c>
      <c r="V275" s="3">
        <v>0</v>
      </c>
      <c r="W275" s="3" t="s">
        <v>1</v>
      </c>
    </row>
    <row r="276" spans="5:23" hidden="1" x14ac:dyDescent="0.25">
      <c r="E276" t="s">
        <v>8610</v>
      </c>
      <c r="F276" s="1" t="s">
        <v>8852</v>
      </c>
      <c r="G276" t="s">
        <v>1</v>
      </c>
      <c r="H276" t="s">
        <v>0</v>
      </c>
      <c r="I276" t="s">
        <v>8165</v>
      </c>
      <c r="J276" t="s">
        <v>8164</v>
      </c>
      <c r="K276">
        <v>13542</v>
      </c>
      <c r="L276">
        <v>13542</v>
      </c>
      <c r="M276">
        <v>0</v>
      </c>
      <c r="N276" t="s">
        <v>8854</v>
      </c>
      <c r="O276" s="3">
        <v>0</v>
      </c>
      <c r="P276" s="3">
        <v>0</v>
      </c>
      <c r="Q276" s="3">
        <v>48.22</v>
      </c>
      <c r="R276" s="3">
        <v>6.2686000000000002</v>
      </c>
      <c r="S276" s="3">
        <v>0</v>
      </c>
      <c r="T276" s="3">
        <v>0</v>
      </c>
      <c r="U276" s="3">
        <v>54.488599999999998</v>
      </c>
      <c r="V276" s="3" t="s">
        <v>8853</v>
      </c>
      <c r="W276" s="3" t="s">
        <v>1</v>
      </c>
    </row>
    <row r="277" spans="5:23" hidden="1" x14ac:dyDescent="0.25">
      <c r="E277" t="s">
        <v>8610</v>
      </c>
      <c r="F277" s="1" t="s">
        <v>8852</v>
      </c>
      <c r="G277" t="s">
        <v>1</v>
      </c>
      <c r="H277" t="s">
        <v>0</v>
      </c>
      <c r="I277" t="s">
        <v>8165</v>
      </c>
      <c r="J277" t="s">
        <v>8164</v>
      </c>
      <c r="K277">
        <v>13543</v>
      </c>
      <c r="L277">
        <v>13543</v>
      </c>
      <c r="M277" t="s">
        <v>8269</v>
      </c>
      <c r="N277" t="s">
        <v>8270</v>
      </c>
      <c r="O277" s="3">
        <v>0</v>
      </c>
      <c r="P277" s="3">
        <v>0</v>
      </c>
      <c r="Q277" s="3">
        <v>41.5</v>
      </c>
      <c r="R277" s="3">
        <v>5.3950000000000005</v>
      </c>
      <c r="S277" s="3">
        <v>0</v>
      </c>
      <c r="T277" s="3">
        <v>0</v>
      </c>
      <c r="U277" s="3">
        <v>46.895000000000003</v>
      </c>
      <c r="V277" s="3">
        <v>0</v>
      </c>
      <c r="W277" s="3" t="s">
        <v>1</v>
      </c>
    </row>
    <row r="278" spans="5:23" hidden="1" x14ac:dyDescent="0.25">
      <c r="E278" t="s">
        <v>8610</v>
      </c>
      <c r="F278" s="1" t="s">
        <v>8852</v>
      </c>
      <c r="G278" t="s">
        <v>1</v>
      </c>
      <c r="H278" t="s">
        <v>0</v>
      </c>
      <c r="I278" t="s">
        <v>8165</v>
      </c>
      <c r="J278" t="s">
        <v>8164</v>
      </c>
      <c r="K278">
        <v>13544</v>
      </c>
      <c r="L278">
        <v>13544</v>
      </c>
      <c r="M278" t="s">
        <v>8706</v>
      </c>
      <c r="N278" t="s">
        <v>8707</v>
      </c>
      <c r="O278" s="3">
        <v>0</v>
      </c>
      <c r="P278" s="3">
        <v>0</v>
      </c>
      <c r="Q278" s="3">
        <v>307.5</v>
      </c>
      <c r="R278" s="3">
        <v>39.975000000000001</v>
      </c>
      <c r="S278" s="3">
        <v>0</v>
      </c>
      <c r="T278" s="3">
        <v>0</v>
      </c>
      <c r="U278" s="3">
        <v>347.47500000000002</v>
      </c>
      <c r="V278" s="3">
        <v>0</v>
      </c>
      <c r="W278" s="3" t="s">
        <v>1</v>
      </c>
    </row>
    <row r="279" spans="5:23" hidden="1" x14ac:dyDescent="0.25">
      <c r="E279" t="s">
        <v>8610</v>
      </c>
      <c r="F279" s="1" t="s">
        <v>8849</v>
      </c>
      <c r="G279" t="s">
        <v>1</v>
      </c>
      <c r="H279" t="s">
        <v>0</v>
      </c>
      <c r="I279" t="s">
        <v>8165</v>
      </c>
      <c r="J279" t="s">
        <v>8164</v>
      </c>
      <c r="K279">
        <v>13545</v>
      </c>
      <c r="L279">
        <v>13545</v>
      </c>
      <c r="M279" t="s">
        <v>149</v>
      </c>
      <c r="N279" t="s">
        <v>150</v>
      </c>
      <c r="O279" s="3">
        <v>0</v>
      </c>
      <c r="P279" s="3">
        <v>0</v>
      </c>
      <c r="Q279" s="3">
        <v>40.5</v>
      </c>
      <c r="R279" s="3">
        <v>5.2650000000000006</v>
      </c>
      <c r="S279" s="3">
        <v>0</v>
      </c>
      <c r="T279" s="3">
        <v>0</v>
      </c>
      <c r="U279" s="3">
        <v>45.765000000000001</v>
      </c>
      <c r="V279" s="3">
        <v>0</v>
      </c>
      <c r="W279" s="3" t="s">
        <v>1</v>
      </c>
    </row>
    <row r="280" spans="5:23" hidden="1" x14ac:dyDescent="0.25">
      <c r="E280" t="s">
        <v>8610</v>
      </c>
      <c r="F280" s="1" t="s">
        <v>8849</v>
      </c>
      <c r="G280" t="s">
        <v>1</v>
      </c>
      <c r="H280" t="s">
        <v>0</v>
      </c>
      <c r="I280" t="s">
        <v>8165</v>
      </c>
      <c r="J280" t="s">
        <v>8164</v>
      </c>
      <c r="K280">
        <v>13546</v>
      </c>
      <c r="L280">
        <v>13546</v>
      </c>
      <c r="M280" t="s">
        <v>8188</v>
      </c>
      <c r="N280" t="s">
        <v>8189</v>
      </c>
      <c r="O280" s="3">
        <v>0</v>
      </c>
      <c r="P280" s="3">
        <v>0</v>
      </c>
      <c r="Q280" s="3">
        <v>123.63</v>
      </c>
      <c r="R280" s="3">
        <v>16.071899999999999</v>
      </c>
      <c r="S280" s="3">
        <v>0</v>
      </c>
      <c r="T280" s="3">
        <v>0</v>
      </c>
      <c r="U280" s="3">
        <v>139.70189999999999</v>
      </c>
      <c r="V280" s="3">
        <v>0</v>
      </c>
      <c r="W280" s="3" t="s">
        <v>1</v>
      </c>
    </row>
    <row r="281" spans="5:23" hidden="1" x14ac:dyDescent="0.25">
      <c r="E281" t="s">
        <v>8610</v>
      </c>
      <c r="F281" s="1" t="s">
        <v>8849</v>
      </c>
      <c r="G281" t="s">
        <v>1</v>
      </c>
      <c r="H281" t="s">
        <v>0</v>
      </c>
      <c r="I281" t="s">
        <v>8165</v>
      </c>
      <c r="J281" t="s">
        <v>8164</v>
      </c>
      <c r="K281">
        <v>13547</v>
      </c>
      <c r="L281">
        <v>13547</v>
      </c>
      <c r="M281" t="s">
        <v>8850</v>
      </c>
      <c r="N281" t="s">
        <v>8851</v>
      </c>
      <c r="O281" s="3">
        <v>0</v>
      </c>
      <c r="P281" s="3">
        <v>0</v>
      </c>
      <c r="Q281" s="3">
        <v>45.94</v>
      </c>
      <c r="R281" s="3">
        <v>5.9722</v>
      </c>
      <c r="S281" s="3">
        <v>0</v>
      </c>
      <c r="T281" s="3">
        <v>0</v>
      </c>
      <c r="U281" s="3">
        <v>51.912199999999999</v>
      </c>
      <c r="V281" s="3">
        <v>0</v>
      </c>
      <c r="W281" s="3" t="s">
        <v>1</v>
      </c>
    </row>
    <row r="282" spans="5:23" hidden="1" x14ac:dyDescent="0.25">
      <c r="E282" t="s">
        <v>8610</v>
      </c>
      <c r="F282" s="1" t="s">
        <v>8849</v>
      </c>
      <c r="G282" t="s">
        <v>1</v>
      </c>
      <c r="H282" t="s">
        <v>0</v>
      </c>
      <c r="I282" t="s">
        <v>8165</v>
      </c>
      <c r="J282" t="s">
        <v>8164</v>
      </c>
      <c r="K282">
        <v>13548</v>
      </c>
      <c r="L282">
        <v>13548</v>
      </c>
      <c r="M282" t="s">
        <v>8188</v>
      </c>
      <c r="N282" t="s">
        <v>8189</v>
      </c>
      <c r="O282" s="3">
        <v>0</v>
      </c>
      <c r="P282" s="3">
        <v>0</v>
      </c>
      <c r="Q282" s="3">
        <v>250</v>
      </c>
      <c r="R282" s="3">
        <v>32.5</v>
      </c>
      <c r="S282" s="3">
        <v>0</v>
      </c>
      <c r="T282" s="3">
        <v>0</v>
      </c>
      <c r="U282" s="3">
        <v>282.5</v>
      </c>
      <c r="V282" s="3">
        <v>0</v>
      </c>
      <c r="W282" s="3" t="s">
        <v>1</v>
      </c>
    </row>
    <row r="283" spans="5:23" hidden="1" x14ac:dyDescent="0.25">
      <c r="E283" t="s">
        <v>8610</v>
      </c>
      <c r="F283" s="1" t="s">
        <v>8849</v>
      </c>
      <c r="G283" t="s">
        <v>1</v>
      </c>
      <c r="H283" t="s">
        <v>0</v>
      </c>
      <c r="I283" t="s">
        <v>8165</v>
      </c>
      <c r="J283" t="s">
        <v>8164</v>
      </c>
      <c r="K283">
        <v>13548</v>
      </c>
      <c r="L283">
        <v>13548</v>
      </c>
      <c r="M283" t="s">
        <v>7852</v>
      </c>
      <c r="N283" t="s">
        <v>7851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0</v>
      </c>
      <c r="W283" s="3" t="s">
        <v>1</v>
      </c>
    </row>
    <row r="284" spans="5:23" hidden="1" x14ac:dyDescent="0.25">
      <c r="E284" t="s">
        <v>8610</v>
      </c>
      <c r="F284" s="1" t="s">
        <v>8849</v>
      </c>
      <c r="G284" t="s">
        <v>1</v>
      </c>
      <c r="H284" t="s">
        <v>0</v>
      </c>
      <c r="I284" t="s">
        <v>8165</v>
      </c>
      <c r="J284" t="s">
        <v>8164</v>
      </c>
      <c r="K284">
        <v>13549</v>
      </c>
      <c r="L284">
        <v>13549</v>
      </c>
      <c r="M284" t="s">
        <v>8302</v>
      </c>
      <c r="N284" t="s">
        <v>8303</v>
      </c>
      <c r="O284" s="3">
        <v>0</v>
      </c>
      <c r="P284" s="3">
        <v>0</v>
      </c>
      <c r="Q284" s="3">
        <v>154.5</v>
      </c>
      <c r="R284" s="3">
        <v>20.085000000000001</v>
      </c>
      <c r="S284" s="3">
        <v>0</v>
      </c>
      <c r="T284" s="3">
        <v>0</v>
      </c>
      <c r="U284" s="3">
        <v>174.58500000000001</v>
      </c>
      <c r="V284" s="3">
        <v>0</v>
      </c>
      <c r="W284" s="3" t="s">
        <v>1</v>
      </c>
    </row>
    <row r="285" spans="5:23" hidden="1" x14ac:dyDescent="0.25">
      <c r="E285" t="s">
        <v>8610</v>
      </c>
      <c r="F285" s="1" t="s">
        <v>8849</v>
      </c>
      <c r="G285" t="s">
        <v>1</v>
      </c>
      <c r="H285" t="s">
        <v>0</v>
      </c>
      <c r="I285" t="s">
        <v>8165</v>
      </c>
      <c r="J285" t="s">
        <v>8164</v>
      </c>
      <c r="K285">
        <v>13550</v>
      </c>
      <c r="L285">
        <v>13550</v>
      </c>
      <c r="M285" t="s">
        <v>8302</v>
      </c>
      <c r="N285" t="s">
        <v>8303</v>
      </c>
      <c r="O285" s="3">
        <v>0</v>
      </c>
      <c r="P285" s="3">
        <v>0</v>
      </c>
      <c r="Q285" s="3">
        <v>132.74</v>
      </c>
      <c r="R285" s="3">
        <v>17.256200000000003</v>
      </c>
      <c r="S285" s="3">
        <v>0</v>
      </c>
      <c r="T285" s="3">
        <v>0</v>
      </c>
      <c r="U285" s="3">
        <v>149.99620000000002</v>
      </c>
      <c r="V285" s="3">
        <v>0</v>
      </c>
      <c r="W285" s="3" t="s">
        <v>1</v>
      </c>
    </row>
    <row r="286" spans="5:23" hidden="1" x14ac:dyDescent="0.25">
      <c r="E286" t="s">
        <v>8610</v>
      </c>
      <c r="F286" s="1" t="s">
        <v>8849</v>
      </c>
      <c r="G286" t="s">
        <v>1</v>
      </c>
      <c r="H286" t="s">
        <v>0</v>
      </c>
      <c r="I286" t="s">
        <v>8165</v>
      </c>
      <c r="J286" t="s">
        <v>8164</v>
      </c>
      <c r="K286">
        <v>13551</v>
      </c>
      <c r="L286">
        <v>13551</v>
      </c>
      <c r="M286" t="s">
        <v>7852</v>
      </c>
      <c r="N286" t="s">
        <v>7851</v>
      </c>
      <c r="O286" s="3">
        <v>0</v>
      </c>
      <c r="P286" s="3">
        <v>0</v>
      </c>
      <c r="Q286" s="3">
        <v>0</v>
      </c>
      <c r="R286" s="3">
        <v>0</v>
      </c>
      <c r="S286" s="3">
        <v>0</v>
      </c>
      <c r="T286" s="3">
        <v>0</v>
      </c>
      <c r="U286" s="3">
        <v>0</v>
      </c>
      <c r="V286" s="3">
        <v>0</v>
      </c>
      <c r="W286" s="3" t="s">
        <v>1</v>
      </c>
    </row>
    <row r="287" spans="5:23" hidden="1" x14ac:dyDescent="0.25">
      <c r="E287" t="s">
        <v>8610</v>
      </c>
      <c r="F287" s="1" t="s">
        <v>8849</v>
      </c>
      <c r="G287" t="s">
        <v>1</v>
      </c>
      <c r="H287" t="s">
        <v>0</v>
      </c>
      <c r="I287" t="s">
        <v>8165</v>
      </c>
      <c r="J287" t="s">
        <v>8164</v>
      </c>
      <c r="K287">
        <v>13552</v>
      </c>
      <c r="L287">
        <v>13552</v>
      </c>
      <c r="M287" t="s">
        <v>8213</v>
      </c>
      <c r="N287" t="s">
        <v>8181</v>
      </c>
      <c r="O287" s="3">
        <v>0</v>
      </c>
      <c r="P287" s="3">
        <v>0</v>
      </c>
      <c r="Q287" s="3">
        <v>27.5</v>
      </c>
      <c r="R287" s="3">
        <v>3.5750000000000002</v>
      </c>
      <c r="S287" s="3">
        <v>0</v>
      </c>
      <c r="T287" s="3">
        <v>0</v>
      </c>
      <c r="U287" s="3">
        <v>31.074999999999999</v>
      </c>
      <c r="V287" s="3">
        <v>0</v>
      </c>
      <c r="W287" s="3" t="s">
        <v>1</v>
      </c>
    </row>
    <row r="288" spans="5:23" hidden="1" x14ac:dyDescent="0.25">
      <c r="E288" t="s">
        <v>8610</v>
      </c>
      <c r="F288" s="1" t="s">
        <v>8849</v>
      </c>
      <c r="G288" t="s">
        <v>1</v>
      </c>
      <c r="H288" t="s">
        <v>0</v>
      </c>
      <c r="I288" t="s">
        <v>8165</v>
      </c>
      <c r="J288" t="s">
        <v>8164</v>
      </c>
      <c r="K288">
        <v>13553</v>
      </c>
      <c r="L288">
        <v>13553</v>
      </c>
      <c r="M288" t="s">
        <v>7852</v>
      </c>
      <c r="N288" t="s">
        <v>7851</v>
      </c>
      <c r="O288" s="3">
        <v>0</v>
      </c>
      <c r="P288" s="3">
        <v>0</v>
      </c>
      <c r="Q288" s="3">
        <v>0</v>
      </c>
      <c r="R288" s="3">
        <v>0</v>
      </c>
      <c r="S288" s="3">
        <v>0</v>
      </c>
      <c r="T288" s="3">
        <v>0</v>
      </c>
      <c r="U288" s="3">
        <v>0</v>
      </c>
      <c r="V288" s="3">
        <v>0</v>
      </c>
      <c r="W288" s="3" t="s">
        <v>1</v>
      </c>
    </row>
    <row r="289" spans="5:23" hidden="1" x14ac:dyDescent="0.25">
      <c r="E289" t="s">
        <v>8610</v>
      </c>
      <c r="F289" s="1" t="s">
        <v>8849</v>
      </c>
      <c r="G289" t="s">
        <v>1</v>
      </c>
      <c r="H289" t="s">
        <v>0</v>
      </c>
      <c r="I289" t="s">
        <v>8165</v>
      </c>
      <c r="J289" t="s">
        <v>8164</v>
      </c>
      <c r="K289">
        <v>13554</v>
      </c>
      <c r="L289">
        <v>13554</v>
      </c>
      <c r="M289" t="s">
        <v>8281</v>
      </c>
      <c r="N289" t="s">
        <v>8282</v>
      </c>
      <c r="O289" s="3">
        <v>0</v>
      </c>
      <c r="P289" s="3">
        <v>0</v>
      </c>
      <c r="Q289" s="3">
        <v>76.11</v>
      </c>
      <c r="R289" s="3">
        <v>9.8942999999999994</v>
      </c>
      <c r="S289" s="3">
        <v>0</v>
      </c>
      <c r="T289" s="3">
        <v>0</v>
      </c>
      <c r="U289" s="3">
        <v>86.004300000000001</v>
      </c>
      <c r="V289" s="3">
        <v>0</v>
      </c>
      <c r="W289" s="3" t="s">
        <v>1</v>
      </c>
    </row>
    <row r="290" spans="5:23" hidden="1" x14ac:dyDescent="0.25">
      <c r="E290" t="s">
        <v>8610</v>
      </c>
      <c r="F290" s="1" t="s">
        <v>8849</v>
      </c>
      <c r="G290" t="s">
        <v>1</v>
      </c>
      <c r="H290" t="s">
        <v>0</v>
      </c>
      <c r="I290" t="s">
        <v>8165</v>
      </c>
      <c r="J290" t="s">
        <v>8164</v>
      </c>
      <c r="K290">
        <v>13555</v>
      </c>
      <c r="L290">
        <v>13555</v>
      </c>
      <c r="M290">
        <v>0</v>
      </c>
      <c r="N290" t="s">
        <v>8235</v>
      </c>
      <c r="O290" s="3">
        <v>0</v>
      </c>
      <c r="P290" s="3">
        <v>0</v>
      </c>
      <c r="Q290" s="3">
        <v>169.68</v>
      </c>
      <c r="R290" s="3">
        <v>22.058400000000002</v>
      </c>
      <c r="S290" s="3">
        <v>0</v>
      </c>
      <c r="T290" s="3">
        <v>0</v>
      </c>
      <c r="U290" s="3">
        <v>191.73840000000001</v>
      </c>
      <c r="V290" s="3" t="s">
        <v>8718</v>
      </c>
      <c r="W290" s="3" t="s">
        <v>1</v>
      </c>
    </row>
    <row r="291" spans="5:23" hidden="1" x14ac:dyDescent="0.25">
      <c r="E291" t="s">
        <v>8610</v>
      </c>
      <c r="F291" s="1" t="s">
        <v>8849</v>
      </c>
      <c r="G291" t="s">
        <v>1</v>
      </c>
      <c r="H291" t="s">
        <v>0</v>
      </c>
      <c r="I291" t="s">
        <v>8165</v>
      </c>
      <c r="J291" t="s">
        <v>8164</v>
      </c>
      <c r="K291">
        <v>13556</v>
      </c>
      <c r="L291">
        <v>13556</v>
      </c>
      <c r="M291" t="s">
        <v>7986</v>
      </c>
      <c r="N291" t="s">
        <v>7987</v>
      </c>
      <c r="O291" s="3">
        <v>0</v>
      </c>
      <c r="P291" s="3">
        <v>0</v>
      </c>
      <c r="Q291" s="3">
        <v>111.27</v>
      </c>
      <c r="R291" s="3">
        <v>14.4651</v>
      </c>
      <c r="S291" s="3">
        <v>0</v>
      </c>
      <c r="T291" s="3">
        <v>0</v>
      </c>
      <c r="U291" s="3">
        <v>125.73509999999999</v>
      </c>
      <c r="V291" s="3">
        <v>0</v>
      </c>
      <c r="W291" s="3" t="s">
        <v>1</v>
      </c>
    </row>
    <row r="292" spans="5:23" hidden="1" x14ac:dyDescent="0.25">
      <c r="E292" t="s">
        <v>8610</v>
      </c>
      <c r="F292" s="1" t="s">
        <v>8849</v>
      </c>
      <c r="G292" t="s">
        <v>1</v>
      </c>
      <c r="H292" t="s">
        <v>0</v>
      </c>
      <c r="I292" t="s">
        <v>8165</v>
      </c>
      <c r="J292" t="s">
        <v>8164</v>
      </c>
      <c r="K292">
        <v>13557</v>
      </c>
      <c r="L292">
        <v>13557</v>
      </c>
      <c r="M292" t="s">
        <v>7986</v>
      </c>
      <c r="N292" t="s">
        <v>7987</v>
      </c>
      <c r="O292" s="3">
        <v>0</v>
      </c>
      <c r="P292" s="3">
        <v>0</v>
      </c>
      <c r="Q292" s="3">
        <v>16.600000000000001</v>
      </c>
      <c r="R292" s="3">
        <v>2.1580000000000004</v>
      </c>
      <c r="S292" s="3">
        <v>0</v>
      </c>
      <c r="T292" s="3">
        <v>0</v>
      </c>
      <c r="U292" s="3">
        <v>18.758000000000003</v>
      </c>
      <c r="V292" s="3">
        <v>0</v>
      </c>
      <c r="W292" s="3" t="s">
        <v>1</v>
      </c>
    </row>
    <row r="293" spans="5:23" hidden="1" x14ac:dyDescent="0.25">
      <c r="E293" t="s">
        <v>8610</v>
      </c>
      <c r="F293" s="1" t="s">
        <v>8849</v>
      </c>
      <c r="G293" t="s">
        <v>1</v>
      </c>
      <c r="H293" t="s">
        <v>0</v>
      </c>
      <c r="I293" t="s">
        <v>8165</v>
      </c>
      <c r="J293" t="s">
        <v>8164</v>
      </c>
      <c r="K293">
        <v>13558</v>
      </c>
      <c r="L293">
        <v>13558</v>
      </c>
      <c r="M293" t="s">
        <v>7986</v>
      </c>
      <c r="N293" t="s">
        <v>7987</v>
      </c>
      <c r="O293" s="3">
        <v>0</v>
      </c>
      <c r="P293" s="3">
        <v>0</v>
      </c>
      <c r="Q293" s="3">
        <v>75.349999999999994</v>
      </c>
      <c r="R293" s="3">
        <v>9.7954999999999988</v>
      </c>
      <c r="S293" s="3">
        <v>0</v>
      </c>
      <c r="T293" s="3">
        <v>0</v>
      </c>
      <c r="U293" s="3">
        <v>85.145499999999998</v>
      </c>
      <c r="V293" s="3">
        <v>0</v>
      </c>
      <c r="W293" s="3" t="s">
        <v>1</v>
      </c>
    </row>
    <row r="294" spans="5:23" hidden="1" x14ac:dyDescent="0.25">
      <c r="E294" t="s">
        <v>8610</v>
      </c>
      <c r="F294" s="1" t="s">
        <v>8849</v>
      </c>
      <c r="G294" t="s">
        <v>1</v>
      </c>
      <c r="H294" t="s">
        <v>0</v>
      </c>
      <c r="I294" t="s">
        <v>8165</v>
      </c>
      <c r="J294" t="s">
        <v>8164</v>
      </c>
      <c r="K294">
        <v>13559</v>
      </c>
      <c r="L294">
        <v>13559</v>
      </c>
      <c r="M294">
        <v>0</v>
      </c>
      <c r="N294" t="s">
        <v>8235</v>
      </c>
      <c r="O294" s="3">
        <v>0</v>
      </c>
      <c r="P294" s="3">
        <v>0</v>
      </c>
      <c r="Q294" s="3">
        <v>184.6</v>
      </c>
      <c r="R294" s="3">
        <v>23.998000000000001</v>
      </c>
      <c r="S294" s="3">
        <v>0</v>
      </c>
      <c r="T294" s="3">
        <v>0</v>
      </c>
      <c r="U294" s="3">
        <v>208.59799999999998</v>
      </c>
      <c r="V294" s="3" t="s">
        <v>8718</v>
      </c>
      <c r="W294" s="3" t="s">
        <v>1</v>
      </c>
    </row>
    <row r="295" spans="5:23" hidden="1" x14ac:dyDescent="0.25">
      <c r="E295" t="s">
        <v>8610</v>
      </c>
      <c r="F295" s="1" t="s">
        <v>8849</v>
      </c>
      <c r="G295" t="s">
        <v>1</v>
      </c>
      <c r="H295" t="s">
        <v>0</v>
      </c>
      <c r="I295" t="s">
        <v>8165</v>
      </c>
      <c r="J295" t="s">
        <v>8164</v>
      </c>
      <c r="K295">
        <v>13560</v>
      </c>
      <c r="L295">
        <v>13560</v>
      </c>
      <c r="M295" t="s">
        <v>8320</v>
      </c>
      <c r="N295" t="s">
        <v>8321</v>
      </c>
      <c r="O295" s="3">
        <v>0</v>
      </c>
      <c r="P295" s="3">
        <v>0</v>
      </c>
      <c r="Q295" s="3">
        <v>23.89</v>
      </c>
      <c r="R295" s="3">
        <v>3.1057000000000001</v>
      </c>
      <c r="S295" s="3">
        <v>0</v>
      </c>
      <c r="T295" s="3">
        <v>0</v>
      </c>
      <c r="U295" s="3">
        <v>26.995699999999999</v>
      </c>
      <c r="V295" s="3">
        <v>0</v>
      </c>
      <c r="W295" s="3" t="s">
        <v>1</v>
      </c>
    </row>
    <row r="296" spans="5:23" hidden="1" x14ac:dyDescent="0.25">
      <c r="E296" t="s">
        <v>8610</v>
      </c>
      <c r="F296" s="1" t="s">
        <v>8849</v>
      </c>
      <c r="G296" t="s">
        <v>1</v>
      </c>
      <c r="H296" t="s">
        <v>0</v>
      </c>
      <c r="I296" t="s">
        <v>8165</v>
      </c>
      <c r="J296" t="s">
        <v>8164</v>
      </c>
      <c r="K296">
        <v>13561</v>
      </c>
      <c r="L296">
        <v>13561</v>
      </c>
      <c r="M296" t="s">
        <v>8306</v>
      </c>
      <c r="N296" t="s">
        <v>8307</v>
      </c>
      <c r="O296" s="3">
        <v>0</v>
      </c>
      <c r="P296" s="3">
        <v>0</v>
      </c>
      <c r="Q296" s="3">
        <v>10.62</v>
      </c>
      <c r="R296" s="3">
        <v>1.3806</v>
      </c>
      <c r="S296" s="3">
        <v>0</v>
      </c>
      <c r="T296" s="3">
        <v>0</v>
      </c>
      <c r="U296" s="3">
        <v>12.000599999999999</v>
      </c>
      <c r="V296" s="3">
        <v>0</v>
      </c>
      <c r="W296" s="3" t="s">
        <v>1</v>
      </c>
    </row>
    <row r="297" spans="5:23" hidden="1" x14ac:dyDescent="0.25">
      <c r="E297" t="s">
        <v>8610</v>
      </c>
      <c r="F297" s="1" t="s">
        <v>8849</v>
      </c>
      <c r="G297" t="s">
        <v>1</v>
      </c>
      <c r="H297" t="s">
        <v>0</v>
      </c>
      <c r="I297" t="s">
        <v>8165</v>
      </c>
      <c r="J297" t="s">
        <v>8164</v>
      </c>
      <c r="K297">
        <v>13562</v>
      </c>
      <c r="L297">
        <v>13562</v>
      </c>
      <c r="M297" t="s">
        <v>7986</v>
      </c>
      <c r="N297" t="s">
        <v>7987</v>
      </c>
      <c r="O297" s="3">
        <v>0</v>
      </c>
      <c r="P297" s="3">
        <v>0</v>
      </c>
      <c r="Q297" s="3">
        <v>55.71</v>
      </c>
      <c r="R297" s="3">
        <v>7.2423000000000002</v>
      </c>
      <c r="S297" s="3">
        <v>0</v>
      </c>
      <c r="T297" s="3">
        <v>0</v>
      </c>
      <c r="U297" s="3">
        <v>62.952300000000001</v>
      </c>
      <c r="V297" s="3">
        <v>0</v>
      </c>
      <c r="W297" s="3" t="s">
        <v>1</v>
      </c>
    </row>
    <row r="298" spans="5:23" hidden="1" x14ac:dyDescent="0.25">
      <c r="E298" t="s">
        <v>8610</v>
      </c>
      <c r="F298" s="1" t="s">
        <v>8847</v>
      </c>
      <c r="G298" t="s">
        <v>1</v>
      </c>
      <c r="H298" t="s">
        <v>0</v>
      </c>
      <c r="I298" t="s">
        <v>8165</v>
      </c>
      <c r="J298" t="s">
        <v>8164</v>
      </c>
      <c r="K298">
        <v>13562</v>
      </c>
      <c r="L298">
        <v>13562</v>
      </c>
      <c r="M298" t="s">
        <v>7852</v>
      </c>
      <c r="N298" t="s">
        <v>7851</v>
      </c>
      <c r="O298" s="3">
        <v>0</v>
      </c>
      <c r="P298" s="3">
        <v>0</v>
      </c>
      <c r="Q298" s="3">
        <v>0</v>
      </c>
      <c r="R298" s="3">
        <v>0</v>
      </c>
      <c r="S298" s="3">
        <v>0</v>
      </c>
      <c r="T298" s="3">
        <v>0</v>
      </c>
      <c r="U298" s="3">
        <v>0</v>
      </c>
      <c r="V298" s="3">
        <v>0</v>
      </c>
      <c r="W298" s="3" t="s">
        <v>1</v>
      </c>
    </row>
    <row r="299" spans="5:23" hidden="1" x14ac:dyDescent="0.25">
      <c r="E299" t="s">
        <v>8610</v>
      </c>
      <c r="F299" s="1" t="s">
        <v>8847</v>
      </c>
      <c r="G299" t="s">
        <v>1</v>
      </c>
      <c r="H299" t="s">
        <v>0</v>
      </c>
      <c r="I299" t="s">
        <v>8165</v>
      </c>
      <c r="J299" t="s">
        <v>8164</v>
      </c>
      <c r="K299">
        <v>13563</v>
      </c>
      <c r="L299">
        <v>13563</v>
      </c>
      <c r="M299" t="s">
        <v>1423</v>
      </c>
      <c r="N299" t="s">
        <v>1424</v>
      </c>
      <c r="O299" s="3">
        <v>0</v>
      </c>
      <c r="P299" s="3">
        <v>0</v>
      </c>
      <c r="Q299" s="3">
        <v>181.2</v>
      </c>
      <c r="R299" s="3">
        <v>23.556000000000001</v>
      </c>
      <c r="S299" s="3">
        <v>0</v>
      </c>
      <c r="T299" s="3">
        <v>0</v>
      </c>
      <c r="U299" s="3">
        <v>204.756</v>
      </c>
      <c r="V299" s="3">
        <v>0</v>
      </c>
      <c r="W299" s="3" t="s">
        <v>1</v>
      </c>
    </row>
    <row r="300" spans="5:23" hidden="1" x14ac:dyDescent="0.25">
      <c r="E300" t="s">
        <v>8610</v>
      </c>
      <c r="F300" s="1" t="s">
        <v>8847</v>
      </c>
      <c r="G300" t="s">
        <v>1</v>
      </c>
      <c r="H300" t="s">
        <v>0</v>
      </c>
      <c r="I300" t="s">
        <v>8165</v>
      </c>
      <c r="J300" t="s">
        <v>8164</v>
      </c>
      <c r="K300">
        <v>13564</v>
      </c>
      <c r="L300">
        <v>13564</v>
      </c>
      <c r="M300" t="s">
        <v>8269</v>
      </c>
      <c r="N300" t="s">
        <v>8270</v>
      </c>
      <c r="O300" s="3">
        <v>0</v>
      </c>
      <c r="P300" s="3">
        <v>0</v>
      </c>
      <c r="Q300" s="3">
        <v>11.6</v>
      </c>
      <c r="R300" s="3">
        <v>1.508</v>
      </c>
      <c r="S300" s="3">
        <v>0</v>
      </c>
      <c r="T300" s="3">
        <v>0</v>
      </c>
      <c r="U300" s="3">
        <v>13.108000000000001</v>
      </c>
      <c r="V300" s="3">
        <v>0</v>
      </c>
      <c r="W300" s="3" t="s">
        <v>1</v>
      </c>
    </row>
    <row r="301" spans="5:23" hidden="1" x14ac:dyDescent="0.25">
      <c r="E301" t="s">
        <v>8610</v>
      </c>
      <c r="F301" s="1" t="s">
        <v>8847</v>
      </c>
      <c r="G301" t="s">
        <v>1</v>
      </c>
      <c r="H301" t="s">
        <v>0</v>
      </c>
      <c r="I301" t="s">
        <v>8165</v>
      </c>
      <c r="J301" t="s">
        <v>8164</v>
      </c>
      <c r="K301">
        <v>13565</v>
      </c>
      <c r="L301">
        <v>13565</v>
      </c>
      <c r="M301" t="s">
        <v>8848</v>
      </c>
      <c r="N301" t="s">
        <v>1192</v>
      </c>
      <c r="O301" s="3">
        <v>0</v>
      </c>
      <c r="P301" s="3">
        <v>0</v>
      </c>
      <c r="Q301" s="3">
        <v>344.92</v>
      </c>
      <c r="R301" s="3">
        <v>44.839600000000004</v>
      </c>
      <c r="S301" s="3">
        <v>0</v>
      </c>
      <c r="T301" s="3">
        <v>0</v>
      </c>
      <c r="U301" s="3">
        <v>389.75960000000003</v>
      </c>
      <c r="V301" s="3">
        <v>0</v>
      </c>
      <c r="W301" s="3" t="s">
        <v>1</v>
      </c>
    </row>
    <row r="302" spans="5:23" hidden="1" x14ac:dyDescent="0.25">
      <c r="E302" t="s">
        <v>8610</v>
      </c>
      <c r="F302" s="1" t="s">
        <v>8847</v>
      </c>
      <c r="G302" t="s">
        <v>1</v>
      </c>
      <c r="H302" t="s">
        <v>0</v>
      </c>
      <c r="I302" t="s">
        <v>8165</v>
      </c>
      <c r="J302" t="s">
        <v>8164</v>
      </c>
      <c r="K302">
        <v>13566</v>
      </c>
      <c r="L302">
        <v>13566</v>
      </c>
      <c r="M302" t="s">
        <v>242</v>
      </c>
      <c r="N302" t="s">
        <v>243</v>
      </c>
      <c r="O302" s="3">
        <v>0</v>
      </c>
      <c r="P302" s="3">
        <v>0</v>
      </c>
      <c r="Q302" s="3">
        <v>191.74</v>
      </c>
      <c r="R302" s="3">
        <v>24.926200000000001</v>
      </c>
      <c r="S302" s="3">
        <v>0</v>
      </c>
      <c r="T302" s="3">
        <v>0</v>
      </c>
      <c r="U302" s="3">
        <v>216.6662</v>
      </c>
      <c r="V302" s="3">
        <v>0</v>
      </c>
      <c r="W302" s="3" t="s">
        <v>1</v>
      </c>
    </row>
    <row r="303" spans="5:23" hidden="1" x14ac:dyDescent="0.25">
      <c r="E303" t="s">
        <v>8610</v>
      </c>
      <c r="F303" s="1" t="s">
        <v>8847</v>
      </c>
      <c r="G303" t="s">
        <v>1</v>
      </c>
      <c r="H303" t="s">
        <v>0</v>
      </c>
      <c r="I303" t="s">
        <v>8165</v>
      </c>
      <c r="J303" t="s">
        <v>8164</v>
      </c>
      <c r="K303">
        <v>13567</v>
      </c>
      <c r="L303">
        <v>13567</v>
      </c>
      <c r="M303" t="s">
        <v>242</v>
      </c>
      <c r="N303" t="s">
        <v>243</v>
      </c>
      <c r="O303" s="3">
        <v>0</v>
      </c>
      <c r="P303" s="3">
        <v>0</v>
      </c>
      <c r="Q303" s="3">
        <v>63.7</v>
      </c>
      <c r="R303" s="3">
        <v>8.2810000000000006</v>
      </c>
      <c r="S303" s="3">
        <v>0</v>
      </c>
      <c r="T303" s="3">
        <v>0</v>
      </c>
      <c r="U303" s="3">
        <v>71.981000000000009</v>
      </c>
      <c r="V303" s="3">
        <v>0</v>
      </c>
      <c r="W303" s="3" t="s">
        <v>1</v>
      </c>
    </row>
    <row r="304" spans="5:23" hidden="1" x14ac:dyDescent="0.25">
      <c r="E304" t="s">
        <v>8610</v>
      </c>
      <c r="F304" s="1" t="s">
        <v>8847</v>
      </c>
      <c r="G304" t="s">
        <v>1</v>
      </c>
      <c r="H304" t="s">
        <v>0</v>
      </c>
      <c r="I304" t="s">
        <v>8165</v>
      </c>
      <c r="J304" t="s">
        <v>8164</v>
      </c>
      <c r="K304">
        <v>13568</v>
      </c>
      <c r="L304">
        <v>13568</v>
      </c>
      <c r="M304" t="s">
        <v>7852</v>
      </c>
      <c r="N304" t="s">
        <v>7851</v>
      </c>
      <c r="O304" s="3">
        <v>0</v>
      </c>
      <c r="P304" s="3">
        <v>0</v>
      </c>
      <c r="Q304" s="3">
        <v>0</v>
      </c>
      <c r="R304" s="3">
        <v>0</v>
      </c>
      <c r="S304" s="3">
        <v>0</v>
      </c>
      <c r="T304" s="3">
        <v>0</v>
      </c>
      <c r="U304" s="3">
        <v>0</v>
      </c>
      <c r="V304" s="3">
        <v>0</v>
      </c>
      <c r="W304" s="3" t="s">
        <v>1</v>
      </c>
    </row>
    <row r="305" spans="5:23" hidden="1" x14ac:dyDescent="0.25">
      <c r="E305" t="s">
        <v>8610</v>
      </c>
      <c r="F305" s="1" t="s">
        <v>8847</v>
      </c>
      <c r="G305" t="s">
        <v>1</v>
      </c>
      <c r="H305" t="s">
        <v>0</v>
      </c>
      <c r="I305" t="s">
        <v>8165</v>
      </c>
      <c r="J305" t="s">
        <v>8164</v>
      </c>
      <c r="K305">
        <v>13569</v>
      </c>
      <c r="L305">
        <v>13569</v>
      </c>
      <c r="M305" t="s">
        <v>8176</v>
      </c>
      <c r="N305" t="s">
        <v>8177</v>
      </c>
      <c r="O305" s="3">
        <v>0</v>
      </c>
      <c r="P305" s="3">
        <v>0</v>
      </c>
      <c r="Q305" s="3">
        <v>47.05</v>
      </c>
      <c r="R305" s="3">
        <v>6.1165000000000003</v>
      </c>
      <c r="S305" s="3">
        <v>0</v>
      </c>
      <c r="T305" s="3">
        <v>0</v>
      </c>
      <c r="U305" s="3">
        <v>53.166499999999999</v>
      </c>
      <c r="V305" s="3">
        <v>0</v>
      </c>
      <c r="W305" s="3" t="s">
        <v>1</v>
      </c>
    </row>
    <row r="306" spans="5:23" hidden="1" x14ac:dyDescent="0.25">
      <c r="E306" t="s">
        <v>8610</v>
      </c>
      <c r="F306" s="1" t="s">
        <v>8847</v>
      </c>
      <c r="G306" t="s">
        <v>1</v>
      </c>
      <c r="H306" t="s">
        <v>0</v>
      </c>
      <c r="I306" t="s">
        <v>8165</v>
      </c>
      <c r="J306" t="s">
        <v>8164</v>
      </c>
      <c r="K306">
        <v>13570</v>
      </c>
      <c r="L306">
        <v>13570</v>
      </c>
      <c r="M306" t="s">
        <v>8188</v>
      </c>
      <c r="N306" t="s">
        <v>8189</v>
      </c>
      <c r="O306" s="3">
        <v>0</v>
      </c>
      <c r="P306" s="3">
        <v>0</v>
      </c>
      <c r="Q306" s="3">
        <v>98.4</v>
      </c>
      <c r="R306" s="3">
        <v>12.792000000000002</v>
      </c>
      <c r="S306" s="3">
        <v>0</v>
      </c>
      <c r="T306" s="3">
        <v>0</v>
      </c>
      <c r="U306" s="3">
        <v>111.19200000000001</v>
      </c>
      <c r="V306" s="3">
        <v>0</v>
      </c>
      <c r="W306" s="3" t="s">
        <v>1</v>
      </c>
    </row>
    <row r="307" spans="5:23" hidden="1" x14ac:dyDescent="0.25">
      <c r="E307" t="s">
        <v>8610</v>
      </c>
      <c r="F307" s="1" t="s">
        <v>8847</v>
      </c>
      <c r="G307" t="s">
        <v>1</v>
      </c>
      <c r="H307" t="s">
        <v>0</v>
      </c>
      <c r="I307" t="s">
        <v>8165</v>
      </c>
      <c r="J307" t="s">
        <v>8164</v>
      </c>
      <c r="K307">
        <v>13571</v>
      </c>
      <c r="L307">
        <v>13571</v>
      </c>
      <c r="M307" t="s">
        <v>8277</v>
      </c>
      <c r="N307" t="s">
        <v>8278</v>
      </c>
      <c r="O307" s="3">
        <v>0</v>
      </c>
      <c r="P307" s="3">
        <v>0</v>
      </c>
      <c r="Q307" s="3">
        <v>287.23</v>
      </c>
      <c r="R307" s="3">
        <v>37.3399</v>
      </c>
      <c r="S307" s="3">
        <v>0</v>
      </c>
      <c r="T307" s="3">
        <v>0</v>
      </c>
      <c r="U307" s="3">
        <v>324.56990000000002</v>
      </c>
      <c r="V307" s="3">
        <v>0</v>
      </c>
      <c r="W307" s="3" t="s">
        <v>1</v>
      </c>
    </row>
    <row r="308" spans="5:23" hidden="1" x14ac:dyDescent="0.25">
      <c r="E308" t="s">
        <v>8610</v>
      </c>
      <c r="F308" s="1" t="s">
        <v>8847</v>
      </c>
      <c r="G308" t="s">
        <v>1</v>
      </c>
      <c r="H308" t="s">
        <v>0</v>
      </c>
      <c r="I308" t="s">
        <v>8165</v>
      </c>
      <c r="J308" t="s">
        <v>8164</v>
      </c>
      <c r="K308">
        <v>13572</v>
      </c>
      <c r="L308">
        <v>13572</v>
      </c>
      <c r="M308">
        <v>0</v>
      </c>
      <c r="N308" t="s">
        <v>8229</v>
      </c>
      <c r="O308" s="3">
        <v>0</v>
      </c>
      <c r="P308" s="3">
        <v>0</v>
      </c>
      <c r="Q308" s="3">
        <v>169.68</v>
      </c>
      <c r="R308" s="3">
        <v>22.058400000000002</v>
      </c>
      <c r="S308" s="3">
        <v>0</v>
      </c>
      <c r="T308" s="3">
        <v>0</v>
      </c>
      <c r="U308" s="3">
        <v>191.73840000000001</v>
      </c>
      <c r="V308" s="3" t="s">
        <v>8719</v>
      </c>
      <c r="W308" s="3" t="s">
        <v>1</v>
      </c>
    </row>
    <row r="309" spans="5:23" hidden="1" x14ac:dyDescent="0.25">
      <c r="E309" t="s">
        <v>8610</v>
      </c>
      <c r="F309" s="1" t="s">
        <v>8847</v>
      </c>
      <c r="G309" t="s">
        <v>1</v>
      </c>
      <c r="H309" t="s">
        <v>0</v>
      </c>
      <c r="I309" t="s">
        <v>8165</v>
      </c>
      <c r="J309" t="s">
        <v>8164</v>
      </c>
      <c r="K309">
        <v>13573</v>
      </c>
      <c r="L309">
        <v>13573</v>
      </c>
      <c r="M309" t="s">
        <v>7852</v>
      </c>
      <c r="N309" t="s">
        <v>7851</v>
      </c>
      <c r="O309" s="3">
        <v>0</v>
      </c>
      <c r="P309" s="3">
        <v>0</v>
      </c>
      <c r="Q309" s="3">
        <v>0</v>
      </c>
      <c r="R309" s="3">
        <v>0</v>
      </c>
      <c r="S309" s="3">
        <v>0</v>
      </c>
      <c r="T309" s="3">
        <v>0</v>
      </c>
      <c r="U309" s="3">
        <v>0</v>
      </c>
      <c r="V309" s="3">
        <v>0</v>
      </c>
      <c r="W309" s="3" t="s">
        <v>1</v>
      </c>
    </row>
    <row r="310" spans="5:23" hidden="1" x14ac:dyDescent="0.25">
      <c r="E310" t="s">
        <v>8610</v>
      </c>
      <c r="F310" s="1" t="s">
        <v>8847</v>
      </c>
      <c r="G310" t="s">
        <v>1</v>
      </c>
      <c r="H310" t="s">
        <v>0</v>
      </c>
      <c r="I310" t="s">
        <v>8165</v>
      </c>
      <c r="J310" t="s">
        <v>8164</v>
      </c>
      <c r="K310">
        <v>13574</v>
      </c>
      <c r="L310">
        <v>13574</v>
      </c>
      <c r="M310" t="s">
        <v>238</v>
      </c>
      <c r="N310" t="s">
        <v>239</v>
      </c>
      <c r="O310" s="3">
        <v>0</v>
      </c>
      <c r="P310" s="3">
        <v>0</v>
      </c>
      <c r="Q310" s="3">
        <v>119.14</v>
      </c>
      <c r="R310" s="3">
        <v>15.488200000000001</v>
      </c>
      <c r="S310" s="3">
        <v>0</v>
      </c>
      <c r="T310" s="3">
        <v>0</v>
      </c>
      <c r="U310" s="3">
        <v>134.62819999999999</v>
      </c>
      <c r="V310" s="3">
        <v>0</v>
      </c>
      <c r="W310" s="3" t="s">
        <v>1</v>
      </c>
    </row>
    <row r="311" spans="5:23" hidden="1" x14ac:dyDescent="0.25">
      <c r="E311" t="s">
        <v>8610</v>
      </c>
      <c r="F311" s="1" t="s">
        <v>8847</v>
      </c>
      <c r="G311" t="s">
        <v>1</v>
      </c>
      <c r="H311" t="s">
        <v>0</v>
      </c>
      <c r="I311" t="s">
        <v>8165</v>
      </c>
      <c r="J311" t="s">
        <v>8164</v>
      </c>
      <c r="K311">
        <v>13575</v>
      </c>
      <c r="L311">
        <v>13575</v>
      </c>
      <c r="M311" t="s">
        <v>8226</v>
      </c>
      <c r="N311" t="s">
        <v>8227</v>
      </c>
      <c r="O311" s="3">
        <v>0</v>
      </c>
      <c r="P311" s="3">
        <v>0</v>
      </c>
      <c r="Q311" s="3">
        <v>338.26</v>
      </c>
      <c r="R311" s="3">
        <v>43.973799999999997</v>
      </c>
      <c r="S311" s="3">
        <v>0</v>
      </c>
      <c r="T311" s="3">
        <v>0</v>
      </c>
      <c r="U311" s="3">
        <v>382.23379999999997</v>
      </c>
      <c r="V311" s="3">
        <v>0</v>
      </c>
      <c r="W311" s="3" t="s">
        <v>1</v>
      </c>
    </row>
    <row r="312" spans="5:23" hidden="1" x14ac:dyDescent="0.25">
      <c r="E312" t="s">
        <v>8610</v>
      </c>
      <c r="F312" s="1" t="s">
        <v>8846</v>
      </c>
      <c r="G312" t="s">
        <v>1</v>
      </c>
      <c r="H312" t="s">
        <v>0</v>
      </c>
      <c r="I312" t="s">
        <v>8165</v>
      </c>
      <c r="J312" t="s">
        <v>8164</v>
      </c>
      <c r="K312">
        <v>13576</v>
      </c>
      <c r="L312">
        <v>13576</v>
      </c>
      <c r="M312" t="s">
        <v>8226</v>
      </c>
      <c r="N312" t="s">
        <v>8227</v>
      </c>
      <c r="O312" s="3">
        <v>0</v>
      </c>
      <c r="P312" s="3">
        <v>0</v>
      </c>
      <c r="Q312" s="3">
        <v>259.72000000000003</v>
      </c>
      <c r="R312" s="3">
        <v>33.763600000000004</v>
      </c>
      <c r="S312" s="3">
        <v>0</v>
      </c>
      <c r="T312" s="3">
        <v>0</v>
      </c>
      <c r="U312" s="3">
        <v>293.48360000000002</v>
      </c>
      <c r="V312" s="3">
        <v>0</v>
      </c>
      <c r="W312" s="3" t="s">
        <v>1</v>
      </c>
    </row>
    <row r="313" spans="5:23" hidden="1" x14ac:dyDescent="0.25">
      <c r="E313" t="s">
        <v>8610</v>
      </c>
      <c r="F313" s="1" t="s">
        <v>8845</v>
      </c>
      <c r="G313" t="s">
        <v>1</v>
      </c>
      <c r="H313" t="s">
        <v>0</v>
      </c>
      <c r="I313" t="s">
        <v>8165</v>
      </c>
      <c r="J313" t="s">
        <v>8164</v>
      </c>
      <c r="K313">
        <v>13577</v>
      </c>
      <c r="L313">
        <v>13577</v>
      </c>
      <c r="M313" t="s">
        <v>7852</v>
      </c>
      <c r="N313" t="s">
        <v>7851</v>
      </c>
      <c r="O313" s="3">
        <v>0</v>
      </c>
      <c r="P313" s="3">
        <v>0</v>
      </c>
      <c r="Q313" s="3">
        <v>0</v>
      </c>
      <c r="R313" s="3">
        <v>0</v>
      </c>
      <c r="S313" s="3">
        <v>0</v>
      </c>
      <c r="T313" s="3">
        <v>0</v>
      </c>
      <c r="U313" s="3">
        <v>0</v>
      </c>
      <c r="V313" s="3">
        <v>0</v>
      </c>
      <c r="W313" s="3" t="s">
        <v>1</v>
      </c>
    </row>
    <row r="314" spans="5:23" hidden="1" x14ac:dyDescent="0.25">
      <c r="E314" t="s">
        <v>8610</v>
      </c>
      <c r="F314" s="1" t="s">
        <v>8845</v>
      </c>
      <c r="G314" t="s">
        <v>1</v>
      </c>
      <c r="H314" t="s">
        <v>0</v>
      </c>
      <c r="I314" t="s">
        <v>8165</v>
      </c>
      <c r="J314" t="s">
        <v>8164</v>
      </c>
      <c r="K314">
        <v>13578</v>
      </c>
      <c r="L314">
        <v>13578</v>
      </c>
      <c r="M314" t="s">
        <v>115</v>
      </c>
      <c r="N314" t="s">
        <v>116</v>
      </c>
      <c r="O314" s="3">
        <v>0</v>
      </c>
      <c r="P314" s="3">
        <v>0</v>
      </c>
      <c r="Q314" s="3">
        <v>1088.6400000000001</v>
      </c>
      <c r="R314" s="3">
        <v>141.52320000000003</v>
      </c>
      <c r="S314" s="3">
        <v>0</v>
      </c>
      <c r="T314" s="3">
        <v>0</v>
      </c>
      <c r="U314" s="3">
        <v>1230.1632000000002</v>
      </c>
      <c r="V314" s="3">
        <v>0</v>
      </c>
      <c r="W314" s="3" t="s">
        <v>1</v>
      </c>
    </row>
    <row r="315" spans="5:23" hidden="1" x14ac:dyDescent="0.25">
      <c r="E315" t="s">
        <v>8610</v>
      </c>
      <c r="F315" s="1" t="s">
        <v>8845</v>
      </c>
      <c r="G315" t="s">
        <v>1</v>
      </c>
      <c r="H315" t="s">
        <v>0</v>
      </c>
      <c r="I315" t="s">
        <v>8165</v>
      </c>
      <c r="J315" t="s">
        <v>8164</v>
      </c>
      <c r="K315">
        <v>13579</v>
      </c>
      <c r="L315">
        <v>13579</v>
      </c>
      <c r="M315" t="s">
        <v>8328</v>
      </c>
      <c r="N315" t="s">
        <v>8294</v>
      </c>
      <c r="O315" s="3">
        <v>0</v>
      </c>
      <c r="P315" s="3">
        <v>0</v>
      </c>
      <c r="Q315" s="3">
        <v>1190</v>
      </c>
      <c r="R315" s="3">
        <v>154.70000000000002</v>
      </c>
      <c r="S315" s="3">
        <v>0</v>
      </c>
      <c r="T315" s="3">
        <v>0</v>
      </c>
      <c r="U315" s="3">
        <v>1344.7</v>
      </c>
      <c r="V315" s="3">
        <v>0</v>
      </c>
      <c r="W315" s="3" t="s">
        <v>1</v>
      </c>
    </row>
    <row r="316" spans="5:23" hidden="1" x14ac:dyDescent="0.25">
      <c r="E316" t="s">
        <v>8610</v>
      </c>
      <c r="F316" s="1" t="s">
        <v>8845</v>
      </c>
      <c r="G316" t="s">
        <v>1</v>
      </c>
      <c r="H316" t="s">
        <v>0</v>
      </c>
      <c r="I316" t="s">
        <v>8165</v>
      </c>
      <c r="J316" t="s">
        <v>8164</v>
      </c>
      <c r="K316">
        <v>13580</v>
      </c>
      <c r="L316">
        <v>13580</v>
      </c>
      <c r="M316" t="s">
        <v>8226</v>
      </c>
      <c r="N316" t="s">
        <v>8227</v>
      </c>
      <c r="O316" s="3">
        <v>0</v>
      </c>
      <c r="P316" s="3">
        <v>0</v>
      </c>
      <c r="Q316" s="3">
        <v>31.86</v>
      </c>
      <c r="R316" s="3">
        <v>4.1417999999999999</v>
      </c>
      <c r="S316" s="3">
        <v>0</v>
      </c>
      <c r="T316" s="3">
        <v>0</v>
      </c>
      <c r="U316" s="3">
        <v>36.001800000000003</v>
      </c>
      <c r="V316" s="3">
        <v>0</v>
      </c>
      <c r="W316" s="3" t="s">
        <v>1</v>
      </c>
    </row>
    <row r="317" spans="5:23" hidden="1" x14ac:dyDescent="0.25">
      <c r="E317" t="s">
        <v>8610</v>
      </c>
      <c r="F317" s="1" t="s">
        <v>8845</v>
      </c>
      <c r="G317" t="s">
        <v>1</v>
      </c>
      <c r="H317" t="s">
        <v>0</v>
      </c>
      <c r="I317" t="s">
        <v>8165</v>
      </c>
      <c r="J317" t="s">
        <v>8164</v>
      </c>
      <c r="K317">
        <v>13581</v>
      </c>
      <c r="L317">
        <v>13581</v>
      </c>
      <c r="M317" t="s">
        <v>8269</v>
      </c>
      <c r="N317" t="s">
        <v>8270</v>
      </c>
      <c r="O317" s="3">
        <v>0</v>
      </c>
      <c r="P317" s="3">
        <v>0</v>
      </c>
      <c r="Q317" s="3">
        <v>20.72</v>
      </c>
      <c r="R317" s="3">
        <v>2.6936</v>
      </c>
      <c r="S317" s="3">
        <v>0</v>
      </c>
      <c r="T317" s="3">
        <v>0</v>
      </c>
      <c r="U317" s="3">
        <v>23.413599999999999</v>
      </c>
      <c r="V317" s="3">
        <v>0</v>
      </c>
      <c r="W317" s="3" t="s">
        <v>1</v>
      </c>
    </row>
    <row r="318" spans="5:23" hidden="1" x14ac:dyDescent="0.25">
      <c r="E318" t="s">
        <v>8610</v>
      </c>
      <c r="F318" s="1" t="s">
        <v>8845</v>
      </c>
      <c r="G318" t="s">
        <v>1</v>
      </c>
      <c r="H318" t="s">
        <v>0</v>
      </c>
      <c r="I318" t="s">
        <v>8165</v>
      </c>
      <c r="J318" t="s">
        <v>8164</v>
      </c>
      <c r="K318">
        <v>13582</v>
      </c>
      <c r="L318">
        <v>13582</v>
      </c>
      <c r="M318" t="s">
        <v>8791</v>
      </c>
      <c r="N318" t="s">
        <v>8792</v>
      </c>
      <c r="O318" s="3">
        <v>0</v>
      </c>
      <c r="P318" s="3">
        <v>0</v>
      </c>
      <c r="Q318" s="3">
        <v>135</v>
      </c>
      <c r="R318" s="3">
        <v>17.55</v>
      </c>
      <c r="S318" s="3">
        <v>0</v>
      </c>
      <c r="T318" s="3">
        <v>0</v>
      </c>
      <c r="U318" s="3">
        <v>152.55000000000001</v>
      </c>
      <c r="V318" s="3">
        <v>0</v>
      </c>
      <c r="W318" s="3" t="s">
        <v>1</v>
      </c>
    </row>
    <row r="319" spans="5:23" hidden="1" x14ac:dyDescent="0.25">
      <c r="E319" t="s">
        <v>8610</v>
      </c>
      <c r="F319" s="1" t="s">
        <v>8845</v>
      </c>
      <c r="G319" t="s">
        <v>1</v>
      </c>
      <c r="H319" t="s">
        <v>0</v>
      </c>
      <c r="I319" t="s">
        <v>8165</v>
      </c>
      <c r="J319" t="s">
        <v>8164</v>
      </c>
      <c r="K319">
        <v>13583</v>
      </c>
      <c r="L319">
        <v>13583</v>
      </c>
      <c r="M319" t="s">
        <v>734</v>
      </c>
      <c r="N319" t="s">
        <v>735</v>
      </c>
      <c r="O319" s="3">
        <v>0</v>
      </c>
      <c r="P319" s="3">
        <v>0</v>
      </c>
      <c r="Q319" s="3">
        <v>707.24</v>
      </c>
      <c r="R319" s="3">
        <v>91.941200000000009</v>
      </c>
      <c r="S319" s="3">
        <v>0</v>
      </c>
      <c r="T319" s="3">
        <v>0</v>
      </c>
      <c r="U319" s="3">
        <v>799.18119999999999</v>
      </c>
      <c r="V319" s="3">
        <v>0</v>
      </c>
      <c r="W319" s="3" t="s">
        <v>1</v>
      </c>
    </row>
    <row r="320" spans="5:23" hidden="1" x14ac:dyDescent="0.25">
      <c r="E320" t="s">
        <v>8610</v>
      </c>
      <c r="F320" s="1" t="s">
        <v>8845</v>
      </c>
      <c r="G320" t="s">
        <v>1</v>
      </c>
      <c r="H320" t="s">
        <v>0</v>
      </c>
      <c r="I320" t="s">
        <v>8165</v>
      </c>
      <c r="J320" t="s">
        <v>8164</v>
      </c>
      <c r="K320">
        <v>13584</v>
      </c>
      <c r="L320">
        <v>13584</v>
      </c>
      <c r="M320" t="s">
        <v>8269</v>
      </c>
      <c r="N320" t="s">
        <v>8270</v>
      </c>
      <c r="O320" s="3">
        <v>0</v>
      </c>
      <c r="P320" s="3">
        <v>0</v>
      </c>
      <c r="Q320" s="3">
        <v>15.06</v>
      </c>
      <c r="R320" s="3">
        <v>1.9578000000000002</v>
      </c>
      <c r="S320" s="3">
        <v>0</v>
      </c>
      <c r="T320" s="3">
        <v>0</v>
      </c>
      <c r="U320" s="3">
        <v>17.017800000000001</v>
      </c>
      <c r="V320" s="3">
        <v>0</v>
      </c>
      <c r="W320" s="3" t="s">
        <v>1</v>
      </c>
    </row>
    <row r="321" spans="5:23" hidden="1" x14ac:dyDescent="0.25">
      <c r="E321" t="s">
        <v>8610</v>
      </c>
      <c r="F321" s="1" t="s">
        <v>8845</v>
      </c>
      <c r="G321" t="s">
        <v>1</v>
      </c>
      <c r="H321" t="s">
        <v>0</v>
      </c>
      <c r="I321" t="s">
        <v>8165</v>
      </c>
      <c r="J321" t="s">
        <v>8164</v>
      </c>
      <c r="K321">
        <v>13585</v>
      </c>
      <c r="L321">
        <v>13585</v>
      </c>
      <c r="M321" t="s">
        <v>8249</v>
      </c>
      <c r="N321" t="s">
        <v>8250</v>
      </c>
      <c r="O321" s="3">
        <v>0</v>
      </c>
      <c r="P321" s="3">
        <v>0</v>
      </c>
      <c r="Q321" s="3">
        <v>74.09</v>
      </c>
      <c r="R321" s="3">
        <v>9.6317000000000004</v>
      </c>
      <c r="S321" s="3">
        <v>0</v>
      </c>
      <c r="T321" s="3">
        <v>0</v>
      </c>
      <c r="U321" s="3">
        <v>83.721699999999998</v>
      </c>
      <c r="V321" s="3">
        <v>0</v>
      </c>
      <c r="W321" s="3" t="s">
        <v>1</v>
      </c>
    </row>
    <row r="322" spans="5:23" hidden="1" x14ac:dyDescent="0.25">
      <c r="E322" t="s">
        <v>8610</v>
      </c>
      <c r="F322" s="1" t="s">
        <v>8845</v>
      </c>
      <c r="G322" t="s">
        <v>1</v>
      </c>
      <c r="H322" t="s">
        <v>0</v>
      </c>
      <c r="I322" t="s">
        <v>8165</v>
      </c>
      <c r="J322" t="s">
        <v>8164</v>
      </c>
      <c r="K322">
        <v>13586</v>
      </c>
      <c r="L322">
        <v>13586</v>
      </c>
      <c r="M322" t="s">
        <v>129</v>
      </c>
      <c r="N322" t="s">
        <v>130</v>
      </c>
      <c r="O322" s="3">
        <v>0</v>
      </c>
      <c r="P322" s="3">
        <v>0</v>
      </c>
      <c r="Q322" s="3">
        <v>428.44</v>
      </c>
      <c r="R322" s="3">
        <v>55.697200000000002</v>
      </c>
      <c r="S322" s="3">
        <v>0</v>
      </c>
      <c r="T322" s="3">
        <v>0</v>
      </c>
      <c r="U322" s="3">
        <v>484.13720000000001</v>
      </c>
      <c r="V322" s="3">
        <v>0</v>
      </c>
      <c r="W322" s="3" t="s">
        <v>1</v>
      </c>
    </row>
    <row r="323" spans="5:23" hidden="1" x14ac:dyDescent="0.25">
      <c r="E323" t="s">
        <v>8610</v>
      </c>
      <c r="F323" s="1" t="s">
        <v>8845</v>
      </c>
      <c r="G323" t="s">
        <v>1</v>
      </c>
      <c r="H323" t="s">
        <v>0</v>
      </c>
      <c r="I323" t="s">
        <v>8165</v>
      </c>
      <c r="J323" t="s">
        <v>8164</v>
      </c>
      <c r="K323">
        <v>13587</v>
      </c>
      <c r="L323">
        <v>13587</v>
      </c>
      <c r="M323" t="s">
        <v>8224</v>
      </c>
      <c r="N323" t="s">
        <v>8225</v>
      </c>
      <c r="O323" s="3">
        <v>0</v>
      </c>
      <c r="P323" s="3">
        <v>0</v>
      </c>
      <c r="Q323" s="3">
        <v>87.61</v>
      </c>
      <c r="R323" s="3">
        <v>11.3893</v>
      </c>
      <c r="S323" s="3">
        <v>0</v>
      </c>
      <c r="T323" s="3">
        <v>0</v>
      </c>
      <c r="U323" s="3">
        <v>98.999300000000005</v>
      </c>
      <c r="V323" s="3">
        <v>0</v>
      </c>
      <c r="W323" s="3" t="s">
        <v>1</v>
      </c>
    </row>
    <row r="324" spans="5:23" hidden="1" x14ac:dyDescent="0.25">
      <c r="E324" t="s">
        <v>8610</v>
      </c>
      <c r="F324" s="1" t="s">
        <v>8845</v>
      </c>
      <c r="G324" t="s">
        <v>1</v>
      </c>
      <c r="H324" t="s">
        <v>0</v>
      </c>
      <c r="I324" t="s">
        <v>8165</v>
      </c>
      <c r="J324" t="s">
        <v>8164</v>
      </c>
      <c r="K324">
        <v>13588</v>
      </c>
      <c r="L324">
        <v>13588</v>
      </c>
      <c r="M324" t="s">
        <v>8226</v>
      </c>
      <c r="N324" t="s">
        <v>8227</v>
      </c>
      <c r="O324" s="3">
        <v>0</v>
      </c>
      <c r="P324" s="3">
        <v>0</v>
      </c>
      <c r="Q324" s="3">
        <v>62.21</v>
      </c>
      <c r="R324" s="3">
        <v>8.0873000000000008</v>
      </c>
      <c r="S324" s="3">
        <v>0</v>
      </c>
      <c r="T324" s="3">
        <v>0</v>
      </c>
      <c r="U324" s="3">
        <v>70.297300000000007</v>
      </c>
      <c r="V324" s="3">
        <v>0</v>
      </c>
      <c r="W324" s="3" t="s">
        <v>1</v>
      </c>
    </row>
    <row r="325" spans="5:23" hidden="1" x14ac:dyDescent="0.25">
      <c r="E325" t="s">
        <v>8610</v>
      </c>
      <c r="F325" s="1" t="s">
        <v>8845</v>
      </c>
      <c r="G325" t="s">
        <v>1</v>
      </c>
      <c r="H325" t="s">
        <v>0</v>
      </c>
      <c r="I325" t="s">
        <v>8165</v>
      </c>
      <c r="J325" t="s">
        <v>8164</v>
      </c>
      <c r="K325">
        <v>13589</v>
      </c>
      <c r="L325">
        <v>13589</v>
      </c>
      <c r="M325" t="s">
        <v>8226</v>
      </c>
      <c r="N325" t="s">
        <v>8227</v>
      </c>
      <c r="O325" s="3">
        <v>0</v>
      </c>
      <c r="P325" s="3">
        <v>0</v>
      </c>
      <c r="Q325" s="3">
        <v>46.37</v>
      </c>
      <c r="R325" s="3">
        <v>6.0281000000000002</v>
      </c>
      <c r="S325" s="3">
        <v>0</v>
      </c>
      <c r="T325" s="3">
        <v>0</v>
      </c>
      <c r="U325" s="3">
        <v>52.398099999999999</v>
      </c>
      <c r="V325" s="3">
        <v>0</v>
      </c>
      <c r="W325" s="3" t="s">
        <v>1</v>
      </c>
    </row>
    <row r="326" spans="5:23" hidden="1" x14ac:dyDescent="0.25">
      <c r="E326" t="s">
        <v>8610</v>
      </c>
      <c r="F326" s="1" t="s">
        <v>8845</v>
      </c>
      <c r="G326" t="s">
        <v>1</v>
      </c>
      <c r="H326" t="s">
        <v>0</v>
      </c>
      <c r="I326" t="s">
        <v>8165</v>
      </c>
      <c r="J326" t="s">
        <v>8164</v>
      </c>
      <c r="K326">
        <v>13590</v>
      </c>
      <c r="L326">
        <v>13590</v>
      </c>
      <c r="M326" t="s">
        <v>7986</v>
      </c>
      <c r="N326" t="s">
        <v>7987</v>
      </c>
      <c r="O326" s="3">
        <v>0</v>
      </c>
      <c r="P326" s="3">
        <v>0</v>
      </c>
      <c r="Q326" s="3">
        <v>31.68</v>
      </c>
      <c r="R326" s="3">
        <v>4.1184000000000003</v>
      </c>
      <c r="S326" s="3">
        <v>0</v>
      </c>
      <c r="T326" s="3">
        <v>0</v>
      </c>
      <c r="U326" s="3">
        <v>35.798400000000001</v>
      </c>
      <c r="V326" s="3">
        <v>0</v>
      </c>
      <c r="W326" s="3" t="s">
        <v>1</v>
      </c>
    </row>
    <row r="327" spans="5:23" hidden="1" x14ac:dyDescent="0.25">
      <c r="E327" t="s">
        <v>8610</v>
      </c>
      <c r="F327" s="1" t="s">
        <v>8845</v>
      </c>
      <c r="G327" t="s">
        <v>1</v>
      </c>
      <c r="H327" t="s">
        <v>0</v>
      </c>
      <c r="I327" t="s">
        <v>8165</v>
      </c>
      <c r="J327" t="s">
        <v>8164</v>
      </c>
      <c r="K327">
        <v>13591</v>
      </c>
      <c r="L327">
        <v>13591</v>
      </c>
      <c r="M327" t="s">
        <v>436</v>
      </c>
      <c r="N327" t="s">
        <v>437</v>
      </c>
      <c r="O327" s="3">
        <v>0</v>
      </c>
      <c r="P327" s="3">
        <v>0</v>
      </c>
      <c r="Q327" s="3">
        <v>323.44</v>
      </c>
      <c r="R327" s="3">
        <v>42.047200000000004</v>
      </c>
      <c r="S327" s="3">
        <v>0</v>
      </c>
      <c r="T327" s="3">
        <v>0</v>
      </c>
      <c r="U327" s="3">
        <v>365.48720000000003</v>
      </c>
      <c r="V327" s="3">
        <v>0</v>
      </c>
      <c r="W327" s="3" t="s">
        <v>1</v>
      </c>
    </row>
    <row r="328" spans="5:23" hidden="1" x14ac:dyDescent="0.25">
      <c r="E328" t="s">
        <v>8610</v>
      </c>
      <c r="F328" s="1" t="s">
        <v>8845</v>
      </c>
      <c r="G328" t="s">
        <v>1</v>
      </c>
      <c r="H328" t="s">
        <v>0</v>
      </c>
      <c r="I328" t="s">
        <v>8165</v>
      </c>
      <c r="J328" t="s">
        <v>8164</v>
      </c>
      <c r="K328">
        <v>13592</v>
      </c>
      <c r="L328">
        <v>13592</v>
      </c>
      <c r="M328" t="s">
        <v>436</v>
      </c>
      <c r="N328" t="s">
        <v>437</v>
      </c>
      <c r="O328" s="3">
        <v>0</v>
      </c>
      <c r="P328" s="3">
        <v>0</v>
      </c>
      <c r="Q328" s="3">
        <v>56.76</v>
      </c>
      <c r="R328" s="3">
        <v>7.3788</v>
      </c>
      <c r="S328" s="3">
        <v>0</v>
      </c>
      <c r="T328" s="3">
        <v>0</v>
      </c>
      <c r="U328" s="3">
        <v>64.138800000000003</v>
      </c>
      <c r="V328" s="3">
        <v>0</v>
      </c>
      <c r="W328" s="3" t="s">
        <v>1</v>
      </c>
    </row>
    <row r="329" spans="5:23" hidden="1" x14ac:dyDescent="0.25">
      <c r="E329" t="s">
        <v>8610</v>
      </c>
      <c r="F329" s="1" t="s">
        <v>8845</v>
      </c>
      <c r="G329" t="s">
        <v>1</v>
      </c>
      <c r="H329" t="s">
        <v>0</v>
      </c>
      <c r="I329" t="s">
        <v>8165</v>
      </c>
      <c r="J329" t="s">
        <v>8164</v>
      </c>
      <c r="K329">
        <v>13593</v>
      </c>
      <c r="L329">
        <v>13593</v>
      </c>
      <c r="M329" t="s">
        <v>7852</v>
      </c>
      <c r="N329" t="s">
        <v>7851</v>
      </c>
      <c r="O329" s="3">
        <v>0</v>
      </c>
      <c r="P329" s="3">
        <v>0</v>
      </c>
      <c r="Q329" s="3">
        <v>0</v>
      </c>
      <c r="R329" s="3">
        <v>0</v>
      </c>
      <c r="S329" s="3">
        <v>0</v>
      </c>
      <c r="T329" s="3">
        <v>0</v>
      </c>
      <c r="U329" s="3">
        <v>0</v>
      </c>
      <c r="V329" s="3">
        <v>0</v>
      </c>
      <c r="W329" s="3" t="s">
        <v>1</v>
      </c>
    </row>
    <row r="330" spans="5:23" hidden="1" x14ac:dyDescent="0.25">
      <c r="E330" t="s">
        <v>8610</v>
      </c>
      <c r="F330" s="1" t="s">
        <v>8845</v>
      </c>
      <c r="G330" t="s">
        <v>1</v>
      </c>
      <c r="H330" t="s">
        <v>0</v>
      </c>
      <c r="I330" t="s">
        <v>8165</v>
      </c>
      <c r="J330" t="s">
        <v>8164</v>
      </c>
      <c r="K330">
        <v>13594</v>
      </c>
      <c r="L330">
        <v>13594</v>
      </c>
      <c r="M330">
        <v>0</v>
      </c>
      <c r="N330" t="s">
        <v>8229</v>
      </c>
      <c r="O330" s="3">
        <v>0</v>
      </c>
      <c r="P330" s="3">
        <v>0</v>
      </c>
      <c r="Q330" s="3">
        <v>226.24</v>
      </c>
      <c r="R330" s="3">
        <v>29.411200000000001</v>
      </c>
      <c r="S330" s="3">
        <v>0</v>
      </c>
      <c r="T330" s="3">
        <v>0</v>
      </c>
      <c r="U330" s="3">
        <v>255.65120000000002</v>
      </c>
      <c r="V330" s="3" t="s">
        <v>8719</v>
      </c>
      <c r="W330" s="3" t="s">
        <v>1</v>
      </c>
    </row>
    <row r="331" spans="5:23" hidden="1" x14ac:dyDescent="0.25">
      <c r="E331" t="s">
        <v>8610</v>
      </c>
      <c r="F331" s="1" t="s">
        <v>8845</v>
      </c>
      <c r="G331" t="s">
        <v>1</v>
      </c>
      <c r="H331" t="s">
        <v>0</v>
      </c>
      <c r="I331" t="s">
        <v>8165</v>
      </c>
      <c r="J331" t="s">
        <v>8164</v>
      </c>
      <c r="K331">
        <v>13595</v>
      </c>
      <c r="L331">
        <v>13595</v>
      </c>
      <c r="M331" t="s">
        <v>8243</v>
      </c>
      <c r="N331" t="s">
        <v>8244</v>
      </c>
      <c r="O331" s="3">
        <v>0</v>
      </c>
      <c r="P331" s="3">
        <v>0</v>
      </c>
      <c r="Q331" s="3">
        <v>26.94</v>
      </c>
      <c r="R331" s="3">
        <v>3.5022000000000002</v>
      </c>
      <c r="S331" s="3">
        <v>0</v>
      </c>
      <c r="T331" s="3">
        <v>0</v>
      </c>
      <c r="U331" s="3">
        <v>30.4422</v>
      </c>
      <c r="V331" s="3">
        <v>0</v>
      </c>
      <c r="W331" s="3" t="s">
        <v>1</v>
      </c>
    </row>
    <row r="332" spans="5:23" hidden="1" x14ac:dyDescent="0.25">
      <c r="E332" t="s">
        <v>8610</v>
      </c>
      <c r="F332" s="1" t="s">
        <v>8845</v>
      </c>
      <c r="G332" t="s">
        <v>1</v>
      </c>
      <c r="H332" t="s">
        <v>0</v>
      </c>
      <c r="I332" t="s">
        <v>8165</v>
      </c>
      <c r="J332" t="s">
        <v>8164</v>
      </c>
      <c r="K332">
        <v>13596</v>
      </c>
      <c r="L332">
        <v>13596</v>
      </c>
      <c r="M332" t="s">
        <v>8287</v>
      </c>
      <c r="N332" t="s">
        <v>8288</v>
      </c>
      <c r="O332" s="3">
        <v>0</v>
      </c>
      <c r="P332" s="3">
        <v>0</v>
      </c>
      <c r="Q332" s="3">
        <v>58.15</v>
      </c>
      <c r="R332" s="3">
        <v>7.5594999999999999</v>
      </c>
      <c r="S332" s="3">
        <v>0</v>
      </c>
      <c r="T332" s="3">
        <v>0</v>
      </c>
      <c r="U332" s="3">
        <v>65.709499999999991</v>
      </c>
      <c r="V332" s="3">
        <v>0</v>
      </c>
      <c r="W332" s="3" t="s">
        <v>1</v>
      </c>
    </row>
    <row r="333" spans="5:23" hidden="1" x14ac:dyDescent="0.25">
      <c r="E333" t="s">
        <v>8610</v>
      </c>
      <c r="F333" s="1" t="s">
        <v>8845</v>
      </c>
      <c r="G333" t="s">
        <v>1</v>
      </c>
      <c r="H333" t="s">
        <v>0</v>
      </c>
      <c r="I333" t="s">
        <v>8165</v>
      </c>
      <c r="J333" t="s">
        <v>8164</v>
      </c>
      <c r="K333">
        <v>13597</v>
      </c>
      <c r="L333">
        <v>13597</v>
      </c>
      <c r="M333" t="s">
        <v>164</v>
      </c>
      <c r="N333" t="s">
        <v>165</v>
      </c>
      <c r="O333" s="3">
        <v>0</v>
      </c>
      <c r="P333" s="3">
        <v>0</v>
      </c>
      <c r="Q333" s="3">
        <v>107.54</v>
      </c>
      <c r="R333" s="3">
        <v>13.980200000000002</v>
      </c>
      <c r="S333" s="3">
        <v>0</v>
      </c>
      <c r="T333" s="3">
        <v>0</v>
      </c>
      <c r="U333" s="3">
        <v>121.5202</v>
      </c>
      <c r="V333" s="3">
        <v>0</v>
      </c>
      <c r="W333" s="3" t="s">
        <v>1</v>
      </c>
    </row>
    <row r="334" spans="5:23" hidden="1" x14ac:dyDescent="0.25">
      <c r="E334" t="s">
        <v>8610</v>
      </c>
      <c r="F334" s="1" t="s">
        <v>8845</v>
      </c>
      <c r="G334" t="s">
        <v>1</v>
      </c>
      <c r="H334" t="s">
        <v>0</v>
      </c>
      <c r="I334" t="s">
        <v>8165</v>
      </c>
      <c r="J334" t="s">
        <v>8164</v>
      </c>
      <c r="K334">
        <v>13598</v>
      </c>
      <c r="L334">
        <v>13598</v>
      </c>
      <c r="M334">
        <v>0</v>
      </c>
      <c r="N334" t="s">
        <v>8229</v>
      </c>
      <c r="O334" s="3">
        <v>0</v>
      </c>
      <c r="P334" s="3">
        <v>0</v>
      </c>
      <c r="Q334" s="3">
        <v>261.24</v>
      </c>
      <c r="R334" s="3">
        <v>33.961200000000005</v>
      </c>
      <c r="S334" s="3">
        <v>0</v>
      </c>
      <c r="T334" s="3">
        <v>0</v>
      </c>
      <c r="U334" s="3">
        <v>295.20120000000003</v>
      </c>
      <c r="V334" s="3" t="s">
        <v>8719</v>
      </c>
      <c r="W334" s="3" t="s">
        <v>1</v>
      </c>
    </row>
    <row r="335" spans="5:23" hidden="1" x14ac:dyDescent="0.25">
      <c r="E335" t="s">
        <v>8610</v>
      </c>
      <c r="F335" s="1" t="s">
        <v>8845</v>
      </c>
      <c r="G335" t="s">
        <v>1</v>
      </c>
      <c r="H335" t="s">
        <v>0</v>
      </c>
      <c r="I335" t="s">
        <v>8165</v>
      </c>
      <c r="J335" t="s">
        <v>8164</v>
      </c>
      <c r="K335">
        <v>13599</v>
      </c>
      <c r="L335">
        <v>13599</v>
      </c>
      <c r="M335" t="s">
        <v>8265</v>
      </c>
      <c r="N335" t="s">
        <v>8266</v>
      </c>
      <c r="O335" s="3">
        <v>0</v>
      </c>
      <c r="P335" s="3">
        <v>0</v>
      </c>
      <c r="Q335" s="3">
        <v>786.75</v>
      </c>
      <c r="R335" s="3">
        <v>102.2775</v>
      </c>
      <c r="S335" s="3">
        <v>0</v>
      </c>
      <c r="T335" s="3">
        <v>0</v>
      </c>
      <c r="U335" s="3">
        <v>889.02750000000003</v>
      </c>
      <c r="V335" s="3">
        <v>0</v>
      </c>
      <c r="W335" s="3" t="s">
        <v>1</v>
      </c>
    </row>
    <row r="336" spans="5:23" hidden="1" x14ac:dyDescent="0.25">
      <c r="E336" t="s">
        <v>8610</v>
      </c>
      <c r="F336" s="1" t="s">
        <v>8844</v>
      </c>
      <c r="G336" t="s">
        <v>1</v>
      </c>
      <c r="H336" t="s">
        <v>0</v>
      </c>
      <c r="I336" t="s">
        <v>8165</v>
      </c>
      <c r="J336" t="s">
        <v>8164</v>
      </c>
      <c r="K336">
        <v>13600</v>
      </c>
      <c r="L336">
        <v>13600</v>
      </c>
      <c r="M336" t="s">
        <v>1273</v>
      </c>
      <c r="N336" t="s">
        <v>1274</v>
      </c>
      <c r="O336" s="3">
        <v>0</v>
      </c>
      <c r="P336" s="3">
        <v>0</v>
      </c>
      <c r="Q336" s="3">
        <v>427.42</v>
      </c>
      <c r="R336" s="3">
        <v>55.564600000000006</v>
      </c>
      <c r="S336" s="3">
        <v>0</v>
      </c>
      <c r="T336" s="3">
        <v>0</v>
      </c>
      <c r="U336" s="3">
        <v>482.9846</v>
      </c>
      <c r="V336" s="3">
        <v>0</v>
      </c>
      <c r="W336" s="3" t="s">
        <v>1</v>
      </c>
    </row>
    <row r="337" spans="5:23" hidden="1" x14ac:dyDescent="0.25">
      <c r="E337" t="s">
        <v>8610</v>
      </c>
      <c r="F337" s="1" t="s">
        <v>8844</v>
      </c>
      <c r="G337" t="s">
        <v>1</v>
      </c>
      <c r="H337" t="s">
        <v>0</v>
      </c>
      <c r="I337" t="s">
        <v>8165</v>
      </c>
      <c r="J337" t="s">
        <v>8164</v>
      </c>
      <c r="K337">
        <v>13601</v>
      </c>
      <c r="L337">
        <v>13601</v>
      </c>
      <c r="M337" t="s">
        <v>8547</v>
      </c>
      <c r="N337" t="s">
        <v>8548</v>
      </c>
      <c r="O337" s="3">
        <v>0</v>
      </c>
      <c r="P337" s="3">
        <v>0</v>
      </c>
      <c r="Q337" s="3">
        <v>36.9</v>
      </c>
      <c r="R337" s="3">
        <v>4.7969999999999997</v>
      </c>
      <c r="S337" s="3">
        <v>0</v>
      </c>
      <c r="T337" s="3">
        <v>0</v>
      </c>
      <c r="U337" s="3">
        <v>41.696999999999996</v>
      </c>
      <c r="V337" s="3">
        <v>0</v>
      </c>
      <c r="W337" s="3" t="s">
        <v>1</v>
      </c>
    </row>
    <row r="338" spans="5:23" hidden="1" x14ac:dyDescent="0.25">
      <c r="E338" t="s">
        <v>8610</v>
      </c>
      <c r="F338" s="1" t="s">
        <v>8844</v>
      </c>
      <c r="G338" t="s">
        <v>1</v>
      </c>
      <c r="H338" t="s">
        <v>0</v>
      </c>
      <c r="I338" t="s">
        <v>8165</v>
      </c>
      <c r="J338" t="s">
        <v>8164</v>
      </c>
      <c r="K338">
        <v>13602</v>
      </c>
      <c r="L338">
        <v>13602</v>
      </c>
      <c r="M338" t="s">
        <v>8255</v>
      </c>
      <c r="N338" t="s">
        <v>8256</v>
      </c>
      <c r="O338" s="3">
        <v>0</v>
      </c>
      <c r="P338" s="3">
        <v>0</v>
      </c>
      <c r="Q338" s="3">
        <v>192</v>
      </c>
      <c r="R338" s="3">
        <v>24.96</v>
      </c>
      <c r="S338" s="3">
        <v>0</v>
      </c>
      <c r="T338" s="3">
        <v>0</v>
      </c>
      <c r="U338" s="3">
        <v>216.96</v>
      </c>
      <c r="V338" s="3">
        <v>0</v>
      </c>
      <c r="W338" s="3" t="s">
        <v>1</v>
      </c>
    </row>
    <row r="339" spans="5:23" hidden="1" x14ac:dyDescent="0.25">
      <c r="E339" t="s">
        <v>8610</v>
      </c>
      <c r="F339" s="1" t="s">
        <v>8844</v>
      </c>
      <c r="G339" t="s">
        <v>1</v>
      </c>
      <c r="H339" t="s">
        <v>0</v>
      </c>
      <c r="I339" t="s">
        <v>8165</v>
      </c>
      <c r="J339" t="s">
        <v>8164</v>
      </c>
      <c r="K339">
        <v>13603</v>
      </c>
      <c r="L339">
        <v>13603</v>
      </c>
      <c r="M339" t="s">
        <v>734</v>
      </c>
      <c r="N339" t="s">
        <v>735</v>
      </c>
      <c r="O339" s="3">
        <v>0</v>
      </c>
      <c r="P339" s="3">
        <v>0</v>
      </c>
      <c r="Q339" s="3">
        <v>764.58</v>
      </c>
      <c r="R339" s="3">
        <v>99.395400000000009</v>
      </c>
      <c r="S339" s="3">
        <v>0</v>
      </c>
      <c r="T339" s="3">
        <v>0</v>
      </c>
      <c r="U339" s="3">
        <v>863.97540000000004</v>
      </c>
      <c r="V339" s="3">
        <v>0</v>
      </c>
      <c r="W339" s="3" t="s">
        <v>1</v>
      </c>
    </row>
    <row r="340" spans="5:23" hidden="1" x14ac:dyDescent="0.25">
      <c r="E340" t="s">
        <v>8610</v>
      </c>
      <c r="F340" s="1" t="s">
        <v>8844</v>
      </c>
      <c r="G340" t="s">
        <v>1</v>
      </c>
      <c r="H340" t="s">
        <v>0</v>
      </c>
      <c r="I340" t="s">
        <v>8165</v>
      </c>
      <c r="J340" t="s">
        <v>8164</v>
      </c>
      <c r="K340">
        <v>13604</v>
      </c>
      <c r="L340">
        <v>13604</v>
      </c>
      <c r="M340" t="s">
        <v>8310</v>
      </c>
      <c r="N340" t="s">
        <v>8311</v>
      </c>
      <c r="O340" s="3">
        <v>0</v>
      </c>
      <c r="P340" s="3">
        <v>0</v>
      </c>
      <c r="Q340" s="3">
        <v>22.4</v>
      </c>
      <c r="R340" s="3">
        <v>2.9119999999999999</v>
      </c>
      <c r="S340" s="3">
        <v>0</v>
      </c>
      <c r="T340" s="3">
        <v>0</v>
      </c>
      <c r="U340" s="3">
        <v>25.311999999999998</v>
      </c>
      <c r="V340" s="3">
        <v>0</v>
      </c>
      <c r="W340" s="3" t="s">
        <v>1</v>
      </c>
    </row>
    <row r="341" spans="5:23" hidden="1" x14ac:dyDescent="0.25">
      <c r="E341" t="s">
        <v>8610</v>
      </c>
      <c r="F341" s="1" t="s">
        <v>8844</v>
      </c>
      <c r="G341" t="s">
        <v>1</v>
      </c>
      <c r="H341" t="s">
        <v>0</v>
      </c>
      <c r="I341" t="s">
        <v>8165</v>
      </c>
      <c r="J341" t="s">
        <v>8164</v>
      </c>
      <c r="K341">
        <v>13605</v>
      </c>
      <c r="L341">
        <v>13605</v>
      </c>
      <c r="M341" t="s">
        <v>7852</v>
      </c>
      <c r="N341" t="s">
        <v>7851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 t="s">
        <v>1</v>
      </c>
    </row>
    <row r="342" spans="5:23" hidden="1" x14ac:dyDescent="0.25">
      <c r="E342" t="s">
        <v>8610</v>
      </c>
      <c r="F342" s="1" t="s">
        <v>8844</v>
      </c>
      <c r="G342" t="s">
        <v>1</v>
      </c>
      <c r="H342" t="s">
        <v>0</v>
      </c>
      <c r="I342" t="s">
        <v>8165</v>
      </c>
      <c r="J342" t="s">
        <v>8164</v>
      </c>
      <c r="K342">
        <v>13606</v>
      </c>
      <c r="L342">
        <v>13606</v>
      </c>
      <c r="M342">
        <v>0</v>
      </c>
      <c r="N342" t="s">
        <v>8208</v>
      </c>
      <c r="O342" s="3">
        <v>0</v>
      </c>
      <c r="P342" s="3">
        <v>0</v>
      </c>
      <c r="Q342" s="3">
        <v>33.840000000000003</v>
      </c>
      <c r="R342" s="3">
        <v>4.3992000000000004</v>
      </c>
      <c r="S342" s="3">
        <v>0</v>
      </c>
      <c r="T342" s="3">
        <v>0</v>
      </c>
      <c r="U342" s="3">
        <v>38.239200000000004</v>
      </c>
      <c r="V342" s="3" t="s">
        <v>8650</v>
      </c>
      <c r="W342" s="3" t="s">
        <v>1</v>
      </c>
    </row>
    <row r="343" spans="5:23" hidden="1" x14ac:dyDescent="0.25">
      <c r="E343" t="s">
        <v>8610</v>
      </c>
      <c r="F343" s="1" t="s">
        <v>8844</v>
      </c>
      <c r="G343" t="s">
        <v>1</v>
      </c>
      <c r="H343" t="s">
        <v>0</v>
      </c>
      <c r="I343" t="s">
        <v>8165</v>
      </c>
      <c r="J343" t="s">
        <v>8164</v>
      </c>
      <c r="K343">
        <v>13607</v>
      </c>
      <c r="L343">
        <v>13607</v>
      </c>
      <c r="M343" t="s">
        <v>8209</v>
      </c>
      <c r="N343" t="s">
        <v>8210</v>
      </c>
      <c r="O343" s="3">
        <v>0</v>
      </c>
      <c r="P343" s="3">
        <v>0</v>
      </c>
      <c r="Q343" s="3">
        <v>333.76</v>
      </c>
      <c r="R343" s="3">
        <v>43.388800000000003</v>
      </c>
      <c r="S343" s="3">
        <v>0</v>
      </c>
      <c r="T343" s="3">
        <v>0</v>
      </c>
      <c r="U343" s="3">
        <v>377.14879999999999</v>
      </c>
      <c r="V343" s="3">
        <v>0</v>
      </c>
      <c r="W343" s="3" t="s">
        <v>1</v>
      </c>
    </row>
    <row r="344" spans="5:23" hidden="1" x14ac:dyDescent="0.25">
      <c r="E344" t="s">
        <v>8610</v>
      </c>
      <c r="F344" s="1" t="s">
        <v>8841</v>
      </c>
      <c r="G344" t="s">
        <v>1</v>
      </c>
      <c r="H344" t="s">
        <v>0</v>
      </c>
      <c r="I344" t="s">
        <v>8165</v>
      </c>
      <c r="J344" t="s">
        <v>8164</v>
      </c>
      <c r="K344">
        <v>13608</v>
      </c>
      <c r="L344">
        <v>13608</v>
      </c>
      <c r="M344">
        <v>0</v>
      </c>
      <c r="N344" t="s">
        <v>8235</v>
      </c>
      <c r="O344" s="3">
        <v>0</v>
      </c>
      <c r="P344" s="3">
        <v>0</v>
      </c>
      <c r="Q344" s="3">
        <v>230.09</v>
      </c>
      <c r="R344" s="3">
        <v>29.9117</v>
      </c>
      <c r="S344" s="3">
        <v>0</v>
      </c>
      <c r="T344" s="3">
        <v>0</v>
      </c>
      <c r="U344" s="3">
        <v>260.00170000000003</v>
      </c>
      <c r="V344" s="3" t="s">
        <v>8718</v>
      </c>
      <c r="W344" s="3" t="s">
        <v>1</v>
      </c>
    </row>
    <row r="345" spans="5:23" hidden="1" x14ac:dyDescent="0.25">
      <c r="E345" t="s">
        <v>8610</v>
      </c>
      <c r="F345" s="1" t="s">
        <v>8841</v>
      </c>
      <c r="G345" t="s">
        <v>1</v>
      </c>
      <c r="H345" t="s">
        <v>0</v>
      </c>
      <c r="I345" t="s">
        <v>8165</v>
      </c>
      <c r="J345" t="s">
        <v>8164</v>
      </c>
      <c r="K345">
        <v>13609</v>
      </c>
      <c r="L345">
        <v>13609</v>
      </c>
      <c r="M345" t="s">
        <v>8328</v>
      </c>
      <c r="N345" t="s">
        <v>8294</v>
      </c>
      <c r="O345" s="3">
        <v>0</v>
      </c>
      <c r="P345" s="3">
        <v>0</v>
      </c>
      <c r="Q345" s="3">
        <v>10.75</v>
      </c>
      <c r="R345" s="3">
        <v>1.3975</v>
      </c>
      <c r="S345" s="3">
        <v>0</v>
      </c>
      <c r="T345" s="3">
        <v>0</v>
      </c>
      <c r="U345" s="3">
        <v>12.147500000000001</v>
      </c>
      <c r="V345" s="3">
        <v>0</v>
      </c>
      <c r="W345" s="3" t="s">
        <v>1</v>
      </c>
    </row>
    <row r="346" spans="5:23" hidden="1" x14ac:dyDescent="0.25">
      <c r="E346" t="s">
        <v>8610</v>
      </c>
      <c r="F346" s="1" t="s">
        <v>8841</v>
      </c>
      <c r="G346" t="s">
        <v>1</v>
      </c>
      <c r="H346" t="s">
        <v>0</v>
      </c>
      <c r="I346" t="s">
        <v>8165</v>
      </c>
      <c r="J346" t="s">
        <v>8164</v>
      </c>
      <c r="K346">
        <v>13610</v>
      </c>
      <c r="L346">
        <v>13610</v>
      </c>
      <c r="M346" t="s">
        <v>5339</v>
      </c>
      <c r="N346" t="s">
        <v>5340</v>
      </c>
      <c r="O346" s="3">
        <v>0</v>
      </c>
      <c r="P346" s="3">
        <v>0</v>
      </c>
      <c r="Q346" s="3">
        <v>65</v>
      </c>
      <c r="R346" s="3">
        <v>8.4500000000000011</v>
      </c>
      <c r="S346" s="3">
        <v>0</v>
      </c>
      <c r="T346" s="3">
        <v>0</v>
      </c>
      <c r="U346" s="3">
        <v>73.45</v>
      </c>
      <c r="V346" s="3">
        <v>0</v>
      </c>
      <c r="W346" s="3" t="s">
        <v>1</v>
      </c>
    </row>
    <row r="347" spans="5:23" hidden="1" x14ac:dyDescent="0.25">
      <c r="E347" t="s">
        <v>8610</v>
      </c>
      <c r="F347" s="1" t="s">
        <v>8841</v>
      </c>
      <c r="G347" t="s">
        <v>1</v>
      </c>
      <c r="H347" t="s">
        <v>0</v>
      </c>
      <c r="I347" t="s">
        <v>8165</v>
      </c>
      <c r="J347" t="s">
        <v>8164</v>
      </c>
      <c r="K347">
        <v>13611</v>
      </c>
      <c r="L347">
        <v>13611</v>
      </c>
      <c r="M347">
        <v>0</v>
      </c>
      <c r="N347" t="s">
        <v>8229</v>
      </c>
      <c r="O347" s="3">
        <v>0</v>
      </c>
      <c r="P347" s="3">
        <v>0</v>
      </c>
      <c r="Q347" s="3">
        <v>363.53</v>
      </c>
      <c r="R347" s="3">
        <v>47.258899999999997</v>
      </c>
      <c r="S347" s="3">
        <v>0</v>
      </c>
      <c r="T347" s="3">
        <v>0</v>
      </c>
      <c r="U347" s="3">
        <v>410.78889999999996</v>
      </c>
      <c r="V347" s="3" t="s">
        <v>8719</v>
      </c>
      <c r="W347" s="3" t="s">
        <v>1</v>
      </c>
    </row>
    <row r="348" spans="5:23" hidden="1" x14ac:dyDescent="0.25">
      <c r="E348" t="s">
        <v>8610</v>
      </c>
      <c r="F348" s="1" t="s">
        <v>8841</v>
      </c>
      <c r="G348" t="s">
        <v>1</v>
      </c>
      <c r="H348" t="s">
        <v>0</v>
      </c>
      <c r="I348" t="s">
        <v>8165</v>
      </c>
      <c r="J348" t="s">
        <v>8164</v>
      </c>
      <c r="K348">
        <v>13612</v>
      </c>
      <c r="L348">
        <v>13612</v>
      </c>
      <c r="M348" t="s">
        <v>8269</v>
      </c>
      <c r="N348" t="s">
        <v>8270</v>
      </c>
      <c r="O348" s="3">
        <v>0</v>
      </c>
      <c r="P348" s="3">
        <v>0</v>
      </c>
      <c r="Q348" s="3">
        <v>8.9</v>
      </c>
      <c r="R348" s="3">
        <v>1.157</v>
      </c>
      <c r="S348" s="3">
        <v>0</v>
      </c>
      <c r="T348" s="3">
        <v>0</v>
      </c>
      <c r="U348" s="3">
        <v>10.057</v>
      </c>
      <c r="V348" s="3">
        <v>0</v>
      </c>
      <c r="W348" s="3" t="s">
        <v>1</v>
      </c>
    </row>
    <row r="349" spans="5:23" hidden="1" x14ac:dyDescent="0.25">
      <c r="E349" t="s">
        <v>8610</v>
      </c>
      <c r="F349" s="1" t="s">
        <v>8841</v>
      </c>
      <c r="G349" t="s">
        <v>1</v>
      </c>
      <c r="H349" t="s">
        <v>0</v>
      </c>
      <c r="I349" t="s">
        <v>8165</v>
      </c>
      <c r="J349" t="s">
        <v>8164</v>
      </c>
      <c r="K349">
        <v>13613</v>
      </c>
      <c r="L349">
        <v>13613</v>
      </c>
      <c r="M349" t="s">
        <v>7852</v>
      </c>
      <c r="N349" t="s">
        <v>7851</v>
      </c>
      <c r="O349" s="3">
        <v>0</v>
      </c>
      <c r="P349" s="3">
        <v>0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 t="s">
        <v>1</v>
      </c>
    </row>
    <row r="350" spans="5:23" hidden="1" x14ac:dyDescent="0.25">
      <c r="E350" t="s">
        <v>8610</v>
      </c>
      <c r="F350" s="1" t="s">
        <v>8841</v>
      </c>
      <c r="G350" t="s">
        <v>1</v>
      </c>
      <c r="H350" t="s">
        <v>0</v>
      </c>
      <c r="I350" t="s">
        <v>8165</v>
      </c>
      <c r="J350" t="s">
        <v>8164</v>
      </c>
      <c r="K350">
        <v>13614</v>
      </c>
      <c r="L350">
        <v>13614</v>
      </c>
      <c r="M350" t="s">
        <v>8188</v>
      </c>
      <c r="N350" t="s">
        <v>8189</v>
      </c>
      <c r="O350" s="3">
        <v>0</v>
      </c>
      <c r="P350" s="3">
        <v>0</v>
      </c>
      <c r="Q350" s="3">
        <v>465.87</v>
      </c>
      <c r="R350" s="3">
        <v>60.563100000000006</v>
      </c>
      <c r="S350" s="3">
        <v>0</v>
      </c>
      <c r="T350" s="3">
        <v>0</v>
      </c>
      <c r="U350" s="3">
        <v>526.43309999999997</v>
      </c>
      <c r="V350" s="3">
        <v>0</v>
      </c>
      <c r="W350" s="3" t="s">
        <v>1</v>
      </c>
    </row>
    <row r="351" spans="5:23" hidden="1" x14ac:dyDescent="0.25">
      <c r="E351" t="s">
        <v>8610</v>
      </c>
      <c r="F351" s="1" t="s">
        <v>8841</v>
      </c>
      <c r="G351" t="s">
        <v>1</v>
      </c>
      <c r="H351" t="s">
        <v>0</v>
      </c>
      <c r="I351" t="s">
        <v>8165</v>
      </c>
      <c r="J351" t="s">
        <v>8164</v>
      </c>
      <c r="K351">
        <v>13615</v>
      </c>
      <c r="L351">
        <v>13615</v>
      </c>
      <c r="M351" t="s">
        <v>214</v>
      </c>
      <c r="N351" t="s">
        <v>215</v>
      </c>
      <c r="O351" s="3">
        <v>0</v>
      </c>
      <c r="P351" s="3">
        <v>0</v>
      </c>
      <c r="Q351" s="3">
        <v>422.4</v>
      </c>
      <c r="R351" s="3">
        <v>54.911999999999999</v>
      </c>
      <c r="S351" s="3">
        <v>0</v>
      </c>
      <c r="T351" s="3">
        <v>0</v>
      </c>
      <c r="U351" s="3">
        <v>477.31199999999995</v>
      </c>
      <c r="V351" s="3">
        <v>0</v>
      </c>
      <c r="W351" s="3" t="s">
        <v>1</v>
      </c>
    </row>
    <row r="352" spans="5:23" hidden="1" x14ac:dyDescent="0.25">
      <c r="E352" t="s">
        <v>8610</v>
      </c>
      <c r="F352" s="1" t="s">
        <v>8841</v>
      </c>
      <c r="G352" t="s">
        <v>1</v>
      </c>
      <c r="H352" t="s">
        <v>0</v>
      </c>
      <c r="I352" t="s">
        <v>8165</v>
      </c>
      <c r="J352" t="s">
        <v>8164</v>
      </c>
      <c r="K352">
        <v>13616</v>
      </c>
      <c r="L352">
        <v>13616</v>
      </c>
      <c r="M352" t="s">
        <v>8842</v>
      </c>
      <c r="N352" t="s">
        <v>8843</v>
      </c>
      <c r="O352" s="3">
        <v>0</v>
      </c>
      <c r="P352" s="3">
        <v>0</v>
      </c>
      <c r="Q352" s="3">
        <v>124.45</v>
      </c>
      <c r="R352" s="3">
        <v>16.1785</v>
      </c>
      <c r="S352" s="3">
        <v>0</v>
      </c>
      <c r="T352" s="3">
        <v>0</v>
      </c>
      <c r="U352" s="3">
        <v>140.6285</v>
      </c>
      <c r="V352" s="3">
        <v>0</v>
      </c>
      <c r="W352" s="3" t="s">
        <v>1</v>
      </c>
    </row>
    <row r="353" spans="5:23" hidden="1" x14ac:dyDescent="0.25">
      <c r="E353" t="s">
        <v>8610</v>
      </c>
      <c r="F353" s="1" t="s">
        <v>8841</v>
      </c>
      <c r="G353" t="s">
        <v>1</v>
      </c>
      <c r="H353" t="s">
        <v>0</v>
      </c>
      <c r="I353" t="s">
        <v>8165</v>
      </c>
      <c r="J353" t="s">
        <v>8164</v>
      </c>
      <c r="K353">
        <v>13617</v>
      </c>
      <c r="L353">
        <v>13617</v>
      </c>
      <c r="M353" t="s">
        <v>8842</v>
      </c>
      <c r="N353" t="s">
        <v>8843</v>
      </c>
      <c r="O353" s="3">
        <v>0</v>
      </c>
      <c r="P353" s="3">
        <v>0</v>
      </c>
      <c r="Q353" s="3">
        <v>290</v>
      </c>
      <c r="R353" s="3">
        <v>37.700000000000003</v>
      </c>
      <c r="S353" s="3">
        <v>0</v>
      </c>
      <c r="T353" s="3">
        <v>0</v>
      </c>
      <c r="U353" s="3">
        <v>327.7</v>
      </c>
      <c r="V353" s="3">
        <v>0</v>
      </c>
      <c r="W353" s="3" t="s">
        <v>1</v>
      </c>
    </row>
    <row r="354" spans="5:23" hidden="1" x14ac:dyDescent="0.25">
      <c r="E354" t="s">
        <v>8610</v>
      </c>
      <c r="F354" s="1" t="s">
        <v>8841</v>
      </c>
      <c r="G354" t="s">
        <v>1</v>
      </c>
      <c r="H354" t="s">
        <v>0</v>
      </c>
      <c r="I354" t="s">
        <v>8165</v>
      </c>
      <c r="J354" t="s">
        <v>8164</v>
      </c>
      <c r="K354">
        <v>13618</v>
      </c>
      <c r="L354">
        <v>13618</v>
      </c>
      <c r="M354" t="s">
        <v>8391</v>
      </c>
      <c r="N354" t="s">
        <v>8392</v>
      </c>
      <c r="O354" s="3">
        <v>0</v>
      </c>
      <c r="P354" s="3">
        <v>0</v>
      </c>
      <c r="Q354" s="3">
        <v>98.41</v>
      </c>
      <c r="R354" s="3">
        <v>12.7933</v>
      </c>
      <c r="S354" s="3">
        <v>0</v>
      </c>
      <c r="T354" s="3">
        <v>0</v>
      </c>
      <c r="U354" s="3">
        <v>111.2033</v>
      </c>
      <c r="V354" s="3">
        <v>0</v>
      </c>
      <c r="W354" s="3" t="s">
        <v>1</v>
      </c>
    </row>
    <row r="355" spans="5:23" hidden="1" x14ac:dyDescent="0.25">
      <c r="E355" t="s">
        <v>8610</v>
      </c>
      <c r="F355" s="1" t="s">
        <v>8841</v>
      </c>
      <c r="G355" t="s">
        <v>1</v>
      </c>
      <c r="H355" t="s">
        <v>0</v>
      </c>
      <c r="I355" t="s">
        <v>8165</v>
      </c>
      <c r="J355" t="s">
        <v>8164</v>
      </c>
      <c r="K355">
        <v>13619</v>
      </c>
      <c r="L355">
        <v>13619</v>
      </c>
      <c r="M355" t="s">
        <v>7852</v>
      </c>
      <c r="N355" t="s">
        <v>7851</v>
      </c>
      <c r="O355" s="3">
        <v>0</v>
      </c>
      <c r="P355" s="3">
        <v>0</v>
      </c>
      <c r="Q355" s="3">
        <v>0</v>
      </c>
      <c r="R355" s="3">
        <v>0</v>
      </c>
      <c r="S355" s="3">
        <v>0</v>
      </c>
      <c r="T355" s="3">
        <v>0</v>
      </c>
      <c r="U355" s="3">
        <v>0</v>
      </c>
      <c r="V355" s="3">
        <v>0</v>
      </c>
      <c r="W355" s="3" t="s">
        <v>1</v>
      </c>
    </row>
    <row r="356" spans="5:23" hidden="1" x14ac:dyDescent="0.25">
      <c r="E356" t="s">
        <v>8610</v>
      </c>
      <c r="F356" s="1" t="s">
        <v>8841</v>
      </c>
      <c r="G356" t="s">
        <v>1</v>
      </c>
      <c r="H356" t="s">
        <v>0</v>
      </c>
      <c r="I356" t="s">
        <v>8165</v>
      </c>
      <c r="J356" t="s">
        <v>8164</v>
      </c>
      <c r="K356">
        <v>13620</v>
      </c>
      <c r="L356">
        <v>13620</v>
      </c>
      <c r="M356" t="s">
        <v>107</v>
      </c>
      <c r="N356" t="s">
        <v>108</v>
      </c>
      <c r="O356" s="3">
        <v>0</v>
      </c>
      <c r="P356" s="3">
        <v>0</v>
      </c>
      <c r="Q356" s="3">
        <v>437</v>
      </c>
      <c r="R356" s="3">
        <v>56.81</v>
      </c>
      <c r="S356" s="3">
        <v>0</v>
      </c>
      <c r="T356" s="3">
        <v>0</v>
      </c>
      <c r="U356" s="3">
        <v>493.81</v>
      </c>
      <c r="V356" s="3">
        <v>0</v>
      </c>
      <c r="W356" s="3" t="s">
        <v>1</v>
      </c>
    </row>
    <row r="357" spans="5:23" hidden="1" x14ac:dyDescent="0.25">
      <c r="E357" t="s">
        <v>8610</v>
      </c>
      <c r="F357" s="1" t="s">
        <v>8841</v>
      </c>
      <c r="G357" t="s">
        <v>1</v>
      </c>
      <c r="H357" t="s">
        <v>0</v>
      </c>
      <c r="I357" t="s">
        <v>8165</v>
      </c>
      <c r="J357" t="s">
        <v>8164</v>
      </c>
      <c r="K357">
        <v>13621</v>
      </c>
      <c r="L357">
        <v>13621</v>
      </c>
      <c r="M357" t="s">
        <v>8216</v>
      </c>
      <c r="N357" t="s">
        <v>8217</v>
      </c>
      <c r="O357" s="3">
        <v>0</v>
      </c>
      <c r="P357" s="3">
        <v>0</v>
      </c>
      <c r="Q357" s="3">
        <v>214.2</v>
      </c>
      <c r="R357" s="3">
        <v>27.846</v>
      </c>
      <c r="S357" s="3">
        <v>0</v>
      </c>
      <c r="T357" s="3">
        <v>0</v>
      </c>
      <c r="U357" s="3">
        <v>242.04599999999999</v>
      </c>
      <c r="V357" s="3">
        <v>0</v>
      </c>
      <c r="W357" s="3" t="s">
        <v>1</v>
      </c>
    </row>
    <row r="358" spans="5:23" hidden="1" x14ac:dyDescent="0.25">
      <c r="E358" t="s">
        <v>8610</v>
      </c>
      <c r="F358" s="1" t="s">
        <v>8840</v>
      </c>
      <c r="G358" t="s">
        <v>1</v>
      </c>
      <c r="H358" t="s">
        <v>0</v>
      </c>
      <c r="I358" t="s">
        <v>8165</v>
      </c>
      <c r="J358" t="s">
        <v>8164</v>
      </c>
      <c r="K358">
        <v>13622</v>
      </c>
      <c r="L358">
        <v>13622</v>
      </c>
      <c r="M358" t="s">
        <v>8241</v>
      </c>
      <c r="N358" t="s">
        <v>8242</v>
      </c>
      <c r="O358" s="3">
        <v>0</v>
      </c>
      <c r="P358" s="3">
        <v>0</v>
      </c>
      <c r="Q358" s="3">
        <v>202.02</v>
      </c>
      <c r="R358" s="3">
        <v>26.262600000000003</v>
      </c>
      <c r="S358" s="3">
        <v>0</v>
      </c>
      <c r="T358" s="3">
        <v>0</v>
      </c>
      <c r="U358" s="3">
        <v>228.2826</v>
      </c>
      <c r="V358" s="3">
        <v>0</v>
      </c>
      <c r="W358" s="3" t="s">
        <v>1</v>
      </c>
    </row>
    <row r="359" spans="5:23" hidden="1" x14ac:dyDescent="0.25">
      <c r="E359" t="s">
        <v>8610</v>
      </c>
      <c r="F359" s="1" t="s">
        <v>8840</v>
      </c>
      <c r="G359" t="s">
        <v>1</v>
      </c>
      <c r="H359" t="s">
        <v>0</v>
      </c>
      <c r="I359" t="s">
        <v>8165</v>
      </c>
      <c r="J359" t="s">
        <v>8164</v>
      </c>
      <c r="K359">
        <v>13623</v>
      </c>
      <c r="L359">
        <v>13623</v>
      </c>
      <c r="M359">
        <v>0</v>
      </c>
      <c r="N359" t="s">
        <v>8169</v>
      </c>
      <c r="O359" s="3">
        <v>0</v>
      </c>
      <c r="P359" s="3">
        <v>0</v>
      </c>
      <c r="Q359" s="3">
        <v>35.4</v>
      </c>
      <c r="R359" s="3">
        <v>4.6020000000000003</v>
      </c>
      <c r="S359" s="3">
        <v>0</v>
      </c>
      <c r="T359" s="3">
        <v>0</v>
      </c>
      <c r="U359" s="3">
        <v>40.001999999999995</v>
      </c>
      <c r="V359" s="3" t="s">
        <v>8646</v>
      </c>
      <c r="W359" s="3" t="s">
        <v>1</v>
      </c>
    </row>
    <row r="360" spans="5:23" hidden="1" x14ac:dyDescent="0.25">
      <c r="E360" t="s">
        <v>8610</v>
      </c>
      <c r="F360" s="1" t="s">
        <v>8840</v>
      </c>
      <c r="G360" t="s">
        <v>1</v>
      </c>
      <c r="H360" t="s">
        <v>0</v>
      </c>
      <c r="I360" t="s">
        <v>8165</v>
      </c>
      <c r="J360" t="s">
        <v>8164</v>
      </c>
      <c r="K360">
        <v>13624</v>
      </c>
      <c r="L360">
        <v>13624</v>
      </c>
      <c r="M360" t="s">
        <v>8226</v>
      </c>
      <c r="N360" t="s">
        <v>8227</v>
      </c>
      <c r="O360" s="3">
        <v>0</v>
      </c>
      <c r="P360" s="3">
        <v>0</v>
      </c>
      <c r="Q360" s="3">
        <v>295.2</v>
      </c>
      <c r="R360" s="3">
        <v>38.375999999999998</v>
      </c>
      <c r="S360" s="3">
        <v>0</v>
      </c>
      <c r="T360" s="3">
        <v>0</v>
      </c>
      <c r="U360" s="3">
        <v>333.57599999999996</v>
      </c>
      <c r="V360" s="3">
        <v>0</v>
      </c>
      <c r="W360" s="3" t="s">
        <v>1</v>
      </c>
    </row>
    <row r="361" spans="5:23" hidden="1" x14ac:dyDescent="0.25">
      <c r="E361" t="s">
        <v>8610</v>
      </c>
      <c r="F361" s="1" t="s">
        <v>8840</v>
      </c>
      <c r="G361" t="s">
        <v>1</v>
      </c>
      <c r="H361" t="s">
        <v>0</v>
      </c>
      <c r="I361" t="s">
        <v>8165</v>
      </c>
      <c r="J361" t="s">
        <v>8164</v>
      </c>
      <c r="K361">
        <v>13625</v>
      </c>
      <c r="L361">
        <v>13625</v>
      </c>
      <c r="M361" t="s">
        <v>8269</v>
      </c>
      <c r="N361" t="s">
        <v>8270</v>
      </c>
      <c r="O361" s="3">
        <v>0</v>
      </c>
      <c r="P361" s="3">
        <v>0</v>
      </c>
      <c r="Q361" s="3">
        <v>315.99</v>
      </c>
      <c r="R361" s="3">
        <v>41.078700000000005</v>
      </c>
      <c r="S361" s="3">
        <v>0</v>
      </c>
      <c r="T361" s="3">
        <v>0</v>
      </c>
      <c r="U361" s="3">
        <v>357.06870000000004</v>
      </c>
      <c r="V361" s="3">
        <v>0</v>
      </c>
      <c r="W361" s="3" t="s">
        <v>1</v>
      </c>
    </row>
    <row r="362" spans="5:23" hidden="1" x14ac:dyDescent="0.25">
      <c r="E362" t="s">
        <v>8610</v>
      </c>
      <c r="F362" s="1" t="s">
        <v>8840</v>
      </c>
      <c r="G362" t="s">
        <v>1</v>
      </c>
      <c r="H362" t="s">
        <v>0</v>
      </c>
      <c r="I362" t="s">
        <v>8165</v>
      </c>
      <c r="J362" t="s">
        <v>8164</v>
      </c>
      <c r="K362">
        <v>13626</v>
      </c>
      <c r="L362">
        <v>13626</v>
      </c>
      <c r="M362" t="s">
        <v>8269</v>
      </c>
      <c r="N362" t="s">
        <v>8270</v>
      </c>
      <c r="O362" s="3">
        <v>0</v>
      </c>
      <c r="P362" s="3">
        <v>0</v>
      </c>
      <c r="Q362" s="3">
        <v>12</v>
      </c>
      <c r="R362" s="3">
        <v>1.56</v>
      </c>
      <c r="S362" s="3">
        <v>0</v>
      </c>
      <c r="T362" s="3">
        <v>0</v>
      </c>
      <c r="U362" s="3">
        <v>13.56</v>
      </c>
      <c r="V362" s="3">
        <v>0</v>
      </c>
      <c r="W362" s="3" t="s">
        <v>1</v>
      </c>
    </row>
    <row r="363" spans="5:23" hidden="1" x14ac:dyDescent="0.25">
      <c r="E363" t="s">
        <v>8610</v>
      </c>
      <c r="F363" s="1" t="s">
        <v>8840</v>
      </c>
      <c r="G363" t="s">
        <v>1</v>
      </c>
      <c r="H363" t="s">
        <v>0</v>
      </c>
      <c r="I363" t="s">
        <v>8165</v>
      </c>
      <c r="J363" t="s">
        <v>8164</v>
      </c>
      <c r="K363">
        <v>13627</v>
      </c>
      <c r="L363">
        <v>13627</v>
      </c>
      <c r="M363">
        <v>0</v>
      </c>
      <c r="N363" t="s">
        <v>8169</v>
      </c>
      <c r="O363" s="3">
        <v>0</v>
      </c>
      <c r="P363" s="3">
        <v>0</v>
      </c>
      <c r="Q363" s="3">
        <v>67.75</v>
      </c>
      <c r="R363" s="3">
        <v>8.807500000000001</v>
      </c>
      <c r="S363" s="3">
        <v>0</v>
      </c>
      <c r="T363" s="3">
        <v>0</v>
      </c>
      <c r="U363" s="3">
        <v>76.557500000000005</v>
      </c>
      <c r="V363" s="3" t="s">
        <v>8646</v>
      </c>
      <c r="W363" s="3" t="s">
        <v>1</v>
      </c>
    </row>
    <row r="364" spans="5:23" hidden="1" x14ac:dyDescent="0.25">
      <c r="E364" t="s">
        <v>8610</v>
      </c>
      <c r="F364" s="1" t="s">
        <v>8840</v>
      </c>
      <c r="G364" t="s">
        <v>1</v>
      </c>
      <c r="H364" t="s">
        <v>0</v>
      </c>
      <c r="I364" t="s">
        <v>8165</v>
      </c>
      <c r="J364" t="s">
        <v>8164</v>
      </c>
      <c r="K364">
        <v>13628</v>
      </c>
      <c r="L364">
        <v>13628</v>
      </c>
      <c r="M364" t="s">
        <v>8460</v>
      </c>
      <c r="N364" t="s">
        <v>8461</v>
      </c>
      <c r="O364" s="3">
        <v>0</v>
      </c>
      <c r="P364" s="3">
        <v>0</v>
      </c>
      <c r="Q364" s="3">
        <v>25.44</v>
      </c>
      <c r="R364" s="3">
        <v>3.3072000000000004</v>
      </c>
      <c r="S364" s="3">
        <v>0</v>
      </c>
      <c r="T364" s="3">
        <v>0</v>
      </c>
      <c r="U364" s="3">
        <v>28.747200000000003</v>
      </c>
      <c r="V364" s="3">
        <v>0</v>
      </c>
      <c r="W364" s="3" t="s">
        <v>1</v>
      </c>
    </row>
    <row r="365" spans="5:23" hidden="1" x14ac:dyDescent="0.25">
      <c r="E365" t="s">
        <v>8610</v>
      </c>
      <c r="F365" s="1" t="s">
        <v>8840</v>
      </c>
      <c r="G365" t="s">
        <v>1</v>
      </c>
      <c r="H365" t="s">
        <v>0</v>
      </c>
      <c r="I365" t="s">
        <v>8165</v>
      </c>
      <c r="J365" t="s">
        <v>8164</v>
      </c>
      <c r="K365">
        <v>13629</v>
      </c>
      <c r="L365">
        <v>13629</v>
      </c>
      <c r="M365" t="s">
        <v>8224</v>
      </c>
      <c r="N365" t="s">
        <v>8225</v>
      </c>
      <c r="O365" s="3">
        <v>0</v>
      </c>
      <c r="P365" s="3">
        <v>0</v>
      </c>
      <c r="Q365" s="3">
        <v>451.2</v>
      </c>
      <c r="R365" s="3">
        <v>58.655999999999999</v>
      </c>
      <c r="S365" s="3">
        <v>0</v>
      </c>
      <c r="T365" s="3">
        <v>0</v>
      </c>
      <c r="U365" s="3">
        <v>509.85599999999999</v>
      </c>
      <c r="V365" s="3">
        <v>0</v>
      </c>
      <c r="W365" s="3" t="s">
        <v>1</v>
      </c>
    </row>
    <row r="366" spans="5:23" hidden="1" x14ac:dyDescent="0.25">
      <c r="E366" t="s">
        <v>8610</v>
      </c>
      <c r="F366" s="1" t="s">
        <v>8840</v>
      </c>
      <c r="G366" t="s">
        <v>1</v>
      </c>
      <c r="H366" t="s">
        <v>0</v>
      </c>
      <c r="I366" t="s">
        <v>8165</v>
      </c>
      <c r="J366" t="s">
        <v>8164</v>
      </c>
      <c r="K366">
        <v>13630</v>
      </c>
      <c r="L366">
        <v>13630</v>
      </c>
      <c r="M366" t="s">
        <v>8277</v>
      </c>
      <c r="N366" t="s">
        <v>8278</v>
      </c>
      <c r="O366" s="3">
        <v>0</v>
      </c>
      <c r="P366" s="3">
        <v>0</v>
      </c>
      <c r="Q366" s="3">
        <v>36.92</v>
      </c>
      <c r="R366" s="3">
        <v>4.7996000000000008</v>
      </c>
      <c r="S366" s="3">
        <v>0</v>
      </c>
      <c r="T366" s="3">
        <v>0</v>
      </c>
      <c r="U366" s="3">
        <v>41.7196</v>
      </c>
      <c r="V366" s="3">
        <v>0</v>
      </c>
      <c r="W366" s="3" t="s">
        <v>1</v>
      </c>
    </row>
    <row r="367" spans="5:23" hidden="1" x14ac:dyDescent="0.25">
      <c r="E367" t="s">
        <v>8610</v>
      </c>
      <c r="F367" s="1" t="s">
        <v>8840</v>
      </c>
      <c r="G367" t="s">
        <v>1</v>
      </c>
      <c r="H367" t="s">
        <v>0</v>
      </c>
      <c r="I367" t="s">
        <v>8165</v>
      </c>
      <c r="J367" t="s">
        <v>8164</v>
      </c>
      <c r="K367">
        <v>13631</v>
      </c>
      <c r="L367">
        <v>13631</v>
      </c>
      <c r="M367" t="s">
        <v>8787</v>
      </c>
      <c r="N367" t="s">
        <v>8788</v>
      </c>
      <c r="O367" s="3">
        <v>0</v>
      </c>
      <c r="P367" s="3">
        <v>0</v>
      </c>
      <c r="Q367" s="3">
        <v>346.91</v>
      </c>
      <c r="R367" s="3">
        <v>45.098300000000002</v>
      </c>
      <c r="S367" s="3">
        <v>0</v>
      </c>
      <c r="T367" s="3">
        <v>0</v>
      </c>
      <c r="U367" s="3">
        <v>392.00830000000002</v>
      </c>
      <c r="V367" s="3">
        <v>0</v>
      </c>
      <c r="W367" s="3" t="s">
        <v>1</v>
      </c>
    </row>
    <row r="368" spans="5:23" hidden="1" x14ac:dyDescent="0.25">
      <c r="E368" t="s">
        <v>8610</v>
      </c>
      <c r="F368" s="1" t="s">
        <v>8840</v>
      </c>
      <c r="G368" t="s">
        <v>1</v>
      </c>
      <c r="H368" t="s">
        <v>0</v>
      </c>
      <c r="I368" t="s">
        <v>8165</v>
      </c>
      <c r="J368" t="s">
        <v>8164</v>
      </c>
      <c r="K368">
        <v>13632</v>
      </c>
      <c r="L368">
        <v>13632</v>
      </c>
      <c r="M368" t="s">
        <v>238</v>
      </c>
      <c r="N368" t="s">
        <v>239</v>
      </c>
      <c r="O368" s="3">
        <v>0</v>
      </c>
      <c r="P368" s="3">
        <v>0</v>
      </c>
      <c r="Q368" s="3">
        <v>279.52999999999997</v>
      </c>
      <c r="R368" s="3">
        <v>36.338899999999995</v>
      </c>
      <c r="S368" s="3">
        <v>0</v>
      </c>
      <c r="T368" s="3">
        <v>0</v>
      </c>
      <c r="U368" s="3">
        <v>315.86889999999994</v>
      </c>
      <c r="V368" s="3">
        <v>0</v>
      </c>
      <c r="W368" s="3" t="s">
        <v>1</v>
      </c>
    </row>
    <row r="369" spans="5:23" hidden="1" x14ac:dyDescent="0.25">
      <c r="E369" t="s">
        <v>8610</v>
      </c>
      <c r="F369" s="1" t="s">
        <v>8840</v>
      </c>
      <c r="G369" t="s">
        <v>1</v>
      </c>
      <c r="H369" t="s">
        <v>0</v>
      </c>
      <c r="I369" t="s">
        <v>8165</v>
      </c>
      <c r="J369" t="s">
        <v>8164</v>
      </c>
      <c r="K369">
        <v>13633</v>
      </c>
      <c r="L369">
        <v>13633</v>
      </c>
      <c r="M369" t="s">
        <v>8269</v>
      </c>
      <c r="N369" t="s">
        <v>8270</v>
      </c>
      <c r="O369" s="3">
        <v>0</v>
      </c>
      <c r="P369" s="3">
        <v>0</v>
      </c>
      <c r="Q369" s="3">
        <v>30</v>
      </c>
      <c r="R369" s="3">
        <v>3.9000000000000004</v>
      </c>
      <c r="S369" s="3">
        <v>0</v>
      </c>
      <c r="T369" s="3">
        <v>0</v>
      </c>
      <c r="U369" s="3">
        <v>33.9</v>
      </c>
      <c r="V369" s="3">
        <v>0</v>
      </c>
      <c r="W369" s="3" t="s">
        <v>1</v>
      </c>
    </row>
    <row r="370" spans="5:23" hidden="1" x14ac:dyDescent="0.25">
      <c r="E370" t="s">
        <v>8610</v>
      </c>
      <c r="F370" s="1" t="s">
        <v>8840</v>
      </c>
      <c r="G370" t="s">
        <v>1</v>
      </c>
      <c r="H370" t="s">
        <v>0</v>
      </c>
      <c r="I370" t="s">
        <v>8165</v>
      </c>
      <c r="J370" t="s">
        <v>8164</v>
      </c>
      <c r="K370">
        <v>13634</v>
      </c>
      <c r="L370">
        <v>13634</v>
      </c>
      <c r="M370" t="s">
        <v>8166</v>
      </c>
      <c r="N370" t="s">
        <v>8167</v>
      </c>
      <c r="O370" s="3">
        <v>0</v>
      </c>
      <c r="P370" s="3">
        <v>0</v>
      </c>
      <c r="Q370" s="3">
        <v>235</v>
      </c>
      <c r="R370" s="3">
        <v>30.55</v>
      </c>
      <c r="S370" s="3">
        <v>0</v>
      </c>
      <c r="T370" s="3">
        <v>0</v>
      </c>
      <c r="U370" s="3">
        <v>265.55</v>
      </c>
      <c r="V370" s="3">
        <v>0</v>
      </c>
      <c r="W370" s="3" t="s">
        <v>1</v>
      </c>
    </row>
    <row r="371" spans="5:23" hidden="1" x14ac:dyDescent="0.25">
      <c r="E371" t="s">
        <v>8610</v>
      </c>
      <c r="F371" s="1" t="s">
        <v>8840</v>
      </c>
      <c r="G371" t="s">
        <v>1</v>
      </c>
      <c r="H371" t="s">
        <v>0</v>
      </c>
      <c r="I371" t="s">
        <v>8165</v>
      </c>
      <c r="J371" t="s">
        <v>8164</v>
      </c>
      <c r="K371">
        <v>13635</v>
      </c>
      <c r="L371">
        <v>13635</v>
      </c>
      <c r="M371" t="s">
        <v>8214</v>
      </c>
      <c r="N371" t="s">
        <v>8215</v>
      </c>
      <c r="O371" s="3">
        <v>0</v>
      </c>
      <c r="P371" s="3">
        <v>0</v>
      </c>
      <c r="Q371" s="3">
        <v>159.4</v>
      </c>
      <c r="R371" s="3">
        <v>20.722000000000001</v>
      </c>
      <c r="S371" s="3">
        <v>0</v>
      </c>
      <c r="T371" s="3">
        <v>0</v>
      </c>
      <c r="U371" s="3">
        <v>180.12200000000001</v>
      </c>
      <c r="V371" s="3">
        <v>0</v>
      </c>
      <c r="W371" s="3" t="s">
        <v>1</v>
      </c>
    </row>
    <row r="372" spans="5:23" hidden="1" x14ac:dyDescent="0.25">
      <c r="E372" t="s">
        <v>8610</v>
      </c>
      <c r="F372" s="1" t="s">
        <v>8840</v>
      </c>
      <c r="G372" t="s">
        <v>1</v>
      </c>
      <c r="H372" t="s">
        <v>0</v>
      </c>
      <c r="I372" t="s">
        <v>8165</v>
      </c>
      <c r="J372" t="s">
        <v>8164</v>
      </c>
      <c r="K372">
        <v>13636</v>
      </c>
      <c r="L372">
        <v>13636</v>
      </c>
      <c r="M372" t="s">
        <v>8269</v>
      </c>
      <c r="N372" t="s">
        <v>8270</v>
      </c>
      <c r="O372" s="3">
        <v>0</v>
      </c>
      <c r="P372" s="3">
        <v>0</v>
      </c>
      <c r="Q372" s="3">
        <v>22.8</v>
      </c>
      <c r="R372" s="3">
        <v>2.9640000000000004</v>
      </c>
      <c r="S372" s="3">
        <v>0</v>
      </c>
      <c r="T372" s="3">
        <v>0</v>
      </c>
      <c r="U372" s="3">
        <v>25.764000000000003</v>
      </c>
      <c r="V372" s="3">
        <v>0</v>
      </c>
      <c r="W372" s="3" t="s">
        <v>1</v>
      </c>
    </row>
    <row r="373" spans="5:23" hidden="1" x14ac:dyDescent="0.25">
      <c r="E373" t="s">
        <v>8610</v>
      </c>
      <c r="F373" s="1" t="s">
        <v>8840</v>
      </c>
      <c r="G373" t="s">
        <v>1</v>
      </c>
      <c r="H373" t="s">
        <v>0</v>
      </c>
      <c r="I373" t="s">
        <v>8165</v>
      </c>
      <c r="J373" t="s">
        <v>8164</v>
      </c>
      <c r="K373">
        <v>13637</v>
      </c>
      <c r="L373">
        <v>13637</v>
      </c>
      <c r="M373" t="s">
        <v>8646</v>
      </c>
      <c r="N373" t="s">
        <v>8169</v>
      </c>
      <c r="O373" s="3">
        <v>0</v>
      </c>
      <c r="P373" s="3">
        <v>0</v>
      </c>
      <c r="Q373" s="3">
        <v>70.8</v>
      </c>
      <c r="R373" s="3">
        <v>9.2040000000000006</v>
      </c>
      <c r="S373" s="3">
        <v>0</v>
      </c>
      <c r="T373" s="3">
        <v>0</v>
      </c>
      <c r="U373" s="3">
        <v>80.003999999999991</v>
      </c>
      <c r="V373" s="3">
        <v>0</v>
      </c>
      <c r="W373" s="3" t="s">
        <v>1</v>
      </c>
    </row>
    <row r="374" spans="5:23" hidden="1" x14ac:dyDescent="0.25">
      <c r="E374" t="s">
        <v>8610</v>
      </c>
      <c r="F374" s="1" t="s">
        <v>8840</v>
      </c>
      <c r="G374" t="s">
        <v>1</v>
      </c>
      <c r="H374" t="s">
        <v>0</v>
      </c>
      <c r="I374" t="s">
        <v>8165</v>
      </c>
      <c r="J374" t="s">
        <v>8164</v>
      </c>
      <c r="K374">
        <v>13638</v>
      </c>
      <c r="L374">
        <v>13638</v>
      </c>
      <c r="M374">
        <v>0</v>
      </c>
      <c r="N374" t="s">
        <v>8169</v>
      </c>
      <c r="O374" s="3">
        <v>0</v>
      </c>
      <c r="P374" s="3">
        <v>0</v>
      </c>
      <c r="Q374" s="3">
        <v>35.4</v>
      </c>
      <c r="R374" s="3">
        <v>4.6020000000000003</v>
      </c>
      <c r="S374" s="3">
        <v>0</v>
      </c>
      <c r="T374" s="3">
        <v>0</v>
      </c>
      <c r="U374" s="3">
        <v>40.001999999999995</v>
      </c>
      <c r="V374" s="3" t="s">
        <v>8646</v>
      </c>
      <c r="W374" s="3" t="s">
        <v>1</v>
      </c>
    </row>
    <row r="375" spans="5:23" hidden="1" x14ac:dyDescent="0.25">
      <c r="E375" t="s">
        <v>8610</v>
      </c>
      <c r="F375" s="1" t="s">
        <v>8839</v>
      </c>
      <c r="G375" t="s">
        <v>1</v>
      </c>
      <c r="H375" t="s">
        <v>0</v>
      </c>
      <c r="I375" t="s">
        <v>8165</v>
      </c>
      <c r="J375" t="s">
        <v>8164</v>
      </c>
      <c r="K375">
        <v>13639</v>
      </c>
      <c r="L375">
        <v>13639</v>
      </c>
      <c r="M375" t="s">
        <v>8269</v>
      </c>
      <c r="N375" t="s">
        <v>8270</v>
      </c>
      <c r="O375" s="3">
        <v>0</v>
      </c>
      <c r="P375" s="3">
        <v>0</v>
      </c>
      <c r="Q375" s="3">
        <v>14.95</v>
      </c>
      <c r="R375" s="3">
        <v>1.9435</v>
      </c>
      <c r="S375" s="3">
        <v>0</v>
      </c>
      <c r="T375" s="3">
        <v>0</v>
      </c>
      <c r="U375" s="3">
        <v>16.8935</v>
      </c>
      <c r="V375" s="3">
        <v>0</v>
      </c>
      <c r="W375" s="3" t="s">
        <v>1</v>
      </c>
    </row>
    <row r="376" spans="5:23" hidden="1" x14ac:dyDescent="0.25">
      <c r="E376" t="s">
        <v>8610</v>
      </c>
      <c r="F376" s="1" t="s">
        <v>8839</v>
      </c>
      <c r="G376" t="s">
        <v>1</v>
      </c>
      <c r="H376" t="s">
        <v>0</v>
      </c>
      <c r="I376" t="s">
        <v>8165</v>
      </c>
      <c r="J376" t="s">
        <v>8164</v>
      </c>
      <c r="K376">
        <v>13640</v>
      </c>
      <c r="L376">
        <v>13640</v>
      </c>
      <c r="M376" t="s">
        <v>7852</v>
      </c>
      <c r="N376" t="s">
        <v>7851</v>
      </c>
      <c r="O376" s="3">
        <v>0</v>
      </c>
      <c r="P376" s="3">
        <v>0</v>
      </c>
      <c r="Q376" s="3">
        <v>0</v>
      </c>
      <c r="R376" s="3">
        <v>0</v>
      </c>
      <c r="S376" s="3">
        <v>0</v>
      </c>
      <c r="T376" s="3">
        <v>0</v>
      </c>
      <c r="U376" s="3">
        <v>0</v>
      </c>
      <c r="V376" s="3">
        <v>0</v>
      </c>
      <c r="W376" s="3" t="s">
        <v>1</v>
      </c>
    </row>
    <row r="377" spans="5:23" hidden="1" x14ac:dyDescent="0.25">
      <c r="E377" t="s">
        <v>8610</v>
      </c>
      <c r="F377" s="1" t="s">
        <v>8839</v>
      </c>
      <c r="G377" t="s">
        <v>1</v>
      </c>
      <c r="H377" t="s">
        <v>0</v>
      </c>
      <c r="I377" t="s">
        <v>8165</v>
      </c>
      <c r="J377" t="s">
        <v>8164</v>
      </c>
      <c r="K377">
        <v>13641</v>
      </c>
      <c r="L377">
        <v>13641</v>
      </c>
      <c r="M377" t="s">
        <v>8226</v>
      </c>
      <c r="N377" t="s">
        <v>8227</v>
      </c>
      <c r="O377" s="3">
        <v>0</v>
      </c>
      <c r="P377" s="3">
        <v>0</v>
      </c>
      <c r="Q377" s="3">
        <v>105.15</v>
      </c>
      <c r="R377" s="3">
        <v>13.669500000000001</v>
      </c>
      <c r="S377" s="3">
        <v>0</v>
      </c>
      <c r="T377" s="3">
        <v>0</v>
      </c>
      <c r="U377" s="3">
        <v>118.81950000000001</v>
      </c>
      <c r="V377" s="3">
        <v>0</v>
      </c>
      <c r="W377" s="3" t="s">
        <v>1</v>
      </c>
    </row>
    <row r="378" spans="5:23" hidden="1" x14ac:dyDescent="0.25">
      <c r="E378" t="s">
        <v>8610</v>
      </c>
      <c r="F378" s="1" t="s">
        <v>8839</v>
      </c>
      <c r="G378" t="s">
        <v>1</v>
      </c>
      <c r="H378" t="s">
        <v>0</v>
      </c>
      <c r="I378" t="s">
        <v>8165</v>
      </c>
      <c r="J378" t="s">
        <v>8164</v>
      </c>
      <c r="K378">
        <v>13642</v>
      </c>
      <c r="L378">
        <v>13642</v>
      </c>
      <c r="M378" t="s">
        <v>8226</v>
      </c>
      <c r="N378" t="s">
        <v>8227</v>
      </c>
      <c r="O378" s="3">
        <v>0</v>
      </c>
      <c r="P378" s="3">
        <v>0</v>
      </c>
      <c r="Q378" s="3">
        <v>241.86</v>
      </c>
      <c r="R378" s="3">
        <v>31.441800000000004</v>
      </c>
      <c r="S378" s="3">
        <v>0</v>
      </c>
      <c r="T378" s="3">
        <v>0</v>
      </c>
      <c r="U378" s="3">
        <v>273.30180000000001</v>
      </c>
      <c r="V378" s="3">
        <v>0</v>
      </c>
      <c r="W378" s="3" t="s">
        <v>1</v>
      </c>
    </row>
    <row r="379" spans="5:23" hidden="1" x14ac:dyDescent="0.25">
      <c r="E379" t="s">
        <v>8610</v>
      </c>
      <c r="F379" s="1" t="s">
        <v>8838</v>
      </c>
      <c r="G379" t="s">
        <v>1</v>
      </c>
      <c r="H379" t="s">
        <v>0</v>
      </c>
      <c r="I379" t="s">
        <v>8165</v>
      </c>
      <c r="J379" t="s">
        <v>8164</v>
      </c>
      <c r="K379">
        <v>13643</v>
      </c>
      <c r="L379">
        <v>13643</v>
      </c>
      <c r="M379" t="s">
        <v>7986</v>
      </c>
      <c r="N379" t="s">
        <v>7987</v>
      </c>
      <c r="O379" s="3">
        <v>0</v>
      </c>
      <c r="P379" s="3">
        <v>0</v>
      </c>
      <c r="Q379" s="3">
        <v>21.24</v>
      </c>
      <c r="R379" s="3">
        <v>2.7612000000000001</v>
      </c>
      <c r="S379" s="3">
        <v>0</v>
      </c>
      <c r="T379" s="3">
        <v>0</v>
      </c>
      <c r="U379" s="3">
        <v>24.001199999999997</v>
      </c>
      <c r="V379" s="3">
        <v>0</v>
      </c>
      <c r="W379" s="3" t="s">
        <v>1</v>
      </c>
    </row>
    <row r="380" spans="5:23" hidden="1" x14ac:dyDescent="0.25">
      <c r="E380" t="s">
        <v>8610</v>
      </c>
      <c r="F380" s="1" t="s">
        <v>8838</v>
      </c>
      <c r="G380" t="s">
        <v>1</v>
      </c>
      <c r="H380" t="s">
        <v>0</v>
      </c>
      <c r="I380" t="s">
        <v>8165</v>
      </c>
      <c r="J380" t="s">
        <v>8164</v>
      </c>
      <c r="K380">
        <v>13644</v>
      </c>
      <c r="L380">
        <v>13644</v>
      </c>
      <c r="M380" t="s">
        <v>7986</v>
      </c>
      <c r="N380" t="s">
        <v>7987</v>
      </c>
      <c r="O380" s="3">
        <v>0</v>
      </c>
      <c r="P380" s="3">
        <v>0</v>
      </c>
      <c r="Q380" s="3">
        <v>50.46</v>
      </c>
      <c r="R380" s="3">
        <v>6.5598000000000001</v>
      </c>
      <c r="S380" s="3">
        <v>0</v>
      </c>
      <c r="T380" s="3">
        <v>0</v>
      </c>
      <c r="U380" s="3">
        <v>57.019800000000004</v>
      </c>
      <c r="V380" s="3">
        <v>0</v>
      </c>
      <c r="W380" s="3" t="s">
        <v>1</v>
      </c>
    </row>
    <row r="381" spans="5:23" hidden="1" x14ac:dyDescent="0.25">
      <c r="E381" t="s">
        <v>8610</v>
      </c>
      <c r="F381" s="1" t="s">
        <v>8838</v>
      </c>
      <c r="G381" t="s">
        <v>1</v>
      </c>
      <c r="H381" t="s">
        <v>0</v>
      </c>
      <c r="I381" t="s">
        <v>8165</v>
      </c>
      <c r="J381" t="s">
        <v>8164</v>
      </c>
      <c r="K381">
        <v>13645</v>
      </c>
      <c r="L381">
        <v>13645</v>
      </c>
      <c r="M381" t="s">
        <v>7986</v>
      </c>
      <c r="N381" t="s">
        <v>7987</v>
      </c>
      <c r="O381" s="3">
        <v>0</v>
      </c>
      <c r="P381" s="3">
        <v>0</v>
      </c>
      <c r="Q381" s="3">
        <v>10.119999999999999</v>
      </c>
      <c r="R381" s="3">
        <v>1.3155999999999999</v>
      </c>
      <c r="S381" s="3">
        <v>0</v>
      </c>
      <c r="T381" s="3">
        <v>0</v>
      </c>
      <c r="U381" s="3">
        <v>11.435599999999999</v>
      </c>
      <c r="V381" s="3">
        <v>0</v>
      </c>
      <c r="W381" s="3" t="s">
        <v>1</v>
      </c>
    </row>
    <row r="382" spans="5:23" hidden="1" x14ac:dyDescent="0.25">
      <c r="E382" t="s">
        <v>8610</v>
      </c>
      <c r="F382" s="1" t="s">
        <v>8838</v>
      </c>
      <c r="G382" t="s">
        <v>1</v>
      </c>
      <c r="H382" t="s">
        <v>0</v>
      </c>
      <c r="I382" t="s">
        <v>8165</v>
      </c>
      <c r="J382" t="s">
        <v>8164</v>
      </c>
      <c r="K382">
        <v>13646</v>
      </c>
      <c r="L382">
        <v>13646</v>
      </c>
      <c r="M382" t="s">
        <v>115</v>
      </c>
      <c r="N382" t="s">
        <v>116</v>
      </c>
      <c r="O382" s="3">
        <v>0</v>
      </c>
      <c r="P382" s="3">
        <v>0</v>
      </c>
      <c r="Q382" s="3">
        <v>1961.16</v>
      </c>
      <c r="R382" s="3">
        <v>254.95080000000002</v>
      </c>
      <c r="S382" s="3">
        <v>0</v>
      </c>
      <c r="T382" s="3">
        <v>0</v>
      </c>
      <c r="U382" s="3">
        <v>2216.1107999999999</v>
      </c>
      <c r="V382" s="3">
        <v>0</v>
      </c>
      <c r="W382" s="3" t="s">
        <v>1</v>
      </c>
    </row>
    <row r="383" spans="5:23" hidden="1" x14ac:dyDescent="0.25">
      <c r="E383" t="s">
        <v>8610</v>
      </c>
      <c r="F383" s="1" t="s">
        <v>8838</v>
      </c>
      <c r="G383" t="s">
        <v>1</v>
      </c>
      <c r="H383" t="s">
        <v>0</v>
      </c>
      <c r="I383" t="s">
        <v>8165</v>
      </c>
      <c r="J383" t="s">
        <v>8164</v>
      </c>
      <c r="K383">
        <v>13647</v>
      </c>
      <c r="L383">
        <v>13647</v>
      </c>
      <c r="M383" t="s">
        <v>8404</v>
      </c>
      <c r="N383" t="s">
        <v>8405</v>
      </c>
      <c r="O383" s="3">
        <v>0</v>
      </c>
      <c r="P383" s="3">
        <v>0</v>
      </c>
      <c r="Q383" s="3">
        <v>39.880000000000003</v>
      </c>
      <c r="R383" s="3">
        <v>5.1844000000000001</v>
      </c>
      <c r="S383" s="3">
        <v>0</v>
      </c>
      <c r="T383" s="3">
        <v>0</v>
      </c>
      <c r="U383" s="3">
        <v>45.064400000000006</v>
      </c>
      <c r="V383" s="3">
        <v>0</v>
      </c>
      <c r="W383" s="3" t="s">
        <v>1</v>
      </c>
    </row>
    <row r="384" spans="5:23" hidden="1" x14ac:dyDescent="0.25">
      <c r="E384" t="s">
        <v>8610</v>
      </c>
      <c r="F384" s="1" t="s">
        <v>8838</v>
      </c>
      <c r="G384" t="s">
        <v>1</v>
      </c>
      <c r="H384" t="s">
        <v>0</v>
      </c>
      <c r="I384" t="s">
        <v>8165</v>
      </c>
      <c r="J384" t="s">
        <v>8164</v>
      </c>
      <c r="K384">
        <v>13648</v>
      </c>
      <c r="L384">
        <v>13648</v>
      </c>
      <c r="M384" t="s">
        <v>8404</v>
      </c>
      <c r="N384" t="s">
        <v>8405</v>
      </c>
      <c r="O384" s="3">
        <v>0</v>
      </c>
      <c r="P384" s="3">
        <v>0</v>
      </c>
      <c r="Q384" s="3">
        <v>8.19</v>
      </c>
      <c r="R384" s="3">
        <v>1.0647</v>
      </c>
      <c r="S384" s="3">
        <v>0</v>
      </c>
      <c r="T384" s="3">
        <v>0</v>
      </c>
      <c r="U384" s="3">
        <v>9.2546999999999997</v>
      </c>
      <c r="V384" s="3">
        <v>0</v>
      </c>
      <c r="W384" s="3" t="s">
        <v>1</v>
      </c>
    </row>
    <row r="385" spans="5:23" hidden="1" x14ac:dyDescent="0.25">
      <c r="E385" t="s">
        <v>8610</v>
      </c>
      <c r="F385" s="1" t="s">
        <v>8838</v>
      </c>
      <c r="G385" t="s">
        <v>1</v>
      </c>
      <c r="H385" t="s">
        <v>0</v>
      </c>
      <c r="I385" t="s">
        <v>8165</v>
      </c>
      <c r="J385" t="s">
        <v>8164</v>
      </c>
      <c r="K385">
        <v>13649</v>
      </c>
      <c r="L385">
        <v>13649</v>
      </c>
      <c r="M385" t="s">
        <v>8404</v>
      </c>
      <c r="N385" t="s">
        <v>8405</v>
      </c>
      <c r="O385" s="3">
        <v>0</v>
      </c>
      <c r="P385" s="3">
        <v>0</v>
      </c>
      <c r="Q385" s="3">
        <v>56.6</v>
      </c>
      <c r="R385" s="3">
        <v>7.3580000000000005</v>
      </c>
      <c r="S385" s="3">
        <v>0</v>
      </c>
      <c r="T385" s="3">
        <v>0</v>
      </c>
      <c r="U385" s="3">
        <v>63.957999999999998</v>
      </c>
      <c r="V385" s="3">
        <v>0</v>
      </c>
      <c r="W385" s="3" t="s">
        <v>1</v>
      </c>
    </row>
    <row r="386" spans="5:23" hidden="1" x14ac:dyDescent="0.25">
      <c r="E386" t="s">
        <v>8610</v>
      </c>
      <c r="F386" s="1" t="s">
        <v>8838</v>
      </c>
      <c r="G386" t="s">
        <v>1</v>
      </c>
      <c r="H386" t="s">
        <v>0</v>
      </c>
      <c r="I386" t="s">
        <v>8165</v>
      </c>
      <c r="J386" t="s">
        <v>8164</v>
      </c>
      <c r="K386">
        <v>13650</v>
      </c>
      <c r="L386">
        <v>13650</v>
      </c>
      <c r="M386" t="s">
        <v>7852</v>
      </c>
      <c r="N386" t="s">
        <v>7851</v>
      </c>
      <c r="O386" s="3">
        <v>0</v>
      </c>
      <c r="P386" s="3">
        <v>0</v>
      </c>
      <c r="Q386" s="3">
        <v>0</v>
      </c>
      <c r="R386" s="3">
        <v>0</v>
      </c>
      <c r="S386" s="3">
        <v>0</v>
      </c>
      <c r="T386" s="3">
        <v>0</v>
      </c>
      <c r="U386" s="3">
        <v>0</v>
      </c>
      <c r="V386" s="3">
        <v>0</v>
      </c>
      <c r="W386" s="3" t="s">
        <v>1</v>
      </c>
    </row>
    <row r="387" spans="5:23" hidden="1" x14ac:dyDescent="0.25">
      <c r="E387" t="s">
        <v>8610</v>
      </c>
      <c r="F387" s="1" t="s">
        <v>8838</v>
      </c>
      <c r="G387" t="s">
        <v>1</v>
      </c>
      <c r="H387" t="s">
        <v>0</v>
      </c>
      <c r="I387" t="s">
        <v>8165</v>
      </c>
      <c r="J387" t="s">
        <v>8164</v>
      </c>
      <c r="K387">
        <v>13651</v>
      </c>
      <c r="L387">
        <v>13651</v>
      </c>
      <c r="M387">
        <v>0</v>
      </c>
      <c r="N387" t="s">
        <v>8235</v>
      </c>
      <c r="O387" s="3">
        <v>0</v>
      </c>
      <c r="P387" s="3">
        <v>0</v>
      </c>
      <c r="Q387" s="3">
        <v>138.37</v>
      </c>
      <c r="R387" s="3">
        <v>17.988100000000003</v>
      </c>
      <c r="S387" s="3">
        <v>0</v>
      </c>
      <c r="T387" s="3">
        <v>0</v>
      </c>
      <c r="U387" s="3">
        <v>156.35810000000001</v>
      </c>
      <c r="V387" s="3" t="s">
        <v>8718</v>
      </c>
      <c r="W387" s="3" t="s">
        <v>1</v>
      </c>
    </row>
    <row r="388" spans="5:23" hidden="1" x14ac:dyDescent="0.25">
      <c r="E388" t="s">
        <v>8610</v>
      </c>
      <c r="F388" s="1" t="s">
        <v>8838</v>
      </c>
      <c r="G388" t="s">
        <v>1</v>
      </c>
      <c r="H388" t="s">
        <v>0</v>
      </c>
      <c r="I388" t="s">
        <v>8165</v>
      </c>
      <c r="J388" t="s">
        <v>8164</v>
      </c>
      <c r="K388">
        <v>13652</v>
      </c>
      <c r="L388">
        <v>13652</v>
      </c>
      <c r="M388" t="s">
        <v>734</v>
      </c>
      <c r="N388" t="s">
        <v>735</v>
      </c>
      <c r="O388" s="3">
        <v>0</v>
      </c>
      <c r="P388" s="3">
        <v>0</v>
      </c>
      <c r="Q388" s="3">
        <v>745.46</v>
      </c>
      <c r="R388" s="3">
        <v>96.909800000000004</v>
      </c>
      <c r="S388" s="3">
        <v>0</v>
      </c>
      <c r="T388" s="3">
        <v>0</v>
      </c>
      <c r="U388" s="3">
        <v>842.36980000000005</v>
      </c>
      <c r="V388" s="3">
        <v>0</v>
      </c>
      <c r="W388" s="3" t="s">
        <v>1</v>
      </c>
    </row>
    <row r="389" spans="5:23" hidden="1" x14ac:dyDescent="0.25">
      <c r="E389" t="s">
        <v>8610</v>
      </c>
      <c r="F389" s="1" t="s">
        <v>8838</v>
      </c>
      <c r="G389" t="s">
        <v>1</v>
      </c>
      <c r="H389" t="s">
        <v>0</v>
      </c>
      <c r="I389" t="s">
        <v>8165</v>
      </c>
      <c r="J389" t="s">
        <v>8164</v>
      </c>
      <c r="K389">
        <v>13653</v>
      </c>
      <c r="L389">
        <v>13653</v>
      </c>
      <c r="M389" t="s">
        <v>734</v>
      </c>
      <c r="N389" t="s">
        <v>735</v>
      </c>
      <c r="O389" s="3">
        <v>0</v>
      </c>
      <c r="P389" s="3">
        <v>0</v>
      </c>
      <c r="Q389" s="3">
        <v>3.33</v>
      </c>
      <c r="R389" s="3">
        <v>0.43290000000000001</v>
      </c>
      <c r="S389" s="3">
        <v>0</v>
      </c>
      <c r="T389" s="3">
        <v>0</v>
      </c>
      <c r="U389" s="3">
        <v>3.7629000000000001</v>
      </c>
      <c r="V389" s="3">
        <v>0</v>
      </c>
      <c r="W389" s="3" t="s">
        <v>1</v>
      </c>
    </row>
    <row r="390" spans="5:23" hidden="1" x14ac:dyDescent="0.25">
      <c r="E390" t="s">
        <v>8610</v>
      </c>
      <c r="F390" s="1" t="s">
        <v>8838</v>
      </c>
      <c r="G390" t="s">
        <v>1</v>
      </c>
      <c r="H390" t="s">
        <v>0</v>
      </c>
      <c r="I390" t="s">
        <v>8165</v>
      </c>
      <c r="J390" t="s">
        <v>8164</v>
      </c>
      <c r="K390">
        <v>13654</v>
      </c>
      <c r="L390">
        <v>13654</v>
      </c>
      <c r="M390" t="s">
        <v>8243</v>
      </c>
      <c r="N390" t="s">
        <v>8244</v>
      </c>
      <c r="O390" s="3">
        <v>0</v>
      </c>
      <c r="P390" s="3">
        <v>0</v>
      </c>
      <c r="Q390" s="3">
        <v>41.82</v>
      </c>
      <c r="R390" s="3">
        <v>5.4366000000000003</v>
      </c>
      <c r="S390" s="3">
        <v>0</v>
      </c>
      <c r="T390" s="3">
        <v>0</v>
      </c>
      <c r="U390" s="3">
        <v>47.256599999999999</v>
      </c>
      <c r="V390" s="3">
        <v>0</v>
      </c>
      <c r="W390" s="3" t="s">
        <v>1</v>
      </c>
    </row>
    <row r="391" spans="5:23" hidden="1" x14ac:dyDescent="0.25">
      <c r="E391" t="s">
        <v>8610</v>
      </c>
      <c r="F391" s="1" t="s">
        <v>8838</v>
      </c>
      <c r="G391" t="s">
        <v>1</v>
      </c>
      <c r="H391" t="s">
        <v>0</v>
      </c>
      <c r="I391" t="s">
        <v>8165</v>
      </c>
      <c r="J391" t="s">
        <v>8164</v>
      </c>
      <c r="K391">
        <v>13655</v>
      </c>
      <c r="L391">
        <v>13655</v>
      </c>
      <c r="M391" t="s">
        <v>8209</v>
      </c>
      <c r="N391" t="s">
        <v>8210</v>
      </c>
      <c r="O391" s="3">
        <v>0</v>
      </c>
      <c r="P391" s="3">
        <v>0</v>
      </c>
      <c r="Q391" s="3">
        <v>39.6</v>
      </c>
      <c r="R391" s="3">
        <v>5.1480000000000006</v>
      </c>
      <c r="S391" s="3">
        <v>0</v>
      </c>
      <c r="T391" s="3">
        <v>0</v>
      </c>
      <c r="U391" s="3">
        <v>44.748000000000005</v>
      </c>
      <c r="V391" s="3">
        <v>0</v>
      </c>
      <c r="W391" s="3" t="s">
        <v>1</v>
      </c>
    </row>
    <row r="392" spans="5:23" hidden="1" x14ac:dyDescent="0.25">
      <c r="E392" t="s">
        <v>8610</v>
      </c>
      <c r="F392" s="1" t="s">
        <v>8838</v>
      </c>
      <c r="G392" t="s">
        <v>1</v>
      </c>
      <c r="H392" t="s">
        <v>0</v>
      </c>
      <c r="I392" t="s">
        <v>8165</v>
      </c>
      <c r="J392" t="s">
        <v>8164</v>
      </c>
      <c r="K392">
        <v>13656</v>
      </c>
      <c r="L392">
        <v>13656</v>
      </c>
      <c r="M392" t="s">
        <v>250</v>
      </c>
      <c r="N392" t="s">
        <v>251</v>
      </c>
      <c r="O392" s="3">
        <v>0</v>
      </c>
      <c r="P392" s="3">
        <v>0</v>
      </c>
      <c r="Q392" s="3">
        <v>40.49</v>
      </c>
      <c r="R392" s="3">
        <v>5.2637</v>
      </c>
      <c r="S392" s="3">
        <v>0</v>
      </c>
      <c r="T392" s="3">
        <v>0</v>
      </c>
      <c r="U392" s="3">
        <v>45.753700000000002</v>
      </c>
      <c r="V392" s="3">
        <v>0</v>
      </c>
      <c r="W392" s="3" t="s">
        <v>1</v>
      </c>
    </row>
    <row r="393" spans="5:23" hidden="1" x14ac:dyDescent="0.25">
      <c r="E393" t="s">
        <v>8610</v>
      </c>
      <c r="F393" s="1" t="s">
        <v>8838</v>
      </c>
      <c r="G393" t="s">
        <v>1</v>
      </c>
      <c r="H393" t="s">
        <v>0</v>
      </c>
      <c r="I393" t="s">
        <v>8165</v>
      </c>
      <c r="J393" t="s">
        <v>8164</v>
      </c>
      <c r="K393">
        <v>13657</v>
      </c>
      <c r="L393">
        <v>13657</v>
      </c>
      <c r="M393" t="s">
        <v>7852</v>
      </c>
      <c r="N393" t="s">
        <v>7851</v>
      </c>
      <c r="O393" s="3">
        <v>0</v>
      </c>
      <c r="P393" s="3">
        <v>0</v>
      </c>
      <c r="Q393" s="3">
        <v>0</v>
      </c>
      <c r="R393" s="3">
        <v>0</v>
      </c>
      <c r="S393" s="3">
        <v>0</v>
      </c>
      <c r="T393" s="3">
        <v>0</v>
      </c>
      <c r="U393" s="3">
        <v>0</v>
      </c>
      <c r="V393" s="3">
        <v>0</v>
      </c>
      <c r="W393" s="3" t="s">
        <v>1</v>
      </c>
    </row>
    <row r="394" spans="5:23" hidden="1" x14ac:dyDescent="0.25">
      <c r="E394" t="s">
        <v>8610</v>
      </c>
      <c r="F394" s="1" t="s">
        <v>8838</v>
      </c>
      <c r="G394" t="s">
        <v>1</v>
      </c>
      <c r="H394" t="s">
        <v>0</v>
      </c>
      <c r="I394" t="s">
        <v>8165</v>
      </c>
      <c r="J394" t="s">
        <v>8164</v>
      </c>
      <c r="K394">
        <v>13658</v>
      </c>
      <c r="L394">
        <v>13658</v>
      </c>
      <c r="M394" t="s">
        <v>107</v>
      </c>
      <c r="N394" t="s">
        <v>108</v>
      </c>
      <c r="O394" s="3">
        <v>0</v>
      </c>
      <c r="P394" s="3">
        <v>0</v>
      </c>
      <c r="Q394" s="3">
        <v>386.4</v>
      </c>
      <c r="R394" s="3">
        <v>50.231999999999999</v>
      </c>
      <c r="S394" s="3">
        <v>0</v>
      </c>
      <c r="T394" s="3">
        <v>0</v>
      </c>
      <c r="U394" s="3">
        <v>436.63199999999995</v>
      </c>
      <c r="V394" s="3">
        <v>0</v>
      </c>
      <c r="W394" s="3" t="s">
        <v>1</v>
      </c>
    </row>
    <row r="395" spans="5:23" hidden="1" x14ac:dyDescent="0.25">
      <c r="E395" t="s">
        <v>8610</v>
      </c>
      <c r="F395" s="1" t="s">
        <v>8832</v>
      </c>
      <c r="G395" t="s">
        <v>1</v>
      </c>
      <c r="H395" t="s">
        <v>0</v>
      </c>
      <c r="I395" t="s">
        <v>8165</v>
      </c>
      <c r="J395" t="s">
        <v>8164</v>
      </c>
      <c r="K395">
        <v>13659</v>
      </c>
      <c r="L395">
        <v>13659</v>
      </c>
      <c r="M395" t="s">
        <v>8742</v>
      </c>
      <c r="N395" t="s">
        <v>8743</v>
      </c>
      <c r="O395" s="3">
        <v>0</v>
      </c>
      <c r="P395" s="3">
        <v>0</v>
      </c>
      <c r="Q395" s="3">
        <v>539.28</v>
      </c>
      <c r="R395" s="3">
        <v>70.106399999999994</v>
      </c>
      <c r="S395" s="3">
        <v>0</v>
      </c>
      <c r="T395" s="3">
        <v>0</v>
      </c>
      <c r="U395" s="3">
        <v>609.38639999999998</v>
      </c>
      <c r="V395" s="3">
        <v>0</v>
      </c>
      <c r="W395" s="3" t="s">
        <v>1</v>
      </c>
    </row>
    <row r="396" spans="5:23" hidden="1" x14ac:dyDescent="0.25">
      <c r="E396" t="s">
        <v>8610</v>
      </c>
      <c r="F396" s="1" t="s">
        <v>8832</v>
      </c>
      <c r="G396" t="s">
        <v>1</v>
      </c>
      <c r="H396" t="s">
        <v>0</v>
      </c>
      <c r="I396" t="s">
        <v>8165</v>
      </c>
      <c r="J396" t="s">
        <v>8164</v>
      </c>
      <c r="K396">
        <v>13660</v>
      </c>
      <c r="L396">
        <v>13660</v>
      </c>
      <c r="M396" t="s">
        <v>8456</v>
      </c>
      <c r="N396" t="s">
        <v>8457</v>
      </c>
      <c r="O396" s="3">
        <v>0</v>
      </c>
      <c r="P396" s="3">
        <v>0</v>
      </c>
      <c r="Q396" s="3">
        <v>184.52</v>
      </c>
      <c r="R396" s="3">
        <v>23.9876</v>
      </c>
      <c r="S396" s="3">
        <v>0</v>
      </c>
      <c r="T396" s="3">
        <v>0</v>
      </c>
      <c r="U396" s="3">
        <v>208.50760000000002</v>
      </c>
      <c r="V396" s="3">
        <v>0</v>
      </c>
      <c r="W396" s="3" t="s">
        <v>1</v>
      </c>
    </row>
    <row r="397" spans="5:23" hidden="1" x14ac:dyDescent="0.25">
      <c r="E397" t="s">
        <v>8610</v>
      </c>
      <c r="F397" s="1" t="s">
        <v>8832</v>
      </c>
      <c r="G397" t="s">
        <v>1</v>
      </c>
      <c r="H397" t="s">
        <v>0</v>
      </c>
      <c r="I397" t="s">
        <v>8165</v>
      </c>
      <c r="J397" t="s">
        <v>8164</v>
      </c>
      <c r="K397">
        <v>13661</v>
      </c>
      <c r="L397">
        <v>13661</v>
      </c>
      <c r="M397" t="s">
        <v>1273</v>
      </c>
      <c r="N397" t="s">
        <v>1274</v>
      </c>
      <c r="O397" s="3">
        <v>0</v>
      </c>
      <c r="P397" s="3">
        <v>0</v>
      </c>
      <c r="Q397" s="3">
        <v>111.51</v>
      </c>
      <c r="R397" s="3">
        <v>14.496300000000002</v>
      </c>
      <c r="S397" s="3">
        <v>0</v>
      </c>
      <c r="T397" s="3">
        <v>0</v>
      </c>
      <c r="U397" s="3">
        <v>126.00630000000001</v>
      </c>
      <c r="V397" s="3">
        <v>0</v>
      </c>
      <c r="W397" s="3" t="s">
        <v>1</v>
      </c>
    </row>
    <row r="398" spans="5:23" hidden="1" x14ac:dyDescent="0.25">
      <c r="E398" t="s">
        <v>8610</v>
      </c>
      <c r="F398" s="1" t="s">
        <v>8832</v>
      </c>
      <c r="G398" t="s">
        <v>1</v>
      </c>
      <c r="H398" t="s">
        <v>0</v>
      </c>
      <c r="I398" t="s">
        <v>8165</v>
      </c>
      <c r="J398" t="s">
        <v>8164</v>
      </c>
      <c r="K398">
        <v>13662</v>
      </c>
      <c r="L398">
        <v>13662</v>
      </c>
      <c r="M398" t="s">
        <v>8190</v>
      </c>
      <c r="N398" t="s">
        <v>8191</v>
      </c>
      <c r="O398" s="3">
        <v>0</v>
      </c>
      <c r="P398" s="3">
        <v>0</v>
      </c>
      <c r="Q398" s="3">
        <v>121.7</v>
      </c>
      <c r="R398" s="3">
        <v>15.821000000000002</v>
      </c>
      <c r="S398" s="3">
        <v>0</v>
      </c>
      <c r="T398" s="3">
        <v>0</v>
      </c>
      <c r="U398" s="3">
        <v>137.52100000000002</v>
      </c>
      <c r="V398" s="3">
        <v>0</v>
      </c>
      <c r="W398" s="3" t="s">
        <v>1</v>
      </c>
    </row>
    <row r="399" spans="5:23" hidden="1" x14ac:dyDescent="0.25">
      <c r="E399" t="s">
        <v>8610</v>
      </c>
      <c r="F399" s="1" t="s">
        <v>8832</v>
      </c>
      <c r="G399" t="s">
        <v>1</v>
      </c>
      <c r="H399" t="s">
        <v>0</v>
      </c>
      <c r="I399" t="s">
        <v>8165</v>
      </c>
      <c r="J399" t="s">
        <v>8164</v>
      </c>
      <c r="K399">
        <v>13663</v>
      </c>
      <c r="L399">
        <v>13663</v>
      </c>
      <c r="M399">
        <v>0</v>
      </c>
      <c r="N399" t="s">
        <v>8219</v>
      </c>
      <c r="O399" s="3">
        <v>0</v>
      </c>
      <c r="P399" s="3">
        <v>0</v>
      </c>
      <c r="Q399" s="3">
        <v>84.2</v>
      </c>
      <c r="R399" s="3">
        <v>10.946000000000002</v>
      </c>
      <c r="S399" s="3">
        <v>0</v>
      </c>
      <c r="T399" s="3">
        <v>0</v>
      </c>
      <c r="U399" s="3">
        <v>95.146000000000001</v>
      </c>
      <c r="V399" s="3" t="s">
        <v>8636</v>
      </c>
      <c r="W399" s="3" t="s">
        <v>1</v>
      </c>
    </row>
    <row r="400" spans="5:23" hidden="1" x14ac:dyDescent="0.25">
      <c r="E400" t="s">
        <v>8610</v>
      </c>
      <c r="F400" s="1" t="s">
        <v>8832</v>
      </c>
      <c r="G400" t="s">
        <v>1</v>
      </c>
      <c r="H400" t="s">
        <v>0</v>
      </c>
      <c r="I400" t="s">
        <v>8165</v>
      </c>
      <c r="J400" t="s">
        <v>8164</v>
      </c>
      <c r="K400">
        <v>13664</v>
      </c>
      <c r="L400">
        <v>13664</v>
      </c>
      <c r="M400" t="s">
        <v>8243</v>
      </c>
      <c r="N400" t="s">
        <v>8244</v>
      </c>
      <c r="O400" s="3">
        <v>0</v>
      </c>
      <c r="P400" s="3">
        <v>0</v>
      </c>
      <c r="Q400" s="3">
        <v>33.86</v>
      </c>
      <c r="R400" s="3">
        <v>4.4017999999999997</v>
      </c>
      <c r="S400" s="3">
        <v>0</v>
      </c>
      <c r="T400" s="3">
        <v>0</v>
      </c>
      <c r="U400" s="3">
        <v>38.261800000000001</v>
      </c>
      <c r="V400" s="3">
        <v>0</v>
      </c>
      <c r="W400" s="3" t="s">
        <v>1</v>
      </c>
    </row>
    <row r="401" spans="5:23" hidden="1" x14ac:dyDescent="0.25">
      <c r="E401" t="s">
        <v>8610</v>
      </c>
      <c r="F401" s="1" t="s">
        <v>8832</v>
      </c>
      <c r="G401" t="s">
        <v>1</v>
      </c>
      <c r="H401" t="s">
        <v>0</v>
      </c>
      <c r="I401" t="s">
        <v>8165</v>
      </c>
      <c r="J401" t="s">
        <v>8164</v>
      </c>
      <c r="K401">
        <v>13665</v>
      </c>
      <c r="L401">
        <v>13665</v>
      </c>
      <c r="M401">
        <v>0</v>
      </c>
      <c r="N401" t="s">
        <v>8231</v>
      </c>
      <c r="O401" s="3">
        <v>0</v>
      </c>
      <c r="P401" s="3">
        <v>0</v>
      </c>
      <c r="Q401" s="3">
        <v>54.24</v>
      </c>
      <c r="R401" s="3">
        <v>7.0512000000000006</v>
      </c>
      <c r="S401" s="3">
        <v>0</v>
      </c>
      <c r="T401" s="3">
        <v>0</v>
      </c>
      <c r="U401" s="3">
        <v>61.291200000000003</v>
      </c>
      <c r="V401" s="3" t="s">
        <v>8835</v>
      </c>
      <c r="W401" s="3" t="s">
        <v>1</v>
      </c>
    </row>
    <row r="402" spans="5:23" hidden="1" x14ac:dyDescent="0.25">
      <c r="E402" t="s">
        <v>8610</v>
      </c>
      <c r="F402" s="1" t="s">
        <v>8832</v>
      </c>
      <c r="G402" t="s">
        <v>1</v>
      </c>
      <c r="H402" t="s">
        <v>0</v>
      </c>
      <c r="I402" t="s">
        <v>8165</v>
      </c>
      <c r="J402" t="s">
        <v>8164</v>
      </c>
      <c r="K402">
        <v>13666</v>
      </c>
      <c r="L402">
        <v>13666</v>
      </c>
      <c r="M402" t="s">
        <v>8249</v>
      </c>
      <c r="N402" t="s">
        <v>8250</v>
      </c>
      <c r="O402" s="3">
        <v>0</v>
      </c>
      <c r="P402" s="3">
        <v>0</v>
      </c>
      <c r="Q402" s="3">
        <v>48.56</v>
      </c>
      <c r="R402" s="3">
        <v>6.3128000000000002</v>
      </c>
      <c r="S402" s="3">
        <v>0</v>
      </c>
      <c r="T402" s="3">
        <v>0</v>
      </c>
      <c r="U402" s="3">
        <v>54.872800000000005</v>
      </c>
      <c r="V402" s="3">
        <v>0</v>
      </c>
      <c r="W402" s="3" t="s">
        <v>1</v>
      </c>
    </row>
    <row r="403" spans="5:23" hidden="1" x14ac:dyDescent="0.25">
      <c r="E403" t="s">
        <v>8610</v>
      </c>
      <c r="F403" s="1" t="s">
        <v>8832</v>
      </c>
      <c r="G403" t="s">
        <v>1</v>
      </c>
      <c r="H403" t="s">
        <v>0</v>
      </c>
      <c r="I403" t="s">
        <v>8165</v>
      </c>
      <c r="J403" t="s">
        <v>8164</v>
      </c>
      <c r="K403">
        <v>13667</v>
      </c>
      <c r="L403">
        <v>13667</v>
      </c>
      <c r="M403" t="s">
        <v>8833</v>
      </c>
      <c r="N403" t="s">
        <v>8834</v>
      </c>
      <c r="O403" s="3">
        <v>0</v>
      </c>
      <c r="P403" s="3">
        <v>0</v>
      </c>
      <c r="Q403" s="3">
        <v>16.2</v>
      </c>
      <c r="R403" s="3">
        <v>2.1059999999999999</v>
      </c>
      <c r="S403" s="3">
        <v>0</v>
      </c>
      <c r="T403" s="3">
        <v>0</v>
      </c>
      <c r="U403" s="3">
        <v>18.305999999999997</v>
      </c>
      <c r="V403" s="3">
        <v>0</v>
      </c>
      <c r="W403" s="3" t="s">
        <v>1</v>
      </c>
    </row>
    <row r="404" spans="5:23" hidden="1" x14ac:dyDescent="0.25">
      <c r="E404" t="s">
        <v>8610</v>
      </c>
      <c r="F404" s="1" t="s">
        <v>8832</v>
      </c>
      <c r="G404" t="s">
        <v>1</v>
      </c>
      <c r="H404" t="s">
        <v>0</v>
      </c>
      <c r="I404" t="s">
        <v>8165</v>
      </c>
      <c r="J404" t="s">
        <v>8164</v>
      </c>
      <c r="K404">
        <v>13668</v>
      </c>
      <c r="L404">
        <v>13668</v>
      </c>
      <c r="M404" t="s">
        <v>8259</v>
      </c>
      <c r="N404" t="s">
        <v>8260</v>
      </c>
      <c r="O404" s="3">
        <v>0</v>
      </c>
      <c r="P404" s="3">
        <v>0</v>
      </c>
      <c r="Q404" s="3">
        <v>38.44</v>
      </c>
      <c r="R404" s="3">
        <v>4.9972000000000003</v>
      </c>
      <c r="S404" s="3">
        <v>0</v>
      </c>
      <c r="T404" s="3">
        <v>0</v>
      </c>
      <c r="U404" s="3">
        <v>43.437199999999997</v>
      </c>
      <c r="V404" s="3">
        <v>0</v>
      </c>
      <c r="W404" s="3" t="s">
        <v>1</v>
      </c>
    </row>
    <row r="405" spans="5:23" hidden="1" x14ac:dyDescent="0.25">
      <c r="E405" t="s">
        <v>8610</v>
      </c>
      <c r="F405" s="1" t="s">
        <v>8832</v>
      </c>
      <c r="G405" t="s">
        <v>1</v>
      </c>
      <c r="H405" t="s">
        <v>0</v>
      </c>
      <c r="I405" t="s">
        <v>8165</v>
      </c>
      <c r="J405" t="s">
        <v>8164</v>
      </c>
      <c r="K405">
        <v>13669</v>
      </c>
      <c r="L405">
        <v>13669</v>
      </c>
      <c r="M405" t="s">
        <v>8224</v>
      </c>
      <c r="N405" t="s">
        <v>8225</v>
      </c>
      <c r="O405" s="3">
        <v>0</v>
      </c>
      <c r="P405" s="3">
        <v>0</v>
      </c>
      <c r="Q405" s="3">
        <v>256</v>
      </c>
      <c r="R405" s="3">
        <v>33.28</v>
      </c>
      <c r="S405" s="3">
        <v>0</v>
      </c>
      <c r="T405" s="3">
        <v>0</v>
      </c>
      <c r="U405" s="3">
        <v>289.27999999999997</v>
      </c>
      <c r="V405" s="3">
        <v>0</v>
      </c>
      <c r="W405" s="3" t="s">
        <v>1</v>
      </c>
    </row>
    <row r="406" spans="5:23" hidden="1" x14ac:dyDescent="0.25">
      <c r="E406" t="s">
        <v>8610</v>
      </c>
      <c r="F406" s="1" t="s">
        <v>8832</v>
      </c>
      <c r="G406" t="s">
        <v>1</v>
      </c>
      <c r="H406" t="s">
        <v>0</v>
      </c>
      <c r="I406" t="s">
        <v>8165</v>
      </c>
      <c r="J406" t="s">
        <v>8164</v>
      </c>
      <c r="K406">
        <v>13670</v>
      </c>
      <c r="L406">
        <v>13670</v>
      </c>
      <c r="M406" t="s">
        <v>7852</v>
      </c>
      <c r="N406" t="s">
        <v>7851</v>
      </c>
      <c r="O406" s="3">
        <v>0</v>
      </c>
      <c r="P406" s="3">
        <v>0</v>
      </c>
      <c r="Q406" s="3">
        <v>0</v>
      </c>
      <c r="R406" s="3">
        <v>0</v>
      </c>
      <c r="S406" s="3">
        <v>0</v>
      </c>
      <c r="T406" s="3">
        <v>0</v>
      </c>
      <c r="U406" s="3">
        <v>0</v>
      </c>
      <c r="V406" s="3">
        <v>0</v>
      </c>
      <c r="W406" s="3" t="s">
        <v>1</v>
      </c>
    </row>
    <row r="407" spans="5:23" hidden="1" x14ac:dyDescent="0.25">
      <c r="E407" t="s">
        <v>8610</v>
      </c>
      <c r="F407" s="1" t="s">
        <v>8831</v>
      </c>
      <c r="G407" t="s">
        <v>1</v>
      </c>
      <c r="H407" t="s">
        <v>0</v>
      </c>
      <c r="I407" t="s">
        <v>8165</v>
      </c>
      <c r="J407" t="s">
        <v>8164</v>
      </c>
      <c r="K407">
        <v>13671</v>
      </c>
      <c r="L407">
        <v>13671</v>
      </c>
      <c r="M407" t="s">
        <v>7852</v>
      </c>
      <c r="N407" t="s">
        <v>7851</v>
      </c>
      <c r="O407" s="3">
        <v>0</v>
      </c>
      <c r="P407" s="3">
        <v>0</v>
      </c>
      <c r="Q407" s="3">
        <v>0</v>
      </c>
      <c r="R407" s="3">
        <v>0</v>
      </c>
      <c r="S407" s="3">
        <v>0</v>
      </c>
      <c r="T407" s="3">
        <v>0</v>
      </c>
      <c r="U407" s="3">
        <v>0</v>
      </c>
      <c r="V407" s="3">
        <v>0</v>
      </c>
      <c r="W407" s="3" t="s">
        <v>1</v>
      </c>
    </row>
    <row r="408" spans="5:23" hidden="1" x14ac:dyDescent="0.25">
      <c r="E408" t="s">
        <v>8610</v>
      </c>
      <c r="F408" s="1" t="s">
        <v>8831</v>
      </c>
      <c r="G408" t="s">
        <v>1</v>
      </c>
      <c r="H408" t="s">
        <v>0</v>
      </c>
      <c r="I408" t="s">
        <v>8165</v>
      </c>
      <c r="J408" t="s">
        <v>8164</v>
      </c>
      <c r="K408">
        <v>13672</v>
      </c>
      <c r="L408">
        <v>13672</v>
      </c>
      <c r="M408" t="s">
        <v>5339</v>
      </c>
      <c r="N408" t="s">
        <v>5340</v>
      </c>
      <c r="O408" s="3">
        <v>0</v>
      </c>
      <c r="P408" s="3">
        <v>0</v>
      </c>
      <c r="Q408" s="3">
        <v>54.15</v>
      </c>
      <c r="R408" s="3">
        <v>7.0395000000000003</v>
      </c>
      <c r="S408" s="3">
        <v>0</v>
      </c>
      <c r="T408" s="3">
        <v>0</v>
      </c>
      <c r="U408" s="3">
        <v>61.189499999999995</v>
      </c>
      <c r="V408" s="3">
        <v>0</v>
      </c>
      <c r="W408" s="3" t="s">
        <v>1</v>
      </c>
    </row>
    <row r="409" spans="5:23" hidden="1" x14ac:dyDescent="0.25">
      <c r="E409" t="s">
        <v>8610</v>
      </c>
      <c r="F409" s="1" t="s">
        <v>8831</v>
      </c>
      <c r="G409" t="s">
        <v>1</v>
      </c>
      <c r="H409" t="s">
        <v>0</v>
      </c>
      <c r="I409" t="s">
        <v>8165</v>
      </c>
      <c r="J409" t="s">
        <v>8164</v>
      </c>
      <c r="K409">
        <v>13673</v>
      </c>
      <c r="L409">
        <v>13673</v>
      </c>
      <c r="M409" t="s">
        <v>5339</v>
      </c>
      <c r="N409" t="s">
        <v>5340</v>
      </c>
      <c r="O409" s="3">
        <v>0</v>
      </c>
      <c r="P409" s="3">
        <v>0</v>
      </c>
      <c r="Q409" s="3">
        <v>19.55</v>
      </c>
      <c r="R409" s="3">
        <v>2.5415000000000001</v>
      </c>
      <c r="S409" s="3">
        <v>0</v>
      </c>
      <c r="T409" s="3">
        <v>0</v>
      </c>
      <c r="U409" s="3">
        <v>22.0915</v>
      </c>
      <c r="V409" s="3">
        <v>0</v>
      </c>
      <c r="W409" s="3" t="s">
        <v>1</v>
      </c>
    </row>
    <row r="410" spans="5:23" hidden="1" x14ac:dyDescent="0.25">
      <c r="E410" t="s">
        <v>8610</v>
      </c>
      <c r="F410" s="1" t="s">
        <v>8831</v>
      </c>
      <c r="G410" t="s">
        <v>1</v>
      </c>
      <c r="H410" t="s">
        <v>0</v>
      </c>
      <c r="I410" t="s">
        <v>8165</v>
      </c>
      <c r="J410" t="s">
        <v>8164</v>
      </c>
      <c r="K410">
        <v>13674</v>
      </c>
      <c r="L410">
        <v>13674</v>
      </c>
      <c r="M410" t="s">
        <v>238</v>
      </c>
      <c r="N410" t="s">
        <v>239</v>
      </c>
      <c r="O410" s="3">
        <v>0</v>
      </c>
      <c r="P410" s="3">
        <v>0</v>
      </c>
      <c r="Q410" s="3">
        <v>198.75</v>
      </c>
      <c r="R410" s="3">
        <v>25.837500000000002</v>
      </c>
      <c r="S410" s="3">
        <v>0</v>
      </c>
      <c r="T410" s="3">
        <v>0</v>
      </c>
      <c r="U410" s="3">
        <v>224.58750000000001</v>
      </c>
      <c r="V410" s="3">
        <v>0</v>
      </c>
      <c r="W410" s="3" t="s">
        <v>1</v>
      </c>
    </row>
    <row r="411" spans="5:23" hidden="1" x14ac:dyDescent="0.25">
      <c r="E411" t="s">
        <v>8610</v>
      </c>
      <c r="F411" s="1" t="s">
        <v>8831</v>
      </c>
      <c r="G411" t="s">
        <v>1</v>
      </c>
      <c r="H411" t="s">
        <v>0</v>
      </c>
      <c r="I411" t="s">
        <v>8165</v>
      </c>
      <c r="J411" t="s">
        <v>8164</v>
      </c>
      <c r="K411">
        <v>13675</v>
      </c>
      <c r="L411">
        <v>13675</v>
      </c>
      <c r="M411" t="s">
        <v>8114</v>
      </c>
      <c r="N411" t="s">
        <v>8115</v>
      </c>
      <c r="O411" s="3">
        <v>0</v>
      </c>
      <c r="P411" s="3">
        <v>0</v>
      </c>
      <c r="Q411" s="3">
        <v>262.92</v>
      </c>
      <c r="R411" s="3">
        <v>34.179600000000001</v>
      </c>
      <c r="S411" s="3">
        <v>0</v>
      </c>
      <c r="T411" s="3">
        <v>0</v>
      </c>
      <c r="U411" s="3">
        <v>297.09960000000001</v>
      </c>
      <c r="V411" s="3">
        <v>0</v>
      </c>
      <c r="W411" s="3" t="s">
        <v>1</v>
      </c>
    </row>
    <row r="412" spans="5:23" hidden="1" x14ac:dyDescent="0.25">
      <c r="E412" t="s">
        <v>8610</v>
      </c>
      <c r="F412" s="1" t="s">
        <v>8831</v>
      </c>
      <c r="G412" t="s">
        <v>1</v>
      </c>
      <c r="H412" t="s">
        <v>0</v>
      </c>
      <c r="I412" t="s">
        <v>8165</v>
      </c>
      <c r="J412" t="s">
        <v>8164</v>
      </c>
      <c r="K412">
        <v>13676</v>
      </c>
      <c r="L412">
        <v>13676</v>
      </c>
      <c r="M412" t="s">
        <v>8300</v>
      </c>
      <c r="N412" t="s">
        <v>8301</v>
      </c>
      <c r="O412" s="3">
        <v>0</v>
      </c>
      <c r="P412" s="3">
        <v>0</v>
      </c>
      <c r="Q412" s="3">
        <v>73.84</v>
      </c>
      <c r="R412" s="3">
        <v>9.5992000000000015</v>
      </c>
      <c r="S412" s="3">
        <v>0</v>
      </c>
      <c r="T412" s="3">
        <v>0</v>
      </c>
      <c r="U412" s="3">
        <v>83.4392</v>
      </c>
      <c r="V412" s="3">
        <v>0</v>
      </c>
      <c r="W412" s="3" t="s">
        <v>1</v>
      </c>
    </row>
    <row r="413" spans="5:23" hidden="1" x14ac:dyDescent="0.25">
      <c r="E413" t="s">
        <v>8610</v>
      </c>
      <c r="F413" s="1" t="s">
        <v>8831</v>
      </c>
      <c r="G413" t="s">
        <v>1</v>
      </c>
      <c r="H413" t="s">
        <v>0</v>
      </c>
      <c r="I413" t="s">
        <v>8165</v>
      </c>
      <c r="J413" t="s">
        <v>8164</v>
      </c>
      <c r="K413">
        <v>13677</v>
      </c>
      <c r="L413">
        <v>13677</v>
      </c>
      <c r="M413" t="s">
        <v>7869</v>
      </c>
      <c r="N413" t="s">
        <v>7870</v>
      </c>
      <c r="O413" s="3">
        <v>0</v>
      </c>
      <c r="P413" s="3">
        <v>0</v>
      </c>
      <c r="Q413" s="3">
        <v>340.5</v>
      </c>
      <c r="R413" s="3">
        <v>44.265000000000001</v>
      </c>
      <c r="S413" s="3">
        <v>0</v>
      </c>
      <c r="T413" s="3">
        <v>0</v>
      </c>
      <c r="U413" s="3">
        <v>384.76499999999999</v>
      </c>
      <c r="V413" s="3">
        <v>0</v>
      </c>
      <c r="W413" s="3" t="s">
        <v>1</v>
      </c>
    </row>
    <row r="414" spans="5:23" hidden="1" x14ac:dyDescent="0.25">
      <c r="E414" t="s">
        <v>8610</v>
      </c>
      <c r="F414" s="1" t="s">
        <v>8831</v>
      </c>
      <c r="G414" t="s">
        <v>1</v>
      </c>
      <c r="H414" t="s">
        <v>0</v>
      </c>
      <c r="I414" t="s">
        <v>8165</v>
      </c>
      <c r="J414" t="s">
        <v>8164</v>
      </c>
      <c r="K414">
        <v>13678</v>
      </c>
      <c r="L414">
        <v>13678</v>
      </c>
      <c r="M414" t="s">
        <v>807</v>
      </c>
      <c r="N414" t="s">
        <v>808</v>
      </c>
      <c r="O414" s="3">
        <v>0</v>
      </c>
      <c r="P414" s="3">
        <v>0</v>
      </c>
      <c r="Q414" s="3">
        <v>977.4</v>
      </c>
      <c r="R414" s="3">
        <v>127.062</v>
      </c>
      <c r="S414" s="3">
        <v>0</v>
      </c>
      <c r="T414" s="3">
        <v>0</v>
      </c>
      <c r="U414" s="3">
        <v>1104.462</v>
      </c>
      <c r="V414" s="3">
        <v>0</v>
      </c>
      <c r="W414" s="3" t="s">
        <v>1</v>
      </c>
    </row>
    <row r="415" spans="5:23" hidden="1" x14ac:dyDescent="0.25">
      <c r="E415" t="s">
        <v>8610</v>
      </c>
      <c r="F415" s="1" t="s">
        <v>8831</v>
      </c>
      <c r="G415" t="s">
        <v>1</v>
      </c>
      <c r="H415" t="s">
        <v>0</v>
      </c>
      <c r="I415" t="s">
        <v>8165</v>
      </c>
      <c r="J415" t="s">
        <v>8164</v>
      </c>
      <c r="K415">
        <v>13679</v>
      </c>
      <c r="L415">
        <v>13679</v>
      </c>
      <c r="M415">
        <v>0</v>
      </c>
      <c r="N415" t="s">
        <v>8169</v>
      </c>
      <c r="O415" s="3">
        <v>0</v>
      </c>
      <c r="P415" s="3">
        <v>0</v>
      </c>
      <c r="Q415" s="3">
        <v>250.22</v>
      </c>
      <c r="R415" s="3">
        <v>32.528600000000004</v>
      </c>
      <c r="S415" s="3">
        <v>0</v>
      </c>
      <c r="T415" s="3">
        <v>0</v>
      </c>
      <c r="U415" s="3">
        <v>282.74860000000001</v>
      </c>
      <c r="V415" s="3" t="s">
        <v>8646</v>
      </c>
      <c r="W415" s="3" t="s">
        <v>1</v>
      </c>
    </row>
    <row r="416" spans="5:23" hidden="1" x14ac:dyDescent="0.25">
      <c r="E416" t="s">
        <v>8610</v>
      </c>
      <c r="F416" s="1" t="s">
        <v>8831</v>
      </c>
      <c r="G416" t="s">
        <v>1</v>
      </c>
      <c r="H416" t="s">
        <v>0</v>
      </c>
      <c r="I416" t="s">
        <v>8165</v>
      </c>
      <c r="J416" t="s">
        <v>8164</v>
      </c>
      <c r="K416">
        <v>13680</v>
      </c>
      <c r="L416">
        <v>13680</v>
      </c>
      <c r="M416">
        <v>0</v>
      </c>
      <c r="N416" t="s">
        <v>8169</v>
      </c>
      <c r="O416" s="3">
        <v>0</v>
      </c>
      <c r="P416" s="3">
        <v>0</v>
      </c>
      <c r="Q416" s="3">
        <v>70.8</v>
      </c>
      <c r="R416" s="3">
        <v>9.2040000000000006</v>
      </c>
      <c r="S416" s="3">
        <v>0</v>
      </c>
      <c r="T416" s="3">
        <v>0</v>
      </c>
      <c r="U416" s="3">
        <v>80.003999999999991</v>
      </c>
      <c r="V416" s="3" t="s">
        <v>8646</v>
      </c>
      <c r="W416" s="3" t="s">
        <v>1</v>
      </c>
    </row>
    <row r="417" spans="5:23" hidden="1" x14ac:dyDescent="0.25">
      <c r="E417" t="s">
        <v>8610</v>
      </c>
      <c r="F417" s="1" t="s">
        <v>8831</v>
      </c>
      <c r="G417" t="s">
        <v>1</v>
      </c>
      <c r="H417" t="s">
        <v>0</v>
      </c>
      <c r="I417" t="s">
        <v>8165</v>
      </c>
      <c r="J417" t="s">
        <v>8164</v>
      </c>
      <c r="K417">
        <v>13681</v>
      </c>
      <c r="L417">
        <v>13681</v>
      </c>
      <c r="M417">
        <v>0</v>
      </c>
      <c r="N417" t="s">
        <v>8229</v>
      </c>
      <c r="O417" s="3">
        <v>0</v>
      </c>
      <c r="P417" s="3">
        <v>0</v>
      </c>
      <c r="Q417" s="3">
        <v>140.94999999999999</v>
      </c>
      <c r="R417" s="3">
        <v>18.323499999999999</v>
      </c>
      <c r="S417" s="3">
        <v>0</v>
      </c>
      <c r="T417" s="3">
        <v>0</v>
      </c>
      <c r="U417" s="3">
        <v>159.27349999999998</v>
      </c>
      <c r="V417" s="3" t="s">
        <v>8719</v>
      </c>
      <c r="W417" s="3" t="s">
        <v>1</v>
      </c>
    </row>
    <row r="418" spans="5:23" hidden="1" x14ac:dyDescent="0.25">
      <c r="E418" t="s">
        <v>8610</v>
      </c>
      <c r="F418" s="1" t="s">
        <v>8831</v>
      </c>
      <c r="G418" t="s">
        <v>1</v>
      </c>
      <c r="H418" t="s">
        <v>0</v>
      </c>
      <c r="I418" t="s">
        <v>8165</v>
      </c>
      <c r="J418" t="s">
        <v>8164</v>
      </c>
      <c r="K418">
        <v>13682</v>
      </c>
      <c r="L418">
        <v>13682</v>
      </c>
      <c r="M418" t="s">
        <v>8188</v>
      </c>
      <c r="N418" t="s">
        <v>8189</v>
      </c>
      <c r="O418" s="3">
        <v>0</v>
      </c>
      <c r="P418" s="3">
        <v>0</v>
      </c>
      <c r="Q418" s="3">
        <v>259.35000000000002</v>
      </c>
      <c r="R418" s="3">
        <v>33.715500000000006</v>
      </c>
      <c r="S418" s="3">
        <v>0</v>
      </c>
      <c r="T418" s="3">
        <v>0</v>
      </c>
      <c r="U418" s="3">
        <v>293.06550000000004</v>
      </c>
      <c r="V418" s="3">
        <v>0</v>
      </c>
      <c r="W418" s="3" t="s">
        <v>1</v>
      </c>
    </row>
    <row r="419" spans="5:23" hidden="1" x14ac:dyDescent="0.25">
      <c r="E419" t="s">
        <v>8610</v>
      </c>
      <c r="F419" s="1" t="s">
        <v>8831</v>
      </c>
      <c r="G419" t="s">
        <v>1</v>
      </c>
      <c r="H419" t="s">
        <v>0</v>
      </c>
      <c r="I419" t="s">
        <v>8165</v>
      </c>
      <c r="J419" t="s">
        <v>8164</v>
      </c>
      <c r="K419">
        <v>13683</v>
      </c>
      <c r="L419">
        <v>13683</v>
      </c>
      <c r="M419" t="s">
        <v>7852</v>
      </c>
      <c r="N419" t="s">
        <v>7851</v>
      </c>
      <c r="O419" s="3">
        <v>0</v>
      </c>
      <c r="P419" s="3">
        <v>0</v>
      </c>
      <c r="Q419" s="3">
        <v>0</v>
      </c>
      <c r="R419" s="3">
        <v>0</v>
      </c>
      <c r="S419" s="3">
        <v>0</v>
      </c>
      <c r="T419" s="3">
        <v>0</v>
      </c>
      <c r="U419" s="3">
        <v>0</v>
      </c>
      <c r="V419" s="3">
        <v>0</v>
      </c>
      <c r="W419" s="3" t="s">
        <v>1</v>
      </c>
    </row>
    <row r="420" spans="5:23" hidden="1" x14ac:dyDescent="0.25">
      <c r="E420" t="s">
        <v>8610</v>
      </c>
      <c r="F420" s="1" t="s">
        <v>8831</v>
      </c>
      <c r="G420" t="s">
        <v>1</v>
      </c>
      <c r="H420" t="s">
        <v>0</v>
      </c>
      <c r="I420" t="s">
        <v>8165</v>
      </c>
      <c r="J420" t="s">
        <v>8164</v>
      </c>
      <c r="K420">
        <v>13684</v>
      </c>
      <c r="L420">
        <v>13684</v>
      </c>
      <c r="M420" t="s">
        <v>8243</v>
      </c>
      <c r="N420" t="s">
        <v>8244</v>
      </c>
      <c r="O420" s="3">
        <v>0</v>
      </c>
      <c r="P420" s="3">
        <v>0</v>
      </c>
      <c r="Q420" s="3">
        <v>46.48</v>
      </c>
      <c r="R420" s="3">
        <v>6.0423999999999998</v>
      </c>
      <c r="S420" s="3">
        <v>0</v>
      </c>
      <c r="T420" s="3">
        <v>0</v>
      </c>
      <c r="U420" s="3">
        <v>52.522399999999998</v>
      </c>
      <c r="V420" s="3">
        <v>0</v>
      </c>
      <c r="W420" s="3" t="s">
        <v>1</v>
      </c>
    </row>
    <row r="421" spans="5:23" hidden="1" x14ac:dyDescent="0.25">
      <c r="E421" t="s">
        <v>8610</v>
      </c>
      <c r="F421" s="1" t="s">
        <v>8831</v>
      </c>
      <c r="G421" t="s">
        <v>1</v>
      </c>
      <c r="H421" t="s">
        <v>0</v>
      </c>
      <c r="I421" t="s">
        <v>8165</v>
      </c>
      <c r="J421" t="s">
        <v>8164</v>
      </c>
      <c r="K421">
        <v>13685</v>
      </c>
      <c r="L421">
        <v>13685</v>
      </c>
      <c r="M421" t="s">
        <v>1396</v>
      </c>
      <c r="N421" t="s">
        <v>1397</v>
      </c>
      <c r="O421" s="3">
        <v>0</v>
      </c>
      <c r="P421" s="3">
        <v>0</v>
      </c>
      <c r="Q421" s="3">
        <v>406.5</v>
      </c>
      <c r="R421" s="3">
        <v>52.844999999999999</v>
      </c>
      <c r="S421" s="3">
        <v>0</v>
      </c>
      <c r="T421" s="3">
        <v>0</v>
      </c>
      <c r="U421" s="3">
        <v>459.34500000000003</v>
      </c>
      <c r="V421" s="3">
        <v>0</v>
      </c>
      <c r="W421" s="3" t="s">
        <v>1</v>
      </c>
    </row>
    <row r="422" spans="5:23" hidden="1" x14ac:dyDescent="0.25">
      <c r="E422" t="s">
        <v>8610</v>
      </c>
      <c r="F422" s="1" t="s">
        <v>8831</v>
      </c>
      <c r="G422" t="s">
        <v>1</v>
      </c>
      <c r="H422" t="s">
        <v>0</v>
      </c>
      <c r="I422" t="s">
        <v>8165</v>
      </c>
      <c r="J422" t="s">
        <v>8164</v>
      </c>
      <c r="K422">
        <v>13686</v>
      </c>
      <c r="L422">
        <v>13686</v>
      </c>
      <c r="M422" t="s">
        <v>143</v>
      </c>
      <c r="N422" t="s">
        <v>144</v>
      </c>
      <c r="O422" s="3">
        <v>0</v>
      </c>
      <c r="P422" s="3">
        <v>0</v>
      </c>
      <c r="Q422" s="3">
        <v>341.92</v>
      </c>
      <c r="R422" s="3">
        <v>44.449600000000004</v>
      </c>
      <c r="S422" s="3">
        <v>0</v>
      </c>
      <c r="T422" s="3">
        <v>0</v>
      </c>
      <c r="U422" s="3">
        <v>386.36959999999999</v>
      </c>
      <c r="V422" s="3">
        <v>0</v>
      </c>
      <c r="W422" s="3" t="s">
        <v>1</v>
      </c>
    </row>
    <row r="423" spans="5:23" hidden="1" x14ac:dyDescent="0.25">
      <c r="E423" t="s">
        <v>8610</v>
      </c>
      <c r="F423" s="1" t="s">
        <v>8831</v>
      </c>
      <c r="G423" t="s">
        <v>1</v>
      </c>
      <c r="H423" t="s">
        <v>0</v>
      </c>
      <c r="I423" t="s">
        <v>8165</v>
      </c>
      <c r="J423" t="s">
        <v>8164</v>
      </c>
      <c r="K423">
        <v>13687</v>
      </c>
      <c r="L423">
        <v>13687</v>
      </c>
      <c r="M423" t="s">
        <v>115</v>
      </c>
      <c r="N423" t="s">
        <v>116</v>
      </c>
      <c r="O423" s="3">
        <v>0</v>
      </c>
      <c r="P423" s="3">
        <v>0</v>
      </c>
      <c r="Q423" s="3">
        <v>360</v>
      </c>
      <c r="R423" s="3">
        <v>46.800000000000004</v>
      </c>
      <c r="S423" s="3">
        <v>0</v>
      </c>
      <c r="T423" s="3">
        <v>0</v>
      </c>
      <c r="U423" s="3">
        <v>406.8</v>
      </c>
      <c r="V423" s="3">
        <v>0</v>
      </c>
      <c r="W423" s="3" t="s">
        <v>1</v>
      </c>
    </row>
    <row r="424" spans="5:23" hidden="1" x14ac:dyDescent="0.25">
      <c r="E424" t="s">
        <v>8610</v>
      </c>
      <c r="F424" s="1" t="s">
        <v>8831</v>
      </c>
      <c r="G424" t="s">
        <v>1</v>
      </c>
      <c r="H424" t="s">
        <v>0</v>
      </c>
      <c r="I424" t="s">
        <v>8165</v>
      </c>
      <c r="J424" t="s">
        <v>8164</v>
      </c>
      <c r="K424">
        <v>13688</v>
      </c>
      <c r="L424">
        <v>13688</v>
      </c>
      <c r="M424" t="s">
        <v>8269</v>
      </c>
      <c r="N424" t="s">
        <v>8270</v>
      </c>
      <c r="O424" s="3">
        <v>0</v>
      </c>
      <c r="P424" s="3">
        <v>0</v>
      </c>
      <c r="Q424" s="3">
        <v>133</v>
      </c>
      <c r="R424" s="3">
        <v>17.29</v>
      </c>
      <c r="S424" s="3">
        <v>0</v>
      </c>
      <c r="T424" s="3">
        <v>0</v>
      </c>
      <c r="U424" s="3">
        <v>150.29</v>
      </c>
      <c r="V424" s="3">
        <v>0</v>
      </c>
      <c r="W424" s="3" t="s">
        <v>1</v>
      </c>
    </row>
    <row r="425" spans="5:23" hidden="1" x14ac:dyDescent="0.25">
      <c r="E425" t="s">
        <v>8610</v>
      </c>
      <c r="F425" s="1" t="s">
        <v>8831</v>
      </c>
      <c r="G425" t="s">
        <v>1</v>
      </c>
      <c r="H425" t="s">
        <v>0</v>
      </c>
      <c r="I425" t="s">
        <v>8165</v>
      </c>
      <c r="J425" t="s">
        <v>8164</v>
      </c>
      <c r="K425">
        <v>13689</v>
      </c>
      <c r="L425">
        <v>13689</v>
      </c>
      <c r="M425" t="s">
        <v>8269</v>
      </c>
      <c r="N425" t="s">
        <v>8270</v>
      </c>
      <c r="O425" s="3">
        <v>0</v>
      </c>
      <c r="P425" s="3">
        <v>0</v>
      </c>
      <c r="Q425" s="3">
        <v>3.72</v>
      </c>
      <c r="R425" s="3">
        <v>0.48360000000000003</v>
      </c>
      <c r="S425" s="3">
        <v>0</v>
      </c>
      <c r="T425" s="3">
        <v>0</v>
      </c>
      <c r="U425" s="3">
        <v>4.2035999999999998</v>
      </c>
      <c r="V425" s="3">
        <v>0</v>
      </c>
      <c r="W425" s="3" t="s">
        <v>1</v>
      </c>
    </row>
    <row r="426" spans="5:23" hidden="1" x14ac:dyDescent="0.25">
      <c r="E426" t="s">
        <v>8610</v>
      </c>
      <c r="F426" s="1" t="s">
        <v>8831</v>
      </c>
      <c r="G426" t="s">
        <v>1</v>
      </c>
      <c r="H426" t="s">
        <v>0</v>
      </c>
      <c r="I426" t="s">
        <v>8165</v>
      </c>
      <c r="J426" t="s">
        <v>8164</v>
      </c>
      <c r="K426">
        <v>13690</v>
      </c>
      <c r="L426">
        <v>13690</v>
      </c>
      <c r="M426" t="s">
        <v>7852</v>
      </c>
      <c r="N426" t="s">
        <v>7851</v>
      </c>
      <c r="O426" s="3">
        <v>0</v>
      </c>
      <c r="P426" s="3">
        <v>0</v>
      </c>
      <c r="Q426" s="3">
        <v>0</v>
      </c>
      <c r="R426" s="3">
        <v>0</v>
      </c>
      <c r="S426" s="3">
        <v>0</v>
      </c>
      <c r="T426" s="3">
        <v>0</v>
      </c>
      <c r="U426" s="3">
        <v>0</v>
      </c>
      <c r="V426" s="3">
        <v>0</v>
      </c>
      <c r="W426" s="3" t="s">
        <v>1</v>
      </c>
    </row>
    <row r="427" spans="5:23" hidden="1" x14ac:dyDescent="0.25">
      <c r="E427" t="s">
        <v>8610</v>
      </c>
      <c r="F427" s="1" t="s">
        <v>8831</v>
      </c>
      <c r="G427" t="s">
        <v>1</v>
      </c>
      <c r="H427" t="s">
        <v>0</v>
      </c>
      <c r="I427" t="s">
        <v>8165</v>
      </c>
      <c r="J427" t="s">
        <v>8164</v>
      </c>
      <c r="K427">
        <v>13691</v>
      </c>
      <c r="L427">
        <v>13691</v>
      </c>
      <c r="M427" t="s">
        <v>8291</v>
      </c>
      <c r="N427" t="s">
        <v>8292</v>
      </c>
      <c r="O427" s="3">
        <v>0</v>
      </c>
      <c r="P427" s="3">
        <v>0</v>
      </c>
      <c r="Q427" s="3">
        <v>177.1</v>
      </c>
      <c r="R427" s="3">
        <v>23.023</v>
      </c>
      <c r="S427" s="3">
        <v>0</v>
      </c>
      <c r="T427" s="3">
        <v>0</v>
      </c>
      <c r="U427" s="3">
        <v>200.12299999999999</v>
      </c>
      <c r="V427" s="3">
        <v>0</v>
      </c>
      <c r="W427" s="3" t="s">
        <v>1</v>
      </c>
    </row>
    <row r="428" spans="5:23" hidden="1" x14ac:dyDescent="0.25">
      <c r="E428" t="s">
        <v>8610</v>
      </c>
      <c r="F428" s="1" t="s">
        <v>8831</v>
      </c>
      <c r="G428" t="s">
        <v>1</v>
      </c>
      <c r="H428" t="s">
        <v>0</v>
      </c>
      <c r="I428" t="s">
        <v>8165</v>
      </c>
      <c r="J428" t="s">
        <v>8164</v>
      </c>
      <c r="K428">
        <v>13692</v>
      </c>
      <c r="L428">
        <v>13692</v>
      </c>
      <c r="M428" t="s">
        <v>8285</v>
      </c>
      <c r="N428" t="s">
        <v>8286</v>
      </c>
      <c r="O428" s="3">
        <v>0</v>
      </c>
      <c r="P428" s="3">
        <v>0</v>
      </c>
      <c r="Q428" s="3">
        <v>326.77</v>
      </c>
      <c r="R428" s="3">
        <v>42.4801</v>
      </c>
      <c r="S428" s="3">
        <v>0</v>
      </c>
      <c r="T428" s="3">
        <v>0</v>
      </c>
      <c r="U428" s="3">
        <v>369.25009999999997</v>
      </c>
      <c r="V428" s="3">
        <v>0</v>
      </c>
      <c r="W428" s="3" t="s">
        <v>1</v>
      </c>
    </row>
    <row r="429" spans="5:23" hidden="1" x14ac:dyDescent="0.25">
      <c r="E429" t="s">
        <v>8610</v>
      </c>
      <c r="F429" s="1" t="s">
        <v>8831</v>
      </c>
      <c r="G429" t="s">
        <v>1</v>
      </c>
      <c r="H429" t="s">
        <v>0</v>
      </c>
      <c r="I429" t="s">
        <v>8165</v>
      </c>
      <c r="J429" t="s">
        <v>8164</v>
      </c>
      <c r="K429">
        <v>13693</v>
      </c>
      <c r="L429">
        <v>13693</v>
      </c>
      <c r="M429" t="s">
        <v>8300</v>
      </c>
      <c r="N429" t="s">
        <v>8301</v>
      </c>
      <c r="O429" s="3">
        <v>0</v>
      </c>
      <c r="P429" s="3">
        <v>0</v>
      </c>
      <c r="Q429" s="3">
        <v>37.880000000000003</v>
      </c>
      <c r="R429" s="3">
        <v>4.9244000000000003</v>
      </c>
      <c r="S429" s="3">
        <v>0</v>
      </c>
      <c r="T429" s="3">
        <v>0</v>
      </c>
      <c r="U429" s="3">
        <v>42.804400000000001</v>
      </c>
      <c r="V429" s="3">
        <v>0</v>
      </c>
      <c r="W429" s="3" t="s">
        <v>1</v>
      </c>
    </row>
    <row r="430" spans="5:23" hidden="1" x14ac:dyDescent="0.25">
      <c r="E430" t="s">
        <v>8610</v>
      </c>
      <c r="F430" s="1" t="s">
        <v>8828</v>
      </c>
      <c r="G430" t="s">
        <v>1</v>
      </c>
      <c r="H430" t="s">
        <v>0</v>
      </c>
      <c r="I430" t="s">
        <v>8165</v>
      </c>
      <c r="J430" t="s">
        <v>8164</v>
      </c>
      <c r="K430">
        <v>13694</v>
      </c>
      <c r="L430">
        <v>13694</v>
      </c>
      <c r="M430">
        <v>0</v>
      </c>
      <c r="N430" t="s">
        <v>8454</v>
      </c>
      <c r="O430" s="3">
        <v>0</v>
      </c>
      <c r="P430" s="3">
        <v>0</v>
      </c>
      <c r="Q430" s="3">
        <v>38.270000000000003</v>
      </c>
      <c r="R430" s="3">
        <v>4.9751000000000003</v>
      </c>
      <c r="S430" s="3">
        <v>0</v>
      </c>
      <c r="T430" s="3">
        <v>0</v>
      </c>
      <c r="U430" s="3">
        <v>43.245100000000001</v>
      </c>
      <c r="V430" s="3" t="s">
        <v>8651</v>
      </c>
      <c r="W430" s="3" t="s">
        <v>1</v>
      </c>
    </row>
    <row r="431" spans="5:23" hidden="1" x14ac:dyDescent="0.25">
      <c r="E431" t="s">
        <v>8610</v>
      </c>
      <c r="F431" s="1" t="s">
        <v>8828</v>
      </c>
      <c r="G431" t="s">
        <v>1</v>
      </c>
      <c r="H431" t="s">
        <v>0</v>
      </c>
      <c r="I431" t="s">
        <v>8165</v>
      </c>
      <c r="J431" t="s">
        <v>8164</v>
      </c>
      <c r="K431">
        <v>13695</v>
      </c>
      <c r="L431">
        <v>13695</v>
      </c>
      <c r="M431" t="s">
        <v>164</v>
      </c>
      <c r="N431" t="s">
        <v>165</v>
      </c>
      <c r="O431" s="3">
        <v>0</v>
      </c>
      <c r="P431" s="3">
        <v>0</v>
      </c>
      <c r="Q431" s="3">
        <v>189.54</v>
      </c>
      <c r="R431" s="3">
        <v>24.6402</v>
      </c>
      <c r="S431" s="3">
        <v>0</v>
      </c>
      <c r="T431" s="3">
        <v>0</v>
      </c>
      <c r="U431" s="3">
        <v>214.18019999999999</v>
      </c>
      <c r="V431" s="3">
        <v>0</v>
      </c>
      <c r="W431" s="3" t="s">
        <v>1</v>
      </c>
    </row>
    <row r="432" spans="5:23" hidden="1" x14ac:dyDescent="0.25">
      <c r="E432" t="s">
        <v>8610</v>
      </c>
      <c r="F432" s="1" t="s">
        <v>8828</v>
      </c>
      <c r="G432" t="s">
        <v>1</v>
      </c>
      <c r="H432" t="s">
        <v>0</v>
      </c>
      <c r="I432" t="s">
        <v>8165</v>
      </c>
      <c r="J432" t="s">
        <v>8164</v>
      </c>
      <c r="K432">
        <v>13696</v>
      </c>
      <c r="L432">
        <v>13696</v>
      </c>
      <c r="M432" t="s">
        <v>164</v>
      </c>
      <c r="N432" t="s">
        <v>165</v>
      </c>
      <c r="O432" s="3">
        <v>0</v>
      </c>
      <c r="P432" s="3">
        <v>0</v>
      </c>
      <c r="Q432" s="3">
        <v>90.88</v>
      </c>
      <c r="R432" s="3">
        <v>11.814399999999999</v>
      </c>
      <c r="S432" s="3">
        <v>0</v>
      </c>
      <c r="T432" s="3">
        <v>0</v>
      </c>
      <c r="U432" s="3">
        <v>102.6944</v>
      </c>
      <c r="V432" s="3">
        <v>0</v>
      </c>
      <c r="W432" s="3" t="s">
        <v>1</v>
      </c>
    </row>
    <row r="433" spans="5:23" hidden="1" x14ac:dyDescent="0.25">
      <c r="E433" t="s">
        <v>8610</v>
      </c>
      <c r="F433" s="1" t="s">
        <v>8828</v>
      </c>
      <c r="G433" t="s">
        <v>1</v>
      </c>
      <c r="H433" t="s">
        <v>0</v>
      </c>
      <c r="I433" t="s">
        <v>8165</v>
      </c>
      <c r="J433" t="s">
        <v>8164</v>
      </c>
      <c r="K433">
        <v>13697</v>
      </c>
      <c r="L433">
        <v>13697</v>
      </c>
      <c r="M433">
        <v>0</v>
      </c>
      <c r="N433" t="s">
        <v>8235</v>
      </c>
      <c r="O433" s="3">
        <v>0</v>
      </c>
      <c r="P433" s="3">
        <v>0</v>
      </c>
      <c r="Q433" s="3">
        <v>44.25</v>
      </c>
      <c r="R433" s="3">
        <v>5.7525000000000004</v>
      </c>
      <c r="S433" s="3">
        <v>0</v>
      </c>
      <c r="T433" s="3">
        <v>0</v>
      </c>
      <c r="U433" s="3">
        <v>50.002499999999998</v>
      </c>
      <c r="V433" s="3" t="s">
        <v>8718</v>
      </c>
      <c r="W433" s="3" t="s">
        <v>1</v>
      </c>
    </row>
    <row r="434" spans="5:23" hidden="1" x14ac:dyDescent="0.25">
      <c r="E434" t="s">
        <v>8610</v>
      </c>
      <c r="F434" s="1" t="s">
        <v>8828</v>
      </c>
      <c r="G434" t="s">
        <v>1</v>
      </c>
      <c r="H434" t="s">
        <v>0</v>
      </c>
      <c r="I434" t="s">
        <v>8165</v>
      </c>
      <c r="J434" t="s">
        <v>8164</v>
      </c>
      <c r="K434">
        <v>13698</v>
      </c>
      <c r="L434">
        <v>13698</v>
      </c>
      <c r="M434" t="s">
        <v>2203</v>
      </c>
      <c r="N434" t="s">
        <v>2204</v>
      </c>
      <c r="O434" s="3">
        <v>0</v>
      </c>
      <c r="P434" s="3">
        <v>0</v>
      </c>
      <c r="Q434" s="3">
        <v>43.01</v>
      </c>
      <c r="R434" s="3">
        <v>5.5912999999999995</v>
      </c>
      <c r="S434" s="3">
        <v>0</v>
      </c>
      <c r="T434" s="3">
        <v>0</v>
      </c>
      <c r="U434" s="3">
        <v>48.601299999999995</v>
      </c>
      <c r="V434" s="3">
        <v>0</v>
      </c>
      <c r="W434" s="3" t="s">
        <v>1</v>
      </c>
    </row>
    <row r="435" spans="5:23" hidden="1" x14ac:dyDescent="0.25">
      <c r="E435" t="s">
        <v>8610</v>
      </c>
      <c r="F435" s="1" t="s">
        <v>8828</v>
      </c>
      <c r="G435" t="s">
        <v>1</v>
      </c>
      <c r="H435" t="s">
        <v>0</v>
      </c>
      <c r="I435" t="s">
        <v>8165</v>
      </c>
      <c r="J435" t="s">
        <v>8164</v>
      </c>
      <c r="K435">
        <v>13699</v>
      </c>
      <c r="L435">
        <v>13699</v>
      </c>
      <c r="M435" t="s">
        <v>8829</v>
      </c>
      <c r="N435" t="s">
        <v>8830</v>
      </c>
      <c r="O435" s="3">
        <v>0</v>
      </c>
      <c r="P435" s="3">
        <v>0</v>
      </c>
      <c r="Q435" s="3">
        <v>45.12</v>
      </c>
      <c r="R435" s="3">
        <v>5.8655999999999997</v>
      </c>
      <c r="S435" s="3">
        <v>0</v>
      </c>
      <c r="T435" s="3">
        <v>0</v>
      </c>
      <c r="U435" s="3">
        <v>50.985599999999998</v>
      </c>
      <c r="V435" s="3">
        <v>0</v>
      </c>
      <c r="W435" s="3" t="s">
        <v>1</v>
      </c>
    </row>
    <row r="436" spans="5:23" hidden="1" x14ac:dyDescent="0.25">
      <c r="E436" t="s">
        <v>8610</v>
      </c>
      <c r="F436" s="1" t="s">
        <v>8828</v>
      </c>
      <c r="G436" t="s">
        <v>1</v>
      </c>
      <c r="H436" t="s">
        <v>0</v>
      </c>
      <c r="I436" t="s">
        <v>8165</v>
      </c>
      <c r="J436" t="s">
        <v>8164</v>
      </c>
      <c r="K436">
        <v>13700</v>
      </c>
      <c r="L436">
        <v>13700</v>
      </c>
      <c r="M436" t="s">
        <v>8829</v>
      </c>
      <c r="N436" t="s">
        <v>8830</v>
      </c>
      <c r="O436" s="3">
        <v>0</v>
      </c>
      <c r="P436" s="3">
        <v>0</v>
      </c>
      <c r="Q436" s="3">
        <v>35.700000000000003</v>
      </c>
      <c r="R436" s="3">
        <v>4.6410000000000009</v>
      </c>
      <c r="S436" s="3">
        <v>0</v>
      </c>
      <c r="T436" s="3">
        <v>0</v>
      </c>
      <c r="U436" s="3">
        <v>40.341000000000001</v>
      </c>
      <c r="V436" s="3">
        <v>0</v>
      </c>
      <c r="W436" s="3" t="s">
        <v>1</v>
      </c>
    </row>
    <row r="437" spans="5:23" hidden="1" x14ac:dyDescent="0.25">
      <c r="E437" t="s">
        <v>8610</v>
      </c>
      <c r="F437" s="1" t="s">
        <v>8828</v>
      </c>
      <c r="G437" t="s">
        <v>1</v>
      </c>
      <c r="H437" t="s">
        <v>0</v>
      </c>
      <c r="I437" t="s">
        <v>8165</v>
      </c>
      <c r="J437" t="s">
        <v>8164</v>
      </c>
      <c r="K437">
        <v>13701</v>
      </c>
      <c r="L437">
        <v>13701</v>
      </c>
      <c r="M437" t="s">
        <v>7852</v>
      </c>
      <c r="N437" t="s">
        <v>7851</v>
      </c>
      <c r="O437" s="3">
        <v>0</v>
      </c>
      <c r="P437" s="3">
        <v>0</v>
      </c>
      <c r="Q437" s="3">
        <v>0</v>
      </c>
      <c r="R437" s="3">
        <v>0</v>
      </c>
      <c r="S437" s="3">
        <v>0</v>
      </c>
      <c r="T437" s="3">
        <v>0</v>
      </c>
      <c r="U437" s="3">
        <v>0</v>
      </c>
      <c r="V437" s="3">
        <v>0</v>
      </c>
      <c r="W437" s="3" t="s">
        <v>1</v>
      </c>
    </row>
    <row r="438" spans="5:23" hidden="1" x14ac:dyDescent="0.25">
      <c r="E438" t="s">
        <v>8610</v>
      </c>
      <c r="F438" s="1" t="s">
        <v>8828</v>
      </c>
      <c r="G438" t="s">
        <v>1</v>
      </c>
      <c r="H438" t="s">
        <v>0</v>
      </c>
      <c r="I438" t="s">
        <v>8165</v>
      </c>
      <c r="J438" t="s">
        <v>8164</v>
      </c>
      <c r="K438">
        <v>13702</v>
      </c>
      <c r="L438">
        <v>13702</v>
      </c>
      <c r="M438" t="s">
        <v>238</v>
      </c>
      <c r="N438" t="s">
        <v>239</v>
      </c>
      <c r="O438" s="3">
        <v>0</v>
      </c>
      <c r="P438" s="3">
        <v>0</v>
      </c>
      <c r="Q438" s="3">
        <v>65.69</v>
      </c>
      <c r="R438" s="3">
        <v>8.5396999999999998</v>
      </c>
      <c r="S438" s="3">
        <v>0</v>
      </c>
      <c r="T438" s="3">
        <v>0</v>
      </c>
      <c r="U438" s="3">
        <v>74.229699999999994</v>
      </c>
      <c r="V438" s="3">
        <v>0</v>
      </c>
      <c r="W438" s="3" t="s">
        <v>1</v>
      </c>
    </row>
    <row r="439" spans="5:23" hidden="1" x14ac:dyDescent="0.25">
      <c r="E439" t="s">
        <v>8610</v>
      </c>
      <c r="F439" s="1" t="s">
        <v>8827</v>
      </c>
      <c r="G439" t="s">
        <v>1</v>
      </c>
      <c r="H439" t="s">
        <v>0</v>
      </c>
      <c r="I439" t="s">
        <v>8165</v>
      </c>
      <c r="J439" t="s">
        <v>8164</v>
      </c>
      <c r="K439">
        <v>13703</v>
      </c>
      <c r="L439">
        <v>13703</v>
      </c>
      <c r="M439">
        <v>0</v>
      </c>
      <c r="N439" t="s">
        <v>8235</v>
      </c>
      <c r="O439" s="3">
        <v>0</v>
      </c>
      <c r="P439" s="3">
        <v>0</v>
      </c>
      <c r="Q439" s="3">
        <v>213</v>
      </c>
      <c r="R439" s="3">
        <v>27.69</v>
      </c>
      <c r="S439" s="3">
        <v>0</v>
      </c>
      <c r="T439" s="3">
        <v>0</v>
      </c>
      <c r="U439" s="3">
        <v>240.69</v>
      </c>
      <c r="V439" s="3" t="s">
        <v>8718</v>
      </c>
      <c r="W439" s="3" t="s">
        <v>1</v>
      </c>
    </row>
    <row r="440" spans="5:23" hidden="1" x14ac:dyDescent="0.25">
      <c r="E440" t="s">
        <v>8610</v>
      </c>
      <c r="F440" s="1" t="s">
        <v>8827</v>
      </c>
      <c r="G440" t="s">
        <v>1</v>
      </c>
      <c r="H440" t="s">
        <v>0</v>
      </c>
      <c r="I440" t="s">
        <v>8165</v>
      </c>
      <c r="J440" t="s">
        <v>8164</v>
      </c>
      <c r="K440">
        <v>13704</v>
      </c>
      <c r="L440">
        <v>13704</v>
      </c>
      <c r="M440" t="s">
        <v>153</v>
      </c>
      <c r="N440" t="s">
        <v>154</v>
      </c>
      <c r="O440" s="3">
        <v>0</v>
      </c>
      <c r="P440" s="3">
        <v>0</v>
      </c>
      <c r="Q440" s="3">
        <v>30.87</v>
      </c>
      <c r="R440" s="3">
        <v>4.0131000000000006</v>
      </c>
      <c r="S440" s="3">
        <v>0</v>
      </c>
      <c r="T440" s="3">
        <v>0</v>
      </c>
      <c r="U440" s="3">
        <v>34.883099999999999</v>
      </c>
      <c r="V440" s="3">
        <v>0</v>
      </c>
      <c r="W440" s="3" t="s">
        <v>1</v>
      </c>
    </row>
    <row r="441" spans="5:23" hidden="1" x14ac:dyDescent="0.25">
      <c r="E441" t="s">
        <v>8610</v>
      </c>
      <c r="F441" s="1" t="s">
        <v>8827</v>
      </c>
      <c r="G441" t="s">
        <v>1</v>
      </c>
      <c r="H441" t="s">
        <v>0</v>
      </c>
      <c r="I441" t="s">
        <v>8165</v>
      </c>
      <c r="J441" t="s">
        <v>8164</v>
      </c>
      <c r="K441">
        <v>13705</v>
      </c>
      <c r="L441">
        <v>13705</v>
      </c>
      <c r="M441" t="s">
        <v>8269</v>
      </c>
      <c r="N441" t="s">
        <v>8270</v>
      </c>
      <c r="O441" s="3">
        <v>0</v>
      </c>
      <c r="P441" s="3">
        <v>0</v>
      </c>
      <c r="Q441" s="3">
        <v>49.56</v>
      </c>
      <c r="R441" s="3">
        <v>6.4428000000000001</v>
      </c>
      <c r="S441" s="3">
        <v>0</v>
      </c>
      <c r="T441" s="3">
        <v>0</v>
      </c>
      <c r="U441" s="3">
        <v>56.002800000000001</v>
      </c>
      <c r="V441" s="3">
        <v>0</v>
      </c>
      <c r="W441" s="3" t="s">
        <v>1</v>
      </c>
    </row>
    <row r="442" spans="5:23" hidden="1" x14ac:dyDescent="0.25">
      <c r="E442" t="s">
        <v>8610</v>
      </c>
      <c r="F442" s="1" t="s">
        <v>8827</v>
      </c>
      <c r="G442" t="s">
        <v>1</v>
      </c>
      <c r="H442" t="s">
        <v>0</v>
      </c>
      <c r="I442" t="s">
        <v>8165</v>
      </c>
      <c r="J442" t="s">
        <v>8164</v>
      </c>
      <c r="K442">
        <v>13706</v>
      </c>
      <c r="L442">
        <v>13706</v>
      </c>
      <c r="M442" t="s">
        <v>8300</v>
      </c>
      <c r="N442" t="s">
        <v>8301</v>
      </c>
      <c r="O442" s="3">
        <v>0</v>
      </c>
      <c r="P442" s="3">
        <v>0</v>
      </c>
      <c r="Q442" s="3">
        <v>1033.56</v>
      </c>
      <c r="R442" s="3">
        <v>134.36279999999999</v>
      </c>
      <c r="S442" s="3">
        <v>0</v>
      </c>
      <c r="T442" s="3">
        <v>0</v>
      </c>
      <c r="U442" s="3">
        <v>1167.9227999999998</v>
      </c>
      <c r="V442" s="3">
        <v>0</v>
      </c>
      <c r="W442" s="3" t="s">
        <v>1</v>
      </c>
    </row>
    <row r="443" spans="5:23" hidden="1" x14ac:dyDescent="0.25">
      <c r="E443" t="s">
        <v>8610</v>
      </c>
      <c r="F443" s="1" t="s">
        <v>8827</v>
      </c>
      <c r="G443" t="s">
        <v>1</v>
      </c>
      <c r="H443" t="s">
        <v>0</v>
      </c>
      <c r="I443" t="s">
        <v>8165</v>
      </c>
      <c r="J443" t="s">
        <v>8164</v>
      </c>
      <c r="K443">
        <v>13707</v>
      </c>
      <c r="L443">
        <v>13707</v>
      </c>
      <c r="M443" t="s">
        <v>8249</v>
      </c>
      <c r="N443" t="s">
        <v>8250</v>
      </c>
      <c r="O443" s="3">
        <v>0</v>
      </c>
      <c r="P443" s="3">
        <v>0</v>
      </c>
      <c r="Q443" s="3">
        <v>105.84</v>
      </c>
      <c r="R443" s="3">
        <v>13.759200000000002</v>
      </c>
      <c r="S443" s="3">
        <v>0</v>
      </c>
      <c r="T443" s="3">
        <v>0</v>
      </c>
      <c r="U443" s="3">
        <v>119.59920000000001</v>
      </c>
      <c r="V443" s="3">
        <v>0</v>
      </c>
      <c r="W443" s="3" t="s">
        <v>1</v>
      </c>
    </row>
    <row r="444" spans="5:23" hidden="1" x14ac:dyDescent="0.25">
      <c r="E444" t="s">
        <v>8610</v>
      </c>
      <c r="F444" s="1" t="s">
        <v>8827</v>
      </c>
      <c r="G444" t="s">
        <v>1</v>
      </c>
      <c r="H444" t="s">
        <v>0</v>
      </c>
      <c r="I444" t="s">
        <v>8165</v>
      </c>
      <c r="J444" t="s">
        <v>8164</v>
      </c>
      <c r="K444">
        <v>13708</v>
      </c>
      <c r="L444">
        <v>13708</v>
      </c>
      <c r="M444" t="s">
        <v>8209</v>
      </c>
      <c r="N444" t="s">
        <v>8210</v>
      </c>
      <c r="O444" s="3">
        <v>0</v>
      </c>
      <c r="P444" s="3">
        <v>0</v>
      </c>
      <c r="Q444" s="3">
        <v>534.95000000000005</v>
      </c>
      <c r="R444" s="3">
        <v>69.543500000000009</v>
      </c>
      <c r="S444" s="3">
        <v>0</v>
      </c>
      <c r="T444" s="3">
        <v>0</v>
      </c>
      <c r="U444" s="3">
        <v>604.49350000000004</v>
      </c>
      <c r="V444" s="3">
        <v>0</v>
      </c>
      <c r="W444" s="3" t="s">
        <v>1</v>
      </c>
    </row>
    <row r="445" spans="5:23" hidden="1" x14ac:dyDescent="0.25">
      <c r="E445" t="s">
        <v>8610</v>
      </c>
      <c r="F445" s="1" t="s">
        <v>8827</v>
      </c>
      <c r="G445" t="s">
        <v>1</v>
      </c>
      <c r="H445" t="s">
        <v>0</v>
      </c>
      <c r="I445" t="s">
        <v>8165</v>
      </c>
      <c r="J445" t="s">
        <v>8164</v>
      </c>
      <c r="K445">
        <v>13709</v>
      </c>
      <c r="L445">
        <v>13709</v>
      </c>
      <c r="M445" t="s">
        <v>8209</v>
      </c>
      <c r="N445" t="s">
        <v>8210</v>
      </c>
      <c r="O445" s="3">
        <v>0</v>
      </c>
      <c r="P445" s="3">
        <v>0</v>
      </c>
      <c r="Q445" s="3">
        <v>249.24</v>
      </c>
      <c r="R445" s="3">
        <v>32.401200000000003</v>
      </c>
      <c r="S445" s="3">
        <v>0</v>
      </c>
      <c r="T445" s="3">
        <v>0</v>
      </c>
      <c r="U445" s="3">
        <v>281.64120000000003</v>
      </c>
      <c r="V445" s="3">
        <v>0</v>
      </c>
      <c r="W445" s="3" t="s">
        <v>1</v>
      </c>
    </row>
    <row r="446" spans="5:23" hidden="1" x14ac:dyDescent="0.25">
      <c r="E446" t="s">
        <v>8610</v>
      </c>
      <c r="F446" s="1" t="s">
        <v>8827</v>
      </c>
      <c r="G446" t="s">
        <v>1</v>
      </c>
      <c r="H446" t="s">
        <v>0</v>
      </c>
      <c r="I446" t="s">
        <v>8165</v>
      </c>
      <c r="J446" t="s">
        <v>8164</v>
      </c>
      <c r="K446">
        <v>13710</v>
      </c>
      <c r="L446">
        <v>13710</v>
      </c>
      <c r="M446">
        <v>0</v>
      </c>
      <c r="N446" t="s">
        <v>8235</v>
      </c>
      <c r="O446" s="3">
        <v>0</v>
      </c>
      <c r="P446" s="3">
        <v>0</v>
      </c>
      <c r="Q446" s="3">
        <v>51</v>
      </c>
      <c r="R446" s="3">
        <v>6.63</v>
      </c>
      <c r="S446" s="3">
        <v>0</v>
      </c>
      <c r="T446" s="3">
        <v>0</v>
      </c>
      <c r="U446" s="3">
        <v>57.63</v>
      </c>
      <c r="V446" s="3" t="s">
        <v>8718</v>
      </c>
      <c r="W446" s="3" t="s">
        <v>1</v>
      </c>
    </row>
    <row r="447" spans="5:23" hidden="1" x14ac:dyDescent="0.25">
      <c r="E447" t="s">
        <v>8610</v>
      </c>
      <c r="F447" s="1" t="s">
        <v>8827</v>
      </c>
      <c r="G447" t="s">
        <v>1</v>
      </c>
      <c r="H447" t="s">
        <v>0</v>
      </c>
      <c r="I447" t="s">
        <v>8165</v>
      </c>
      <c r="J447" t="s">
        <v>8164</v>
      </c>
      <c r="K447">
        <v>13711</v>
      </c>
      <c r="L447">
        <v>13711</v>
      </c>
      <c r="M447" t="s">
        <v>8269</v>
      </c>
      <c r="N447" t="s">
        <v>8270</v>
      </c>
      <c r="O447" s="3">
        <v>0</v>
      </c>
      <c r="P447" s="3">
        <v>0</v>
      </c>
      <c r="Q447" s="3">
        <v>30.97</v>
      </c>
      <c r="R447" s="3">
        <v>4.0260999999999996</v>
      </c>
      <c r="S447" s="3">
        <v>0</v>
      </c>
      <c r="T447" s="3">
        <v>0</v>
      </c>
      <c r="U447" s="3">
        <v>34.996099999999998</v>
      </c>
      <c r="V447" s="3">
        <v>0</v>
      </c>
      <c r="W447" s="3" t="s">
        <v>1</v>
      </c>
    </row>
    <row r="448" spans="5:23" hidden="1" x14ac:dyDescent="0.25">
      <c r="E448" t="s">
        <v>8610</v>
      </c>
      <c r="F448" s="1" t="s">
        <v>8827</v>
      </c>
      <c r="G448" t="s">
        <v>1</v>
      </c>
      <c r="H448" t="s">
        <v>0</v>
      </c>
      <c r="I448" t="s">
        <v>8165</v>
      </c>
      <c r="J448" t="s">
        <v>8164</v>
      </c>
      <c r="K448">
        <v>13712</v>
      </c>
      <c r="L448">
        <v>13712</v>
      </c>
      <c r="M448" t="s">
        <v>8308</v>
      </c>
      <c r="N448" t="s">
        <v>8309</v>
      </c>
      <c r="O448" s="3">
        <v>0</v>
      </c>
      <c r="P448" s="3">
        <v>0</v>
      </c>
      <c r="Q448" s="3">
        <v>255.6</v>
      </c>
      <c r="R448" s="3">
        <v>33.228000000000002</v>
      </c>
      <c r="S448" s="3">
        <v>0</v>
      </c>
      <c r="T448" s="3">
        <v>0</v>
      </c>
      <c r="U448" s="3">
        <v>288.82799999999997</v>
      </c>
      <c r="V448" s="3">
        <v>0</v>
      </c>
      <c r="W448" s="3" t="s">
        <v>1</v>
      </c>
    </row>
    <row r="449" spans="5:23" hidden="1" x14ac:dyDescent="0.25">
      <c r="E449" t="s">
        <v>8610</v>
      </c>
      <c r="F449" s="1" t="s">
        <v>8827</v>
      </c>
      <c r="G449" t="s">
        <v>1</v>
      </c>
      <c r="H449" t="s">
        <v>0</v>
      </c>
      <c r="I449" t="s">
        <v>8165</v>
      </c>
      <c r="J449" t="s">
        <v>8164</v>
      </c>
      <c r="K449">
        <v>13713</v>
      </c>
      <c r="L449">
        <v>13713</v>
      </c>
      <c r="M449" t="s">
        <v>1062</v>
      </c>
      <c r="N449" t="s">
        <v>1063</v>
      </c>
      <c r="O449" s="3">
        <v>0</v>
      </c>
      <c r="P449" s="3">
        <v>0</v>
      </c>
      <c r="Q449" s="3">
        <v>152.21</v>
      </c>
      <c r="R449" s="3">
        <v>19.787300000000002</v>
      </c>
      <c r="S449" s="3">
        <v>0</v>
      </c>
      <c r="T449" s="3">
        <v>0</v>
      </c>
      <c r="U449" s="3">
        <v>171.9973</v>
      </c>
      <c r="V449" s="3">
        <v>0</v>
      </c>
      <c r="W449" s="3" t="s">
        <v>1</v>
      </c>
    </row>
    <row r="450" spans="5:23" hidden="1" x14ac:dyDescent="0.25">
      <c r="E450" t="s">
        <v>8610</v>
      </c>
      <c r="F450" s="1" t="s">
        <v>8827</v>
      </c>
      <c r="G450" t="s">
        <v>1</v>
      </c>
      <c r="H450" t="s">
        <v>0</v>
      </c>
      <c r="I450" t="s">
        <v>8165</v>
      </c>
      <c r="J450" t="s">
        <v>8164</v>
      </c>
      <c r="K450">
        <v>13714</v>
      </c>
      <c r="L450">
        <v>13714</v>
      </c>
      <c r="M450" t="s">
        <v>8259</v>
      </c>
      <c r="N450" t="s">
        <v>8260</v>
      </c>
      <c r="O450" s="3">
        <v>0</v>
      </c>
      <c r="P450" s="3">
        <v>0</v>
      </c>
      <c r="Q450" s="3">
        <v>21.34</v>
      </c>
      <c r="R450" s="3">
        <v>2.7742</v>
      </c>
      <c r="S450" s="3">
        <v>0</v>
      </c>
      <c r="T450" s="3">
        <v>0</v>
      </c>
      <c r="U450" s="3">
        <v>24.1142</v>
      </c>
      <c r="V450" s="3">
        <v>0</v>
      </c>
      <c r="W450" s="3" t="s">
        <v>1</v>
      </c>
    </row>
    <row r="451" spans="5:23" hidden="1" x14ac:dyDescent="0.25">
      <c r="E451" t="s">
        <v>8610</v>
      </c>
      <c r="F451" s="1" t="s">
        <v>8827</v>
      </c>
      <c r="G451" t="s">
        <v>1</v>
      </c>
      <c r="H451" t="s">
        <v>0</v>
      </c>
      <c r="I451" t="s">
        <v>8165</v>
      </c>
      <c r="J451" t="s">
        <v>8164</v>
      </c>
      <c r="K451">
        <v>13715</v>
      </c>
      <c r="L451">
        <v>13715</v>
      </c>
      <c r="M451" t="s">
        <v>8544</v>
      </c>
      <c r="N451" t="s">
        <v>8545</v>
      </c>
      <c r="O451" s="3">
        <v>0</v>
      </c>
      <c r="P451" s="3">
        <v>0</v>
      </c>
      <c r="Q451" s="3">
        <v>1470.02</v>
      </c>
      <c r="R451" s="3">
        <v>191.1026</v>
      </c>
      <c r="S451" s="3">
        <v>0</v>
      </c>
      <c r="T451" s="3">
        <v>0</v>
      </c>
      <c r="U451" s="3">
        <v>1661.1225999999999</v>
      </c>
      <c r="V451" s="3">
        <v>0</v>
      </c>
      <c r="W451" s="3" t="s">
        <v>1</v>
      </c>
    </row>
    <row r="452" spans="5:23" hidden="1" x14ac:dyDescent="0.25">
      <c r="E452" t="s">
        <v>8610</v>
      </c>
      <c r="F452" s="1" t="s">
        <v>8827</v>
      </c>
      <c r="G452" t="s">
        <v>1</v>
      </c>
      <c r="H452" t="s">
        <v>0</v>
      </c>
      <c r="I452" t="s">
        <v>8165</v>
      </c>
      <c r="J452" t="s">
        <v>8164</v>
      </c>
      <c r="K452">
        <v>13716</v>
      </c>
      <c r="L452">
        <v>13716</v>
      </c>
      <c r="M452" t="s">
        <v>8176</v>
      </c>
      <c r="N452" t="s">
        <v>8177</v>
      </c>
      <c r="O452" s="3">
        <v>0</v>
      </c>
      <c r="P452" s="3">
        <v>0</v>
      </c>
      <c r="Q452" s="3">
        <v>29.16</v>
      </c>
      <c r="R452" s="3">
        <v>3.7907999999999999</v>
      </c>
      <c r="S452" s="3">
        <v>0</v>
      </c>
      <c r="T452" s="3">
        <v>0</v>
      </c>
      <c r="U452" s="3">
        <v>32.950800000000001</v>
      </c>
      <c r="V452" s="3">
        <v>0</v>
      </c>
      <c r="W452" s="3" t="s">
        <v>1</v>
      </c>
    </row>
    <row r="453" spans="5:23" hidden="1" x14ac:dyDescent="0.25">
      <c r="E453" t="s">
        <v>8610</v>
      </c>
      <c r="F453" s="1" t="s">
        <v>8826</v>
      </c>
      <c r="G453" t="s">
        <v>1</v>
      </c>
      <c r="H453" t="s">
        <v>0</v>
      </c>
      <c r="I453" t="s">
        <v>8165</v>
      </c>
      <c r="J453" t="s">
        <v>8164</v>
      </c>
      <c r="K453">
        <v>13717</v>
      </c>
      <c r="L453">
        <v>13717</v>
      </c>
      <c r="M453" t="s">
        <v>8300</v>
      </c>
      <c r="N453" t="s">
        <v>8301</v>
      </c>
      <c r="O453" s="3">
        <v>0</v>
      </c>
      <c r="P453" s="3">
        <v>0</v>
      </c>
      <c r="Q453" s="3">
        <v>82.57</v>
      </c>
      <c r="R453" s="3">
        <v>10.7341</v>
      </c>
      <c r="S453" s="3">
        <v>0</v>
      </c>
      <c r="T453" s="3">
        <v>0</v>
      </c>
      <c r="U453" s="3">
        <v>93.304099999999991</v>
      </c>
      <c r="V453" s="3">
        <v>0</v>
      </c>
      <c r="W453" s="3" t="s">
        <v>1</v>
      </c>
    </row>
    <row r="454" spans="5:23" hidden="1" x14ac:dyDescent="0.25">
      <c r="E454" t="s">
        <v>8610</v>
      </c>
      <c r="F454" s="1" t="s">
        <v>8826</v>
      </c>
      <c r="G454" t="s">
        <v>1</v>
      </c>
      <c r="H454" t="s">
        <v>0</v>
      </c>
      <c r="I454" t="s">
        <v>8165</v>
      </c>
      <c r="J454" t="s">
        <v>8164</v>
      </c>
      <c r="K454">
        <v>13718</v>
      </c>
      <c r="L454">
        <v>13718</v>
      </c>
      <c r="M454" t="s">
        <v>8174</v>
      </c>
      <c r="N454" t="s">
        <v>8175</v>
      </c>
      <c r="O454" s="3">
        <v>0</v>
      </c>
      <c r="P454" s="3">
        <v>0</v>
      </c>
      <c r="Q454" s="3">
        <v>328.7</v>
      </c>
      <c r="R454" s="3">
        <v>42.731000000000002</v>
      </c>
      <c r="S454" s="3">
        <v>0</v>
      </c>
      <c r="T454" s="3">
        <v>0</v>
      </c>
      <c r="U454" s="3">
        <v>371.43099999999998</v>
      </c>
      <c r="V454" s="3">
        <v>0</v>
      </c>
      <c r="W454" s="3" t="s">
        <v>1</v>
      </c>
    </row>
    <row r="455" spans="5:23" hidden="1" x14ac:dyDescent="0.25">
      <c r="E455" t="s">
        <v>8610</v>
      </c>
      <c r="F455" s="1" t="s">
        <v>8826</v>
      </c>
      <c r="G455" t="s">
        <v>1</v>
      </c>
      <c r="H455" t="s">
        <v>0</v>
      </c>
      <c r="I455" t="s">
        <v>8165</v>
      </c>
      <c r="J455" t="s">
        <v>8164</v>
      </c>
      <c r="K455">
        <v>13719</v>
      </c>
      <c r="L455">
        <v>13719</v>
      </c>
      <c r="M455" t="s">
        <v>8326</v>
      </c>
      <c r="N455" t="s">
        <v>8327</v>
      </c>
      <c r="O455" s="3">
        <v>0</v>
      </c>
      <c r="P455" s="3">
        <v>0</v>
      </c>
      <c r="Q455" s="3">
        <v>52.92</v>
      </c>
      <c r="R455" s="3">
        <v>6.8796000000000008</v>
      </c>
      <c r="S455" s="3">
        <v>0</v>
      </c>
      <c r="T455" s="3">
        <v>0</v>
      </c>
      <c r="U455" s="3">
        <v>59.799600000000005</v>
      </c>
      <c r="V455" s="3">
        <v>0</v>
      </c>
      <c r="W455" s="3" t="s">
        <v>1</v>
      </c>
    </row>
    <row r="456" spans="5:23" hidden="1" x14ac:dyDescent="0.25">
      <c r="E456" t="s">
        <v>8610</v>
      </c>
      <c r="F456" s="1" t="s">
        <v>8826</v>
      </c>
      <c r="G456" t="s">
        <v>1</v>
      </c>
      <c r="H456" t="s">
        <v>0</v>
      </c>
      <c r="I456" t="s">
        <v>8165</v>
      </c>
      <c r="J456" t="s">
        <v>8164</v>
      </c>
      <c r="K456">
        <v>13721</v>
      </c>
      <c r="L456">
        <v>13721</v>
      </c>
      <c r="M456" t="s">
        <v>115</v>
      </c>
      <c r="N456" t="s">
        <v>116</v>
      </c>
      <c r="O456" s="3">
        <v>0</v>
      </c>
      <c r="P456" s="3">
        <v>0</v>
      </c>
      <c r="Q456" s="3">
        <v>68.61</v>
      </c>
      <c r="R456" s="3">
        <v>8.9192999999999998</v>
      </c>
      <c r="S456" s="3">
        <v>0</v>
      </c>
      <c r="T456" s="3">
        <v>0</v>
      </c>
      <c r="U456" s="3">
        <v>77.529300000000006</v>
      </c>
      <c r="V456" s="3">
        <v>0</v>
      </c>
      <c r="W456" s="3" t="s">
        <v>1</v>
      </c>
    </row>
    <row r="457" spans="5:23" hidden="1" x14ac:dyDescent="0.25">
      <c r="E457" t="s">
        <v>8610</v>
      </c>
      <c r="F457" s="1" t="s">
        <v>8826</v>
      </c>
      <c r="G457" t="s">
        <v>1</v>
      </c>
      <c r="H457" t="s">
        <v>0</v>
      </c>
      <c r="I457" t="s">
        <v>8165</v>
      </c>
      <c r="J457" t="s">
        <v>8164</v>
      </c>
      <c r="K457">
        <v>13720</v>
      </c>
      <c r="L457">
        <v>13720</v>
      </c>
      <c r="M457" t="s">
        <v>300</v>
      </c>
      <c r="N457" t="s">
        <v>301</v>
      </c>
      <c r="O457" s="3">
        <v>0</v>
      </c>
      <c r="P457" s="3">
        <v>0</v>
      </c>
      <c r="Q457" s="3">
        <v>87</v>
      </c>
      <c r="R457" s="3">
        <v>11.31</v>
      </c>
      <c r="S457" s="3">
        <v>0</v>
      </c>
      <c r="T457" s="3">
        <v>0</v>
      </c>
      <c r="U457" s="3">
        <v>98.31</v>
      </c>
      <c r="V457" s="3">
        <v>0</v>
      </c>
      <c r="W457" s="3" t="s">
        <v>1</v>
      </c>
    </row>
    <row r="458" spans="5:23" hidden="1" x14ac:dyDescent="0.25">
      <c r="E458" t="s">
        <v>8610</v>
      </c>
      <c r="F458" s="1" t="s">
        <v>8826</v>
      </c>
      <c r="G458" t="s">
        <v>1</v>
      </c>
      <c r="H458" t="s">
        <v>0</v>
      </c>
      <c r="I458" t="s">
        <v>8165</v>
      </c>
      <c r="J458" t="s">
        <v>8164</v>
      </c>
      <c r="K458">
        <v>13722</v>
      </c>
      <c r="L458">
        <v>13722</v>
      </c>
      <c r="M458" t="s">
        <v>8249</v>
      </c>
      <c r="N458" t="s">
        <v>8250</v>
      </c>
      <c r="O458" s="3">
        <v>0</v>
      </c>
      <c r="P458" s="3">
        <v>0</v>
      </c>
      <c r="Q458" s="3">
        <v>168.22</v>
      </c>
      <c r="R458" s="3">
        <v>21.868600000000001</v>
      </c>
      <c r="S458" s="3">
        <v>0</v>
      </c>
      <c r="T458" s="3">
        <v>0</v>
      </c>
      <c r="U458" s="3">
        <v>190.08859999999999</v>
      </c>
      <c r="V458" s="3">
        <v>0</v>
      </c>
      <c r="W458" s="3" t="s">
        <v>1</v>
      </c>
    </row>
    <row r="459" spans="5:23" hidden="1" x14ac:dyDescent="0.25">
      <c r="E459" t="s">
        <v>8610</v>
      </c>
      <c r="F459" s="1" t="s">
        <v>8826</v>
      </c>
      <c r="G459" t="s">
        <v>1</v>
      </c>
      <c r="H459" t="s">
        <v>0</v>
      </c>
      <c r="I459" t="s">
        <v>8165</v>
      </c>
      <c r="J459" t="s">
        <v>8164</v>
      </c>
      <c r="K459">
        <v>13723</v>
      </c>
      <c r="L459">
        <v>13723</v>
      </c>
      <c r="M459" t="s">
        <v>8300</v>
      </c>
      <c r="N459" t="s">
        <v>8301</v>
      </c>
      <c r="O459" s="3">
        <v>0</v>
      </c>
      <c r="P459" s="3">
        <v>0</v>
      </c>
      <c r="Q459" s="3">
        <v>38.07</v>
      </c>
      <c r="R459" s="3">
        <v>4.9491000000000005</v>
      </c>
      <c r="S459" s="3">
        <v>0</v>
      </c>
      <c r="T459" s="3">
        <v>0</v>
      </c>
      <c r="U459" s="3">
        <v>43.019100000000002</v>
      </c>
      <c r="V459" s="3">
        <v>0</v>
      </c>
      <c r="W459" s="3" t="s">
        <v>1</v>
      </c>
    </row>
    <row r="460" spans="5:23" hidden="1" x14ac:dyDescent="0.25">
      <c r="E460" t="s">
        <v>8610</v>
      </c>
      <c r="F460" s="1" t="s">
        <v>8826</v>
      </c>
      <c r="G460" t="s">
        <v>1</v>
      </c>
      <c r="H460" t="s">
        <v>0</v>
      </c>
      <c r="I460" t="s">
        <v>8165</v>
      </c>
      <c r="J460" t="s">
        <v>8164</v>
      </c>
      <c r="K460">
        <v>13724</v>
      </c>
      <c r="L460">
        <v>13724</v>
      </c>
      <c r="M460" t="s">
        <v>8478</v>
      </c>
      <c r="N460" t="s">
        <v>803</v>
      </c>
      <c r="O460" s="3">
        <v>0</v>
      </c>
      <c r="P460" s="3">
        <v>0</v>
      </c>
      <c r="Q460" s="3">
        <v>32.5</v>
      </c>
      <c r="R460" s="3">
        <v>4.2250000000000005</v>
      </c>
      <c r="S460" s="3">
        <v>0</v>
      </c>
      <c r="T460" s="3">
        <v>0</v>
      </c>
      <c r="U460" s="3">
        <v>36.725000000000001</v>
      </c>
      <c r="V460" s="3">
        <v>0</v>
      </c>
      <c r="W460" s="3" t="s">
        <v>1</v>
      </c>
    </row>
    <row r="461" spans="5:23" hidden="1" x14ac:dyDescent="0.25">
      <c r="E461" t="s">
        <v>8610</v>
      </c>
      <c r="F461" s="1" t="s">
        <v>8826</v>
      </c>
      <c r="G461" t="s">
        <v>1</v>
      </c>
      <c r="H461" t="s">
        <v>0</v>
      </c>
      <c r="I461" t="s">
        <v>8165</v>
      </c>
      <c r="J461" t="s">
        <v>8164</v>
      </c>
      <c r="K461">
        <v>13725</v>
      </c>
      <c r="L461">
        <v>13725</v>
      </c>
      <c r="M461" t="s">
        <v>242</v>
      </c>
      <c r="N461" t="s">
        <v>243</v>
      </c>
      <c r="O461" s="3">
        <v>0</v>
      </c>
      <c r="P461" s="3">
        <v>0</v>
      </c>
      <c r="Q461" s="3">
        <v>212.6</v>
      </c>
      <c r="R461" s="3">
        <v>27.638000000000002</v>
      </c>
      <c r="S461" s="3">
        <v>0</v>
      </c>
      <c r="T461" s="3">
        <v>0</v>
      </c>
      <c r="U461" s="3">
        <v>240.238</v>
      </c>
      <c r="V461" s="3">
        <v>0</v>
      </c>
      <c r="W461" s="3" t="s">
        <v>1</v>
      </c>
    </row>
    <row r="462" spans="5:23" hidden="1" x14ac:dyDescent="0.25">
      <c r="E462" t="s">
        <v>8610</v>
      </c>
      <c r="F462" s="1" t="s">
        <v>8826</v>
      </c>
      <c r="G462" t="s">
        <v>1</v>
      </c>
      <c r="H462" t="s">
        <v>0</v>
      </c>
      <c r="I462" t="s">
        <v>8165</v>
      </c>
      <c r="J462" t="s">
        <v>8164</v>
      </c>
      <c r="K462">
        <v>13726</v>
      </c>
      <c r="L462">
        <v>13726</v>
      </c>
      <c r="M462" t="s">
        <v>8243</v>
      </c>
      <c r="N462" t="s">
        <v>8244</v>
      </c>
      <c r="O462" s="3">
        <v>0</v>
      </c>
      <c r="P462" s="3">
        <v>0</v>
      </c>
      <c r="Q462" s="3">
        <v>46.48</v>
      </c>
      <c r="R462" s="3">
        <v>6.0423999999999998</v>
      </c>
      <c r="S462" s="3">
        <v>0</v>
      </c>
      <c r="T462" s="3">
        <v>0</v>
      </c>
      <c r="U462" s="3">
        <v>52.522399999999998</v>
      </c>
      <c r="V462" s="3">
        <v>0</v>
      </c>
      <c r="W462" s="3" t="s">
        <v>1</v>
      </c>
    </row>
    <row r="463" spans="5:23" hidden="1" x14ac:dyDescent="0.25">
      <c r="E463" t="s">
        <v>8610</v>
      </c>
      <c r="F463" s="1" t="s">
        <v>8826</v>
      </c>
      <c r="G463" t="s">
        <v>1</v>
      </c>
      <c r="H463" t="s">
        <v>0</v>
      </c>
      <c r="I463" t="s">
        <v>8165</v>
      </c>
      <c r="J463" t="s">
        <v>8164</v>
      </c>
      <c r="K463">
        <v>13727</v>
      </c>
      <c r="L463">
        <v>13727</v>
      </c>
      <c r="M463" t="s">
        <v>8637</v>
      </c>
      <c r="N463" t="s">
        <v>8638</v>
      </c>
      <c r="O463" s="3">
        <v>0</v>
      </c>
      <c r="P463" s="3">
        <v>0</v>
      </c>
      <c r="Q463" s="3">
        <v>24.88</v>
      </c>
      <c r="R463" s="3">
        <v>3.2343999999999999</v>
      </c>
      <c r="S463" s="3">
        <v>0</v>
      </c>
      <c r="T463" s="3">
        <v>0</v>
      </c>
      <c r="U463" s="3">
        <v>28.1144</v>
      </c>
      <c r="V463" s="3">
        <v>0</v>
      </c>
      <c r="W463" s="3" t="s">
        <v>1</v>
      </c>
    </row>
    <row r="464" spans="5:23" hidden="1" x14ac:dyDescent="0.25">
      <c r="E464" t="s">
        <v>8610</v>
      </c>
      <c r="F464" s="1" t="s">
        <v>8826</v>
      </c>
      <c r="G464" t="s">
        <v>1</v>
      </c>
      <c r="H464" t="s">
        <v>0</v>
      </c>
      <c r="I464" t="s">
        <v>8165</v>
      </c>
      <c r="J464" t="s">
        <v>8164</v>
      </c>
      <c r="K464">
        <v>13728</v>
      </c>
      <c r="L464">
        <v>13728</v>
      </c>
      <c r="M464" t="s">
        <v>1346</v>
      </c>
      <c r="N464" t="s">
        <v>1347</v>
      </c>
      <c r="O464" s="3">
        <v>0</v>
      </c>
      <c r="P464" s="3">
        <v>0</v>
      </c>
      <c r="Q464" s="3">
        <v>29</v>
      </c>
      <c r="R464" s="3">
        <v>3.77</v>
      </c>
      <c r="S464" s="3">
        <v>0</v>
      </c>
      <c r="T464" s="3">
        <v>0</v>
      </c>
      <c r="U464" s="3">
        <v>32.770000000000003</v>
      </c>
      <c r="V464" s="3">
        <v>0</v>
      </c>
      <c r="W464" s="3" t="s">
        <v>1</v>
      </c>
    </row>
    <row r="465" spans="5:23" hidden="1" x14ac:dyDescent="0.25">
      <c r="E465" t="s">
        <v>8610</v>
      </c>
      <c r="F465" s="1" t="s">
        <v>8826</v>
      </c>
      <c r="G465" t="s">
        <v>1</v>
      </c>
      <c r="H465" t="s">
        <v>0</v>
      </c>
      <c r="I465" t="s">
        <v>8165</v>
      </c>
      <c r="J465" t="s">
        <v>8164</v>
      </c>
      <c r="K465">
        <v>13729</v>
      </c>
      <c r="L465">
        <v>13729</v>
      </c>
      <c r="M465" t="s">
        <v>3271</v>
      </c>
      <c r="N465" t="s">
        <v>3272</v>
      </c>
      <c r="O465" s="3">
        <v>0</v>
      </c>
      <c r="P465" s="3">
        <v>0</v>
      </c>
      <c r="Q465" s="3">
        <v>97.35</v>
      </c>
      <c r="R465" s="3">
        <v>12.6555</v>
      </c>
      <c r="S465" s="3">
        <v>0</v>
      </c>
      <c r="T465" s="3">
        <v>0</v>
      </c>
      <c r="U465" s="3">
        <v>110.0055</v>
      </c>
      <c r="V465" s="3">
        <v>0</v>
      </c>
      <c r="W465" s="3" t="s">
        <v>1</v>
      </c>
    </row>
    <row r="466" spans="5:23" hidden="1" x14ac:dyDescent="0.25">
      <c r="E466" t="s">
        <v>8610</v>
      </c>
      <c r="F466" s="1" t="s">
        <v>8826</v>
      </c>
      <c r="G466" t="s">
        <v>1</v>
      </c>
      <c r="H466" t="s">
        <v>0</v>
      </c>
      <c r="I466" t="s">
        <v>8165</v>
      </c>
      <c r="J466" t="s">
        <v>8164</v>
      </c>
      <c r="K466">
        <v>13730</v>
      </c>
      <c r="L466">
        <v>13730</v>
      </c>
      <c r="M466" t="s">
        <v>734</v>
      </c>
      <c r="N466" t="s">
        <v>735</v>
      </c>
      <c r="O466" s="3">
        <v>0</v>
      </c>
      <c r="P466" s="3">
        <v>0</v>
      </c>
      <c r="Q466" s="3">
        <v>802.82</v>
      </c>
      <c r="R466" s="3">
        <v>104.36660000000001</v>
      </c>
      <c r="S466" s="3">
        <v>0</v>
      </c>
      <c r="T466" s="3">
        <v>0</v>
      </c>
      <c r="U466" s="3">
        <v>907.1866</v>
      </c>
      <c r="V466" s="3">
        <v>0</v>
      </c>
      <c r="W466" s="3" t="s">
        <v>1</v>
      </c>
    </row>
    <row r="467" spans="5:23" hidden="1" x14ac:dyDescent="0.25">
      <c r="E467" t="s">
        <v>8610</v>
      </c>
      <c r="F467" s="1" t="s">
        <v>8826</v>
      </c>
      <c r="G467" t="s">
        <v>1</v>
      </c>
      <c r="H467" t="s">
        <v>0</v>
      </c>
      <c r="I467" t="s">
        <v>8165</v>
      </c>
      <c r="J467" t="s">
        <v>8164</v>
      </c>
      <c r="K467">
        <v>13731</v>
      </c>
      <c r="L467">
        <v>13731</v>
      </c>
      <c r="M467" t="s">
        <v>734</v>
      </c>
      <c r="N467" t="s">
        <v>735</v>
      </c>
      <c r="O467" s="3">
        <v>0</v>
      </c>
      <c r="P467" s="3">
        <v>0</v>
      </c>
      <c r="Q467" s="3">
        <v>2.66</v>
      </c>
      <c r="R467" s="3">
        <v>0.34580000000000005</v>
      </c>
      <c r="S467" s="3">
        <v>0</v>
      </c>
      <c r="T467" s="3">
        <v>0</v>
      </c>
      <c r="U467" s="3">
        <v>3.0058000000000002</v>
      </c>
      <c r="V467" s="3">
        <v>0</v>
      </c>
      <c r="W467" s="3" t="s">
        <v>1</v>
      </c>
    </row>
    <row r="468" spans="5:23" hidden="1" x14ac:dyDescent="0.25">
      <c r="E468" t="s">
        <v>8610</v>
      </c>
      <c r="F468" s="1" t="s">
        <v>8826</v>
      </c>
      <c r="G468" t="s">
        <v>1</v>
      </c>
      <c r="H468" t="s">
        <v>0</v>
      </c>
      <c r="I468" t="s">
        <v>8165</v>
      </c>
      <c r="J468" t="s">
        <v>8164</v>
      </c>
      <c r="K468">
        <v>13732</v>
      </c>
      <c r="L468">
        <v>13732</v>
      </c>
      <c r="M468" t="s">
        <v>4250</v>
      </c>
      <c r="N468" t="s">
        <v>4251</v>
      </c>
      <c r="O468" s="3">
        <v>0</v>
      </c>
      <c r="P468" s="3">
        <v>0</v>
      </c>
      <c r="Q468" s="3">
        <v>452.65</v>
      </c>
      <c r="R468" s="3">
        <v>58.844499999999996</v>
      </c>
      <c r="S468" s="3">
        <v>0</v>
      </c>
      <c r="T468" s="3">
        <v>0</v>
      </c>
      <c r="U468" s="3">
        <v>511.49449999999996</v>
      </c>
      <c r="V468" s="3">
        <v>0</v>
      </c>
      <c r="W468" s="3" t="s">
        <v>1</v>
      </c>
    </row>
    <row r="469" spans="5:23" hidden="1" x14ac:dyDescent="0.25">
      <c r="E469" t="s">
        <v>8610</v>
      </c>
      <c r="F469" s="1" t="s">
        <v>8824</v>
      </c>
      <c r="G469" t="s">
        <v>1</v>
      </c>
      <c r="H469" t="s">
        <v>0</v>
      </c>
      <c r="I469" t="s">
        <v>8165</v>
      </c>
      <c r="J469" t="s">
        <v>8164</v>
      </c>
      <c r="K469">
        <v>13733</v>
      </c>
      <c r="L469">
        <v>13733</v>
      </c>
      <c r="M469" t="s">
        <v>1273</v>
      </c>
      <c r="N469" t="s">
        <v>1274</v>
      </c>
      <c r="O469" s="3">
        <v>0</v>
      </c>
      <c r="P469" s="3">
        <v>0</v>
      </c>
      <c r="Q469" s="3">
        <v>315.89999999999998</v>
      </c>
      <c r="R469" s="3">
        <v>41.067</v>
      </c>
      <c r="S469" s="3">
        <v>0</v>
      </c>
      <c r="T469" s="3">
        <v>0</v>
      </c>
      <c r="U469" s="3">
        <v>356.96699999999998</v>
      </c>
      <c r="V469" s="3">
        <v>0</v>
      </c>
      <c r="W469" s="3" t="s">
        <v>1</v>
      </c>
    </row>
    <row r="470" spans="5:23" hidden="1" x14ac:dyDescent="0.25">
      <c r="E470" t="s">
        <v>8610</v>
      </c>
      <c r="F470" s="1" t="s">
        <v>8824</v>
      </c>
      <c r="G470" t="s">
        <v>1</v>
      </c>
      <c r="H470" t="s">
        <v>0</v>
      </c>
      <c r="I470" t="s">
        <v>8165</v>
      </c>
      <c r="J470" t="s">
        <v>8164</v>
      </c>
      <c r="K470">
        <v>13734</v>
      </c>
      <c r="L470">
        <v>13734</v>
      </c>
      <c r="M470">
        <v>0</v>
      </c>
      <c r="N470" t="s">
        <v>8235</v>
      </c>
      <c r="O470" s="3">
        <v>0</v>
      </c>
      <c r="P470" s="3">
        <v>0</v>
      </c>
      <c r="Q470" s="3">
        <v>350.83</v>
      </c>
      <c r="R470" s="3">
        <v>45.607900000000001</v>
      </c>
      <c r="S470" s="3">
        <v>0</v>
      </c>
      <c r="T470" s="3">
        <v>0</v>
      </c>
      <c r="U470" s="3">
        <v>396.43790000000001</v>
      </c>
      <c r="V470" s="3" t="s">
        <v>8718</v>
      </c>
      <c r="W470" s="3" t="s">
        <v>1</v>
      </c>
    </row>
    <row r="471" spans="5:23" hidden="1" x14ac:dyDescent="0.25">
      <c r="E471" t="s">
        <v>8610</v>
      </c>
      <c r="F471" s="1" t="s">
        <v>8824</v>
      </c>
      <c r="G471" t="s">
        <v>1</v>
      </c>
      <c r="H471" t="s">
        <v>0</v>
      </c>
      <c r="I471" t="s">
        <v>8165</v>
      </c>
      <c r="J471" t="s">
        <v>8164</v>
      </c>
      <c r="K471">
        <v>13735</v>
      </c>
      <c r="L471">
        <v>13735</v>
      </c>
      <c r="M471" t="s">
        <v>164</v>
      </c>
      <c r="N471" t="s">
        <v>165</v>
      </c>
      <c r="O471" s="3">
        <v>0</v>
      </c>
      <c r="P471" s="3">
        <v>0</v>
      </c>
      <c r="Q471" s="3">
        <v>41</v>
      </c>
      <c r="R471" s="3">
        <v>5.33</v>
      </c>
      <c r="S471" s="3">
        <v>0</v>
      </c>
      <c r="T471" s="3">
        <v>0</v>
      </c>
      <c r="U471" s="3">
        <v>46.33</v>
      </c>
      <c r="V471" s="3">
        <v>0</v>
      </c>
      <c r="W471" s="3" t="s">
        <v>1</v>
      </c>
    </row>
    <row r="472" spans="5:23" hidden="1" x14ac:dyDescent="0.25">
      <c r="E472" t="s">
        <v>8610</v>
      </c>
      <c r="F472" s="1" t="s">
        <v>8824</v>
      </c>
      <c r="G472" t="s">
        <v>1</v>
      </c>
      <c r="H472" t="s">
        <v>0</v>
      </c>
      <c r="I472" t="s">
        <v>8165</v>
      </c>
      <c r="J472" t="s">
        <v>8164</v>
      </c>
      <c r="K472">
        <v>13736</v>
      </c>
      <c r="L472">
        <v>13736</v>
      </c>
      <c r="M472" t="s">
        <v>8174</v>
      </c>
      <c r="N472" t="s">
        <v>8175</v>
      </c>
      <c r="O472" s="3">
        <v>0</v>
      </c>
      <c r="P472" s="3">
        <v>0</v>
      </c>
      <c r="Q472" s="3">
        <v>53.66</v>
      </c>
      <c r="R472" s="3">
        <v>6.9757999999999996</v>
      </c>
      <c r="S472" s="3">
        <v>0</v>
      </c>
      <c r="T472" s="3">
        <v>0</v>
      </c>
      <c r="U472" s="3">
        <v>60.635799999999996</v>
      </c>
      <c r="V472" s="3">
        <v>0</v>
      </c>
      <c r="W472" s="3" t="s">
        <v>1</v>
      </c>
    </row>
    <row r="473" spans="5:23" hidden="1" x14ac:dyDescent="0.25">
      <c r="E473" t="s">
        <v>8610</v>
      </c>
      <c r="F473" s="1" t="s">
        <v>8824</v>
      </c>
      <c r="G473" t="s">
        <v>1</v>
      </c>
      <c r="H473" t="s">
        <v>0</v>
      </c>
      <c r="I473" t="s">
        <v>8165</v>
      </c>
      <c r="J473" t="s">
        <v>8164</v>
      </c>
      <c r="K473">
        <v>13737</v>
      </c>
      <c r="L473">
        <v>13737</v>
      </c>
      <c r="M473" t="s">
        <v>164</v>
      </c>
      <c r="N473" t="s">
        <v>165</v>
      </c>
      <c r="O473" s="3">
        <v>0</v>
      </c>
      <c r="P473" s="3">
        <v>0</v>
      </c>
      <c r="Q473" s="3">
        <v>60</v>
      </c>
      <c r="R473" s="3">
        <v>7.8000000000000007</v>
      </c>
      <c r="S473" s="3">
        <v>0</v>
      </c>
      <c r="T473" s="3">
        <v>0</v>
      </c>
      <c r="U473" s="3">
        <v>67.8</v>
      </c>
      <c r="V473" s="3">
        <v>0</v>
      </c>
      <c r="W473" s="3" t="s">
        <v>1</v>
      </c>
    </row>
    <row r="474" spans="5:23" hidden="1" x14ac:dyDescent="0.25">
      <c r="E474" t="s">
        <v>8610</v>
      </c>
      <c r="F474" s="1" t="s">
        <v>8824</v>
      </c>
      <c r="G474" t="s">
        <v>1</v>
      </c>
      <c r="H474" t="s">
        <v>0</v>
      </c>
      <c r="I474" t="s">
        <v>8165</v>
      </c>
      <c r="J474" t="s">
        <v>8164</v>
      </c>
      <c r="K474">
        <v>13738</v>
      </c>
      <c r="L474">
        <v>13738</v>
      </c>
      <c r="M474" t="s">
        <v>8302</v>
      </c>
      <c r="N474" t="s">
        <v>8303</v>
      </c>
      <c r="O474" s="3">
        <v>0</v>
      </c>
      <c r="P474" s="3">
        <v>0</v>
      </c>
      <c r="Q474" s="3">
        <v>27</v>
      </c>
      <c r="R474" s="3">
        <v>3.5100000000000002</v>
      </c>
      <c r="S474" s="3">
        <v>0</v>
      </c>
      <c r="T474" s="3">
        <v>0</v>
      </c>
      <c r="U474" s="3">
        <v>30.51</v>
      </c>
      <c r="V474" s="3">
        <v>0</v>
      </c>
      <c r="W474" s="3" t="s">
        <v>1</v>
      </c>
    </row>
    <row r="475" spans="5:23" hidden="1" x14ac:dyDescent="0.25">
      <c r="E475" t="s">
        <v>8610</v>
      </c>
      <c r="F475" s="1" t="s">
        <v>8824</v>
      </c>
      <c r="G475" t="s">
        <v>1</v>
      </c>
      <c r="H475" t="s">
        <v>0</v>
      </c>
      <c r="I475" t="s">
        <v>8165</v>
      </c>
      <c r="J475" t="s">
        <v>8164</v>
      </c>
      <c r="K475">
        <v>13739</v>
      </c>
      <c r="L475">
        <v>13739</v>
      </c>
      <c r="M475" t="s">
        <v>1062</v>
      </c>
      <c r="N475" t="s">
        <v>1063</v>
      </c>
      <c r="O475" s="3">
        <v>0</v>
      </c>
      <c r="P475" s="3">
        <v>0</v>
      </c>
      <c r="Q475" s="3">
        <v>215</v>
      </c>
      <c r="R475" s="3">
        <v>27.95</v>
      </c>
      <c r="S475" s="3">
        <v>0</v>
      </c>
      <c r="T475" s="3">
        <v>0</v>
      </c>
      <c r="U475" s="3">
        <v>242.95</v>
      </c>
      <c r="V475" s="3">
        <v>0</v>
      </c>
      <c r="W475" s="3" t="s">
        <v>1</v>
      </c>
    </row>
    <row r="476" spans="5:23" hidden="1" x14ac:dyDescent="0.25">
      <c r="E476" t="s">
        <v>8610</v>
      </c>
      <c r="F476" s="1" t="s">
        <v>8824</v>
      </c>
      <c r="G476" t="s">
        <v>1</v>
      </c>
      <c r="H476" t="s">
        <v>0</v>
      </c>
      <c r="I476" t="s">
        <v>8165</v>
      </c>
      <c r="J476" t="s">
        <v>8164</v>
      </c>
      <c r="K476">
        <v>13740</v>
      </c>
      <c r="L476">
        <v>13740</v>
      </c>
      <c r="M476" t="s">
        <v>1062</v>
      </c>
      <c r="N476" t="s">
        <v>1063</v>
      </c>
      <c r="O476" s="3">
        <v>0</v>
      </c>
      <c r="P476" s="3">
        <v>0</v>
      </c>
      <c r="Q476" s="3">
        <v>17.8</v>
      </c>
      <c r="R476" s="3">
        <v>2.3140000000000001</v>
      </c>
      <c r="S476" s="3">
        <v>0</v>
      </c>
      <c r="T476" s="3">
        <v>0</v>
      </c>
      <c r="U476" s="3">
        <v>20.114000000000001</v>
      </c>
      <c r="V476" s="3">
        <v>0</v>
      </c>
      <c r="W476" s="3" t="s">
        <v>1</v>
      </c>
    </row>
    <row r="477" spans="5:23" hidden="1" x14ac:dyDescent="0.25">
      <c r="E477" t="s">
        <v>8610</v>
      </c>
      <c r="F477" s="1" t="s">
        <v>8824</v>
      </c>
      <c r="G477" t="s">
        <v>1</v>
      </c>
      <c r="H477" t="s">
        <v>0</v>
      </c>
      <c r="I477" t="s">
        <v>8165</v>
      </c>
      <c r="J477" t="s">
        <v>8164</v>
      </c>
      <c r="K477">
        <v>13741</v>
      </c>
      <c r="L477">
        <v>13741</v>
      </c>
      <c r="M477" t="s">
        <v>8573</v>
      </c>
      <c r="N477" t="s">
        <v>8574</v>
      </c>
      <c r="O477" s="3">
        <v>0</v>
      </c>
      <c r="P477" s="3">
        <v>0</v>
      </c>
      <c r="Q477" s="3">
        <v>85.85</v>
      </c>
      <c r="R477" s="3">
        <v>11.160499999999999</v>
      </c>
      <c r="S477" s="3">
        <v>0</v>
      </c>
      <c r="T477" s="3">
        <v>0</v>
      </c>
      <c r="U477" s="3">
        <v>97.010499999999993</v>
      </c>
      <c r="V477" s="3">
        <v>0</v>
      </c>
      <c r="W477" s="3" t="s">
        <v>1</v>
      </c>
    </row>
    <row r="478" spans="5:23" hidden="1" x14ac:dyDescent="0.25">
      <c r="E478" t="s">
        <v>8610</v>
      </c>
      <c r="F478" s="1" t="s">
        <v>8824</v>
      </c>
      <c r="G478" t="s">
        <v>1</v>
      </c>
      <c r="H478" t="s">
        <v>0</v>
      </c>
      <c r="I478" t="s">
        <v>8165</v>
      </c>
      <c r="J478" t="s">
        <v>8164</v>
      </c>
      <c r="K478">
        <v>13742</v>
      </c>
      <c r="L478">
        <v>13742</v>
      </c>
      <c r="M478" t="s">
        <v>8214</v>
      </c>
      <c r="N478" t="s">
        <v>8215</v>
      </c>
      <c r="O478" s="3">
        <v>0</v>
      </c>
      <c r="P478" s="3">
        <v>0</v>
      </c>
      <c r="Q478" s="3">
        <v>159.4</v>
      </c>
      <c r="R478" s="3">
        <v>20.722000000000001</v>
      </c>
      <c r="S478" s="3">
        <v>0</v>
      </c>
      <c r="T478" s="3">
        <v>0</v>
      </c>
      <c r="U478" s="3">
        <v>180.12200000000001</v>
      </c>
      <c r="V478" s="3">
        <v>0</v>
      </c>
      <c r="W478" s="3" t="s">
        <v>1</v>
      </c>
    </row>
    <row r="479" spans="5:23" hidden="1" x14ac:dyDescent="0.25">
      <c r="E479" t="s">
        <v>8610</v>
      </c>
      <c r="F479" s="1" t="s">
        <v>8824</v>
      </c>
      <c r="G479" t="s">
        <v>1</v>
      </c>
      <c r="H479" t="s">
        <v>0</v>
      </c>
      <c r="I479" t="s">
        <v>8165</v>
      </c>
      <c r="J479" t="s">
        <v>8164</v>
      </c>
      <c r="K479">
        <v>13743</v>
      </c>
      <c r="L479">
        <v>13743</v>
      </c>
      <c r="M479" t="s">
        <v>8269</v>
      </c>
      <c r="N479" t="s">
        <v>8270</v>
      </c>
      <c r="O479" s="3">
        <v>0</v>
      </c>
      <c r="P479" s="3">
        <v>0</v>
      </c>
      <c r="Q479" s="3">
        <v>37.159999999999997</v>
      </c>
      <c r="R479" s="3">
        <v>4.8308</v>
      </c>
      <c r="S479" s="3">
        <v>0</v>
      </c>
      <c r="T479" s="3">
        <v>0</v>
      </c>
      <c r="U479" s="3">
        <v>41.990799999999993</v>
      </c>
      <c r="V479" s="3">
        <v>0</v>
      </c>
      <c r="W479" s="3" t="s">
        <v>1</v>
      </c>
    </row>
    <row r="480" spans="5:23" hidden="1" x14ac:dyDescent="0.25">
      <c r="E480" t="s">
        <v>8610</v>
      </c>
      <c r="F480" s="1" t="s">
        <v>8824</v>
      </c>
      <c r="G480" t="s">
        <v>1</v>
      </c>
      <c r="H480" t="s">
        <v>0</v>
      </c>
      <c r="I480" t="s">
        <v>8165</v>
      </c>
      <c r="J480" t="s">
        <v>8164</v>
      </c>
      <c r="K480">
        <v>13744</v>
      </c>
      <c r="L480">
        <v>13744</v>
      </c>
      <c r="M480" t="s">
        <v>1062</v>
      </c>
      <c r="N480" t="s">
        <v>1063</v>
      </c>
      <c r="O480" s="3">
        <v>0</v>
      </c>
      <c r="P480" s="3">
        <v>0</v>
      </c>
      <c r="Q480" s="3">
        <v>61.95</v>
      </c>
      <c r="R480" s="3">
        <v>8.0535000000000014</v>
      </c>
      <c r="S480" s="3">
        <v>0</v>
      </c>
      <c r="T480" s="3">
        <v>0</v>
      </c>
      <c r="U480" s="3">
        <v>70.003500000000003</v>
      </c>
      <c r="V480" s="3">
        <v>0</v>
      </c>
      <c r="W480" s="3" t="s">
        <v>1</v>
      </c>
    </row>
    <row r="481" spans="5:23" hidden="1" x14ac:dyDescent="0.25">
      <c r="E481" t="s">
        <v>8610</v>
      </c>
      <c r="F481" s="1" t="s">
        <v>8824</v>
      </c>
      <c r="G481" t="s">
        <v>1</v>
      </c>
      <c r="H481" t="s">
        <v>0</v>
      </c>
      <c r="I481" t="s">
        <v>8165</v>
      </c>
      <c r="J481" t="s">
        <v>8164</v>
      </c>
      <c r="K481">
        <v>13745</v>
      </c>
      <c r="L481">
        <v>13745</v>
      </c>
      <c r="M481" t="s">
        <v>8300</v>
      </c>
      <c r="N481" t="s">
        <v>8301</v>
      </c>
      <c r="O481" s="3">
        <v>0</v>
      </c>
      <c r="P481" s="3">
        <v>0</v>
      </c>
      <c r="Q481" s="3">
        <v>66</v>
      </c>
      <c r="R481" s="3">
        <v>8.58</v>
      </c>
      <c r="S481" s="3">
        <v>0</v>
      </c>
      <c r="T481" s="3">
        <v>0</v>
      </c>
      <c r="U481" s="3">
        <v>74.58</v>
      </c>
      <c r="V481" s="3">
        <v>0</v>
      </c>
      <c r="W481" s="3" t="s">
        <v>1</v>
      </c>
    </row>
    <row r="482" spans="5:23" hidden="1" x14ac:dyDescent="0.25">
      <c r="E482" t="s">
        <v>8610</v>
      </c>
      <c r="F482" s="34" t="s">
        <v>8825</v>
      </c>
      <c r="G482" t="s">
        <v>1</v>
      </c>
      <c r="H482" t="s">
        <v>0</v>
      </c>
      <c r="I482" t="s">
        <v>8165</v>
      </c>
      <c r="J482" t="s">
        <v>8164</v>
      </c>
      <c r="K482">
        <v>13746</v>
      </c>
      <c r="L482">
        <v>13746</v>
      </c>
      <c r="M482" t="s">
        <v>8300</v>
      </c>
      <c r="N482" t="s">
        <v>8301</v>
      </c>
      <c r="O482" s="3">
        <v>0</v>
      </c>
      <c r="P482" s="3">
        <v>0</v>
      </c>
      <c r="Q482" s="3">
        <v>206.38</v>
      </c>
      <c r="R482" s="3">
        <v>26.8294</v>
      </c>
      <c r="S482" s="3">
        <v>0</v>
      </c>
      <c r="T482" s="3">
        <v>0</v>
      </c>
      <c r="U482" s="3">
        <v>233.20939999999999</v>
      </c>
      <c r="V482" s="3">
        <v>0</v>
      </c>
      <c r="W482" s="3" t="s">
        <v>1</v>
      </c>
    </row>
    <row r="483" spans="5:23" hidden="1" x14ac:dyDescent="0.25">
      <c r="E483" t="s">
        <v>8610</v>
      </c>
      <c r="F483" s="34" t="s">
        <v>8825</v>
      </c>
      <c r="G483" t="s">
        <v>1</v>
      </c>
      <c r="H483" t="s">
        <v>0</v>
      </c>
      <c r="I483" t="s">
        <v>8165</v>
      </c>
      <c r="J483" t="s">
        <v>8164</v>
      </c>
      <c r="K483">
        <v>13747</v>
      </c>
      <c r="L483">
        <v>13747</v>
      </c>
      <c r="M483" t="s">
        <v>8300</v>
      </c>
      <c r="N483" t="s">
        <v>8301</v>
      </c>
      <c r="O483" s="3">
        <v>0</v>
      </c>
      <c r="P483" s="3">
        <v>0</v>
      </c>
      <c r="Q483" s="3">
        <v>184.28</v>
      </c>
      <c r="R483" s="3">
        <v>23.956400000000002</v>
      </c>
      <c r="S483" s="3">
        <v>0</v>
      </c>
      <c r="T483" s="3">
        <v>0</v>
      </c>
      <c r="U483" s="3">
        <v>208.2364</v>
      </c>
      <c r="V483" s="3">
        <v>0</v>
      </c>
      <c r="W483" s="3" t="s">
        <v>1</v>
      </c>
    </row>
    <row r="484" spans="5:23" hidden="1" x14ac:dyDescent="0.25">
      <c r="E484" t="s">
        <v>8610</v>
      </c>
      <c r="F484" s="1" t="s">
        <v>8823</v>
      </c>
      <c r="G484" t="s">
        <v>1</v>
      </c>
      <c r="H484" t="s">
        <v>0</v>
      </c>
      <c r="I484" t="s">
        <v>8165</v>
      </c>
      <c r="J484" t="s">
        <v>8164</v>
      </c>
      <c r="K484">
        <v>13748</v>
      </c>
      <c r="L484">
        <v>13748</v>
      </c>
      <c r="M484" t="s">
        <v>8308</v>
      </c>
      <c r="N484" t="s">
        <v>8309</v>
      </c>
      <c r="O484" s="3">
        <v>0</v>
      </c>
      <c r="P484" s="3">
        <v>0</v>
      </c>
      <c r="Q484" s="3">
        <v>264.16000000000003</v>
      </c>
      <c r="R484" s="3">
        <v>34.340800000000002</v>
      </c>
      <c r="S484" s="3">
        <v>0</v>
      </c>
      <c r="T484" s="3">
        <v>0</v>
      </c>
      <c r="U484" s="3">
        <v>298.50080000000003</v>
      </c>
      <c r="V484" s="3">
        <v>0</v>
      </c>
      <c r="W484" s="3" t="s">
        <v>1</v>
      </c>
    </row>
    <row r="485" spans="5:23" hidden="1" x14ac:dyDescent="0.25">
      <c r="E485" t="s">
        <v>8610</v>
      </c>
      <c r="F485" s="1" t="s">
        <v>8823</v>
      </c>
      <c r="G485" t="s">
        <v>1</v>
      </c>
      <c r="H485" t="s">
        <v>0</v>
      </c>
      <c r="I485" t="s">
        <v>8165</v>
      </c>
      <c r="J485" t="s">
        <v>8164</v>
      </c>
      <c r="K485">
        <v>13749</v>
      </c>
      <c r="L485">
        <v>13749</v>
      </c>
      <c r="M485">
        <v>0</v>
      </c>
      <c r="N485" t="s">
        <v>8208</v>
      </c>
      <c r="O485" s="3">
        <v>0</v>
      </c>
      <c r="P485" s="3">
        <v>0</v>
      </c>
      <c r="Q485" s="3">
        <v>218.86</v>
      </c>
      <c r="R485" s="3">
        <v>28.451800000000002</v>
      </c>
      <c r="S485" s="3">
        <v>0</v>
      </c>
      <c r="T485" s="3">
        <v>0</v>
      </c>
      <c r="U485" s="3">
        <v>247.31180000000001</v>
      </c>
      <c r="V485" s="3" t="s">
        <v>8650</v>
      </c>
      <c r="W485" s="3" t="s">
        <v>1</v>
      </c>
    </row>
    <row r="486" spans="5:23" hidden="1" x14ac:dyDescent="0.25">
      <c r="E486" t="s">
        <v>8610</v>
      </c>
      <c r="F486" s="1" t="s">
        <v>8823</v>
      </c>
      <c r="G486" t="s">
        <v>1</v>
      </c>
      <c r="H486" t="s">
        <v>0</v>
      </c>
      <c r="I486" t="s">
        <v>8165</v>
      </c>
      <c r="J486" t="s">
        <v>8164</v>
      </c>
      <c r="K486">
        <v>13750</v>
      </c>
      <c r="L486">
        <v>13750</v>
      </c>
      <c r="M486">
        <v>0</v>
      </c>
      <c r="N486" t="s">
        <v>8208</v>
      </c>
      <c r="O486" s="3">
        <v>0</v>
      </c>
      <c r="P486" s="3">
        <v>0</v>
      </c>
      <c r="Q486" s="3">
        <v>344.83</v>
      </c>
      <c r="R486" s="3">
        <v>44.8279</v>
      </c>
      <c r="S486" s="3">
        <v>0</v>
      </c>
      <c r="T486" s="3">
        <v>0</v>
      </c>
      <c r="U486" s="3">
        <v>389.65789999999998</v>
      </c>
      <c r="V486" s="3" t="s">
        <v>8650</v>
      </c>
      <c r="W486" s="3" t="s">
        <v>1</v>
      </c>
    </row>
    <row r="487" spans="5:23" hidden="1" x14ac:dyDescent="0.25">
      <c r="E487" t="s">
        <v>8610</v>
      </c>
      <c r="F487" s="1" t="s">
        <v>8823</v>
      </c>
      <c r="G487" t="s">
        <v>1</v>
      </c>
      <c r="H487" t="s">
        <v>0</v>
      </c>
      <c r="I487" t="s">
        <v>8165</v>
      </c>
      <c r="J487" t="s">
        <v>8164</v>
      </c>
      <c r="K487">
        <v>13751</v>
      </c>
      <c r="L487">
        <v>13751</v>
      </c>
      <c r="M487" t="s">
        <v>8289</v>
      </c>
      <c r="N487" t="s">
        <v>8290</v>
      </c>
      <c r="O487" s="3">
        <v>0</v>
      </c>
      <c r="P487" s="3">
        <v>0</v>
      </c>
      <c r="Q487" s="3">
        <v>261.39999999999998</v>
      </c>
      <c r="R487" s="3">
        <v>33.981999999999999</v>
      </c>
      <c r="S487" s="3">
        <v>0</v>
      </c>
      <c r="T487" s="3">
        <v>0</v>
      </c>
      <c r="U487" s="3">
        <v>295.38199999999995</v>
      </c>
      <c r="V487" s="3">
        <v>0</v>
      </c>
      <c r="W487" s="3" t="s">
        <v>1</v>
      </c>
    </row>
    <row r="488" spans="5:23" hidden="1" x14ac:dyDescent="0.25">
      <c r="E488" t="s">
        <v>8610</v>
      </c>
      <c r="F488" s="1" t="s">
        <v>8823</v>
      </c>
      <c r="G488" t="s">
        <v>1</v>
      </c>
      <c r="H488" t="s">
        <v>0</v>
      </c>
      <c r="I488" t="s">
        <v>8165</v>
      </c>
      <c r="J488" t="s">
        <v>8164</v>
      </c>
      <c r="K488">
        <v>13752</v>
      </c>
      <c r="L488">
        <v>13752</v>
      </c>
      <c r="M488" t="s">
        <v>7852</v>
      </c>
      <c r="N488" t="s">
        <v>7851</v>
      </c>
      <c r="O488" s="3">
        <v>0</v>
      </c>
      <c r="P488" s="3">
        <v>0</v>
      </c>
      <c r="Q488" s="3">
        <v>0</v>
      </c>
      <c r="R488" s="3">
        <v>0</v>
      </c>
      <c r="S488" s="3">
        <v>0</v>
      </c>
      <c r="T488" s="3">
        <v>0</v>
      </c>
      <c r="U488" s="3">
        <v>0</v>
      </c>
      <c r="V488" s="3">
        <v>0</v>
      </c>
      <c r="W488" s="3" t="s">
        <v>1</v>
      </c>
    </row>
    <row r="489" spans="5:23" hidden="1" x14ac:dyDescent="0.25">
      <c r="E489" t="s">
        <v>8610</v>
      </c>
      <c r="F489" s="1" t="s">
        <v>8823</v>
      </c>
      <c r="G489" t="s">
        <v>1</v>
      </c>
      <c r="H489" t="s">
        <v>0</v>
      </c>
      <c r="I489" t="s">
        <v>8165</v>
      </c>
      <c r="J489" t="s">
        <v>8164</v>
      </c>
      <c r="K489">
        <v>13753</v>
      </c>
      <c r="L489">
        <v>13753</v>
      </c>
      <c r="M489" t="s">
        <v>8300</v>
      </c>
      <c r="N489" t="s">
        <v>8301</v>
      </c>
      <c r="O489" s="3">
        <v>0</v>
      </c>
      <c r="P489" s="3">
        <v>0</v>
      </c>
      <c r="Q489" s="3">
        <v>728.64</v>
      </c>
      <c r="R489" s="3">
        <v>94.723200000000006</v>
      </c>
      <c r="S489" s="3">
        <v>0</v>
      </c>
      <c r="T489" s="3">
        <v>0</v>
      </c>
      <c r="U489" s="3">
        <v>823.36320000000001</v>
      </c>
      <c r="V489" s="3">
        <v>0</v>
      </c>
      <c r="W489" s="3" t="s">
        <v>1</v>
      </c>
    </row>
    <row r="490" spans="5:23" hidden="1" x14ac:dyDescent="0.25">
      <c r="E490" t="s">
        <v>8610</v>
      </c>
      <c r="F490" s="1" t="s">
        <v>8823</v>
      </c>
      <c r="G490" t="s">
        <v>1</v>
      </c>
      <c r="H490" t="s">
        <v>0</v>
      </c>
      <c r="I490" t="s">
        <v>8165</v>
      </c>
      <c r="J490" t="s">
        <v>8164</v>
      </c>
      <c r="K490">
        <v>13754</v>
      </c>
      <c r="L490">
        <v>13754</v>
      </c>
      <c r="M490">
        <v>0</v>
      </c>
      <c r="N490" t="s">
        <v>8640</v>
      </c>
      <c r="O490" s="3">
        <v>0</v>
      </c>
      <c r="P490" s="3">
        <v>0</v>
      </c>
      <c r="Q490" s="3">
        <v>254.75</v>
      </c>
      <c r="R490" s="3">
        <v>33.1175</v>
      </c>
      <c r="S490" s="3">
        <v>0</v>
      </c>
      <c r="T490" s="3">
        <v>0</v>
      </c>
      <c r="U490" s="3">
        <v>287.86750000000001</v>
      </c>
      <c r="V490" s="3" t="s">
        <v>8639</v>
      </c>
      <c r="W490" s="3" t="s">
        <v>1</v>
      </c>
    </row>
    <row r="491" spans="5:23" hidden="1" x14ac:dyDescent="0.25">
      <c r="E491" t="s">
        <v>8610</v>
      </c>
      <c r="F491" s="1" t="s">
        <v>8823</v>
      </c>
      <c r="G491" t="s">
        <v>1</v>
      </c>
      <c r="H491" t="s">
        <v>0</v>
      </c>
      <c r="I491" t="s">
        <v>8165</v>
      </c>
      <c r="J491" t="s">
        <v>8164</v>
      </c>
      <c r="K491">
        <v>13755</v>
      </c>
      <c r="L491">
        <v>13755</v>
      </c>
      <c r="M491" t="s">
        <v>8241</v>
      </c>
      <c r="N491" t="s">
        <v>8242</v>
      </c>
      <c r="O491" s="3">
        <v>0</v>
      </c>
      <c r="P491" s="3">
        <v>0</v>
      </c>
      <c r="Q491" s="3">
        <v>207.22</v>
      </c>
      <c r="R491" s="3">
        <v>26.938600000000001</v>
      </c>
      <c r="S491" s="3">
        <v>0</v>
      </c>
      <c r="T491" s="3">
        <v>0</v>
      </c>
      <c r="U491" s="3">
        <v>234.15860000000001</v>
      </c>
      <c r="V491" s="3">
        <v>0</v>
      </c>
      <c r="W491" s="3" t="s">
        <v>1</v>
      </c>
    </row>
    <row r="492" spans="5:23" hidden="1" x14ac:dyDescent="0.25">
      <c r="E492" t="s">
        <v>8610</v>
      </c>
      <c r="F492" s="1" t="s">
        <v>8823</v>
      </c>
      <c r="G492" t="s">
        <v>1</v>
      </c>
      <c r="H492" t="s">
        <v>0</v>
      </c>
      <c r="I492" t="s">
        <v>8165</v>
      </c>
      <c r="J492" t="s">
        <v>8164</v>
      </c>
      <c r="K492">
        <v>13756</v>
      </c>
      <c r="L492">
        <v>13756</v>
      </c>
      <c r="M492" t="s">
        <v>1394</v>
      </c>
      <c r="N492" t="s">
        <v>1395</v>
      </c>
      <c r="O492" s="3">
        <v>0</v>
      </c>
      <c r="P492" s="3">
        <v>0</v>
      </c>
      <c r="Q492" s="3">
        <v>300</v>
      </c>
      <c r="R492" s="3">
        <v>39</v>
      </c>
      <c r="S492" s="3">
        <v>0</v>
      </c>
      <c r="T492" s="3">
        <v>0</v>
      </c>
      <c r="U492" s="3">
        <v>339</v>
      </c>
      <c r="V492" s="3">
        <v>0</v>
      </c>
      <c r="W492" s="3" t="s">
        <v>1</v>
      </c>
    </row>
    <row r="493" spans="5:23" hidden="1" x14ac:dyDescent="0.25">
      <c r="E493" t="s">
        <v>8610</v>
      </c>
      <c r="F493" s="1" t="s">
        <v>8823</v>
      </c>
      <c r="G493" t="s">
        <v>1</v>
      </c>
      <c r="H493" t="s">
        <v>0</v>
      </c>
      <c r="I493" t="s">
        <v>8165</v>
      </c>
      <c r="J493" t="s">
        <v>8164</v>
      </c>
      <c r="K493">
        <v>13757</v>
      </c>
      <c r="L493">
        <v>13757</v>
      </c>
      <c r="M493" t="s">
        <v>8396</v>
      </c>
      <c r="N493" t="s">
        <v>8397</v>
      </c>
      <c r="O493" s="3">
        <v>0</v>
      </c>
      <c r="P493" s="3">
        <v>0</v>
      </c>
      <c r="Q493" s="3">
        <v>196</v>
      </c>
      <c r="R493" s="3">
        <v>25.48</v>
      </c>
      <c r="S493" s="3">
        <v>0</v>
      </c>
      <c r="T493" s="3">
        <v>0</v>
      </c>
      <c r="U493" s="3">
        <v>221.48</v>
      </c>
      <c r="V493" s="3">
        <v>0</v>
      </c>
      <c r="W493" s="3" t="s">
        <v>1</v>
      </c>
    </row>
    <row r="494" spans="5:23" hidden="1" x14ac:dyDescent="0.25">
      <c r="E494" t="s">
        <v>8610</v>
      </c>
      <c r="F494" s="1" t="s">
        <v>8823</v>
      </c>
      <c r="G494" t="s">
        <v>1</v>
      </c>
      <c r="H494" t="s">
        <v>0</v>
      </c>
      <c r="I494" t="s">
        <v>8165</v>
      </c>
      <c r="J494" t="s">
        <v>8164</v>
      </c>
      <c r="K494">
        <v>13758</v>
      </c>
      <c r="L494">
        <v>13758</v>
      </c>
      <c r="M494" t="s">
        <v>8241</v>
      </c>
      <c r="N494" t="s">
        <v>8242</v>
      </c>
      <c r="O494" s="3">
        <v>0</v>
      </c>
      <c r="P494" s="3">
        <v>0</v>
      </c>
      <c r="Q494" s="3">
        <v>11.9</v>
      </c>
      <c r="R494" s="3">
        <v>1.5470000000000002</v>
      </c>
      <c r="S494" s="3">
        <v>0</v>
      </c>
      <c r="T494" s="3">
        <v>0</v>
      </c>
      <c r="U494" s="3">
        <v>13.447000000000001</v>
      </c>
      <c r="V494" s="3">
        <v>0</v>
      </c>
      <c r="W494" s="3" t="s">
        <v>1</v>
      </c>
    </row>
    <row r="495" spans="5:23" hidden="1" x14ac:dyDescent="0.25">
      <c r="E495" t="s">
        <v>8610</v>
      </c>
      <c r="F495" s="1" t="s">
        <v>8823</v>
      </c>
      <c r="G495" t="s">
        <v>1</v>
      </c>
      <c r="H495" t="s">
        <v>0</v>
      </c>
      <c r="I495" t="s">
        <v>8165</v>
      </c>
      <c r="J495" t="s">
        <v>8164</v>
      </c>
      <c r="K495">
        <v>13759</v>
      </c>
      <c r="L495">
        <v>13759</v>
      </c>
      <c r="M495" t="s">
        <v>125</v>
      </c>
      <c r="N495" t="s">
        <v>126</v>
      </c>
      <c r="O495" s="3">
        <v>0</v>
      </c>
      <c r="P495" s="3">
        <v>0</v>
      </c>
      <c r="Q495" s="3">
        <v>118.98</v>
      </c>
      <c r="R495" s="3">
        <v>15.467400000000001</v>
      </c>
      <c r="S495" s="3">
        <v>0</v>
      </c>
      <c r="T495" s="3">
        <v>0</v>
      </c>
      <c r="U495" s="3">
        <v>134.44740000000002</v>
      </c>
      <c r="V495" s="3">
        <v>0</v>
      </c>
      <c r="W495" s="3" t="s">
        <v>1</v>
      </c>
    </row>
    <row r="496" spans="5:23" hidden="1" x14ac:dyDescent="0.25">
      <c r="E496" t="s">
        <v>8610</v>
      </c>
      <c r="F496" s="1" t="s">
        <v>8823</v>
      </c>
      <c r="G496" t="s">
        <v>1</v>
      </c>
      <c r="H496" t="s">
        <v>0</v>
      </c>
      <c r="I496" t="s">
        <v>8165</v>
      </c>
      <c r="J496" t="s">
        <v>8164</v>
      </c>
      <c r="K496">
        <v>13760</v>
      </c>
      <c r="L496">
        <v>13760</v>
      </c>
      <c r="M496" t="s">
        <v>115</v>
      </c>
      <c r="N496" t="s">
        <v>116</v>
      </c>
      <c r="O496" s="3">
        <v>0</v>
      </c>
      <c r="P496" s="3">
        <v>0</v>
      </c>
      <c r="Q496" s="3">
        <v>868.61</v>
      </c>
      <c r="R496" s="3">
        <v>112.91930000000001</v>
      </c>
      <c r="S496" s="3">
        <v>0</v>
      </c>
      <c r="T496" s="3">
        <v>0</v>
      </c>
      <c r="U496" s="3">
        <v>981.52930000000003</v>
      </c>
      <c r="V496" s="3">
        <v>0</v>
      </c>
      <c r="W496" s="3" t="s">
        <v>1</v>
      </c>
    </row>
    <row r="497" spans="5:23" hidden="1" x14ac:dyDescent="0.25">
      <c r="E497" t="s">
        <v>8610</v>
      </c>
      <c r="F497" s="1" t="s">
        <v>8823</v>
      </c>
      <c r="G497" t="s">
        <v>1</v>
      </c>
      <c r="H497" t="s">
        <v>0</v>
      </c>
      <c r="I497" t="s">
        <v>8165</v>
      </c>
      <c r="J497" t="s">
        <v>8164</v>
      </c>
      <c r="K497">
        <v>13761</v>
      </c>
      <c r="L497">
        <v>13761</v>
      </c>
      <c r="M497" t="s">
        <v>8637</v>
      </c>
      <c r="N497" t="s">
        <v>8638</v>
      </c>
      <c r="O497" s="3">
        <v>0</v>
      </c>
      <c r="P497" s="3">
        <v>0</v>
      </c>
      <c r="Q497" s="3">
        <v>95.89</v>
      </c>
      <c r="R497" s="3">
        <v>12.4657</v>
      </c>
      <c r="S497" s="3">
        <v>0</v>
      </c>
      <c r="T497" s="3">
        <v>0</v>
      </c>
      <c r="U497" s="3">
        <v>108.3557</v>
      </c>
      <c r="V497" s="3">
        <v>0</v>
      </c>
      <c r="W497" s="3" t="s">
        <v>1</v>
      </c>
    </row>
    <row r="498" spans="5:23" hidden="1" x14ac:dyDescent="0.25">
      <c r="E498" t="s">
        <v>8610</v>
      </c>
      <c r="F498" s="1" t="s">
        <v>8823</v>
      </c>
      <c r="G498" t="s">
        <v>1</v>
      </c>
      <c r="H498" t="s">
        <v>0</v>
      </c>
      <c r="I498" t="s">
        <v>8165</v>
      </c>
      <c r="J498" t="s">
        <v>8164</v>
      </c>
      <c r="K498">
        <v>13762</v>
      </c>
      <c r="L498">
        <v>13762</v>
      </c>
      <c r="M498" t="s">
        <v>8637</v>
      </c>
      <c r="N498" t="s">
        <v>8638</v>
      </c>
      <c r="O498" s="3">
        <v>0</v>
      </c>
      <c r="P498" s="3">
        <v>0</v>
      </c>
      <c r="Q498" s="3">
        <v>38.4</v>
      </c>
      <c r="R498" s="3">
        <v>4.992</v>
      </c>
      <c r="S498" s="3">
        <v>0</v>
      </c>
      <c r="T498" s="3">
        <v>0</v>
      </c>
      <c r="U498" s="3">
        <v>43.391999999999996</v>
      </c>
      <c r="V498" s="3">
        <v>0</v>
      </c>
      <c r="W498" s="3" t="s">
        <v>1</v>
      </c>
    </row>
    <row r="499" spans="5:23" hidden="1" x14ac:dyDescent="0.25">
      <c r="E499" t="s">
        <v>8610</v>
      </c>
      <c r="F499" s="1" t="s">
        <v>8820</v>
      </c>
      <c r="G499" t="s">
        <v>1</v>
      </c>
      <c r="H499" t="s">
        <v>0</v>
      </c>
      <c r="I499" t="s">
        <v>8165</v>
      </c>
      <c r="J499" t="s">
        <v>8164</v>
      </c>
      <c r="K499">
        <v>13763</v>
      </c>
      <c r="L499">
        <v>13763</v>
      </c>
      <c r="M499">
        <v>0</v>
      </c>
      <c r="N499" t="s">
        <v>8235</v>
      </c>
      <c r="O499" s="3">
        <v>0</v>
      </c>
      <c r="P499" s="3">
        <v>0</v>
      </c>
      <c r="Q499" s="3">
        <v>446.11</v>
      </c>
      <c r="R499" s="3">
        <v>57.994300000000003</v>
      </c>
      <c r="S499" s="3">
        <v>0</v>
      </c>
      <c r="T499" s="3">
        <v>0</v>
      </c>
      <c r="U499" s="3">
        <v>504.10430000000002</v>
      </c>
      <c r="V499" s="3" t="s">
        <v>8718</v>
      </c>
      <c r="W499" s="3" t="s">
        <v>1</v>
      </c>
    </row>
    <row r="500" spans="5:23" hidden="1" x14ac:dyDescent="0.25">
      <c r="E500" t="s">
        <v>8610</v>
      </c>
      <c r="F500" s="1" t="s">
        <v>8820</v>
      </c>
      <c r="G500" t="s">
        <v>1</v>
      </c>
      <c r="H500" t="s">
        <v>0</v>
      </c>
      <c r="I500" t="s">
        <v>8165</v>
      </c>
      <c r="J500" t="s">
        <v>8164</v>
      </c>
      <c r="K500">
        <v>13764</v>
      </c>
      <c r="L500">
        <v>13764</v>
      </c>
      <c r="M500" t="s">
        <v>7852</v>
      </c>
      <c r="N500" t="s">
        <v>7851</v>
      </c>
      <c r="O500" s="3">
        <v>0</v>
      </c>
      <c r="P500" s="3">
        <v>0</v>
      </c>
      <c r="Q500" s="3">
        <v>0</v>
      </c>
      <c r="R500" s="3">
        <v>0</v>
      </c>
      <c r="S500" s="3">
        <v>0</v>
      </c>
      <c r="T500" s="3">
        <v>0</v>
      </c>
      <c r="U500" s="3">
        <v>0</v>
      </c>
      <c r="V500" s="3">
        <v>0</v>
      </c>
      <c r="W500" s="3" t="s">
        <v>1</v>
      </c>
    </row>
    <row r="501" spans="5:23" hidden="1" x14ac:dyDescent="0.25">
      <c r="E501" t="s">
        <v>8610</v>
      </c>
      <c r="F501" s="1" t="s">
        <v>8820</v>
      </c>
      <c r="G501" t="s">
        <v>1</v>
      </c>
      <c r="H501" t="s">
        <v>0</v>
      </c>
      <c r="I501" t="s">
        <v>8165</v>
      </c>
      <c r="J501" t="s">
        <v>8164</v>
      </c>
      <c r="K501">
        <v>13765</v>
      </c>
      <c r="L501">
        <v>13765</v>
      </c>
      <c r="M501">
        <v>0</v>
      </c>
      <c r="N501" t="s">
        <v>8822</v>
      </c>
      <c r="O501" s="3">
        <v>0</v>
      </c>
      <c r="P501" s="3">
        <v>0</v>
      </c>
      <c r="Q501" s="3">
        <v>61.2</v>
      </c>
      <c r="R501" s="3">
        <v>7.9560000000000004</v>
      </c>
      <c r="S501" s="3">
        <v>0</v>
      </c>
      <c r="T501" s="3">
        <v>0</v>
      </c>
      <c r="U501" s="3">
        <v>69.156000000000006</v>
      </c>
      <c r="V501" s="3" t="s">
        <v>8821</v>
      </c>
      <c r="W501" s="3" t="s">
        <v>1</v>
      </c>
    </row>
    <row r="502" spans="5:23" hidden="1" x14ac:dyDescent="0.25">
      <c r="E502" t="s">
        <v>8610</v>
      </c>
      <c r="F502" s="1" t="s">
        <v>8820</v>
      </c>
      <c r="G502" t="s">
        <v>1</v>
      </c>
      <c r="H502" t="s">
        <v>0</v>
      </c>
      <c r="I502" t="s">
        <v>8165</v>
      </c>
      <c r="J502" t="s">
        <v>8164</v>
      </c>
      <c r="K502">
        <v>13766</v>
      </c>
      <c r="L502">
        <v>13766</v>
      </c>
      <c r="M502" t="s">
        <v>8269</v>
      </c>
      <c r="N502" t="s">
        <v>8270</v>
      </c>
      <c r="O502" s="3">
        <v>0</v>
      </c>
      <c r="P502" s="3">
        <v>0</v>
      </c>
      <c r="Q502" s="3">
        <v>8</v>
      </c>
      <c r="R502" s="3">
        <v>1.04</v>
      </c>
      <c r="S502" s="3">
        <v>0</v>
      </c>
      <c r="T502" s="3">
        <v>0</v>
      </c>
      <c r="U502" s="3">
        <v>9.0399999999999991</v>
      </c>
      <c r="V502" s="3">
        <v>0</v>
      </c>
      <c r="W502" s="3" t="s">
        <v>1</v>
      </c>
    </row>
    <row r="503" spans="5:23" hidden="1" x14ac:dyDescent="0.25">
      <c r="E503" t="s">
        <v>8610</v>
      </c>
      <c r="F503" s="1" t="s">
        <v>8820</v>
      </c>
      <c r="G503" t="s">
        <v>1</v>
      </c>
      <c r="H503" t="s">
        <v>0</v>
      </c>
      <c r="I503" t="s">
        <v>8165</v>
      </c>
      <c r="J503" t="s">
        <v>8164</v>
      </c>
      <c r="K503">
        <v>13767</v>
      </c>
      <c r="L503">
        <v>13767</v>
      </c>
      <c r="M503" t="s">
        <v>238</v>
      </c>
      <c r="N503" t="s">
        <v>239</v>
      </c>
      <c r="O503" s="3">
        <v>0</v>
      </c>
      <c r="P503" s="3">
        <v>0</v>
      </c>
      <c r="Q503" s="3">
        <v>190.43</v>
      </c>
      <c r="R503" s="3">
        <v>24.7559</v>
      </c>
      <c r="S503" s="3">
        <v>0</v>
      </c>
      <c r="T503" s="3">
        <v>0</v>
      </c>
      <c r="U503" s="3">
        <v>215.1859</v>
      </c>
      <c r="V503" s="3">
        <v>0</v>
      </c>
      <c r="W503" s="3" t="s">
        <v>1</v>
      </c>
    </row>
    <row r="504" spans="5:23" hidden="1" x14ac:dyDescent="0.25">
      <c r="E504" t="s">
        <v>8610</v>
      </c>
      <c r="F504" s="1" t="s">
        <v>8820</v>
      </c>
      <c r="G504" t="s">
        <v>1</v>
      </c>
      <c r="H504" t="s">
        <v>0</v>
      </c>
      <c r="I504" t="s">
        <v>8165</v>
      </c>
      <c r="J504" t="s">
        <v>8164</v>
      </c>
      <c r="K504">
        <v>13768</v>
      </c>
      <c r="L504">
        <v>13768</v>
      </c>
      <c r="M504" t="s">
        <v>8170</v>
      </c>
      <c r="N504" t="s">
        <v>8171</v>
      </c>
      <c r="O504" s="3">
        <v>0</v>
      </c>
      <c r="P504" s="3">
        <v>0</v>
      </c>
      <c r="Q504" s="3">
        <v>10.31</v>
      </c>
      <c r="R504" s="3">
        <v>1.3403</v>
      </c>
      <c r="S504" s="3">
        <v>0</v>
      </c>
      <c r="T504" s="3">
        <v>0</v>
      </c>
      <c r="U504" s="3">
        <v>11.650300000000001</v>
      </c>
      <c r="V504" s="3">
        <v>0</v>
      </c>
      <c r="W504" s="3" t="s">
        <v>1</v>
      </c>
    </row>
    <row r="505" spans="5:23" hidden="1" x14ac:dyDescent="0.25">
      <c r="E505" t="s">
        <v>8610</v>
      </c>
      <c r="F505" s="1" t="s">
        <v>8820</v>
      </c>
      <c r="G505" t="s">
        <v>1</v>
      </c>
      <c r="H505" t="s">
        <v>0</v>
      </c>
      <c r="I505" t="s">
        <v>8165</v>
      </c>
      <c r="J505" t="s">
        <v>8164</v>
      </c>
      <c r="K505">
        <v>13769</v>
      </c>
      <c r="L505">
        <v>13769</v>
      </c>
      <c r="M505" t="s">
        <v>8289</v>
      </c>
      <c r="N505" t="s">
        <v>8290</v>
      </c>
      <c r="O505" s="3">
        <v>0</v>
      </c>
      <c r="P505" s="3">
        <v>0</v>
      </c>
      <c r="Q505" s="3">
        <v>694.98</v>
      </c>
      <c r="R505" s="3">
        <v>90.347400000000007</v>
      </c>
      <c r="S505" s="3">
        <v>0</v>
      </c>
      <c r="T505" s="3">
        <v>0</v>
      </c>
      <c r="U505" s="3">
        <v>785.32740000000001</v>
      </c>
      <c r="V505" s="3">
        <v>0</v>
      </c>
      <c r="W505" s="3" t="s">
        <v>1</v>
      </c>
    </row>
    <row r="506" spans="5:23" hidden="1" x14ac:dyDescent="0.25">
      <c r="E506" t="s">
        <v>8610</v>
      </c>
      <c r="F506" s="1" t="s">
        <v>8820</v>
      </c>
      <c r="G506" t="s">
        <v>1</v>
      </c>
      <c r="H506" t="s">
        <v>0</v>
      </c>
      <c r="I506" t="s">
        <v>8165</v>
      </c>
      <c r="J506" t="s">
        <v>8164</v>
      </c>
      <c r="K506">
        <v>13770</v>
      </c>
      <c r="L506">
        <v>13770</v>
      </c>
      <c r="M506" t="s">
        <v>8174</v>
      </c>
      <c r="N506" t="s">
        <v>8175</v>
      </c>
      <c r="O506" s="3">
        <v>0</v>
      </c>
      <c r="P506" s="3">
        <v>0</v>
      </c>
      <c r="Q506" s="3">
        <v>216</v>
      </c>
      <c r="R506" s="3">
        <v>28.080000000000002</v>
      </c>
      <c r="S506" s="3">
        <v>0</v>
      </c>
      <c r="T506" s="3">
        <v>0</v>
      </c>
      <c r="U506" s="3">
        <v>244.08</v>
      </c>
      <c r="V506" s="3">
        <v>0</v>
      </c>
      <c r="W506" s="3" t="s">
        <v>1</v>
      </c>
    </row>
    <row r="507" spans="5:23" hidden="1" x14ac:dyDescent="0.25">
      <c r="E507" t="s">
        <v>8610</v>
      </c>
      <c r="F507" s="1" t="s">
        <v>8820</v>
      </c>
      <c r="G507" t="s">
        <v>1</v>
      </c>
      <c r="H507" t="s">
        <v>0</v>
      </c>
      <c r="I507" t="s">
        <v>8165</v>
      </c>
      <c r="J507" t="s">
        <v>8164</v>
      </c>
      <c r="K507">
        <v>13771</v>
      </c>
      <c r="L507">
        <v>13771</v>
      </c>
      <c r="M507" t="s">
        <v>8239</v>
      </c>
      <c r="N507" t="s">
        <v>8240</v>
      </c>
      <c r="O507" s="3">
        <v>0</v>
      </c>
      <c r="P507" s="3">
        <v>0</v>
      </c>
      <c r="Q507" s="3">
        <v>240.24</v>
      </c>
      <c r="R507" s="3">
        <v>31.231200000000001</v>
      </c>
      <c r="S507" s="3">
        <v>0</v>
      </c>
      <c r="T507" s="3">
        <v>0</v>
      </c>
      <c r="U507" s="3">
        <v>271.47120000000001</v>
      </c>
      <c r="V507" s="3">
        <v>0</v>
      </c>
      <c r="W507" s="3" t="s">
        <v>1</v>
      </c>
    </row>
    <row r="508" spans="5:23" hidden="1" x14ac:dyDescent="0.25">
      <c r="E508" t="s">
        <v>8610</v>
      </c>
      <c r="F508" s="1" t="s">
        <v>8820</v>
      </c>
      <c r="G508" t="s">
        <v>1</v>
      </c>
      <c r="H508" t="s">
        <v>0</v>
      </c>
      <c r="I508" t="s">
        <v>8165</v>
      </c>
      <c r="J508" t="s">
        <v>8164</v>
      </c>
      <c r="K508">
        <v>13772</v>
      </c>
      <c r="L508">
        <v>13772</v>
      </c>
      <c r="M508" t="s">
        <v>8269</v>
      </c>
      <c r="N508" t="s">
        <v>8270</v>
      </c>
      <c r="O508" s="3">
        <v>0</v>
      </c>
      <c r="P508" s="3">
        <v>0</v>
      </c>
      <c r="Q508" s="3">
        <v>30.97</v>
      </c>
      <c r="R508" s="3">
        <v>4.0260999999999996</v>
      </c>
      <c r="S508" s="3">
        <v>0</v>
      </c>
      <c r="T508" s="3">
        <v>0</v>
      </c>
      <c r="U508" s="3">
        <v>34.996099999999998</v>
      </c>
      <c r="V508" s="3">
        <v>0</v>
      </c>
      <c r="W508" s="3" t="s">
        <v>1</v>
      </c>
    </row>
    <row r="509" spans="5:23" hidden="1" x14ac:dyDescent="0.25">
      <c r="E509" t="s">
        <v>8610</v>
      </c>
      <c r="F509" s="1" t="s">
        <v>8820</v>
      </c>
      <c r="G509" t="s">
        <v>1</v>
      </c>
      <c r="H509" t="s">
        <v>0</v>
      </c>
      <c r="I509" t="s">
        <v>8165</v>
      </c>
      <c r="J509" t="s">
        <v>8164</v>
      </c>
      <c r="K509">
        <v>13773</v>
      </c>
      <c r="L509">
        <v>13773</v>
      </c>
      <c r="M509" t="s">
        <v>8220</v>
      </c>
      <c r="N509" t="s">
        <v>8221</v>
      </c>
      <c r="O509" s="3">
        <v>0</v>
      </c>
      <c r="P509" s="3">
        <v>0</v>
      </c>
      <c r="Q509" s="3">
        <v>61</v>
      </c>
      <c r="R509" s="3">
        <v>7.9300000000000006</v>
      </c>
      <c r="S509" s="3">
        <v>0</v>
      </c>
      <c r="T509" s="3">
        <v>0</v>
      </c>
      <c r="U509" s="3">
        <v>68.930000000000007</v>
      </c>
      <c r="V509" s="3">
        <v>0</v>
      </c>
      <c r="W509" s="3" t="s">
        <v>1</v>
      </c>
    </row>
    <row r="510" spans="5:23" hidden="1" x14ac:dyDescent="0.25">
      <c r="E510" t="s">
        <v>8610</v>
      </c>
      <c r="F510" s="1" t="s">
        <v>8820</v>
      </c>
      <c r="G510" t="s">
        <v>1</v>
      </c>
      <c r="H510" t="s">
        <v>0</v>
      </c>
      <c r="I510" t="s">
        <v>8165</v>
      </c>
      <c r="J510" t="s">
        <v>8164</v>
      </c>
      <c r="K510">
        <v>13774</v>
      </c>
      <c r="L510">
        <v>13774</v>
      </c>
      <c r="M510" t="s">
        <v>8220</v>
      </c>
      <c r="N510" t="s">
        <v>8221</v>
      </c>
      <c r="O510" s="3">
        <v>0</v>
      </c>
      <c r="P510" s="3">
        <v>0</v>
      </c>
      <c r="Q510" s="3">
        <v>59.5</v>
      </c>
      <c r="R510" s="3">
        <v>7.7350000000000003</v>
      </c>
      <c r="S510" s="3">
        <v>0</v>
      </c>
      <c r="T510" s="3">
        <v>0</v>
      </c>
      <c r="U510" s="3">
        <v>67.234999999999999</v>
      </c>
      <c r="V510" s="3">
        <v>0</v>
      </c>
      <c r="W510" s="3" t="s">
        <v>1</v>
      </c>
    </row>
    <row r="511" spans="5:23" hidden="1" x14ac:dyDescent="0.25">
      <c r="E511" t="s">
        <v>8610</v>
      </c>
      <c r="F511" s="1" t="s">
        <v>8820</v>
      </c>
      <c r="G511" t="s">
        <v>1</v>
      </c>
      <c r="H511" t="s">
        <v>0</v>
      </c>
      <c r="I511" t="s">
        <v>8165</v>
      </c>
      <c r="J511" t="s">
        <v>8164</v>
      </c>
      <c r="K511">
        <v>13775</v>
      </c>
      <c r="L511">
        <v>13775</v>
      </c>
      <c r="M511" t="s">
        <v>7852</v>
      </c>
      <c r="N511" t="s">
        <v>7851</v>
      </c>
      <c r="O511" s="3">
        <v>0</v>
      </c>
      <c r="P511" s="3">
        <v>0</v>
      </c>
      <c r="Q511" s="3">
        <v>0</v>
      </c>
      <c r="R511" s="3">
        <v>0</v>
      </c>
      <c r="S511" s="3">
        <v>0</v>
      </c>
      <c r="T511" s="3">
        <v>0</v>
      </c>
      <c r="U511" s="3">
        <v>0</v>
      </c>
      <c r="V511" s="3">
        <v>0</v>
      </c>
      <c r="W511" s="3" t="s">
        <v>1</v>
      </c>
    </row>
    <row r="512" spans="5:23" hidden="1" x14ac:dyDescent="0.25">
      <c r="E512" t="s">
        <v>8610</v>
      </c>
      <c r="F512" s="1" t="s">
        <v>8820</v>
      </c>
      <c r="G512" t="s">
        <v>1</v>
      </c>
      <c r="H512" t="s">
        <v>0</v>
      </c>
      <c r="I512" t="s">
        <v>8165</v>
      </c>
      <c r="J512" t="s">
        <v>8164</v>
      </c>
      <c r="K512">
        <v>13776</v>
      </c>
      <c r="L512">
        <v>13776</v>
      </c>
      <c r="M512" t="s">
        <v>8224</v>
      </c>
      <c r="N512" t="s">
        <v>8225</v>
      </c>
      <c r="O512" s="3">
        <v>0</v>
      </c>
      <c r="P512" s="3">
        <v>0</v>
      </c>
      <c r="Q512" s="3">
        <v>308.41000000000003</v>
      </c>
      <c r="R512" s="3">
        <v>40.093300000000006</v>
      </c>
      <c r="S512" s="3">
        <v>0</v>
      </c>
      <c r="T512" s="3">
        <v>0</v>
      </c>
      <c r="U512" s="3">
        <v>348.50330000000002</v>
      </c>
      <c r="V512" s="3">
        <v>0</v>
      </c>
      <c r="W512" s="3" t="s">
        <v>1</v>
      </c>
    </row>
    <row r="513" spans="5:23" hidden="1" x14ac:dyDescent="0.25">
      <c r="E513" t="s">
        <v>8610</v>
      </c>
      <c r="F513" s="1" t="s">
        <v>8820</v>
      </c>
      <c r="G513" t="s">
        <v>1</v>
      </c>
      <c r="H513" t="s">
        <v>0</v>
      </c>
      <c r="I513" t="s">
        <v>8165</v>
      </c>
      <c r="J513" t="s">
        <v>8164</v>
      </c>
      <c r="K513">
        <v>13777</v>
      </c>
      <c r="L513">
        <v>13777</v>
      </c>
      <c r="M513" t="s">
        <v>8295</v>
      </c>
      <c r="N513" t="s">
        <v>935</v>
      </c>
      <c r="O513" s="3">
        <v>0</v>
      </c>
      <c r="P513" s="3">
        <v>0</v>
      </c>
      <c r="Q513" s="3">
        <v>41.25</v>
      </c>
      <c r="R513" s="3">
        <v>5.3624999999999998</v>
      </c>
      <c r="S513" s="3">
        <v>0</v>
      </c>
      <c r="T513" s="3">
        <v>0</v>
      </c>
      <c r="U513" s="3">
        <v>46.612499999999997</v>
      </c>
      <c r="V513" s="3">
        <v>0</v>
      </c>
      <c r="W513" s="3" t="s">
        <v>1</v>
      </c>
    </row>
    <row r="514" spans="5:23" hidden="1" x14ac:dyDescent="0.25">
      <c r="E514" t="s">
        <v>8610</v>
      </c>
      <c r="F514" s="1" t="s">
        <v>8820</v>
      </c>
      <c r="G514" t="s">
        <v>1</v>
      </c>
      <c r="H514" t="s">
        <v>0</v>
      </c>
      <c r="I514" t="s">
        <v>8165</v>
      </c>
      <c r="J514" t="s">
        <v>8164</v>
      </c>
      <c r="K514">
        <v>13778</v>
      </c>
      <c r="L514">
        <v>13778</v>
      </c>
      <c r="M514" t="s">
        <v>8637</v>
      </c>
      <c r="N514" t="s">
        <v>8638</v>
      </c>
      <c r="O514" s="3">
        <v>0</v>
      </c>
      <c r="P514" s="3">
        <v>0</v>
      </c>
      <c r="Q514" s="3">
        <v>47.91</v>
      </c>
      <c r="R514" s="3">
        <v>6.2282999999999999</v>
      </c>
      <c r="S514" s="3">
        <v>0</v>
      </c>
      <c r="T514" s="3">
        <v>0</v>
      </c>
      <c r="U514" s="3">
        <v>54.138299999999994</v>
      </c>
      <c r="V514" s="3">
        <v>0</v>
      </c>
      <c r="W514" s="3" t="s">
        <v>1</v>
      </c>
    </row>
    <row r="515" spans="5:23" hidden="1" x14ac:dyDescent="0.25">
      <c r="E515" t="s">
        <v>8610</v>
      </c>
      <c r="F515" s="1" t="s">
        <v>8820</v>
      </c>
      <c r="G515" t="s">
        <v>1</v>
      </c>
      <c r="H515" t="s">
        <v>0</v>
      </c>
      <c r="I515" t="s">
        <v>8165</v>
      </c>
      <c r="J515" t="s">
        <v>8164</v>
      </c>
      <c r="K515">
        <v>13779</v>
      </c>
      <c r="L515">
        <v>13779</v>
      </c>
      <c r="M515" t="s">
        <v>8166</v>
      </c>
      <c r="N515" t="s">
        <v>8167</v>
      </c>
      <c r="O515" s="3">
        <v>0</v>
      </c>
      <c r="P515" s="3">
        <v>0</v>
      </c>
      <c r="Q515" s="3">
        <v>422.2</v>
      </c>
      <c r="R515" s="3">
        <v>54.886000000000003</v>
      </c>
      <c r="S515" s="3">
        <v>0</v>
      </c>
      <c r="T515" s="3">
        <v>0</v>
      </c>
      <c r="U515" s="3">
        <v>477.08600000000001</v>
      </c>
      <c r="V515" s="3">
        <v>0</v>
      </c>
      <c r="W515" s="3" t="s">
        <v>1</v>
      </c>
    </row>
    <row r="516" spans="5:23" hidden="1" x14ac:dyDescent="0.25">
      <c r="E516" t="s">
        <v>8610</v>
      </c>
      <c r="F516" s="1" t="s">
        <v>8820</v>
      </c>
      <c r="G516" t="s">
        <v>1</v>
      </c>
      <c r="H516" t="s">
        <v>0</v>
      </c>
      <c r="I516" t="s">
        <v>8165</v>
      </c>
      <c r="J516" t="s">
        <v>8164</v>
      </c>
      <c r="K516">
        <v>13780</v>
      </c>
      <c r="L516">
        <v>13780</v>
      </c>
      <c r="M516" t="s">
        <v>8166</v>
      </c>
      <c r="N516" t="s">
        <v>8167</v>
      </c>
      <c r="O516" s="3">
        <v>0</v>
      </c>
      <c r="P516" s="3">
        <v>0</v>
      </c>
      <c r="Q516" s="3">
        <v>138.62</v>
      </c>
      <c r="R516" s="3">
        <v>18.020600000000002</v>
      </c>
      <c r="S516" s="3">
        <v>0</v>
      </c>
      <c r="T516" s="3">
        <v>0</v>
      </c>
      <c r="U516" s="3">
        <v>156.64060000000001</v>
      </c>
      <c r="V516" s="3">
        <v>0</v>
      </c>
      <c r="W516" s="3" t="s">
        <v>1</v>
      </c>
    </row>
    <row r="517" spans="5:23" hidden="1" x14ac:dyDescent="0.25">
      <c r="E517" t="s">
        <v>8610</v>
      </c>
      <c r="F517" s="1" t="s">
        <v>8819</v>
      </c>
      <c r="G517" t="s">
        <v>1</v>
      </c>
      <c r="H517" t="s">
        <v>0</v>
      </c>
      <c r="I517" t="s">
        <v>8165</v>
      </c>
      <c r="J517" t="s">
        <v>8164</v>
      </c>
      <c r="K517">
        <v>13781</v>
      </c>
      <c r="L517">
        <v>13781</v>
      </c>
      <c r="M517">
        <v>0</v>
      </c>
      <c r="N517" t="s">
        <v>8256</v>
      </c>
      <c r="O517" s="3">
        <v>0</v>
      </c>
      <c r="P517" s="3">
        <v>0</v>
      </c>
      <c r="Q517" s="3">
        <v>191.93</v>
      </c>
      <c r="R517" s="3">
        <v>24.950900000000001</v>
      </c>
      <c r="S517" s="3">
        <v>0</v>
      </c>
      <c r="T517" s="3">
        <v>0</v>
      </c>
      <c r="U517" s="3">
        <v>216.8809</v>
      </c>
      <c r="V517" s="3" t="s">
        <v>8748</v>
      </c>
      <c r="W517" s="3" t="s">
        <v>1</v>
      </c>
    </row>
    <row r="518" spans="5:23" hidden="1" x14ac:dyDescent="0.25">
      <c r="E518" t="s">
        <v>8610</v>
      </c>
      <c r="F518" s="1" t="s">
        <v>8819</v>
      </c>
      <c r="G518" t="s">
        <v>1</v>
      </c>
      <c r="H518" t="s">
        <v>0</v>
      </c>
      <c r="I518" t="s">
        <v>8165</v>
      </c>
      <c r="J518" t="s">
        <v>8164</v>
      </c>
      <c r="K518">
        <v>13782</v>
      </c>
      <c r="L518">
        <v>13782</v>
      </c>
      <c r="M518" t="s">
        <v>8205</v>
      </c>
      <c r="N518" t="s">
        <v>8206</v>
      </c>
      <c r="O518" s="3">
        <v>0</v>
      </c>
      <c r="P518" s="3">
        <v>0</v>
      </c>
      <c r="Q518" s="3">
        <v>51</v>
      </c>
      <c r="R518" s="3">
        <v>6.63</v>
      </c>
      <c r="S518" s="3">
        <v>0</v>
      </c>
      <c r="T518" s="3">
        <v>0</v>
      </c>
      <c r="U518" s="3">
        <v>57.63</v>
      </c>
      <c r="V518" s="3">
        <v>0</v>
      </c>
      <c r="W518" s="3" t="s">
        <v>1</v>
      </c>
    </row>
    <row r="519" spans="5:23" hidden="1" x14ac:dyDescent="0.25">
      <c r="E519" t="s">
        <v>8610</v>
      </c>
      <c r="F519" s="1" t="s">
        <v>8819</v>
      </c>
      <c r="G519" t="s">
        <v>1</v>
      </c>
      <c r="H519" t="s">
        <v>0</v>
      </c>
      <c r="I519" t="s">
        <v>8165</v>
      </c>
      <c r="J519" t="s">
        <v>8164</v>
      </c>
      <c r="K519">
        <v>13783</v>
      </c>
      <c r="L519">
        <v>13783</v>
      </c>
      <c r="M519" t="s">
        <v>8209</v>
      </c>
      <c r="N519" t="s">
        <v>8210</v>
      </c>
      <c r="O519" s="3">
        <v>0</v>
      </c>
      <c r="P519" s="3">
        <v>0</v>
      </c>
      <c r="Q519" s="3">
        <v>5.31</v>
      </c>
      <c r="R519" s="3">
        <v>0.69030000000000002</v>
      </c>
      <c r="S519" s="3">
        <v>0</v>
      </c>
      <c r="T519" s="3">
        <v>0</v>
      </c>
      <c r="U519" s="3">
        <v>6.0002999999999993</v>
      </c>
      <c r="V519" s="3">
        <v>0</v>
      </c>
      <c r="W519" s="3" t="s">
        <v>1</v>
      </c>
    </row>
    <row r="520" spans="5:23" hidden="1" x14ac:dyDescent="0.25">
      <c r="E520" t="s">
        <v>8610</v>
      </c>
      <c r="F520" s="1" t="s">
        <v>8819</v>
      </c>
      <c r="G520" t="s">
        <v>1</v>
      </c>
      <c r="H520" t="s">
        <v>0</v>
      </c>
      <c r="I520" t="s">
        <v>8165</v>
      </c>
      <c r="J520" t="s">
        <v>8164</v>
      </c>
      <c r="K520">
        <v>13784</v>
      </c>
      <c r="L520">
        <v>13784</v>
      </c>
      <c r="M520" t="s">
        <v>8209</v>
      </c>
      <c r="N520" t="s">
        <v>8210</v>
      </c>
      <c r="O520" s="3">
        <v>0</v>
      </c>
      <c r="P520" s="3">
        <v>0</v>
      </c>
      <c r="Q520" s="3">
        <v>34.5</v>
      </c>
      <c r="R520" s="3">
        <v>4.4850000000000003</v>
      </c>
      <c r="S520" s="3">
        <v>0</v>
      </c>
      <c r="T520" s="3">
        <v>0</v>
      </c>
      <c r="U520" s="3">
        <v>38.984999999999999</v>
      </c>
      <c r="V520" s="3">
        <v>0</v>
      </c>
      <c r="W520" s="3" t="s">
        <v>1</v>
      </c>
    </row>
    <row r="521" spans="5:23" hidden="1" x14ac:dyDescent="0.25">
      <c r="E521" t="s">
        <v>8610</v>
      </c>
      <c r="F521" s="1" t="s">
        <v>8819</v>
      </c>
      <c r="G521" t="s">
        <v>1</v>
      </c>
      <c r="H521" t="s">
        <v>0</v>
      </c>
      <c r="I521" t="s">
        <v>8165</v>
      </c>
      <c r="J521" t="s">
        <v>8164</v>
      </c>
      <c r="K521">
        <v>13785</v>
      </c>
      <c r="L521">
        <v>13785</v>
      </c>
      <c r="M521" t="s">
        <v>8209</v>
      </c>
      <c r="N521" t="s">
        <v>8210</v>
      </c>
      <c r="O521" s="3">
        <v>0</v>
      </c>
      <c r="P521" s="3">
        <v>0</v>
      </c>
      <c r="Q521" s="3">
        <v>84.46</v>
      </c>
      <c r="R521" s="3">
        <v>10.979799999999999</v>
      </c>
      <c r="S521" s="3">
        <v>0</v>
      </c>
      <c r="T521" s="3">
        <v>0</v>
      </c>
      <c r="U521" s="3">
        <v>95.439799999999991</v>
      </c>
      <c r="V521" s="3">
        <v>0</v>
      </c>
      <c r="W521" s="3" t="s">
        <v>1</v>
      </c>
    </row>
    <row r="522" spans="5:23" hidden="1" x14ac:dyDescent="0.25">
      <c r="E522" t="s">
        <v>8610</v>
      </c>
      <c r="F522" s="1" t="s">
        <v>8819</v>
      </c>
      <c r="G522" t="s">
        <v>1</v>
      </c>
      <c r="H522" t="s">
        <v>0</v>
      </c>
      <c r="I522" t="s">
        <v>8165</v>
      </c>
      <c r="J522" t="s">
        <v>8164</v>
      </c>
      <c r="K522">
        <v>13786</v>
      </c>
      <c r="L522">
        <v>13786</v>
      </c>
      <c r="M522" t="s">
        <v>8188</v>
      </c>
      <c r="N522" t="s">
        <v>8189</v>
      </c>
      <c r="O522" s="3">
        <v>0</v>
      </c>
      <c r="P522" s="3">
        <v>0</v>
      </c>
      <c r="Q522" s="3">
        <v>142.4</v>
      </c>
      <c r="R522" s="3">
        <v>18.512</v>
      </c>
      <c r="S522" s="3">
        <v>0</v>
      </c>
      <c r="T522" s="3">
        <v>0</v>
      </c>
      <c r="U522" s="3">
        <v>160.91200000000001</v>
      </c>
      <c r="V522" s="3">
        <v>0</v>
      </c>
      <c r="W522" s="3" t="s">
        <v>1</v>
      </c>
    </row>
    <row r="523" spans="5:23" hidden="1" x14ac:dyDescent="0.25">
      <c r="E523" t="s">
        <v>8610</v>
      </c>
      <c r="F523" s="1" t="s">
        <v>8819</v>
      </c>
      <c r="G523" t="s">
        <v>1</v>
      </c>
      <c r="H523" t="s">
        <v>0</v>
      </c>
      <c r="I523" t="s">
        <v>8165</v>
      </c>
      <c r="J523" t="s">
        <v>8164</v>
      </c>
      <c r="K523">
        <v>13787</v>
      </c>
      <c r="L523">
        <v>13787</v>
      </c>
      <c r="M523" t="s">
        <v>8166</v>
      </c>
      <c r="N523" t="s">
        <v>8167</v>
      </c>
      <c r="O523" s="3">
        <v>0</v>
      </c>
      <c r="P523" s="3">
        <v>0</v>
      </c>
      <c r="Q523" s="3">
        <v>20</v>
      </c>
      <c r="R523" s="3">
        <v>2.6</v>
      </c>
      <c r="S523" s="3">
        <v>0</v>
      </c>
      <c r="T523" s="3">
        <v>0</v>
      </c>
      <c r="U523" s="3">
        <v>22.6</v>
      </c>
      <c r="V523" s="3">
        <v>0</v>
      </c>
      <c r="W523" s="3" t="s">
        <v>1</v>
      </c>
    </row>
    <row r="524" spans="5:23" hidden="1" x14ac:dyDescent="0.25">
      <c r="E524" t="s">
        <v>8610</v>
      </c>
      <c r="F524" s="1" t="s">
        <v>8819</v>
      </c>
      <c r="G524" t="s">
        <v>1</v>
      </c>
      <c r="H524" t="s">
        <v>0</v>
      </c>
      <c r="I524" t="s">
        <v>8165</v>
      </c>
      <c r="J524" t="s">
        <v>8164</v>
      </c>
      <c r="K524">
        <v>13788</v>
      </c>
      <c r="L524">
        <v>13788</v>
      </c>
      <c r="M524" t="s">
        <v>7852</v>
      </c>
      <c r="N524" t="s">
        <v>7851</v>
      </c>
      <c r="O524" s="3">
        <v>0</v>
      </c>
      <c r="P524" s="3">
        <v>0</v>
      </c>
      <c r="Q524" s="3">
        <v>0</v>
      </c>
      <c r="R524" s="3">
        <v>0</v>
      </c>
      <c r="S524" s="3">
        <v>0</v>
      </c>
      <c r="T524" s="3">
        <v>0</v>
      </c>
      <c r="U524" s="3">
        <v>0</v>
      </c>
      <c r="V524" s="3">
        <v>0</v>
      </c>
      <c r="W524" s="3" t="s">
        <v>1</v>
      </c>
    </row>
    <row r="525" spans="5:23" hidden="1" x14ac:dyDescent="0.25">
      <c r="E525" t="s">
        <v>8610</v>
      </c>
      <c r="F525" s="1" t="s">
        <v>8819</v>
      </c>
      <c r="G525" t="s">
        <v>1</v>
      </c>
      <c r="H525" t="s">
        <v>0</v>
      </c>
      <c r="I525" t="s">
        <v>8165</v>
      </c>
      <c r="J525" t="s">
        <v>8164</v>
      </c>
      <c r="K525">
        <v>13789</v>
      </c>
      <c r="L525">
        <v>13789</v>
      </c>
      <c r="M525" t="s">
        <v>7852</v>
      </c>
      <c r="N525" t="s">
        <v>7851</v>
      </c>
      <c r="O525" s="3">
        <v>0</v>
      </c>
      <c r="P525" s="3">
        <v>0</v>
      </c>
      <c r="Q525" s="3">
        <v>0</v>
      </c>
      <c r="R525" s="3">
        <v>0</v>
      </c>
      <c r="S525" s="3">
        <v>0</v>
      </c>
      <c r="T525" s="3">
        <v>0</v>
      </c>
      <c r="U525" s="3">
        <v>0</v>
      </c>
      <c r="V525" s="3">
        <v>0</v>
      </c>
      <c r="W525" s="3" t="s">
        <v>1</v>
      </c>
    </row>
    <row r="526" spans="5:23" hidden="1" x14ac:dyDescent="0.25">
      <c r="E526" t="s">
        <v>8610</v>
      </c>
      <c r="F526" s="1" t="s">
        <v>8819</v>
      </c>
      <c r="G526" t="s">
        <v>1</v>
      </c>
      <c r="H526" t="s">
        <v>0</v>
      </c>
      <c r="I526" t="s">
        <v>8165</v>
      </c>
      <c r="J526" t="s">
        <v>8164</v>
      </c>
      <c r="K526">
        <v>13790</v>
      </c>
      <c r="L526">
        <v>13790</v>
      </c>
      <c r="M526" t="s">
        <v>8404</v>
      </c>
      <c r="N526" t="s">
        <v>8405</v>
      </c>
      <c r="O526" s="3">
        <v>0</v>
      </c>
      <c r="P526" s="3">
        <v>0</v>
      </c>
      <c r="Q526" s="3">
        <v>19.84</v>
      </c>
      <c r="R526" s="3">
        <v>2.5792000000000002</v>
      </c>
      <c r="S526" s="3">
        <v>0</v>
      </c>
      <c r="T526" s="3">
        <v>0</v>
      </c>
      <c r="U526" s="3">
        <v>22.4192</v>
      </c>
      <c r="V526" s="3">
        <v>0</v>
      </c>
      <c r="W526" s="3" t="s">
        <v>1</v>
      </c>
    </row>
    <row r="527" spans="5:23" hidden="1" x14ac:dyDescent="0.25">
      <c r="E527" t="s">
        <v>8610</v>
      </c>
      <c r="F527" s="1" t="s">
        <v>8819</v>
      </c>
      <c r="G527" t="s">
        <v>1</v>
      </c>
      <c r="H527" t="s">
        <v>0</v>
      </c>
      <c r="I527" t="s">
        <v>8165</v>
      </c>
      <c r="J527" t="s">
        <v>8164</v>
      </c>
      <c r="K527">
        <v>13791</v>
      </c>
      <c r="L527">
        <v>13791</v>
      </c>
      <c r="M527">
        <v>0</v>
      </c>
      <c r="N527" t="s">
        <v>8219</v>
      </c>
      <c r="O527" s="3">
        <v>0</v>
      </c>
      <c r="P527" s="3">
        <v>0</v>
      </c>
      <c r="Q527" s="3">
        <v>47.34</v>
      </c>
      <c r="R527" s="3">
        <v>6.1542000000000003</v>
      </c>
      <c r="S527" s="3">
        <v>0</v>
      </c>
      <c r="T527" s="3">
        <v>0</v>
      </c>
      <c r="U527" s="3">
        <v>53.494200000000006</v>
      </c>
      <c r="V527" s="3" t="s">
        <v>8636</v>
      </c>
      <c r="W527" s="3" t="s">
        <v>1</v>
      </c>
    </row>
    <row r="528" spans="5:23" hidden="1" x14ac:dyDescent="0.25">
      <c r="E528" t="s">
        <v>8610</v>
      </c>
      <c r="F528" s="1" t="s">
        <v>8819</v>
      </c>
      <c r="G528" t="s">
        <v>1</v>
      </c>
      <c r="H528" t="s">
        <v>0</v>
      </c>
      <c r="I528" t="s">
        <v>8165</v>
      </c>
      <c r="J528" t="s">
        <v>8164</v>
      </c>
      <c r="K528">
        <v>13792</v>
      </c>
      <c r="L528">
        <v>13792</v>
      </c>
      <c r="M528" t="s">
        <v>8188</v>
      </c>
      <c r="N528" t="s">
        <v>8189</v>
      </c>
      <c r="O528" s="3">
        <v>0</v>
      </c>
      <c r="P528" s="3">
        <v>0</v>
      </c>
      <c r="Q528" s="3">
        <v>655.68</v>
      </c>
      <c r="R528" s="3">
        <v>85.238399999999999</v>
      </c>
      <c r="S528" s="3">
        <v>0</v>
      </c>
      <c r="T528" s="3">
        <v>0</v>
      </c>
      <c r="U528" s="3">
        <v>740.91839999999991</v>
      </c>
      <c r="V528" s="3">
        <v>0</v>
      </c>
      <c r="W528" s="3" t="s">
        <v>1</v>
      </c>
    </row>
    <row r="529" spans="5:23" hidden="1" x14ac:dyDescent="0.25">
      <c r="E529" t="s">
        <v>8610</v>
      </c>
      <c r="F529" s="1" t="s">
        <v>8819</v>
      </c>
      <c r="G529" t="s">
        <v>1</v>
      </c>
      <c r="H529" t="s">
        <v>0</v>
      </c>
      <c r="I529" t="s">
        <v>8165</v>
      </c>
      <c r="J529" t="s">
        <v>8164</v>
      </c>
      <c r="K529">
        <v>13793</v>
      </c>
      <c r="L529">
        <v>13793</v>
      </c>
      <c r="M529" t="s">
        <v>8644</v>
      </c>
      <c r="N529" t="s">
        <v>8645</v>
      </c>
      <c r="O529" s="3">
        <v>0</v>
      </c>
      <c r="P529" s="3">
        <v>0</v>
      </c>
      <c r="Q529" s="3">
        <v>40.799999999999997</v>
      </c>
      <c r="R529" s="3">
        <v>5.3039999999999994</v>
      </c>
      <c r="S529" s="3">
        <v>0</v>
      </c>
      <c r="T529" s="3">
        <v>0</v>
      </c>
      <c r="U529" s="3">
        <v>46.103999999999999</v>
      </c>
      <c r="V529" s="3">
        <v>0</v>
      </c>
      <c r="W529" s="3" t="s">
        <v>1</v>
      </c>
    </row>
    <row r="530" spans="5:23" hidden="1" x14ac:dyDescent="0.25">
      <c r="E530" t="s">
        <v>8610</v>
      </c>
      <c r="F530" s="1" t="s">
        <v>8819</v>
      </c>
      <c r="G530" t="s">
        <v>1</v>
      </c>
      <c r="H530" t="s">
        <v>0</v>
      </c>
      <c r="I530" t="s">
        <v>8165</v>
      </c>
      <c r="J530" t="s">
        <v>8164</v>
      </c>
      <c r="K530">
        <v>13794</v>
      </c>
      <c r="L530">
        <v>13794</v>
      </c>
      <c r="M530" t="s">
        <v>8706</v>
      </c>
      <c r="N530" t="s">
        <v>8707</v>
      </c>
      <c r="O530" s="3">
        <v>0</v>
      </c>
      <c r="P530" s="3">
        <v>0</v>
      </c>
      <c r="Q530" s="3">
        <v>307.5</v>
      </c>
      <c r="R530" s="3">
        <v>39.975000000000001</v>
      </c>
      <c r="S530" s="3">
        <v>0</v>
      </c>
      <c r="T530" s="3">
        <v>0</v>
      </c>
      <c r="U530" s="3">
        <v>347.47500000000002</v>
      </c>
      <c r="V530" s="3">
        <v>0</v>
      </c>
      <c r="W530" s="3" t="s">
        <v>1</v>
      </c>
    </row>
    <row r="531" spans="5:23" hidden="1" x14ac:dyDescent="0.25">
      <c r="E531" t="s">
        <v>8610</v>
      </c>
      <c r="F531" s="1" t="s">
        <v>8819</v>
      </c>
      <c r="G531" t="s">
        <v>1</v>
      </c>
      <c r="H531" t="s">
        <v>0</v>
      </c>
      <c r="I531" t="s">
        <v>8165</v>
      </c>
      <c r="J531" t="s">
        <v>8164</v>
      </c>
      <c r="K531">
        <v>13795</v>
      </c>
      <c r="L531">
        <v>13795</v>
      </c>
      <c r="M531" t="s">
        <v>8188</v>
      </c>
      <c r="N531" t="s">
        <v>8189</v>
      </c>
      <c r="O531" s="3">
        <v>0</v>
      </c>
      <c r="P531" s="3">
        <v>0</v>
      </c>
      <c r="Q531" s="3">
        <v>135</v>
      </c>
      <c r="R531" s="3">
        <v>17.55</v>
      </c>
      <c r="S531" s="3">
        <v>0</v>
      </c>
      <c r="T531" s="3">
        <v>0</v>
      </c>
      <c r="U531" s="3">
        <v>152.55000000000001</v>
      </c>
      <c r="V531" s="3">
        <v>0</v>
      </c>
      <c r="W531" s="3" t="s">
        <v>1</v>
      </c>
    </row>
    <row r="532" spans="5:23" hidden="1" x14ac:dyDescent="0.25">
      <c r="E532" t="s">
        <v>8610</v>
      </c>
      <c r="F532" s="1" t="s">
        <v>8819</v>
      </c>
      <c r="G532" t="s">
        <v>1</v>
      </c>
      <c r="H532" t="s">
        <v>0</v>
      </c>
      <c r="I532" t="s">
        <v>8165</v>
      </c>
      <c r="J532" t="s">
        <v>8164</v>
      </c>
      <c r="K532">
        <v>13796</v>
      </c>
      <c r="L532">
        <v>13796</v>
      </c>
      <c r="M532">
        <v>0</v>
      </c>
      <c r="N532" t="s">
        <v>8229</v>
      </c>
      <c r="O532" s="3">
        <v>0</v>
      </c>
      <c r="P532" s="3">
        <v>0</v>
      </c>
      <c r="Q532" s="3">
        <v>13796</v>
      </c>
      <c r="R532" s="3">
        <v>1793.48</v>
      </c>
      <c r="S532" s="3">
        <v>0</v>
      </c>
      <c r="T532" s="3">
        <v>0</v>
      </c>
      <c r="U532" s="3">
        <v>15589.48</v>
      </c>
      <c r="V532" s="3" t="s">
        <v>8719</v>
      </c>
      <c r="W532" s="3" t="s">
        <v>1</v>
      </c>
    </row>
    <row r="533" spans="5:23" hidden="1" x14ac:dyDescent="0.25">
      <c r="E533" t="s">
        <v>8610</v>
      </c>
      <c r="F533" s="1" t="s">
        <v>8819</v>
      </c>
      <c r="G533" t="s">
        <v>1</v>
      </c>
      <c r="H533" t="s">
        <v>0</v>
      </c>
      <c r="I533" t="s">
        <v>8165</v>
      </c>
      <c r="J533" t="s">
        <v>8164</v>
      </c>
      <c r="K533">
        <v>13797</v>
      </c>
      <c r="L533">
        <v>13797</v>
      </c>
      <c r="M533">
        <v>0</v>
      </c>
      <c r="N533" t="s">
        <v>8229</v>
      </c>
      <c r="O533" s="3">
        <v>0</v>
      </c>
      <c r="P533" s="3">
        <v>0</v>
      </c>
      <c r="Q533" s="3">
        <v>37.17</v>
      </c>
      <c r="R533" s="3">
        <v>4.8321000000000005</v>
      </c>
      <c r="S533" s="3">
        <v>0</v>
      </c>
      <c r="T533" s="3">
        <v>0</v>
      </c>
      <c r="U533" s="3">
        <v>42.002099999999999</v>
      </c>
      <c r="V533" s="3" t="s">
        <v>8719</v>
      </c>
      <c r="W533" s="3" t="s">
        <v>1</v>
      </c>
    </row>
    <row r="534" spans="5:23" hidden="1" x14ac:dyDescent="0.25">
      <c r="E534" t="s">
        <v>8610</v>
      </c>
      <c r="F534" s="1" t="s">
        <v>8819</v>
      </c>
      <c r="G534" t="s">
        <v>1</v>
      </c>
      <c r="H534" t="s">
        <v>0</v>
      </c>
      <c r="I534" t="s">
        <v>8165</v>
      </c>
      <c r="J534" t="s">
        <v>8164</v>
      </c>
      <c r="K534">
        <v>13798</v>
      </c>
      <c r="L534">
        <v>13798</v>
      </c>
      <c r="M534" t="s">
        <v>8166</v>
      </c>
      <c r="N534" t="s">
        <v>8167</v>
      </c>
      <c r="O534" s="3">
        <v>0</v>
      </c>
      <c r="P534" s="3">
        <v>0</v>
      </c>
      <c r="Q534" s="3">
        <v>10.5</v>
      </c>
      <c r="R534" s="3">
        <v>1.365</v>
      </c>
      <c r="S534" s="3">
        <v>0</v>
      </c>
      <c r="T534" s="3">
        <v>0</v>
      </c>
      <c r="U534" s="3">
        <v>11.865</v>
      </c>
      <c r="V534" s="3">
        <v>0</v>
      </c>
      <c r="W534" s="3" t="s">
        <v>1</v>
      </c>
    </row>
    <row r="535" spans="5:23" hidden="1" x14ac:dyDescent="0.25">
      <c r="E535" t="s">
        <v>8610</v>
      </c>
      <c r="F535" s="1" t="s">
        <v>8818</v>
      </c>
      <c r="G535" t="s">
        <v>1</v>
      </c>
      <c r="H535" t="s">
        <v>0</v>
      </c>
      <c r="I535" t="s">
        <v>8165</v>
      </c>
      <c r="J535" t="s">
        <v>8164</v>
      </c>
      <c r="K535">
        <v>13799</v>
      </c>
      <c r="L535">
        <v>13799</v>
      </c>
      <c r="M535" t="s">
        <v>807</v>
      </c>
      <c r="N535" t="s">
        <v>808</v>
      </c>
      <c r="O535" s="3">
        <v>0</v>
      </c>
      <c r="P535" s="3">
        <v>0</v>
      </c>
      <c r="Q535" s="3">
        <v>1043.05</v>
      </c>
      <c r="R535" s="3">
        <v>135.59649999999999</v>
      </c>
      <c r="S535" s="3">
        <v>0</v>
      </c>
      <c r="T535" s="3">
        <v>0</v>
      </c>
      <c r="U535" s="3">
        <v>1178.6464999999998</v>
      </c>
      <c r="V535" s="3">
        <v>0</v>
      </c>
      <c r="W535" s="3" t="s">
        <v>1</v>
      </c>
    </row>
    <row r="536" spans="5:23" hidden="1" x14ac:dyDescent="0.25">
      <c r="E536" t="s">
        <v>8610</v>
      </c>
      <c r="F536" s="1" t="s">
        <v>8818</v>
      </c>
      <c r="G536" t="s">
        <v>1</v>
      </c>
      <c r="H536" t="s">
        <v>0</v>
      </c>
      <c r="I536" t="s">
        <v>8165</v>
      </c>
      <c r="J536" t="s">
        <v>8164</v>
      </c>
      <c r="K536">
        <v>13800</v>
      </c>
      <c r="L536">
        <v>13800</v>
      </c>
      <c r="M536" t="s">
        <v>143</v>
      </c>
      <c r="N536" t="s">
        <v>144</v>
      </c>
      <c r="O536" s="3">
        <v>0</v>
      </c>
      <c r="P536" s="3">
        <v>0</v>
      </c>
      <c r="Q536" s="3">
        <v>53.1</v>
      </c>
      <c r="R536" s="3">
        <v>6.9030000000000005</v>
      </c>
      <c r="S536" s="3">
        <v>0</v>
      </c>
      <c r="T536" s="3">
        <v>0</v>
      </c>
      <c r="U536" s="3">
        <v>60.003</v>
      </c>
      <c r="V536" s="3">
        <v>0</v>
      </c>
      <c r="W536" s="3" t="s">
        <v>1</v>
      </c>
    </row>
    <row r="537" spans="5:23" hidden="1" x14ac:dyDescent="0.25">
      <c r="E537" t="s">
        <v>8610</v>
      </c>
      <c r="F537" s="1" t="s">
        <v>8818</v>
      </c>
      <c r="G537" t="s">
        <v>1</v>
      </c>
      <c r="H537" t="s">
        <v>0</v>
      </c>
      <c r="I537" t="s">
        <v>8165</v>
      </c>
      <c r="J537" t="s">
        <v>8164</v>
      </c>
      <c r="K537">
        <v>13801</v>
      </c>
      <c r="L537">
        <v>13801</v>
      </c>
      <c r="M537" t="s">
        <v>8209</v>
      </c>
      <c r="N537" t="s">
        <v>8210</v>
      </c>
      <c r="O537" s="3">
        <v>0</v>
      </c>
      <c r="P537" s="3">
        <v>0</v>
      </c>
      <c r="Q537" s="3">
        <v>29</v>
      </c>
      <c r="R537" s="3">
        <v>3.77</v>
      </c>
      <c r="S537" s="3">
        <v>0</v>
      </c>
      <c r="T537" s="3">
        <v>0</v>
      </c>
      <c r="U537" s="3">
        <v>32.770000000000003</v>
      </c>
      <c r="V537" s="3">
        <v>0</v>
      </c>
      <c r="W537" s="3" t="s">
        <v>1</v>
      </c>
    </row>
    <row r="538" spans="5:23" hidden="1" x14ac:dyDescent="0.25">
      <c r="E538" t="s">
        <v>8610</v>
      </c>
      <c r="F538" s="1" t="s">
        <v>8818</v>
      </c>
      <c r="G538" t="s">
        <v>1</v>
      </c>
      <c r="H538" t="s">
        <v>0</v>
      </c>
      <c r="I538" t="s">
        <v>8165</v>
      </c>
      <c r="J538" t="s">
        <v>8164</v>
      </c>
      <c r="K538">
        <v>13802</v>
      </c>
      <c r="L538">
        <v>13802</v>
      </c>
      <c r="M538" t="s">
        <v>8540</v>
      </c>
      <c r="N538" t="s">
        <v>1165</v>
      </c>
      <c r="O538" s="3">
        <v>0</v>
      </c>
      <c r="P538" s="3">
        <v>0</v>
      </c>
      <c r="Q538" s="3">
        <v>27.84</v>
      </c>
      <c r="R538" s="3">
        <v>3.6192000000000002</v>
      </c>
      <c r="S538" s="3">
        <v>0</v>
      </c>
      <c r="T538" s="3">
        <v>0</v>
      </c>
      <c r="U538" s="3">
        <v>31.459199999999999</v>
      </c>
      <c r="V538" s="3">
        <v>0</v>
      </c>
      <c r="W538" s="3" t="s">
        <v>1</v>
      </c>
    </row>
    <row r="539" spans="5:23" hidden="1" x14ac:dyDescent="0.25">
      <c r="E539" t="s">
        <v>8610</v>
      </c>
      <c r="F539" s="1" t="s">
        <v>8818</v>
      </c>
      <c r="G539" t="s">
        <v>1</v>
      </c>
      <c r="H539" t="s">
        <v>0</v>
      </c>
      <c r="I539" t="s">
        <v>8165</v>
      </c>
      <c r="J539" t="s">
        <v>8164</v>
      </c>
      <c r="K539">
        <v>13803</v>
      </c>
      <c r="L539">
        <v>13803</v>
      </c>
      <c r="M539" t="s">
        <v>1273</v>
      </c>
      <c r="N539" t="s">
        <v>1274</v>
      </c>
      <c r="O539" s="3">
        <v>0</v>
      </c>
      <c r="P539" s="3">
        <v>0</v>
      </c>
      <c r="Q539" s="3">
        <v>328.32</v>
      </c>
      <c r="R539" s="3">
        <v>42.681600000000003</v>
      </c>
      <c r="S539" s="3">
        <v>0</v>
      </c>
      <c r="T539" s="3">
        <v>0</v>
      </c>
      <c r="U539" s="3">
        <v>371.0016</v>
      </c>
      <c r="V539" s="3">
        <v>0</v>
      </c>
      <c r="W539" s="3" t="s">
        <v>1</v>
      </c>
    </row>
    <row r="540" spans="5:23" hidden="1" x14ac:dyDescent="0.25">
      <c r="E540" t="s">
        <v>8610</v>
      </c>
      <c r="F540" s="1" t="s">
        <v>8818</v>
      </c>
      <c r="G540" t="s">
        <v>1</v>
      </c>
      <c r="H540" t="s">
        <v>0</v>
      </c>
      <c r="I540" t="s">
        <v>8165</v>
      </c>
      <c r="J540" t="s">
        <v>8164</v>
      </c>
      <c r="K540">
        <v>13804</v>
      </c>
      <c r="L540">
        <v>13804</v>
      </c>
      <c r="M540" t="s">
        <v>1273</v>
      </c>
      <c r="N540" t="s">
        <v>1274</v>
      </c>
      <c r="O540" s="3">
        <v>0</v>
      </c>
      <c r="P540" s="3">
        <v>0</v>
      </c>
      <c r="Q540" s="3">
        <v>6.19</v>
      </c>
      <c r="R540" s="3">
        <v>0.80470000000000008</v>
      </c>
      <c r="S540" s="3">
        <v>0</v>
      </c>
      <c r="T540" s="3">
        <v>0</v>
      </c>
      <c r="U540" s="3">
        <v>6.9947000000000008</v>
      </c>
      <c r="V540" s="3">
        <v>0</v>
      </c>
      <c r="W540" s="3" t="s">
        <v>1</v>
      </c>
    </row>
    <row r="541" spans="5:23" hidden="1" x14ac:dyDescent="0.25">
      <c r="E541" t="s">
        <v>8610</v>
      </c>
      <c r="F541" s="1" t="s">
        <v>8818</v>
      </c>
      <c r="G541" t="s">
        <v>1</v>
      </c>
      <c r="H541" t="s">
        <v>0</v>
      </c>
      <c r="I541" t="s">
        <v>8165</v>
      </c>
      <c r="J541" t="s">
        <v>8164</v>
      </c>
      <c r="K541">
        <v>13805</v>
      </c>
      <c r="L541">
        <v>13805</v>
      </c>
      <c r="M541" t="s">
        <v>4250</v>
      </c>
      <c r="N541" t="s">
        <v>4251</v>
      </c>
      <c r="O541" s="3">
        <v>0</v>
      </c>
      <c r="P541" s="3">
        <v>0</v>
      </c>
      <c r="Q541" s="3">
        <v>236.19</v>
      </c>
      <c r="R541" s="3">
        <v>30.704699999999999</v>
      </c>
      <c r="S541" s="3">
        <v>0</v>
      </c>
      <c r="T541" s="3">
        <v>0</v>
      </c>
      <c r="U541" s="3">
        <v>266.8947</v>
      </c>
      <c r="V541" s="3">
        <v>0</v>
      </c>
      <c r="W541" s="3" t="s">
        <v>1</v>
      </c>
    </row>
    <row r="542" spans="5:23" hidden="1" x14ac:dyDescent="0.25">
      <c r="E542" t="s">
        <v>8610</v>
      </c>
      <c r="F542" s="1" t="s">
        <v>8818</v>
      </c>
      <c r="G542" t="s">
        <v>1</v>
      </c>
      <c r="H542" t="s">
        <v>0</v>
      </c>
      <c r="I542" t="s">
        <v>8165</v>
      </c>
      <c r="J542" t="s">
        <v>8164</v>
      </c>
      <c r="K542">
        <v>13806</v>
      </c>
      <c r="L542">
        <v>13806</v>
      </c>
      <c r="M542" t="s">
        <v>8018</v>
      </c>
      <c r="N542" t="s">
        <v>8019</v>
      </c>
      <c r="O542" s="3">
        <v>0</v>
      </c>
      <c r="P542" s="3">
        <v>0</v>
      </c>
      <c r="Q542" s="3">
        <v>44.25</v>
      </c>
      <c r="R542" s="3">
        <v>5.7525000000000004</v>
      </c>
      <c r="S542" s="3">
        <v>0</v>
      </c>
      <c r="T542" s="3">
        <v>0</v>
      </c>
      <c r="U542" s="3">
        <v>50.002499999999998</v>
      </c>
      <c r="V542" s="3">
        <v>0</v>
      </c>
      <c r="W542" s="3" t="s">
        <v>1</v>
      </c>
    </row>
    <row r="543" spans="5:23" hidden="1" x14ac:dyDescent="0.25">
      <c r="E543" t="s">
        <v>8610</v>
      </c>
      <c r="F543" s="1" t="s">
        <v>8818</v>
      </c>
      <c r="G543" t="s">
        <v>1</v>
      </c>
      <c r="H543" t="s">
        <v>0</v>
      </c>
      <c r="I543" t="s">
        <v>8165</v>
      </c>
      <c r="J543" t="s">
        <v>8164</v>
      </c>
      <c r="K543">
        <v>13807</v>
      </c>
      <c r="L543">
        <v>13807</v>
      </c>
      <c r="M543" t="s">
        <v>115</v>
      </c>
      <c r="N543" t="s">
        <v>116</v>
      </c>
      <c r="O543" s="3">
        <v>0</v>
      </c>
      <c r="P543" s="3">
        <v>0</v>
      </c>
      <c r="Q543" s="3">
        <v>812.51</v>
      </c>
      <c r="R543" s="3">
        <v>105.6263</v>
      </c>
      <c r="S543" s="3">
        <v>0</v>
      </c>
      <c r="T543" s="3">
        <v>0</v>
      </c>
      <c r="U543" s="3">
        <v>918.13630000000001</v>
      </c>
      <c r="V543" s="3">
        <v>0</v>
      </c>
      <c r="W543" s="3" t="s">
        <v>1</v>
      </c>
    </row>
    <row r="544" spans="5:23" hidden="1" x14ac:dyDescent="0.25">
      <c r="E544" t="s">
        <v>8610</v>
      </c>
      <c r="F544" s="1" t="s">
        <v>8818</v>
      </c>
      <c r="G544" t="s">
        <v>1</v>
      </c>
      <c r="H544" t="s">
        <v>0</v>
      </c>
      <c r="I544" t="s">
        <v>8165</v>
      </c>
      <c r="J544" t="s">
        <v>8164</v>
      </c>
      <c r="K544">
        <v>13808</v>
      </c>
      <c r="L544">
        <v>13808</v>
      </c>
      <c r="M544" t="s">
        <v>8637</v>
      </c>
      <c r="N544" t="s">
        <v>8638</v>
      </c>
      <c r="O544" s="3">
        <v>0</v>
      </c>
      <c r="P544" s="3">
        <v>0</v>
      </c>
      <c r="Q544" s="3">
        <v>172.41</v>
      </c>
      <c r="R544" s="3">
        <v>22.4133</v>
      </c>
      <c r="S544" s="3">
        <v>0</v>
      </c>
      <c r="T544" s="3">
        <v>0</v>
      </c>
      <c r="U544" s="3">
        <v>194.82329999999999</v>
      </c>
      <c r="V544" s="3">
        <v>0</v>
      </c>
      <c r="W544" s="3" t="s">
        <v>1</v>
      </c>
    </row>
    <row r="545" spans="5:23" hidden="1" x14ac:dyDescent="0.25">
      <c r="E545" t="s">
        <v>8610</v>
      </c>
      <c r="F545" s="1" t="s">
        <v>8818</v>
      </c>
      <c r="G545" t="s">
        <v>1</v>
      </c>
      <c r="H545" t="s">
        <v>0</v>
      </c>
      <c r="I545" t="s">
        <v>8165</v>
      </c>
      <c r="J545" t="s">
        <v>8164</v>
      </c>
      <c r="K545">
        <v>13809</v>
      </c>
      <c r="L545">
        <v>13809</v>
      </c>
      <c r="M545" t="s">
        <v>8209</v>
      </c>
      <c r="N545" t="s">
        <v>8210</v>
      </c>
      <c r="O545" s="3">
        <v>0</v>
      </c>
      <c r="P545" s="3">
        <v>0</v>
      </c>
      <c r="Q545" s="3">
        <v>65.349999999999994</v>
      </c>
      <c r="R545" s="3">
        <v>8.4954999999999998</v>
      </c>
      <c r="S545" s="3">
        <v>0</v>
      </c>
      <c r="T545" s="3">
        <v>0</v>
      </c>
      <c r="U545" s="3">
        <v>73.845499999999987</v>
      </c>
      <c r="V545" s="3">
        <v>0</v>
      </c>
      <c r="W545" s="3" t="s">
        <v>1</v>
      </c>
    </row>
    <row r="546" spans="5:23" hidden="1" x14ac:dyDescent="0.25">
      <c r="E546" t="s">
        <v>8610</v>
      </c>
      <c r="F546" s="1" t="s">
        <v>8818</v>
      </c>
      <c r="G546" t="s">
        <v>1</v>
      </c>
      <c r="H546" t="s">
        <v>0</v>
      </c>
      <c r="I546" t="s">
        <v>8165</v>
      </c>
      <c r="J546" t="s">
        <v>8164</v>
      </c>
      <c r="K546">
        <v>13810</v>
      </c>
      <c r="L546">
        <v>13810</v>
      </c>
      <c r="M546" t="s">
        <v>8209</v>
      </c>
      <c r="N546" t="s">
        <v>8210</v>
      </c>
      <c r="O546" s="3">
        <v>0</v>
      </c>
      <c r="P546" s="3">
        <v>0</v>
      </c>
      <c r="Q546" s="3">
        <v>62.5</v>
      </c>
      <c r="R546" s="3">
        <v>8.125</v>
      </c>
      <c r="S546" s="3">
        <v>0</v>
      </c>
      <c r="T546" s="3">
        <v>0</v>
      </c>
      <c r="U546" s="3">
        <v>70.625</v>
      </c>
      <c r="V546" s="3">
        <v>0</v>
      </c>
      <c r="W546" s="3" t="s">
        <v>1</v>
      </c>
    </row>
    <row r="547" spans="5:23" hidden="1" x14ac:dyDescent="0.25">
      <c r="E547" t="s">
        <v>8610</v>
      </c>
      <c r="F547" s="1" t="s">
        <v>8818</v>
      </c>
      <c r="G547" t="s">
        <v>1</v>
      </c>
      <c r="H547" t="s">
        <v>0</v>
      </c>
      <c r="I547" t="s">
        <v>8165</v>
      </c>
      <c r="J547" t="s">
        <v>8164</v>
      </c>
      <c r="K547">
        <v>13811</v>
      </c>
      <c r="L547">
        <v>13811</v>
      </c>
      <c r="M547" t="s">
        <v>8209</v>
      </c>
      <c r="N547" t="s">
        <v>8210</v>
      </c>
      <c r="O547" s="3">
        <v>0</v>
      </c>
      <c r="P547" s="3">
        <v>0</v>
      </c>
      <c r="Q547" s="3">
        <v>99.55</v>
      </c>
      <c r="R547" s="3">
        <v>12.9415</v>
      </c>
      <c r="S547" s="3">
        <v>0</v>
      </c>
      <c r="T547" s="3">
        <v>0</v>
      </c>
      <c r="U547" s="3">
        <v>112.4915</v>
      </c>
      <c r="V547" s="3">
        <v>0</v>
      </c>
      <c r="W547" s="3" t="s">
        <v>1</v>
      </c>
    </row>
    <row r="548" spans="5:23" hidden="1" x14ac:dyDescent="0.25">
      <c r="E548" t="s">
        <v>8609</v>
      </c>
      <c r="F548" s="1" t="s">
        <v>8774</v>
      </c>
      <c r="G548" t="s">
        <v>1</v>
      </c>
      <c r="H548" t="s">
        <v>0</v>
      </c>
      <c r="I548" t="s">
        <v>8165</v>
      </c>
      <c r="J548" t="s">
        <v>8164</v>
      </c>
      <c r="K548">
        <v>13247</v>
      </c>
      <c r="L548">
        <v>13247</v>
      </c>
      <c r="M548" t="s">
        <v>8655</v>
      </c>
      <c r="N548" t="s">
        <v>8656</v>
      </c>
      <c r="O548" s="3">
        <v>0</v>
      </c>
      <c r="P548" s="3">
        <v>0</v>
      </c>
      <c r="Q548" s="3">
        <v>119.82</v>
      </c>
      <c r="R548" s="3">
        <v>15.576599999999999</v>
      </c>
      <c r="S548" s="3">
        <v>0</v>
      </c>
      <c r="T548" s="3">
        <v>0</v>
      </c>
      <c r="U548" s="3">
        <v>135.39659999999998</v>
      </c>
      <c r="V548" s="3">
        <v>0</v>
      </c>
      <c r="W548" s="3" t="s">
        <v>1</v>
      </c>
    </row>
    <row r="549" spans="5:23" hidden="1" x14ac:dyDescent="0.25">
      <c r="E549" t="s">
        <v>8609</v>
      </c>
      <c r="F549" s="1" t="s">
        <v>8774</v>
      </c>
      <c r="G549" t="s">
        <v>1</v>
      </c>
      <c r="H549" t="s">
        <v>0</v>
      </c>
      <c r="I549" t="s">
        <v>8165</v>
      </c>
      <c r="J549" t="s">
        <v>8164</v>
      </c>
      <c r="K549">
        <v>13248</v>
      </c>
      <c r="L549">
        <v>13248</v>
      </c>
      <c r="M549" t="s">
        <v>8018</v>
      </c>
      <c r="N549" t="s">
        <v>8019</v>
      </c>
      <c r="O549" s="3">
        <v>0</v>
      </c>
      <c r="P549" s="3">
        <v>0</v>
      </c>
      <c r="Q549" s="3">
        <v>320.79000000000002</v>
      </c>
      <c r="R549" s="3">
        <v>41.702700000000007</v>
      </c>
      <c r="S549" s="3">
        <v>0</v>
      </c>
      <c r="T549" s="3">
        <v>0</v>
      </c>
      <c r="U549" s="3">
        <v>362.49270000000001</v>
      </c>
      <c r="V549" s="3">
        <v>0</v>
      </c>
      <c r="W549" s="3" t="s">
        <v>1</v>
      </c>
    </row>
    <row r="550" spans="5:23" hidden="1" x14ac:dyDescent="0.25">
      <c r="E550" t="s">
        <v>8609</v>
      </c>
      <c r="F550" s="1" t="s">
        <v>8774</v>
      </c>
      <c r="G550" t="s">
        <v>1</v>
      </c>
      <c r="H550" t="s">
        <v>0</v>
      </c>
      <c r="I550" t="s">
        <v>8165</v>
      </c>
      <c r="J550" t="s">
        <v>8164</v>
      </c>
      <c r="K550">
        <v>13249</v>
      </c>
      <c r="L550">
        <v>13249</v>
      </c>
      <c r="M550" t="s">
        <v>8209</v>
      </c>
      <c r="N550" t="s">
        <v>8210</v>
      </c>
      <c r="O550" s="3">
        <v>0</v>
      </c>
      <c r="P550" s="3">
        <v>0</v>
      </c>
      <c r="Q550" s="3">
        <v>54.61</v>
      </c>
      <c r="R550" s="3">
        <v>7.0993000000000004</v>
      </c>
      <c r="S550" s="3">
        <v>0</v>
      </c>
      <c r="T550" s="3">
        <v>0</v>
      </c>
      <c r="U550" s="3">
        <v>61.709299999999999</v>
      </c>
      <c r="V550" s="3">
        <v>0</v>
      </c>
      <c r="W550" s="3" t="s">
        <v>1</v>
      </c>
    </row>
    <row r="551" spans="5:23" hidden="1" x14ac:dyDescent="0.25">
      <c r="E551" t="s">
        <v>8609</v>
      </c>
      <c r="F551" s="1" t="s">
        <v>8774</v>
      </c>
      <c r="G551" t="s">
        <v>1</v>
      </c>
      <c r="H551" t="s">
        <v>0</v>
      </c>
      <c r="I551" t="s">
        <v>8165</v>
      </c>
      <c r="J551" t="s">
        <v>8164</v>
      </c>
      <c r="K551">
        <v>13250</v>
      </c>
      <c r="L551">
        <v>13250</v>
      </c>
      <c r="M551" t="s">
        <v>8160</v>
      </c>
      <c r="N551" t="s">
        <v>8161</v>
      </c>
      <c r="O551" s="3">
        <v>0</v>
      </c>
      <c r="P551" s="3">
        <v>0</v>
      </c>
      <c r="Q551" s="3">
        <v>57.4</v>
      </c>
      <c r="R551" s="3">
        <v>7.4619999999999997</v>
      </c>
      <c r="S551" s="3">
        <v>0</v>
      </c>
      <c r="T551" s="3">
        <v>0</v>
      </c>
      <c r="U551" s="3">
        <v>64.861999999999995</v>
      </c>
      <c r="V551" s="3">
        <v>0</v>
      </c>
      <c r="W551" s="3" t="s">
        <v>1</v>
      </c>
    </row>
    <row r="552" spans="5:23" hidden="1" x14ac:dyDescent="0.25">
      <c r="E552" t="s">
        <v>8609</v>
      </c>
      <c r="F552" s="1" t="s">
        <v>8774</v>
      </c>
      <c r="G552" t="s">
        <v>1</v>
      </c>
      <c r="H552" t="s">
        <v>0</v>
      </c>
      <c r="I552" t="s">
        <v>8165</v>
      </c>
      <c r="J552" t="s">
        <v>8164</v>
      </c>
      <c r="K552">
        <v>13251</v>
      </c>
      <c r="L552">
        <v>13251</v>
      </c>
      <c r="M552" t="s">
        <v>8160</v>
      </c>
      <c r="N552" t="s">
        <v>8161</v>
      </c>
      <c r="O552" s="3">
        <v>0</v>
      </c>
      <c r="P552" s="3">
        <v>0</v>
      </c>
      <c r="Q552" s="3">
        <v>537.5</v>
      </c>
      <c r="R552" s="3">
        <v>69.875</v>
      </c>
      <c r="S552" s="3">
        <v>0</v>
      </c>
      <c r="T552" s="3">
        <v>0</v>
      </c>
      <c r="U552" s="3">
        <v>607.375</v>
      </c>
      <c r="V552" s="3">
        <v>0</v>
      </c>
      <c r="W552" s="3" t="s">
        <v>1</v>
      </c>
    </row>
    <row r="553" spans="5:23" hidden="1" x14ac:dyDescent="0.25">
      <c r="E553" t="s">
        <v>8609</v>
      </c>
      <c r="F553" s="1" t="s">
        <v>8774</v>
      </c>
      <c r="G553" t="s">
        <v>1</v>
      </c>
      <c r="H553" t="s">
        <v>0</v>
      </c>
      <c r="I553" t="s">
        <v>8165</v>
      </c>
      <c r="J553" t="s">
        <v>8164</v>
      </c>
      <c r="K553">
        <v>13252</v>
      </c>
      <c r="L553">
        <v>13252</v>
      </c>
      <c r="M553" t="s">
        <v>7852</v>
      </c>
      <c r="N553" t="s">
        <v>7851</v>
      </c>
      <c r="O553" s="3">
        <v>0</v>
      </c>
      <c r="P553" s="3">
        <v>0</v>
      </c>
      <c r="Q553" s="3">
        <v>0</v>
      </c>
      <c r="R553" s="3">
        <v>0</v>
      </c>
      <c r="S553" s="3">
        <v>0</v>
      </c>
      <c r="T553" s="3">
        <v>0</v>
      </c>
      <c r="U553" s="3">
        <v>0</v>
      </c>
      <c r="V553" s="3">
        <v>0</v>
      </c>
      <c r="W553" s="3" t="s">
        <v>1</v>
      </c>
    </row>
    <row r="554" spans="5:23" hidden="1" x14ac:dyDescent="0.25">
      <c r="E554" t="s">
        <v>8609</v>
      </c>
      <c r="F554" s="1" t="s">
        <v>8764</v>
      </c>
      <c r="G554" t="s">
        <v>1</v>
      </c>
      <c r="H554" t="s">
        <v>0</v>
      </c>
      <c r="I554" t="s">
        <v>8165</v>
      </c>
      <c r="J554" t="s">
        <v>8164</v>
      </c>
      <c r="K554">
        <v>13253</v>
      </c>
      <c r="L554">
        <v>13253</v>
      </c>
      <c r="M554" t="s">
        <v>7983</v>
      </c>
      <c r="N554" t="s">
        <v>7984</v>
      </c>
      <c r="O554" s="3">
        <v>0</v>
      </c>
      <c r="P554" s="3">
        <v>0</v>
      </c>
      <c r="Q554" s="3">
        <v>90</v>
      </c>
      <c r="R554" s="3">
        <v>11.700000000000001</v>
      </c>
      <c r="S554" s="3">
        <v>0</v>
      </c>
      <c r="T554" s="3">
        <v>0</v>
      </c>
      <c r="U554" s="3">
        <v>101.7</v>
      </c>
      <c r="V554" s="3">
        <v>0</v>
      </c>
      <c r="W554" s="3" t="s">
        <v>1</v>
      </c>
    </row>
    <row r="555" spans="5:23" hidden="1" x14ac:dyDescent="0.25">
      <c r="E555" t="s">
        <v>8609</v>
      </c>
      <c r="F555" s="1" t="s">
        <v>8764</v>
      </c>
      <c r="G555" t="s">
        <v>1</v>
      </c>
      <c r="H555" t="s">
        <v>0</v>
      </c>
      <c r="I555" t="s">
        <v>8165</v>
      </c>
      <c r="J555" t="s">
        <v>8164</v>
      </c>
      <c r="K555">
        <v>13254</v>
      </c>
      <c r="L555">
        <v>13254</v>
      </c>
      <c r="M555" t="s">
        <v>7852</v>
      </c>
      <c r="N555" t="s">
        <v>7851</v>
      </c>
      <c r="O555" s="3">
        <v>0</v>
      </c>
      <c r="P555" s="3">
        <v>0</v>
      </c>
      <c r="Q555" s="3">
        <v>0</v>
      </c>
      <c r="R555" s="3">
        <v>0</v>
      </c>
      <c r="S555" s="3">
        <v>0</v>
      </c>
      <c r="T555" s="3">
        <v>0</v>
      </c>
      <c r="U555" s="3">
        <v>0</v>
      </c>
      <c r="V555" s="3">
        <v>0</v>
      </c>
      <c r="W555" s="3" t="s">
        <v>1</v>
      </c>
    </row>
    <row r="556" spans="5:23" hidden="1" x14ac:dyDescent="0.25">
      <c r="E556" t="s">
        <v>8609</v>
      </c>
      <c r="F556" s="1" t="s">
        <v>8764</v>
      </c>
      <c r="G556" t="s">
        <v>1</v>
      </c>
      <c r="H556" t="s">
        <v>0</v>
      </c>
      <c r="I556" t="s">
        <v>8165</v>
      </c>
      <c r="J556" t="s">
        <v>8164</v>
      </c>
      <c r="K556">
        <v>13255</v>
      </c>
      <c r="L556">
        <v>13255</v>
      </c>
      <c r="M556" t="s">
        <v>8302</v>
      </c>
      <c r="N556" t="s">
        <v>8303</v>
      </c>
      <c r="O556" s="3">
        <v>0</v>
      </c>
      <c r="P556" s="3">
        <v>0</v>
      </c>
      <c r="Q556" s="3">
        <v>154.5</v>
      </c>
      <c r="R556" s="3">
        <v>20.085000000000001</v>
      </c>
      <c r="S556" s="3">
        <v>0</v>
      </c>
      <c r="T556" s="3">
        <v>0</v>
      </c>
      <c r="U556" s="3">
        <v>174.58500000000001</v>
      </c>
      <c r="V556" s="3">
        <v>0</v>
      </c>
      <c r="W556" s="3" t="s">
        <v>1</v>
      </c>
    </row>
    <row r="557" spans="5:23" hidden="1" x14ac:dyDescent="0.25">
      <c r="E557" t="s">
        <v>8609</v>
      </c>
      <c r="F557" s="1" t="s">
        <v>8764</v>
      </c>
      <c r="G557" t="s">
        <v>1</v>
      </c>
      <c r="H557" t="s">
        <v>0</v>
      </c>
      <c r="I557" t="s">
        <v>8165</v>
      </c>
      <c r="J557" t="s">
        <v>8164</v>
      </c>
      <c r="K557">
        <v>13256</v>
      </c>
      <c r="L557">
        <v>13256</v>
      </c>
      <c r="M557" t="s">
        <v>8573</v>
      </c>
      <c r="N557" t="s">
        <v>8574</v>
      </c>
      <c r="O557" s="3">
        <v>0</v>
      </c>
      <c r="P557" s="3">
        <v>0</v>
      </c>
      <c r="Q557" s="3">
        <v>161.5</v>
      </c>
      <c r="R557" s="3">
        <v>20.995000000000001</v>
      </c>
      <c r="S557" s="3">
        <v>0</v>
      </c>
      <c r="T557" s="3">
        <v>0</v>
      </c>
      <c r="U557" s="3">
        <v>182.495</v>
      </c>
      <c r="V557" s="3">
        <v>0</v>
      </c>
      <c r="W557" s="3" t="s">
        <v>1</v>
      </c>
    </row>
    <row r="558" spans="5:23" hidden="1" x14ac:dyDescent="0.25">
      <c r="E558" t="s">
        <v>8609</v>
      </c>
      <c r="F558" s="1" t="s">
        <v>8764</v>
      </c>
      <c r="G558" t="s">
        <v>1</v>
      </c>
      <c r="H558" t="s">
        <v>0</v>
      </c>
      <c r="I558" t="s">
        <v>8165</v>
      </c>
      <c r="J558" t="s">
        <v>8164</v>
      </c>
      <c r="K558">
        <v>13257</v>
      </c>
      <c r="L558">
        <v>13257</v>
      </c>
      <c r="M558" t="s">
        <v>8243</v>
      </c>
      <c r="N558" t="s">
        <v>8244</v>
      </c>
      <c r="O558" s="3">
        <v>0</v>
      </c>
      <c r="P558" s="3">
        <v>0</v>
      </c>
      <c r="Q558" s="3">
        <v>40.799999999999997</v>
      </c>
      <c r="R558" s="3">
        <v>5.3039999999999994</v>
      </c>
      <c r="S558" s="3">
        <v>0</v>
      </c>
      <c r="T558" s="3">
        <v>0</v>
      </c>
      <c r="U558" s="3">
        <v>46.103999999999999</v>
      </c>
      <c r="V558" s="3">
        <v>0</v>
      </c>
      <c r="W558" s="3" t="s">
        <v>1</v>
      </c>
    </row>
    <row r="559" spans="5:23" hidden="1" x14ac:dyDescent="0.25">
      <c r="E559" t="s">
        <v>8609</v>
      </c>
      <c r="F559" s="1" t="s">
        <v>8764</v>
      </c>
      <c r="G559" t="s">
        <v>1</v>
      </c>
      <c r="H559" t="s">
        <v>0</v>
      </c>
      <c r="I559" t="s">
        <v>8165</v>
      </c>
      <c r="J559" t="s">
        <v>8164</v>
      </c>
      <c r="K559">
        <v>13258</v>
      </c>
      <c r="L559">
        <v>13258</v>
      </c>
      <c r="M559" t="s">
        <v>8727</v>
      </c>
      <c r="N559" t="s">
        <v>8728</v>
      </c>
      <c r="O559" s="3">
        <v>0</v>
      </c>
      <c r="P559" s="3">
        <v>0</v>
      </c>
      <c r="Q559" s="3">
        <v>160.07</v>
      </c>
      <c r="R559" s="3">
        <v>20.809100000000001</v>
      </c>
      <c r="S559" s="3">
        <v>0</v>
      </c>
      <c r="T559" s="3">
        <v>0</v>
      </c>
      <c r="U559" s="3">
        <v>180.87909999999999</v>
      </c>
      <c r="V559" s="3">
        <v>0</v>
      </c>
      <c r="W559" s="3" t="s">
        <v>1</v>
      </c>
    </row>
    <row r="560" spans="5:23" hidden="1" x14ac:dyDescent="0.25">
      <c r="E560" t="s">
        <v>8609</v>
      </c>
      <c r="F560" s="1" t="s">
        <v>8764</v>
      </c>
      <c r="G560" t="s">
        <v>1</v>
      </c>
      <c r="H560" t="s">
        <v>0</v>
      </c>
      <c r="I560" t="s">
        <v>8165</v>
      </c>
      <c r="J560" t="s">
        <v>8164</v>
      </c>
      <c r="K560">
        <v>13259</v>
      </c>
      <c r="L560">
        <v>13259</v>
      </c>
      <c r="M560" t="s">
        <v>8727</v>
      </c>
      <c r="N560" t="s">
        <v>8728</v>
      </c>
      <c r="O560" s="3">
        <v>0</v>
      </c>
      <c r="P560" s="3">
        <v>0</v>
      </c>
      <c r="Q560" s="3">
        <v>267.82</v>
      </c>
      <c r="R560" s="3">
        <v>34.816600000000001</v>
      </c>
      <c r="S560" s="3">
        <v>0</v>
      </c>
      <c r="T560" s="3">
        <v>0</v>
      </c>
      <c r="U560" s="3">
        <v>302.63659999999999</v>
      </c>
      <c r="V560" s="3">
        <v>0</v>
      </c>
      <c r="W560" s="3" t="s">
        <v>1</v>
      </c>
    </row>
    <row r="561" spans="5:23" hidden="1" x14ac:dyDescent="0.25">
      <c r="E561" t="s">
        <v>8609</v>
      </c>
      <c r="F561" s="1" t="s">
        <v>8764</v>
      </c>
      <c r="G561" t="s">
        <v>1</v>
      </c>
      <c r="H561" t="s">
        <v>0</v>
      </c>
      <c r="I561" t="s">
        <v>8165</v>
      </c>
      <c r="J561" t="s">
        <v>8164</v>
      </c>
      <c r="K561">
        <v>13260</v>
      </c>
      <c r="L561">
        <v>13260</v>
      </c>
      <c r="M561" t="s">
        <v>8287</v>
      </c>
      <c r="N561" t="s">
        <v>8288</v>
      </c>
      <c r="O561" s="3">
        <v>0</v>
      </c>
      <c r="P561" s="3">
        <v>0</v>
      </c>
      <c r="Q561" s="3">
        <v>3.24</v>
      </c>
      <c r="R561" s="3">
        <v>0.42120000000000002</v>
      </c>
      <c r="S561" s="3">
        <v>0</v>
      </c>
      <c r="T561" s="3">
        <v>0</v>
      </c>
      <c r="U561" s="3">
        <v>3.6612</v>
      </c>
      <c r="V561" s="3">
        <v>0</v>
      </c>
      <c r="W561" s="3" t="s">
        <v>1</v>
      </c>
    </row>
    <row r="562" spans="5:23" hidden="1" x14ac:dyDescent="0.25">
      <c r="E562" t="s">
        <v>8609</v>
      </c>
      <c r="F562" s="1" t="s">
        <v>8764</v>
      </c>
      <c r="G562" t="s">
        <v>1</v>
      </c>
      <c r="H562" t="s">
        <v>0</v>
      </c>
      <c r="I562" t="s">
        <v>8165</v>
      </c>
      <c r="J562" t="s">
        <v>8164</v>
      </c>
      <c r="K562">
        <v>13261</v>
      </c>
      <c r="L562">
        <v>13261</v>
      </c>
      <c r="M562" t="s">
        <v>8249</v>
      </c>
      <c r="N562" t="s">
        <v>8250</v>
      </c>
      <c r="O562" s="3">
        <v>0</v>
      </c>
      <c r="P562" s="3">
        <v>0</v>
      </c>
      <c r="Q562" s="3">
        <v>10.7</v>
      </c>
      <c r="R562" s="3">
        <v>1.391</v>
      </c>
      <c r="S562" s="3">
        <v>0</v>
      </c>
      <c r="T562" s="3">
        <v>0</v>
      </c>
      <c r="U562" s="3">
        <v>12.090999999999999</v>
      </c>
      <c r="V562" s="3">
        <v>0</v>
      </c>
      <c r="W562" s="3" t="s">
        <v>1</v>
      </c>
    </row>
    <row r="563" spans="5:23" hidden="1" x14ac:dyDescent="0.25">
      <c r="E563" t="s">
        <v>8609</v>
      </c>
      <c r="F563" s="1" t="s">
        <v>8764</v>
      </c>
      <c r="G563" t="s">
        <v>1</v>
      </c>
      <c r="H563" t="s">
        <v>0</v>
      </c>
      <c r="I563" t="s">
        <v>8165</v>
      </c>
      <c r="J563" t="s">
        <v>8164</v>
      </c>
      <c r="K563">
        <v>13262</v>
      </c>
      <c r="L563">
        <v>13262</v>
      </c>
      <c r="M563" t="s">
        <v>8220</v>
      </c>
      <c r="N563" t="s">
        <v>8221</v>
      </c>
      <c r="O563" s="3">
        <v>0</v>
      </c>
      <c r="P563" s="3">
        <v>0</v>
      </c>
      <c r="Q563" s="3">
        <v>27</v>
      </c>
      <c r="R563" s="3">
        <v>3.5100000000000002</v>
      </c>
      <c r="S563" s="3">
        <v>0</v>
      </c>
      <c r="T563" s="3">
        <v>0</v>
      </c>
      <c r="U563" s="3">
        <v>30.51</v>
      </c>
      <c r="V563" s="3">
        <v>0</v>
      </c>
      <c r="W563" s="3" t="s">
        <v>1</v>
      </c>
    </row>
    <row r="564" spans="5:23" hidden="1" x14ac:dyDescent="0.25">
      <c r="E564" t="s">
        <v>8609</v>
      </c>
      <c r="F564" s="1" t="s">
        <v>8764</v>
      </c>
      <c r="G564" t="s">
        <v>1</v>
      </c>
      <c r="H564" t="s">
        <v>0</v>
      </c>
      <c r="I564" t="s">
        <v>8165</v>
      </c>
      <c r="J564" t="s">
        <v>8164</v>
      </c>
      <c r="K564">
        <v>13263</v>
      </c>
      <c r="L564">
        <v>13263</v>
      </c>
      <c r="M564" t="s">
        <v>8222</v>
      </c>
      <c r="N564" t="s">
        <v>8223</v>
      </c>
      <c r="O564" s="3">
        <v>0</v>
      </c>
      <c r="P564" s="3">
        <v>0</v>
      </c>
      <c r="Q564" s="3">
        <v>250</v>
      </c>
      <c r="R564" s="3">
        <v>32.5</v>
      </c>
      <c r="S564" s="3">
        <v>0</v>
      </c>
      <c r="T564" s="3">
        <v>0</v>
      </c>
      <c r="U564" s="3">
        <v>282.5</v>
      </c>
      <c r="V564" s="3">
        <v>0</v>
      </c>
      <c r="W564" s="3" t="s">
        <v>1</v>
      </c>
    </row>
    <row r="565" spans="5:23" hidden="1" x14ac:dyDescent="0.25">
      <c r="E565" t="s">
        <v>8609</v>
      </c>
      <c r="F565" s="1" t="s">
        <v>8764</v>
      </c>
      <c r="G565" t="s">
        <v>1</v>
      </c>
      <c r="H565" t="s">
        <v>0</v>
      </c>
      <c r="I565" t="s">
        <v>8165</v>
      </c>
      <c r="J565" t="s">
        <v>8164</v>
      </c>
      <c r="K565">
        <v>13263</v>
      </c>
      <c r="L565">
        <v>13263</v>
      </c>
      <c r="M565" t="s">
        <v>7852</v>
      </c>
      <c r="N565" t="s">
        <v>7851</v>
      </c>
      <c r="O565" s="3">
        <v>0</v>
      </c>
      <c r="P565" s="3">
        <v>0</v>
      </c>
      <c r="Q565" s="3">
        <v>0</v>
      </c>
      <c r="R565" s="3">
        <v>0</v>
      </c>
      <c r="S565" s="3">
        <v>0</v>
      </c>
      <c r="T565" s="3">
        <v>0</v>
      </c>
      <c r="U565" s="3">
        <v>0</v>
      </c>
      <c r="V565" s="3">
        <v>0</v>
      </c>
      <c r="W565" s="3" t="s">
        <v>1</v>
      </c>
    </row>
    <row r="566" spans="5:23" hidden="1" x14ac:dyDescent="0.25">
      <c r="E566" t="s">
        <v>8609</v>
      </c>
      <c r="F566" s="1" t="s">
        <v>8764</v>
      </c>
      <c r="G566" t="s">
        <v>1</v>
      </c>
      <c r="H566" t="s">
        <v>0</v>
      </c>
      <c r="I566" t="s">
        <v>8165</v>
      </c>
      <c r="J566" t="s">
        <v>8164</v>
      </c>
      <c r="K566">
        <v>13264</v>
      </c>
      <c r="L566">
        <v>13264</v>
      </c>
      <c r="M566" t="s">
        <v>8114</v>
      </c>
      <c r="N566" t="s">
        <v>8115</v>
      </c>
      <c r="O566" s="3">
        <v>0</v>
      </c>
      <c r="P566" s="3">
        <v>0</v>
      </c>
      <c r="Q566" s="3">
        <v>174.08</v>
      </c>
      <c r="R566" s="3">
        <v>22.630400000000002</v>
      </c>
      <c r="S566" s="3">
        <v>0</v>
      </c>
      <c r="T566" s="3">
        <v>0</v>
      </c>
      <c r="U566" s="3">
        <v>196.71040000000002</v>
      </c>
      <c r="V566" s="3">
        <v>0</v>
      </c>
      <c r="W566" s="3" t="s">
        <v>1</v>
      </c>
    </row>
    <row r="567" spans="5:23" hidden="1" x14ac:dyDescent="0.25">
      <c r="E567" t="s">
        <v>8609</v>
      </c>
      <c r="F567" s="1" t="s">
        <v>8765</v>
      </c>
      <c r="G567" t="s">
        <v>1</v>
      </c>
      <c r="H567" t="s">
        <v>0</v>
      </c>
      <c r="I567" t="s">
        <v>8165</v>
      </c>
      <c r="J567" t="s">
        <v>8164</v>
      </c>
      <c r="K567">
        <v>13265</v>
      </c>
      <c r="L567">
        <v>13265</v>
      </c>
      <c r="M567" t="s">
        <v>8540</v>
      </c>
      <c r="N567" t="s">
        <v>1165</v>
      </c>
      <c r="O567" s="3">
        <v>0</v>
      </c>
      <c r="P567" s="3">
        <v>0</v>
      </c>
      <c r="Q567" s="3">
        <v>69.989999999999995</v>
      </c>
      <c r="R567" s="3">
        <v>9.0986999999999991</v>
      </c>
      <c r="S567" s="3">
        <v>0</v>
      </c>
      <c r="T567" s="3">
        <v>0</v>
      </c>
      <c r="U567" s="3">
        <v>79.088699999999989</v>
      </c>
      <c r="V567" s="3">
        <v>0</v>
      </c>
      <c r="W567" s="3" t="s">
        <v>1</v>
      </c>
    </row>
    <row r="568" spans="5:23" hidden="1" x14ac:dyDescent="0.25">
      <c r="E568" t="s">
        <v>8609</v>
      </c>
      <c r="F568" s="1" t="s">
        <v>8765</v>
      </c>
      <c r="G568" t="s">
        <v>1</v>
      </c>
      <c r="H568" t="s">
        <v>0</v>
      </c>
      <c r="I568" t="s">
        <v>8165</v>
      </c>
      <c r="J568" t="s">
        <v>8164</v>
      </c>
      <c r="K568">
        <v>13266</v>
      </c>
      <c r="L568">
        <v>13266</v>
      </c>
      <c r="M568" t="s">
        <v>8540</v>
      </c>
      <c r="N568" t="s">
        <v>1165</v>
      </c>
      <c r="O568" s="3">
        <v>0</v>
      </c>
      <c r="P568" s="3">
        <v>0</v>
      </c>
      <c r="Q568" s="3">
        <v>102.27</v>
      </c>
      <c r="R568" s="3">
        <v>13.2951</v>
      </c>
      <c r="S568" s="3">
        <v>0</v>
      </c>
      <c r="T568" s="3">
        <v>0</v>
      </c>
      <c r="U568" s="3">
        <v>115.5651</v>
      </c>
      <c r="V568" s="3">
        <v>0</v>
      </c>
      <c r="W568" s="3" t="s">
        <v>1</v>
      </c>
    </row>
    <row r="569" spans="5:23" hidden="1" x14ac:dyDescent="0.25">
      <c r="E569" t="s">
        <v>8609</v>
      </c>
      <c r="F569" s="1" t="s">
        <v>8765</v>
      </c>
      <c r="G569" t="s">
        <v>1</v>
      </c>
      <c r="H569" t="s">
        <v>0</v>
      </c>
      <c r="I569" t="s">
        <v>8165</v>
      </c>
      <c r="J569" t="s">
        <v>8164</v>
      </c>
      <c r="K569">
        <v>13267</v>
      </c>
      <c r="L569">
        <v>13267</v>
      </c>
      <c r="M569" s="51" t="s">
        <v>8243</v>
      </c>
      <c r="N569" t="s">
        <v>8244</v>
      </c>
      <c r="O569" s="3">
        <v>0</v>
      </c>
      <c r="P569" s="3">
        <v>0</v>
      </c>
      <c r="Q569" s="3">
        <v>33.200000000000003</v>
      </c>
      <c r="R569" s="3">
        <v>4.3160000000000007</v>
      </c>
      <c r="S569" s="3">
        <v>0</v>
      </c>
      <c r="T569" s="3">
        <v>0</v>
      </c>
      <c r="U569" s="3">
        <v>37.516000000000005</v>
      </c>
      <c r="V569" s="3">
        <v>0</v>
      </c>
      <c r="W569" s="3" t="s">
        <v>1</v>
      </c>
    </row>
    <row r="570" spans="5:23" hidden="1" x14ac:dyDescent="0.25">
      <c r="E570" t="s">
        <v>8609</v>
      </c>
      <c r="F570" s="1" t="s">
        <v>8765</v>
      </c>
      <c r="G570" t="s">
        <v>1</v>
      </c>
      <c r="H570" t="s">
        <v>0</v>
      </c>
      <c r="I570" t="s">
        <v>8165</v>
      </c>
      <c r="J570" t="s">
        <v>8164</v>
      </c>
      <c r="K570">
        <v>13268</v>
      </c>
      <c r="L570">
        <v>13268</v>
      </c>
      <c r="M570" t="s">
        <v>8209</v>
      </c>
      <c r="N570" t="s">
        <v>8210</v>
      </c>
      <c r="O570" s="3">
        <v>0</v>
      </c>
      <c r="P570" s="3">
        <v>0</v>
      </c>
      <c r="Q570" s="3">
        <v>1196</v>
      </c>
      <c r="R570" s="3">
        <v>155.48000000000002</v>
      </c>
      <c r="S570" s="3">
        <v>0</v>
      </c>
      <c r="T570" s="3">
        <v>0</v>
      </c>
      <c r="U570" s="3">
        <v>1351.48</v>
      </c>
      <c r="V570" s="3">
        <v>0</v>
      </c>
      <c r="W570" s="3" t="s">
        <v>1</v>
      </c>
    </row>
    <row r="571" spans="5:23" hidden="1" x14ac:dyDescent="0.25">
      <c r="E571" t="s">
        <v>8609</v>
      </c>
      <c r="F571" s="1" t="s">
        <v>8765</v>
      </c>
      <c r="G571" t="s">
        <v>1</v>
      </c>
      <c r="H571" t="s">
        <v>0</v>
      </c>
      <c r="I571" t="s">
        <v>8165</v>
      </c>
      <c r="J571" t="s">
        <v>8164</v>
      </c>
      <c r="K571">
        <v>13269</v>
      </c>
      <c r="L571">
        <v>13269</v>
      </c>
      <c r="M571" t="s">
        <v>8259</v>
      </c>
      <c r="N571" t="s">
        <v>8260</v>
      </c>
      <c r="O571" s="3">
        <v>0</v>
      </c>
      <c r="P571" s="3">
        <v>0</v>
      </c>
      <c r="Q571" s="3">
        <v>12.29</v>
      </c>
      <c r="R571" s="3">
        <v>1.5976999999999999</v>
      </c>
      <c r="S571" s="3">
        <v>0</v>
      </c>
      <c r="T571" s="3">
        <v>0</v>
      </c>
      <c r="U571" s="3">
        <v>13.887699999999999</v>
      </c>
      <c r="V571" s="3">
        <v>0</v>
      </c>
      <c r="W571" s="3" t="s">
        <v>1</v>
      </c>
    </row>
    <row r="572" spans="5:23" hidden="1" x14ac:dyDescent="0.25">
      <c r="E572" t="s">
        <v>8609</v>
      </c>
      <c r="F572" s="1" t="s">
        <v>8765</v>
      </c>
      <c r="G572" t="s">
        <v>1</v>
      </c>
      <c r="H572" t="s">
        <v>0</v>
      </c>
      <c r="I572" t="s">
        <v>8165</v>
      </c>
      <c r="J572" t="s">
        <v>8164</v>
      </c>
      <c r="K572">
        <v>13270</v>
      </c>
      <c r="L572">
        <v>13270</v>
      </c>
      <c r="M572" t="s">
        <v>8259</v>
      </c>
      <c r="N572" t="s">
        <v>8260</v>
      </c>
      <c r="O572" s="3">
        <v>0</v>
      </c>
      <c r="P572" s="3">
        <v>0</v>
      </c>
      <c r="Q572" s="3">
        <v>6.79</v>
      </c>
      <c r="R572" s="3">
        <v>0.88270000000000004</v>
      </c>
      <c r="S572" s="3">
        <v>0</v>
      </c>
      <c r="T572" s="3">
        <v>0</v>
      </c>
      <c r="U572" s="3">
        <v>7.6726999999999999</v>
      </c>
      <c r="V572" s="3">
        <v>0</v>
      </c>
      <c r="W572" s="3" t="s">
        <v>1</v>
      </c>
    </row>
    <row r="573" spans="5:23" hidden="1" x14ac:dyDescent="0.25">
      <c r="E573" t="s">
        <v>8609</v>
      </c>
      <c r="F573" s="1" t="s">
        <v>8765</v>
      </c>
      <c r="G573" t="s">
        <v>1</v>
      </c>
      <c r="H573" t="s">
        <v>0</v>
      </c>
      <c r="I573" t="s">
        <v>8165</v>
      </c>
      <c r="J573" t="s">
        <v>8164</v>
      </c>
      <c r="K573">
        <v>13271</v>
      </c>
      <c r="L573">
        <v>13271</v>
      </c>
      <c r="M573" t="s">
        <v>4266</v>
      </c>
      <c r="N573" t="s">
        <v>4267</v>
      </c>
      <c r="O573" s="3">
        <v>0</v>
      </c>
      <c r="P573" s="3">
        <v>0</v>
      </c>
      <c r="Q573" s="3">
        <v>368.24</v>
      </c>
      <c r="R573" s="3">
        <v>47.871200000000002</v>
      </c>
      <c r="S573" s="3">
        <v>0</v>
      </c>
      <c r="T573" s="3">
        <v>0</v>
      </c>
      <c r="U573" s="3">
        <v>416.1112</v>
      </c>
      <c r="V573" s="3">
        <v>0</v>
      </c>
      <c r="W573" s="3" t="s">
        <v>1</v>
      </c>
    </row>
    <row r="574" spans="5:23" hidden="1" x14ac:dyDescent="0.25">
      <c r="E574" t="s">
        <v>8609</v>
      </c>
      <c r="F574" s="1" t="s">
        <v>8765</v>
      </c>
      <c r="G574" t="s">
        <v>1</v>
      </c>
      <c r="H574" t="s">
        <v>0</v>
      </c>
      <c r="I574" t="s">
        <v>8165</v>
      </c>
      <c r="J574" t="s">
        <v>8164</v>
      </c>
      <c r="K574">
        <v>13272</v>
      </c>
      <c r="L574">
        <v>13272</v>
      </c>
      <c r="M574" t="s">
        <v>7852</v>
      </c>
      <c r="N574" t="s">
        <v>7851</v>
      </c>
      <c r="O574" s="3">
        <v>0</v>
      </c>
      <c r="P574" s="3">
        <v>0</v>
      </c>
      <c r="Q574" s="3">
        <v>0</v>
      </c>
      <c r="R574" s="3">
        <v>0</v>
      </c>
      <c r="S574" s="3">
        <v>0</v>
      </c>
      <c r="T574" s="3">
        <v>0</v>
      </c>
      <c r="U574" s="3">
        <v>0</v>
      </c>
      <c r="V574" s="3">
        <v>0</v>
      </c>
      <c r="W574" s="3" t="s">
        <v>1</v>
      </c>
    </row>
    <row r="575" spans="5:23" hidden="1" x14ac:dyDescent="0.25">
      <c r="E575" t="s">
        <v>8609</v>
      </c>
      <c r="F575" s="1" t="s">
        <v>8765</v>
      </c>
      <c r="G575" t="s">
        <v>1</v>
      </c>
      <c r="H575" t="s">
        <v>0</v>
      </c>
      <c r="I575" t="s">
        <v>8165</v>
      </c>
      <c r="J575" t="s">
        <v>8164</v>
      </c>
      <c r="K575">
        <v>13273</v>
      </c>
      <c r="L575">
        <v>13273</v>
      </c>
      <c r="M575" t="s">
        <v>1273</v>
      </c>
      <c r="N575" t="s">
        <v>1274</v>
      </c>
      <c r="O575" s="3">
        <v>0</v>
      </c>
      <c r="P575" s="3">
        <v>0</v>
      </c>
      <c r="Q575" s="3">
        <v>303.54000000000002</v>
      </c>
      <c r="R575" s="3">
        <v>39.460200000000007</v>
      </c>
      <c r="S575" s="3">
        <v>0</v>
      </c>
      <c r="T575" s="3">
        <v>0</v>
      </c>
      <c r="U575" s="3">
        <v>343.00020000000001</v>
      </c>
      <c r="V575" s="3">
        <v>0</v>
      </c>
      <c r="W575" s="3" t="s">
        <v>1</v>
      </c>
    </row>
    <row r="576" spans="5:23" hidden="1" x14ac:dyDescent="0.25">
      <c r="E576" t="s">
        <v>8609</v>
      </c>
      <c r="F576" s="1" t="s">
        <v>8765</v>
      </c>
      <c r="G576" t="s">
        <v>1</v>
      </c>
      <c r="H576" t="s">
        <v>0</v>
      </c>
      <c r="I576" t="s">
        <v>8165</v>
      </c>
      <c r="J576" t="s">
        <v>8164</v>
      </c>
      <c r="K576">
        <v>13274</v>
      </c>
      <c r="L576">
        <v>13274</v>
      </c>
      <c r="M576" t="s">
        <v>8222</v>
      </c>
      <c r="N576" t="s">
        <v>8223</v>
      </c>
      <c r="O576" s="3">
        <v>0</v>
      </c>
      <c r="P576" s="3">
        <v>0</v>
      </c>
      <c r="Q576" s="3">
        <v>266.81</v>
      </c>
      <c r="R576" s="3">
        <v>34.685299999999998</v>
      </c>
      <c r="S576" s="3">
        <v>0</v>
      </c>
      <c r="T576" s="3">
        <v>0</v>
      </c>
      <c r="U576" s="3">
        <v>301.49529999999999</v>
      </c>
      <c r="V576" s="3">
        <v>0</v>
      </c>
      <c r="W576" s="3" t="s">
        <v>1</v>
      </c>
    </row>
    <row r="577" spans="5:23" hidden="1" x14ac:dyDescent="0.25">
      <c r="E577" t="s">
        <v>8609</v>
      </c>
      <c r="F577" s="1" t="s">
        <v>8766</v>
      </c>
      <c r="G577" t="s">
        <v>1</v>
      </c>
      <c r="H577" t="s">
        <v>0</v>
      </c>
      <c r="I577" t="s">
        <v>8165</v>
      </c>
      <c r="J577" t="s">
        <v>8164</v>
      </c>
      <c r="K577">
        <v>13275</v>
      </c>
      <c r="L577">
        <v>13275</v>
      </c>
      <c r="M577" t="s">
        <v>8211</v>
      </c>
      <c r="N577" t="s">
        <v>8212</v>
      </c>
      <c r="O577" s="3">
        <v>0</v>
      </c>
      <c r="P577" s="3">
        <v>0</v>
      </c>
      <c r="Q577" s="3">
        <v>305.47000000000003</v>
      </c>
      <c r="R577" s="3">
        <v>39.711100000000002</v>
      </c>
      <c r="S577" s="3">
        <v>0</v>
      </c>
      <c r="T577" s="3">
        <v>0</v>
      </c>
      <c r="U577" s="3">
        <v>345.18110000000001</v>
      </c>
      <c r="V577" s="3">
        <v>0</v>
      </c>
      <c r="W577" s="3" t="s">
        <v>1</v>
      </c>
    </row>
    <row r="578" spans="5:23" hidden="1" x14ac:dyDescent="0.25">
      <c r="E578" t="s">
        <v>8609</v>
      </c>
      <c r="F578" s="1" t="s">
        <v>8766</v>
      </c>
      <c r="G578" t="s">
        <v>1</v>
      </c>
      <c r="H578" t="s">
        <v>0</v>
      </c>
      <c r="I578" t="s">
        <v>8165</v>
      </c>
      <c r="J578" t="s">
        <v>8164</v>
      </c>
      <c r="K578">
        <v>13276</v>
      </c>
      <c r="L578">
        <v>13276</v>
      </c>
      <c r="M578" t="s">
        <v>8190</v>
      </c>
      <c r="N578" t="s">
        <v>8191</v>
      </c>
      <c r="O578" s="3">
        <v>0</v>
      </c>
      <c r="P578" s="3">
        <v>0</v>
      </c>
      <c r="Q578" s="3">
        <v>198.94</v>
      </c>
      <c r="R578" s="3">
        <v>25.862200000000001</v>
      </c>
      <c r="S578" s="3">
        <v>0</v>
      </c>
      <c r="T578" s="3">
        <v>0</v>
      </c>
      <c r="U578" s="3">
        <v>224.8022</v>
      </c>
      <c r="V578" s="3">
        <v>0</v>
      </c>
      <c r="W578" s="3" t="s">
        <v>1</v>
      </c>
    </row>
    <row r="579" spans="5:23" hidden="1" x14ac:dyDescent="0.25">
      <c r="E579" t="s">
        <v>8609</v>
      </c>
      <c r="F579" s="1" t="s">
        <v>8766</v>
      </c>
      <c r="G579" t="s">
        <v>1</v>
      </c>
      <c r="H579" t="s">
        <v>0</v>
      </c>
      <c r="I579" t="s">
        <v>8165</v>
      </c>
      <c r="J579" t="s">
        <v>8164</v>
      </c>
      <c r="K579">
        <v>13277</v>
      </c>
      <c r="L579">
        <v>13277</v>
      </c>
      <c r="M579" t="s">
        <v>8320</v>
      </c>
      <c r="N579" t="s">
        <v>8321</v>
      </c>
      <c r="O579" s="3">
        <v>0</v>
      </c>
      <c r="P579" s="3">
        <v>0</v>
      </c>
      <c r="Q579" s="3">
        <v>23.89</v>
      </c>
      <c r="R579" s="3">
        <v>3.1057000000000001</v>
      </c>
      <c r="S579" s="3">
        <v>0</v>
      </c>
      <c r="T579" s="3">
        <v>0</v>
      </c>
      <c r="U579" s="3">
        <v>26.995699999999999</v>
      </c>
      <c r="V579" s="3">
        <v>0</v>
      </c>
      <c r="W579" s="3" t="s">
        <v>1</v>
      </c>
    </row>
    <row r="580" spans="5:23" hidden="1" x14ac:dyDescent="0.25">
      <c r="E580" t="s">
        <v>8609</v>
      </c>
      <c r="F580" s="1" t="s">
        <v>8766</v>
      </c>
      <c r="G580" t="s">
        <v>1</v>
      </c>
      <c r="H580" t="s">
        <v>0</v>
      </c>
      <c r="I580" t="s">
        <v>8165</v>
      </c>
      <c r="J580" t="s">
        <v>8164</v>
      </c>
      <c r="K580">
        <v>13278</v>
      </c>
      <c r="L580">
        <v>13278</v>
      </c>
      <c r="M580" t="s">
        <v>8160</v>
      </c>
      <c r="N580" t="s">
        <v>8161</v>
      </c>
      <c r="O580" s="3">
        <v>0</v>
      </c>
      <c r="P580" s="3">
        <v>0</v>
      </c>
      <c r="Q580" s="3">
        <v>68.2</v>
      </c>
      <c r="R580" s="3">
        <v>8.8660000000000014</v>
      </c>
      <c r="S580" s="3">
        <v>0</v>
      </c>
      <c r="T580" s="3">
        <v>0</v>
      </c>
      <c r="U580" s="3">
        <v>77.066000000000003</v>
      </c>
      <c r="V580" s="3">
        <v>0</v>
      </c>
      <c r="W580" s="3" t="s">
        <v>1</v>
      </c>
    </row>
    <row r="581" spans="5:23" hidden="1" x14ac:dyDescent="0.25">
      <c r="E581" t="s">
        <v>8609</v>
      </c>
      <c r="F581" s="1" t="s">
        <v>8766</v>
      </c>
      <c r="G581" t="s">
        <v>1</v>
      </c>
      <c r="H581" t="s">
        <v>0</v>
      </c>
      <c r="I581" t="s">
        <v>8165</v>
      </c>
      <c r="J581" t="s">
        <v>8164</v>
      </c>
      <c r="K581">
        <v>13279</v>
      </c>
      <c r="L581">
        <v>13279</v>
      </c>
      <c r="M581" t="s">
        <v>8424</v>
      </c>
      <c r="N581" t="s">
        <v>8425</v>
      </c>
      <c r="O581" s="3">
        <v>0</v>
      </c>
      <c r="P581" s="3">
        <v>0</v>
      </c>
      <c r="Q581" s="3">
        <v>123.24</v>
      </c>
      <c r="R581" s="3">
        <v>16.0212</v>
      </c>
      <c r="S581" s="3">
        <v>0</v>
      </c>
      <c r="T581" s="3">
        <v>0</v>
      </c>
      <c r="U581" s="3">
        <v>139.2612</v>
      </c>
      <c r="V581" s="3">
        <v>0</v>
      </c>
      <c r="W581" s="3" t="s">
        <v>1</v>
      </c>
    </row>
    <row r="582" spans="5:23" hidden="1" x14ac:dyDescent="0.25">
      <c r="E582" t="s">
        <v>8609</v>
      </c>
      <c r="F582" s="1" t="s">
        <v>8766</v>
      </c>
      <c r="G582" t="s">
        <v>1</v>
      </c>
      <c r="H582" t="s">
        <v>0</v>
      </c>
      <c r="I582" t="s">
        <v>8165</v>
      </c>
      <c r="J582" t="s">
        <v>8164</v>
      </c>
      <c r="K582">
        <v>13280</v>
      </c>
      <c r="L582">
        <v>13280</v>
      </c>
      <c r="M582" t="s">
        <v>238</v>
      </c>
      <c r="N582" t="s">
        <v>239</v>
      </c>
      <c r="O582" s="3">
        <v>0</v>
      </c>
      <c r="P582" s="3">
        <v>0</v>
      </c>
      <c r="Q582" s="3">
        <v>54.92</v>
      </c>
      <c r="R582" s="3">
        <v>7.1396000000000006</v>
      </c>
      <c r="S582" s="3">
        <v>0</v>
      </c>
      <c r="T582" s="3">
        <v>0</v>
      </c>
      <c r="U582" s="3">
        <v>62.059600000000003</v>
      </c>
      <c r="V582" s="3">
        <v>0</v>
      </c>
      <c r="W582" s="3" t="s">
        <v>1</v>
      </c>
    </row>
    <row r="583" spans="5:23" hidden="1" x14ac:dyDescent="0.25">
      <c r="E583" t="s">
        <v>8609</v>
      </c>
      <c r="F583" s="1" t="s">
        <v>8766</v>
      </c>
      <c r="G583" t="s">
        <v>1</v>
      </c>
      <c r="H583" t="s">
        <v>0</v>
      </c>
      <c r="I583" t="s">
        <v>8165</v>
      </c>
      <c r="J583" t="s">
        <v>8164</v>
      </c>
      <c r="K583">
        <v>13281</v>
      </c>
      <c r="L583">
        <v>13281</v>
      </c>
      <c r="M583" t="s">
        <v>8269</v>
      </c>
      <c r="N583" t="s">
        <v>8270</v>
      </c>
      <c r="O583" s="3">
        <v>0</v>
      </c>
      <c r="P583" s="3">
        <v>0</v>
      </c>
      <c r="Q583" s="3">
        <v>232.3</v>
      </c>
      <c r="R583" s="3">
        <v>30.199000000000002</v>
      </c>
      <c r="S583" s="3">
        <v>0</v>
      </c>
      <c r="T583" s="3">
        <v>0</v>
      </c>
      <c r="U583" s="3">
        <v>262.49900000000002</v>
      </c>
      <c r="V583" s="3">
        <v>0</v>
      </c>
      <c r="W583" s="3" t="s">
        <v>1</v>
      </c>
    </row>
    <row r="584" spans="5:23" hidden="1" x14ac:dyDescent="0.25">
      <c r="E584" t="s">
        <v>8609</v>
      </c>
      <c r="F584" s="1" t="s">
        <v>8766</v>
      </c>
      <c r="G584" t="s">
        <v>1</v>
      </c>
      <c r="H584" t="s">
        <v>0</v>
      </c>
      <c r="I584" t="s">
        <v>8165</v>
      </c>
      <c r="J584" t="s">
        <v>8164</v>
      </c>
      <c r="K584">
        <v>13282</v>
      </c>
      <c r="L584">
        <v>13282</v>
      </c>
      <c r="M584" t="s">
        <v>635</v>
      </c>
      <c r="N584" t="s">
        <v>636</v>
      </c>
      <c r="O584" s="3">
        <v>0</v>
      </c>
      <c r="P584" s="3">
        <v>0</v>
      </c>
      <c r="Q584" s="3">
        <v>204.54</v>
      </c>
      <c r="R584" s="3">
        <v>26.590199999999999</v>
      </c>
      <c r="S584" s="3">
        <v>0</v>
      </c>
      <c r="T584" s="3">
        <v>0</v>
      </c>
      <c r="U584" s="3">
        <v>231.1302</v>
      </c>
      <c r="V584" s="3">
        <v>0</v>
      </c>
      <c r="W584" s="3" t="s">
        <v>1</v>
      </c>
    </row>
    <row r="585" spans="5:23" hidden="1" x14ac:dyDescent="0.25">
      <c r="E585" t="s">
        <v>8609</v>
      </c>
      <c r="F585" s="1" t="s">
        <v>8766</v>
      </c>
      <c r="G585" t="s">
        <v>1</v>
      </c>
      <c r="H585" t="s">
        <v>0</v>
      </c>
      <c r="I585" t="s">
        <v>8165</v>
      </c>
      <c r="J585" t="s">
        <v>8164</v>
      </c>
      <c r="K585">
        <v>13283</v>
      </c>
      <c r="L585">
        <v>13283</v>
      </c>
      <c r="M585" t="s">
        <v>7852</v>
      </c>
      <c r="N585" t="s">
        <v>7851</v>
      </c>
      <c r="O585" s="3">
        <v>0</v>
      </c>
      <c r="P585" s="3">
        <v>0</v>
      </c>
      <c r="Q585" s="3">
        <v>0</v>
      </c>
      <c r="R585" s="3">
        <v>0</v>
      </c>
      <c r="S585" s="3">
        <v>0</v>
      </c>
      <c r="T585" s="3">
        <v>0</v>
      </c>
      <c r="U585" s="3">
        <v>0</v>
      </c>
      <c r="V585" s="3">
        <v>0</v>
      </c>
      <c r="W585" s="3" t="s">
        <v>1</v>
      </c>
    </row>
    <row r="586" spans="5:23" hidden="1" x14ac:dyDescent="0.25">
      <c r="E586" t="s">
        <v>8609</v>
      </c>
      <c r="F586" s="1" t="s">
        <v>8766</v>
      </c>
      <c r="G586" t="s">
        <v>1</v>
      </c>
      <c r="H586" t="s">
        <v>0</v>
      </c>
      <c r="I586" t="s">
        <v>8165</v>
      </c>
      <c r="J586" t="s">
        <v>8164</v>
      </c>
      <c r="K586">
        <v>13284</v>
      </c>
      <c r="L586">
        <v>13284</v>
      </c>
      <c r="M586" t="s">
        <v>8209</v>
      </c>
      <c r="N586" t="s">
        <v>8210</v>
      </c>
      <c r="O586" s="3">
        <v>0</v>
      </c>
      <c r="P586" s="3">
        <v>0</v>
      </c>
      <c r="Q586" s="3">
        <v>298</v>
      </c>
      <c r="R586" s="3">
        <v>38.74</v>
      </c>
      <c r="S586" s="3">
        <v>0</v>
      </c>
      <c r="T586" s="3">
        <v>0</v>
      </c>
      <c r="U586" s="3">
        <v>336.74</v>
      </c>
      <c r="V586" s="3">
        <v>0</v>
      </c>
      <c r="W586" s="3" t="s">
        <v>1</v>
      </c>
    </row>
    <row r="587" spans="5:23" hidden="1" x14ac:dyDescent="0.25">
      <c r="E587" t="s">
        <v>8609</v>
      </c>
      <c r="F587" s="1" t="s">
        <v>8766</v>
      </c>
      <c r="G587" t="s">
        <v>1</v>
      </c>
      <c r="H587" t="s">
        <v>0</v>
      </c>
      <c r="I587" t="s">
        <v>8165</v>
      </c>
      <c r="J587" t="s">
        <v>8164</v>
      </c>
      <c r="K587">
        <v>13285</v>
      </c>
      <c r="L587">
        <v>13285</v>
      </c>
      <c r="M587">
        <v>0</v>
      </c>
      <c r="N587" t="s">
        <v>8256</v>
      </c>
      <c r="O587" s="3">
        <v>0</v>
      </c>
      <c r="P587" s="3">
        <v>0</v>
      </c>
      <c r="Q587" s="3">
        <v>132.74</v>
      </c>
      <c r="R587" s="3">
        <v>17.256200000000003</v>
      </c>
      <c r="S587" s="3">
        <v>0</v>
      </c>
      <c r="T587" s="3">
        <v>0</v>
      </c>
      <c r="U587" s="3">
        <v>149.99620000000002</v>
      </c>
      <c r="V587" s="3" t="s">
        <v>8748</v>
      </c>
      <c r="W587" s="3" t="s">
        <v>1</v>
      </c>
    </row>
    <row r="588" spans="5:23" hidden="1" x14ac:dyDescent="0.25">
      <c r="E588" t="s">
        <v>8609</v>
      </c>
      <c r="F588" s="1" t="s">
        <v>8766</v>
      </c>
      <c r="G588" t="s">
        <v>1</v>
      </c>
      <c r="H588" t="s">
        <v>0</v>
      </c>
      <c r="I588" t="s">
        <v>8165</v>
      </c>
      <c r="J588" t="s">
        <v>8164</v>
      </c>
      <c r="K588">
        <v>13286</v>
      </c>
      <c r="L588">
        <v>13286</v>
      </c>
      <c r="M588">
        <v>0</v>
      </c>
      <c r="N588" t="s">
        <v>8208</v>
      </c>
      <c r="O588" s="3">
        <v>0</v>
      </c>
      <c r="P588" s="3">
        <v>0</v>
      </c>
      <c r="Q588" s="3">
        <v>167.12</v>
      </c>
      <c r="R588" s="3">
        <v>21.7256</v>
      </c>
      <c r="S588" s="3">
        <v>0</v>
      </c>
      <c r="T588" s="3">
        <v>0</v>
      </c>
      <c r="U588" s="3">
        <v>188.84559999999999</v>
      </c>
      <c r="V588" s="3" t="s">
        <v>8650</v>
      </c>
      <c r="W588" s="3" t="s">
        <v>1</v>
      </c>
    </row>
    <row r="589" spans="5:23" hidden="1" x14ac:dyDescent="0.25">
      <c r="E589" t="s">
        <v>8609</v>
      </c>
      <c r="F589" s="1" t="s">
        <v>8766</v>
      </c>
      <c r="G589" t="s">
        <v>1</v>
      </c>
      <c r="H589" t="s">
        <v>0</v>
      </c>
      <c r="I589" t="s">
        <v>8165</v>
      </c>
      <c r="J589" t="s">
        <v>8164</v>
      </c>
      <c r="K589">
        <v>13287</v>
      </c>
      <c r="L589">
        <v>13287</v>
      </c>
      <c r="M589" t="s">
        <v>8727</v>
      </c>
      <c r="N589" t="s">
        <v>8728</v>
      </c>
      <c r="O589" s="3">
        <v>0</v>
      </c>
      <c r="P589" s="3">
        <v>0</v>
      </c>
      <c r="Q589" s="3">
        <v>116.6</v>
      </c>
      <c r="R589" s="3">
        <v>15.157999999999999</v>
      </c>
      <c r="S589" s="3">
        <v>0</v>
      </c>
      <c r="T589" s="3">
        <v>0</v>
      </c>
      <c r="U589" s="3">
        <v>131.75799999999998</v>
      </c>
      <c r="V589" s="3">
        <v>0</v>
      </c>
      <c r="W589" s="3" t="s">
        <v>1</v>
      </c>
    </row>
    <row r="590" spans="5:23" hidden="1" x14ac:dyDescent="0.25">
      <c r="E590" t="s">
        <v>8609</v>
      </c>
      <c r="F590" s="1" t="s">
        <v>8766</v>
      </c>
      <c r="G590" t="s">
        <v>1</v>
      </c>
      <c r="H590" t="s">
        <v>0</v>
      </c>
      <c r="I590" t="s">
        <v>8165</v>
      </c>
      <c r="J590" t="s">
        <v>8164</v>
      </c>
      <c r="K590">
        <v>13288</v>
      </c>
      <c r="L590">
        <v>13288</v>
      </c>
      <c r="M590" t="s">
        <v>8727</v>
      </c>
      <c r="N590" t="s">
        <v>8728</v>
      </c>
      <c r="O590" s="3">
        <v>0</v>
      </c>
      <c r="P590" s="3">
        <v>0</v>
      </c>
      <c r="Q590" s="3">
        <v>102.11</v>
      </c>
      <c r="R590" s="3">
        <v>13.2743</v>
      </c>
      <c r="S590" s="3">
        <v>0</v>
      </c>
      <c r="T590" s="3">
        <v>0</v>
      </c>
      <c r="U590" s="3">
        <v>115.3843</v>
      </c>
      <c r="V590" s="3">
        <v>0</v>
      </c>
      <c r="W590" s="3" t="s">
        <v>1</v>
      </c>
    </row>
    <row r="591" spans="5:23" hidden="1" x14ac:dyDescent="0.25">
      <c r="E591" t="s">
        <v>8609</v>
      </c>
      <c r="F591" s="1" t="s">
        <v>8766</v>
      </c>
      <c r="G591" t="s">
        <v>1</v>
      </c>
      <c r="H591" t="s">
        <v>0</v>
      </c>
      <c r="I591" t="s">
        <v>8165</v>
      </c>
      <c r="J591" t="s">
        <v>8164</v>
      </c>
      <c r="K591">
        <v>13289</v>
      </c>
      <c r="L591">
        <v>13289</v>
      </c>
      <c r="M591">
        <v>0</v>
      </c>
      <c r="N591" t="s">
        <v>8280</v>
      </c>
      <c r="O591" s="3">
        <v>0</v>
      </c>
      <c r="P591" s="3">
        <v>0</v>
      </c>
      <c r="Q591" s="3">
        <v>221.25</v>
      </c>
      <c r="R591" s="3">
        <v>28.762499999999999</v>
      </c>
      <c r="S591" s="3">
        <v>0</v>
      </c>
      <c r="T591" s="3">
        <v>0</v>
      </c>
      <c r="U591" s="3">
        <v>250.01249999999999</v>
      </c>
      <c r="V591" s="3" t="s">
        <v>8708</v>
      </c>
      <c r="W591" s="3" t="s">
        <v>1</v>
      </c>
    </row>
    <row r="592" spans="5:23" hidden="1" x14ac:dyDescent="0.25">
      <c r="E592" t="s">
        <v>8609</v>
      </c>
      <c r="F592" s="1" t="s">
        <v>8766</v>
      </c>
      <c r="G592" t="s">
        <v>1</v>
      </c>
      <c r="H592" t="s">
        <v>0</v>
      </c>
      <c r="I592" t="s">
        <v>8165</v>
      </c>
      <c r="J592" t="s">
        <v>8164</v>
      </c>
      <c r="K592">
        <v>13290</v>
      </c>
      <c r="L592">
        <v>13290</v>
      </c>
      <c r="M592" t="s">
        <v>7852</v>
      </c>
      <c r="N592" t="s">
        <v>7851</v>
      </c>
      <c r="O592" s="3">
        <v>0</v>
      </c>
      <c r="P592" s="3">
        <v>0</v>
      </c>
      <c r="Q592" s="3">
        <v>0</v>
      </c>
      <c r="R592" s="3">
        <v>0</v>
      </c>
      <c r="S592" s="3">
        <v>0</v>
      </c>
      <c r="T592" s="3">
        <v>0</v>
      </c>
      <c r="U592" s="3">
        <v>0</v>
      </c>
      <c r="V592" s="3">
        <v>0</v>
      </c>
      <c r="W592" s="3" t="s">
        <v>1</v>
      </c>
    </row>
    <row r="593" spans="5:23" hidden="1" x14ac:dyDescent="0.25">
      <c r="E593" t="s">
        <v>8609</v>
      </c>
      <c r="F593" s="1" t="s">
        <v>8766</v>
      </c>
      <c r="G593" t="s">
        <v>1</v>
      </c>
      <c r="H593" t="s">
        <v>0</v>
      </c>
      <c r="I593" t="s">
        <v>8165</v>
      </c>
      <c r="J593" t="s">
        <v>8164</v>
      </c>
      <c r="K593">
        <v>13291</v>
      </c>
      <c r="L593">
        <v>13291</v>
      </c>
      <c r="M593" t="s">
        <v>8275</v>
      </c>
      <c r="N593" t="s">
        <v>8276</v>
      </c>
      <c r="O593" s="3">
        <v>0</v>
      </c>
      <c r="P593" s="3">
        <v>0</v>
      </c>
      <c r="Q593" s="3">
        <v>920.9</v>
      </c>
      <c r="R593" s="3">
        <v>119.717</v>
      </c>
      <c r="S593" s="3">
        <v>0</v>
      </c>
      <c r="T593" s="3">
        <v>0</v>
      </c>
      <c r="U593" s="3">
        <v>1040.617</v>
      </c>
      <c r="V593" s="3">
        <v>0</v>
      </c>
      <c r="W593" s="3" t="s">
        <v>1</v>
      </c>
    </row>
    <row r="594" spans="5:23" hidden="1" x14ac:dyDescent="0.25">
      <c r="E594" t="s">
        <v>8609</v>
      </c>
      <c r="F594" s="1" t="s">
        <v>8766</v>
      </c>
      <c r="G594" t="s">
        <v>1</v>
      </c>
      <c r="H594" t="s">
        <v>0</v>
      </c>
      <c r="I594" t="s">
        <v>8165</v>
      </c>
      <c r="J594" t="s">
        <v>8164</v>
      </c>
      <c r="K594">
        <v>13292</v>
      </c>
      <c r="L594">
        <v>13292</v>
      </c>
      <c r="M594" t="s">
        <v>8320</v>
      </c>
      <c r="N594" t="s">
        <v>8321</v>
      </c>
      <c r="O594" s="3">
        <v>0</v>
      </c>
      <c r="P594" s="3">
        <v>0</v>
      </c>
      <c r="Q594" s="3">
        <v>23.89</v>
      </c>
      <c r="R594" s="3">
        <v>3.1057000000000001</v>
      </c>
      <c r="S594" s="3">
        <v>0</v>
      </c>
      <c r="T594" s="3">
        <v>0</v>
      </c>
      <c r="U594" s="3">
        <v>26.995699999999999</v>
      </c>
      <c r="V594" s="3">
        <v>0</v>
      </c>
      <c r="W594" s="3" t="s">
        <v>1</v>
      </c>
    </row>
    <row r="595" spans="5:23" hidden="1" x14ac:dyDescent="0.25">
      <c r="E595" t="s">
        <v>8609</v>
      </c>
      <c r="F595" s="1" t="s">
        <v>8766</v>
      </c>
      <c r="G595" t="s">
        <v>1</v>
      </c>
      <c r="H595" t="s">
        <v>0</v>
      </c>
      <c r="I595" t="s">
        <v>8165</v>
      </c>
      <c r="J595" t="s">
        <v>8164</v>
      </c>
      <c r="K595">
        <v>13293</v>
      </c>
      <c r="L595">
        <v>13293</v>
      </c>
      <c r="M595" t="s">
        <v>7852</v>
      </c>
      <c r="N595" t="s">
        <v>7851</v>
      </c>
      <c r="O595" s="3">
        <v>0</v>
      </c>
      <c r="P595" s="3">
        <v>0</v>
      </c>
      <c r="Q595" s="3">
        <v>0</v>
      </c>
      <c r="R595" s="3">
        <v>0</v>
      </c>
      <c r="S595" s="3">
        <v>0</v>
      </c>
      <c r="T595" s="3">
        <v>0</v>
      </c>
      <c r="U595" s="3">
        <v>0</v>
      </c>
      <c r="V595" s="3">
        <v>0</v>
      </c>
      <c r="W595" s="3" t="s">
        <v>1</v>
      </c>
    </row>
    <row r="596" spans="5:23" hidden="1" x14ac:dyDescent="0.25">
      <c r="E596" t="s">
        <v>8609</v>
      </c>
      <c r="F596" s="1" t="s">
        <v>8766</v>
      </c>
      <c r="G596" t="s">
        <v>1</v>
      </c>
      <c r="H596" t="s">
        <v>0</v>
      </c>
      <c r="I596" t="s">
        <v>8165</v>
      </c>
      <c r="J596" t="s">
        <v>8164</v>
      </c>
      <c r="K596">
        <v>13294</v>
      </c>
      <c r="L596">
        <v>13294</v>
      </c>
      <c r="M596" t="s">
        <v>7852</v>
      </c>
      <c r="N596" t="s">
        <v>7851</v>
      </c>
      <c r="O596" s="3">
        <v>0</v>
      </c>
      <c r="P596" s="3">
        <v>0</v>
      </c>
      <c r="Q596" s="3">
        <v>0</v>
      </c>
      <c r="R596" s="3">
        <v>0</v>
      </c>
      <c r="S596" s="3">
        <v>0</v>
      </c>
      <c r="T596" s="3">
        <v>0</v>
      </c>
      <c r="U596" s="3">
        <v>0</v>
      </c>
      <c r="V596" s="3">
        <v>0</v>
      </c>
      <c r="W596" s="3" t="s">
        <v>1</v>
      </c>
    </row>
    <row r="597" spans="5:23" hidden="1" x14ac:dyDescent="0.25">
      <c r="E597" t="s">
        <v>8609</v>
      </c>
      <c r="F597" s="1" t="s">
        <v>8766</v>
      </c>
      <c r="G597" t="s">
        <v>1</v>
      </c>
      <c r="H597" t="s">
        <v>0</v>
      </c>
      <c r="I597" t="s">
        <v>8165</v>
      </c>
      <c r="J597" t="s">
        <v>8164</v>
      </c>
      <c r="K597">
        <v>13295</v>
      </c>
      <c r="L597">
        <v>13295</v>
      </c>
      <c r="M597" t="s">
        <v>8803</v>
      </c>
      <c r="N597" t="s">
        <v>8804</v>
      </c>
      <c r="O597" s="3">
        <v>0</v>
      </c>
      <c r="P597" s="3">
        <v>0</v>
      </c>
      <c r="Q597" s="3">
        <v>66.72</v>
      </c>
      <c r="R597" s="3">
        <v>8.6736000000000004</v>
      </c>
      <c r="S597" s="3">
        <v>0</v>
      </c>
      <c r="T597" s="3">
        <v>0</v>
      </c>
      <c r="U597" s="3">
        <v>75.393599999999992</v>
      </c>
      <c r="V597" s="3">
        <v>0</v>
      </c>
      <c r="W597" s="3" t="s">
        <v>1</v>
      </c>
    </row>
    <row r="598" spans="5:23" hidden="1" x14ac:dyDescent="0.25">
      <c r="E598" t="s">
        <v>8609</v>
      </c>
      <c r="F598" s="1" t="s">
        <v>8766</v>
      </c>
      <c r="G598" t="s">
        <v>1</v>
      </c>
      <c r="H598" t="s">
        <v>0</v>
      </c>
      <c r="I598" t="s">
        <v>8165</v>
      </c>
      <c r="J598" t="s">
        <v>8164</v>
      </c>
      <c r="K598">
        <v>13296</v>
      </c>
      <c r="L598">
        <v>13296</v>
      </c>
      <c r="M598">
        <v>0</v>
      </c>
      <c r="N598" t="s">
        <v>8229</v>
      </c>
      <c r="O598" s="3">
        <v>0</v>
      </c>
      <c r="P598" s="3">
        <v>0</v>
      </c>
      <c r="Q598" s="3">
        <v>25.92</v>
      </c>
      <c r="R598" s="3">
        <v>3.3696000000000002</v>
      </c>
      <c r="S598" s="3">
        <v>0</v>
      </c>
      <c r="T598" s="3">
        <v>0</v>
      </c>
      <c r="U598" s="3">
        <v>29.2896</v>
      </c>
      <c r="V598" s="3" t="s">
        <v>8719</v>
      </c>
      <c r="W598" s="3" t="s">
        <v>1</v>
      </c>
    </row>
    <row r="599" spans="5:23" hidden="1" x14ac:dyDescent="0.25">
      <c r="E599" t="s">
        <v>8609</v>
      </c>
      <c r="F599" s="1" t="s">
        <v>8766</v>
      </c>
      <c r="G599" t="s">
        <v>1</v>
      </c>
      <c r="H599" t="s">
        <v>0</v>
      </c>
      <c r="I599" t="s">
        <v>8165</v>
      </c>
      <c r="J599" t="s">
        <v>8164</v>
      </c>
      <c r="K599">
        <v>13297</v>
      </c>
      <c r="L599">
        <v>13297</v>
      </c>
      <c r="M599" t="s">
        <v>8275</v>
      </c>
      <c r="N599" t="s">
        <v>8276</v>
      </c>
      <c r="O599" s="3">
        <v>0</v>
      </c>
      <c r="P599" s="3">
        <v>0</v>
      </c>
      <c r="Q599" s="3">
        <v>108</v>
      </c>
      <c r="R599" s="3">
        <v>14.040000000000001</v>
      </c>
      <c r="S599" s="3">
        <v>0</v>
      </c>
      <c r="T599" s="3">
        <v>0</v>
      </c>
      <c r="U599" s="3">
        <v>122.04</v>
      </c>
      <c r="V599" s="3">
        <v>0</v>
      </c>
      <c r="W599" s="3" t="s">
        <v>1</v>
      </c>
    </row>
    <row r="600" spans="5:23" hidden="1" x14ac:dyDescent="0.25">
      <c r="E600" t="s">
        <v>8609</v>
      </c>
      <c r="F600" s="1" t="s">
        <v>8766</v>
      </c>
      <c r="G600" t="s">
        <v>1</v>
      </c>
      <c r="H600" t="s">
        <v>0</v>
      </c>
      <c r="I600" t="s">
        <v>8165</v>
      </c>
      <c r="J600" t="s">
        <v>8164</v>
      </c>
      <c r="K600">
        <v>13298</v>
      </c>
      <c r="L600">
        <v>13298</v>
      </c>
      <c r="M600">
        <v>0</v>
      </c>
      <c r="N600" t="s">
        <v>8705</v>
      </c>
      <c r="O600" s="3">
        <v>0</v>
      </c>
      <c r="P600" s="3">
        <v>0</v>
      </c>
      <c r="Q600" s="3">
        <v>481.89</v>
      </c>
      <c r="R600" s="3">
        <v>62.645699999999998</v>
      </c>
      <c r="S600" s="3">
        <v>0</v>
      </c>
      <c r="T600" s="3">
        <v>0</v>
      </c>
      <c r="U600" s="3">
        <v>544.53570000000002</v>
      </c>
      <c r="V600" s="3" t="s">
        <v>8704</v>
      </c>
      <c r="W600" s="3" t="s">
        <v>1</v>
      </c>
    </row>
    <row r="601" spans="5:23" hidden="1" x14ac:dyDescent="0.25">
      <c r="E601" t="s">
        <v>8609</v>
      </c>
      <c r="F601" s="1" t="s">
        <v>8784</v>
      </c>
      <c r="G601" t="s">
        <v>1</v>
      </c>
      <c r="H601" t="s">
        <v>0</v>
      </c>
      <c r="I601" t="s">
        <v>8165</v>
      </c>
      <c r="J601" t="s">
        <v>8164</v>
      </c>
      <c r="K601">
        <v>13299</v>
      </c>
      <c r="L601">
        <v>13299</v>
      </c>
      <c r="M601" t="s">
        <v>115</v>
      </c>
      <c r="N601" t="s">
        <v>116</v>
      </c>
      <c r="O601" s="3">
        <v>0</v>
      </c>
      <c r="P601" s="3">
        <v>0</v>
      </c>
      <c r="Q601" s="3">
        <v>1538.99</v>
      </c>
      <c r="R601" s="3">
        <v>200.06870000000001</v>
      </c>
      <c r="S601" s="3">
        <v>0</v>
      </c>
      <c r="T601" s="3">
        <v>0</v>
      </c>
      <c r="U601" s="3">
        <v>1739.0587</v>
      </c>
      <c r="V601" s="3">
        <v>0</v>
      </c>
      <c r="W601" s="3" t="s">
        <v>1</v>
      </c>
    </row>
    <row r="602" spans="5:23" hidden="1" x14ac:dyDescent="0.25">
      <c r="E602" t="s">
        <v>8609</v>
      </c>
      <c r="F602" s="1" t="s">
        <v>8784</v>
      </c>
      <c r="G602" t="s">
        <v>1</v>
      </c>
      <c r="H602" t="s">
        <v>0</v>
      </c>
      <c r="I602" t="s">
        <v>8165</v>
      </c>
      <c r="J602" t="s">
        <v>8164</v>
      </c>
      <c r="K602">
        <v>13300</v>
      </c>
      <c r="L602">
        <v>13300</v>
      </c>
      <c r="M602" t="s">
        <v>734</v>
      </c>
      <c r="N602" t="s">
        <v>735</v>
      </c>
      <c r="O602" s="3">
        <v>0</v>
      </c>
      <c r="P602" s="3">
        <v>0</v>
      </c>
      <c r="Q602" s="3">
        <v>592.54999999999995</v>
      </c>
      <c r="R602" s="3">
        <v>77.031499999999994</v>
      </c>
      <c r="S602" s="3">
        <v>0</v>
      </c>
      <c r="T602" s="3">
        <v>0</v>
      </c>
      <c r="U602" s="3">
        <v>669.58150000000001</v>
      </c>
      <c r="V602" s="3">
        <v>0</v>
      </c>
      <c r="W602" s="3" t="s">
        <v>1</v>
      </c>
    </row>
    <row r="603" spans="5:23" hidden="1" x14ac:dyDescent="0.25">
      <c r="E603" t="s">
        <v>8609</v>
      </c>
      <c r="F603" s="1" t="s">
        <v>8784</v>
      </c>
      <c r="G603" t="s">
        <v>1</v>
      </c>
      <c r="H603" t="s">
        <v>0</v>
      </c>
      <c r="I603" t="s">
        <v>8165</v>
      </c>
      <c r="J603" t="s">
        <v>8164</v>
      </c>
      <c r="K603">
        <v>13301</v>
      </c>
      <c r="L603">
        <v>13301</v>
      </c>
      <c r="M603">
        <v>0</v>
      </c>
      <c r="N603" t="s">
        <v>8802</v>
      </c>
      <c r="O603" s="3">
        <v>0</v>
      </c>
      <c r="P603" s="3">
        <v>0</v>
      </c>
      <c r="Q603" s="3">
        <v>22.4</v>
      </c>
      <c r="R603" s="3">
        <v>2.9119999999999999</v>
      </c>
      <c r="S603" s="3">
        <v>0</v>
      </c>
      <c r="T603" s="3">
        <v>0</v>
      </c>
      <c r="U603" s="3">
        <v>25.311999999999998</v>
      </c>
      <c r="V603" s="3" t="s">
        <v>8801</v>
      </c>
      <c r="W603" s="3" t="s">
        <v>1</v>
      </c>
    </row>
    <row r="604" spans="5:23" hidden="1" x14ac:dyDescent="0.25">
      <c r="E604" t="s">
        <v>8609</v>
      </c>
      <c r="F604" s="1" t="s">
        <v>8784</v>
      </c>
      <c r="G604" t="s">
        <v>1</v>
      </c>
      <c r="H604" t="s">
        <v>0</v>
      </c>
      <c r="I604" t="s">
        <v>8165</v>
      </c>
      <c r="J604" t="s">
        <v>8164</v>
      </c>
      <c r="K604">
        <v>13302</v>
      </c>
      <c r="L604">
        <v>13302</v>
      </c>
      <c r="M604" t="s">
        <v>531</v>
      </c>
      <c r="N604" t="s">
        <v>532</v>
      </c>
      <c r="O604" s="3">
        <v>0</v>
      </c>
      <c r="P604" s="3">
        <v>0</v>
      </c>
      <c r="Q604" s="3">
        <v>184.6</v>
      </c>
      <c r="R604" s="3">
        <v>23.998000000000001</v>
      </c>
      <c r="S604" s="3">
        <v>0</v>
      </c>
      <c r="T604" s="3">
        <v>0</v>
      </c>
      <c r="U604" s="3">
        <v>208.59799999999998</v>
      </c>
      <c r="V604" s="3">
        <v>0</v>
      </c>
      <c r="W604" s="3" t="s">
        <v>1</v>
      </c>
    </row>
    <row r="605" spans="5:23" hidden="1" x14ac:dyDescent="0.25">
      <c r="E605" t="s">
        <v>8609</v>
      </c>
      <c r="F605" s="1" t="s">
        <v>8784</v>
      </c>
      <c r="G605" t="s">
        <v>1</v>
      </c>
      <c r="H605" t="s">
        <v>0</v>
      </c>
      <c r="I605" t="s">
        <v>8165</v>
      </c>
      <c r="J605" t="s">
        <v>8164</v>
      </c>
      <c r="K605">
        <v>13303</v>
      </c>
      <c r="L605">
        <v>13303</v>
      </c>
      <c r="M605">
        <v>0</v>
      </c>
      <c r="N605" t="s">
        <v>8256</v>
      </c>
      <c r="O605" s="3">
        <v>0</v>
      </c>
      <c r="P605" s="3">
        <v>0</v>
      </c>
      <c r="Q605" s="3">
        <v>209.77</v>
      </c>
      <c r="R605" s="3">
        <v>27.270100000000003</v>
      </c>
      <c r="S605" s="3">
        <v>0</v>
      </c>
      <c r="T605" s="3">
        <v>0</v>
      </c>
      <c r="U605" s="3">
        <v>237.04010000000002</v>
      </c>
      <c r="V605" s="3" t="s">
        <v>8748</v>
      </c>
      <c r="W605" s="3" t="s">
        <v>1</v>
      </c>
    </row>
    <row r="606" spans="5:23" hidden="1" x14ac:dyDescent="0.25">
      <c r="E606" t="s">
        <v>8609</v>
      </c>
      <c r="F606" s="1" t="s">
        <v>8784</v>
      </c>
      <c r="G606" t="s">
        <v>1</v>
      </c>
      <c r="H606" t="s">
        <v>0</v>
      </c>
      <c r="I606" t="s">
        <v>8165</v>
      </c>
      <c r="J606" t="s">
        <v>8164</v>
      </c>
      <c r="K606">
        <v>13304</v>
      </c>
      <c r="L606">
        <v>13304</v>
      </c>
      <c r="M606" t="s">
        <v>8561</v>
      </c>
      <c r="N606" t="s">
        <v>8562</v>
      </c>
      <c r="O606" s="3">
        <v>0</v>
      </c>
      <c r="P606" s="3">
        <v>0</v>
      </c>
      <c r="Q606" s="3">
        <v>130.5</v>
      </c>
      <c r="R606" s="3">
        <v>16.965</v>
      </c>
      <c r="S606" s="3">
        <v>0</v>
      </c>
      <c r="T606" s="3">
        <v>0</v>
      </c>
      <c r="U606" s="3">
        <v>147.465</v>
      </c>
      <c r="V606" s="3">
        <v>0</v>
      </c>
      <c r="W606" s="3" t="s">
        <v>1</v>
      </c>
    </row>
    <row r="607" spans="5:23" hidden="1" x14ac:dyDescent="0.25">
      <c r="E607" t="s">
        <v>8609</v>
      </c>
      <c r="F607" s="1" t="s">
        <v>8784</v>
      </c>
      <c r="G607" t="s">
        <v>1</v>
      </c>
      <c r="H607" t="s">
        <v>0</v>
      </c>
      <c r="I607" t="s">
        <v>8165</v>
      </c>
      <c r="J607" t="s">
        <v>8164</v>
      </c>
      <c r="K607">
        <v>13305</v>
      </c>
      <c r="L607">
        <v>13305</v>
      </c>
      <c r="M607">
        <v>0</v>
      </c>
      <c r="N607" t="s">
        <v>8256</v>
      </c>
      <c r="O607" s="3">
        <v>0</v>
      </c>
      <c r="P607" s="3">
        <v>0</v>
      </c>
      <c r="Q607" s="3">
        <v>5.75</v>
      </c>
      <c r="R607" s="3">
        <v>0.74750000000000005</v>
      </c>
      <c r="S607" s="3">
        <v>0</v>
      </c>
      <c r="T607" s="3">
        <v>0</v>
      </c>
      <c r="U607" s="3">
        <v>6.4975000000000005</v>
      </c>
      <c r="V607" s="3" t="s">
        <v>8748</v>
      </c>
      <c r="W607" s="3" t="s">
        <v>1</v>
      </c>
    </row>
    <row r="608" spans="5:23" hidden="1" x14ac:dyDescent="0.25">
      <c r="E608" t="s">
        <v>8609</v>
      </c>
      <c r="F608" s="1" t="s">
        <v>8784</v>
      </c>
      <c r="G608" t="s">
        <v>1</v>
      </c>
      <c r="H608" t="s">
        <v>0</v>
      </c>
      <c r="I608" t="s">
        <v>8165</v>
      </c>
      <c r="J608" t="s">
        <v>8164</v>
      </c>
      <c r="K608">
        <v>13306</v>
      </c>
      <c r="L608">
        <v>13306</v>
      </c>
      <c r="M608">
        <v>0</v>
      </c>
      <c r="N608" t="s">
        <v>8256</v>
      </c>
      <c r="O608" s="3">
        <v>0</v>
      </c>
      <c r="P608" s="3">
        <v>0</v>
      </c>
      <c r="Q608" s="3">
        <v>34.72</v>
      </c>
      <c r="R608" s="3">
        <v>4.5136000000000003</v>
      </c>
      <c r="S608" s="3">
        <v>0</v>
      </c>
      <c r="T608" s="3">
        <v>0</v>
      </c>
      <c r="U608" s="3">
        <v>39.233599999999996</v>
      </c>
      <c r="V608" s="3" t="s">
        <v>8748</v>
      </c>
      <c r="W608" s="3" t="s">
        <v>1</v>
      </c>
    </row>
    <row r="609" spans="5:23" hidden="1" x14ac:dyDescent="0.25">
      <c r="E609" t="s">
        <v>8609</v>
      </c>
      <c r="F609" s="1" t="s">
        <v>8767</v>
      </c>
      <c r="G609" t="s">
        <v>1</v>
      </c>
      <c r="H609" t="s">
        <v>0</v>
      </c>
      <c r="I609" t="s">
        <v>8165</v>
      </c>
      <c r="J609" t="s">
        <v>8164</v>
      </c>
      <c r="K609">
        <v>13307</v>
      </c>
      <c r="L609">
        <v>13307</v>
      </c>
      <c r="M609" t="s">
        <v>250</v>
      </c>
      <c r="N609" t="s">
        <v>251</v>
      </c>
      <c r="O609" s="3">
        <v>0</v>
      </c>
      <c r="P609" s="3">
        <v>0</v>
      </c>
      <c r="Q609" s="3">
        <v>217.02</v>
      </c>
      <c r="R609" s="3">
        <v>28.212600000000002</v>
      </c>
      <c r="S609" s="3">
        <v>0</v>
      </c>
      <c r="T609" s="3">
        <v>0</v>
      </c>
      <c r="U609" s="3">
        <v>245.23260000000002</v>
      </c>
      <c r="V609" s="3">
        <v>0</v>
      </c>
      <c r="W609" s="3" t="s">
        <v>1</v>
      </c>
    </row>
    <row r="610" spans="5:23" hidden="1" x14ac:dyDescent="0.25">
      <c r="E610" t="s">
        <v>8609</v>
      </c>
      <c r="F610" s="1" t="s">
        <v>8767</v>
      </c>
      <c r="G610" t="s">
        <v>1</v>
      </c>
      <c r="H610" t="s">
        <v>0</v>
      </c>
      <c r="I610" t="s">
        <v>8165</v>
      </c>
      <c r="J610" t="s">
        <v>8164</v>
      </c>
      <c r="K610">
        <v>13308</v>
      </c>
      <c r="L610">
        <v>13308</v>
      </c>
      <c r="M610" t="s">
        <v>7852</v>
      </c>
      <c r="N610" t="s">
        <v>7851</v>
      </c>
      <c r="O610" s="3">
        <v>0</v>
      </c>
      <c r="P610" s="3">
        <v>0</v>
      </c>
      <c r="Q610" s="3">
        <v>0</v>
      </c>
      <c r="R610" s="3">
        <v>0</v>
      </c>
      <c r="S610" s="3">
        <v>0</v>
      </c>
      <c r="T610" s="3">
        <v>0</v>
      </c>
      <c r="U610" s="3">
        <v>0</v>
      </c>
      <c r="V610" s="3">
        <v>0</v>
      </c>
      <c r="W610" s="3" t="s">
        <v>1</v>
      </c>
    </row>
    <row r="611" spans="5:23" hidden="1" x14ac:dyDescent="0.25">
      <c r="E611" t="s">
        <v>8609</v>
      </c>
      <c r="F611" s="1" t="s">
        <v>8767</v>
      </c>
      <c r="G611" t="s">
        <v>1</v>
      </c>
      <c r="H611" t="s">
        <v>0</v>
      </c>
      <c r="I611" t="s">
        <v>8165</v>
      </c>
      <c r="J611" t="s">
        <v>8164</v>
      </c>
      <c r="K611">
        <v>13309</v>
      </c>
      <c r="L611">
        <v>13309</v>
      </c>
      <c r="M611" t="s">
        <v>7852</v>
      </c>
      <c r="N611" t="s">
        <v>7851</v>
      </c>
      <c r="O611" s="3">
        <v>0</v>
      </c>
      <c r="P611" s="3">
        <v>0</v>
      </c>
      <c r="Q611" s="3">
        <v>0</v>
      </c>
      <c r="R611" s="3">
        <v>0</v>
      </c>
      <c r="S611" s="3">
        <v>0</v>
      </c>
      <c r="T611" s="3">
        <v>0</v>
      </c>
      <c r="U611" s="3">
        <v>0</v>
      </c>
      <c r="V611" s="3">
        <v>0</v>
      </c>
      <c r="W611" s="3" t="s">
        <v>1</v>
      </c>
    </row>
    <row r="612" spans="5:23" hidden="1" x14ac:dyDescent="0.25">
      <c r="E612" t="s">
        <v>8609</v>
      </c>
      <c r="F612" s="1" t="s">
        <v>8767</v>
      </c>
      <c r="G612" t="s">
        <v>1</v>
      </c>
      <c r="H612" t="s">
        <v>0</v>
      </c>
      <c r="I612" t="s">
        <v>8165</v>
      </c>
      <c r="J612" t="s">
        <v>8164</v>
      </c>
      <c r="K612">
        <v>13310</v>
      </c>
      <c r="L612">
        <v>13310</v>
      </c>
      <c r="M612" t="s">
        <v>7852</v>
      </c>
      <c r="N612" t="s">
        <v>7851</v>
      </c>
      <c r="O612" s="3">
        <v>0</v>
      </c>
      <c r="P612" s="3">
        <v>0</v>
      </c>
      <c r="Q612" s="3">
        <v>0</v>
      </c>
      <c r="R612" s="3">
        <v>0</v>
      </c>
      <c r="S612" s="3">
        <v>0</v>
      </c>
      <c r="T612" s="3">
        <v>0</v>
      </c>
      <c r="U612" s="3">
        <v>0</v>
      </c>
      <c r="V612" s="3">
        <v>0</v>
      </c>
      <c r="W612" s="3" t="s">
        <v>1</v>
      </c>
    </row>
    <row r="613" spans="5:23" hidden="1" x14ac:dyDescent="0.25">
      <c r="E613" t="s">
        <v>8609</v>
      </c>
      <c r="F613" s="1" t="s">
        <v>8767</v>
      </c>
      <c r="G613" t="s">
        <v>1</v>
      </c>
      <c r="H613" t="s">
        <v>0</v>
      </c>
      <c r="I613" t="s">
        <v>8165</v>
      </c>
      <c r="J613" t="s">
        <v>8164</v>
      </c>
      <c r="K613">
        <v>13311</v>
      </c>
      <c r="L613">
        <v>13311</v>
      </c>
      <c r="M613" t="s">
        <v>238</v>
      </c>
      <c r="N613" t="s">
        <v>239</v>
      </c>
      <c r="O613" s="3">
        <v>0</v>
      </c>
      <c r="P613" s="3">
        <v>0</v>
      </c>
      <c r="Q613" s="3">
        <v>104.35</v>
      </c>
      <c r="R613" s="3">
        <v>13.5655</v>
      </c>
      <c r="S613" s="3">
        <v>0</v>
      </c>
      <c r="T613" s="3">
        <v>0</v>
      </c>
      <c r="U613" s="3">
        <v>117.91549999999999</v>
      </c>
      <c r="V613" s="3">
        <v>0</v>
      </c>
      <c r="W613" s="3" t="s">
        <v>1</v>
      </c>
    </row>
    <row r="614" spans="5:23" hidden="1" x14ac:dyDescent="0.25">
      <c r="E614" t="s">
        <v>8609</v>
      </c>
      <c r="F614" s="1" t="s">
        <v>8767</v>
      </c>
      <c r="G614" t="s">
        <v>1</v>
      </c>
      <c r="H614" t="s">
        <v>0</v>
      </c>
      <c r="I614" t="s">
        <v>8165</v>
      </c>
      <c r="J614" t="s">
        <v>8164</v>
      </c>
      <c r="K614">
        <v>13312</v>
      </c>
      <c r="L614">
        <v>13312</v>
      </c>
      <c r="M614" t="s">
        <v>8451</v>
      </c>
      <c r="N614" t="s">
        <v>8452</v>
      </c>
      <c r="O614" s="3">
        <v>0</v>
      </c>
      <c r="P614" s="3">
        <v>0</v>
      </c>
      <c r="Q614" s="3">
        <v>33.56</v>
      </c>
      <c r="R614" s="3">
        <v>4.3628</v>
      </c>
      <c r="S614" s="3">
        <v>0</v>
      </c>
      <c r="T614" s="3">
        <v>0</v>
      </c>
      <c r="U614" s="3">
        <v>37.922800000000002</v>
      </c>
      <c r="V614" s="3">
        <v>0</v>
      </c>
      <c r="W614" s="3" t="s">
        <v>1</v>
      </c>
    </row>
    <row r="615" spans="5:23" hidden="1" x14ac:dyDescent="0.25">
      <c r="E615" t="s">
        <v>8609</v>
      </c>
      <c r="F615" s="1" t="s">
        <v>8767</v>
      </c>
      <c r="G615" t="s">
        <v>1</v>
      </c>
      <c r="H615" t="s">
        <v>0</v>
      </c>
      <c r="I615" t="s">
        <v>8165</v>
      </c>
      <c r="J615" t="s">
        <v>8164</v>
      </c>
      <c r="K615">
        <v>13313</v>
      </c>
      <c r="L615">
        <v>13313</v>
      </c>
      <c r="M615" t="s">
        <v>7995</v>
      </c>
      <c r="N615" t="s">
        <v>7996</v>
      </c>
      <c r="O615" s="3">
        <v>0</v>
      </c>
      <c r="P615" s="3">
        <v>0</v>
      </c>
      <c r="Q615" s="3">
        <v>53.31</v>
      </c>
      <c r="R615" s="3">
        <v>6.9303000000000008</v>
      </c>
      <c r="S615" s="3">
        <v>0</v>
      </c>
      <c r="T615" s="3">
        <v>0</v>
      </c>
      <c r="U615" s="3">
        <v>60.240300000000005</v>
      </c>
      <c r="V615" s="3">
        <v>0</v>
      </c>
      <c r="W615" s="3" t="s">
        <v>1</v>
      </c>
    </row>
    <row r="616" spans="5:23" hidden="1" x14ac:dyDescent="0.25">
      <c r="E616" t="s">
        <v>8609</v>
      </c>
      <c r="F616" s="1" t="s">
        <v>8767</v>
      </c>
      <c r="G616" t="s">
        <v>1</v>
      </c>
      <c r="H616" t="s">
        <v>0</v>
      </c>
      <c r="I616" t="s">
        <v>8165</v>
      </c>
      <c r="J616" t="s">
        <v>8164</v>
      </c>
      <c r="K616">
        <v>13314</v>
      </c>
      <c r="L616">
        <v>13314</v>
      </c>
      <c r="M616" t="s">
        <v>8018</v>
      </c>
      <c r="N616" t="s">
        <v>8019</v>
      </c>
      <c r="O616" s="3">
        <v>0</v>
      </c>
      <c r="P616" s="3">
        <v>0</v>
      </c>
      <c r="Q616" s="3">
        <v>44.25</v>
      </c>
      <c r="R616" s="3">
        <v>5.7525000000000004</v>
      </c>
      <c r="S616" s="3">
        <v>0</v>
      </c>
      <c r="T616" s="3">
        <v>0</v>
      </c>
      <c r="U616" s="3">
        <v>50.002499999999998</v>
      </c>
      <c r="V616" s="3">
        <v>0</v>
      </c>
      <c r="W616" s="3" t="s">
        <v>1</v>
      </c>
    </row>
    <row r="617" spans="5:23" hidden="1" x14ac:dyDescent="0.25">
      <c r="E617" t="s">
        <v>8609</v>
      </c>
      <c r="F617" s="1" t="s">
        <v>8767</v>
      </c>
      <c r="G617" t="s">
        <v>1</v>
      </c>
      <c r="H617" t="s">
        <v>0</v>
      </c>
      <c r="I617" t="s">
        <v>8165</v>
      </c>
      <c r="J617" t="s">
        <v>8164</v>
      </c>
      <c r="K617">
        <v>13315</v>
      </c>
      <c r="L617">
        <v>13315</v>
      </c>
      <c r="M617" t="s">
        <v>1423</v>
      </c>
      <c r="N617" t="s">
        <v>1424</v>
      </c>
      <c r="O617" s="3">
        <v>0</v>
      </c>
      <c r="P617" s="3">
        <v>0</v>
      </c>
      <c r="Q617" s="3">
        <v>60.66</v>
      </c>
      <c r="R617" s="3">
        <v>7.8857999999999997</v>
      </c>
      <c r="S617" s="3">
        <v>0</v>
      </c>
      <c r="T617" s="3">
        <v>0</v>
      </c>
      <c r="U617" s="3">
        <v>68.5458</v>
      </c>
      <c r="V617" s="3">
        <v>0</v>
      </c>
      <c r="W617" s="3" t="s">
        <v>1</v>
      </c>
    </row>
    <row r="618" spans="5:23" hidden="1" x14ac:dyDescent="0.25">
      <c r="E618" t="s">
        <v>8609</v>
      </c>
      <c r="F618" s="1" t="s">
        <v>8767</v>
      </c>
      <c r="G618" t="s">
        <v>1</v>
      </c>
      <c r="H618" t="s">
        <v>0</v>
      </c>
      <c r="I618" t="s">
        <v>8165</v>
      </c>
      <c r="J618" t="s">
        <v>8164</v>
      </c>
      <c r="K618">
        <v>13316</v>
      </c>
      <c r="L618">
        <v>13316</v>
      </c>
      <c r="M618" t="s">
        <v>8241</v>
      </c>
      <c r="N618" t="s">
        <v>8242</v>
      </c>
      <c r="O618" s="3">
        <v>0</v>
      </c>
      <c r="P618" s="3">
        <v>0</v>
      </c>
      <c r="Q618" s="3">
        <v>202.02</v>
      </c>
      <c r="R618" s="3">
        <v>26.262600000000003</v>
      </c>
      <c r="S618" s="3">
        <v>0</v>
      </c>
      <c r="T618" s="3">
        <v>0</v>
      </c>
      <c r="U618" s="3">
        <v>228.2826</v>
      </c>
      <c r="V618" s="3">
        <v>0</v>
      </c>
      <c r="W618" s="3" t="s">
        <v>1</v>
      </c>
    </row>
    <row r="619" spans="5:23" hidden="1" x14ac:dyDescent="0.25">
      <c r="E619" t="s">
        <v>8609</v>
      </c>
      <c r="F619" s="1" t="s">
        <v>8767</v>
      </c>
      <c r="G619" t="s">
        <v>1</v>
      </c>
      <c r="H619" t="s">
        <v>0</v>
      </c>
      <c r="I619" t="s">
        <v>8165</v>
      </c>
      <c r="J619" t="s">
        <v>8164</v>
      </c>
      <c r="K619">
        <v>13317</v>
      </c>
      <c r="L619">
        <v>13317</v>
      </c>
      <c r="M619">
        <v>0</v>
      </c>
      <c r="N619" t="s">
        <v>8256</v>
      </c>
      <c r="O619" s="3">
        <v>0</v>
      </c>
      <c r="P619" s="3">
        <v>0</v>
      </c>
      <c r="Q619" s="3">
        <v>276</v>
      </c>
      <c r="R619" s="3">
        <v>35.880000000000003</v>
      </c>
      <c r="S619" s="3">
        <v>0</v>
      </c>
      <c r="T619" s="3">
        <v>0</v>
      </c>
      <c r="U619" s="3">
        <v>311.88</v>
      </c>
      <c r="V619" s="3" t="s">
        <v>8748</v>
      </c>
      <c r="W619" s="3" t="s">
        <v>1</v>
      </c>
    </row>
    <row r="620" spans="5:23" hidden="1" x14ac:dyDescent="0.25">
      <c r="E620" t="s">
        <v>8609</v>
      </c>
      <c r="F620" s="1" t="s">
        <v>8767</v>
      </c>
      <c r="G620" t="s">
        <v>1</v>
      </c>
      <c r="H620" t="s">
        <v>0</v>
      </c>
      <c r="I620" t="s">
        <v>8165</v>
      </c>
      <c r="J620" t="s">
        <v>8164</v>
      </c>
      <c r="K620">
        <v>13318</v>
      </c>
      <c r="L620">
        <v>13318</v>
      </c>
      <c r="M620" t="s">
        <v>7852</v>
      </c>
      <c r="N620" t="s">
        <v>7851</v>
      </c>
      <c r="O620" s="3">
        <v>0</v>
      </c>
      <c r="P620" s="3">
        <v>0</v>
      </c>
      <c r="Q620" s="3">
        <v>0</v>
      </c>
      <c r="R620" s="3">
        <v>0</v>
      </c>
      <c r="S620" s="3">
        <v>0</v>
      </c>
      <c r="T620" s="3">
        <v>0</v>
      </c>
      <c r="U620" s="3">
        <v>0</v>
      </c>
      <c r="V620" s="3">
        <v>0</v>
      </c>
      <c r="W620" s="3" t="s">
        <v>1</v>
      </c>
    </row>
    <row r="621" spans="5:23" hidden="1" x14ac:dyDescent="0.25">
      <c r="E621" t="s">
        <v>8609</v>
      </c>
      <c r="F621" s="1" t="s">
        <v>8767</v>
      </c>
      <c r="G621" t="s">
        <v>1</v>
      </c>
      <c r="H621" t="s">
        <v>0</v>
      </c>
      <c r="I621" t="s">
        <v>8165</v>
      </c>
      <c r="J621" t="s">
        <v>8164</v>
      </c>
      <c r="K621">
        <v>13319</v>
      </c>
      <c r="L621">
        <v>13319</v>
      </c>
      <c r="M621">
        <v>0</v>
      </c>
      <c r="N621" t="s">
        <v>8800</v>
      </c>
      <c r="O621" s="3">
        <v>0</v>
      </c>
      <c r="P621" s="3">
        <v>0</v>
      </c>
      <c r="Q621" s="3">
        <v>21.5</v>
      </c>
      <c r="R621" s="3">
        <v>2.7949999999999999</v>
      </c>
      <c r="S621" s="3">
        <v>0</v>
      </c>
      <c r="T621" s="3">
        <v>0</v>
      </c>
      <c r="U621" s="3">
        <v>24.295000000000002</v>
      </c>
      <c r="V621" s="3" t="s">
        <v>8799</v>
      </c>
      <c r="W621" s="3" t="s">
        <v>1</v>
      </c>
    </row>
    <row r="622" spans="5:23" hidden="1" x14ac:dyDescent="0.25">
      <c r="E622" t="s">
        <v>8609</v>
      </c>
      <c r="F622" s="1" t="s">
        <v>8767</v>
      </c>
      <c r="G622" t="s">
        <v>1</v>
      </c>
      <c r="H622" t="s">
        <v>0</v>
      </c>
      <c r="I622" t="s">
        <v>8165</v>
      </c>
      <c r="J622" t="s">
        <v>8164</v>
      </c>
      <c r="K622">
        <v>13320</v>
      </c>
      <c r="L622">
        <v>13320</v>
      </c>
      <c r="M622" t="s">
        <v>7852</v>
      </c>
      <c r="N622" t="s">
        <v>7851</v>
      </c>
      <c r="O622" s="3">
        <v>0</v>
      </c>
      <c r="P622" s="3">
        <v>0</v>
      </c>
      <c r="Q622" s="3">
        <v>0</v>
      </c>
      <c r="R622" s="3">
        <v>0</v>
      </c>
      <c r="S622" s="3">
        <v>0</v>
      </c>
      <c r="T622" s="3">
        <v>0</v>
      </c>
      <c r="U622" s="3">
        <v>0</v>
      </c>
      <c r="V622" s="3">
        <v>0</v>
      </c>
      <c r="W622" s="3" t="s">
        <v>1</v>
      </c>
    </row>
    <row r="623" spans="5:23" hidden="1" x14ac:dyDescent="0.25">
      <c r="E623" t="s">
        <v>8609</v>
      </c>
      <c r="F623" s="1" t="s">
        <v>8767</v>
      </c>
      <c r="G623" t="s">
        <v>1</v>
      </c>
      <c r="H623" t="s">
        <v>0</v>
      </c>
      <c r="I623" t="s">
        <v>8165</v>
      </c>
      <c r="J623" t="s">
        <v>8164</v>
      </c>
      <c r="K623">
        <v>13321</v>
      </c>
      <c r="L623">
        <v>13321</v>
      </c>
      <c r="M623" t="s">
        <v>8727</v>
      </c>
      <c r="N623" t="s">
        <v>8728</v>
      </c>
      <c r="O623" s="3">
        <v>0</v>
      </c>
      <c r="P623" s="3">
        <v>0</v>
      </c>
      <c r="Q623" s="3">
        <v>204.5</v>
      </c>
      <c r="R623" s="3">
        <v>26.585000000000001</v>
      </c>
      <c r="S623" s="3">
        <v>0</v>
      </c>
      <c r="T623" s="3">
        <v>0</v>
      </c>
      <c r="U623" s="3">
        <v>231.08500000000001</v>
      </c>
      <c r="V623" s="3">
        <v>0</v>
      </c>
      <c r="W623" s="3" t="s">
        <v>1</v>
      </c>
    </row>
    <row r="624" spans="5:23" hidden="1" x14ac:dyDescent="0.25">
      <c r="E624" t="s">
        <v>8609</v>
      </c>
      <c r="F624" s="1" t="s">
        <v>8767</v>
      </c>
      <c r="G624" t="s">
        <v>1</v>
      </c>
      <c r="H624" t="s">
        <v>0</v>
      </c>
      <c r="I624" t="s">
        <v>8165</v>
      </c>
      <c r="J624" t="s">
        <v>8164</v>
      </c>
      <c r="K624">
        <v>13322</v>
      </c>
      <c r="L624">
        <v>13322</v>
      </c>
      <c r="M624" t="s">
        <v>8727</v>
      </c>
      <c r="N624" t="s">
        <v>8728</v>
      </c>
      <c r="O624" s="3">
        <v>0</v>
      </c>
      <c r="P624" s="3">
        <v>0</v>
      </c>
      <c r="Q624" s="3">
        <v>220.13</v>
      </c>
      <c r="R624" s="3">
        <v>28.616900000000001</v>
      </c>
      <c r="S624" s="3">
        <v>0</v>
      </c>
      <c r="T624" s="3">
        <v>0</v>
      </c>
      <c r="U624" s="3">
        <v>248.74689999999998</v>
      </c>
      <c r="V624" s="3">
        <v>0</v>
      </c>
      <c r="W624" s="3" t="s">
        <v>1</v>
      </c>
    </row>
    <row r="625" spans="5:23" hidden="1" x14ac:dyDescent="0.25">
      <c r="E625" t="s">
        <v>8609</v>
      </c>
      <c r="F625" s="1" t="s">
        <v>8767</v>
      </c>
      <c r="G625" t="s">
        <v>1</v>
      </c>
      <c r="H625" t="s">
        <v>0</v>
      </c>
      <c r="I625" t="s">
        <v>8165</v>
      </c>
      <c r="J625" t="s">
        <v>8164</v>
      </c>
      <c r="K625">
        <v>13323</v>
      </c>
      <c r="L625">
        <v>13323</v>
      </c>
      <c r="M625" t="s">
        <v>8391</v>
      </c>
      <c r="N625" t="s">
        <v>8392</v>
      </c>
      <c r="O625" s="3">
        <v>0</v>
      </c>
      <c r="P625" s="3">
        <v>0</v>
      </c>
      <c r="Q625" s="3">
        <v>123.01</v>
      </c>
      <c r="R625" s="3">
        <v>15.991300000000001</v>
      </c>
      <c r="S625" s="3">
        <v>0</v>
      </c>
      <c r="T625" s="3">
        <v>0</v>
      </c>
      <c r="U625" s="3">
        <v>139.00130000000001</v>
      </c>
      <c r="V625" s="3">
        <v>0</v>
      </c>
      <c r="W625" s="3" t="s">
        <v>1</v>
      </c>
    </row>
    <row r="626" spans="5:23" hidden="1" x14ac:dyDescent="0.25">
      <c r="E626" t="s">
        <v>8609</v>
      </c>
      <c r="F626" s="1" t="s">
        <v>8767</v>
      </c>
      <c r="G626" t="s">
        <v>1</v>
      </c>
      <c r="H626" t="s">
        <v>0</v>
      </c>
      <c r="I626" t="s">
        <v>8165</v>
      </c>
      <c r="J626" t="s">
        <v>8164</v>
      </c>
      <c r="K626">
        <v>13324</v>
      </c>
      <c r="L626">
        <v>13324</v>
      </c>
      <c r="M626" t="s">
        <v>8310</v>
      </c>
      <c r="N626" t="s">
        <v>8311</v>
      </c>
      <c r="O626" s="3">
        <v>0</v>
      </c>
      <c r="P626" s="3">
        <v>0</v>
      </c>
      <c r="Q626" s="3">
        <v>77.430000000000007</v>
      </c>
      <c r="R626" s="3">
        <v>10.065900000000001</v>
      </c>
      <c r="S626" s="3">
        <v>0</v>
      </c>
      <c r="T626" s="3">
        <v>0</v>
      </c>
      <c r="U626" s="3">
        <v>87.495900000000006</v>
      </c>
      <c r="V626" s="3">
        <v>0</v>
      </c>
      <c r="W626" s="3" t="s">
        <v>1</v>
      </c>
    </row>
    <row r="627" spans="5:23" hidden="1" x14ac:dyDescent="0.25">
      <c r="E627" t="s">
        <v>8609</v>
      </c>
      <c r="F627" s="1" t="s">
        <v>8767</v>
      </c>
      <c r="G627" t="s">
        <v>1</v>
      </c>
      <c r="H627" t="s">
        <v>0</v>
      </c>
      <c r="I627" t="s">
        <v>8165</v>
      </c>
      <c r="J627" t="s">
        <v>8164</v>
      </c>
      <c r="K627">
        <v>13325</v>
      </c>
      <c r="L627">
        <v>13325</v>
      </c>
      <c r="M627" t="s">
        <v>807</v>
      </c>
      <c r="N627" t="s">
        <v>808</v>
      </c>
      <c r="O627" s="3">
        <v>0</v>
      </c>
      <c r="P627" s="3">
        <v>0</v>
      </c>
      <c r="Q627" s="3">
        <v>1553.4</v>
      </c>
      <c r="R627" s="3">
        <v>201.94200000000001</v>
      </c>
      <c r="S627" s="3">
        <v>0</v>
      </c>
      <c r="T627" s="3">
        <v>0</v>
      </c>
      <c r="U627" s="3">
        <v>1755.3420000000001</v>
      </c>
      <c r="V627" s="3">
        <v>0</v>
      </c>
      <c r="W627" s="3" t="s">
        <v>1</v>
      </c>
    </row>
    <row r="628" spans="5:23" hidden="1" x14ac:dyDescent="0.25">
      <c r="E628" t="s">
        <v>8609</v>
      </c>
      <c r="F628" s="1" t="s">
        <v>8767</v>
      </c>
      <c r="G628" t="s">
        <v>1</v>
      </c>
      <c r="H628" t="s">
        <v>0</v>
      </c>
      <c r="I628" t="s">
        <v>8165</v>
      </c>
      <c r="J628" t="s">
        <v>8164</v>
      </c>
      <c r="K628">
        <v>13326</v>
      </c>
      <c r="L628">
        <v>13326</v>
      </c>
      <c r="M628" t="s">
        <v>8480</v>
      </c>
      <c r="N628" t="s">
        <v>8481</v>
      </c>
      <c r="O628" s="3">
        <v>0</v>
      </c>
      <c r="P628" s="3">
        <v>0</v>
      </c>
      <c r="Q628" s="3">
        <v>309.35000000000002</v>
      </c>
      <c r="R628" s="3">
        <v>40.215500000000006</v>
      </c>
      <c r="S628" s="3">
        <v>0</v>
      </c>
      <c r="T628" s="3">
        <v>0</v>
      </c>
      <c r="U628" s="3">
        <v>349.56550000000004</v>
      </c>
      <c r="V628" s="3">
        <v>0</v>
      </c>
      <c r="W628" s="3" t="s">
        <v>1</v>
      </c>
    </row>
    <row r="629" spans="5:23" hidden="1" x14ac:dyDescent="0.25">
      <c r="E629" t="s">
        <v>8609</v>
      </c>
      <c r="F629" s="1" t="s">
        <v>8767</v>
      </c>
      <c r="G629" t="s">
        <v>1</v>
      </c>
      <c r="H629" t="s">
        <v>0</v>
      </c>
      <c r="I629" t="s">
        <v>8165</v>
      </c>
      <c r="J629" t="s">
        <v>8164</v>
      </c>
      <c r="K629">
        <v>13327</v>
      </c>
      <c r="L629">
        <v>13327</v>
      </c>
      <c r="M629" t="s">
        <v>8273</v>
      </c>
      <c r="N629" t="s">
        <v>8274</v>
      </c>
      <c r="O629" s="3">
        <v>0</v>
      </c>
      <c r="P629" s="3">
        <v>0</v>
      </c>
      <c r="Q629" s="3">
        <v>54</v>
      </c>
      <c r="R629" s="3">
        <v>7.0200000000000005</v>
      </c>
      <c r="S629" s="3">
        <v>0</v>
      </c>
      <c r="T629" s="3">
        <v>0</v>
      </c>
      <c r="U629" s="3">
        <v>61.02</v>
      </c>
      <c r="V629" s="3">
        <v>0</v>
      </c>
      <c r="W629" s="3" t="s">
        <v>1</v>
      </c>
    </row>
    <row r="630" spans="5:23" hidden="1" x14ac:dyDescent="0.25">
      <c r="E630" t="s">
        <v>8609</v>
      </c>
      <c r="F630" s="1" t="s">
        <v>8767</v>
      </c>
      <c r="G630" t="s">
        <v>1</v>
      </c>
      <c r="H630" t="s">
        <v>0</v>
      </c>
      <c r="I630" t="s">
        <v>8165</v>
      </c>
      <c r="J630" t="s">
        <v>8164</v>
      </c>
      <c r="K630">
        <v>13328</v>
      </c>
      <c r="L630">
        <v>13328</v>
      </c>
      <c r="M630" t="s">
        <v>8797</v>
      </c>
      <c r="N630" t="s">
        <v>8798</v>
      </c>
      <c r="O630" s="3">
        <v>0</v>
      </c>
      <c r="P630" s="3">
        <v>0</v>
      </c>
      <c r="Q630" s="3">
        <v>101.08</v>
      </c>
      <c r="R630" s="3">
        <v>13.1404</v>
      </c>
      <c r="S630" s="3">
        <v>0</v>
      </c>
      <c r="T630" s="3">
        <v>0</v>
      </c>
      <c r="U630" s="3">
        <v>114.2204</v>
      </c>
      <c r="V630" s="3">
        <v>0</v>
      </c>
      <c r="W630" s="3" t="s">
        <v>1</v>
      </c>
    </row>
    <row r="631" spans="5:23" hidden="1" x14ac:dyDescent="0.25">
      <c r="E631" t="s">
        <v>8609</v>
      </c>
      <c r="F631" s="1" t="s">
        <v>8767</v>
      </c>
      <c r="G631" t="s">
        <v>1</v>
      </c>
      <c r="H631" t="s">
        <v>0</v>
      </c>
      <c r="I631" t="s">
        <v>8165</v>
      </c>
      <c r="J631" t="s">
        <v>8164</v>
      </c>
      <c r="K631">
        <v>13329</v>
      </c>
      <c r="L631">
        <v>13329</v>
      </c>
      <c r="M631" t="s">
        <v>8232</v>
      </c>
      <c r="N631" t="s">
        <v>8233</v>
      </c>
      <c r="O631" s="3">
        <v>0</v>
      </c>
      <c r="P631" s="3">
        <v>0</v>
      </c>
      <c r="Q631" s="3">
        <v>369.02</v>
      </c>
      <c r="R631" s="3">
        <v>47.9726</v>
      </c>
      <c r="S631" s="3">
        <v>0</v>
      </c>
      <c r="T631" s="3">
        <v>0</v>
      </c>
      <c r="U631" s="3">
        <v>416.99259999999998</v>
      </c>
      <c r="V631" s="3">
        <v>0</v>
      </c>
      <c r="W631" s="3" t="s">
        <v>1</v>
      </c>
    </row>
    <row r="632" spans="5:23" hidden="1" x14ac:dyDescent="0.25">
      <c r="E632" t="s">
        <v>8609</v>
      </c>
      <c r="F632" s="1" t="s">
        <v>8767</v>
      </c>
      <c r="G632" t="s">
        <v>1</v>
      </c>
      <c r="H632" t="s">
        <v>0</v>
      </c>
      <c r="I632" t="s">
        <v>8165</v>
      </c>
      <c r="J632" t="s">
        <v>8164</v>
      </c>
      <c r="K632">
        <v>13330</v>
      </c>
      <c r="L632">
        <v>13330</v>
      </c>
      <c r="M632" t="s">
        <v>7852</v>
      </c>
      <c r="N632" t="s">
        <v>7851</v>
      </c>
      <c r="O632" s="3">
        <v>0</v>
      </c>
      <c r="P632" s="3">
        <v>0</v>
      </c>
      <c r="Q632" s="3">
        <v>0</v>
      </c>
      <c r="R632" s="3">
        <v>0</v>
      </c>
      <c r="S632" s="3">
        <v>0</v>
      </c>
      <c r="T632" s="3">
        <v>0</v>
      </c>
      <c r="U632" s="3">
        <v>0</v>
      </c>
      <c r="V632" s="3">
        <v>0</v>
      </c>
      <c r="W632" s="3" t="s">
        <v>1</v>
      </c>
    </row>
    <row r="633" spans="5:23" hidden="1" x14ac:dyDescent="0.25">
      <c r="E633" t="s">
        <v>8609</v>
      </c>
      <c r="F633" s="1" t="s">
        <v>8773</v>
      </c>
      <c r="G633" t="s">
        <v>1</v>
      </c>
      <c r="H633" t="s">
        <v>0</v>
      </c>
      <c r="I633" t="s">
        <v>8165</v>
      </c>
      <c r="J633" t="s">
        <v>8164</v>
      </c>
      <c r="K633">
        <v>13331</v>
      </c>
      <c r="L633">
        <v>13331</v>
      </c>
      <c r="M633" t="s">
        <v>734</v>
      </c>
      <c r="N633" t="s">
        <v>735</v>
      </c>
      <c r="O633" s="3">
        <v>0</v>
      </c>
      <c r="P633" s="3">
        <v>0</v>
      </c>
      <c r="Q633" s="3">
        <v>669.02</v>
      </c>
      <c r="R633" s="3">
        <v>86.9726</v>
      </c>
      <c r="S633" s="3">
        <v>0</v>
      </c>
      <c r="T633" s="3">
        <v>0</v>
      </c>
      <c r="U633" s="3">
        <v>755.99260000000004</v>
      </c>
      <c r="V633" s="3">
        <v>0</v>
      </c>
      <c r="W633" s="3" t="s">
        <v>1</v>
      </c>
    </row>
    <row r="634" spans="5:23" hidden="1" x14ac:dyDescent="0.25">
      <c r="E634" t="s">
        <v>8609</v>
      </c>
      <c r="F634" s="1" t="s">
        <v>8773</v>
      </c>
      <c r="G634" t="s">
        <v>1</v>
      </c>
      <c r="H634" t="s">
        <v>0</v>
      </c>
      <c r="I634" t="s">
        <v>8165</v>
      </c>
      <c r="J634" t="s">
        <v>8164</v>
      </c>
      <c r="K634">
        <v>13332</v>
      </c>
      <c r="L634">
        <v>13332</v>
      </c>
      <c r="M634" t="s">
        <v>8114</v>
      </c>
      <c r="N634" t="s">
        <v>8115</v>
      </c>
      <c r="O634" s="3">
        <v>0</v>
      </c>
      <c r="P634" s="3">
        <v>0</v>
      </c>
      <c r="Q634" s="3">
        <v>22.4</v>
      </c>
      <c r="R634" s="3">
        <v>2.9119999999999999</v>
      </c>
      <c r="S634" s="3">
        <v>0</v>
      </c>
      <c r="T634" s="3">
        <v>0</v>
      </c>
      <c r="U634" s="3">
        <v>25.311999999999998</v>
      </c>
      <c r="V634" s="3">
        <v>0</v>
      </c>
      <c r="W634" s="3" t="s">
        <v>1</v>
      </c>
    </row>
    <row r="635" spans="5:23" hidden="1" x14ac:dyDescent="0.25">
      <c r="E635" t="s">
        <v>8609</v>
      </c>
      <c r="F635" s="1" t="s">
        <v>8773</v>
      </c>
      <c r="G635" t="s">
        <v>1</v>
      </c>
      <c r="H635" t="s">
        <v>0</v>
      </c>
      <c r="I635" t="s">
        <v>8165</v>
      </c>
      <c r="J635" t="s">
        <v>8164</v>
      </c>
      <c r="K635">
        <v>13333</v>
      </c>
      <c r="L635">
        <v>13333</v>
      </c>
      <c r="M635">
        <v>0</v>
      </c>
      <c r="N635" t="s">
        <v>8235</v>
      </c>
      <c r="O635" s="3">
        <v>0</v>
      </c>
      <c r="P635" s="3">
        <v>0</v>
      </c>
      <c r="Q635" s="3">
        <v>179.04</v>
      </c>
      <c r="R635" s="3">
        <v>23.275199999999998</v>
      </c>
      <c r="S635" s="3">
        <v>0</v>
      </c>
      <c r="T635" s="3">
        <v>0</v>
      </c>
      <c r="U635" s="3">
        <v>202.3152</v>
      </c>
      <c r="V635" s="3" t="s">
        <v>8718</v>
      </c>
      <c r="W635" s="3" t="s">
        <v>1</v>
      </c>
    </row>
    <row r="636" spans="5:23" hidden="1" x14ac:dyDescent="0.25">
      <c r="E636" t="s">
        <v>8609</v>
      </c>
      <c r="F636" s="1" t="s">
        <v>8773</v>
      </c>
      <c r="G636" t="s">
        <v>1</v>
      </c>
      <c r="H636" t="s">
        <v>0</v>
      </c>
      <c r="I636" t="s">
        <v>8165</v>
      </c>
      <c r="J636" t="s">
        <v>8164</v>
      </c>
      <c r="K636">
        <v>13334</v>
      </c>
      <c r="L636">
        <v>13334</v>
      </c>
      <c r="M636" t="s">
        <v>8249</v>
      </c>
      <c r="N636" t="s">
        <v>8250</v>
      </c>
      <c r="O636" s="3">
        <v>0</v>
      </c>
      <c r="P636" s="3">
        <v>0</v>
      </c>
      <c r="Q636" s="3">
        <v>14.14</v>
      </c>
      <c r="R636" s="3">
        <v>1.8382000000000001</v>
      </c>
      <c r="S636" s="3">
        <v>0</v>
      </c>
      <c r="T636" s="3">
        <v>0</v>
      </c>
      <c r="U636" s="3">
        <v>15.978200000000001</v>
      </c>
      <c r="V636" s="3">
        <v>0</v>
      </c>
      <c r="W636" s="3" t="s">
        <v>1</v>
      </c>
    </row>
    <row r="637" spans="5:23" hidden="1" x14ac:dyDescent="0.25">
      <c r="E637" t="s">
        <v>8609</v>
      </c>
      <c r="F637" s="1" t="s">
        <v>8773</v>
      </c>
      <c r="G637" t="s">
        <v>1</v>
      </c>
      <c r="H637" t="s">
        <v>0</v>
      </c>
      <c r="I637" t="s">
        <v>8165</v>
      </c>
      <c r="J637" t="s">
        <v>8164</v>
      </c>
      <c r="K637">
        <v>13335</v>
      </c>
      <c r="L637">
        <v>13335</v>
      </c>
      <c r="M637" t="s">
        <v>8727</v>
      </c>
      <c r="N637" t="s">
        <v>8728</v>
      </c>
      <c r="O637" s="3">
        <v>0</v>
      </c>
      <c r="P637" s="3">
        <v>0</v>
      </c>
      <c r="Q637" s="3">
        <v>216.33</v>
      </c>
      <c r="R637" s="3">
        <v>28.122900000000001</v>
      </c>
      <c r="S637" s="3">
        <v>0</v>
      </c>
      <c r="T637" s="3">
        <v>0</v>
      </c>
      <c r="U637" s="3">
        <v>244.4529</v>
      </c>
      <c r="V637" s="3">
        <v>0</v>
      </c>
      <c r="W637" s="3" t="s">
        <v>1</v>
      </c>
    </row>
    <row r="638" spans="5:23" hidden="1" x14ac:dyDescent="0.25">
      <c r="E638" t="s">
        <v>8609</v>
      </c>
      <c r="F638" s="1" t="s">
        <v>8773</v>
      </c>
      <c r="G638" t="s">
        <v>1</v>
      </c>
      <c r="H638" t="s">
        <v>0</v>
      </c>
      <c r="I638" t="s">
        <v>8165</v>
      </c>
      <c r="J638" t="s">
        <v>8164</v>
      </c>
      <c r="K638">
        <v>13336</v>
      </c>
      <c r="L638">
        <v>13336</v>
      </c>
      <c r="M638" t="s">
        <v>8243</v>
      </c>
      <c r="N638" t="s">
        <v>8244</v>
      </c>
      <c r="O638" s="3">
        <v>0</v>
      </c>
      <c r="P638" s="3">
        <v>0</v>
      </c>
      <c r="Q638" s="3">
        <v>39.369999999999997</v>
      </c>
      <c r="R638" s="3">
        <v>5.1181000000000001</v>
      </c>
      <c r="S638" s="3">
        <v>0</v>
      </c>
      <c r="T638" s="3">
        <v>0</v>
      </c>
      <c r="U638" s="3">
        <v>44.488099999999996</v>
      </c>
      <c r="V638" s="3">
        <v>0</v>
      </c>
      <c r="W638" s="3" t="s">
        <v>1</v>
      </c>
    </row>
    <row r="639" spans="5:23" hidden="1" x14ac:dyDescent="0.25">
      <c r="E639" t="s">
        <v>8609</v>
      </c>
      <c r="F639" s="1" t="s">
        <v>8773</v>
      </c>
      <c r="G639" t="s">
        <v>1</v>
      </c>
      <c r="H639" t="s">
        <v>0</v>
      </c>
      <c r="I639" t="s">
        <v>8165</v>
      </c>
      <c r="J639" t="s">
        <v>8164</v>
      </c>
      <c r="K639">
        <v>13337</v>
      </c>
      <c r="L639">
        <v>13337</v>
      </c>
      <c r="M639" t="s">
        <v>8706</v>
      </c>
      <c r="N639" t="s">
        <v>8707</v>
      </c>
      <c r="O639" s="3">
        <v>0</v>
      </c>
      <c r="P639" s="3">
        <v>0</v>
      </c>
      <c r="Q639" s="3">
        <v>184.5</v>
      </c>
      <c r="R639" s="3">
        <v>23.984999999999999</v>
      </c>
      <c r="S639" s="3">
        <v>0</v>
      </c>
      <c r="T639" s="3">
        <v>0</v>
      </c>
      <c r="U639" s="3">
        <v>208.48500000000001</v>
      </c>
      <c r="V639" s="3">
        <v>0</v>
      </c>
      <c r="W639" s="3" t="s">
        <v>1</v>
      </c>
    </row>
    <row r="640" spans="5:23" hidden="1" x14ac:dyDescent="0.25">
      <c r="E640" t="s">
        <v>8609</v>
      </c>
      <c r="F640" s="1" t="s">
        <v>8773</v>
      </c>
      <c r="G640" t="s">
        <v>1</v>
      </c>
      <c r="H640" t="s">
        <v>0</v>
      </c>
      <c r="I640" t="s">
        <v>8165</v>
      </c>
      <c r="J640" t="s">
        <v>8164</v>
      </c>
      <c r="K640">
        <v>13338</v>
      </c>
      <c r="L640">
        <v>13338</v>
      </c>
      <c r="M640" t="s">
        <v>7869</v>
      </c>
      <c r="N640" t="s">
        <v>7870</v>
      </c>
      <c r="O640" s="3">
        <v>0</v>
      </c>
      <c r="P640" s="3">
        <v>0</v>
      </c>
      <c r="Q640" s="3">
        <v>92.92</v>
      </c>
      <c r="R640" s="3">
        <v>12.079600000000001</v>
      </c>
      <c r="S640" s="3">
        <v>0</v>
      </c>
      <c r="T640" s="3">
        <v>0</v>
      </c>
      <c r="U640" s="3">
        <v>104.9996</v>
      </c>
      <c r="V640" s="3">
        <v>0</v>
      </c>
      <c r="W640" s="3" t="s">
        <v>1</v>
      </c>
    </row>
    <row r="641" spans="5:23" hidden="1" x14ac:dyDescent="0.25">
      <c r="E641" t="s">
        <v>8609</v>
      </c>
      <c r="F641" s="1" t="s">
        <v>8773</v>
      </c>
      <c r="G641" t="s">
        <v>1</v>
      </c>
      <c r="H641" t="s">
        <v>0</v>
      </c>
      <c r="I641" t="s">
        <v>8165</v>
      </c>
      <c r="J641" t="s">
        <v>8164</v>
      </c>
      <c r="K641">
        <v>13339</v>
      </c>
      <c r="L641">
        <v>13339</v>
      </c>
      <c r="M641" t="s">
        <v>8160</v>
      </c>
      <c r="N641" t="s">
        <v>8161</v>
      </c>
      <c r="O641" s="3">
        <v>0</v>
      </c>
      <c r="P641" s="3">
        <v>0</v>
      </c>
      <c r="Q641" s="3">
        <v>22.09</v>
      </c>
      <c r="R641" s="3">
        <v>2.8717000000000001</v>
      </c>
      <c r="S641" s="3">
        <v>0</v>
      </c>
      <c r="T641" s="3">
        <v>0</v>
      </c>
      <c r="U641" s="3">
        <v>24.9617</v>
      </c>
      <c r="V641" s="3">
        <v>0</v>
      </c>
      <c r="W641" s="3" t="s">
        <v>1</v>
      </c>
    </row>
    <row r="642" spans="5:23" hidden="1" x14ac:dyDescent="0.25">
      <c r="E642" t="s">
        <v>8609</v>
      </c>
      <c r="F642" s="1" t="s">
        <v>8783</v>
      </c>
      <c r="G642" t="s">
        <v>1</v>
      </c>
      <c r="H642" t="s">
        <v>0</v>
      </c>
      <c r="I642" t="s">
        <v>8165</v>
      </c>
      <c r="J642" t="s">
        <v>8164</v>
      </c>
      <c r="K642">
        <v>13340</v>
      </c>
      <c r="L642">
        <v>13340</v>
      </c>
      <c r="M642">
        <v>0</v>
      </c>
      <c r="N642" t="s">
        <v>8796</v>
      </c>
      <c r="O642" s="3">
        <v>0</v>
      </c>
      <c r="P642" s="3">
        <v>0</v>
      </c>
      <c r="Q642" s="3">
        <v>134.55000000000001</v>
      </c>
      <c r="R642" s="3">
        <v>17.491500000000002</v>
      </c>
      <c r="S642" s="3">
        <v>0</v>
      </c>
      <c r="T642" s="3">
        <v>0</v>
      </c>
      <c r="U642" s="3">
        <v>152.04150000000001</v>
      </c>
      <c r="V642" s="3" t="s">
        <v>8795</v>
      </c>
      <c r="W642" s="3" t="s">
        <v>1</v>
      </c>
    </row>
    <row r="643" spans="5:23" hidden="1" x14ac:dyDescent="0.25">
      <c r="E643" t="s">
        <v>8609</v>
      </c>
      <c r="F643" s="1" t="s">
        <v>8783</v>
      </c>
      <c r="G643" t="s">
        <v>1</v>
      </c>
      <c r="H643" t="s">
        <v>0</v>
      </c>
      <c r="I643" t="s">
        <v>8165</v>
      </c>
      <c r="J643" t="s">
        <v>8164</v>
      </c>
      <c r="K643">
        <v>13341</v>
      </c>
      <c r="L643">
        <v>13341</v>
      </c>
      <c r="M643" t="s">
        <v>8269</v>
      </c>
      <c r="N643" t="s">
        <v>8270</v>
      </c>
      <c r="O643" s="3">
        <v>0</v>
      </c>
      <c r="P643" s="3">
        <v>0</v>
      </c>
      <c r="Q643" s="3">
        <v>9.5399999999999991</v>
      </c>
      <c r="R643" s="3">
        <v>1.2402</v>
      </c>
      <c r="S643" s="3">
        <v>0</v>
      </c>
      <c r="T643" s="3">
        <v>0</v>
      </c>
      <c r="U643" s="3">
        <v>10.780199999999999</v>
      </c>
      <c r="V643" s="3">
        <v>0</v>
      </c>
      <c r="W643" s="3" t="s">
        <v>1</v>
      </c>
    </row>
    <row r="644" spans="5:23" hidden="1" x14ac:dyDescent="0.25">
      <c r="E644" t="s">
        <v>8609</v>
      </c>
      <c r="F644" s="1" t="s">
        <v>8783</v>
      </c>
      <c r="G644" t="s">
        <v>1</v>
      </c>
      <c r="H644" t="s">
        <v>0</v>
      </c>
      <c r="I644" t="s">
        <v>8165</v>
      </c>
      <c r="J644" t="s">
        <v>8164</v>
      </c>
      <c r="K644">
        <v>13342</v>
      </c>
      <c r="L644">
        <v>13342</v>
      </c>
      <c r="M644" t="s">
        <v>8281</v>
      </c>
      <c r="N644" t="s">
        <v>8282</v>
      </c>
      <c r="O644" s="3">
        <v>0</v>
      </c>
      <c r="P644" s="3">
        <v>0</v>
      </c>
      <c r="Q644" s="3">
        <v>63</v>
      </c>
      <c r="R644" s="3">
        <v>8.19</v>
      </c>
      <c r="S644" s="3">
        <v>0</v>
      </c>
      <c r="T644" s="3">
        <v>0</v>
      </c>
      <c r="U644" s="3">
        <v>71.19</v>
      </c>
      <c r="V644" s="3">
        <v>0</v>
      </c>
      <c r="W644" s="3" t="s">
        <v>1</v>
      </c>
    </row>
    <row r="645" spans="5:23" hidden="1" x14ac:dyDescent="0.25">
      <c r="E645" t="s">
        <v>8609</v>
      </c>
      <c r="F645" s="1" t="s">
        <v>8783</v>
      </c>
      <c r="G645" t="s">
        <v>1</v>
      </c>
      <c r="H645" t="s">
        <v>0</v>
      </c>
      <c r="I645" t="s">
        <v>8165</v>
      </c>
      <c r="J645" t="s">
        <v>8164</v>
      </c>
      <c r="K645">
        <v>13343</v>
      </c>
      <c r="L645">
        <v>13343</v>
      </c>
      <c r="M645" t="s">
        <v>1273</v>
      </c>
      <c r="N645" t="s">
        <v>1274</v>
      </c>
      <c r="O645" s="3">
        <v>0</v>
      </c>
      <c r="P645" s="3">
        <v>0</v>
      </c>
      <c r="Q645" s="3">
        <v>241.59</v>
      </c>
      <c r="R645" s="3">
        <v>31.406700000000001</v>
      </c>
      <c r="S645" s="3">
        <v>0</v>
      </c>
      <c r="T645" s="3">
        <v>0</v>
      </c>
      <c r="U645" s="3">
        <v>272.99670000000003</v>
      </c>
      <c r="V645" s="3">
        <v>0</v>
      </c>
      <c r="W645" s="3" t="s">
        <v>1</v>
      </c>
    </row>
    <row r="646" spans="5:23" hidden="1" x14ac:dyDescent="0.25">
      <c r="E646" t="s">
        <v>8609</v>
      </c>
      <c r="F646" s="1" t="s">
        <v>8783</v>
      </c>
      <c r="G646" t="s">
        <v>1</v>
      </c>
      <c r="H646" t="s">
        <v>0</v>
      </c>
      <c r="I646" t="s">
        <v>8165</v>
      </c>
      <c r="J646" t="s">
        <v>8164</v>
      </c>
      <c r="K646">
        <v>13344</v>
      </c>
      <c r="L646">
        <v>13344</v>
      </c>
      <c r="M646" t="s">
        <v>8569</v>
      </c>
      <c r="N646" t="s">
        <v>8570</v>
      </c>
      <c r="O646" s="3">
        <v>0</v>
      </c>
      <c r="P646" s="3">
        <v>0</v>
      </c>
      <c r="Q646" s="3">
        <v>153.76</v>
      </c>
      <c r="R646" s="3">
        <v>19.988800000000001</v>
      </c>
      <c r="S646" s="3">
        <v>0</v>
      </c>
      <c r="T646" s="3">
        <v>0</v>
      </c>
      <c r="U646" s="3">
        <v>173.74879999999999</v>
      </c>
      <c r="V646" s="3">
        <v>0</v>
      </c>
      <c r="W646" s="3" t="s">
        <v>1</v>
      </c>
    </row>
    <row r="647" spans="5:23" hidden="1" x14ac:dyDescent="0.25">
      <c r="E647" t="s">
        <v>8609</v>
      </c>
      <c r="F647" s="1" t="s">
        <v>8783</v>
      </c>
      <c r="G647" t="s">
        <v>1</v>
      </c>
      <c r="H647" t="s">
        <v>0</v>
      </c>
      <c r="I647" t="s">
        <v>8165</v>
      </c>
      <c r="J647" t="s">
        <v>8164</v>
      </c>
      <c r="K647">
        <v>13345</v>
      </c>
      <c r="L647">
        <v>13345</v>
      </c>
      <c r="M647" t="s">
        <v>164</v>
      </c>
      <c r="N647" t="s">
        <v>165</v>
      </c>
      <c r="O647" s="3">
        <v>0</v>
      </c>
      <c r="P647" s="3">
        <v>0</v>
      </c>
      <c r="Q647" s="3">
        <v>145.59</v>
      </c>
      <c r="R647" s="3">
        <v>18.9267</v>
      </c>
      <c r="S647" s="3">
        <v>0</v>
      </c>
      <c r="T647" s="3">
        <v>0</v>
      </c>
      <c r="U647" s="3">
        <v>164.51670000000001</v>
      </c>
      <c r="V647" s="3">
        <v>0</v>
      </c>
      <c r="W647" s="3" t="s">
        <v>1</v>
      </c>
    </row>
    <row r="648" spans="5:23" hidden="1" x14ac:dyDescent="0.25">
      <c r="E648" t="s">
        <v>8609</v>
      </c>
      <c r="F648" s="1" t="s">
        <v>8783</v>
      </c>
      <c r="G648" t="s">
        <v>1</v>
      </c>
      <c r="H648" t="s">
        <v>0</v>
      </c>
      <c r="I648" t="s">
        <v>8165</v>
      </c>
      <c r="J648" t="s">
        <v>8164</v>
      </c>
      <c r="K648">
        <v>13346</v>
      </c>
      <c r="L648">
        <v>13346</v>
      </c>
      <c r="M648" t="s">
        <v>7869</v>
      </c>
      <c r="N648" t="s">
        <v>7870</v>
      </c>
      <c r="O648" s="3">
        <v>0</v>
      </c>
      <c r="P648" s="3">
        <v>0</v>
      </c>
      <c r="Q648" s="3">
        <v>25.5</v>
      </c>
      <c r="R648" s="3">
        <v>3.3149999999999999</v>
      </c>
      <c r="S648" s="3">
        <v>0</v>
      </c>
      <c r="T648" s="3">
        <v>0</v>
      </c>
      <c r="U648" s="3">
        <v>28.815000000000001</v>
      </c>
      <c r="V648" s="3">
        <v>0</v>
      </c>
      <c r="W648" s="3" t="s">
        <v>1</v>
      </c>
    </row>
    <row r="649" spans="5:23" hidden="1" x14ac:dyDescent="0.25">
      <c r="E649" t="s">
        <v>8609</v>
      </c>
      <c r="F649" s="1" t="s">
        <v>8783</v>
      </c>
      <c r="G649" t="s">
        <v>1</v>
      </c>
      <c r="H649" t="s">
        <v>0</v>
      </c>
      <c r="I649" t="s">
        <v>8165</v>
      </c>
      <c r="J649" t="s">
        <v>8164</v>
      </c>
      <c r="K649">
        <v>13347</v>
      </c>
      <c r="L649">
        <v>13347</v>
      </c>
      <c r="M649" t="s">
        <v>7869</v>
      </c>
      <c r="N649" t="s">
        <v>7870</v>
      </c>
      <c r="O649" s="3">
        <v>0</v>
      </c>
      <c r="P649" s="3">
        <v>0</v>
      </c>
      <c r="Q649" s="3">
        <v>120.13</v>
      </c>
      <c r="R649" s="3">
        <v>15.616899999999999</v>
      </c>
      <c r="S649" s="3">
        <v>0</v>
      </c>
      <c r="T649" s="3">
        <v>0</v>
      </c>
      <c r="U649" s="3">
        <v>135.74689999999998</v>
      </c>
      <c r="V649" s="3">
        <v>0</v>
      </c>
      <c r="W649" s="3" t="s">
        <v>1</v>
      </c>
    </row>
    <row r="650" spans="5:23" hidden="1" x14ac:dyDescent="0.25">
      <c r="E650" t="s">
        <v>8609</v>
      </c>
      <c r="F650" s="1" t="s">
        <v>8783</v>
      </c>
      <c r="G650" t="s">
        <v>1</v>
      </c>
      <c r="H650" t="s">
        <v>0</v>
      </c>
      <c r="I650" t="s">
        <v>8165</v>
      </c>
      <c r="J650" t="s">
        <v>8164</v>
      </c>
      <c r="K650">
        <v>13348</v>
      </c>
      <c r="L650">
        <v>13348</v>
      </c>
      <c r="M650" t="s">
        <v>7869</v>
      </c>
      <c r="N650" t="s">
        <v>7870</v>
      </c>
      <c r="O650" s="3">
        <v>0</v>
      </c>
      <c r="P650" s="3">
        <v>0</v>
      </c>
      <c r="Q650" s="3">
        <v>57.6</v>
      </c>
      <c r="R650" s="3">
        <v>7.4880000000000004</v>
      </c>
      <c r="S650" s="3">
        <v>0</v>
      </c>
      <c r="T650" s="3">
        <v>0</v>
      </c>
      <c r="U650" s="3">
        <v>65.088000000000008</v>
      </c>
      <c r="V650" s="3">
        <v>0</v>
      </c>
      <c r="W650" s="3" t="s">
        <v>1</v>
      </c>
    </row>
    <row r="651" spans="5:23" hidden="1" x14ac:dyDescent="0.25">
      <c r="E651" t="s">
        <v>8609</v>
      </c>
      <c r="F651" s="1" t="s">
        <v>8783</v>
      </c>
      <c r="G651" t="s">
        <v>1</v>
      </c>
      <c r="H651" t="s">
        <v>0</v>
      </c>
      <c r="I651" t="s">
        <v>8165</v>
      </c>
      <c r="J651" t="s">
        <v>8164</v>
      </c>
      <c r="K651">
        <v>13349</v>
      </c>
      <c r="L651">
        <v>13349</v>
      </c>
      <c r="M651" t="s">
        <v>164</v>
      </c>
      <c r="N651" t="s">
        <v>165</v>
      </c>
      <c r="O651" s="3">
        <v>0</v>
      </c>
      <c r="P651" s="3">
        <v>0</v>
      </c>
      <c r="Q651" s="3">
        <v>96.11</v>
      </c>
      <c r="R651" s="3">
        <v>12.494300000000001</v>
      </c>
      <c r="S651" s="3">
        <v>0</v>
      </c>
      <c r="T651" s="3">
        <v>0</v>
      </c>
      <c r="U651" s="3">
        <v>108.60429999999999</v>
      </c>
      <c r="V651" s="3">
        <v>0</v>
      </c>
      <c r="W651" s="3" t="s">
        <v>1</v>
      </c>
    </row>
    <row r="652" spans="5:23" hidden="1" x14ac:dyDescent="0.25">
      <c r="E652" t="s">
        <v>8609</v>
      </c>
      <c r="F652" s="34" t="s">
        <v>8782</v>
      </c>
      <c r="G652" t="s">
        <v>1</v>
      </c>
      <c r="H652" t="s">
        <v>0</v>
      </c>
      <c r="I652" t="s">
        <v>8165</v>
      </c>
      <c r="J652" t="s">
        <v>8164</v>
      </c>
      <c r="K652">
        <v>13350</v>
      </c>
      <c r="L652">
        <v>13350</v>
      </c>
      <c r="M652" t="s">
        <v>7852</v>
      </c>
      <c r="N652" t="s">
        <v>7851</v>
      </c>
      <c r="O652" s="3">
        <v>0</v>
      </c>
      <c r="P652" s="3">
        <v>0</v>
      </c>
      <c r="Q652" s="3">
        <v>0</v>
      </c>
      <c r="R652" s="3">
        <v>0</v>
      </c>
      <c r="S652" s="3">
        <v>0</v>
      </c>
      <c r="T652" s="3">
        <v>0</v>
      </c>
      <c r="U652" s="3">
        <v>0</v>
      </c>
      <c r="V652" s="3">
        <v>0</v>
      </c>
      <c r="W652" s="3" t="s">
        <v>1</v>
      </c>
    </row>
    <row r="653" spans="5:23" hidden="1" x14ac:dyDescent="0.25">
      <c r="E653" t="s">
        <v>8609</v>
      </c>
      <c r="F653" s="34" t="s">
        <v>8782</v>
      </c>
      <c r="G653" t="s">
        <v>1</v>
      </c>
      <c r="H653" t="s">
        <v>0</v>
      </c>
      <c r="I653" t="s">
        <v>8165</v>
      </c>
      <c r="J653" t="s">
        <v>8164</v>
      </c>
      <c r="K653">
        <v>13352</v>
      </c>
      <c r="L653">
        <v>13352</v>
      </c>
      <c r="M653" t="s">
        <v>7852</v>
      </c>
      <c r="N653" t="s">
        <v>7851</v>
      </c>
      <c r="O653" s="3">
        <v>0</v>
      </c>
      <c r="P653" s="3">
        <v>0</v>
      </c>
      <c r="Q653" s="3">
        <v>0</v>
      </c>
      <c r="R653" s="3">
        <v>0</v>
      </c>
      <c r="S653" s="3">
        <v>0</v>
      </c>
      <c r="T653" s="3">
        <v>0</v>
      </c>
      <c r="U653" s="3">
        <v>0</v>
      </c>
      <c r="V653" s="3">
        <v>0</v>
      </c>
      <c r="W653" s="3" t="s">
        <v>1</v>
      </c>
    </row>
    <row r="654" spans="5:23" hidden="1" x14ac:dyDescent="0.25">
      <c r="E654" t="s">
        <v>8609</v>
      </c>
      <c r="F654" s="34" t="s">
        <v>8782</v>
      </c>
      <c r="G654" t="s">
        <v>1</v>
      </c>
      <c r="H654" t="s">
        <v>0</v>
      </c>
      <c r="I654" t="s">
        <v>8165</v>
      </c>
      <c r="J654" t="s">
        <v>8164</v>
      </c>
      <c r="K654">
        <v>13353</v>
      </c>
      <c r="L654">
        <v>13353</v>
      </c>
      <c r="M654" t="s">
        <v>8243</v>
      </c>
      <c r="N654" t="s">
        <v>8244</v>
      </c>
      <c r="O654" s="3">
        <v>0</v>
      </c>
      <c r="P654" s="3">
        <v>0</v>
      </c>
      <c r="Q654" s="3">
        <v>67.52</v>
      </c>
      <c r="R654" s="3">
        <v>8.7775999999999996</v>
      </c>
      <c r="S654" s="3">
        <v>0</v>
      </c>
      <c r="T654" s="3">
        <v>0</v>
      </c>
      <c r="U654" s="3">
        <v>76.297599999999989</v>
      </c>
      <c r="V654" s="3">
        <v>0</v>
      </c>
      <c r="W654" s="3" t="s">
        <v>1</v>
      </c>
    </row>
    <row r="655" spans="5:23" hidden="1" x14ac:dyDescent="0.25">
      <c r="E655" t="s">
        <v>8609</v>
      </c>
      <c r="F655" s="34" t="s">
        <v>8782</v>
      </c>
      <c r="G655" t="s">
        <v>1</v>
      </c>
      <c r="H655" t="s">
        <v>0</v>
      </c>
      <c r="I655" t="s">
        <v>8165</v>
      </c>
      <c r="J655" t="s">
        <v>8164</v>
      </c>
      <c r="K655">
        <v>13354</v>
      </c>
      <c r="L655">
        <v>13354</v>
      </c>
      <c r="M655" t="s">
        <v>936</v>
      </c>
      <c r="N655" t="s">
        <v>937</v>
      </c>
      <c r="O655" s="3">
        <v>0</v>
      </c>
      <c r="P655" s="3">
        <v>0</v>
      </c>
      <c r="Q655" s="3">
        <v>15.58</v>
      </c>
      <c r="R655" s="3">
        <v>2.0253999999999999</v>
      </c>
      <c r="S655" s="3">
        <v>0</v>
      </c>
      <c r="T655" s="3">
        <v>0</v>
      </c>
      <c r="U655" s="3">
        <v>17.605399999999999</v>
      </c>
      <c r="V655" s="3">
        <v>0</v>
      </c>
      <c r="W655" s="3" t="s">
        <v>1</v>
      </c>
    </row>
    <row r="656" spans="5:23" hidden="1" x14ac:dyDescent="0.25">
      <c r="E656" t="s">
        <v>8609</v>
      </c>
      <c r="F656" s="34" t="s">
        <v>8782</v>
      </c>
      <c r="G656" t="s">
        <v>1</v>
      </c>
      <c r="H656" t="s">
        <v>0</v>
      </c>
      <c r="I656" t="s">
        <v>8165</v>
      </c>
      <c r="J656" t="s">
        <v>8164</v>
      </c>
      <c r="K656">
        <v>13355</v>
      </c>
      <c r="L656">
        <v>13355</v>
      </c>
      <c r="M656" t="s">
        <v>8793</v>
      </c>
      <c r="N656" t="s">
        <v>8794</v>
      </c>
      <c r="O656" s="3">
        <v>0</v>
      </c>
      <c r="P656" s="3">
        <v>0</v>
      </c>
      <c r="Q656" s="3">
        <v>110.88</v>
      </c>
      <c r="R656" s="3">
        <v>14.414400000000001</v>
      </c>
      <c r="S656" s="3">
        <v>0</v>
      </c>
      <c r="T656" s="3">
        <v>0</v>
      </c>
      <c r="U656" s="3">
        <v>125.2944</v>
      </c>
      <c r="V656" s="3">
        <v>0</v>
      </c>
      <c r="W656" s="3" t="s">
        <v>1</v>
      </c>
    </row>
    <row r="657" spans="5:23" hidden="1" x14ac:dyDescent="0.25">
      <c r="E657" t="s">
        <v>8609</v>
      </c>
      <c r="F657" s="34" t="s">
        <v>8782</v>
      </c>
      <c r="G657" t="s">
        <v>1</v>
      </c>
      <c r="H657" t="s">
        <v>0</v>
      </c>
      <c r="I657" t="s">
        <v>8165</v>
      </c>
      <c r="J657" t="s">
        <v>8164</v>
      </c>
      <c r="K657">
        <v>13356</v>
      </c>
      <c r="L657">
        <v>13356</v>
      </c>
      <c r="M657" t="s">
        <v>8174</v>
      </c>
      <c r="N657" t="s">
        <v>8175</v>
      </c>
      <c r="O657" s="3">
        <v>0</v>
      </c>
      <c r="P657" s="3">
        <v>0</v>
      </c>
      <c r="Q657" s="3">
        <v>82.52</v>
      </c>
      <c r="R657" s="3">
        <v>10.727600000000001</v>
      </c>
      <c r="S657" s="3">
        <v>0</v>
      </c>
      <c r="T657" s="3">
        <v>0</v>
      </c>
      <c r="U657" s="3">
        <v>93.247599999999991</v>
      </c>
      <c r="V657" s="3">
        <v>0</v>
      </c>
      <c r="W657" s="3" t="s">
        <v>1</v>
      </c>
    </row>
    <row r="658" spans="5:23" hidden="1" x14ac:dyDescent="0.25">
      <c r="E658" t="s">
        <v>8609</v>
      </c>
      <c r="F658" s="34" t="s">
        <v>8782</v>
      </c>
      <c r="G658" t="s">
        <v>1</v>
      </c>
      <c r="H658" t="s">
        <v>0</v>
      </c>
      <c r="I658" t="s">
        <v>8165</v>
      </c>
      <c r="J658" t="s">
        <v>8164</v>
      </c>
      <c r="K658">
        <v>13357</v>
      </c>
      <c r="L658">
        <v>13357</v>
      </c>
      <c r="M658" t="s">
        <v>8727</v>
      </c>
      <c r="N658" t="s">
        <v>8728</v>
      </c>
      <c r="O658" s="3">
        <v>0</v>
      </c>
      <c r="P658" s="3">
        <v>0</v>
      </c>
      <c r="Q658" s="3">
        <v>320.08</v>
      </c>
      <c r="R658" s="3">
        <v>41.610399999999998</v>
      </c>
      <c r="S658" s="3">
        <v>0</v>
      </c>
      <c r="T658" s="3">
        <v>0</v>
      </c>
      <c r="U658" s="3">
        <v>361.69039999999995</v>
      </c>
      <c r="V658" s="3">
        <v>0</v>
      </c>
      <c r="W658" s="3" t="s">
        <v>1</v>
      </c>
    </row>
    <row r="659" spans="5:23" hidden="1" x14ac:dyDescent="0.25">
      <c r="E659" t="s">
        <v>8609</v>
      </c>
      <c r="F659" s="34" t="s">
        <v>8782</v>
      </c>
      <c r="G659" t="s">
        <v>1</v>
      </c>
      <c r="H659" t="s">
        <v>0</v>
      </c>
      <c r="I659" t="s">
        <v>8165</v>
      </c>
      <c r="J659" t="s">
        <v>8164</v>
      </c>
      <c r="K659">
        <v>13358</v>
      </c>
      <c r="L659">
        <v>13358</v>
      </c>
      <c r="M659" t="s">
        <v>115</v>
      </c>
      <c r="N659" t="s">
        <v>116</v>
      </c>
      <c r="O659" s="3">
        <v>0</v>
      </c>
      <c r="P659" s="3">
        <v>0</v>
      </c>
      <c r="Q659" s="3">
        <v>239.04</v>
      </c>
      <c r="R659" s="3">
        <v>31.075199999999999</v>
      </c>
      <c r="S659" s="3">
        <v>0</v>
      </c>
      <c r="T659" s="3">
        <v>0</v>
      </c>
      <c r="U659" s="3">
        <v>270.11520000000002</v>
      </c>
      <c r="V659" s="3">
        <v>0</v>
      </c>
      <c r="W659" s="3" t="s">
        <v>1</v>
      </c>
    </row>
    <row r="660" spans="5:23" hidden="1" x14ac:dyDescent="0.25">
      <c r="E660" t="s">
        <v>8609</v>
      </c>
      <c r="F660" s="34" t="s">
        <v>8782</v>
      </c>
      <c r="G660" t="s">
        <v>1</v>
      </c>
      <c r="H660" t="s">
        <v>0</v>
      </c>
      <c r="I660" t="s">
        <v>8165</v>
      </c>
      <c r="J660" t="s">
        <v>8164</v>
      </c>
      <c r="K660">
        <v>13359</v>
      </c>
      <c r="L660">
        <v>13359</v>
      </c>
      <c r="M660" t="s">
        <v>8209</v>
      </c>
      <c r="N660" t="s">
        <v>8210</v>
      </c>
      <c r="O660" s="3">
        <v>0</v>
      </c>
      <c r="P660" s="3">
        <v>0</v>
      </c>
      <c r="Q660" s="3">
        <v>1016.58</v>
      </c>
      <c r="R660" s="3">
        <v>132.15540000000001</v>
      </c>
      <c r="S660" s="3">
        <v>0</v>
      </c>
      <c r="T660" s="3">
        <v>0</v>
      </c>
      <c r="U660" s="3">
        <v>1148.7354</v>
      </c>
      <c r="V660" s="3">
        <v>0</v>
      </c>
      <c r="W660" s="3" t="s">
        <v>1</v>
      </c>
    </row>
    <row r="661" spans="5:23" hidden="1" x14ac:dyDescent="0.25">
      <c r="E661" t="s">
        <v>8609</v>
      </c>
      <c r="F661" s="34" t="s">
        <v>8782</v>
      </c>
      <c r="G661" t="s">
        <v>1</v>
      </c>
      <c r="H661" t="s">
        <v>0</v>
      </c>
      <c r="I661" t="s">
        <v>8165</v>
      </c>
      <c r="J661" t="s">
        <v>8164</v>
      </c>
      <c r="K661">
        <v>13360</v>
      </c>
      <c r="L661">
        <v>13360</v>
      </c>
      <c r="M661" t="s">
        <v>8018</v>
      </c>
      <c r="N661" t="s">
        <v>8019</v>
      </c>
      <c r="O661" s="3">
        <v>0</v>
      </c>
      <c r="P661" s="3">
        <v>0</v>
      </c>
      <c r="Q661" s="3">
        <v>55.31</v>
      </c>
      <c r="R661" s="3">
        <v>7.1903000000000006</v>
      </c>
      <c r="S661" s="3">
        <v>0</v>
      </c>
      <c r="T661" s="3">
        <v>0</v>
      </c>
      <c r="U661" s="3">
        <v>62.500300000000003</v>
      </c>
      <c r="V661" s="3">
        <v>0</v>
      </c>
      <c r="W661" s="3" t="s">
        <v>1</v>
      </c>
    </row>
    <row r="662" spans="5:23" hidden="1" x14ac:dyDescent="0.25">
      <c r="E662" t="s">
        <v>8609</v>
      </c>
      <c r="F662" s="34" t="s">
        <v>8782</v>
      </c>
      <c r="G662" t="s">
        <v>1</v>
      </c>
      <c r="H662" t="s">
        <v>0</v>
      </c>
      <c r="I662" t="s">
        <v>8165</v>
      </c>
      <c r="J662" t="s">
        <v>8164</v>
      </c>
      <c r="K662">
        <v>13361</v>
      </c>
      <c r="L662">
        <v>13361</v>
      </c>
      <c r="M662" t="s">
        <v>8188</v>
      </c>
      <c r="N662" t="s">
        <v>8189</v>
      </c>
      <c r="O662" s="3">
        <v>0</v>
      </c>
      <c r="P662" s="3">
        <v>0</v>
      </c>
      <c r="Q662" s="3">
        <v>285.60000000000002</v>
      </c>
      <c r="R662" s="3">
        <v>37.128000000000007</v>
      </c>
      <c r="S662" s="3">
        <v>0</v>
      </c>
      <c r="T662" s="3">
        <v>0</v>
      </c>
      <c r="U662" s="3">
        <v>322.72800000000001</v>
      </c>
      <c r="V662" s="3">
        <v>0</v>
      </c>
      <c r="W662" s="3" t="s">
        <v>1</v>
      </c>
    </row>
    <row r="663" spans="5:23" hidden="1" x14ac:dyDescent="0.25">
      <c r="E663" t="s">
        <v>8609</v>
      </c>
      <c r="F663" s="34" t="s">
        <v>8782</v>
      </c>
      <c r="G663" t="s">
        <v>1</v>
      </c>
      <c r="H663" t="s">
        <v>0</v>
      </c>
      <c r="I663" t="s">
        <v>8165</v>
      </c>
      <c r="J663" t="s">
        <v>8164</v>
      </c>
      <c r="K663">
        <v>13362</v>
      </c>
      <c r="L663">
        <v>13362</v>
      </c>
      <c r="M663" t="s">
        <v>8166</v>
      </c>
      <c r="N663" t="s">
        <v>8167</v>
      </c>
      <c r="O663" s="3">
        <v>0</v>
      </c>
      <c r="P663" s="3">
        <v>0</v>
      </c>
      <c r="Q663" s="3">
        <v>142.66</v>
      </c>
      <c r="R663" s="3">
        <v>18.5458</v>
      </c>
      <c r="S663" s="3">
        <v>0</v>
      </c>
      <c r="T663" s="3">
        <v>0</v>
      </c>
      <c r="U663" s="3">
        <v>161.20580000000001</v>
      </c>
      <c r="V663" s="3">
        <v>0</v>
      </c>
      <c r="W663" s="3" t="s">
        <v>1</v>
      </c>
    </row>
    <row r="664" spans="5:23" hidden="1" x14ac:dyDescent="0.25">
      <c r="E664" t="s">
        <v>8609</v>
      </c>
      <c r="F664" s="34" t="s">
        <v>8782</v>
      </c>
      <c r="G664" t="s">
        <v>1</v>
      </c>
      <c r="H664" t="s">
        <v>0</v>
      </c>
      <c r="I664" t="s">
        <v>8165</v>
      </c>
      <c r="J664" t="s">
        <v>8164</v>
      </c>
      <c r="K664">
        <v>13363</v>
      </c>
      <c r="L664">
        <v>13363</v>
      </c>
      <c r="M664" t="s">
        <v>8727</v>
      </c>
      <c r="N664" t="s">
        <v>8728</v>
      </c>
      <c r="O664" s="3">
        <v>0</v>
      </c>
      <c r="P664" s="3">
        <v>0</v>
      </c>
      <c r="Q664" s="3">
        <v>56.82</v>
      </c>
      <c r="R664" s="3">
        <v>7.3866000000000005</v>
      </c>
      <c r="S664" s="3">
        <v>0</v>
      </c>
      <c r="T664" s="3">
        <v>0</v>
      </c>
      <c r="U664" s="3">
        <v>64.206599999999995</v>
      </c>
      <c r="V664" s="3">
        <v>0</v>
      </c>
      <c r="W664" s="3" t="s">
        <v>1</v>
      </c>
    </row>
    <row r="665" spans="5:23" hidden="1" x14ac:dyDescent="0.25">
      <c r="E665" t="s">
        <v>8609</v>
      </c>
      <c r="F665" s="1" t="s">
        <v>8781</v>
      </c>
      <c r="G665" t="s">
        <v>1</v>
      </c>
      <c r="H665" t="s">
        <v>0</v>
      </c>
      <c r="I665" t="s">
        <v>8165</v>
      </c>
      <c r="J665" t="s">
        <v>8164</v>
      </c>
      <c r="K665">
        <v>13364</v>
      </c>
      <c r="L665">
        <v>13364</v>
      </c>
      <c r="M665" t="s">
        <v>164</v>
      </c>
      <c r="N665" t="s">
        <v>165</v>
      </c>
      <c r="O665" s="3">
        <v>0</v>
      </c>
      <c r="P665" s="3">
        <v>0</v>
      </c>
      <c r="Q665" s="3">
        <v>307.2</v>
      </c>
      <c r="R665" s="3">
        <v>39.936</v>
      </c>
      <c r="S665" s="3">
        <v>0</v>
      </c>
      <c r="T665" s="3">
        <v>0</v>
      </c>
      <c r="U665" s="3">
        <v>347.13599999999997</v>
      </c>
      <c r="V665" s="3">
        <v>0</v>
      </c>
      <c r="W665" s="3" t="s">
        <v>1</v>
      </c>
    </row>
    <row r="666" spans="5:23" hidden="1" x14ac:dyDescent="0.25">
      <c r="E666" t="s">
        <v>8609</v>
      </c>
      <c r="F666" s="1" t="s">
        <v>8780</v>
      </c>
      <c r="G666" t="s">
        <v>1</v>
      </c>
      <c r="H666" t="s">
        <v>0</v>
      </c>
      <c r="I666" t="s">
        <v>8165</v>
      </c>
      <c r="J666" t="s">
        <v>8164</v>
      </c>
      <c r="K666">
        <v>13365</v>
      </c>
      <c r="L666">
        <v>13365</v>
      </c>
      <c r="M666" t="s">
        <v>8188</v>
      </c>
      <c r="N666" t="s">
        <v>8189</v>
      </c>
      <c r="O666" s="3">
        <v>0</v>
      </c>
      <c r="P666" s="3">
        <v>0</v>
      </c>
      <c r="Q666" s="3">
        <v>22.57</v>
      </c>
      <c r="R666" s="3">
        <v>2.9340999999999999</v>
      </c>
      <c r="S666" s="3">
        <v>0</v>
      </c>
      <c r="T666" s="3">
        <v>0</v>
      </c>
      <c r="U666" s="3">
        <v>25.504100000000001</v>
      </c>
      <c r="V666" s="3">
        <v>0</v>
      </c>
      <c r="W666" s="3" t="s">
        <v>1</v>
      </c>
    </row>
    <row r="667" spans="5:23" hidden="1" x14ac:dyDescent="0.25">
      <c r="E667" t="s">
        <v>8609</v>
      </c>
      <c r="F667" s="1" t="s">
        <v>8780</v>
      </c>
      <c r="G667" t="s">
        <v>1</v>
      </c>
      <c r="H667" t="s">
        <v>0</v>
      </c>
      <c r="I667" t="s">
        <v>8165</v>
      </c>
      <c r="J667" t="s">
        <v>8164</v>
      </c>
      <c r="K667">
        <v>13366</v>
      </c>
      <c r="L667">
        <v>13366</v>
      </c>
      <c r="M667" t="s">
        <v>153</v>
      </c>
      <c r="N667" t="s">
        <v>154</v>
      </c>
      <c r="O667" s="3">
        <v>0</v>
      </c>
      <c r="P667" s="3">
        <v>0</v>
      </c>
      <c r="Q667" s="3">
        <v>90.62</v>
      </c>
      <c r="R667" s="3">
        <v>11.780600000000002</v>
      </c>
      <c r="S667" s="3">
        <v>0</v>
      </c>
      <c r="T667" s="3">
        <v>0</v>
      </c>
      <c r="U667" s="3">
        <v>102.40060000000001</v>
      </c>
      <c r="V667" s="3">
        <v>0</v>
      </c>
      <c r="W667" s="3" t="s">
        <v>1</v>
      </c>
    </row>
    <row r="668" spans="5:23" hidden="1" x14ac:dyDescent="0.25">
      <c r="E668" t="s">
        <v>8609</v>
      </c>
      <c r="F668" s="1" t="s">
        <v>8780</v>
      </c>
      <c r="G668" t="s">
        <v>1</v>
      </c>
      <c r="H668" t="s">
        <v>0</v>
      </c>
      <c r="I668" t="s">
        <v>8165</v>
      </c>
      <c r="J668" t="s">
        <v>8164</v>
      </c>
      <c r="K668">
        <v>13367</v>
      </c>
      <c r="L668">
        <v>13367</v>
      </c>
      <c r="M668" t="s">
        <v>238</v>
      </c>
      <c r="N668" t="s">
        <v>239</v>
      </c>
      <c r="O668" s="3">
        <v>0</v>
      </c>
      <c r="P668" s="3">
        <v>0</v>
      </c>
      <c r="Q668" s="3">
        <v>49.95</v>
      </c>
      <c r="R668" s="3">
        <v>6.4935000000000009</v>
      </c>
      <c r="S668" s="3">
        <v>0</v>
      </c>
      <c r="T668" s="3">
        <v>0</v>
      </c>
      <c r="U668" s="3">
        <v>56.4435</v>
      </c>
      <c r="V668" s="3">
        <v>0</v>
      </c>
      <c r="W668" s="3" t="s">
        <v>1</v>
      </c>
    </row>
    <row r="669" spans="5:23" hidden="1" x14ac:dyDescent="0.25">
      <c r="E669" t="s">
        <v>8609</v>
      </c>
      <c r="F669" s="1" t="s">
        <v>8780</v>
      </c>
      <c r="G669" t="s">
        <v>1</v>
      </c>
      <c r="H669" t="s">
        <v>0</v>
      </c>
      <c r="I669" t="s">
        <v>8165</v>
      </c>
      <c r="J669" t="s">
        <v>8164</v>
      </c>
      <c r="K669">
        <v>13368</v>
      </c>
      <c r="L669">
        <v>13368</v>
      </c>
      <c r="M669" t="s">
        <v>238</v>
      </c>
      <c r="N669" t="s">
        <v>239</v>
      </c>
      <c r="O669" s="3">
        <v>0</v>
      </c>
      <c r="P669" s="3">
        <v>0</v>
      </c>
      <c r="Q669" s="3">
        <v>159.5</v>
      </c>
      <c r="R669" s="3">
        <v>20.734999999999999</v>
      </c>
      <c r="S669" s="3">
        <v>0</v>
      </c>
      <c r="T669" s="3">
        <v>0</v>
      </c>
      <c r="U669" s="3">
        <v>180.23500000000001</v>
      </c>
      <c r="V669" s="3">
        <v>0</v>
      </c>
      <c r="W669" s="3" t="s">
        <v>1</v>
      </c>
    </row>
    <row r="670" spans="5:23" hidden="1" x14ac:dyDescent="0.25">
      <c r="E670" t="s">
        <v>8609</v>
      </c>
      <c r="F670" s="1" t="s">
        <v>8780</v>
      </c>
      <c r="G670" t="s">
        <v>1</v>
      </c>
      <c r="H670" t="s">
        <v>0</v>
      </c>
      <c r="I670" t="s">
        <v>8165</v>
      </c>
      <c r="J670" t="s">
        <v>8164</v>
      </c>
      <c r="K670">
        <v>13369</v>
      </c>
      <c r="L670">
        <v>13369</v>
      </c>
      <c r="M670" t="s">
        <v>8711</v>
      </c>
      <c r="N670" t="s">
        <v>8712</v>
      </c>
      <c r="O670" s="3">
        <v>0</v>
      </c>
      <c r="P670" s="3">
        <v>0</v>
      </c>
      <c r="Q670" s="3">
        <v>113.16</v>
      </c>
      <c r="R670" s="3">
        <v>14.710800000000001</v>
      </c>
      <c r="S670" s="3">
        <v>0</v>
      </c>
      <c r="T670" s="3">
        <v>0</v>
      </c>
      <c r="U670" s="3">
        <v>127.8708</v>
      </c>
      <c r="V670" s="3">
        <v>0</v>
      </c>
      <c r="W670" s="3" t="s">
        <v>1</v>
      </c>
    </row>
    <row r="671" spans="5:23" hidden="1" x14ac:dyDescent="0.25">
      <c r="E671" t="s">
        <v>8609</v>
      </c>
      <c r="F671" s="1" t="s">
        <v>8780</v>
      </c>
      <c r="G671" t="s">
        <v>1</v>
      </c>
      <c r="H671" t="s">
        <v>0</v>
      </c>
      <c r="I671" t="s">
        <v>8165</v>
      </c>
      <c r="J671" t="s">
        <v>8164</v>
      </c>
      <c r="K671">
        <v>13370</v>
      </c>
      <c r="L671">
        <v>13370</v>
      </c>
      <c r="M671" t="s">
        <v>436</v>
      </c>
      <c r="N671" t="s">
        <v>437</v>
      </c>
      <c r="O671" s="3">
        <v>0</v>
      </c>
      <c r="P671" s="3">
        <v>0</v>
      </c>
      <c r="Q671" s="3">
        <v>80.44</v>
      </c>
      <c r="R671" s="3">
        <v>10.4572</v>
      </c>
      <c r="S671" s="3">
        <v>0</v>
      </c>
      <c r="T671" s="3">
        <v>0</v>
      </c>
      <c r="U671" s="3">
        <v>90.897199999999998</v>
      </c>
      <c r="V671" s="3">
        <v>0</v>
      </c>
      <c r="W671" s="3" t="s">
        <v>1</v>
      </c>
    </row>
    <row r="672" spans="5:23" hidden="1" x14ac:dyDescent="0.25">
      <c r="E672" t="s">
        <v>8609</v>
      </c>
      <c r="F672" s="1" t="s">
        <v>8780</v>
      </c>
      <c r="G672" t="s">
        <v>1</v>
      </c>
      <c r="H672" t="s">
        <v>0</v>
      </c>
      <c r="I672" t="s">
        <v>8165</v>
      </c>
      <c r="J672" t="s">
        <v>8164</v>
      </c>
      <c r="K672">
        <v>13371</v>
      </c>
      <c r="L672">
        <v>13371</v>
      </c>
      <c r="M672" t="s">
        <v>436</v>
      </c>
      <c r="N672" t="s">
        <v>437</v>
      </c>
      <c r="O672" s="3">
        <v>0</v>
      </c>
      <c r="P672" s="3">
        <v>0</v>
      </c>
      <c r="Q672" s="3">
        <v>18.05</v>
      </c>
      <c r="R672" s="3">
        <v>2.3465000000000003</v>
      </c>
      <c r="S672" s="3">
        <v>0</v>
      </c>
      <c r="T672" s="3">
        <v>0</v>
      </c>
      <c r="U672" s="3">
        <v>20.3965</v>
      </c>
      <c r="V672" s="3">
        <v>0</v>
      </c>
      <c r="W672" s="3" t="s">
        <v>1</v>
      </c>
    </row>
    <row r="673" spans="5:23" hidden="1" x14ac:dyDescent="0.25">
      <c r="E673" t="s">
        <v>8609</v>
      </c>
      <c r="F673" s="1" t="s">
        <v>8780</v>
      </c>
      <c r="G673" t="s">
        <v>1</v>
      </c>
      <c r="H673" t="s">
        <v>0</v>
      </c>
      <c r="I673" t="s">
        <v>8165</v>
      </c>
      <c r="J673" t="s">
        <v>8164</v>
      </c>
      <c r="K673">
        <v>13372</v>
      </c>
      <c r="L673">
        <v>13372</v>
      </c>
      <c r="M673" t="s">
        <v>7852</v>
      </c>
      <c r="N673" t="s">
        <v>7851</v>
      </c>
      <c r="O673" s="3">
        <v>0</v>
      </c>
      <c r="P673" s="3">
        <v>0</v>
      </c>
      <c r="Q673" s="3">
        <v>0</v>
      </c>
      <c r="R673" s="3">
        <v>0</v>
      </c>
      <c r="S673" s="3">
        <v>0</v>
      </c>
      <c r="T673" s="3">
        <v>0</v>
      </c>
      <c r="U673" s="3">
        <v>0</v>
      </c>
      <c r="V673" s="3">
        <v>0</v>
      </c>
      <c r="W673" s="3" t="s">
        <v>1</v>
      </c>
    </row>
    <row r="674" spans="5:23" hidden="1" x14ac:dyDescent="0.25">
      <c r="E674" t="s">
        <v>8609</v>
      </c>
      <c r="F674" s="1" t="s">
        <v>8780</v>
      </c>
      <c r="G674" t="s">
        <v>1</v>
      </c>
      <c r="H674" t="s">
        <v>0</v>
      </c>
      <c r="I674" t="s">
        <v>8165</v>
      </c>
      <c r="J674" t="s">
        <v>8164</v>
      </c>
      <c r="K674">
        <v>13373</v>
      </c>
      <c r="L674">
        <v>13373</v>
      </c>
      <c r="M674" t="s">
        <v>214</v>
      </c>
      <c r="N674" t="s">
        <v>215</v>
      </c>
      <c r="O674" s="3">
        <v>0</v>
      </c>
      <c r="P674" s="3">
        <v>0</v>
      </c>
      <c r="Q674" s="3">
        <v>727.77</v>
      </c>
      <c r="R674" s="3">
        <v>94.610100000000003</v>
      </c>
      <c r="S674" s="3">
        <v>0</v>
      </c>
      <c r="T674" s="3">
        <v>0</v>
      </c>
      <c r="U674" s="3">
        <v>822.38009999999997</v>
      </c>
      <c r="V674" s="3">
        <v>0</v>
      </c>
      <c r="W674" s="3" t="s">
        <v>1</v>
      </c>
    </row>
    <row r="675" spans="5:23" hidden="1" x14ac:dyDescent="0.25">
      <c r="E675" t="s">
        <v>8609</v>
      </c>
      <c r="F675" s="1" t="s">
        <v>8780</v>
      </c>
      <c r="G675" t="s">
        <v>1</v>
      </c>
      <c r="H675" t="s">
        <v>0</v>
      </c>
      <c r="I675" t="s">
        <v>8165</v>
      </c>
      <c r="J675" t="s">
        <v>8164</v>
      </c>
      <c r="K675">
        <v>13374</v>
      </c>
      <c r="L675">
        <v>13374</v>
      </c>
      <c r="M675" t="s">
        <v>8312</v>
      </c>
      <c r="N675" t="s">
        <v>8313</v>
      </c>
      <c r="O675" s="3">
        <v>0</v>
      </c>
      <c r="P675" s="3">
        <v>0</v>
      </c>
      <c r="Q675" s="3">
        <v>135</v>
      </c>
      <c r="R675" s="3">
        <v>17.55</v>
      </c>
      <c r="S675" s="3">
        <v>0</v>
      </c>
      <c r="T675" s="3">
        <v>0</v>
      </c>
      <c r="U675" s="3">
        <v>152.55000000000001</v>
      </c>
      <c r="V675" s="3">
        <v>0</v>
      </c>
      <c r="W675" s="3" t="s">
        <v>1</v>
      </c>
    </row>
    <row r="676" spans="5:23" hidden="1" x14ac:dyDescent="0.25">
      <c r="E676" t="s">
        <v>8609</v>
      </c>
      <c r="F676" s="1" t="s">
        <v>8780</v>
      </c>
      <c r="G676" t="s">
        <v>1</v>
      </c>
      <c r="H676" t="s">
        <v>0</v>
      </c>
      <c r="I676" t="s">
        <v>8165</v>
      </c>
      <c r="J676" t="s">
        <v>8164</v>
      </c>
      <c r="K676">
        <v>13375</v>
      </c>
      <c r="L676">
        <v>13375</v>
      </c>
      <c r="M676" t="s">
        <v>8727</v>
      </c>
      <c r="N676" t="s">
        <v>8728</v>
      </c>
      <c r="O676" s="3">
        <v>0</v>
      </c>
      <c r="P676" s="3">
        <v>0</v>
      </c>
      <c r="Q676" s="3">
        <v>37.840000000000003</v>
      </c>
      <c r="R676" s="3">
        <v>4.9192000000000009</v>
      </c>
      <c r="S676" s="3">
        <v>0</v>
      </c>
      <c r="T676" s="3">
        <v>0</v>
      </c>
      <c r="U676" s="3">
        <v>42.759200000000007</v>
      </c>
      <c r="V676" s="3">
        <v>0</v>
      </c>
      <c r="W676" s="3" t="s">
        <v>1</v>
      </c>
    </row>
    <row r="677" spans="5:23" hidden="1" x14ac:dyDescent="0.25">
      <c r="E677" t="s">
        <v>8609</v>
      </c>
      <c r="F677" s="1" t="s">
        <v>8780</v>
      </c>
      <c r="G677" t="s">
        <v>1</v>
      </c>
      <c r="H677" t="s">
        <v>0</v>
      </c>
      <c r="I677" t="s">
        <v>8165</v>
      </c>
      <c r="J677" t="s">
        <v>8164</v>
      </c>
      <c r="K677">
        <v>13376</v>
      </c>
      <c r="L677">
        <v>13376</v>
      </c>
      <c r="M677">
        <v>0</v>
      </c>
      <c r="N677" t="s">
        <v>8280</v>
      </c>
      <c r="O677" s="3">
        <v>0</v>
      </c>
      <c r="P677" s="3">
        <v>0</v>
      </c>
      <c r="Q677" s="3">
        <v>257.99</v>
      </c>
      <c r="R677" s="3">
        <v>33.538700000000006</v>
      </c>
      <c r="S677" s="3">
        <v>0</v>
      </c>
      <c r="T677" s="3">
        <v>0</v>
      </c>
      <c r="U677" s="3">
        <v>291.52870000000001</v>
      </c>
      <c r="V677" s="3" t="s">
        <v>8708</v>
      </c>
      <c r="W677" s="3" t="s">
        <v>1</v>
      </c>
    </row>
    <row r="678" spans="5:23" hidden="1" x14ac:dyDescent="0.25">
      <c r="E678" t="s">
        <v>8609</v>
      </c>
      <c r="F678" s="1" t="s">
        <v>8768</v>
      </c>
      <c r="G678" t="s">
        <v>1</v>
      </c>
      <c r="H678" t="s">
        <v>0</v>
      </c>
      <c r="I678" t="s">
        <v>8165</v>
      </c>
      <c r="J678" t="s">
        <v>8164</v>
      </c>
      <c r="K678">
        <v>13377</v>
      </c>
      <c r="L678">
        <v>13377</v>
      </c>
      <c r="M678">
        <v>0</v>
      </c>
      <c r="N678" t="s">
        <v>8229</v>
      </c>
      <c r="O678" s="3">
        <v>0</v>
      </c>
      <c r="P678" s="3">
        <v>0</v>
      </c>
      <c r="Q678" s="3">
        <v>48.67</v>
      </c>
      <c r="R678" s="3">
        <v>6.3271000000000006</v>
      </c>
      <c r="S678" s="3">
        <v>0</v>
      </c>
      <c r="T678" s="3">
        <v>0</v>
      </c>
      <c r="U678" s="3">
        <v>54.997100000000003</v>
      </c>
      <c r="V678" s="3" t="s">
        <v>8719</v>
      </c>
      <c r="W678" s="3" t="s">
        <v>1</v>
      </c>
    </row>
    <row r="679" spans="5:23" hidden="1" x14ac:dyDescent="0.25">
      <c r="E679" t="s">
        <v>8609</v>
      </c>
      <c r="F679" s="1" t="s">
        <v>8768</v>
      </c>
      <c r="G679" t="s">
        <v>1</v>
      </c>
      <c r="H679" t="s">
        <v>0</v>
      </c>
      <c r="I679" t="s">
        <v>8165</v>
      </c>
      <c r="J679" t="s">
        <v>8164</v>
      </c>
      <c r="K679">
        <v>13378</v>
      </c>
      <c r="L679">
        <v>13378</v>
      </c>
      <c r="M679" t="s">
        <v>8211</v>
      </c>
      <c r="N679" t="s">
        <v>8212</v>
      </c>
      <c r="O679" s="3">
        <v>0</v>
      </c>
      <c r="P679" s="3">
        <v>0</v>
      </c>
      <c r="Q679" s="3">
        <v>14.25</v>
      </c>
      <c r="R679" s="3">
        <v>1.8525</v>
      </c>
      <c r="S679" s="3">
        <v>0</v>
      </c>
      <c r="T679" s="3">
        <v>0</v>
      </c>
      <c r="U679" s="3">
        <v>16.102499999999999</v>
      </c>
      <c r="V679" s="3">
        <v>0</v>
      </c>
      <c r="W679" s="3" t="s">
        <v>1</v>
      </c>
    </row>
    <row r="680" spans="5:23" hidden="1" x14ac:dyDescent="0.25">
      <c r="E680" t="s">
        <v>8609</v>
      </c>
      <c r="F680" s="1" t="s">
        <v>8768</v>
      </c>
      <c r="G680" t="s">
        <v>1</v>
      </c>
      <c r="H680" t="s">
        <v>0</v>
      </c>
      <c r="I680" t="s">
        <v>8165</v>
      </c>
      <c r="J680" t="s">
        <v>8164</v>
      </c>
      <c r="K680">
        <v>13379</v>
      </c>
      <c r="L680">
        <v>13379</v>
      </c>
      <c r="M680" t="s">
        <v>8711</v>
      </c>
      <c r="N680" t="s">
        <v>8712</v>
      </c>
      <c r="O680" s="3">
        <v>0</v>
      </c>
      <c r="P680" s="3">
        <v>0</v>
      </c>
      <c r="Q680" s="3">
        <v>26.95</v>
      </c>
      <c r="R680" s="3">
        <v>3.5034999999999998</v>
      </c>
      <c r="S680" s="3">
        <v>0</v>
      </c>
      <c r="T680" s="3">
        <v>0</v>
      </c>
      <c r="U680" s="3">
        <v>30.453499999999998</v>
      </c>
      <c r="V680" s="3">
        <v>0</v>
      </c>
      <c r="W680" s="3" t="s">
        <v>1</v>
      </c>
    </row>
    <row r="681" spans="5:23" hidden="1" x14ac:dyDescent="0.25">
      <c r="E681" t="s">
        <v>8609</v>
      </c>
      <c r="F681" s="1" t="s">
        <v>8768</v>
      </c>
      <c r="G681" t="s">
        <v>1</v>
      </c>
      <c r="H681" t="s">
        <v>0</v>
      </c>
      <c r="I681" t="s">
        <v>8165</v>
      </c>
      <c r="J681" t="s">
        <v>8164</v>
      </c>
      <c r="K681">
        <v>13380</v>
      </c>
      <c r="L681">
        <v>13380</v>
      </c>
      <c r="M681">
        <v>0</v>
      </c>
      <c r="N681" t="s">
        <v>8268</v>
      </c>
      <c r="O681" s="3">
        <v>0</v>
      </c>
      <c r="P681" s="3">
        <v>0</v>
      </c>
      <c r="Q681" s="3">
        <v>10.86</v>
      </c>
      <c r="R681" s="3">
        <v>1.4117999999999999</v>
      </c>
      <c r="S681" s="3">
        <v>0</v>
      </c>
      <c r="T681" s="3">
        <v>0</v>
      </c>
      <c r="U681" s="3">
        <v>12.271799999999999</v>
      </c>
      <c r="V681" s="3" t="s">
        <v>8717</v>
      </c>
      <c r="W681" s="3" t="s">
        <v>1</v>
      </c>
    </row>
    <row r="682" spans="5:23" hidden="1" x14ac:dyDescent="0.25">
      <c r="E682" t="s">
        <v>8609</v>
      </c>
      <c r="F682" s="1" t="s">
        <v>8768</v>
      </c>
      <c r="G682" t="s">
        <v>1</v>
      </c>
      <c r="H682" t="s">
        <v>0</v>
      </c>
      <c r="I682" t="s">
        <v>8165</v>
      </c>
      <c r="J682" t="s">
        <v>8164</v>
      </c>
      <c r="K682">
        <v>13381</v>
      </c>
      <c r="L682">
        <v>13381</v>
      </c>
      <c r="M682" t="s">
        <v>8209</v>
      </c>
      <c r="N682" t="s">
        <v>8210</v>
      </c>
      <c r="O682" s="3">
        <v>0</v>
      </c>
      <c r="P682" s="3">
        <v>0</v>
      </c>
      <c r="Q682" s="3">
        <v>108</v>
      </c>
      <c r="R682" s="3">
        <v>14.040000000000001</v>
      </c>
      <c r="S682" s="3">
        <v>0</v>
      </c>
      <c r="T682" s="3">
        <v>0</v>
      </c>
      <c r="U682" s="3">
        <v>122.04</v>
      </c>
      <c r="V682" s="3">
        <v>0</v>
      </c>
      <c r="W682" s="3" t="s">
        <v>1</v>
      </c>
    </row>
    <row r="683" spans="5:23" hidden="1" x14ac:dyDescent="0.25">
      <c r="E683" t="s">
        <v>8609</v>
      </c>
      <c r="F683" s="1" t="s">
        <v>8768</v>
      </c>
      <c r="G683" t="s">
        <v>1</v>
      </c>
      <c r="H683" t="s">
        <v>0</v>
      </c>
      <c r="I683" t="s">
        <v>8165</v>
      </c>
      <c r="J683" t="s">
        <v>8164</v>
      </c>
      <c r="K683">
        <v>13382</v>
      </c>
      <c r="L683">
        <v>13382</v>
      </c>
      <c r="M683" t="s">
        <v>8232</v>
      </c>
      <c r="N683" t="s">
        <v>8233</v>
      </c>
      <c r="O683" s="3">
        <v>0</v>
      </c>
      <c r="P683" s="3">
        <v>0</v>
      </c>
      <c r="Q683" s="3">
        <v>430.53</v>
      </c>
      <c r="R683" s="3">
        <v>55.968899999999998</v>
      </c>
      <c r="S683" s="3">
        <v>0</v>
      </c>
      <c r="T683" s="3">
        <v>0</v>
      </c>
      <c r="U683" s="3">
        <v>486.49889999999999</v>
      </c>
      <c r="V683" s="3">
        <v>0</v>
      </c>
      <c r="W683" s="3" t="s">
        <v>1</v>
      </c>
    </row>
    <row r="684" spans="5:23" hidden="1" x14ac:dyDescent="0.25">
      <c r="E684" t="s">
        <v>8609</v>
      </c>
      <c r="F684" s="1" t="s">
        <v>8768</v>
      </c>
      <c r="G684" t="s">
        <v>1</v>
      </c>
      <c r="H684" t="s">
        <v>0</v>
      </c>
      <c r="I684" t="s">
        <v>8165</v>
      </c>
      <c r="J684" t="s">
        <v>8164</v>
      </c>
      <c r="K684">
        <v>13383</v>
      </c>
      <c r="L684">
        <v>13383</v>
      </c>
      <c r="M684">
        <v>0</v>
      </c>
      <c r="N684" t="s">
        <v>8256</v>
      </c>
      <c r="O684" s="3">
        <v>0</v>
      </c>
      <c r="P684" s="3">
        <v>0</v>
      </c>
      <c r="Q684" s="3">
        <v>82.8</v>
      </c>
      <c r="R684" s="3">
        <v>10.763999999999999</v>
      </c>
      <c r="S684" s="3">
        <v>0</v>
      </c>
      <c r="T684" s="3">
        <v>0</v>
      </c>
      <c r="U684" s="3">
        <v>93.563999999999993</v>
      </c>
      <c r="V684" s="3" t="s">
        <v>8748</v>
      </c>
      <c r="W684" s="3" t="s">
        <v>1</v>
      </c>
    </row>
    <row r="685" spans="5:23" hidden="1" x14ac:dyDescent="0.25">
      <c r="E685" t="s">
        <v>8609</v>
      </c>
      <c r="F685" s="1" t="s">
        <v>8768</v>
      </c>
      <c r="G685" t="s">
        <v>1</v>
      </c>
      <c r="H685" t="s">
        <v>0</v>
      </c>
      <c r="I685" t="s">
        <v>8165</v>
      </c>
      <c r="J685" t="s">
        <v>8164</v>
      </c>
      <c r="K685">
        <v>13384</v>
      </c>
      <c r="L685">
        <v>13384</v>
      </c>
      <c r="M685" t="s">
        <v>1159</v>
      </c>
      <c r="N685" t="s">
        <v>1160</v>
      </c>
      <c r="O685" s="3">
        <v>0</v>
      </c>
      <c r="P685" s="3">
        <v>0</v>
      </c>
      <c r="Q685" s="3">
        <v>15</v>
      </c>
      <c r="R685" s="3">
        <v>1.9500000000000002</v>
      </c>
      <c r="S685" s="3">
        <v>0</v>
      </c>
      <c r="T685" s="3">
        <v>0</v>
      </c>
      <c r="U685" s="3">
        <v>16.95</v>
      </c>
      <c r="V685" s="3">
        <v>0</v>
      </c>
      <c r="W685" s="3" t="s">
        <v>1</v>
      </c>
    </row>
    <row r="686" spans="5:23" hidden="1" x14ac:dyDescent="0.25">
      <c r="E686" t="s">
        <v>8609</v>
      </c>
      <c r="F686" s="1" t="s">
        <v>8768</v>
      </c>
      <c r="G686" t="s">
        <v>1</v>
      </c>
      <c r="H686" t="s">
        <v>0</v>
      </c>
      <c r="I686" t="s">
        <v>8165</v>
      </c>
      <c r="J686" t="s">
        <v>8164</v>
      </c>
      <c r="K686">
        <v>13385</v>
      </c>
      <c r="L686">
        <v>13385</v>
      </c>
      <c r="M686" t="s">
        <v>7852</v>
      </c>
      <c r="N686" t="s">
        <v>7851</v>
      </c>
      <c r="O686" s="3">
        <v>0</v>
      </c>
      <c r="P686" s="3">
        <v>0</v>
      </c>
      <c r="Q686" s="3">
        <v>0</v>
      </c>
      <c r="R686" s="3">
        <v>0</v>
      </c>
      <c r="S686" s="3">
        <v>0</v>
      </c>
      <c r="T686" s="3">
        <v>0</v>
      </c>
      <c r="U686" s="3">
        <v>0</v>
      </c>
      <c r="V686" s="3">
        <v>0</v>
      </c>
      <c r="W686" s="3" t="s">
        <v>1</v>
      </c>
    </row>
    <row r="687" spans="5:23" hidden="1" x14ac:dyDescent="0.25">
      <c r="E687" t="s">
        <v>8609</v>
      </c>
      <c r="F687" s="1" t="s">
        <v>8768</v>
      </c>
      <c r="G687" t="s">
        <v>1</v>
      </c>
      <c r="H687" t="s">
        <v>0</v>
      </c>
      <c r="I687" t="s">
        <v>8165</v>
      </c>
      <c r="J687" t="s">
        <v>8164</v>
      </c>
      <c r="K687">
        <v>13386</v>
      </c>
      <c r="L687">
        <v>13386</v>
      </c>
      <c r="M687" t="s">
        <v>8160</v>
      </c>
      <c r="N687" t="s">
        <v>8161</v>
      </c>
      <c r="O687" s="3">
        <v>0</v>
      </c>
      <c r="P687" s="3">
        <v>0</v>
      </c>
      <c r="Q687" s="3">
        <v>55.46</v>
      </c>
      <c r="R687" s="3">
        <v>7.2098000000000004</v>
      </c>
      <c r="S687" s="3">
        <v>0</v>
      </c>
      <c r="T687" s="3">
        <v>0</v>
      </c>
      <c r="U687" s="3">
        <v>62.669800000000002</v>
      </c>
      <c r="V687" s="3">
        <v>0</v>
      </c>
      <c r="W687" s="3" t="s">
        <v>1</v>
      </c>
    </row>
    <row r="688" spans="5:23" hidden="1" x14ac:dyDescent="0.25">
      <c r="E688" t="s">
        <v>8609</v>
      </c>
      <c r="F688" s="1" t="s">
        <v>8768</v>
      </c>
      <c r="G688" t="s">
        <v>1</v>
      </c>
      <c r="H688" t="s">
        <v>0</v>
      </c>
      <c r="I688" t="s">
        <v>8165</v>
      </c>
      <c r="J688" t="s">
        <v>8164</v>
      </c>
      <c r="K688">
        <v>13387</v>
      </c>
      <c r="L688">
        <v>13387</v>
      </c>
      <c r="M688" t="s">
        <v>8269</v>
      </c>
      <c r="N688" t="s">
        <v>8270</v>
      </c>
      <c r="O688" s="3">
        <v>0</v>
      </c>
      <c r="P688" s="3">
        <v>0</v>
      </c>
      <c r="Q688" s="3">
        <v>105.67</v>
      </c>
      <c r="R688" s="3">
        <v>13.7371</v>
      </c>
      <c r="S688" s="3">
        <v>0</v>
      </c>
      <c r="T688" s="3">
        <v>0</v>
      </c>
      <c r="U688" s="3">
        <v>119.4071</v>
      </c>
      <c r="V688" s="3">
        <v>0</v>
      </c>
      <c r="W688" s="3" t="s">
        <v>1</v>
      </c>
    </row>
    <row r="689" spans="5:23" hidden="1" x14ac:dyDescent="0.25">
      <c r="E689" t="s">
        <v>8609</v>
      </c>
      <c r="F689" s="1" t="s">
        <v>8769</v>
      </c>
      <c r="G689" t="s">
        <v>1</v>
      </c>
      <c r="H689" t="s">
        <v>0</v>
      </c>
      <c r="I689" t="s">
        <v>8165</v>
      </c>
      <c r="J689" t="s">
        <v>8164</v>
      </c>
      <c r="K689">
        <v>13388</v>
      </c>
      <c r="L689">
        <v>13388</v>
      </c>
      <c r="M689" t="s">
        <v>8269</v>
      </c>
      <c r="N689" t="s">
        <v>8270</v>
      </c>
      <c r="O689" s="3">
        <v>0</v>
      </c>
      <c r="P689" s="3">
        <v>0</v>
      </c>
      <c r="Q689" s="3">
        <v>54.45</v>
      </c>
      <c r="R689" s="3">
        <v>7.0785000000000009</v>
      </c>
      <c r="S689" s="3">
        <v>0</v>
      </c>
      <c r="T689" s="3">
        <v>0</v>
      </c>
      <c r="U689" s="3">
        <v>61.528500000000001</v>
      </c>
      <c r="V689" s="3">
        <v>0</v>
      </c>
      <c r="W689" s="3" t="s">
        <v>1</v>
      </c>
    </row>
    <row r="690" spans="5:23" hidden="1" x14ac:dyDescent="0.25">
      <c r="E690" t="s">
        <v>8609</v>
      </c>
      <c r="F690" s="1" t="s">
        <v>8769</v>
      </c>
      <c r="G690" t="s">
        <v>1</v>
      </c>
      <c r="H690" t="s">
        <v>0</v>
      </c>
      <c r="I690" t="s">
        <v>8165</v>
      </c>
      <c r="J690" t="s">
        <v>8164</v>
      </c>
      <c r="K690">
        <v>13389</v>
      </c>
      <c r="L690">
        <v>13389</v>
      </c>
      <c r="M690">
        <v>0</v>
      </c>
      <c r="N690" t="s">
        <v>8272</v>
      </c>
      <c r="O690" s="3">
        <v>0</v>
      </c>
      <c r="P690" s="3">
        <v>0</v>
      </c>
      <c r="Q690" s="3">
        <v>50.55</v>
      </c>
      <c r="R690" s="3">
        <v>6.5714999999999995</v>
      </c>
      <c r="S690" s="3">
        <v>0</v>
      </c>
      <c r="T690" s="3">
        <v>0</v>
      </c>
      <c r="U690" s="3">
        <v>57.121499999999997</v>
      </c>
      <c r="V690" s="3" t="s">
        <v>8657</v>
      </c>
      <c r="W690" s="3" t="s">
        <v>1</v>
      </c>
    </row>
    <row r="691" spans="5:23" hidden="1" x14ac:dyDescent="0.25">
      <c r="E691" t="s">
        <v>8609</v>
      </c>
      <c r="F691" s="1" t="s">
        <v>8769</v>
      </c>
      <c r="G691" t="s">
        <v>1</v>
      </c>
      <c r="H691" t="s">
        <v>0</v>
      </c>
      <c r="I691" t="s">
        <v>8165</v>
      </c>
      <c r="J691" t="s">
        <v>8164</v>
      </c>
      <c r="K691">
        <v>13390</v>
      </c>
      <c r="L691">
        <v>13390</v>
      </c>
      <c r="M691">
        <v>0</v>
      </c>
      <c r="N691" t="s">
        <v>8208</v>
      </c>
      <c r="O691" s="3">
        <v>0</v>
      </c>
      <c r="P691" s="3">
        <v>0</v>
      </c>
      <c r="Q691" s="3">
        <v>41.76</v>
      </c>
      <c r="R691" s="3">
        <v>5.4287999999999998</v>
      </c>
      <c r="S691" s="3">
        <v>0</v>
      </c>
      <c r="T691" s="3">
        <v>0</v>
      </c>
      <c r="U691" s="3">
        <v>47.188800000000001</v>
      </c>
      <c r="V691" s="3" t="s">
        <v>8650</v>
      </c>
      <c r="W691" s="3" t="s">
        <v>1</v>
      </c>
    </row>
    <row r="692" spans="5:23" hidden="1" x14ac:dyDescent="0.25">
      <c r="E692" t="s">
        <v>8609</v>
      </c>
      <c r="F692" s="1" t="s">
        <v>8769</v>
      </c>
      <c r="G692" t="s">
        <v>1</v>
      </c>
      <c r="H692" t="s">
        <v>0</v>
      </c>
      <c r="I692" t="s">
        <v>8165</v>
      </c>
      <c r="J692" t="s">
        <v>8164</v>
      </c>
      <c r="K692">
        <v>13391</v>
      </c>
      <c r="L692">
        <v>13391</v>
      </c>
      <c r="M692" t="s">
        <v>7852</v>
      </c>
      <c r="N692" t="s">
        <v>7851</v>
      </c>
      <c r="O692" s="3">
        <v>0</v>
      </c>
      <c r="P692" s="3">
        <v>0</v>
      </c>
      <c r="Q692" s="3">
        <v>0</v>
      </c>
      <c r="R692" s="3">
        <v>0</v>
      </c>
      <c r="S692" s="3">
        <v>0</v>
      </c>
      <c r="T692" s="3">
        <v>0</v>
      </c>
      <c r="U692" s="3">
        <v>0</v>
      </c>
      <c r="V692" s="3">
        <v>0</v>
      </c>
      <c r="W692" s="3" t="s">
        <v>1</v>
      </c>
    </row>
    <row r="693" spans="5:23" hidden="1" x14ac:dyDescent="0.25">
      <c r="E693" t="s">
        <v>8609</v>
      </c>
      <c r="F693" s="1" t="s">
        <v>8769</v>
      </c>
      <c r="G693" t="s">
        <v>1</v>
      </c>
      <c r="H693" t="s">
        <v>0</v>
      </c>
      <c r="I693" t="s">
        <v>8165</v>
      </c>
      <c r="J693" t="s">
        <v>8164</v>
      </c>
      <c r="K693">
        <v>13392</v>
      </c>
      <c r="L693">
        <v>13392</v>
      </c>
      <c r="M693" t="s">
        <v>7852</v>
      </c>
      <c r="N693" t="s">
        <v>7851</v>
      </c>
      <c r="O693" s="3">
        <v>0</v>
      </c>
      <c r="P693" s="3">
        <v>0</v>
      </c>
      <c r="Q693" s="3">
        <v>0</v>
      </c>
      <c r="R693" s="3">
        <v>0</v>
      </c>
      <c r="S693" s="3">
        <v>0</v>
      </c>
      <c r="T693" s="3">
        <v>0</v>
      </c>
      <c r="U693" s="3">
        <v>0</v>
      </c>
      <c r="V693" s="3">
        <v>0</v>
      </c>
      <c r="W693" s="3" t="s">
        <v>1</v>
      </c>
    </row>
    <row r="694" spans="5:23" hidden="1" x14ac:dyDescent="0.25">
      <c r="E694" t="s">
        <v>8609</v>
      </c>
      <c r="F694" s="1" t="s">
        <v>8769</v>
      </c>
      <c r="G694" t="s">
        <v>1</v>
      </c>
      <c r="H694" t="s">
        <v>0</v>
      </c>
      <c r="I694" t="s">
        <v>8165</v>
      </c>
      <c r="J694" t="s">
        <v>8164</v>
      </c>
      <c r="K694">
        <v>13393</v>
      </c>
      <c r="L694">
        <v>13393</v>
      </c>
      <c r="M694" t="s">
        <v>8224</v>
      </c>
      <c r="N694" t="s">
        <v>8225</v>
      </c>
      <c r="O694" s="3">
        <v>0</v>
      </c>
      <c r="P694" s="3">
        <v>0</v>
      </c>
      <c r="Q694" s="3">
        <v>206.23</v>
      </c>
      <c r="R694" s="3">
        <v>26.809899999999999</v>
      </c>
      <c r="S694" s="3">
        <v>0</v>
      </c>
      <c r="T694" s="3">
        <v>0</v>
      </c>
      <c r="U694" s="3">
        <v>233.03989999999999</v>
      </c>
      <c r="V694" s="3">
        <v>0</v>
      </c>
      <c r="W694" s="3" t="s">
        <v>1</v>
      </c>
    </row>
    <row r="695" spans="5:23" hidden="1" x14ac:dyDescent="0.25">
      <c r="E695" t="s">
        <v>8609</v>
      </c>
      <c r="F695" s="1" t="s">
        <v>8769</v>
      </c>
      <c r="G695" t="s">
        <v>1</v>
      </c>
      <c r="H695" t="s">
        <v>0</v>
      </c>
      <c r="I695" t="s">
        <v>8165</v>
      </c>
      <c r="J695" t="s">
        <v>8164</v>
      </c>
      <c r="K695">
        <v>13394</v>
      </c>
      <c r="L695">
        <v>13394</v>
      </c>
      <c r="M695" t="s">
        <v>8295</v>
      </c>
      <c r="N695" t="s">
        <v>935</v>
      </c>
      <c r="O695" s="3">
        <v>0</v>
      </c>
      <c r="P695" s="3">
        <v>0</v>
      </c>
      <c r="Q695" s="3">
        <v>223</v>
      </c>
      <c r="R695" s="3">
        <v>28.990000000000002</v>
      </c>
      <c r="S695" s="3">
        <v>0</v>
      </c>
      <c r="T695" s="3">
        <v>0</v>
      </c>
      <c r="U695" s="3">
        <v>251.99</v>
      </c>
      <c r="V695" s="3">
        <v>0</v>
      </c>
      <c r="W695" s="3" t="s">
        <v>1</v>
      </c>
    </row>
    <row r="696" spans="5:23" hidden="1" x14ac:dyDescent="0.25">
      <c r="E696" t="s">
        <v>8609</v>
      </c>
      <c r="F696" s="1" t="s">
        <v>8769</v>
      </c>
      <c r="G696" t="s">
        <v>1</v>
      </c>
      <c r="H696" t="s">
        <v>0</v>
      </c>
      <c r="I696" t="s">
        <v>8165</v>
      </c>
      <c r="J696" t="s">
        <v>8164</v>
      </c>
      <c r="K696">
        <v>13395</v>
      </c>
      <c r="L696">
        <v>13395</v>
      </c>
      <c r="M696" t="s">
        <v>8269</v>
      </c>
      <c r="N696" t="s">
        <v>8270</v>
      </c>
      <c r="O696" s="3">
        <v>0</v>
      </c>
      <c r="P696" s="3">
        <v>0</v>
      </c>
      <c r="Q696" s="3">
        <v>1200</v>
      </c>
      <c r="R696" s="3">
        <v>156</v>
      </c>
      <c r="S696" s="3">
        <v>0</v>
      </c>
      <c r="T696" s="3">
        <v>0</v>
      </c>
      <c r="U696" s="3">
        <v>1356</v>
      </c>
      <c r="V696" s="3">
        <v>0</v>
      </c>
      <c r="W696" s="3" t="s">
        <v>1</v>
      </c>
    </row>
    <row r="697" spans="5:23" hidden="1" x14ac:dyDescent="0.25">
      <c r="E697" t="s">
        <v>8609</v>
      </c>
      <c r="F697" s="1" t="s">
        <v>8769</v>
      </c>
      <c r="G697" t="s">
        <v>1</v>
      </c>
      <c r="H697" t="s">
        <v>0</v>
      </c>
      <c r="I697" t="s">
        <v>8165</v>
      </c>
      <c r="J697" t="s">
        <v>8164</v>
      </c>
      <c r="K697">
        <v>13396</v>
      </c>
      <c r="L697">
        <v>13396</v>
      </c>
      <c r="M697" t="s">
        <v>430</v>
      </c>
      <c r="N697" t="s">
        <v>431</v>
      </c>
      <c r="O697" s="3">
        <v>0</v>
      </c>
      <c r="P697" s="3">
        <v>0</v>
      </c>
      <c r="Q697" s="3">
        <v>819.7</v>
      </c>
      <c r="R697" s="3">
        <v>106.56100000000001</v>
      </c>
      <c r="S697" s="3">
        <v>0</v>
      </c>
      <c r="T697" s="3">
        <v>0</v>
      </c>
      <c r="U697" s="3">
        <v>926.26100000000008</v>
      </c>
      <c r="V697" s="3">
        <v>0</v>
      </c>
      <c r="W697" s="3" t="s">
        <v>1</v>
      </c>
    </row>
    <row r="698" spans="5:23" hidden="1" x14ac:dyDescent="0.25">
      <c r="E698" t="s">
        <v>8609</v>
      </c>
      <c r="F698" s="1" t="s">
        <v>8769</v>
      </c>
      <c r="G698" t="s">
        <v>1</v>
      </c>
      <c r="H698" t="s">
        <v>0</v>
      </c>
      <c r="I698" t="s">
        <v>8165</v>
      </c>
      <c r="J698" t="s">
        <v>8164</v>
      </c>
      <c r="K698">
        <v>13397</v>
      </c>
      <c r="L698">
        <v>13397</v>
      </c>
      <c r="M698">
        <v>0</v>
      </c>
      <c r="N698" t="s">
        <v>8235</v>
      </c>
      <c r="O698" s="3">
        <v>0</v>
      </c>
      <c r="P698" s="3">
        <v>0</v>
      </c>
      <c r="Q698" s="3">
        <v>327.71</v>
      </c>
      <c r="R698" s="3">
        <v>42.6023</v>
      </c>
      <c r="S698" s="3">
        <v>0</v>
      </c>
      <c r="T698" s="3">
        <v>0</v>
      </c>
      <c r="U698" s="3">
        <v>370.31229999999999</v>
      </c>
      <c r="V698" s="3" t="s">
        <v>8718</v>
      </c>
      <c r="W698" s="3" t="s">
        <v>1</v>
      </c>
    </row>
    <row r="699" spans="5:23" hidden="1" x14ac:dyDescent="0.25">
      <c r="E699" t="s">
        <v>8609</v>
      </c>
      <c r="F699" s="1" t="s">
        <v>8769</v>
      </c>
      <c r="G699" t="s">
        <v>1</v>
      </c>
      <c r="H699" t="s">
        <v>0</v>
      </c>
      <c r="I699" t="s">
        <v>8165</v>
      </c>
      <c r="J699" t="s">
        <v>8164</v>
      </c>
      <c r="K699">
        <v>13398</v>
      </c>
      <c r="L699">
        <v>13398</v>
      </c>
      <c r="M699" t="s">
        <v>8540</v>
      </c>
      <c r="N699" t="s">
        <v>1165</v>
      </c>
      <c r="O699" s="3">
        <v>0</v>
      </c>
      <c r="P699" s="3">
        <v>0</v>
      </c>
      <c r="Q699" s="3">
        <v>25.92</v>
      </c>
      <c r="R699" s="3">
        <v>3.3696000000000002</v>
      </c>
      <c r="S699" s="3">
        <v>0</v>
      </c>
      <c r="T699" s="3">
        <v>0</v>
      </c>
      <c r="U699" s="3">
        <v>29.2896</v>
      </c>
      <c r="V699" s="3">
        <v>0</v>
      </c>
      <c r="W699" s="3" t="s">
        <v>1</v>
      </c>
    </row>
    <row r="700" spans="5:23" hidden="1" x14ac:dyDescent="0.25">
      <c r="E700" t="s">
        <v>8609</v>
      </c>
      <c r="F700" s="1" t="s">
        <v>8769</v>
      </c>
      <c r="G700" t="s">
        <v>1</v>
      </c>
      <c r="H700" t="s">
        <v>0</v>
      </c>
      <c r="I700" t="s">
        <v>8165</v>
      </c>
      <c r="J700" t="s">
        <v>8164</v>
      </c>
      <c r="K700">
        <v>13399</v>
      </c>
      <c r="L700">
        <v>13399</v>
      </c>
      <c r="M700">
        <v>0</v>
      </c>
      <c r="N700" t="s">
        <v>8229</v>
      </c>
      <c r="O700" s="3">
        <v>0</v>
      </c>
      <c r="P700" s="3">
        <v>0</v>
      </c>
      <c r="Q700" s="3">
        <v>184.94</v>
      </c>
      <c r="R700" s="3">
        <v>24.042200000000001</v>
      </c>
      <c r="S700" s="3">
        <v>0</v>
      </c>
      <c r="T700" s="3">
        <v>0</v>
      </c>
      <c r="U700" s="3">
        <v>208.98220000000001</v>
      </c>
      <c r="V700" s="3" t="s">
        <v>8719</v>
      </c>
      <c r="W700" s="3" t="s">
        <v>1</v>
      </c>
    </row>
    <row r="701" spans="5:23" hidden="1" x14ac:dyDescent="0.25">
      <c r="E701" t="s">
        <v>8609</v>
      </c>
      <c r="F701" s="1" t="s">
        <v>8769</v>
      </c>
      <c r="G701" t="s">
        <v>1</v>
      </c>
      <c r="H701" t="s">
        <v>0</v>
      </c>
      <c r="I701" t="s">
        <v>8165</v>
      </c>
      <c r="J701" t="s">
        <v>8164</v>
      </c>
      <c r="K701">
        <v>13400</v>
      </c>
      <c r="L701">
        <v>13400</v>
      </c>
      <c r="M701" t="s">
        <v>8269</v>
      </c>
      <c r="N701" t="s">
        <v>8270</v>
      </c>
      <c r="O701" s="3">
        <v>0</v>
      </c>
      <c r="P701" s="3">
        <v>0</v>
      </c>
      <c r="Q701" s="3">
        <v>3.1</v>
      </c>
      <c r="R701" s="3">
        <v>0.40300000000000002</v>
      </c>
      <c r="S701" s="3">
        <v>0</v>
      </c>
      <c r="T701" s="3">
        <v>0</v>
      </c>
      <c r="U701" s="3">
        <v>3.5030000000000001</v>
      </c>
      <c r="V701" s="3">
        <v>0</v>
      </c>
      <c r="W701" s="3" t="s">
        <v>1</v>
      </c>
    </row>
    <row r="702" spans="5:23" hidden="1" x14ac:dyDescent="0.25">
      <c r="E702" t="s">
        <v>8609</v>
      </c>
      <c r="F702" s="1" t="s">
        <v>8779</v>
      </c>
      <c r="G702" t="s">
        <v>1</v>
      </c>
      <c r="H702" t="s">
        <v>0</v>
      </c>
      <c r="I702" t="s">
        <v>8165</v>
      </c>
      <c r="J702" t="s">
        <v>8164</v>
      </c>
      <c r="K702">
        <v>13401</v>
      </c>
      <c r="L702">
        <v>13401</v>
      </c>
      <c r="M702" t="s">
        <v>8648</v>
      </c>
      <c r="N702" t="s">
        <v>8649</v>
      </c>
      <c r="O702" s="3">
        <v>0</v>
      </c>
      <c r="P702" s="3">
        <v>0</v>
      </c>
      <c r="Q702" s="3">
        <v>108.37</v>
      </c>
      <c r="R702" s="3">
        <v>14.088100000000001</v>
      </c>
      <c r="S702" s="3">
        <v>0</v>
      </c>
      <c r="T702" s="3">
        <v>0</v>
      </c>
      <c r="U702" s="3">
        <v>122.4581</v>
      </c>
      <c r="V702" s="3">
        <v>0</v>
      </c>
      <c r="W702" s="3" t="s">
        <v>1</v>
      </c>
    </row>
    <row r="703" spans="5:23" hidden="1" x14ac:dyDescent="0.25">
      <c r="E703" t="s">
        <v>8609</v>
      </c>
      <c r="F703" s="1" t="s">
        <v>8779</v>
      </c>
      <c r="G703" t="s">
        <v>1</v>
      </c>
      <c r="H703" t="s">
        <v>0</v>
      </c>
      <c r="I703" t="s">
        <v>8165</v>
      </c>
      <c r="J703" t="s">
        <v>8164</v>
      </c>
      <c r="K703">
        <v>13402</v>
      </c>
      <c r="L703">
        <v>13402</v>
      </c>
      <c r="M703" t="s">
        <v>8648</v>
      </c>
      <c r="N703" t="s">
        <v>8649</v>
      </c>
      <c r="O703" s="3">
        <v>0</v>
      </c>
      <c r="P703" s="3">
        <v>0</v>
      </c>
      <c r="Q703" s="3">
        <v>261</v>
      </c>
      <c r="R703" s="3">
        <v>33.93</v>
      </c>
      <c r="S703" s="3">
        <v>0</v>
      </c>
      <c r="T703" s="3">
        <v>0</v>
      </c>
      <c r="U703" s="3">
        <v>294.93</v>
      </c>
      <c r="V703" s="3">
        <v>0</v>
      </c>
      <c r="W703" s="3" t="s">
        <v>1</v>
      </c>
    </row>
    <row r="704" spans="5:23" hidden="1" x14ac:dyDescent="0.25">
      <c r="E704" t="s">
        <v>8609</v>
      </c>
      <c r="F704" s="1" t="s">
        <v>8779</v>
      </c>
      <c r="G704" t="s">
        <v>1</v>
      </c>
      <c r="H704" t="s">
        <v>0</v>
      </c>
      <c r="I704" t="s">
        <v>8165</v>
      </c>
      <c r="J704" t="s">
        <v>8164</v>
      </c>
      <c r="K704">
        <v>13403</v>
      </c>
      <c r="L704">
        <v>13403</v>
      </c>
      <c r="M704">
        <v>0</v>
      </c>
      <c r="N704" t="s">
        <v>8169</v>
      </c>
      <c r="O704" s="3">
        <v>0</v>
      </c>
      <c r="P704" s="3">
        <v>0</v>
      </c>
      <c r="Q704" s="3">
        <v>49.7</v>
      </c>
      <c r="R704" s="3">
        <v>6.4610000000000003</v>
      </c>
      <c r="S704" s="3">
        <v>0</v>
      </c>
      <c r="T704" s="3">
        <v>0</v>
      </c>
      <c r="U704" s="3">
        <v>56.161000000000001</v>
      </c>
      <c r="V704" s="3" t="s">
        <v>8646</v>
      </c>
      <c r="W704" s="3" t="s">
        <v>1</v>
      </c>
    </row>
    <row r="705" spans="5:23" hidden="1" x14ac:dyDescent="0.25">
      <c r="E705" t="s">
        <v>8609</v>
      </c>
      <c r="F705" s="1" t="s">
        <v>8779</v>
      </c>
      <c r="G705" t="s">
        <v>1</v>
      </c>
      <c r="H705" t="s">
        <v>0</v>
      </c>
      <c r="I705" t="s">
        <v>8165</v>
      </c>
      <c r="J705" t="s">
        <v>8164</v>
      </c>
      <c r="K705">
        <v>13404</v>
      </c>
      <c r="L705">
        <v>13404</v>
      </c>
      <c r="M705">
        <v>0</v>
      </c>
      <c r="N705" t="s">
        <v>8454</v>
      </c>
      <c r="O705" s="3">
        <v>0</v>
      </c>
      <c r="P705" s="3">
        <v>0</v>
      </c>
      <c r="Q705" s="3">
        <v>7.52</v>
      </c>
      <c r="R705" s="3">
        <v>0.97760000000000002</v>
      </c>
      <c r="S705" s="3">
        <v>0</v>
      </c>
      <c r="T705" s="3">
        <v>0</v>
      </c>
      <c r="U705" s="3">
        <v>8.4976000000000003</v>
      </c>
      <c r="V705" s="3" t="s">
        <v>8651</v>
      </c>
      <c r="W705" s="3" t="s">
        <v>1</v>
      </c>
    </row>
    <row r="706" spans="5:23" hidden="1" x14ac:dyDescent="0.25">
      <c r="E706" t="s">
        <v>8609</v>
      </c>
      <c r="F706" s="1" t="s">
        <v>8779</v>
      </c>
      <c r="G706" t="s">
        <v>1</v>
      </c>
      <c r="H706" t="s">
        <v>0</v>
      </c>
      <c r="I706" t="s">
        <v>8165</v>
      </c>
      <c r="J706" t="s">
        <v>8164</v>
      </c>
      <c r="K706">
        <v>13405</v>
      </c>
      <c r="L706">
        <v>13405</v>
      </c>
      <c r="M706">
        <v>0</v>
      </c>
      <c r="N706" t="s">
        <v>8454</v>
      </c>
      <c r="O706" s="3">
        <v>0</v>
      </c>
      <c r="P706" s="3">
        <v>0</v>
      </c>
      <c r="Q706" s="3">
        <v>29</v>
      </c>
      <c r="R706" s="3">
        <v>3.77</v>
      </c>
      <c r="S706" s="3">
        <v>0</v>
      </c>
      <c r="T706" s="3">
        <v>0</v>
      </c>
      <c r="U706" s="3">
        <v>32.770000000000003</v>
      </c>
      <c r="V706" s="3" t="s">
        <v>8651</v>
      </c>
      <c r="W706" s="3" t="s">
        <v>1</v>
      </c>
    </row>
    <row r="707" spans="5:23" hidden="1" x14ac:dyDescent="0.25">
      <c r="E707" t="s">
        <v>8609</v>
      </c>
      <c r="F707" s="1" t="s">
        <v>8779</v>
      </c>
      <c r="G707" t="s">
        <v>1</v>
      </c>
      <c r="H707" t="s">
        <v>0</v>
      </c>
      <c r="I707" t="s">
        <v>8165</v>
      </c>
      <c r="J707" t="s">
        <v>8164</v>
      </c>
      <c r="K707">
        <v>13406</v>
      </c>
      <c r="L707">
        <v>13406</v>
      </c>
      <c r="M707" t="s">
        <v>8245</v>
      </c>
      <c r="N707" t="s">
        <v>8246</v>
      </c>
      <c r="O707" s="3">
        <v>0</v>
      </c>
      <c r="P707" s="3">
        <v>0</v>
      </c>
      <c r="Q707" s="3">
        <v>342.5</v>
      </c>
      <c r="R707" s="3">
        <v>44.524999999999999</v>
      </c>
      <c r="S707" s="3">
        <v>0</v>
      </c>
      <c r="T707" s="3">
        <v>0</v>
      </c>
      <c r="U707" s="3">
        <v>387.02499999999998</v>
      </c>
      <c r="V707" s="3">
        <v>0</v>
      </c>
      <c r="W707" s="3" t="s">
        <v>1</v>
      </c>
    </row>
    <row r="708" spans="5:23" hidden="1" x14ac:dyDescent="0.25">
      <c r="E708" t="s">
        <v>8609</v>
      </c>
      <c r="F708" s="1" t="s">
        <v>8779</v>
      </c>
      <c r="G708" t="s">
        <v>1</v>
      </c>
      <c r="H708" t="s">
        <v>0</v>
      </c>
      <c r="I708" t="s">
        <v>8165</v>
      </c>
      <c r="J708" t="s">
        <v>8164</v>
      </c>
      <c r="K708">
        <v>13407</v>
      </c>
      <c r="L708">
        <v>13407</v>
      </c>
      <c r="M708" t="s">
        <v>8436</v>
      </c>
      <c r="N708" t="s">
        <v>8437</v>
      </c>
      <c r="O708" s="3">
        <v>0</v>
      </c>
      <c r="P708" s="3">
        <v>0</v>
      </c>
      <c r="Q708" s="3">
        <v>268.76</v>
      </c>
      <c r="R708" s="3">
        <v>34.938800000000001</v>
      </c>
      <c r="S708" s="3">
        <v>0</v>
      </c>
      <c r="T708" s="3">
        <v>0</v>
      </c>
      <c r="U708" s="3">
        <v>303.69880000000001</v>
      </c>
      <c r="V708" s="3">
        <v>0</v>
      </c>
      <c r="W708" s="3" t="s">
        <v>1</v>
      </c>
    </row>
    <row r="709" spans="5:23" hidden="1" x14ac:dyDescent="0.25">
      <c r="E709" t="s">
        <v>8609</v>
      </c>
      <c r="F709" s="1" t="s">
        <v>8779</v>
      </c>
      <c r="G709" t="s">
        <v>1</v>
      </c>
      <c r="H709" t="s">
        <v>0</v>
      </c>
      <c r="I709" t="s">
        <v>8165</v>
      </c>
      <c r="J709" t="s">
        <v>8164</v>
      </c>
      <c r="K709">
        <v>13408</v>
      </c>
      <c r="L709">
        <v>13408</v>
      </c>
      <c r="M709" t="s">
        <v>8259</v>
      </c>
      <c r="N709" t="s">
        <v>8260</v>
      </c>
      <c r="O709" s="3">
        <v>0</v>
      </c>
      <c r="P709" s="3">
        <v>0</v>
      </c>
      <c r="Q709" s="3">
        <v>56.49</v>
      </c>
      <c r="R709" s="3">
        <v>7.3437000000000001</v>
      </c>
      <c r="S709" s="3">
        <v>0</v>
      </c>
      <c r="T709" s="3">
        <v>0</v>
      </c>
      <c r="U709" s="3">
        <v>63.8337</v>
      </c>
      <c r="V709" s="3">
        <v>0</v>
      </c>
      <c r="W709" s="3" t="s">
        <v>1</v>
      </c>
    </row>
    <row r="710" spans="5:23" hidden="1" x14ac:dyDescent="0.25">
      <c r="E710" t="s">
        <v>8609</v>
      </c>
      <c r="F710" s="1" t="s">
        <v>8779</v>
      </c>
      <c r="G710" t="s">
        <v>1</v>
      </c>
      <c r="H710" t="s">
        <v>0</v>
      </c>
      <c r="I710" t="s">
        <v>8165</v>
      </c>
      <c r="J710" t="s">
        <v>8164</v>
      </c>
      <c r="K710">
        <v>13409</v>
      </c>
      <c r="L710">
        <v>13409</v>
      </c>
      <c r="M710" t="s">
        <v>8174</v>
      </c>
      <c r="N710" t="s">
        <v>8175</v>
      </c>
      <c r="O710" s="3">
        <v>0</v>
      </c>
      <c r="P710" s="3">
        <v>0</v>
      </c>
      <c r="Q710" s="3">
        <v>18.11</v>
      </c>
      <c r="R710" s="3">
        <v>2.3542999999999998</v>
      </c>
      <c r="S710" s="3">
        <v>0</v>
      </c>
      <c r="T710" s="3">
        <v>0</v>
      </c>
      <c r="U710" s="3">
        <v>20.464299999999998</v>
      </c>
      <c r="V710" s="3">
        <v>0</v>
      </c>
      <c r="W710" s="3" t="s">
        <v>1</v>
      </c>
    </row>
    <row r="711" spans="5:23" hidden="1" x14ac:dyDescent="0.25">
      <c r="E711" t="s">
        <v>8609</v>
      </c>
      <c r="F711" s="1" t="s">
        <v>8779</v>
      </c>
      <c r="G711" t="s">
        <v>1</v>
      </c>
      <c r="H711" t="s">
        <v>0</v>
      </c>
      <c r="I711" t="s">
        <v>8165</v>
      </c>
      <c r="J711" t="s">
        <v>8164</v>
      </c>
      <c r="K711">
        <v>13410</v>
      </c>
      <c r="L711">
        <v>13410</v>
      </c>
      <c r="M711" t="s">
        <v>8174</v>
      </c>
      <c r="N711" t="s">
        <v>8175</v>
      </c>
      <c r="O711" s="3">
        <v>0</v>
      </c>
      <c r="P711" s="3">
        <v>0</v>
      </c>
      <c r="Q711" s="3">
        <v>13.01</v>
      </c>
      <c r="R711" s="3">
        <v>1.6913</v>
      </c>
      <c r="S711" s="3">
        <v>0</v>
      </c>
      <c r="T711" s="3">
        <v>0</v>
      </c>
      <c r="U711" s="3">
        <v>14.7013</v>
      </c>
      <c r="V711" s="3">
        <v>0</v>
      </c>
      <c r="W711" s="3" t="s">
        <v>1</v>
      </c>
    </row>
    <row r="712" spans="5:23" hidden="1" x14ac:dyDescent="0.25">
      <c r="E712" t="s">
        <v>8609</v>
      </c>
      <c r="F712" s="1" t="s">
        <v>8779</v>
      </c>
      <c r="G712" t="s">
        <v>1</v>
      </c>
      <c r="H712" t="s">
        <v>0</v>
      </c>
      <c r="I712" t="s">
        <v>8165</v>
      </c>
      <c r="J712" t="s">
        <v>8164</v>
      </c>
      <c r="K712">
        <v>13411</v>
      </c>
      <c r="L712">
        <v>13411</v>
      </c>
      <c r="M712" t="s">
        <v>8186</v>
      </c>
      <c r="N712" t="s">
        <v>8187</v>
      </c>
      <c r="O712" s="3">
        <v>0</v>
      </c>
      <c r="P712" s="3">
        <v>0</v>
      </c>
      <c r="Q712" s="3">
        <v>70.930000000000007</v>
      </c>
      <c r="R712" s="3">
        <v>9.2209000000000003</v>
      </c>
      <c r="S712" s="3">
        <v>0</v>
      </c>
      <c r="T712" s="3">
        <v>0</v>
      </c>
      <c r="U712" s="3">
        <v>80.150900000000007</v>
      </c>
      <c r="V712" s="3">
        <v>0</v>
      </c>
      <c r="W712" s="3" t="s">
        <v>1</v>
      </c>
    </row>
    <row r="713" spans="5:23" hidden="1" x14ac:dyDescent="0.25">
      <c r="E713" t="s">
        <v>8609</v>
      </c>
      <c r="F713" s="1" t="s">
        <v>8779</v>
      </c>
      <c r="G713" t="s">
        <v>1</v>
      </c>
      <c r="H713" t="s">
        <v>0</v>
      </c>
      <c r="I713" t="s">
        <v>8165</v>
      </c>
      <c r="J713" t="s">
        <v>8164</v>
      </c>
      <c r="K713">
        <v>13412</v>
      </c>
      <c r="L713">
        <v>13412</v>
      </c>
      <c r="M713" t="s">
        <v>8243</v>
      </c>
      <c r="N713" t="s">
        <v>8244</v>
      </c>
      <c r="O713" s="3">
        <v>0</v>
      </c>
      <c r="P713" s="3">
        <v>0</v>
      </c>
      <c r="Q713" s="3">
        <v>7.3</v>
      </c>
      <c r="R713" s="3">
        <v>0.94899999999999995</v>
      </c>
      <c r="S713" s="3">
        <v>0</v>
      </c>
      <c r="T713" s="3">
        <v>0</v>
      </c>
      <c r="U713" s="3">
        <v>8.2490000000000006</v>
      </c>
      <c r="V713" s="3">
        <v>0</v>
      </c>
      <c r="W713" s="3" t="s">
        <v>1</v>
      </c>
    </row>
    <row r="714" spans="5:23" hidden="1" x14ac:dyDescent="0.25">
      <c r="E714" t="s">
        <v>8609</v>
      </c>
      <c r="F714" s="1" t="s">
        <v>8779</v>
      </c>
      <c r="G714" t="s">
        <v>1</v>
      </c>
      <c r="H714" t="s">
        <v>0</v>
      </c>
      <c r="I714" t="s">
        <v>8165</v>
      </c>
      <c r="J714" t="s">
        <v>8164</v>
      </c>
      <c r="K714">
        <v>13413</v>
      </c>
      <c r="L714">
        <v>13413</v>
      </c>
      <c r="M714" t="s">
        <v>8213</v>
      </c>
      <c r="N714" t="s">
        <v>8181</v>
      </c>
      <c r="O714" s="3">
        <v>0</v>
      </c>
      <c r="P714" s="3">
        <v>0</v>
      </c>
      <c r="Q714" s="3">
        <v>15.41</v>
      </c>
      <c r="R714" s="3">
        <v>2.0033000000000003</v>
      </c>
      <c r="S714" s="3">
        <v>0</v>
      </c>
      <c r="T714" s="3">
        <v>0</v>
      </c>
      <c r="U714" s="3">
        <v>17.4133</v>
      </c>
      <c r="V714" s="3">
        <v>0</v>
      </c>
      <c r="W714" s="3" t="s">
        <v>1</v>
      </c>
    </row>
    <row r="715" spans="5:23" hidden="1" x14ac:dyDescent="0.25">
      <c r="E715" t="s">
        <v>8609</v>
      </c>
      <c r="F715" s="1" t="s">
        <v>8779</v>
      </c>
      <c r="G715" t="s">
        <v>1</v>
      </c>
      <c r="H715" t="s">
        <v>0</v>
      </c>
      <c r="I715" t="s">
        <v>8165</v>
      </c>
      <c r="J715" t="s">
        <v>8164</v>
      </c>
      <c r="K715">
        <v>13414</v>
      </c>
      <c r="L715">
        <v>13414</v>
      </c>
      <c r="M715" t="s">
        <v>238</v>
      </c>
      <c r="N715" t="s">
        <v>239</v>
      </c>
      <c r="O715" s="3">
        <v>0</v>
      </c>
      <c r="P715" s="3">
        <v>0</v>
      </c>
      <c r="Q715" s="3">
        <v>69.17</v>
      </c>
      <c r="R715" s="3">
        <v>8.9921000000000006</v>
      </c>
      <c r="S715" s="3">
        <v>0</v>
      </c>
      <c r="T715" s="3">
        <v>0</v>
      </c>
      <c r="U715" s="3">
        <v>78.162100000000009</v>
      </c>
      <c r="V715" s="3">
        <v>0</v>
      </c>
      <c r="W715" s="3" t="s">
        <v>1</v>
      </c>
    </row>
    <row r="716" spans="5:23" hidden="1" x14ac:dyDescent="0.25">
      <c r="E716" t="s">
        <v>8609</v>
      </c>
      <c r="F716" s="1" t="s">
        <v>8779</v>
      </c>
      <c r="G716" t="s">
        <v>1</v>
      </c>
      <c r="H716" t="s">
        <v>0</v>
      </c>
      <c r="I716" t="s">
        <v>8165</v>
      </c>
      <c r="J716" t="s">
        <v>8164</v>
      </c>
      <c r="K716">
        <v>13415</v>
      </c>
      <c r="L716">
        <v>13415</v>
      </c>
      <c r="M716" t="s">
        <v>8226</v>
      </c>
      <c r="N716" t="s">
        <v>8227</v>
      </c>
      <c r="O716" s="3">
        <v>0</v>
      </c>
      <c r="P716" s="3">
        <v>0</v>
      </c>
      <c r="Q716" s="3">
        <v>179.24</v>
      </c>
      <c r="R716" s="3">
        <v>23.301200000000001</v>
      </c>
      <c r="S716" s="3">
        <v>0</v>
      </c>
      <c r="T716" s="3">
        <v>0</v>
      </c>
      <c r="U716" s="3">
        <v>202.5412</v>
      </c>
      <c r="V716" s="3">
        <v>0</v>
      </c>
      <c r="W716" s="3" t="s">
        <v>1</v>
      </c>
    </row>
    <row r="717" spans="5:23" hidden="1" x14ac:dyDescent="0.25">
      <c r="E717" t="s">
        <v>8609</v>
      </c>
      <c r="F717" s="1" t="s">
        <v>8770</v>
      </c>
      <c r="G717" t="s">
        <v>1</v>
      </c>
      <c r="H717" t="s">
        <v>0</v>
      </c>
      <c r="I717" t="s">
        <v>8165</v>
      </c>
      <c r="J717" t="s">
        <v>8164</v>
      </c>
      <c r="K717">
        <v>13416</v>
      </c>
      <c r="L717">
        <v>13416</v>
      </c>
      <c r="M717" t="s">
        <v>8791</v>
      </c>
      <c r="N717" t="s">
        <v>8792</v>
      </c>
      <c r="O717" s="3">
        <v>0</v>
      </c>
      <c r="P717" s="3">
        <v>0</v>
      </c>
      <c r="Q717" s="3">
        <v>67.5</v>
      </c>
      <c r="R717" s="3">
        <v>8.7750000000000004</v>
      </c>
      <c r="S717" s="3">
        <v>0</v>
      </c>
      <c r="T717" s="3">
        <v>0</v>
      </c>
      <c r="U717" s="3">
        <v>76.275000000000006</v>
      </c>
      <c r="V717" s="3">
        <v>0</v>
      </c>
      <c r="W717" s="3" t="s">
        <v>1</v>
      </c>
    </row>
    <row r="718" spans="5:23" hidden="1" x14ac:dyDescent="0.25">
      <c r="E718" t="s">
        <v>8609</v>
      </c>
      <c r="F718" s="1" t="s">
        <v>8770</v>
      </c>
      <c r="G718" t="s">
        <v>1</v>
      </c>
      <c r="H718" t="s">
        <v>0</v>
      </c>
      <c r="I718" t="s">
        <v>8165</v>
      </c>
      <c r="J718" t="s">
        <v>8164</v>
      </c>
      <c r="K718">
        <v>13417</v>
      </c>
      <c r="L718">
        <v>13417</v>
      </c>
      <c r="M718" t="s">
        <v>8785</v>
      </c>
      <c r="N718" t="s">
        <v>8786</v>
      </c>
      <c r="O718" s="3">
        <v>0</v>
      </c>
      <c r="P718" s="3">
        <v>0</v>
      </c>
      <c r="Q718" s="3">
        <v>260.26</v>
      </c>
      <c r="R718" s="3">
        <v>33.833799999999997</v>
      </c>
      <c r="S718" s="3">
        <v>0</v>
      </c>
      <c r="T718" s="3">
        <v>0</v>
      </c>
      <c r="U718" s="3">
        <v>294.09379999999999</v>
      </c>
      <c r="V718" s="3">
        <v>0</v>
      </c>
      <c r="W718" s="3" t="s">
        <v>1</v>
      </c>
    </row>
    <row r="719" spans="5:23" hidden="1" x14ac:dyDescent="0.25">
      <c r="E719" t="s">
        <v>8609</v>
      </c>
      <c r="F719" s="1" t="s">
        <v>8770</v>
      </c>
      <c r="G719" t="s">
        <v>1</v>
      </c>
      <c r="H719" t="s">
        <v>0</v>
      </c>
      <c r="I719" t="s">
        <v>8165</v>
      </c>
      <c r="J719" t="s">
        <v>8164</v>
      </c>
      <c r="K719">
        <v>13418</v>
      </c>
      <c r="L719">
        <v>13418</v>
      </c>
      <c r="M719">
        <v>0</v>
      </c>
      <c r="N719" t="s">
        <v>8208</v>
      </c>
      <c r="O719" s="3">
        <v>0</v>
      </c>
      <c r="P719" s="3">
        <v>0</v>
      </c>
      <c r="Q719" s="3">
        <v>219.55</v>
      </c>
      <c r="R719" s="3">
        <v>28.541500000000003</v>
      </c>
      <c r="S719" s="3">
        <v>0</v>
      </c>
      <c r="T719" s="3">
        <v>0</v>
      </c>
      <c r="U719" s="3">
        <v>248.09150000000002</v>
      </c>
      <c r="V719" s="3" t="s">
        <v>8650</v>
      </c>
      <c r="W719" s="3" t="s">
        <v>1</v>
      </c>
    </row>
    <row r="720" spans="5:23" hidden="1" x14ac:dyDescent="0.25">
      <c r="E720" t="s">
        <v>8609</v>
      </c>
      <c r="F720" s="1" t="s">
        <v>8770</v>
      </c>
      <c r="G720" t="s">
        <v>1</v>
      </c>
      <c r="H720" t="s">
        <v>0</v>
      </c>
      <c r="I720" t="s">
        <v>8165</v>
      </c>
      <c r="J720" t="s">
        <v>8164</v>
      </c>
      <c r="K720">
        <v>13419</v>
      </c>
      <c r="L720">
        <v>13419</v>
      </c>
      <c r="M720">
        <v>0</v>
      </c>
      <c r="N720" t="s">
        <v>8659</v>
      </c>
      <c r="O720" s="3">
        <v>0</v>
      </c>
      <c r="P720" s="3">
        <v>0</v>
      </c>
      <c r="Q720" s="3">
        <v>33</v>
      </c>
      <c r="R720" s="3">
        <v>4.29</v>
      </c>
      <c r="S720" s="3">
        <v>0</v>
      </c>
      <c r="T720" s="3">
        <v>0</v>
      </c>
      <c r="U720" s="3">
        <v>37.29</v>
      </c>
      <c r="V720" s="3" t="s">
        <v>8658</v>
      </c>
      <c r="W720" s="3" t="s">
        <v>1</v>
      </c>
    </row>
    <row r="721" spans="5:23" hidden="1" x14ac:dyDescent="0.25">
      <c r="E721" t="s">
        <v>8609</v>
      </c>
      <c r="F721" s="1" t="s">
        <v>8770</v>
      </c>
      <c r="G721" t="s">
        <v>1</v>
      </c>
      <c r="H721" t="s">
        <v>0</v>
      </c>
      <c r="I721" t="s">
        <v>8165</v>
      </c>
      <c r="J721" t="s">
        <v>8164</v>
      </c>
      <c r="K721">
        <v>13420</v>
      </c>
      <c r="L721">
        <v>13420</v>
      </c>
      <c r="M721" t="s">
        <v>8205</v>
      </c>
      <c r="N721" t="s">
        <v>8206</v>
      </c>
      <c r="O721" s="3">
        <v>0</v>
      </c>
      <c r="P721" s="3">
        <v>0</v>
      </c>
      <c r="Q721" s="3">
        <v>42.5</v>
      </c>
      <c r="R721" s="3">
        <v>5.5250000000000004</v>
      </c>
      <c r="S721" s="3">
        <v>0</v>
      </c>
      <c r="T721" s="3">
        <v>0</v>
      </c>
      <c r="U721" s="3">
        <v>48.024999999999999</v>
      </c>
      <c r="V721" s="3">
        <v>0</v>
      </c>
      <c r="W721" s="3" t="s">
        <v>1</v>
      </c>
    </row>
    <row r="722" spans="5:23" hidden="1" x14ac:dyDescent="0.25">
      <c r="E722" t="s">
        <v>8609</v>
      </c>
      <c r="F722" s="1" t="s">
        <v>8770</v>
      </c>
      <c r="G722" t="s">
        <v>1</v>
      </c>
      <c r="H722" t="s">
        <v>0</v>
      </c>
      <c r="I722" t="s">
        <v>8165</v>
      </c>
      <c r="J722" t="s">
        <v>8164</v>
      </c>
      <c r="K722">
        <v>13421</v>
      </c>
      <c r="L722">
        <v>13421</v>
      </c>
      <c r="M722" t="s">
        <v>8241</v>
      </c>
      <c r="N722" t="s">
        <v>8242</v>
      </c>
      <c r="O722" s="3">
        <v>0</v>
      </c>
      <c r="P722" s="3">
        <v>0</v>
      </c>
      <c r="Q722" s="3">
        <v>202.02</v>
      </c>
      <c r="R722" s="3">
        <v>26.262600000000003</v>
      </c>
      <c r="S722" s="3">
        <v>0</v>
      </c>
      <c r="T722" s="3">
        <v>0</v>
      </c>
      <c r="U722" s="3">
        <v>228.2826</v>
      </c>
      <c r="V722" s="3">
        <v>0</v>
      </c>
      <c r="W722" s="3" t="s">
        <v>1</v>
      </c>
    </row>
    <row r="723" spans="5:23" hidden="1" x14ac:dyDescent="0.25">
      <c r="E723" t="s">
        <v>8609</v>
      </c>
      <c r="F723" s="1" t="s">
        <v>8770</v>
      </c>
      <c r="G723" t="s">
        <v>1</v>
      </c>
      <c r="H723" t="s">
        <v>0</v>
      </c>
      <c r="I723" t="s">
        <v>8165</v>
      </c>
      <c r="J723" t="s">
        <v>8164</v>
      </c>
      <c r="K723">
        <v>13422</v>
      </c>
      <c r="L723">
        <v>13422</v>
      </c>
      <c r="M723" t="s">
        <v>8209</v>
      </c>
      <c r="N723" t="s">
        <v>8210</v>
      </c>
      <c r="O723" s="3">
        <v>0</v>
      </c>
      <c r="P723" s="3">
        <v>0</v>
      </c>
      <c r="Q723" s="3">
        <v>154.19999999999999</v>
      </c>
      <c r="R723" s="3">
        <v>20.045999999999999</v>
      </c>
      <c r="S723" s="3">
        <v>0</v>
      </c>
      <c r="T723" s="3">
        <v>0</v>
      </c>
      <c r="U723" s="3">
        <v>174.24599999999998</v>
      </c>
      <c r="V723" s="3">
        <v>0</v>
      </c>
      <c r="W723" s="3" t="s">
        <v>1</v>
      </c>
    </row>
    <row r="724" spans="5:23" hidden="1" x14ac:dyDescent="0.25">
      <c r="E724" t="s">
        <v>8609</v>
      </c>
      <c r="F724" s="1" t="s">
        <v>8770</v>
      </c>
      <c r="G724" t="s">
        <v>1</v>
      </c>
      <c r="H724" t="s">
        <v>0</v>
      </c>
      <c r="I724" t="s">
        <v>8165</v>
      </c>
      <c r="J724" t="s">
        <v>8164</v>
      </c>
      <c r="K724">
        <v>13423</v>
      </c>
      <c r="L724">
        <v>13423</v>
      </c>
      <c r="M724" t="s">
        <v>8787</v>
      </c>
      <c r="N724" t="s">
        <v>8788</v>
      </c>
      <c r="O724" s="3">
        <v>0</v>
      </c>
      <c r="P724" s="3">
        <v>0</v>
      </c>
      <c r="Q724" s="3">
        <v>173.45</v>
      </c>
      <c r="R724" s="3">
        <v>22.548500000000001</v>
      </c>
      <c r="S724" s="3">
        <v>0</v>
      </c>
      <c r="T724" s="3">
        <v>0</v>
      </c>
      <c r="U724" s="3">
        <v>195.99849999999998</v>
      </c>
      <c r="V724" s="3">
        <v>0</v>
      </c>
      <c r="W724" s="3" t="s">
        <v>1</v>
      </c>
    </row>
    <row r="725" spans="5:23" hidden="1" x14ac:dyDescent="0.25">
      <c r="E725" t="s">
        <v>8609</v>
      </c>
      <c r="F725" s="1" t="s">
        <v>8770</v>
      </c>
      <c r="G725" t="s">
        <v>1</v>
      </c>
      <c r="H725" t="s">
        <v>0</v>
      </c>
      <c r="I725" t="s">
        <v>8165</v>
      </c>
      <c r="J725" t="s">
        <v>8164</v>
      </c>
      <c r="K725">
        <v>13424</v>
      </c>
      <c r="L725">
        <v>13424</v>
      </c>
      <c r="M725" t="s">
        <v>8160</v>
      </c>
      <c r="N725" t="s">
        <v>8161</v>
      </c>
      <c r="O725" s="3">
        <v>0</v>
      </c>
      <c r="P725" s="3">
        <v>0</v>
      </c>
      <c r="Q725" s="3">
        <v>50.61</v>
      </c>
      <c r="R725" s="3">
        <v>6.5792999999999999</v>
      </c>
      <c r="S725" s="3">
        <v>0</v>
      </c>
      <c r="T725" s="3">
        <v>0</v>
      </c>
      <c r="U725" s="3">
        <v>57.189300000000003</v>
      </c>
      <c r="V725" s="3">
        <v>0</v>
      </c>
      <c r="W725" s="3" t="s">
        <v>1</v>
      </c>
    </row>
    <row r="726" spans="5:23" hidden="1" x14ac:dyDescent="0.25">
      <c r="E726" t="s">
        <v>8609</v>
      </c>
      <c r="F726" s="1" t="s">
        <v>8770</v>
      </c>
      <c r="G726" t="s">
        <v>1</v>
      </c>
      <c r="H726" t="s">
        <v>0</v>
      </c>
      <c r="I726" t="s">
        <v>8165</v>
      </c>
      <c r="J726" t="s">
        <v>8164</v>
      </c>
      <c r="K726">
        <v>13425</v>
      </c>
      <c r="L726">
        <v>13425</v>
      </c>
      <c r="M726" t="s">
        <v>8160</v>
      </c>
      <c r="N726" t="s">
        <v>8161</v>
      </c>
      <c r="O726" s="3">
        <v>0</v>
      </c>
      <c r="P726" s="3">
        <v>0</v>
      </c>
      <c r="Q726" s="3">
        <v>5.46</v>
      </c>
      <c r="R726" s="3">
        <v>0.70979999999999999</v>
      </c>
      <c r="S726" s="3">
        <v>0</v>
      </c>
      <c r="T726" s="3">
        <v>0</v>
      </c>
      <c r="U726" s="3">
        <v>6.1698000000000004</v>
      </c>
      <c r="V726" s="3">
        <v>0</v>
      </c>
      <c r="W726" s="3" t="s">
        <v>1</v>
      </c>
    </row>
    <row r="727" spans="5:23" hidden="1" x14ac:dyDescent="0.25">
      <c r="E727" t="s">
        <v>8609</v>
      </c>
      <c r="F727" s="1" t="s">
        <v>8770</v>
      </c>
      <c r="G727" t="s">
        <v>1</v>
      </c>
      <c r="H727" t="s">
        <v>0</v>
      </c>
      <c r="I727" t="s">
        <v>8165</v>
      </c>
      <c r="J727" t="s">
        <v>8164</v>
      </c>
      <c r="K727">
        <v>13426</v>
      </c>
      <c r="L727">
        <v>13426</v>
      </c>
      <c r="M727" t="s">
        <v>8166</v>
      </c>
      <c r="N727" t="s">
        <v>8167</v>
      </c>
      <c r="O727" s="3">
        <v>0</v>
      </c>
      <c r="P727" s="3">
        <v>0</v>
      </c>
      <c r="Q727" s="3">
        <v>99.55</v>
      </c>
      <c r="R727" s="3">
        <v>12.9415</v>
      </c>
      <c r="S727" s="3">
        <v>0</v>
      </c>
      <c r="T727" s="3">
        <v>0</v>
      </c>
      <c r="U727" s="3">
        <v>112.4915</v>
      </c>
      <c r="V727" s="3">
        <v>0</v>
      </c>
      <c r="W727" s="3" t="s">
        <v>1</v>
      </c>
    </row>
    <row r="728" spans="5:23" hidden="1" x14ac:dyDescent="0.25">
      <c r="E728" t="s">
        <v>8609</v>
      </c>
      <c r="F728" s="1" t="s">
        <v>8777</v>
      </c>
      <c r="G728" t="s">
        <v>1</v>
      </c>
      <c r="H728" t="s">
        <v>0</v>
      </c>
      <c r="I728" t="s">
        <v>8165</v>
      </c>
      <c r="J728" t="s">
        <v>8164</v>
      </c>
      <c r="K728">
        <v>13427</v>
      </c>
      <c r="L728">
        <v>13427</v>
      </c>
      <c r="M728" t="s">
        <v>8166</v>
      </c>
      <c r="N728" t="s">
        <v>8167</v>
      </c>
      <c r="O728" s="3">
        <v>0</v>
      </c>
      <c r="P728" s="3">
        <v>0</v>
      </c>
      <c r="Q728" s="3">
        <v>170.5</v>
      </c>
      <c r="R728" s="3">
        <v>22.164999999999999</v>
      </c>
      <c r="S728" s="3">
        <v>0</v>
      </c>
      <c r="T728" s="3">
        <v>0</v>
      </c>
      <c r="U728" s="3">
        <v>192.66499999999999</v>
      </c>
      <c r="V728" s="3">
        <v>0</v>
      </c>
      <c r="W728" s="3" t="s">
        <v>1</v>
      </c>
    </row>
    <row r="729" spans="5:23" hidden="1" x14ac:dyDescent="0.25">
      <c r="E729" t="s">
        <v>8609</v>
      </c>
      <c r="F729" s="1" t="s">
        <v>8777</v>
      </c>
      <c r="G729" t="s">
        <v>1</v>
      </c>
      <c r="H729" t="s">
        <v>0</v>
      </c>
      <c r="I729" t="s">
        <v>8165</v>
      </c>
      <c r="J729" t="s">
        <v>8164</v>
      </c>
      <c r="K729">
        <v>13428</v>
      </c>
      <c r="L729">
        <v>13428</v>
      </c>
      <c r="M729" t="s">
        <v>7852</v>
      </c>
      <c r="N729" t="s">
        <v>7851</v>
      </c>
      <c r="O729" s="3">
        <v>0</v>
      </c>
      <c r="P729" s="3">
        <v>0</v>
      </c>
      <c r="Q729" s="3">
        <v>0</v>
      </c>
      <c r="R729" s="3">
        <v>0</v>
      </c>
      <c r="S729" s="3">
        <v>0</v>
      </c>
      <c r="T729" s="3">
        <v>0</v>
      </c>
      <c r="U729" s="3">
        <v>0</v>
      </c>
      <c r="V729" s="3">
        <v>0</v>
      </c>
      <c r="W729" s="3" t="s">
        <v>1</v>
      </c>
    </row>
    <row r="730" spans="5:23" hidden="1" x14ac:dyDescent="0.25">
      <c r="E730" t="s">
        <v>8609</v>
      </c>
      <c r="F730" s="1" t="s">
        <v>8777</v>
      </c>
      <c r="G730" t="s">
        <v>1</v>
      </c>
      <c r="H730" t="s">
        <v>0</v>
      </c>
      <c r="I730" t="s">
        <v>8165</v>
      </c>
      <c r="J730" t="s">
        <v>8164</v>
      </c>
      <c r="K730">
        <v>13429</v>
      </c>
      <c r="L730">
        <v>13429</v>
      </c>
      <c r="M730" t="s">
        <v>1346</v>
      </c>
      <c r="N730" t="s">
        <v>1347</v>
      </c>
      <c r="O730" s="3">
        <v>0</v>
      </c>
      <c r="P730" s="3">
        <v>0</v>
      </c>
      <c r="Q730" s="3">
        <v>72.28</v>
      </c>
      <c r="R730" s="3">
        <v>9.3963999999999999</v>
      </c>
      <c r="S730" s="3">
        <v>0</v>
      </c>
      <c r="T730" s="3">
        <v>0</v>
      </c>
      <c r="U730" s="3">
        <v>81.676400000000001</v>
      </c>
      <c r="V730" s="3">
        <v>0</v>
      </c>
      <c r="W730" s="3" t="s">
        <v>1</v>
      </c>
    </row>
    <row r="731" spans="5:23" hidden="1" x14ac:dyDescent="0.25">
      <c r="E731" t="s">
        <v>8609</v>
      </c>
      <c r="F731" s="1" t="s">
        <v>8777</v>
      </c>
      <c r="G731" t="s">
        <v>1</v>
      </c>
      <c r="H731" t="s">
        <v>0</v>
      </c>
      <c r="I731" t="s">
        <v>8165</v>
      </c>
      <c r="J731" t="s">
        <v>8164</v>
      </c>
      <c r="K731">
        <v>13430</v>
      </c>
      <c r="L731">
        <v>13430</v>
      </c>
      <c r="M731" t="s">
        <v>8644</v>
      </c>
      <c r="N731" t="s">
        <v>8645</v>
      </c>
      <c r="O731" s="3">
        <v>0</v>
      </c>
      <c r="P731" s="3">
        <v>0</v>
      </c>
      <c r="Q731" s="3">
        <v>10.199999999999999</v>
      </c>
      <c r="R731" s="3">
        <v>1.3259999999999998</v>
      </c>
      <c r="S731" s="3">
        <v>0</v>
      </c>
      <c r="T731" s="3">
        <v>0</v>
      </c>
      <c r="U731" s="3">
        <v>11.526</v>
      </c>
      <c r="V731" s="3">
        <v>0</v>
      </c>
      <c r="W731" s="3" t="s">
        <v>1</v>
      </c>
    </row>
    <row r="732" spans="5:23" hidden="1" x14ac:dyDescent="0.25">
      <c r="E732" t="s">
        <v>8609</v>
      </c>
      <c r="F732" s="1" t="s">
        <v>8777</v>
      </c>
      <c r="G732" t="s">
        <v>1</v>
      </c>
      <c r="H732" t="s">
        <v>0</v>
      </c>
      <c r="I732" t="s">
        <v>8165</v>
      </c>
      <c r="J732" t="s">
        <v>8164</v>
      </c>
      <c r="K732">
        <v>13431</v>
      </c>
      <c r="L732">
        <v>13431</v>
      </c>
      <c r="M732" t="s">
        <v>502</v>
      </c>
      <c r="N732" t="s">
        <v>503</v>
      </c>
      <c r="O732" s="3">
        <v>0</v>
      </c>
      <c r="P732" s="3">
        <v>0</v>
      </c>
      <c r="Q732" s="3">
        <v>11</v>
      </c>
      <c r="R732" s="3">
        <v>1.4300000000000002</v>
      </c>
      <c r="S732" s="3">
        <v>0</v>
      </c>
      <c r="T732" s="3">
        <v>0</v>
      </c>
      <c r="U732" s="3">
        <v>12.43</v>
      </c>
      <c r="V732" s="3">
        <v>0</v>
      </c>
      <c r="W732" s="3" t="s">
        <v>1</v>
      </c>
    </row>
    <row r="733" spans="5:23" hidden="1" x14ac:dyDescent="0.25">
      <c r="E733" t="s">
        <v>8609</v>
      </c>
      <c r="F733" s="1" t="s">
        <v>8777</v>
      </c>
      <c r="G733" t="s">
        <v>1</v>
      </c>
      <c r="H733" t="s">
        <v>0</v>
      </c>
      <c r="I733" t="s">
        <v>8165</v>
      </c>
      <c r="J733" t="s">
        <v>8164</v>
      </c>
      <c r="K733">
        <v>13432</v>
      </c>
      <c r="L733">
        <v>13432</v>
      </c>
      <c r="M733" t="s">
        <v>149</v>
      </c>
      <c r="N733" t="s">
        <v>150</v>
      </c>
      <c r="O733" s="3">
        <v>0</v>
      </c>
      <c r="P733" s="3">
        <v>0</v>
      </c>
      <c r="Q733" s="3">
        <v>27</v>
      </c>
      <c r="R733" s="3">
        <v>3.5100000000000002</v>
      </c>
      <c r="S733" s="3">
        <v>0</v>
      </c>
      <c r="T733" s="3">
        <v>0</v>
      </c>
      <c r="U733" s="3">
        <v>30.51</v>
      </c>
      <c r="V733" s="3">
        <v>0</v>
      </c>
      <c r="W733" s="3" t="s">
        <v>1</v>
      </c>
    </row>
    <row r="734" spans="5:23" hidden="1" x14ac:dyDescent="0.25">
      <c r="E734" t="s">
        <v>8609</v>
      </c>
      <c r="F734" s="1" t="s">
        <v>8777</v>
      </c>
      <c r="G734" t="s">
        <v>1</v>
      </c>
      <c r="H734" t="s">
        <v>0</v>
      </c>
      <c r="I734" t="s">
        <v>8165</v>
      </c>
      <c r="J734" t="s">
        <v>8164</v>
      </c>
      <c r="K734">
        <v>13433</v>
      </c>
      <c r="L734">
        <v>13433</v>
      </c>
      <c r="M734" t="s">
        <v>8269</v>
      </c>
      <c r="N734" t="s">
        <v>8270</v>
      </c>
      <c r="O734" s="3">
        <v>0</v>
      </c>
      <c r="P734" s="3">
        <v>0</v>
      </c>
      <c r="Q734" s="3">
        <v>122.2</v>
      </c>
      <c r="R734" s="3">
        <v>15.886000000000001</v>
      </c>
      <c r="S734" s="3">
        <v>0</v>
      </c>
      <c r="T734" s="3">
        <v>0</v>
      </c>
      <c r="U734" s="3">
        <v>138.08600000000001</v>
      </c>
      <c r="V734" s="3">
        <v>0</v>
      </c>
      <c r="W734" s="3" t="s">
        <v>1</v>
      </c>
    </row>
    <row r="735" spans="5:23" hidden="1" x14ac:dyDescent="0.25">
      <c r="E735" t="s">
        <v>8609</v>
      </c>
      <c r="F735" s="1" t="s">
        <v>8777</v>
      </c>
      <c r="G735" t="s">
        <v>1</v>
      </c>
      <c r="H735" t="s">
        <v>0</v>
      </c>
      <c r="I735" t="s">
        <v>8165</v>
      </c>
      <c r="J735" t="s">
        <v>8164</v>
      </c>
      <c r="K735">
        <v>13434</v>
      </c>
      <c r="L735">
        <v>13434</v>
      </c>
      <c r="M735" t="s">
        <v>8407</v>
      </c>
      <c r="N735" t="s">
        <v>8408</v>
      </c>
      <c r="O735" s="3">
        <v>0</v>
      </c>
      <c r="P735" s="3">
        <v>0</v>
      </c>
      <c r="Q735" s="3">
        <v>121.03</v>
      </c>
      <c r="R735" s="3">
        <v>15.7339</v>
      </c>
      <c r="S735" s="3">
        <v>0</v>
      </c>
      <c r="T735" s="3">
        <v>0</v>
      </c>
      <c r="U735" s="3">
        <v>136.76390000000001</v>
      </c>
      <c r="V735" s="3">
        <v>0</v>
      </c>
      <c r="W735" s="3" t="s">
        <v>1</v>
      </c>
    </row>
    <row r="736" spans="5:23" hidden="1" x14ac:dyDescent="0.25">
      <c r="E736" t="s">
        <v>8609</v>
      </c>
      <c r="F736" s="1" t="s">
        <v>8777</v>
      </c>
      <c r="G736" t="s">
        <v>1</v>
      </c>
      <c r="H736" t="s">
        <v>0</v>
      </c>
      <c r="I736" t="s">
        <v>8165</v>
      </c>
      <c r="J736" t="s">
        <v>8164</v>
      </c>
      <c r="K736">
        <v>13435</v>
      </c>
      <c r="L736">
        <v>13435</v>
      </c>
      <c r="M736" t="s">
        <v>8407</v>
      </c>
      <c r="N736" t="s">
        <v>8408</v>
      </c>
      <c r="O736" s="3">
        <v>0</v>
      </c>
      <c r="P736" s="3">
        <v>0</v>
      </c>
      <c r="Q736" s="3">
        <v>115.32</v>
      </c>
      <c r="R736" s="3">
        <v>14.9916</v>
      </c>
      <c r="S736" s="3">
        <v>0</v>
      </c>
      <c r="T736" s="3">
        <v>0</v>
      </c>
      <c r="U736" s="3">
        <v>130.3116</v>
      </c>
      <c r="V736" s="3">
        <v>0</v>
      </c>
      <c r="W736" s="3" t="s">
        <v>1</v>
      </c>
    </row>
    <row r="737" spans="5:23" hidden="1" x14ac:dyDescent="0.25">
      <c r="E737" t="s">
        <v>8609</v>
      </c>
      <c r="F737" s="1" t="s">
        <v>8777</v>
      </c>
      <c r="G737" t="s">
        <v>1</v>
      </c>
      <c r="H737" t="s">
        <v>0</v>
      </c>
      <c r="I737" t="s">
        <v>8165</v>
      </c>
      <c r="J737" t="s">
        <v>8164</v>
      </c>
      <c r="K737">
        <v>13436</v>
      </c>
      <c r="L737">
        <v>13436</v>
      </c>
      <c r="M737" t="s">
        <v>635</v>
      </c>
      <c r="N737" t="s">
        <v>636</v>
      </c>
      <c r="O737" s="3">
        <v>0</v>
      </c>
      <c r="P737" s="3">
        <v>0</v>
      </c>
      <c r="Q737" s="3">
        <v>124.35</v>
      </c>
      <c r="R737" s="3">
        <v>16.165500000000002</v>
      </c>
      <c r="S737" s="3">
        <v>0</v>
      </c>
      <c r="T737" s="3">
        <v>0</v>
      </c>
      <c r="U737" s="3">
        <v>140.5155</v>
      </c>
      <c r="V737" s="3">
        <v>0</v>
      </c>
      <c r="W737" s="3" t="s">
        <v>1</v>
      </c>
    </row>
    <row r="738" spans="5:23" hidden="1" x14ac:dyDescent="0.25">
      <c r="E738" t="s">
        <v>8609</v>
      </c>
      <c r="F738" s="1" t="s">
        <v>8777</v>
      </c>
      <c r="G738" t="s">
        <v>1</v>
      </c>
      <c r="H738" t="s">
        <v>0</v>
      </c>
      <c r="I738" t="s">
        <v>8165</v>
      </c>
      <c r="J738" t="s">
        <v>8164</v>
      </c>
      <c r="K738">
        <v>13437</v>
      </c>
      <c r="L738">
        <v>13437</v>
      </c>
      <c r="M738" t="s">
        <v>7852</v>
      </c>
      <c r="N738" t="s">
        <v>7851</v>
      </c>
      <c r="O738" s="3">
        <v>0</v>
      </c>
      <c r="P738" s="3">
        <v>0</v>
      </c>
      <c r="Q738" s="3">
        <v>0</v>
      </c>
      <c r="R738" s="3">
        <v>0</v>
      </c>
      <c r="S738" s="3">
        <v>0</v>
      </c>
      <c r="T738" s="3">
        <v>0</v>
      </c>
      <c r="U738" s="3">
        <v>0</v>
      </c>
      <c r="V738" s="3">
        <v>0</v>
      </c>
      <c r="W738" s="3" t="s">
        <v>1</v>
      </c>
    </row>
    <row r="739" spans="5:23" hidden="1" x14ac:dyDescent="0.25">
      <c r="E739" t="s">
        <v>8609</v>
      </c>
      <c r="F739" s="1" t="s">
        <v>8777</v>
      </c>
      <c r="G739" t="s">
        <v>1</v>
      </c>
      <c r="H739" t="s">
        <v>0</v>
      </c>
      <c r="I739" t="s">
        <v>8165</v>
      </c>
      <c r="J739" t="s">
        <v>8164</v>
      </c>
      <c r="K739">
        <v>13438</v>
      </c>
      <c r="L739">
        <v>13438</v>
      </c>
      <c r="M739" t="s">
        <v>8269</v>
      </c>
      <c r="N739" t="s">
        <v>8270</v>
      </c>
      <c r="O739" s="3">
        <v>0</v>
      </c>
      <c r="P739" s="3">
        <v>0</v>
      </c>
      <c r="Q739" s="3">
        <v>109.51</v>
      </c>
      <c r="R739" s="3">
        <v>14.236300000000002</v>
      </c>
      <c r="S739" s="3">
        <v>0</v>
      </c>
      <c r="T739" s="3">
        <v>0</v>
      </c>
      <c r="U739" s="3">
        <v>123.74630000000001</v>
      </c>
      <c r="V739" s="3">
        <v>0</v>
      </c>
      <c r="W739" s="3" t="s">
        <v>1</v>
      </c>
    </row>
    <row r="740" spans="5:23" hidden="1" x14ac:dyDescent="0.25">
      <c r="E740" t="s">
        <v>8609</v>
      </c>
      <c r="F740" s="1" t="s">
        <v>8777</v>
      </c>
      <c r="G740" t="s">
        <v>1</v>
      </c>
      <c r="H740" t="s">
        <v>0</v>
      </c>
      <c r="I740" t="s">
        <v>8165</v>
      </c>
      <c r="J740" t="s">
        <v>8164</v>
      </c>
      <c r="K740">
        <v>13439</v>
      </c>
      <c r="L740">
        <v>13439</v>
      </c>
      <c r="M740" t="s">
        <v>8269</v>
      </c>
      <c r="N740" t="s">
        <v>8270</v>
      </c>
      <c r="O740" s="3">
        <v>0</v>
      </c>
      <c r="P740" s="3">
        <v>0</v>
      </c>
      <c r="Q740" s="3">
        <v>103.81</v>
      </c>
      <c r="R740" s="3">
        <v>13.4953</v>
      </c>
      <c r="S740" s="3">
        <v>0</v>
      </c>
      <c r="T740" s="3">
        <v>0</v>
      </c>
      <c r="U740" s="3">
        <v>117.3053</v>
      </c>
      <c r="V740" s="3">
        <v>0</v>
      </c>
      <c r="W740" s="3" t="s">
        <v>1</v>
      </c>
    </row>
    <row r="741" spans="5:23" hidden="1" x14ac:dyDescent="0.25">
      <c r="E741" t="s">
        <v>8609</v>
      </c>
      <c r="F741" s="1" t="s">
        <v>8777</v>
      </c>
      <c r="G741" t="s">
        <v>1</v>
      </c>
      <c r="H741" t="s">
        <v>0</v>
      </c>
      <c r="I741" t="s">
        <v>8165</v>
      </c>
      <c r="J741" t="s">
        <v>8164</v>
      </c>
      <c r="K741">
        <v>13440</v>
      </c>
      <c r="L741">
        <v>13440</v>
      </c>
      <c r="M741" t="s">
        <v>8209</v>
      </c>
      <c r="N741" t="s">
        <v>8210</v>
      </c>
      <c r="O741" s="3">
        <v>0</v>
      </c>
      <c r="P741" s="3">
        <v>0</v>
      </c>
      <c r="Q741" s="3">
        <v>93.75</v>
      </c>
      <c r="R741" s="3">
        <v>12.1875</v>
      </c>
      <c r="S741" s="3">
        <v>0</v>
      </c>
      <c r="T741" s="3">
        <v>0</v>
      </c>
      <c r="U741" s="3">
        <v>105.9375</v>
      </c>
      <c r="V741" s="3">
        <v>0</v>
      </c>
      <c r="W741" s="3" t="s">
        <v>1</v>
      </c>
    </row>
    <row r="742" spans="5:23" hidden="1" x14ac:dyDescent="0.25">
      <c r="E742" t="s">
        <v>8609</v>
      </c>
      <c r="F742" s="1" t="s">
        <v>8777</v>
      </c>
      <c r="G742" t="s">
        <v>1</v>
      </c>
      <c r="H742" t="s">
        <v>0</v>
      </c>
      <c r="I742" t="s">
        <v>8165</v>
      </c>
      <c r="J742" t="s">
        <v>8164</v>
      </c>
      <c r="K742">
        <v>13441</v>
      </c>
      <c r="L742">
        <v>13441</v>
      </c>
      <c r="M742" t="s">
        <v>8209</v>
      </c>
      <c r="N742" t="s">
        <v>8210</v>
      </c>
      <c r="O742" s="3">
        <v>0</v>
      </c>
      <c r="P742" s="3">
        <v>0</v>
      </c>
      <c r="Q742" s="3">
        <v>93.75</v>
      </c>
      <c r="R742" s="3">
        <v>12.1875</v>
      </c>
      <c r="S742" s="3">
        <v>0</v>
      </c>
      <c r="T742" s="3">
        <v>0</v>
      </c>
      <c r="U742" s="3">
        <v>105.9375</v>
      </c>
      <c r="V742" s="3">
        <v>0</v>
      </c>
      <c r="W742" s="3" t="s">
        <v>1</v>
      </c>
    </row>
    <row r="743" spans="5:23" hidden="1" x14ac:dyDescent="0.25">
      <c r="E743" t="s">
        <v>8609</v>
      </c>
      <c r="F743" s="1" t="s">
        <v>8777</v>
      </c>
      <c r="G743" t="s">
        <v>1</v>
      </c>
      <c r="H743" t="s">
        <v>0</v>
      </c>
      <c r="I743" t="s">
        <v>8165</v>
      </c>
      <c r="J743" t="s">
        <v>8164</v>
      </c>
      <c r="K743">
        <v>13441</v>
      </c>
      <c r="L743">
        <v>13441</v>
      </c>
      <c r="M743" t="s">
        <v>8480</v>
      </c>
      <c r="N743" t="s">
        <v>8481</v>
      </c>
      <c r="O743" s="3">
        <v>0</v>
      </c>
      <c r="P743" s="3">
        <v>0</v>
      </c>
      <c r="Q743" s="3">
        <v>70.709999999999994</v>
      </c>
      <c r="R743" s="3">
        <v>9.1922999999999995</v>
      </c>
      <c r="S743" s="3">
        <v>0</v>
      </c>
      <c r="T743" s="3">
        <v>0</v>
      </c>
      <c r="U743" s="3">
        <v>79.902299999999997</v>
      </c>
      <c r="V743" s="3">
        <v>0</v>
      </c>
      <c r="W743" s="3" t="s">
        <v>1</v>
      </c>
    </row>
    <row r="744" spans="5:23" hidden="1" x14ac:dyDescent="0.25">
      <c r="E744" t="s">
        <v>8609</v>
      </c>
      <c r="F744" s="1" t="s">
        <v>8777</v>
      </c>
      <c r="G744" t="s">
        <v>1</v>
      </c>
      <c r="H744" t="s">
        <v>0</v>
      </c>
      <c r="I744" t="s">
        <v>8165</v>
      </c>
      <c r="J744" t="s">
        <v>8164</v>
      </c>
      <c r="K744">
        <v>13442</v>
      </c>
      <c r="L744">
        <v>13442</v>
      </c>
      <c r="M744" t="s">
        <v>8166</v>
      </c>
      <c r="N744" t="s">
        <v>8167</v>
      </c>
      <c r="O744" s="3">
        <v>0</v>
      </c>
      <c r="P744" s="3">
        <v>0</v>
      </c>
      <c r="Q744" s="3">
        <v>20</v>
      </c>
      <c r="R744" s="3">
        <v>2.6</v>
      </c>
      <c r="S744" s="3">
        <v>0</v>
      </c>
      <c r="T744" s="3">
        <v>0</v>
      </c>
      <c r="U744" s="3">
        <v>22.6</v>
      </c>
      <c r="V744" s="3">
        <v>0</v>
      </c>
      <c r="W744" s="3" t="s">
        <v>1</v>
      </c>
    </row>
    <row r="745" spans="5:23" hidden="1" x14ac:dyDescent="0.25">
      <c r="E745" t="s">
        <v>8609</v>
      </c>
      <c r="F745" s="34" t="s">
        <v>8776</v>
      </c>
      <c r="G745" t="s">
        <v>1</v>
      </c>
      <c r="H745" t="s">
        <v>0</v>
      </c>
      <c r="I745" t="s">
        <v>8165</v>
      </c>
      <c r="J745" t="s">
        <v>8164</v>
      </c>
      <c r="K745">
        <v>13443</v>
      </c>
      <c r="L745">
        <v>13443</v>
      </c>
      <c r="M745" t="s">
        <v>8655</v>
      </c>
      <c r="N745" t="s">
        <v>8656</v>
      </c>
      <c r="O745" s="3">
        <v>0</v>
      </c>
      <c r="P745" s="3">
        <v>0</v>
      </c>
      <c r="Q745" s="3">
        <v>80</v>
      </c>
      <c r="R745" s="3">
        <v>10.4</v>
      </c>
      <c r="S745" s="3">
        <v>0</v>
      </c>
      <c r="T745" s="3">
        <v>0</v>
      </c>
      <c r="U745" s="3">
        <v>90.4</v>
      </c>
      <c r="V745" s="3">
        <v>0</v>
      </c>
      <c r="W745" s="3" t="s">
        <v>1</v>
      </c>
    </row>
    <row r="746" spans="5:23" hidden="1" x14ac:dyDescent="0.25">
      <c r="E746" t="s">
        <v>8609</v>
      </c>
      <c r="F746" s="34" t="s">
        <v>8776</v>
      </c>
      <c r="G746" t="s">
        <v>1</v>
      </c>
      <c r="H746" t="s">
        <v>0</v>
      </c>
      <c r="I746" t="s">
        <v>8165</v>
      </c>
      <c r="J746" t="s">
        <v>8164</v>
      </c>
      <c r="K746">
        <v>13444</v>
      </c>
      <c r="L746">
        <v>13444</v>
      </c>
      <c r="M746" t="s">
        <v>8306</v>
      </c>
      <c r="N746" t="s">
        <v>8307</v>
      </c>
      <c r="O746" s="3">
        <v>0</v>
      </c>
      <c r="P746" s="3">
        <v>0</v>
      </c>
      <c r="Q746" s="3">
        <v>8.44</v>
      </c>
      <c r="R746" s="3">
        <v>1.0972</v>
      </c>
      <c r="S746" s="3">
        <v>0</v>
      </c>
      <c r="T746" s="3">
        <v>0</v>
      </c>
      <c r="U746" s="3">
        <v>9.5371999999999986</v>
      </c>
      <c r="V746" s="3">
        <v>0</v>
      </c>
      <c r="W746" s="3" t="s">
        <v>1</v>
      </c>
    </row>
    <row r="747" spans="5:23" hidden="1" x14ac:dyDescent="0.25">
      <c r="E747" t="s">
        <v>8609</v>
      </c>
      <c r="F747" s="34" t="s">
        <v>8776</v>
      </c>
      <c r="G747" t="s">
        <v>1</v>
      </c>
      <c r="H747" t="s">
        <v>0</v>
      </c>
      <c r="I747" t="s">
        <v>8165</v>
      </c>
      <c r="J747" t="s">
        <v>8164</v>
      </c>
      <c r="K747">
        <v>13445</v>
      </c>
      <c r="L747">
        <v>13445</v>
      </c>
      <c r="M747">
        <v>0</v>
      </c>
      <c r="N747" t="s">
        <v>8235</v>
      </c>
      <c r="O747" s="3">
        <v>0</v>
      </c>
      <c r="P747" s="3">
        <v>0</v>
      </c>
      <c r="Q747" s="3">
        <v>402.11</v>
      </c>
      <c r="R747" s="3">
        <v>52.274300000000004</v>
      </c>
      <c r="S747" s="3">
        <v>0</v>
      </c>
      <c r="T747" s="3">
        <v>0</v>
      </c>
      <c r="U747" s="3">
        <v>454.3843</v>
      </c>
      <c r="V747" s="3" t="s">
        <v>8718</v>
      </c>
      <c r="W747" s="3" t="s">
        <v>1</v>
      </c>
    </row>
    <row r="748" spans="5:23" hidden="1" x14ac:dyDescent="0.25">
      <c r="E748" t="s">
        <v>8609</v>
      </c>
      <c r="F748" s="34" t="s">
        <v>8776</v>
      </c>
      <c r="G748" t="s">
        <v>1</v>
      </c>
      <c r="H748" t="s">
        <v>0</v>
      </c>
      <c r="I748" t="s">
        <v>8165</v>
      </c>
      <c r="J748" t="s">
        <v>8164</v>
      </c>
      <c r="K748">
        <v>13446</v>
      </c>
      <c r="L748">
        <v>13446</v>
      </c>
      <c r="M748" t="s">
        <v>8236</v>
      </c>
      <c r="N748" t="s">
        <v>8237</v>
      </c>
      <c r="O748" s="3">
        <v>0</v>
      </c>
      <c r="P748" s="3">
        <v>0</v>
      </c>
      <c r="Q748" s="3">
        <v>57.2</v>
      </c>
      <c r="R748" s="3">
        <v>7.4360000000000008</v>
      </c>
      <c r="S748" s="3">
        <v>0</v>
      </c>
      <c r="T748" s="3">
        <v>0</v>
      </c>
      <c r="U748" s="3">
        <v>64.63600000000001</v>
      </c>
      <c r="V748" s="3">
        <v>0</v>
      </c>
      <c r="W748" s="3" t="s">
        <v>1</v>
      </c>
    </row>
    <row r="749" spans="5:23" hidden="1" x14ac:dyDescent="0.25">
      <c r="E749" t="s">
        <v>8609</v>
      </c>
      <c r="F749" s="34" t="s">
        <v>8776</v>
      </c>
      <c r="G749" t="s">
        <v>1</v>
      </c>
      <c r="H749" t="s">
        <v>0</v>
      </c>
      <c r="I749" t="s">
        <v>8165</v>
      </c>
      <c r="J749" t="s">
        <v>8164</v>
      </c>
      <c r="K749">
        <v>13447</v>
      </c>
      <c r="L749">
        <v>13447</v>
      </c>
      <c r="M749" t="s">
        <v>8214</v>
      </c>
      <c r="N749" t="s">
        <v>8215</v>
      </c>
      <c r="O749" s="3">
        <v>0</v>
      </c>
      <c r="P749" s="3">
        <v>0</v>
      </c>
      <c r="Q749" s="3">
        <v>159.4</v>
      </c>
      <c r="R749" s="3">
        <v>20.722000000000001</v>
      </c>
      <c r="S749" s="3">
        <v>0</v>
      </c>
      <c r="T749" s="3">
        <v>0</v>
      </c>
      <c r="U749" s="3">
        <v>180.12200000000001</v>
      </c>
      <c r="V749" s="3">
        <v>0</v>
      </c>
      <c r="W749" s="3" t="s">
        <v>1</v>
      </c>
    </row>
    <row r="750" spans="5:23" hidden="1" x14ac:dyDescent="0.25">
      <c r="E750" t="s">
        <v>8609</v>
      </c>
      <c r="F750" s="34" t="s">
        <v>8776</v>
      </c>
      <c r="G750" t="s">
        <v>1</v>
      </c>
      <c r="H750" t="s">
        <v>0</v>
      </c>
      <c r="I750" t="s">
        <v>8165</v>
      </c>
      <c r="J750" t="s">
        <v>8164</v>
      </c>
      <c r="K750">
        <v>13448</v>
      </c>
      <c r="L750">
        <v>13448</v>
      </c>
      <c r="M750" t="s">
        <v>8214</v>
      </c>
      <c r="N750" t="s">
        <v>8215</v>
      </c>
      <c r="O750" s="3">
        <v>0</v>
      </c>
      <c r="P750" s="3">
        <v>0</v>
      </c>
      <c r="Q750" s="3">
        <v>177</v>
      </c>
      <c r="R750" s="3">
        <v>23.01</v>
      </c>
      <c r="S750" s="3">
        <v>0</v>
      </c>
      <c r="T750" s="3">
        <v>0</v>
      </c>
      <c r="U750" s="3">
        <v>200.01</v>
      </c>
      <c r="V750" s="3">
        <v>0</v>
      </c>
    </row>
    <row r="751" spans="5:23" hidden="1" x14ac:dyDescent="0.25">
      <c r="E751" t="s">
        <v>8609</v>
      </c>
      <c r="F751" s="34" t="s">
        <v>8776</v>
      </c>
      <c r="G751" t="s">
        <v>1</v>
      </c>
      <c r="H751" t="s">
        <v>0</v>
      </c>
      <c r="I751" t="s">
        <v>8165</v>
      </c>
      <c r="J751" t="s">
        <v>8164</v>
      </c>
      <c r="K751">
        <v>13449</v>
      </c>
      <c r="L751">
        <v>13449</v>
      </c>
      <c r="M751" t="s">
        <v>8729</v>
      </c>
      <c r="N751" t="s">
        <v>8730</v>
      </c>
      <c r="O751" s="3">
        <v>0</v>
      </c>
      <c r="P751" s="3">
        <v>0</v>
      </c>
      <c r="Q751" s="3">
        <v>96</v>
      </c>
      <c r="R751" s="3">
        <v>12.48</v>
      </c>
      <c r="S751" s="3">
        <v>0</v>
      </c>
      <c r="T751" s="3">
        <v>0</v>
      </c>
      <c r="U751" s="3">
        <v>108.48</v>
      </c>
      <c r="V751" s="3">
        <v>0</v>
      </c>
      <c r="W751" s="3" t="s">
        <v>1</v>
      </c>
    </row>
    <row r="752" spans="5:23" hidden="1" x14ac:dyDescent="0.25">
      <c r="E752" t="s">
        <v>8609</v>
      </c>
      <c r="F752" s="34" t="s">
        <v>8776</v>
      </c>
      <c r="G752" t="s">
        <v>1</v>
      </c>
      <c r="H752" t="s">
        <v>0</v>
      </c>
      <c r="I752" t="s">
        <v>8165</v>
      </c>
      <c r="J752" t="s">
        <v>8164</v>
      </c>
      <c r="K752">
        <v>13450</v>
      </c>
      <c r="L752">
        <v>13450</v>
      </c>
      <c r="M752" t="s">
        <v>8644</v>
      </c>
      <c r="N752" t="s">
        <v>8645</v>
      </c>
      <c r="O752" s="3">
        <v>0</v>
      </c>
      <c r="P752" s="3">
        <v>0</v>
      </c>
      <c r="Q752" s="3">
        <v>95.08</v>
      </c>
      <c r="R752" s="3">
        <v>12.3604</v>
      </c>
      <c r="S752" s="3">
        <v>0</v>
      </c>
      <c r="T752" s="3">
        <v>0</v>
      </c>
      <c r="U752" s="3">
        <v>107.4404</v>
      </c>
      <c r="V752" s="3">
        <v>0</v>
      </c>
      <c r="W752" s="3" t="s">
        <v>1</v>
      </c>
    </row>
    <row r="753" spans="5:23" hidden="1" x14ac:dyDescent="0.25">
      <c r="E753" t="s">
        <v>8609</v>
      </c>
      <c r="F753" s="34" t="s">
        <v>8776</v>
      </c>
      <c r="G753" t="s">
        <v>1</v>
      </c>
      <c r="H753" t="s">
        <v>0</v>
      </c>
      <c r="I753" t="s">
        <v>8165</v>
      </c>
      <c r="J753" t="s">
        <v>8164</v>
      </c>
      <c r="K753">
        <v>13451</v>
      </c>
      <c r="L753">
        <v>13451</v>
      </c>
      <c r="M753" t="s">
        <v>8269</v>
      </c>
      <c r="N753" t="s">
        <v>8270</v>
      </c>
      <c r="O753" s="3">
        <v>0</v>
      </c>
      <c r="P753" s="3">
        <v>0</v>
      </c>
      <c r="Q753" s="3">
        <v>30</v>
      </c>
      <c r="R753" s="3">
        <v>3.9000000000000004</v>
      </c>
      <c r="S753" s="3">
        <v>0</v>
      </c>
      <c r="T753" s="3">
        <v>0</v>
      </c>
      <c r="U753" s="3">
        <v>33.9</v>
      </c>
      <c r="V753" s="3">
        <v>0</v>
      </c>
      <c r="W753" s="3" t="s">
        <v>1</v>
      </c>
    </row>
    <row r="754" spans="5:23" hidden="1" x14ac:dyDescent="0.25">
      <c r="E754" t="s">
        <v>8609</v>
      </c>
      <c r="F754" s="34" t="s">
        <v>8776</v>
      </c>
      <c r="G754" t="s">
        <v>1</v>
      </c>
      <c r="H754" t="s">
        <v>0</v>
      </c>
      <c r="I754" t="s">
        <v>8165</v>
      </c>
      <c r="J754" t="s">
        <v>8164</v>
      </c>
      <c r="K754">
        <v>13452</v>
      </c>
      <c r="L754">
        <v>13452</v>
      </c>
      <c r="M754" t="s">
        <v>7852</v>
      </c>
      <c r="N754" t="s">
        <v>7851</v>
      </c>
      <c r="O754" s="3">
        <v>0</v>
      </c>
      <c r="P754" s="3">
        <v>0</v>
      </c>
      <c r="Q754" s="3">
        <v>0</v>
      </c>
      <c r="R754" s="3">
        <v>0</v>
      </c>
      <c r="S754" s="3">
        <v>0</v>
      </c>
      <c r="T754" s="3">
        <v>0</v>
      </c>
      <c r="U754" s="3">
        <v>0</v>
      </c>
      <c r="V754" s="3">
        <v>0</v>
      </c>
      <c r="W754" s="3" t="s">
        <v>1</v>
      </c>
    </row>
    <row r="755" spans="5:23" hidden="1" x14ac:dyDescent="0.25">
      <c r="E755" t="s">
        <v>8609</v>
      </c>
      <c r="F755" s="34" t="s">
        <v>8776</v>
      </c>
      <c r="G755" t="s">
        <v>1</v>
      </c>
      <c r="H755" t="s">
        <v>0</v>
      </c>
      <c r="I755" t="s">
        <v>8165</v>
      </c>
      <c r="J755" t="s">
        <v>8164</v>
      </c>
      <c r="K755">
        <v>13453</v>
      </c>
      <c r="L755">
        <v>13453</v>
      </c>
      <c r="M755" t="s">
        <v>8295</v>
      </c>
      <c r="N755" t="s">
        <v>935</v>
      </c>
      <c r="O755" s="3">
        <v>0</v>
      </c>
      <c r="P755" s="3">
        <v>0</v>
      </c>
      <c r="Q755" s="3">
        <v>130.03</v>
      </c>
      <c r="R755" s="3">
        <v>16.9039</v>
      </c>
      <c r="S755" s="3">
        <v>0</v>
      </c>
      <c r="T755" s="3">
        <v>0</v>
      </c>
      <c r="U755" s="3">
        <v>146.93389999999999</v>
      </c>
      <c r="V755" s="3">
        <v>0</v>
      </c>
      <c r="W755" s="3" t="s">
        <v>1</v>
      </c>
    </row>
    <row r="756" spans="5:23" hidden="1" x14ac:dyDescent="0.25">
      <c r="E756" t="s">
        <v>8609</v>
      </c>
      <c r="F756" s="34" t="s">
        <v>8776</v>
      </c>
      <c r="G756" t="s">
        <v>1</v>
      </c>
      <c r="H756" t="s">
        <v>0</v>
      </c>
      <c r="I756" t="s">
        <v>8165</v>
      </c>
      <c r="J756" t="s">
        <v>8164</v>
      </c>
      <c r="K756">
        <v>13454</v>
      </c>
      <c r="L756">
        <v>13454</v>
      </c>
      <c r="M756" t="s">
        <v>8295</v>
      </c>
      <c r="N756" t="s">
        <v>935</v>
      </c>
      <c r="O756" s="3">
        <v>0</v>
      </c>
      <c r="P756" s="3">
        <v>0</v>
      </c>
      <c r="Q756" s="3">
        <v>38.9</v>
      </c>
      <c r="R756" s="3">
        <v>5.0570000000000004</v>
      </c>
      <c r="S756" s="3">
        <v>0</v>
      </c>
      <c r="T756" s="3">
        <v>0</v>
      </c>
      <c r="U756" s="3">
        <v>43.957000000000001</v>
      </c>
      <c r="V756" s="3">
        <v>0</v>
      </c>
      <c r="W756" s="3" t="s">
        <v>1</v>
      </c>
    </row>
    <row r="757" spans="5:23" hidden="1" x14ac:dyDescent="0.25">
      <c r="E757" t="s">
        <v>8609</v>
      </c>
      <c r="F757" s="34" t="s">
        <v>8776</v>
      </c>
      <c r="G757" t="s">
        <v>1</v>
      </c>
      <c r="H757" t="s">
        <v>0</v>
      </c>
      <c r="I757" t="s">
        <v>8165</v>
      </c>
      <c r="J757" t="s">
        <v>8164</v>
      </c>
      <c r="K757">
        <v>13455</v>
      </c>
      <c r="L757">
        <v>13455</v>
      </c>
      <c r="M757" t="s">
        <v>8243</v>
      </c>
      <c r="N757" t="s">
        <v>8244</v>
      </c>
      <c r="O757" s="3">
        <v>0</v>
      </c>
      <c r="P757" s="3">
        <v>0</v>
      </c>
      <c r="Q757" s="3">
        <v>41.82</v>
      </c>
      <c r="R757" s="3">
        <v>5.4366000000000003</v>
      </c>
      <c r="S757" s="3">
        <v>0</v>
      </c>
      <c r="T757" s="3">
        <v>0</v>
      </c>
      <c r="U757" s="3">
        <v>47.256599999999999</v>
      </c>
      <c r="V757" s="3">
        <v>0</v>
      </c>
      <c r="W757" s="3" t="s">
        <v>1</v>
      </c>
    </row>
    <row r="758" spans="5:23" hidden="1" x14ac:dyDescent="0.25">
      <c r="E758" t="s">
        <v>8609</v>
      </c>
      <c r="F758" s="34" t="s">
        <v>8776</v>
      </c>
      <c r="G758" t="s">
        <v>1</v>
      </c>
      <c r="H758" t="s">
        <v>0</v>
      </c>
      <c r="I758" t="s">
        <v>8165</v>
      </c>
      <c r="J758" t="s">
        <v>8164</v>
      </c>
      <c r="K758">
        <v>13456</v>
      </c>
      <c r="L758">
        <v>13456</v>
      </c>
      <c r="M758" t="s">
        <v>8431</v>
      </c>
      <c r="N758" t="s">
        <v>8432</v>
      </c>
      <c r="O758" s="3">
        <v>0</v>
      </c>
      <c r="P758" s="3">
        <v>0</v>
      </c>
      <c r="Q758" s="3">
        <v>67.680000000000007</v>
      </c>
      <c r="R758" s="3">
        <v>8.7984000000000009</v>
      </c>
      <c r="S758" s="3">
        <v>0</v>
      </c>
      <c r="T758" s="3">
        <v>0</v>
      </c>
      <c r="U758" s="3">
        <v>76.478400000000008</v>
      </c>
      <c r="V758" s="3">
        <v>0</v>
      </c>
      <c r="W758" s="3" t="s">
        <v>1</v>
      </c>
    </row>
    <row r="759" spans="5:23" hidden="1" x14ac:dyDescent="0.25">
      <c r="E759" t="s">
        <v>8609</v>
      </c>
      <c r="F759" s="34" t="s">
        <v>8776</v>
      </c>
      <c r="G759" t="s">
        <v>1</v>
      </c>
      <c r="H759" t="s">
        <v>0</v>
      </c>
      <c r="I759" t="s">
        <v>8165</v>
      </c>
      <c r="J759" t="s">
        <v>8164</v>
      </c>
      <c r="K759">
        <v>13457</v>
      </c>
      <c r="L759">
        <v>13457</v>
      </c>
      <c r="M759">
        <v>0</v>
      </c>
      <c r="N759" t="s">
        <v>8208</v>
      </c>
      <c r="O759" s="3">
        <v>0</v>
      </c>
      <c r="P759" s="3">
        <v>0</v>
      </c>
      <c r="Q759" s="3">
        <v>37.17</v>
      </c>
      <c r="R759" s="3">
        <v>4.8321000000000005</v>
      </c>
      <c r="S759" s="3">
        <v>0</v>
      </c>
      <c r="T759" s="3">
        <v>0</v>
      </c>
      <c r="U759" s="3">
        <v>42.002099999999999</v>
      </c>
      <c r="V759" s="3" t="s">
        <v>8650</v>
      </c>
      <c r="W759" s="3" t="s">
        <v>1</v>
      </c>
    </row>
    <row r="760" spans="5:23" hidden="1" x14ac:dyDescent="0.25">
      <c r="E760" t="s">
        <v>8609</v>
      </c>
      <c r="F760" s="34" t="s">
        <v>8776</v>
      </c>
      <c r="G760" t="s">
        <v>1</v>
      </c>
      <c r="H760" t="s">
        <v>0</v>
      </c>
      <c r="I760" t="s">
        <v>8165</v>
      </c>
      <c r="J760" t="s">
        <v>8164</v>
      </c>
      <c r="K760">
        <v>13458</v>
      </c>
      <c r="L760">
        <v>13458</v>
      </c>
      <c r="M760" t="s">
        <v>8174</v>
      </c>
      <c r="N760" t="s">
        <v>8175</v>
      </c>
      <c r="O760" s="3">
        <v>0</v>
      </c>
      <c r="P760" s="3">
        <v>0</v>
      </c>
      <c r="Q760" s="3">
        <v>144</v>
      </c>
      <c r="R760" s="3">
        <v>18.72</v>
      </c>
      <c r="S760" s="3">
        <v>0</v>
      </c>
      <c r="T760" s="3">
        <v>0</v>
      </c>
      <c r="U760" s="3">
        <v>162.72</v>
      </c>
      <c r="V760" s="3">
        <v>0</v>
      </c>
      <c r="W760" s="3" t="s">
        <v>1</v>
      </c>
    </row>
    <row r="761" spans="5:23" hidden="1" x14ac:dyDescent="0.25">
      <c r="E761" t="s">
        <v>8609</v>
      </c>
      <c r="F761" s="34" t="s">
        <v>8776</v>
      </c>
      <c r="G761" t="s">
        <v>1</v>
      </c>
      <c r="H761" t="s">
        <v>0</v>
      </c>
      <c r="I761" t="s">
        <v>8165</v>
      </c>
      <c r="J761" t="s">
        <v>8164</v>
      </c>
      <c r="K761">
        <v>13459</v>
      </c>
      <c r="L761">
        <v>13459</v>
      </c>
      <c r="M761" t="s">
        <v>8209</v>
      </c>
      <c r="N761" t="s">
        <v>8210</v>
      </c>
      <c r="O761" s="3">
        <v>0</v>
      </c>
      <c r="P761" s="3">
        <v>0</v>
      </c>
      <c r="Q761" s="3">
        <v>3.19</v>
      </c>
      <c r="R761" s="3">
        <v>0.41470000000000001</v>
      </c>
      <c r="S761" s="3">
        <v>0</v>
      </c>
      <c r="T761" s="3">
        <v>0</v>
      </c>
      <c r="U761" s="3">
        <v>3.6046999999999998</v>
      </c>
      <c r="V761" s="3">
        <v>0</v>
      </c>
      <c r="W761" s="3" t="s">
        <v>1</v>
      </c>
    </row>
    <row r="762" spans="5:23" hidden="1" x14ac:dyDescent="0.25">
      <c r="E762" t="s">
        <v>8609</v>
      </c>
      <c r="F762" s="34" t="s">
        <v>8776</v>
      </c>
      <c r="G762" t="s">
        <v>1</v>
      </c>
      <c r="H762" t="s">
        <v>0</v>
      </c>
      <c r="I762" t="s">
        <v>8165</v>
      </c>
      <c r="J762" t="s">
        <v>8164</v>
      </c>
      <c r="K762">
        <v>13460</v>
      </c>
      <c r="L762">
        <v>13460</v>
      </c>
      <c r="M762" t="s">
        <v>8289</v>
      </c>
      <c r="N762" t="s">
        <v>8290</v>
      </c>
      <c r="O762" s="3">
        <v>0</v>
      </c>
      <c r="P762" s="3">
        <v>0</v>
      </c>
      <c r="Q762" s="3">
        <v>20.07</v>
      </c>
      <c r="R762" s="3">
        <v>2.6091000000000002</v>
      </c>
      <c r="S762" s="3">
        <v>0</v>
      </c>
      <c r="T762" s="3">
        <v>0</v>
      </c>
      <c r="U762" s="3">
        <v>22.679100000000002</v>
      </c>
      <c r="V762" s="3">
        <v>0</v>
      </c>
      <c r="W762" s="3" t="s">
        <v>1</v>
      </c>
    </row>
    <row r="763" spans="5:23" hidden="1" x14ac:dyDescent="0.25">
      <c r="E763" t="s">
        <v>8609</v>
      </c>
      <c r="F763" s="34" t="s">
        <v>8776</v>
      </c>
      <c r="G763" t="s">
        <v>1</v>
      </c>
      <c r="H763" t="s">
        <v>0</v>
      </c>
      <c r="I763" t="s">
        <v>8165</v>
      </c>
      <c r="J763" t="s">
        <v>8164</v>
      </c>
      <c r="K763">
        <v>13461</v>
      </c>
      <c r="L763">
        <v>13461</v>
      </c>
      <c r="M763" t="s">
        <v>8289</v>
      </c>
      <c r="N763" t="s">
        <v>8290</v>
      </c>
      <c r="O763" s="3">
        <v>0</v>
      </c>
      <c r="P763" s="3">
        <v>0</v>
      </c>
      <c r="Q763" s="3">
        <v>992.65</v>
      </c>
      <c r="R763" s="3">
        <v>129.0445</v>
      </c>
      <c r="S763" s="3">
        <v>0</v>
      </c>
      <c r="T763" s="3">
        <v>0</v>
      </c>
      <c r="U763" s="3">
        <v>1121.6945000000001</v>
      </c>
      <c r="V763" s="3">
        <v>0</v>
      </c>
      <c r="W763" s="3" t="s">
        <v>1</v>
      </c>
    </row>
    <row r="764" spans="5:23" hidden="1" x14ac:dyDescent="0.25">
      <c r="E764" t="s">
        <v>8609</v>
      </c>
      <c r="F764" s="34" t="s">
        <v>8776</v>
      </c>
      <c r="G764" t="s">
        <v>1</v>
      </c>
      <c r="H764" t="s">
        <v>0</v>
      </c>
      <c r="I764" t="s">
        <v>8165</v>
      </c>
      <c r="J764" t="s">
        <v>8164</v>
      </c>
      <c r="K764">
        <v>13462</v>
      </c>
      <c r="L764">
        <v>13462</v>
      </c>
      <c r="M764" t="s">
        <v>8188</v>
      </c>
      <c r="N764" t="s">
        <v>8189</v>
      </c>
      <c r="O764" s="3">
        <v>0</v>
      </c>
      <c r="P764" s="3">
        <v>0</v>
      </c>
      <c r="Q764" s="3">
        <v>687.54</v>
      </c>
      <c r="R764" s="3">
        <v>89.380200000000002</v>
      </c>
      <c r="S764" s="3">
        <v>0</v>
      </c>
      <c r="T764" s="3">
        <v>0</v>
      </c>
      <c r="U764" s="3">
        <v>776.92020000000002</v>
      </c>
      <c r="V764" s="3">
        <v>0</v>
      </c>
      <c r="W764" s="3" t="s">
        <v>1</v>
      </c>
    </row>
    <row r="765" spans="5:23" hidden="1" x14ac:dyDescent="0.25">
      <c r="E765" t="s">
        <v>8609</v>
      </c>
      <c r="F765" s="34" t="s">
        <v>8776</v>
      </c>
      <c r="G765" t="s">
        <v>1</v>
      </c>
      <c r="H765" t="s">
        <v>0</v>
      </c>
      <c r="I765" t="s">
        <v>8165</v>
      </c>
      <c r="J765" t="s">
        <v>8164</v>
      </c>
      <c r="K765">
        <v>13463</v>
      </c>
      <c r="L765">
        <v>13463</v>
      </c>
      <c r="M765" t="s">
        <v>7852</v>
      </c>
      <c r="N765" t="s">
        <v>7851</v>
      </c>
      <c r="O765" s="3">
        <v>0</v>
      </c>
      <c r="P765" s="3">
        <v>0</v>
      </c>
      <c r="Q765" s="3">
        <v>0</v>
      </c>
      <c r="R765" s="3">
        <v>0</v>
      </c>
      <c r="S765" s="3">
        <v>0</v>
      </c>
      <c r="T765" s="3">
        <v>0</v>
      </c>
      <c r="U765" s="3">
        <v>0</v>
      </c>
      <c r="V765" s="3">
        <v>0</v>
      </c>
      <c r="W765" s="3" t="s">
        <v>1</v>
      </c>
    </row>
    <row r="766" spans="5:23" hidden="1" x14ac:dyDescent="0.25">
      <c r="E766" t="s">
        <v>8609</v>
      </c>
      <c r="F766" s="34" t="s">
        <v>8776</v>
      </c>
      <c r="G766" t="s">
        <v>1</v>
      </c>
      <c r="H766" t="s">
        <v>0</v>
      </c>
      <c r="I766" t="s">
        <v>8165</v>
      </c>
      <c r="J766" t="s">
        <v>8164</v>
      </c>
      <c r="K766">
        <v>13464</v>
      </c>
      <c r="L766">
        <v>13464</v>
      </c>
      <c r="M766" t="s">
        <v>7852</v>
      </c>
      <c r="N766" t="s">
        <v>7851</v>
      </c>
      <c r="O766" s="3">
        <v>0</v>
      </c>
      <c r="P766" s="3">
        <v>0</v>
      </c>
      <c r="Q766" s="3">
        <v>0</v>
      </c>
      <c r="R766" s="3">
        <v>0</v>
      </c>
      <c r="S766" s="3">
        <v>0</v>
      </c>
      <c r="T766" s="3">
        <v>0</v>
      </c>
      <c r="U766" s="3">
        <v>0</v>
      </c>
      <c r="V766" s="3">
        <v>0</v>
      </c>
      <c r="W766" s="3" t="s">
        <v>1</v>
      </c>
    </row>
    <row r="767" spans="5:23" hidden="1" x14ac:dyDescent="0.25">
      <c r="E767" t="s">
        <v>8609</v>
      </c>
      <c r="F767" s="34" t="s">
        <v>8776</v>
      </c>
      <c r="G767" t="s">
        <v>1</v>
      </c>
      <c r="H767" t="s">
        <v>0</v>
      </c>
      <c r="I767" t="s">
        <v>8165</v>
      </c>
      <c r="J767" t="s">
        <v>8164</v>
      </c>
      <c r="K767">
        <v>13465</v>
      </c>
      <c r="L767">
        <v>13465</v>
      </c>
      <c r="M767" t="s">
        <v>8018</v>
      </c>
      <c r="N767" t="s">
        <v>8019</v>
      </c>
      <c r="O767" s="3">
        <v>0</v>
      </c>
      <c r="P767" s="3">
        <v>0</v>
      </c>
      <c r="Q767" s="3">
        <v>33.19</v>
      </c>
      <c r="R767" s="3">
        <v>4.3147000000000002</v>
      </c>
      <c r="S767" s="3">
        <v>0</v>
      </c>
      <c r="T767" s="3">
        <v>0</v>
      </c>
      <c r="U767" s="3">
        <v>37.5047</v>
      </c>
      <c r="V767" s="3">
        <v>0</v>
      </c>
      <c r="W767" s="3" t="s">
        <v>1</v>
      </c>
    </row>
    <row r="768" spans="5:23" hidden="1" x14ac:dyDescent="0.25">
      <c r="E768" t="s">
        <v>8609</v>
      </c>
      <c r="F768" s="34" t="s">
        <v>8776</v>
      </c>
      <c r="G768" t="s">
        <v>1</v>
      </c>
      <c r="H768" t="s">
        <v>0</v>
      </c>
      <c r="I768" t="s">
        <v>8165</v>
      </c>
      <c r="J768" t="s">
        <v>8164</v>
      </c>
      <c r="K768">
        <v>13466</v>
      </c>
      <c r="L768">
        <v>13466</v>
      </c>
      <c r="M768">
        <v>0</v>
      </c>
      <c r="N768" t="s">
        <v>8229</v>
      </c>
      <c r="O768" s="3">
        <v>0</v>
      </c>
      <c r="P768" s="3">
        <v>0</v>
      </c>
      <c r="Q768" s="3">
        <v>228.41</v>
      </c>
      <c r="R768" s="3">
        <v>29.693300000000001</v>
      </c>
      <c r="S768" s="3">
        <v>0</v>
      </c>
      <c r="T768" s="3">
        <v>0</v>
      </c>
      <c r="U768" s="3">
        <v>258.10329999999999</v>
      </c>
      <c r="V768" s="3" t="s">
        <v>8719</v>
      </c>
      <c r="W768" s="3" t="s">
        <v>1</v>
      </c>
    </row>
    <row r="769" spans="5:23" hidden="1" x14ac:dyDescent="0.25">
      <c r="E769" t="s">
        <v>8609</v>
      </c>
      <c r="F769" s="34" t="s">
        <v>8776</v>
      </c>
      <c r="G769" t="s">
        <v>1</v>
      </c>
      <c r="H769" t="s">
        <v>0</v>
      </c>
      <c r="I769" t="s">
        <v>8165</v>
      </c>
      <c r="J769" t="s">
        <v>8164</v>
      </c>
      <c r="K769">
        <v>13467</v>
      </c>
      <c r="L769">
        <v>13467</v>
      </c>
      <c r="M769">
        <v>0</v>
      </c>
      <c r="N769" t="s">
        <v>8229</v>
      </c>
      <c r="O769" s="3">
        <v>0</v>
      </c>
      <c r="P769" s="3">
        <v>0</v>
      </c>
      <c r="Q769" s="3">
        <v>12.57</v>
      </c>
      <c r="R769" s="3">
        <v>1.6341000000000001</v>
      </c>
      <c r="S769" s="3">
        <v>0</v>
      </c>
      <c r="T769" s="3">
        <v>0</v>
      </c>
      <c r="U769" s="3">
        <v>14.2041</v>
      </c>
      <c r="V769" s="3" t="s">
        <v>8719</v>
      </c>
      <c r="W769" s="3" t="s">
        <v>1</v>
      </c>
    </row>
    <row r="770" spans="5:23" hidden="1" x14ac:dyDescent="0.25">
      <c r="E770" t="s">
        <v>8609</v>
      </c>
      <c r="F770" s="34" t="s">
        <v>8776</v>
      </c>
      <c r="G770" t="s">
        <v>1</v>
      </c>
      <c r="H770" t="s">
        <v>0</v>
      </c>
      <c r="I770" t="s">
        <v>8165</v>
      </c>
      <c r="J770" t="s">
        <v>8164</v>
      </c>
      <c r="K770">
        <v>13468</v>
      </c>
      <c r="L770">
        <v>13468</v>
      </c>
      <c r="M770" t="s">
        <v>8160</v>
      </c>
      <c r="N770" t="s">
        <v>8161</v>
      </c>
      <c r="O770" s="3">
        <v>0</v>
      </c>
      <c r="P770" s="3">
        <v>0</v>
      </c>
      <c r="Q770" s="3">
        <v>44.38</v>
      </c>
      <c r="R770" s="3">
        <v>5.769400000000001</v>
      </c>
      <c r="S770" s="3">
        <v>0</v>
      </c>
      <c r="T770" s="3">
        <v>0</v>
      </c>
      <c r="U770" s="3">
        <v>50.1494</v>
      </c>
      <c r="V770" s="3">
        <v>0</v>
      </c>
      <c r="W770" s="3" t="s">
        <v>1</v>
      </c>
    </row>
    <row r="771" spans="5:23" hidden="1" x14ac:dyDescent="0.25">
      <c r="E771" t="s">
        <v>8609</v>
      </c>
      <c r="F771" s="34" t="s">
        <v>8776</v>
      </c>
      <c r="G771" t="s">
        <v>1</v>
      </c>
      <c r="H771" t="s">
        <v>0</v>
      </c>
      <c r="I771" t="s">
        <v>8165</v>
      </c>
      <c r="J771" t="s">
        <v>8164</v>
      </c>
      <c r="K771">
        <v>13469</v>
      </c>
      <c r="L771">
        <v>13469</v>
      </c>
      <c r="M771" t="s">
        <v>8727</v>
      </c>
      <c r="N771" t="s">
        <v>8728</v>
      </c>
      <c r="O771" s="3">
        <v>0</v>
      </c>
      <c r="P771" s="3">
        <v>0</v>
      </c>
      <c r="Q771" s="3">
        <v>111.32</v>
      </c>
      <c r="R771" s="3">
        <v>14.4716</v>
      </c>
      <c r="S771" s="3">
        <v>0</v>
      </c>
      <c r="T771" s="3">
        <v>0</v>
      </c>
      <c r="U771" s="3">
        <v>125.79159999999999</v>
      </c>
      <c r="V771" s="3">
        <v>0</v>
      </c>
      <c r="W771" s="3" t="s">
        <v>1</v>
      </c>
    </row>
    <row r="772" spans="5:23" hidden="1" x14ac:dyDescent="0.25">
      <c r="E772" t="s">
        <v>8609</v>
      </c>
      <c r="F772" s="34" t="s">
        <v>8776</v>
      </c>
      <c r="G772" t="s">
        <v>1</v>
      </c>
      <c r="H772" t="s">
        <v>0</v>
      </c>
      <c r="I772" t="s">
        <v>8165</v>
      </c>
      <c r="J772" t="s">
        <v>8164</v>
      </c>
      <c r="K772">
        <v>13470</v>
      </c>
      <c r="L772">
        <v>13470</v>
      </c>
      <c r="M772" t="s">
        <v>7852</v>
      </c>
      <c r="N772" t="s">
        <v>7851</v>
      </c>
      <c r="O772" s="3">
        <v>0</v>
      </c>
      <c r="P772" s="3">
        <v>0</v>
      </c>
      <c r="Q772" s="3">
        <v>0</v>
      </c>
      <c r="R772" s="3">
        <v>0</v>
      </c>
      <c r="S772" s="3">
        <v>0</v>
      </c>
      <c r="T772" s="3">
        <v>0</v>
      </c>
      <c r="U772" s="3">
        <v>0</v>
      </c>
      <c r="V772" s="3">
        <v>0</v>
      </c>
      <c r="W772" s="3" t="s">
        <v>1</v>
      </c>
    </row>
    <row r="773" spans="5:23" hidden="1" x14ac:dyDescent="0.25">
      <c r="E773" t="s">
        <v>8609</v>
      </c>
      <c r="F773" s="34" t="s">
        <v>8776</v>
      </c>
      <c r="G773" t="s">
        <v>1</v>
      </c>
      <c r="H773" t="s">
        <v>0</v>
      </c>
      <c r="I773" t="s">
        <v>8165</v>
      </c>
      <c r="J773" t="s">
        <v>8164</v>
      </c>
      <c r="K773">
        <v>13471</v>
      </c>
      <c r="L773">
        <v>13471</v>
      </c>
      <c r="M773" t="s">
        <v>8789</v>
      </c>
      <c r="N773" t="s">
        <v>8790</v>
      </c>
      <c r="O773" s="3">
        <v>0</v>
      </c>
      <c r="P773" s="3">
        <v>0</v>
      </c>
      <c r="Q773" s="3">
        <v>266.92</v>
      </c>
      <c r="R773" s="3">
        <v>34.699600000000004</v>
      </c>
      <c r="S773" s="3">
        <v>0</v>
      </c>
      <c r="T773" s="3">
        <v>0</v>
      </c>
      <c r="U773" s="3">
        <v>301.61959999999999</v>
      </c>
      <c r="V773" s="3">
        <v>0</v>
      </c>
      <c r="W773" s="3" t="s">
        <v>1</v>
      </c>
    </row>
    <row r="774" spans="5:23" hidden="1" x14ac:dyDescent="0.25">
      <c r="E774" t="s">
        <v>8609</v>
      </c>
      <c r="F774" s="34" t="s">
        <v>8776</v>
      </c>
      <c r="G774" t="s">
        <v>1</v>
      </c>
      <c r="H774" t="s">
        <v>0</v>
      </c>
      <c r="I774" t="s">
        <v>8165</v>
      </c>
      <c r="J774" t="s">
        <v>8164</v>
      </c>
      <c r="K774">
        <v>13472</v>
      </c>
      <c r="L774">
        <v>13472</v>
      </c>
      <c r="M774">
        <v>0</v>
      </c>
      <c r="N774" t="s">
        <v>8219</v>
      </c>
      <c r="O774" s="3">
        <v>0</v>
      </c>
      <c r="P774" s="3">
        <v>0</v>
      </c>
      <c r="Q774" s="3">
        <v>261.14999999999998</v>
      </c>
      <c r="R774" s="3">
        <v>33.9495</v>
      </c>
      <c r="S774" s="3">
        <v>0</v>
      </c>
      <c r="T774" s="3">
        <v>0</v>
      </c>
      <c r="U774" s="3">
        <v>295.09949999999998</v>
      </c>
      <c r="V774" s="3" t="s">
        <v>8636</v>
      </c>
      <c r="W774" s="3" t="s">
        <v>1</v>
      </c>
    </row>
    <row r="775" spans="5:23" hidden="1" x14ac:dyDescent="0.25">
      <c r="E775" t="s">
        <v>8609</v>
      </c>
      <c r="F775" s="34" t="s">
        <v>8776</v>
      </c>
      <c r="G775" t="s">
        <v>1</v>
      </c>
      <c r="H775" t="s">
        <v>0</v>
      </c>
      <c r="I775" t="s">
        <v>8165</v>
      </c>
      <c r="J775" t="s">
        <v>8164</v>
      </c>
      <c r="K775">
        <v>13473</v>
      </c>
      <c r="L775">
        <v>13473</v>
      </c>
      <c r="M775" t="s">
        <v>7852</v>
      </c>
      <c r="N775" t="s">
        <v>7851</v>
      </c>
      <c r="O775" s="3">
        <v>0</v>
      </c>
      <c r="P775" s="3">
        <v>0</v>
      </c>
      <c r="Q775" s="3">
        <v>0</v>
      </c>
      <c r="R775" s="3">
        <v>0</v>
      </c>
      <c r="S775" s="3">
        <v>0</v>
      </c>
      <c r="T775" s="3">
        <v>0</v>
      </c>
      <c r="U775" s="3">
        <v>0</v>
      </c>
      <c r="V775" s="3">
        <v>0</v>
      </c>
      <c r="W775" s="3" t="s">
        <v>1</v>
      </c>
    </row>
    <row r="776" spans="5:23" hidden="1" x14ac:dyDescent="0.25">
      <c r="E776" t="s">
        <v>8609</v>
      </c>
      <c r="F776" s="34" t="s">
        <v>8776</v>
      </c>
      <c r="G776" t="s">
        <v>1</v>
      </c>
      <c r="H776" t="s">
        <v>0</v>
      </c>
      <c r="I776" t="s">
        <v>8165</v>
      </c>
      <c r="J776" t="s">
        <v>8164</v>
      </c>
      <c r="K776">
        <v>13474</v>
      </c>
      <c r="L776">
        <v>13474</v>
      </c>
      <c r="M776" t="s">
        <v>8787</v>
      </c>
      <c r="N776" t="s">
        <v>8788</v>
      </c>
      <c r="O776" s="3">
        <v>0</v>
      </c>
      <c r="P776" s="3">
        <v>0</v>
      </c>
      <c r="Q776" s="3">
        <v>173.45</v>
      </c>
      <c r="R776" s="3">
        <v>22.548500000000001</v>
      </c>
      <c r="S776" s="3">
        <v>0</v>
      </c>
      <c r="T776" s="3">
        <v>0</v>
      </c>
      <c r="U776" s="3">
        <v>195.99849999999998</v>
      </c>
      <c r="V776" s="3">
        <v>0</v>
      </c>
      <c r="W776" s="3" t="s">
        <v>1</v>
      </c>
    </row>
    <row r="777" spans="5:23" hidden="1" x14ac:dyDescent="0.25">
      <c r="E777" t="s">
        <v>8609</v>
      </c>
      <c r="F777" s="34" t="s">
        <v>8776</v>
      </c>
      <c r="G777" t="s">
        <v>1</v>
      </c>
      <c r="H777" t="s">
        <v>0</v>
      </c>
      <c r="I777" t="s">
        <v>8165</v>
      </c>
      <c r="J777" t="s">
        <v>8164</v>
      </c>
      <c r="K777">
        <v>13475</v>
      </c>
      <c r="L777">
        <v>13475</v>
      </c>
      <c r="M777" t="s">
        <v>8785</v>
      </c>
      <c r="N777" t="s">
        <v>8786</v>
      </c>
      <c r="O777" s="3">
        <v>0</v>
      </c>
      <c r="P777" s="3">
        <v>0</v>
      </c>
      <c r="Q777" s="3">
        <v>83.46</v>
      </c>
      <c r="R777" s="3">
        <v>10.8498</v>
      </c>
      <c r="S777" s="3">
        <v>0</v>
      </c>
      <c r="T777" s="3">
        <v>0</v>
      </c>
      <c r="U777" s="3">
        <v>94.309799999999996</v>
      </c>
      <c r="V777" s="3">
        <v>0</v>
      </c>
      <c r="W777" s="3" t="s">
        <v>1</v>
      </c>
    </row>
    <row r="778" spans="5:23" hidden="1" x14ac:dyDescent="0.25">
      <c r="E778" t="s">
        <v>8609</v>
      </c>
      <c r="F778" s="34" t="s">
        <v>8776</v>
      </c>
      <c r="G778" t="s">
        <v>1</v>
      </c>
      <c r="H778" t="s">
        <v>0</v>
      </c>
      <c r="I778" t="s">
        <v>8165</v>
      </c>
      <c r="J778" t="s">
        <v>8164</v>
      </c>
      <c r="K778">
        <v>13476</v>
      </c>
      <c r="L778">
        <v>13476</v>
      </c>
      <c r="M778" t="s">
        <v>8226</v>
      </c>
      <c r="N778" t="s">
        <v>8227</v>
      </c>
      <c r="O778" s="3">
        <v>0</v>
      </c>
      <c r="P778" s="3">
        <v>0</v>
      </c>
      <c r="Q778" s="3">
        <v>152.94</v>
      </c>
      <c r="R778" s="3">
        <v>19.882200000000001</v>
      </c>
      <c r="S778" s="3">
        <v>0</v>
      </c>
      <c r="T778" s="3">
        <v>0</v>
      </c>
      <c r="U778" s="3">
        <v>172.82220000000001</v>
      </c>
      <c r="V778" s="3">
        <v>0</v>
      </c>
      <c r="W778" s="3" t="s">
        <v>1</v>
      </c>
    </row>
    <row r="779" spans="5:23" hidden="1" x14ac:dyDescent="0.25">
      <c r="E779" t="s">
        <v>8609</v>
      </c>
      <c r="F779" s="34" t="s">
        <v>8776</v>
      </c>
      <c r="G779" t="s">
        <v>1</v>
      </c>
      <c r="H779" t="s">
        <v>0</v>
      </c>
      <c r="I779" t="s">
        <v>8165</v>
      </c>
      <c r="J779" t="s">
        <v>8164</v>
      </c>
      <c r="K779">
        <v>13477</v>
      </c>
      <c r="L779">
        <v>13477</v>
      </c>
      <c r="M779" t="s">
        <v>1273</v>
      </c>
      <c r="N779" t="s">
        <v>1274</v>
      </c>
      <c r="O779" s="3">
        <v>0</v>
      </c>
      <c r="P779" s="3">
        <v>0</v>
      </c>
      <c r="Q779" s="3">
        <v>464.57</v>
      </c>
      <c r="R779" s="3">
        <v>60.394100000000002</v>
      </c>
      <c r="S779" s="3">
        <v>0</v>
      </c>
      <c r="T779" s="3">
        <v>0</v>
      </c>
      <c r="U779" s="3">
        <v>524.96410000000003</v>
      </c>
      <c r="V779" s="3">
        <v>0</v>
      </c>
      <c r="W779" s="3" t="s">
        <v>1</v>
      </c>
    </row>
    <row r="780" spans="5:23" hidden="1" x14ac:dyDescent="0.25">
      <c r="E780" t="s">
        <v>8609</v>
      </c>
      <c r="F780" s="34" t="s">
        <v>8776</v>
      </c>
      <c r="G780" t="s">
        <v>1</v>
      </c>
      <c r="H780" t="s">
        <v>0</v>
      </c>
      <c r="I780" t="s">
        <v>8165</v>
      </c>
      <c r="J780" t="s">
        <v>8164</v>
      </c>
      <c r="K780">
        <v>13478</v>
      </c>
      <c r="L780">
        <v>13478</v>
      </c>
      <c r="M780" t="s">
        <v>7852</v>
      </c>
      <c r="N780" t="s">
        <v>7851</v>
      </c>
      <c r="O780" s="3">
        <v>0</v>
      </c>
      <c r="P780" s="3">
        <v>0</v>
      </c>
      <c r="Q780" s="3">
        <v>0</v>
      </c>
      <c r="R780" s="3">
        <v>0</v>
      </c>
      <c r="S780" s="3">
        <v>0</v>
      </c>
      <c r="T780" s="3">
        <v>0</v>
      </c>
      <c r="U780" s="3">
        <v>0</v>
      </c>
      <c r="V780" s="3">
        <v>0</v>
      </c>
      <c r="W780" s="3" t="s">
        <v>1</v>
      </c>
    </row>
    <row r="781" spans="5:23" hidden="1" x14ac:dyDescent="0.25">
      <c r="E781" t="s">
        <v>8609</v>
      </c>
      <c r="F781" s="34" t="s">
        <v>8776</v>
      </c>
      <c r="G781" t="s">
        <v>1</v>
      </c>
      <c r="H781" t="s">
        <v>0</v>
      </c>
      <c r="I781" t="s">
        <v>8165</v>
      </c>
      <c r="J781" t="s">
        <v>8164</v>
      </c>
      <c r="K781">
        <v>13479</v>
      </c>
      <c r="L781">
        <v>13479</v>
      </c>
      <c r="M781" t="s">
        <v>8018</v>
      </c>
      <c r="N781" t="s">
        <v>8019</v>
      </c>
      <c r="O781" s="3">
        <v>0</v>
      </c>
      <c r="P781" s="3">
        <v>0</v>
      </c>
      <c r="Q781" s="3">
        <v>13.27</v>
      </c>
      <c r="R781" s="3">
        <v>1.7251000000000001</v>
      </c>
      <c r="S781" s="3">
        <v>0</v>
      </c>
      <c r="T781" s="3">
        <v>0</v>
      </c>
      <c r="U781" s="3">
        <v>14.995099999999999</v>
      </c>
      <c r="V781" s="3">
        <v>0</v>
      </c>
      <c r="W781" s="3" t="s">
        <v>1</v>
      </c>
    </row>
    <row r="782" spans="5:23" hidden="1" x14ac:dyDescent="0.25">
      <c r="E782" t="s">
        <v>8609</v>
      </c>
      <c r="F782" s="34" t="s">
        <v>8776</v>
      </c>
      <c r="G782" t="s">
        <v>1</v>
      </c>
      <c r="H782" t="s">
        <v>0</v>
      </c>
      <c r="I782" t="s">
        <v>8165</v>
      </c>
      <c r="J782" t="s">
        <v>8164</v>
      </c>
      <c r="K782">
        <v>13480</v>
      </c>
      <c r="L782">
        <v>13480</v>
      </c>
      <c r="M782" t="s">
        <v>7852</v>
      </c>
      <c r="N782" t="s">
        <v>7851</v>
      </c>
      <c r="O782" s="3">
        <v>0</v>
      </c>
      <c r="P782" s="3">
        <v>0</v>
      </c>
      <c r="Q782" s="3">
        <v>0</v>
      </c>
      <c r="R782" s="3">
        <v>0</v>
      </c>
      <c r="S782" s="3">
        <v>0</v>
      </c>
      <c r="T782" s="3">
        <v>0</v>
      </c>
      <c r="U782" s="3">
        <v>0</v>
      </c>
      <c r="V782" s="3">
        <v>0</v>
      </c>
      <c r="W782" s="3" t="s">
        <v>1</v>
      </c>
    </row>
    <row r="783" spans="5:23" hidden="1" x14ac:dyDescent="0.25">
      <c r="E783" t="s">
        <v>8609</v>
      </c>
      <c r="F783" s="34" t="s">
        <v>8776</v>
      </c>
      <c r="G783" t="s">
        <v>1</v>
      </c>
      <c r="H783" t="s">
        <v>0</v>
      </c>
      <c r="I783" t="s">
        <v>8165</v>
      </c>
      <c r="J783" t="s">
        <v>8164</v>
      </c>
      <c r="K783">
        <v>13481</v>
      </c>
      <c r="L783">
        <v>13481</v>
      </c>
      <c r="M783" t="s">
        <v>7852</v>
      </c>
      <c r="N783" t="s">
        <v>7851</v>
      </c>
      <c r="O783" s="3">
        <v>0</v>
      </c>
      <c r="P783" s="3">
        <v>0</v>
      </c>
      <c r="Q783" s="3">
        <v>0</v>
      </c>
      <c r="R783" s="3">
        <v>0</v>
      </c>
      <c r="S783" s="3">
        <v>0</v>
      </c>
      <c r="T783" s="3">
        <v>0</v>
      </c>
      <c r="U783" s="3">
        <v>0</v>
      </c>
      <c r="V783" s="3">
        <v>0</v>
      </c>
      <c r="W783" s="3" t="s">
        <v>1</v>
      </c>
    </row>
    <row r="784" spans="5:23" hidden="1" x14ac:dyDescent="0.25">
      <c r="E784" t="s">
        <v>8609</v>
      </c>
      <c r="F784" s="34" t="s">
        <v>8776</v>
      </c>
      <c r="G784" t="s">
        <v>1</v>
      </c>
      <c r="H784" t="s">
        <v>0</v>
      </c>
      <c r="I784" t="s">
        <v>8165</v>
      </c>
      <c r="J784" t="s">
        <v>8164</v>
      </c>
      <c r="K784">
        <v>13482</v>
      </c>
      <c r="L784">
        <v>13482</v>
      </c>
      <c r="M784">
        <v>0</v>
      </c>
      <c r="N784" t="s">
        <v>8256</v>
      </c>
      <c r="O784" s="3">
        <v>0</v>
      </c>
      <c r="P784" s="3">
        <v>0</v>
      </c>
      <c r="Q784" s="3">
        <v>375.18</v>
      </c>
      <c r="R784" s="3">
        <v>48.773400000000002</v>
      </c>
      <c r="S784" s="3">
        <v>0</v>
      </c>
      <c r="T784" s="3">
        <v>0</v>
      </c>
      <c r="U784" s="3">
        <v>423.95339999999999</v>
      </c>
      <c r="V784" s="3" t="s">
        <v>8748</v>
      </c>
      <c r="W784" s="3" t="s">
        <v>1</v>
      </c>
    </row>
    <row r="785" spans="5:23" hidden="1" x14ac:dyDescent="0.25">
      <c r="E785" t="s">
        <v>8609</v>
      </c>
      <c r="F785" s="34" t="s">
        <v>8776</v>
      </c>
      <c r="G785" t="s">
        <v>1</v>
      </c>
      <c r="H785" t="s">
        <v>0</v>
      </c>
      <c r="I785" t="s">
        <v>8165</v>
      </c>
      <c r="J785" t="s">
        <v>8164</v>
      </c>
      <c r="K785">
        <v>13483</v>
      </c>
      <c r="L785">
        <v>13483</v>
      </c>
      <c r="M785" t="s">
        <v>1423</v>
      </c>
      <c r="N785" t="s">
        <v>1424</v>
      </c>
      <c r="O785" s="3">
        <v>0</v>
      </c>
      <c r="P785" s="3">
        <v>0</v>
      </c>
      <c r="Q785" s="3">
        <v>78.900000000000006</v>
      </c>
      <c r="R785" s="3">
        <v>10.257000000000001</v>
      </c>
      <c r="S785" s="3">
        <v>0</v>
      </c>
      <c r="T785" s="3">
        <v>0</v>
      </c>
      <c r="U785" s="3">
        <v>89.157000000000011</v>
      </c>
      <c r="V785" s="3">
        <v>0</v>
      </c>
      <c r="W785" s="3" t="s">
        <v>1</v>
      </c>
    </row>
    <row r="786" spans="5:23" hidden="1" x14ac:dyDescent="0.25">
      <c r="E786" t="s">
        <v>8609</v>
      </c>
      <c r="F786" s="34" t="s">
        <v>8776</v>
      </c>
      <c r="G786" t="s">
        <v>1</v>
      </c>
      <c r="H786" t="s">
        <v>0</v>
      </c>
      <c r="I786" t="s">
        <v>8165</v>
      </c>
      <c r="J786" t="s">
        <v>8164</v>
      </c>
      <c r="K786">
        <v>13484</v>
      </c>
      <c r="L786">
        <v>13484</v>
      </c>
      <c r="M786" t="s">
        <v>762</v>
      </c>
      <c r="N786" t="s">
        <v>763</v>
      </c>
      <c r="O786" s="3">
        <v>0</v>
      </c>
      <c r="P786" s="3">
        <v>0</v>
      </c>
      <c r="Q786" s="3">
        <v>280</v>
      </c>
      <c r="R786" s="3">
        <v>36.4</v>
      </c>
      <c r="S786" s="3">
        <v>0</v>
      </c>
      <c r="T786" s="3">
        <v>0</v>
      </c>
      <c r="U786" s="3">
        <v>316.39999999999998</v>
      </c>
      <c r="V786" s="3">
        <v>0</v>
      </c>
      <c r="W786" s="3" t="s">
        <v>1</v>
      </c>
    </row>
    <row r="787" spans="5:23" hidden="1" x14ac:dyDescent="0.25">
      <c r="E787" t="s">
        <v>8609</v>
      </c>
      <c r="F787" s="34" t="s">
        <v>8776</v>
      </c>
      <c r="G787" t="s">
        <v>1</v>
      </c>
      <c r="H787" t="s">
        <v>0</v>
      </c>
      <c r="I787" t="s">
        <v>8165</v>
      </c>
      <c r="J787" t="s">
        <v>8164</v>
      </c>
      <c r="K787">
        <v>13485</v>
      </c>
      <c r="L787">
        <v>13485</v>
      </c>
      <c r="M787" t="s">
        <v>8652</v>
      </c>
      <c r="N787" t="s">
        <v>8653</v>
      </c>
      <c r="O787" s="3">
        <v>0</v>
      </c>
      <c r="P787" s="3">
        <v>0</v>
      </c>
      <c r="Q787" s="3">
        <v>1345.86</v>
      </c>
      <c r="R787" s="3">
        <v>174.96179999999998</v>
      </c>
      <c r="S787" s="3">
        <v>0</v>
      </c>
      <c r="T787" s="3">
        <v>0</v>
      </c>
      <c r="U787" s="3">
        <v>1520.8217999999999</v>
      </c>
      <c r="V787" s="3">
        <v>0</v>
      </c>
      <c r="W787" s="3" t="s">
        <v>1</v>
      </c>
    </row>
    <row r="788" spans="5:23" hidden="1" x14ac:dyDescent="0.25">
      <c r="E788" t="s">
        <v>8609</v>
      </c>
      <c r="F788" s="34" t="s">
        <v>8776</v>
      </c>
      <c r="G788" t="s">
        <v>1</v>
      </c>
      <c r="H788" t="s">
        <v>0</v>
      </c>
      <c r="I788" t="s">
        <v>8165</v>
      </c>
      <c r="J788" t="s">
        <v>8164</v>
      </c>
      <c r="K788">
        <v>13486</v>
      </c>
      <c r="L788">
        <v>13486</v>
      </c>
      <c r="M788" t="s">
        <v>8652</v>
      </c>
      <c r="N788" t="s">
        <v>8653</v>
      </c>
      <c r="O788" s="3">
        <v>0</v>
      </c>
      <c r="P788" s="3">
        <v>0</v>
      </c>
      <c r="Q788" s="3">
        <v>21.5</v>
      </c>
      <c r="R788" s="3">
        <v>2.7949999999999999</v>
      </c>
      <c r="S788" s="3">
        <v>0</v>
      </c>
      <c r="T788" s="3">
        <v>0</v>
      </c>
      <c r="U788" s="3">
        <v>24.295000000000002</v>
      </c>
      <c r="V788" s="3">
        <v>0</v>
      </c>
      <c r="W788" s="3" t="s">
        <v>1</v>
      </c>
    </row>
    <row r="789" spans="5:23" hidden="1" x14ac:dyDescent="0.25">
      <c r="E789" t="s">
        <v>8609</v>
      </c>
      <c r="F789" s="34" t="s">
        <v>8776</v>
      </c>
      <c r="G789" t="s">
        <v>1</v>
      </c>
      <c r="H789" t="s">
        <v>0</v>
      </c>
      <c r="I789" t="s">
        <v>8165</v>
      </c>
      <c r="J789" t="s">
        <v>8164</v>
      </c>
      <c r="K789">
        <v>13487</v>
      </c>
      <c r="L789">
        <v>13487</v>
      </c>
      <c r="M789" t="s">
        <v>8277</v>
      </c>
      <c r="N789" t="s">
        <v>8278</v>
      </c>
      <c r="O789" s="3">
        <v>0</v>
      </c>
      <c r="P789" s="3">
        <v>0</v>
      </c>
      <c r="Q789" s="3">
        <v>203.52</v>
      </c>
      <c r="R789" s="3">
        <v>26.457600000000003</v>
      </c>
      <c r="S789" s="3">
        <v>0</v>
      </c>
      <c r="T789" s="3">
        <v>0</v>
      </c>
      <c r="U789" s="3">
        <v>229.97760000000002</v>
      </c>
      <c r="V789" s="3">
        <v>0</v>
      </c>
      <c r="W789" s="3" t="s">
        <v>1</v>
      </c>
    </row>
    <row r="790" spans="5:23" hidden="1" x14ac:dyDescent="0.25">
      <c r="E790" t="s">
        <v>8609</v>
      </c>
      <c r="F790" s="1" t="s">
        <v>8772</v>
      </c>
      <c r="G790" t="s">
        <v>1</v>
      </c>
      <c r="H790" t="s">
        <v>0</v>
      </c>
      <c r="I790" t="s">
        <v>8165</v>
      </c>
      <c r="J790" t="s">
        <v>8164</v>
      </c>
      <c r="K790">
        <v>13489</v>
      </c>
      <c r="L790">
        <v>13489</v>
      </c>
      <c r="M790" t="s">
        <v>7852</v>
      </c>
      <c r="N790" t="s">
        <v>7851</v>
      </c>
      <c r="O790" s="3">
        <v>0</v>
      </c>
      <c r="P790" s="3">
        <v>0</v>
      </c>
      <c r="Q790" s="3">
        <v>0</v>
      </c>
      <c r="R790" s="3">
        <v>0</v>
      </c>
      <c r="S790" s="3">
        <v>0</v>
      </c>
      <c r="T790" s="3">
        <v>0</v>
      </c>
      <c r="U790" s="3">
        <v>0</v>
      </c>
      <c r="V790" s="3">
        <v>0</v>
      </c>
      <c r="W790" s="3" t="s">
        <v>1</v>
      </c>
    </row>
    <row r="791" spans="5:23" hidden="1" x14ac:dyDescent="0.25">
      <c r="E791" t="s">
        <v>8609</v>
      </c>
      <c r="F791" s="1" t="s">
        <v>8772</v>
      </c>
      <c r="G791" t="s">
        <v>1</v>
      </c>
      <c r="H791" t="s">
        <v>0</v>
      </c>
      <c r="I791" t="s">
        <v>8165</v>
      </c>
      <c r="J791" t="s">
        <v>8164</v>
      </c>
      <c r="K791">
        <v>13490</v>
      </c>
      <c r="L791">
        <v>13490</v>
      </c>
      <c r="M791" t="s">
        <v>7852</v>
      </c>
      <c r="N791" t="s">
        <v>7851</v>
      </c>
      <c r="O791" s="3">
        <v>0</v>
      </c>
      <c r="P791" s="3">
        <v>0</v>
      </c>
      <c r="Q791" s="3">
        <v>0</v>
      </c>
      <c r="R791" s="3">
        <v>0</v>
      </c>
      <c r="S791" s="3">
        <v>0</v>
      </c>
      <c r="T791" s="3">
        <v>0</v>
      </c>
      <c r="U791" s="3">
        <v>0</v>
      </c>
      <c r="V791" s="3">
        <v>0</v>
      </c>
      <c r="W791" s="3" t="s">
        <v>1</v>
      </c>
    </row>
    <row r="792" spans="5:23" hidden="1" x14ac:dyDescent="0.25">
      <c r="E792" t="s">
        <v>8609</v>
      </c>
      <c r="F792" s="1" t="s">
        <v>8772</v>
      </c>
      <c r="G792" t="s">
        <v>1</v>
      </c>
      <c r="H792" t="s">
        <v>0</v>
      </c>
      <c r="I792" t="s">
        <v>8165</v>
      </c>
      <c r="J792" t="s">
        <v>8164</v>
      </c>
      <c r="K792">
        <v>13491</v>
      </c>
      <c r="L792">
        <v>13491</v>
      </c>
      <c r="M792" t="s">
        <v>8431</v>
      </c>
      <c r="N792" t="s">
        <v>8432</v>
      </c>
      <c r="O792" s="3">
        <v>0</v>
      </c>
      <c r="P792" s="3">
        <v>0</v>
      </c>
      <c r="Q792" s="3">
        <v>180.49</v>
      </c>
      <c r="R792" s="3">
        <v>23.463700000000003</v>
      </c>
      <c r="S792" s="3">
        <v>0</v>
      </c>
      <c r="T792" s="3">
        <v>0</v>
      </c>
      <c r="U792" s="3">
        <v>203.95370000000003</v>
      </c>
      <c r="V792" s="3">
        <v>0</v>
      </c>
      <c r="W792" s="3" t="s">
        <v>1</v>
      </c>
    </row>
    <row r="793" spans="5:23" hidden="1" x14ac:dyDescent="0.25">
      <c r="E793" t="s">
        <v>8609</v>
      </c>
      <c r="F793" s="1" t="s">
        <v>8772</v>
      </c>
      <c r="G793" t="s">
        <v>1</v>
      </c>
      <c r="H793" t="s">
        <v>0</v>
      </c>
      <c r="I793" t="s">
        <v>8165</v>
      </c>
      <c r="J793" t="s">
        <v>8164</v>
      </c>
      <c r="K793">
        <v>13492</v>
      </c>
      <c r="L793">
        <v>13492</v>
      </c>
      <c r="M793" t="s">
        <v>8213</v>
      </c>
      <c r="N793" t="s">
        <v>8181</v>
      </c>
      <c r="O793" s="3">
        <v>0</v>
      </c>
      <c r="P793" s="3">
        <v>0</v>
      </c>
      <c r="Q793" s="3">
        <v>30</v>
      </c>
      <c r="R793" s="3">
        <v>3.9000000000000004</v>
      </c>
      <c r="S793" s="3">
        <v>0</v>
      </c>
      <c r="T793" s="3">
        <v>0</v>
      </c>
      <c r="U793" s="3">
        <v>33.9</v>
      </c>
      <c r="V793" s="3">
        <v>0</v>
      </c>
      <c r="W793" s="3" t="s">
        <v>1</v>
      </c>
    </row>
    <row r="794" spans="5:23" hidden="1" x14ac:dyDescent="0.25">
      <c r="E794" t="s">
        <v>8609</v>
      </c>
      <c r="F794" s="1" t="s">
        <v>8772</v>
      </c>
      <c r="G794" t="s">
        <v>1</v>
      </c>
      <c r="H794" t="s">
        <v>0</v>
      </c>
      <c r="I794" t="s">
        <v>8165</v>
      </c>
      <c r="J794" t="s">
        <v>8164</v>
      </c>
      <c r="K794">
        <v>13493</v>
      </c>
      <c r="L794">
        <v>13493</v>
      </c>
      <c r="M794" t="s">
        <v>4609</v>
      </c>
      <c r="N794" t="s">
        <v>4610</v>
      </c>
      <c r="O794" s="3">
        <v>0</v>
      </c>
      <c r="P794" s="3">
        <v>0</v>
      </c>
      <c r="Q794" s="3">
        <v>10.42</v>
      </c>
      <c r="R794" s="3">
        <v>1.3546</v>
      </c>
      <c r="S794" s="3">
        <v>0</v>
      </c>
      <c r="T794" s="3">
        <v>0</v>
      </c>
      <c r="U794" s="3">
        <v>11.7746</v>
      </c>
      <c r="V794" s="3">
        <v>0</v>
      </c>
      <c r="W794" s="3" t="s">
        <v>1</v>
      </c>
    </row>
    <row r="795" spans="5:23" hidden="1" x14ac:dyDescent="0.25">
      <c r="E795" t="s">
        <v>8609</v>
      </c>
      <c r="F795" s="1" t="s">
        <v>8772</v>
      </c>
      <c r="G795" t="s">
        <v>1</v>
      </c>
      <c r="H795" t="s">
        <v>0</v>
      </c>
      <c r="I795" t="s">
        <v>8165</v>
      </c>
      <c r="J795" t="s">
        <v>8164</v>
      </c>
      <c r="K795">
        <v>13494</v>
      </c>
      <c r="L795">
        <v>13494</v>
      </c>
      <c r="M795" t="s">
        <v>8644</v>
      </c>
      <c r="N795" t="s">
        <v>8645</v>
      </c>
      <c r="O795" s="3">
        <v>0</v>
      </c>
      <c r="P795" s="3">
        <v>0</v>
      </c>
      <c r="Q795" s="3">
        <v>9.8699999999999992</v>
      </c>
      <c r="R795" s="3">
        <v>1.2830999999999999</v>
      </c>
      <c r="S795" s="3">
        <v>0</v>
      </c>
      <c r="T795" s="3">
        <v>0</v>
      </c>
      <c r="U795" s="3">
        <v>11.153099999999998</v>
      </c>
      <c r="V795" s="3">
        <v>0</v>
      </c>
      <c r="W795" s="3" t="s">
        <v>1</v>
      </c>
    </row>
    <row r="796" spans="5:23" hidden="1" x14ac:dyDescent="0.25">
      <c r="E796" t="s">
        <v>8609</v>
      </c>
      <c r="F796" s="1" t="s">
        <v>8772</v>
      </c>
      <c r="G796" t="s">
        <v>1</v>
      </c>
      <c r="H796" t="s">
        <v>0</v>
      </c>
      <c r="I796" t="s">
        <v>8165</v>
      </c>
      <c r="J796" t="s">
        <v>8164</v>
      </c>
      <c r="K796">
        <v>13495</v>
      </c>
      <c r="L796">
        <v>13495</v>
      </c>
      <c r="M796" t="s">
        <v>1062</v>
      </c>
      <c r="N796" t="s">
        <v>1063</v>
      </c>
      <c r="O796" s="3">
        <v>0</v>
      </c>
      <c r="P796" s="3">
        <v>0</v>
      </c>
      <c r="Q796" s="3">
        <v>545.44000000000005</v>
      </c>
      <c r="R796" s="3">
        <v>70.907200000000003</v>
      </c>
      <c r="S796" s="3">
        <v>0</v>
      </c>
      <c r="T796" s="3">
        <v>0</v>
      </c>
      <c r="U796" s="3">
        <v>616.34720000000004</v>
      </c>
      <c r="V796" s="3">
        <v>0</v>
      </c>
      <c r="W796" s="3" t="s">
        <v>1</v>
      </c>
    </row>
    <row r="797" spans="5:23" hidden="1" x14ac:dyDescent="0.25">
      <c r="E797" t="s">
        <v>8609</v>
      </c>
      <c r="F797" s="1" t="s">
        <v>8772</v>
      </c>
      <c r="G797" t="s">
        <v>1</v>
      </c>
      <c r="H797" t="s">
        <v>0</v>
      </c>
      <c r="I797" t="s">
        <v>8165</v>
      </c>
      <c r="J797" t="s">
        <v>8164</v>
      </c>
      <c r="K797">
        <v>13496</v>
      </c>
      <c r="L797">
        <v>13496</v>
      </c>
      <c r="M797" t="s">
        <v>1062</v>
      </c>
      <c r="N797" t="s">
        <v>1063</v>
      </c>
      <c r="O797" s="3">
        <v>0</v>
      </c>
      <c r="P797" s="3">
        <v>0</v>
      </c>
      <c r="Q797" s="3">
        <v>36.78</v>
      </c>
      <c r="R797" s="3">
        <v>4.7814000000000005</v>
      </c>
      <c r="S797" s="3">
        <v>0</v>
      </c>
      <c r="T797" s="3">
        <v>0</v>
      </c>
      <c r="U797" s="3">
        <v>41.561399999999999</v>
      </c>
      <c r="V797" s="3">
        <v>0</v>
      </c>
      <c r="W797" s="3" t="s">
        <v>1</v>
      </c>
    </row>
    <row r="798" spans="5:23" hidden="1" x14ac:dyDescent="0.25">
      <c r="E798" t="s">
        <v>8609</v>
      </c>
      <c r="F798" s="1" t="s">
        <v>8772</v>
      </c>
      <c r="G798" t="s">
        <v>1</v>
      </c>
      <c r="H798" t="s">
        <v>0</v>
      </c>
      <c r="I798" t="s">
        <v>8165</v>
      </c>
      <c r="J798" t="s">
        <v>8164</v>
      </c>
      <c r="K798">
        <v>13497</v>
      </c>
      <c r="L798">
        <v>13497</v>
      </c>
      <c r="M798" t="s">
        <v>238</v>
      </c>
      <c r="N798" t="s">
        <v>239</v>
      </c>
      <c r="O798" s="3">
        <v>0</v>
      </c>
      <c r="P798" s="3">
        <v>0</v>
      </c>
      <c r="Q798" s="3">
        <v>208.76</v>
      </c>
      <c r="R798" s="3">
        <v>27.1388</v>
      </c>
      <c r="S798" s="3">
        <v>0</v>
      </c>
      <c r="T798" s="3">
        <v>0</v>
      </c>
      <c r="U798" s="3">
        <v>235.89879999999999</v>
      </c>
      <c r="V798" s="3">
        <v>0</v>
      </c>
      <c r="W798" s="3" t="s">
        <v>1</v>
      </c>
    </row>
    <row r="799" spans="5:23" hidden="1" x14ac:dyDescent="0.25">
      <c r="E799" t="s">
        <v>8609</v>
      </c>
      <c r="F799" s="1" t="s">
        <v>8771</v>
      </c>
      <c r="G799" t="s">
        <v>1</v>
      </c>
      <c r="H799" t="s">
        <v>0</v>
      </c>
      <c r="I799" t="s">
        <v>8165</v>
      </c>
      <c r="J799" t="s">
        <v>8164</v>
      </c>
      <c r="K799">
        <v>13498</v>
      </c>
      <c r="L799">
        <v>13498</v>
      </c>
      <c r="M799" t="s">
        <v>8541</v>
      </c>
      <c r="N799" t="s">
        <v>8542</v>
      </c>
      <c r="O799" s="3">
        <v>0</v>
      </c>
      <c r="P799" s="3">
        <v>0</v>
      </c>
      <c r="Q799" s="3">
        <v>10.92</v>
      </c>
      <c r="R799" s="3">
        <v>1.4196</v>
      </c>
      <c r="S799" s="3">
        <v>0</v>
      </c>
      <c r="T799" s="3">
        <v>0</v>
      </c>
      <c r="U799" s="3">
        <v>12.339600000000001</v>
      </c>
      <c r="V799" s="3">
        <v>0</v>
      </c>
      <c r="W799" s="3" t="s">
        <v>1</v>
      </c>
    </row>
    <row r="800" spans="5:23" hidden="1" x14ac:dyDescent="0.25">
      <c r="E800" t="s">
        <v>8609</v>
      </c>
      <c r="F800" s="1" t="s">
        <v>8771</v>
      </c>
      <c r="G800" t="s">
        <v>1</v>
      </c>
      <c r="H800" t="s">
        <v>0</v>
      </c>
      <c r="I800" t="s">
        <v>8165</v>
      </c>
      <c r="J800" t="s">
        <v>8164</v>
      </c>
      <c r="K800">
        <v>13499</v>
      </c>
      <c r="L800">
        <v>13499</v>
      </c>
      <c r="M800" t="s">
        <v>8541</v>
      </c>
      <c r="N800" t="s">
        <v>8542</v>
      </c>
      <c r="O800" s="3">
        <v>0</v>
      </c>
      <c r="P800" s="3">
        <v>0</v>
      </c>
      <c r="Q800" s="3">
        <v>156.84</v>
      </c>
      <c r="R800" s="3">
        <v>20.389200000000002</v>
      </c>
      <c r="S800" s="3">
        <v>0</v>
      </c>
      <c r="T800" s="3">
        <v>0</v>
      </c>
      <c r="U800" s="3">
        <v>177.22919999999999</v>
      </c>
      <c r="V800" s="3">
        <v>0</v>
      </c>
      <c r="W800" s="3" t="s">
        <v>1</v>
      </c>
    </row>
    <row r="801" spans="5:23" hidden="1" x14ac:dyDescent="0.25">
      <c r="E801" t="s">
        <v>8609</v>
      </c>
      <c r="F801" s="1" t="s">
        <v>8771</v>
      </c>
      <c r="G801" t="s">
        <v>1</v>
      </c>
      <c r="H801" t="s">
        <v>0</v>
      </c>
      <c r="I801" t="s">
        <v>8165</v>
      </c>
      <c r="J801" t="s">
        <v>8164</v>
      </c>
      <c r="K801">
        <v>13500</v>
      </c>
      <c r="L801">
        <v>13500</v>
      </c>
      <c r="M801" t="s">
        <v>8431</v>
      </c>
      <c r="N801" t="s">
        <v>8432</v>
      </c>
      <c r="O801" s="3">
        <v>0</v>
      </c>
      <c r="P801" s="3">
        <v>0</v>
      </c>
      <c r="Q801" s="3">
        <v>93.2</v>
      </c>
      <c r="R801" s="3">
        <v>12.116000000000001</v>
      </c>
      <c r="S801" s="3">
        <v>0</v>
      </c>
      <c r="T801" s="3">
        <v>0</v>
      </c>
      <c r="U801" s="3">
        <v>105.316</v>
      </c>
      <c r="V801" s="3">
        <v>0</v>
      </c>
      <c r="W801" s="3" t="s">
        <v>1</v>
      </c>
    </row>
    <row r="802" spans="5:23" hidden="1" x14ac:dyDescent="0.25">
      <c r="E802" t="s">
        <v>8609</v>
      </c>
      <c r="F802" s="1" t="s">
        <v>8771</v>
      </c>
      <c r="G802" t="s">
        <v>1</v>
      </c>
      <c r="H802" t="s">
        <v>0</v>
      </c>
      <c r="I802" t="s">
        <v>8165</v>
      </c>
      <c r="J802" t="s">
        <v>8164</v>
      </c>
      <c r="K802">
        <v>13501</v>
      </c>
      <c r="L802">
        <v>13501</v>
      </c>
      <c r="M802" t="s">
        <v>8259</v>
      </c>
      <c r="N802" t="s">
        <v>8260</v>
      </c>
      <c r="O802" s="3">
        <v>0</v>
      </c>
      <c r="P802" s="3">
        <v>0</v>
      </c>
      <c r="Q802" s="3">
        <v>67.97</v>
      </c>
      <c r="R802" s="3">
        <v>8.8361000000000001</v>
      </c>
      <c r="S802" s="3">
        <v>0</v>
      </c>
      <c r="T802" s="3">
        <v>0</v>
      </c>
      <c r="U802" s="3">
        <v>76.806100000000001</v>
      </c>
      <c r="V802" s="3">
        <v>0</v>
      </c>
      <c r="W802" s="3" t="s">
        <v>1</v>
      </c>
    </row>
    <row r="803" spans="5:23" hidden="1" x14ac:dyDescent="0.25">
      <c r="E803" t="s">
        <v>8609</v>
      </c>
      <c r="F803" s="1" t="s">
        <v>8771</v>
      </c>
      <c r="G803" t="s">
        <v>1</v>
      </c>
      <c r="H803" t="s">
        <v>0</v>
      </c>
      <c r="I803" t="s">
        <v>8165</v>
      </c>
      <c r="J803" t="s">
        <v>8164</v>
      </c>
      <c r="K803">
        <v>13502</v>
      </c>
      <c r="L803">
        <v>13502</v>
      </c>
      <c r="M803" t="s">
        <v>8391</v>
      </c>
      <c r="N803" t="s">
        <v>8392</v>
      </c>
      <c r="O803" s="3">
        <v>0</v>
      </c>
      <c r="P803" s="3">
        <v>0</v>
      </c>
      <c r="Q803" s="3">
        <v>40.950000000000003</v>
      </c>
      <c r="R803" s="3">
        <v>5.3235000000000001</v>
      </c>
      <c r="S803" s="3">
        <v>0</v>
      </c>
      <c r="T803" s="3">
        <v>0</v>
      </c>
      <c r="U803" s="3">
        <v>46.273500000000006</v>
      </c>
      <c r="V803" s="3">
        <v>0</v>
      </c>
      <c r="W803" s="3" t="s">
        <v>1</v>
      </c>
    </row>
    <row r="804" spans="5:23" hidden="1" x14ac:dyDescent="0.25">
      <c r="E804" t="s">
        <v>8609</v>
      </c>
      <c r="F804" s="1" t="s">
        <v>8771</v>
      </c>
      <c r="G804" t="s">
        <v>1</v>
      </c>
      <c r="H804" t="s">
        <v>0</v>
      </c>
      <c r="I804" t="s">
        <v>8165</v>
      </c>
      <c r="J804" t="s">
        <v>8164</v>
      </c>
      <c r="K804">
        <v>13503</v>
      </c>
      <c r="L804">
        <v>13503</v>
      </c>
      <c r="M804" t="s">
        <v>8391</v>
      </c>
      <c r="N804" t="s">
        <v>8392</v>
      </c>
      <c r="O804" s="3">
        <v>0</v>
      </c>
      <c r="P804" s="3">
        <v>0</v>
      </c>
      <c r="Q804" s="3">
        <v>123.01</v>
      </c>
      <c r="R804" s="3">
        <v>15.991300000000001</v>
      </c>
      <c r="S804" s="3">
        <v>0</v>
      </c>
      <c r="T804" s="3">
        <v>0</v>
      </c>
      <c r="U804" s="3">
        <v>139.00130000000001</v>
      </c>
      <c r="V804" s="3">
        <v>0</v>
      </c>
      <c r="W804" s="3" t="s">
        <v>1</v>
      </c>
    </row>
    <row r="805" spans="5:23" hidden="1" x14ac:dyDescent="0.25">
      <c r="E805" t="s">
        <v>8609</v>
      </c>
      <c r="F805" s="1" t="s">
        <v>8771</v>
      </c>
      <c r="G805" t="s">
        <v>1</v>
      </c>
      <c r="H805" t="s">
        <v>0</v>
      </c>
      <c r="I805" t="s">
        <v>8165</v>
      </c>
      <c r="J805" t="s">
        <v>8164</v>
      </c>
      <c r="K805">
        <v>13504</v>
      </c>
      <c r="L805">
        <v>13504</v>
      </c>
      <c r="M805" t="s">
        <v>8547</v>
      </c>
      <c r="N805" t="s">
        <v>8548</v>
      </c>
      <c r="O805" s="3">
        <v>0</v>
      </c>
      <c r="P805" s="3">
        <v>0</v>
      </c>
      <c r="Q805" s="3">
        <v>36.9</v>
      </c>
      <c r="R805" s="3">
        <v>4.7969999999999997</v>
      </c>
      <c r="S805" s="3">
        <v>0</v>
      </c>
      <c r="T805" s="3">
        <v>0</v>
      </c>
      <c r="U805" s="3">
        <v>41.696999999999996</v>
      </c>
      <c r="V805" s="3">
        <v>0</v>
      </c>
      <c r="W805" s="3" t="s">
        <v>1</v>
      </c>
    </row>
    <row r="806" spans="5:23" hidden="1" x14ac:dyDescent="0.25">
      <c r="E806" t="s">
        <v>8609</v>
      </c>
      <c r="F806" s="1" t="s">
        <v>8771</v>
      </c>
      <c r="G806" t="s">
        <v>1</v>
      </c>
      <c r="H806" t="s">
        <v>0</v>
      </c>
      <c r="I806" t="s">
        <v>8165</v>
      </c>
      <c r="J806" t="s">
        <v>8164</v>
      </c>
      <c r="K806">
        <v>13505</v>
      </c>
      <c r="L806">
        <v>13505</v>
      </c>
      <c r="M806" t="s">
        <v>8555</v>
      </c>
      <c r="N806" t="s">
        <v>8556</v>
      </c>
      <c r="O806" s="3">
        <v>0</v>
      </c>
      <c r="P806" s="3">
        <v>0</v>
      </c>
      <c r="Q806" s="3">
        <v>123</v>
      </c>
      <c r="R806" s="3">
        <v>15.99</v>
      </c>
      <c r="S806" s="3">
        <v>0</v>
      </c>
      <c r="T806" s="3">
        <v>0</v>
      </c>
      <c r="U806" s="3">
        <v>138.99</v>
      </c>
      <c r="V806" s="3">
        <v>0</v>
      </c>
      <c r="W806" s="3" t="s">
        <v>1</v>
      </c>
    </row>
    <row r="807" spans="5:23" hidden="1" x14ac:dyDescent="0.25">
      <c r="E807" t="s">
        <v>8609</v>
      </c>
      <c r="F807" s="1" t="s">
        <v>8771</v>
      </c>
      <c r="G807" t="s">
        <v>1</v>
      </c>
      <c r="H807" t="s">
        <v>0</v>
      </c>
      <c r="I807" t="s">
        <v>8165</v>
      </c>
      <c r="J807" t="s">
        <v>8164</v>
      </c>
      <c r="K807">
        <v>13506</v>
      </c>
      <c r="L807">
        <v>13506</v>
      </c>
      <c r="M807" t="s">
        <v>8295</v>
      </c>
      <c r="N807" t="s">
        <v>935</v>
      </c>
      <c r="O807" s="3">
        <v>0</v>
      </c>
      <c r="P807" s="3">
        <v>0</v>
      </c>
      <c r="Q807" s="3">
        <v>16.600000000000001</v>
      </c>
      <c r="R807" s="3">
        <v>2.1580000000000004</v>
      </c>
      <c r="S807" s="3">
        <v>0</v>
      </c>
      <c r="T807" s="3">
        <v>0</v>
      </c>
      <c r="U807" s="3">
        <v>18.758000000000003</v>
      </c>
      <c r="V807" s="3">
        <v>0</v>
      </c>
      <c r="W807" s="3" t="s">
        <v>1</v>
      </c>
    </row>
    <row r="808" spans="5:23" hidden="1" x14ac:dyDescent="0.25">
      <c r="E808" t="s">
        <v>8609</v>
      </c>
      <c r="F808" s="1" t="s">
        <v>8771</v>
      </c>
      <c r="G808" t="s">
        <v>1</v>
      </c>
      <c r="H808" t="s">
        <v>0</v>
      </c>
      <c r="I808" t="s">
        <v>8165</v>
      </c>
      <c r="J808" t="s">
        <v>8164</v>
      </c>
      <c r="K808">
        <v>13507</v>
      </c>
      <c r="L808">
        <v>13507</v>
      </c>
      <c r="M808" t="s">
        <v>1062</v>
      </c>
      <c r="N808" t="s">
        <v>1063</v>
      </c>
      <c r="O808" s="3">
        <v>0</v>
      </c>
      <c r="P808" s="3">
        <v>0</v>
      </c>
      <c r="Q808" s="3">
        <v>282.2</v>
      </c>
      <c r="R808" s="3">
        <v>36.686</v>
      </c>
      <c r="S808" s="3">
        <v>0</v>
      </c>
      <c r="T808" s="3">
        <v>0</v>
      </c>
      <c r="U808" s="3">
        <v>318.88599999999997</v>
      </c>
      <c r="V808" s="3">
        <v>0</v>
      </c>
      <c r="W808" s="3" t="s">
        <v>1</v>
      </c>
    </row>
    <row r="809" spans="5:23" hidden="1" x14ac:dyDescent="0.25">
      <c r="E809" t="s">
        <v>8609</v>
      </c>
      <c r="F809" s="1" t="s">
        <v>8771</v>
      </c>
      <c r="G809" t="s">
        <v>1</v>
      </c>
      <c r="H809" t="s">
        <v>0</v>
      </c>
      <c r="I809" t="s">
        <v>8165</v>
      </c>
      <c r="J809" t="s">
        <v>8164</v>
      </c>
      <c r="K809">
        <v>13508</v>
      </c>
      <c r="L809">
        <v>13508</v>
      </c>
      <c r="M809" t="s">
        <v>7852</v>
      </c>
      <c r="N809" t="s">
        <v>7851</v>
      </c>
      <c r="O809" s="3">
        <v>0</v>
      </c>
      <c r="P809" s="3">
        <v>0</v>
      </c>
      <c r="Q809" s="3">
        <v>0</v>
      </c>
      <c r="R809" s="3">
        <v>0</v>
      </c>
      <c r="S809" s="3">
        <v>0</v>
      </c>
      <c r="T809" s="3">
        <v>0</v>
      </c>
      <c r="U809" s="3">
        <v>0</v>
      </c>
      <c r="V809" s="3">
        <v>0</v>
      </c>
      <c r="W809" s="3" t="s">
        <v>1</v>
      </c>
    </row>
    <row r="810" spans="5:23" hidden="1" x14ac:dyDescent="0.25">
      <c r="E810" t="s">
        <v>8609</v>
      </c>
      <c r="F810" s="1" t="s">
        <v>8771</v>
      </c>
      <c r="G810" t="s">
        <v>1</v>
      </c>
      <c r="H810" t="s">
        <v>0</v>
      </c>
      <c r="I810" t="s">
        <v>8165</v>
      </c>
      <c r="J810" t="s">
        <v>8164</v>
      </c>
      <c r="K810">
        <v>13509</v>
      </c>
      <c r="L810">
        <v>13509</v>
      </c>
      <c r="M810" t="s">
        <v>8306</v>
      </c>
      <c r="N810" t="s">
        <v>8307</v>
      </c>
      <c r="O810" s="3">
        <v>0</v>
      </c>
      <c r="P810" s="3">
        <v>0</v>
      </c>
      <c r="Q810" s="3">
        <v>19.7</v>
      </c>
      <c r="R810" s="3">
        <v>2.5609999999999999</v>
      </c>
      <c r="S810" s="3">
        <v>0</v>
      </c>
      <c r="T810" s="3">
        <v>0</v>
      </c>
      <c r="U810" s="3">
        <v>22.260999999999999</v>
      </c>
      <c r="V810" s="3">
        <v>0</v>
      </c>
      <c r="W810" s="3" t="s">
        <v>1</v>
      </c>
    </row>
    <row r="811" spans="5:23" hidden="1" x14ac:dyDescent="0.25">
      <c r="E811" t="s">
        <v>8609</v>
      </c>
      <c r="F811" s="1" t="s">
        <v>8771</v>
      </c>
      <c r="G811" t="s">
        <v>1</v>
      </c>
      <c r="H811" t="s">
        <v>0</v>
      </c>
      <c r="I811" t="s">
        <v>8165</v>
      </c>
      <c r="J811" t="s">
        <v>8164</v>
      </c>
      <c r="K811">
        <v>13510</v>
      </c>
      <c r="L811">
        <v>13510</v>
      </c>
      <c r="M811" t="s">
        <v>1358</v>
      </c>
      <c r="N811" t="s">
        <v>1359</v>
      </c>
      <c r="O811" s="3">
        <v>0</v>
      </c>
      <c r="P811" s="3">
        <v>0</v>
      </c>
      <c r="Q811" s="3">
        <v>140.66999999999999</v>
      </c>
      <c r="R811" s="3">
        <v>18.287099999999999</v>
      </c>
      <c r="S811" s="3">
        <v>0</v>
      </c>
      <c r="T811" s="3">
        <v>0</v>
      </c>
      <c r="U811" s="3">
        <v>158.9571</v>
      </c>
      <c r="V811" s="3">
        <v>0</v>
      </c>
      <c r="W811" s="3" t="s">
        <v>1</v>
      </c>
    </row>
    <row r="812" spans="5:23" hidden="1" x14ac:dyDescent="0.25">
      <c r="E812" t="s">
        <v>8609</v>
      </c>
      <c r="F812" s="1" t="s">
        <v>8771</v>
      </c>
      <c r="G812" t="s">
        <v>1</v>
      </c>
      <c r="H812" t="s">
        <v>0</v>
      </c>
      <c r="I812" t="s">
        <v>8165</v>
      </c>
      <c r="J812" t="s">
        <v>8164</v>
      </c>
      <c r="K812">
        <v>13511</v>
      </c>
      <c r="L812">
        <v>13511</v>
      </c>
      <c r="M812" t="s">
        <v>115</v>
      </c>
      <c r="N812" t="s">
        <v>116</v>
      </c>
      <c r="O812" s="3">
        <v>0</v>
      </c>
      <c r="P812" s="3">
        <v>0</v>
      </c>
      <c r="Q812" s="3">
        <v>1587.33</v>
      </c>
      <c r="R812" s="3">
        <v>206.35290000000001</v>
      </c>
      <c r="S812" s="3">
        <v>0</v>
      </c>
      <c r="T812" s="3">
        <v>0</v>
      </c>
      <c r="U812" s="3">
        <v>1793.6829</v>
      </c>
      <c r="V812" s="3">
        <v>0</v>
      </c>
      <c r="W812" s="3" t="s">
        <v>1</v>
      </c>
    </row>
    <row r="813" spans="5:23" hidden="1" x14ac:dyDescent="0.25">
      <c r="E813" t="s">
        <v>8609</v>
      </c>
      <c r="F813" s="1" t="s">
        <v>8771</v>
      </c>
      <c r="G813" t="s">
        <v>1</v>
      </c>
      <c r="H813" t="s">
        <v>0</v>
      </c>
      <c r="I813" t="s">
        <v>8165</v>
      </c>
      <c r="J813" t="s">
        <v>8164</v>
      </c>
      <c r="K813">
        <v>13512</v>
      </c>
      <c r="L813">
        <v>13512</v>
      </c>
      <c r="M813">
        <v>0</v>
      </c>
      <c r="N813" t="s">
        <v>8229</v>
      </c>
      <c r="O813" s="3">
        <v>0</v>
      </c>
      <c r="P813" s="3">
        <v>0</v>
      </c>
      <c r="Q813" s="3">
        <v>37.5</v>
      </c>
      <c r="R813" s="3">
        <v>4.875</v>
      </c>
      <c r="S813" s="3">
        <v>0</v>
      </c>
      <c r="T813" s="3">
        <v>0</v>
      </c>
      <c r="U813" s="3">
        <v>42.375</v>
      </c>
      <c r="V813" s="3" t="s">
        <v>8719</v>
      </c>
      <c r="W813" s="3" t="s">
        <v>1</v>
      </c>
    </row>
    <row r="814" spans="5:23" hidden="1" x14ac:dyDescent="0.25">
      <c r="E814" t="s">
        <v>8609</v>
      </c>
      <c r="F814" s="1" t="s">
        <v>8771</v>
      </c>
      <c r="G814" t="s">
        <v>1</v>
      </c>
      <c r="H814" t="s">
        <v>0</v>
      </c>
      <c r="I814" t="s">
        <v>8165</v>
      </c>
      <c r="J814" t="s">
        <v>8164</v>
      </c>
      <c r="K814">
        <v>13513</v>
      </c>
      <c r="L814">
        <v>13513</v>
      </c>
      <c r="M814">
        <v>0</v>
      </c>
      <c r="N814" t="s">
        <v>8268</v>
      </c>
      <c r="O814" s="3">
        <v>0</v>
      </c>
      <c r="P814" s="3">
        <v>0</v>
      </c>
      <c r="Q814" s="3">
        <v>17.96</v>
      </c>
      <c r="R814" s="3">
        <v>2.3348</v>
      </c>
      <c r="S814" s="3">
        <v>0</v>
      </c>
      <c r="T814" s="3">
        <v>0</v>
      </c>
      <c r="U814" s="3">
        <v>20.294800000000002</v>
      </c>
      <c r="V814" s="3" t="s">
        <v>8717</v>
      </c>
      <c r="W814" s="3" t="s">
        <v>1</v>
      </c>
    </row>
    <row r="815" spans="5:23" hidden="1" x14ac:dyDescent="0.25">
      <c r="E815" t="s">
        <v>8609</v>
      </c>
      <c r="F815" s="1" t="s">
        <v>8771</v>
      </c>
      <c r="G815" t="s">
        <v>1</v>
      </c>
      <c r="H815" t="s">
        <v>0</v>
      </c>
      <c r="I815" t="s">
        <v>8165</v>
      </c>
      <c r="J815" t="s">
        <v>8164</v>
      </c>
      <c r="K815">
        <v>13514</v>
      </c>
      <c r="L815">
        <v>13514</v>
      </c>
      <c r="M815" t="s">
        <v>8551</v>
      </c>
      <c r="N815" t="s">
        <v>8552</v>
      </c>
      <c r="O815" s="3">
        <v>0</v>
      </c>
      <c r="P815" s="3">
        <v>0</v>
      </c>
      <c r="Q815" s="3">
        <v>65.430000000000007</v>
      </c>
      <c r="R815" s="3">
        <v>8.5059000000000005</v>
      </c>
      <c r="S815" s="3">
        <v>0</v>
      </c>
      <c r="T815" s="3">
        <v>0</v>
      </c>
      <c r="U815" s="3">
        <v>73.935900000000004</v>
      </c>
      <c r="V815" s="3">
        <v>0</v>
      </c>
      <c r="W815" s="3" t="s">
        <v>1</v>
      </c>
    </row>
    <row r="816" spans="5:23" hidden="1" x14ac:dyDescent="0.25">
      <c r="E816" t="s">
        <v>8609</v>
      </c>
      <c r="F816" s="1" t="s">
        <v>8771</v>
      </c>
      <c r="G816" t="s">
        <v>1</v>
      </c>
      <c r="H816" t="s">
        <v>0</v>
      </c>
      <c r="I816" t="s">
        <v>8165</v>
      </c>
      <c r="J816" t="s">
        <v>8164</v>
      </c>
      <c r="K816">
        <v>13515</v>
      </c>
      <c r="L816">
        <v>13515</v>
      </c>
      <c r="M816">
        <v>0</v>
      </c>
      <c r="N816" t="s">
        <v>8640</v>
      </c>
      <c r="O816" s="3">
        <v>0</v>
      </c>
      <c r="P816" s="3">
        <v>0</v>
      </c>
      <c r="Q816" s="3">
        <v>716.75</v>
      </c>
      <c r="R816" s="3">
        <v>93.177500000000009</v>
      </c>
      <c r="S816" s="3">
        <v>0</v>
      </c>
      <c r="T816" s="3">
        <v>0</v>
      </c>
      <c r="U816" s="3">
        <v>809.92750000000001</v>
      </c>
      <c r="V816" s="3" t="s">
        <v>8639</v>
      </c>
      <c r="W816" s="3" t="s">
        <v>1</v>
      </c>
    </row>
    <row r="817" spans="5:23" hidden="1" x14ac:dyDescent="0.25">
      <c r="E817" t="s">
        <v>8609</v>
      </c>
      <c r="F817" s="1" t="s">
        <v>8771</v>
      </c>
      <c r="G817" t="s">
        <v>1</v>
      </c>
      <c r="H817" t="s">
        <v>0</v>
      </c>
      <c r="I817" t="s">
        <v>8165</v>
      </c>
      <c r="J817" t="s">
        <v>8164</v>
      </c>
      <c r="K817">
        <v>13516</v>
      </c>
      <c r="L817">
        <v>13516</v>
      </c>
      <c r="M817" t="s">
        <v>1415</v>
      </c>
      <c r="N817" t="s">
        <v>1416</v>
      </c>
      <c r="O817" s="3">
        <v>0</v>
      </c>
      <c r="P817" s="3">
        <v>0</v>
      </c>
      <c r="Q817" s="3">
        <v>7.11</v>
      </c>
      <c r="R817" s="3">
        <v>0.92430000000000012</v>
      </c>
      <c r="S817" s="3">
        <v>0</v>
      </c>
      <c r="T817" s="3">
        <v>0</v>
      </c>
      <c r="U817" s="3">
        <v>8.0343</v>
      </c>
      <c r="V817" s="3">
        <v>0</v>
      </c>
      <c r="W817" s="3" t="s">
        <v>1</v>
      </c>
    </row>
    <row r="818" spans="5:23" hidden="1" x14ac:dyDescent="0.25">
      <c r="E818" t="s">
        <v>8609</v>
      </c>
      <c r="F818" s="1" t="s">
        <v>8771</v>
      </c>
      <c r="G818" t="s">
        <v>1</v>
      </c>
      <c r="H818" t="s">
        <v>0</v>
      </c>
      <c r="I818" t="s">
        <v>8165</v>
      </c>
      <c r="J818" t="s">
        <v>8164</v>
      </c>
      <c r="K818">
        <v>13517</v>
      </c>
      <c r="L818">
        <v>13517</v>
      </c>
      <c r="M818" t="s">
        <v>7345</v>
      </c>
      <c r="N818" t="s">
        <v>7346</v>
      </c>
      <c r="O818" s="3">
        <v>0</v>
      </c>
      <c r="P818" s="3">
        <v>0</v>
      </c>
      <c r="Q818" s="3">
        <v>258.86</v>
      </c>
      <c r="R818" s="3">
        <v>33.651800000000001</v>
      </c>
      <c r="S818" s="3">
        <v>0</v>
      </c>
      <c r="T818" s="3">
        <v>0</v>
      </c>
      <c r="U818" s="3">
        <v>292.51179999999999</v>
      </c>
      <c r="V818" s="3">
        <v>0</v>
      </c>
      <c r="W818" s="3" t="s">
        <v>1</v>
      </c>
    </row>
    <row r="819" spans="5:23" hidden="1" x14ac:dyDescent="0.25">
      <c r="E819" t="s">
        <v>8609</v>
      </c>
      <c r="F819" s="1" t="s">
        <v>8775</v>
      </c>
      <c r="G819" t="s">
        <v>1</v>
      </c>
      <c r="H819" t="s">
        <v>0</v>
      </c>
      <c r="I819" t="s">
        <v>8165</v>
      </c>
      <c r="J819" t="s">
        <v>8164</v>
      </c>
      <c r="K819">
        <v>13518</v>
      </c>
      <c r="L819">
        <v>13518</v>
      </c>
      <c r="M819" t="s">
        <v>734</v>
      </c>
      <c r="N819" t="s">
        <v>735</v>
      </c>
      <c r="O819" s="3">
        <v>0</v>
      </c>
      <c r="P819" s="3">
        <v>0</v>
      </c>
      <c r="Q819" s="3">
        <v>670.61</v>
      </c>
      <c r="R819" s="3">
        <v>87.179299999999998</v>
      </c>
      <c r="S819" s="3">
        <v>0</v>
      </c>
      <c r="T819" s="3">
        <v>0</v>
      </c>
      <c r="U819" s="3">
        <v>757.78930000000003</v>
      </c>
      <c r="V819" s="3">
        <v>0</v>
      </c>
      <c r="W819" s="3" t="s">
        <v>1</v>
      </c>
    </row>
    <row r="820" spans="5:23" hidden="1" x14ac:dyDescent="0.25">
      <c r="E820" t="s">
        <v>8609</v>
      </c>
      <c r="F820" s="1" t="s">
        <v>8775</v>
      </c>
      <c r="G820" t="s">
        <v>1</v>
      </c>
      <c r="H820" t="s">
        <v>0</v>
      </c>
      <c r="I820" t="s">
        <v>8165</v>
      </c>
      <c r="J820" t="s">
        <v>8164</v>
      </c>
      <c r="K820">
        <v>13519</v>
      </c>
      <c r="L820">
        <v>13519</v>
      </c>
      <c r="M820" t="s">
        <v>7852</v>
      </c>
      <c r="N820" t="s">
        <v>7851</v>
      </c>
      <c r="O820" s="3">
        <v>0</v>
      </c>
      <c r="P820" s="3">
        <v>0</v>
      </c>
      <c r="Q820" s="3">
        <v>0</v>
      </c>
      <c r="R820" s="3">
        <v>0</v>
      </c>
      <c r="S820" s="3">
        <v>0</v>
      </c>
      <c r="T820" s="3">
        <v>0</v>
      </c>
      <c r="U820" s="3">
        <v>0</v>
      </c>
      <c r="V820" s="3">
        <v>0</v>
      </c>
      <c r="W820" s="3" t="s">
        <v>1</v>
      </c>
    </row>
    <row r="821" spans="5:23" hidden="1" x14ac:dyDescent="0.25">
      <c r="E821" t="s">
        <v>8609</v>
      </c>
      <c r="F821" s="1" t="s">
        <v>8775</v>
      </c>
      <c r="G821" t="s">
        <v>1</v>
      </c>
      <c r="H821" t="s">
        <v>0</v>
      </c>
      <c r="I821" t="s">
        <v>8165</v>
      </c>
      <c r="J821" t="s">
        <v>8164</v>
      </c>
      <c r="K821">
        <v>13520</v>
      </c>
      <c r="L821">
        <v>13520</v>
      </c>
      <c r="M821">
        <v>0</v>
      </c>
      <c r="N821" t="s">
        <v>8208</v>
      </c>
      <c r="O821" s="3">
        <v>0</v>
      </c>
      <c r="P821" s="3">
        <v>0</v>
      </c>
      <c r="Q821" s="3">
        <v>68.25</v>
      </c>
      <c r="R821" s="3">
        <v>8.8725000000000005</v>
      </c>
      <c r="S821" s="3">
        <v>0</v>
      </c>
      <c r="T821" s="3">
        <v>0</v>
      </c>
      <c r="U821" s="3">
        <v>77.122500000000002</v>
      </c>
      <c r="V821" s="3" t="s">
        <v>8650</v>
      </c>
      <c r="W821" s="3" t="s">
        <v>1</v>
      </c>
    </row>
    <row r="822" spans="5:23" hidden="1" x14ac:dyDescent="0.25">
      <c r="E822" t="s">
        <v>8609</v>
      </c>
      <c r="F822" s="1" t="s">
        <v>8775</v>
      </c>
      <c r="G822" t="s">
        <v>1</v>
      </c>
      <c r="H822" t="s">
        <v>0</v>
      </c>
      <c r="I822" t="s">
        <v>8165</v>
      </c>
      <c r="J822" t="s">
        <v>8164</v>
      </c>
      <c r="K822">
        <v>13521</v>
      </c>
      <c r="L822">
        <v>13521</v>
      </c>
      <c r="M822">
        <v>0</v>
      </c>
      <c r="N822" t="s">
        <v>8219</v>
      </c>
      <c r="O822" s="3">
        <v>0</v>
      </c>
      <c r="P822" s="3">
        <v>0</v>
      </c>
      <c r="Q822" s="3">
        <v>94.4</v>
      </c>
      <c r="R822" s="3">
        <v>12.272000000000002</v>
      </c>
      <c r="S822" s="3">
        <v>0</v>
      </c>
      <c r="T822" s="3">
        <v>0</v>
      </c>
      <c r="U822" s="3">
        <v>106.67200000000001</v>
      </c>
      <c r="V822" s="3" t="s">
        <v>8636</v>
      </c>
      <c r="W822" s="3" t="s">
        <v>1</v>
      </c>
    </row>
    <row r="823" spans="5:23" hidden="1" x14ac:dyDescent="0.25">
      <c r="E823" t="s">
        <v>8609</v>
      </c>
      <c r="F823" s="1" t="s">
        <v>8775</v>
      </c>
      <c r="G823" t="s">
        <v>1</v>
      </c>
      <c r="H823" t="s">
        <v>0</v>
      </c>
      <c r="I823" t="s">
        <v>8165</v>
      </c>
      <c r="J823" t="s">
        <v>8164</v>
      </c>
      <c r="K823">
        <v>13522</v>
      </c>
      <c r="L823">
        <v>13522</v>
      </c>
      <c r="M823">
        <v>0</v>
      </c>
      <c r="N823" t="s">
        <v>8219</v>
      </c>
      <c r="O823" s="3">
        <v>0</v>
      </c>
      <c r="P823" s="3">
        <v>0</v>
      </c>
      <c r="Q823" s="3">
        <v>52</v>
      </c>
      <c r="R823" s="3">
        <v>6.76</v>
      </c>
      <c r="S823" s="3">
        <v>0</v>
      </c>
      <c r="T823" s="3">
        <v>0</v>
      </c>
      <c r="U823" s="3">
        <v>58.76</v>
      </c>
      <c r="V823" s="3" t="s">
        <v>8636</v>
      </c>
      <c r="W823" s="3" t="s">
        <v>1</v>
      </c>
    </row>
    <row r="824" spans="5:23" hidden="1" x14ac:dyDescent="0.25">
      <c r="E824" t="s">
        <v>8609</v>
      </c>
      <c r="F824" s="1" t="s">
        <v>8775</v>
      </c>
      <c r="G824" t="s">
        <v>1</v>
      </c>
      <c r="H824" t="s">
        <v>0</v>
      </c>
      <c r="I824" t="s">
        <v>8165</v>
      </c>
      <c r="J824" t="s">
        <v>8164</v>
      </c>
      <c r="K824">
        <v>13523</v>
      </c>
      <c r="L824">
        <v>13523</v>
      </c>
      <c r="M824" t="s">
        <v>8166</v>
      </c>
      <c r="N824" t="s">
        <v>8167</v>
      </c>
      <c r="O824" s="3">
        <v>0</v>
      </c>
      <c r="P824" s="3">
        <v>0</v>
      </c>
      <c r="Q824" s="3">
        <v>198.07</v>
      </c>
      <c r="R824" s="3">
        <v>25.749099999999999</v>
      </c>
      <c r="S824" s="3">
        <v>0</v>
      </c>
      <c r="T824" s="3">
        <v>0</v>
      </c>
      <c r="U824" s="3">
        <v>223.81909999999999</v>
      </c>
      <c r="V824" s="3">
        <v>0</v>
      </c>
      <c r="W824" s="3" t="s">
        <v>1</v>
      </c>
    </row>
    <row r="825" spans="5:23" hidden="1" x14ac:dyDescent="0.25">
      <c r="E825" t="s">
        <v>8609</v>
      </c>
      <c r="F825" s="1" t="s">
        <v>8775</v>
      </c>
      <c r="G825" t="s">
        <v>1</v>
      </c>
      <c r="H825" t="s">
        <v>0</v>
      </c>
      <c r="I825" t="s">
        <v>8165</v>
      </c>
      <c r="J825" t="s">
        <v>8164</v>
      </c>
      <c r="K825">
        <v>13524</v>
      </c>
      <c r="L825">
        <v>13524</v>
      </c>
      <c r="M825" t="s">
        <v>164</v>
      </c>
      <c r="N825" t="s">
        <v>165</v>
      </c>
      <c r="O825" s="3">
        <v>0</v>
      </c>
      <c r="P825" s="3">
        <v>0</v>
      </c>
      <c r="Q825" s="3">
        <v>60</v>
      </c>
      <c r="R825" s="3">
        <v>7.8000000000000007</v>
      </c>
      <c r="S825" s="3">
        <v>0</v>
      </c>
      <c r="T825" s="3">
        <v>0</v>
      </c>
      <c r="U825" s="3">
        <v>67.8</v>
      </c>
      <c r="V825" s="3">
        <v>0</v>
      </c>
      <c r="W825" s="3" t="s">
        <v>1</v>
      </c>
    </row>
    <row r="826" spans="5:23" hidden="1" x14ac:dyDescent="0.25">
      <c r="E826" t="s">
        <v>8609</v>
      </c>
      <c r="F826" s="1" t="s">
        <v>8775</v>
      </c>
      <c r="G826" t="s">
        <v>1</v>
      </c>
      <c r="H826" t="s">
        <v>0</v>
      </c>
      <c r="I826" t="s">
        <v>8165</v>
      </c>
      <c r="J826" t="s">
        <v>8164</v>
      </c>
      <c r="K826">
        <v>13525</v>
      </c>
      <c r="L826">
        <v>13525</v>
      </c>
      <c r="M826" t="s">
        <v>8239</v>
      </c>
      <c r="N826" t="s">
        <v>8240</v>
      </c>
      <c r="O826" s="3">
        <v>0</v>
      </c>
      <c r="P826" s="3">
        <v>0</v>
      </c>
      <c r="Q826" s="3">
        <v>290.22000000000003</v>
      </c>
      <c r="R826" s="3">
        <v>37.728600000000007</v>
      </c>
      <c r="S826" s="3">
        <v>0</v>
      </c>
      <c r="T826" s="3">
        <v>0</v>
      </c>
      <c r="U826" s="3">
        <v>327.94860000000006</v>
      </c>
      <c r="V826" s="3">
        <v>0</v>
      </c>
      <c r="W826" s="3" t="s">
        <v>1</v>
      </c>
    </row>
    <row r="827" spans="5:23" hidden="1" x14ac:dyDescent="0.25">
      <c r="E827" t="s">
        <v>8609</v>
      </c>
      <c r="F827" s="1" t="s">
        <v>8775</v>
      </c>
      <c r="G827" t="s">
        <v>1</v>
      </c>
      <c r="H827" t="s">
        <v>0</v>
      </c>
      <c r="I827" t="s">
        <v>8165</v>
      </c>
      <c r="J827" t="s">
        <v>8164</v>
      </c>
      <c r="K827">
        <v>13526</v>
      </c>
      <c r="L827">
        <v>13526</v>
      </c>
      <c r="M827" t="s">
        <v>8287</v>
      </c>
      <c r="N827" t="s">
        <v>8288</v>
      </c>
      <c r="O827" s="3">
        <v>0</v>
      </c>
      <c r="P827" s="3">
        <v>0</v>
      </c>
      <c r="Q827" s="3">
        <v>6</v>
      </c>
      <c r="R827" s="3">
        <v>0.78</v>
      </c>
      <c r="S827" s="3">
        <v>0</v>
      </c>
      <c r="T827" s="3">
        <v>0</v>
      </c>
      <c r="U827" s="3">
        <v>6.78</v>
      </c>
      <c r="V827" s="3">
        <v>0</v>
      </c>
      <c r="W827" s="3" t="s">
        <v>1</v>
      </c>
    </row>
    <row r="828" spans="5:23" hidden="1" x14ac:dyDescent="0.25">
      <c r="E828" t="s">
        <v>8609</v>
      </c>
      <c r="F828" s="1" t="s">
        <v>8775</v>
      </c>
      <c r="G828" t="s">
        <v>1</v>
      </c>
      <c r="H828" t="s">
        <v>0</v>
      </c>
      <c r="I828" t="s">
        <v>8165</v>
      </c>
      <c r="J828" t="s">
        <v>8164</v>
      </c>
      <c r="K828">
        <v>13527</v>
      </c>
      <c r="L828">
        <v>13527</v>
      </c>
      <c r="M828" t="s">
        <v>8160</v>
      </c>
      <c r="N828" t="s">
        <v>8161</v>
      </c>
      <c r="O828" s="3">
        <v>0</v>
      </c>
      <c r="P828" s="3">
        <v>0</v>
      </c>
      <c r="Q828" s="3">
        <v>66.38</v>
      </c>
      <c r="R828" s="3">
        <v>8.6294000000000004</v>
      </c>
      <c r="S828" s="3">
        <v>0</v>
      </c>
      <c r="T828" s="3">
        <v>0</v>
      </c>
      <c r="U828" s="3">
        <v>75.009399999999999</v>
      </c>
      <c r="V828" s="3">
        <v>0</v>
      </c>
      <c r="W828" s="3" t="s">
        <v>1</v>
      </c>
    </row>
    <row r="829" spans="5:23" hidden="1" x14ac:dyDescent="0.25">
      <c r="E829" t="s">
        <v>8609</v>
      </c>
      <c r="F829" s="1" t="s">
        <v>8775</v>
      </c>
      <c r="G829" t="s">
        <v>1</v>
      </c>
      <c r="H829" t="s">
        <v>0</v>
      </c>
      <c r="I829" t="s">
        <v>8165</v>
      </c>
      <c r="J829" t="s">
        <v>8164</v>
      </c>
      <c r="K829">
        <v>13528</v>
      </c>
      <c r="L829">
        <v>13528</v>
      </c>
      <c r="M829" t="s">
        <v>8269</v>
      </c>
      <c r="N829" t="s">
        <v>8270</v>
      </c>
      <c r="O829" s="3">
        <v>0</v>
      </c>
      <c r="P829" s="3">
        <v>0</v>
      </c>
      <c r="Q829" s="3">
        <v>26.77</v>
      </c>
      <c r="R829" s="3">
        <v>3.4801000000000002</v>
      </c>
      <c r="S829" s="3">
        <v>0</v>
      </c>
      <c r="T829" s="3">
        <v>0</v>
      </c>
      <c r="U829" s="3">
        <v>30.2501</v>
      </c>
      <c r="V829" s="3">
        <v>0</v>
      </c>
      <c r="W829" s="3" t="s">
        <v>1</v>
      </c>
    </row>
    <row r="830" spans="5:23" hidden="1" x14ac:dyDescent="0.25">
      <c r="E830" t="s">
        <v>8609</v>
      </c>
      <c r="F830" s="1" t="s">
        <v>8775</v>
      </c>
      <c r="G830" t="s">
        <v>1</v>
      </c>
      <c r="H830" t="s">
        <v>0</v>
      </c>
      <c r="I830" t="s">
        <v>8165</v>
      </c>
      <c r="J830" t="s">
        <v>8164</v>
      </c>
      <c r="K830">
        <v>13529</v>
      </c>
      <c r="L830">
        <v>13529</v>
      </c>
      <c r="M830" t="s">
        <v>8269</v>
      </c>
      <c r="N830" t="s">
        <v>8270</v>
      </c>
      <c r="O830" s="3">
        <v>0</v>
      </c>
      <c r="P830" s="3">
        <v>0</v>
      </c>
      <c r="Q830" s="3">
        <v>0</v>
      </c>
      <c r="R830" s="3">
        <v>0</v>
      </c>
      <c r="S830" s="3">
        <v>0</v>
      </c>
      <c r="T830" s="3">
        <v>0</v>
      </c>
      <c r="U830" s="3">
        <v>0</v>
      </c>
      <c r="V830" s="3">
        <v>0</v>
      </c>
      <c r="W830" s="3" t="s">
        <v>1</v>
      </c>
    </row>
    <row r="831" spans="5:23" hidden="1" x14ac:dyDescent="0.25">
      <c r="E831" t="s">
        <v>8609</v>
      </c>
      <c r="F831" s="1" t="s">
        <v>8775</v>
      </c>
      <c r="G831" t="s">
        <v>1</v>
      </c>
      <c r="H831" t="s">
        <v>0</v>
      </c>
      <c r="I831" t="s">
        <v>8165</v>
      </c>
      <c r="J831" t="s">
        <v>8164</v>
      </c>
      <c r="K831">
        <v>13530</v>
      </c>
      <c r="L831">
        <v>13530</v>
      </c>
      <c r="M831" t="s">
        <v>8269</v>
      </c>
      <c r="N831" t="s">
        <v>8270</v>
      </c>
      <c r="O831" s="3">
        <v>0</v>
      </c>
      <c r="P831" s="3">
        <v>0</v>
      </c>
      <c r="Q831" s="3">
        <v>63.91</v>
      </c>
      <c r="R831" s="3">
        <v>8.3082999999999991</v>
      </c>
      <c r="S831" s="3">
        <v>0</v>
      </c>
      <c r="T831" s="3">
        <v>0</v>
      </c>
      <c r="U831" s="3">
        <v>72.218299999999999</v>
      </c>
      <c r="V831" s="3">
        <v>0</v>
      </c>
      <c r="W831" s="3" t="s">
        <v>1</v>
      </c>
    </row>
    <row r="832" spans="5:23" hidden="1" x14ac:dyDescent="0.25">
      <c r="E832" t="s">
        <v>8609</v>
      </c>
      <c r="F832" s="1" t="s">
        <v>8775</v>
      </c>
      <c r="G832" t="s">
        <v>1</v>
      </c>
      <c r="H832" t="s">
        <v>0</v>
      </c>
      <c r="I832" t="s">
        <v>8165</v>
      </c>
      <c r="J832" t="s">
        <v>8164</v>
      </c>
      <c r="K832">
        <v>13531</v>
      </c>
      <c r="L832">
        <v>13531</v>
      </c>
      <c r="M832" t="s">
        <v>8269</v>
      </c>
      <c r="N832" t="s">
        <v>8270</v>
      </c>
      <c r="O832" s="3">
        <v>0</v>
      </c>
      <c r="P832" s="3">
        <v>0</v>
      </c>
      <c r="Q832" s="3">
        <v>21.45</v>
      </c>
      <c r="R832" s="3">
        <v>2.7885</v>
      </c>
      <c r="S832" s="3">
        <v>0</v>
      </c>
      <c r="T832" s="3">
        <v>0</v>
      </c>
      <c r="U832" s="3">
        <v>24.238499999999998</v>
      </c>
      <c r="V832" s="3">
        <v>0</v>
      </c>
      <c r="W832" s="3" t="s">
        <v>1</v>
      </c>
    </row>
    <row r="833" spans="5:23" hidden="1" x14ac:dyDescent="0.25">
      <c r="E833" t="s">
        <v>8609</v>
      </c>
      <c r="F833" s="1" t="s">
        <v>8774</v>
      </c>
      <c r="G833" t="s">
        <v>1</v>
      </c>
      <c r="H833" t="s">
        <v>8333</v>
      </c>
      <c r="I833" t="s">
        <v>8334</v>
      </c>
      <c r="J833" t="s">
        <v>8335</v>
      </c>
      <c r="K833">
        <v>324</v>
      </c>
      <c r="L833">
        <v>324</v>
      </c>
      <c r="M833">
        <v>0</v>
      </c>
      <c r="N833" t="s">
        <v>8256</v>
      </c>
      <c r="O833" s="3">
        <v>0</v>
      </c>
      <c r="P833" s="3">
        <v>0</v>
      </c>
      <c r="Q833" s="3">
        <v>15.84</v>
      </c>
      <c r="R833" s="3">
        <v>2.0592000000000001</v>
      </c>
      <c r="S833" s="3">
        <v>0</v>
      </c>
      <c r="T833" s="3">
        <v>0</v>
      </c>
      <c r="U833" s="3">
        <v>17.8992</v>
      </c>
      <c r="V833" s="3" t="s">
        <v>8748</v>
      </c>
      <c r="W833" s="3" t="s">
        <v>1</v>
      </c>
    </row>
    <row r="834" spans="5:23" hidden="1" x14ac:dyDescent="0.25">
      <c r="E834" t="s">
        <v>8609</v>
      </c>
      <c r="F834" s="1" t="s">
        <v>8774</v>
      </c>
      <c r="G834" t="s">
        <v>1</v>
      </c>
      <c r="H834" t="s">
        <v>8333</v>
      </c>
      <c r="I834" t="s">
        <v>8334</v>
      </c>
      <c r="J834" t="s">
        <v>8335</v>
      </c>
      <c r="K834">
        <v>325</v>
      </c>
      <c r="L834">
        <v>325</v>
      </c>
      <c r="M834">
        <v>0</v>
      </c>
      <c r="N834" t="s">
        <v>8256</v>
      </c>
      <c r="O834" s="3">
        <v>0</v>
      </c>
      <c r="P834" s="3">
        <v>0</v>
      </c>
      <c r="Q834" s="3">
        <v>31.68</v>
      </c>
      <c r="R834" s="3">
        <v>4.1184000000000003</v>
      </c>
      <c r="S834" s="3">
        <v>0</v>
      </c>
      <c r="T834" s="3">
        <v>0</v>
      </c>
      <c r="U834" s="3">
        <v>35.798400000000001</v>
      </c>
      <c r="V834" s="3" t="s">
        <v>8748</v>
      </c>
      <c r="W834" s="3" t="s">
        <v>1</v>
      </c>
    </row>
    <row r="835" spans="5:23" hidden="1" x14ac:dyDescent="0.25">
      <c r="E835" t="s">
        <v>8608</v>
      </c>
      <c r="F835" s="1" t="s">
        <v>8687</v>
      </c>
      <c r="G835" t="s">
        <v>1</v>
      </c>
      <c r="H835" t="s">
        <v>8333</v>
      </c>
      <c r="I835" t="s">
        <v>8334</v>
      </c>
      <c r="J835" t="s">
        <v>8335</v>
      </c>
      <c r="K835">
        <v>331</v>
      </c>
      <c r="L835">
        <v>331</v>
      </c>
      <c r="M835" t="s">
        <v>7852</v>
      </c>
      <c r="N835" t="s">
        <v>7851</v>
      </c>
      <c r="O835" s="3">
        <v>0</v>
      </c>
      <c r="P835" s="3">
        <v>0</v>
      </c>
      <c r="Q835" s="3">
        <v>0</v>
      </c>
      <c r="R835" s="3">
        <v>0</v>
      </c>
      <c r="S835" s="3">
        <v>0</v>
      </c>
      <c r="T835" s="3">
        <v>0</v>
      </c>
      <c r="U835" s="3">
        <v>0</v>
      </c>
      <c r="V835" s="3">
        <v>0</v>
      </c>
      <c r="W835" s="3" t="s">
        <v>1</v>
      </c>
    </row>
    <row r="836" spans="5:23" hidden="1" x14ac:dyDescent="0.25">
      <c r="E836" t="s">
        <v>8608</v>
      </c>
      <c r="F836" s="1" t="s">
        <v>8687</v>
      </c>
      <c r="G836" t="s">
        <v>1</v>
      </c>
      <c r="H836" t="s">
        <v>8333</v>
      </c>
      <c r="I836" t="s">
        <v>8334</v>
      </c>
      <c r="J836" t="s">
        <v>8335</v>
      </c>
      <c r="K836">
        <v>332</v>
      </c>
      <c r="L836">
        <v>332</v>
      </c>
      <c r="M836">
        <v>0</v>
      </c>
      <c r="N836" t="s">
        <v>8219</v>
      </c>
      <c r="O836" s="3">
        <v>0</v>
      </c>
      <c r="P836" s="3">
        <v>0</v>
      </c>
      <c r="Q836" s="3">
        <v>103.32</v>
      </c>
      <c r="R836" s="3">
        <v>13.4316</v>
      </c>
      <c r="S836" s="3">
        <v>0</v>
      </c>
      <c r="T836" s="3">
        <v>0</v>
      </c>
      <c r="U836" s="3">
        <v>116.7516</v>
      </c>
      <c r="V836" s="3" t="s">
        <v>8636</v>
      </c>
      <c r="W836" s="3" t="s">
        <v>1</v>
      </c>
    </row>
    <row r="837" spans="5:23" hidden="1" x14ac:dyDescent="0.25">
      <c r="E837" t="s">
        <v>8608</v>
      </c>
      <c r="F837" s="1" t="s">
        <v>8701</v>
      </c>
      <c r="G837" t="s">
        <v>1</v>
      </c>
      <c r="H837" t="s">
        <v>0</v>
      </c>
      <c r="I837" t="s">
        <v>8158</v>
      </c>
      <c r="J837" t="s">
        <v>8159</v>
      </c>
      <c r="K837">
        <v>123</v>
      </c>
      <c r="L837">
        <v>123</v>
      </c>
      <c r="M837" t="s">
        <v>436</v>
      </c>
      <c r="N837" t="s">
        <v>437</v>
      </c>
      <c r="O837" s="3">
        <v>0</v>
      </c>
      <c r="P837" s="3">
        <v>0</v>
      </c>
      <c r="Q837" s="3">
        <v>100.5</v>
      </c>
      <c r="R837" s="3">
        <v>13.065000000000001</v>
      </c>
      <c r="S837" s="3">
        <v>0</v>
      </c>
      <c r="T837" s="3">
        <v>0</v>
      </c>
      <c r="U837" s="3">
        <v>113.565</v>
      </c>
      <c r="V837" s="3">
        <v>0</v>
      </c>
      <c r="W837" s="3" t="s">
        <v>1</v>
      </c>
    </row>
    <row r="838" spans="5:23" hidden="1" x14ac:dyDescent="0.25">
      <c r="E838" t="s">
        <v>8608</v>
      </c>
      <c r="F838" s="1" t="s">
        <v>8701</v>
      </c>
      <c r="G838" t="s">
        <v>1</v>
      </c>
      <c r="H838" t="s">
        <v>0</v>
      </c>
      <c r="I838" t="s">
        <v>8158</v>
      </c>
      <c r="J838" t="s">
        <v>8159</v>
      </c>
      <c r="K838">
        <v>124</v>
      </c>
      <c r="L838">
        <v>124</v>
      </c>
      <c r="M838" t="s">
        <v>238</v>
      </c>
      <c r="N838" t="s">
        <v>239</v>
      </c>
      <c r="O838" s="3">
        <v>0</v>
      </c>
      <c r="P838" s="3">
        <v>0</v>
      </c>
      <c r="Q838" s="3">
        <v>219</v>
      </c>
      <c r="R838" s="3">
        <v>28.470000000000002</v>
      </c>
      <c r="S838" s="3">
        <v>0</v>
      </c>
      <c r="T838" s="3">
        <v>0</v>
      </c>
      <c r="U838" s="3">
        <v>247.47</v>
      </c>
      <c r="V838" s="3">
        <v>0</v>
      </c>
      <c r="W838" s="3" t="s">
        <v>1</v>
      </c>
    </row>
    <row r="839" spans="5:23" hidden="1" x14ac:dyDescent="0.25">
      <c r="E839" t="s">
        <v>8608</v>
      </c>
      <c r="F839" s="1" t="s">
        <v>8701</v>
      </c>
      <c r="G839" t="s">
        <v>1</v>
      </c>
      <c r="H839" t="s">
        <v>0</v>
      </c>
      <c r="I839" t="s">
        <v>8158</v>
      </c>
      <c r="J839" t="s">
        <v>8159</v>
      </c>
      <c r="K839">
        <v>125</v>
      </c>
      <c r="L839">
        <v>125</v>
      </c>
      <c r="M839" t="s">
        <v>8190</v>
      </c>
      <c r="N839" t="s">
        <v>8191</v>
      </c>
      <c r="O839" s="3">
        <v>0</v>
      </c>
      <c r="P839" s="3">
        <v>0</v>
      </c>
      <c r="Q839" s="3">
        <v>276.57</v>
      </c>
      <c r="R839" s="3">
        <v>35.954099999999997</v>
      </c>
      <c r="S839" s="3">
        <v>0</v>
      </c>
      <c r="T839" s="3">
        <v>0</v>
      </c>
      <c r="U839" s="3">
        <v>312.52409999999998</v>
      </c>
      <c r="V839" s="3">
        <v>0</v>
      </c>
      <c r="W839" s="3" t="s">
        <v>1</v>
      </c>
    </row>
    <row r="840" spans="5:23" hidden="1" x14ac:dyDescent="0.25">
      <c r="E840" t="s">
        <v>8608</v>
      </c>
      <c r="F840" s="1" t="s">
        <v>8701</v>
      </c>
      <c r="G840" t="s">
        <v>1</v>
      </c>
      <c r="H840" t="s">
        <v>0</v>
      </c>
      <c r="I840" t="s">
        <v>8158</v>
      </c>
      <c r="J840" t="s">
        <v>8159</v>
      </c>
      <c r="K840">
        <v>126</v>
      </c>
      <c r="L840">
        <v>126</v>
      </c>
      <c r="M840" t="s">
        <v>8478</v>
      </c>
      <c r="N840" t="s">
        <v>803</v>
      </c>
      <c r="O840" s="3">
        <v>0</v>
      </c>
      <c r="P840" s="3">
        <v>0</v>
      </c>
      <c r="Q840" s="3">
        <v>25</v>
      </c>
      <c r="R840" s="3">
        <v>3.25</v>
      </c>
      <c r="S840" s="3">
        <v>0</v>
      </c>
      <c r="T840" s="3">
        <v>0</v>
      </c>
      <c r="U840" s="3">
        <v>28.25</v>
      </c>
      <c r="V840" s="3">
        <v>0</v>
      </c>
      <c r="W840" s="3" t="s">
        <v>1</v>
      </c>
    </row>
    <row r="841" spans="5:23" hidden="1" x14ac:dyDescent="0.25">
      <c r="E841" t="s">
        <v>8608</v>
      </c>
      <c r="F841" s="1" t="s">
        <v>8701</v>
      </c>
      <c r="G841" t="s">
        <v>1</v>
      </c>
      <c r="H841" t="s">
        <v>0</v>
      </c>
      <c r="I841" t="s">
        <v>8158</v>
      </c>
      <c r="J841" t="s">
        <v>8159</v>
      </c>
      <c r="K841">
        <v>127</v>
      </c>
      <c r="L841">
        <v>127</v>
      </c>
      <c r="M841">
        <v>0</v>
      </c>
      <c r="N841" t="s">
        <v>8256</v>
      </c>
      <c r="O841" s="3">
        <v>0</v>
      </c>
      <c r="P841" s="3">
        <v>0</v>
      </c>
      <c r="Q841" s="3">
        <v>175</v>
      </c>
      <c r="R841" s="3">
        <v>22.75</v>
      </c>
      <c r="S841" s="3">
        <v>0</v>
      </c>
      <c r="T841" s="3">
        <v>0</v>
      </c>
      <c r="U841" s="3">
        <v>197.75</v>
      </c>
      <c r="V841" s="3" t="s">
        <v>8748</v>
      </c>
      <c r="W841" s="3" t="s">
        <v>1</v>
      </c>
    </row>
    <row r="842" spans="5:23" hidden="1" x14ac:dyDescent="0.25">
      <c r="E842" t="s">
        <v>8608</v>
      </c>
      <c r="F842" s="1" t="s">
        <v>8701</v>
      </c>
      <c r="G842" t="s">
        <v>1</v>
      </c>
      <c r="H842" t="s">
        <v>0</v>
      </c>
      <c r="I842" t="s">
        <v>8158</v>
      </c>
      <c r="J842" t="s">
        <v>8159</v>
      </c>
      <c r="K842">
        <v>128</v>
      </c>
      <c r="L842">
        <v>128</v>
      </c>
      <c r="M842" t="s">
        <v>7852</v>
      </c>
      <c r="N842" t="s">
        <v>7851</v>
      </c>
      <c r="O842" s="3">
        <v>0</v>
      </c>
      <c r="P842" s="3">
        <v>0</v>
      </c>
      <c r="Q842" s="3">
        <v>0</v>
      </c>
      <c r="R842" s="3">
        <v>0</v>
      </c>
      <c r="S842" s="3">
        <v>0</v>
      </c>
      <c r="T842" s="3">
        <v>0</v>
      </c>
      <c r="U842" s="3">
        <v>0</v>
      </c>
      <c r="V842" s="3">
        <v>0</v>
      </c>
      <c r="W842" s="3" t="s">
        <v>1</v>
      </c>
    </row>
    <row r="843" spans="5:23" hidden="1" x14ac:dyDescent="0.25">
      <c r="E843" t="s">
        <v>8608</v>
      </c>
      <c r="F843" s="1" t="s">
        <v>8701</v>
      </c>
      <c r="G843" t="s">
        <v>1</v>
      </c>
      <c r="H843" t="s">
        <v>0</v>
      </c>
      <c r="I843" t="s">
        <v>8158</v>
      </c>
      <c r="J843" t="s">
        <v>8159</v>
      </c>
      <c r="K843">
        <v>129</v>
      </c>
      <c r="L843">
        <v>129</v>
      </c>
      <c r="M843" t="s">
        <v>8557</v>
      </c>
      <c r="N843" t="s">
        <v>8558</v>
      </c>
      <c r="O843" s="3">
        <v>0</v>
      </c>
      <c r="P843" s="3">
        <v>0</v>
      </c>
      <c r="Q843" s="3">
        <v>198</v>
      </c>
      <c r="R843" s="3">
        <v>25.740000000000002</v>
      </c>
      <c r="S843" s="3">
        <v>0</v>
      </c>
      <c r="T843" s="3">
        <v>0</v>
      </c>
      <c r="U843" s="3">
        <v>223.74</v>
      </c>
      <c r="V843" s="3">
        <v>0</v>
      </c>
      <c r="W843" s="3" t="s">
        <v>1</v>
      </c>
    </row>
    <row r="844" spans="5:23" hidden="1" x14ac:dyDescent="0.25">
      <c r="E844" t="s">
        <v>8608</v>
      </c>
      <c r="F844" s="1" t="s">
        <v>8701</v>
      </c>
      <c r="G844" t="s">
        <v>1</v>
      </c>
      <c r="H844" t="s">
        <v>0</v>
      </c>
      <c r="I844" t="s">
        <v>8158</v>
      </c>
      <c r="J844" t="s">
        <v>8159</v>
      </c>
      <c r="K844">
        <v>130</v>
      </c>
      <c r="L844">
        <v>130</v>
      </c>
      <c r="M844" t="s">
        <v>8557</v>
      </c>
      <c r="N844" t="s">
        <v>8558</v>
      </c>
      <c r="O844" s="3">
        <v>0</v>
      </c>
      <c r="P844" s="3">
        <v>0</v>
      </c>
      <c r="Q844" s="3">
        <v>119</v>
      </c>
      <c r="R844" s="3">
        <v>15.47</v>
      </c>
      <c r="S844" s="3">
        <v>0</v>
      </c>
      <c r="T844" s="3">
        <v>0</v>
      </c>
      <c r="U844" s="3">
        <v>134.47</v>
      </c>
      <c r="V844" s="3">
        <v>0</v>
      </c>
      <c r="W844" s="3" t="s">
        <v>1</v>
      </c>
    </row>
    <row r="845" spans="5:23" hidden="1" x14ac:dyDescent="0.25">
      <c r="E845" t="s">
        <v>8608</v>
      </c>
      <c r="F845" s="1" t="s">
        <v>8701</v>
      </c>
      <c r="G845" t="s">
        <v>1</v>
      </c>
      <c r="H845" t="s">
        <v>0</v>
      </c>
      <c r="I845" t="s">
        <v>8158</v>
      </c>
      <c r="J845" t="s">
        <v>8159</v>
      </c>
      <c r="K845">
        <v>131</v>
      </c>
      <c r="L845">
        <v>131</v>
      </c>
      <c r="M845">
        <v>0</v>
      </c>
      <c r="N845" t="s">
        <v>8747</v>
      </c>
      <c r="O845" s="3">
        <v>0</v>
      </c>
      <c r="P845" s="3">
        <v>0</v>
      </c>
      <c r="Q845" s="3">
        <v>17.16</v>
      </c>
      <c r="R845" s="3">
        <v>2.2307999999999999</v>
      </c>
      <c r="S845" s="3">
        <v>0</v>
      </c>
      <c r="T845" s="3">
        <v>0</v>
      </c>
      <c r="U845" s="3">
        <v>19.390799999999999</v>
      </c>
      <c r="V845" s="3" t="s">
        <v>8746</v>
      </c>
      <c r="W845" s="3" t="s">
        <v>1</v>
      </c>
    </row>
    <row r="846" spans="5:23" hidden="1" x14ac:dyDescent="0.25">
      <c r="E846" t="s">
        <v>8608</v>
      </c>
      <c r="F846" s="1" t="s">
        <v>8701</v>
      </c>
      <c r="G846" t="s">
        <v>1</v>
      </c>
      <c r="H846" t="s">
        <v>0</v>
      </c>
      <c r="I846" t="s">
        <v>8158</v>
      </c>
      <c r="J846" t="s">
        <v>8159</v>
      </c>
      <c r="K846">
        <v>132</v>
      </c>
      <c r="L846">
        <v>132</v>
      </c>
      <c r="M846" t="s">
        <v>8239</v>
      </c>
      <c r="N846" t="s">
        <v>8240</v>
      </c>
      <c r="O846" s="3">
        <v>0</v>
      </c>
      <c r="P846" s="3">
        <v>0</v>
      </c>
      <c r="Q846" s="3">
        <v>131.63</v>
      </c>
      <c r="R846" s="3">
        <v>17.111899999999999</v>
      </c>
      <c r="S846" s="3">
        <v>0</v>
      </c>
      <c r="T846" s="3">
        <v>0</v>
      </c>
      <c r="U846" s="3">
        <v>148.74189999999999</v>
      </c>
      <c r="V846" s="3">
        <v>0</v>
      </c>
      <c r="W846" s="3" t="s">
        <v>1</v>
      </c>
    </row>
    <row r="847" spans="5:23" hidden="1" x14ac:dyDescent="0.25">
      <c r="E847" t="s">
        <v>8608</v>
      </c>
      <c r="F847" s="1" t="s">
        <v>8701</v>
      </c>
      <c r="G847" t="s">
        <v>1</v>
      </c>
      <c r="H847" t="s">
        <v>0</v>
      </c>
      <c r="I847" t="s">
        <v>8158</v>
      </c>
      <c r="J847" t="s">
        <v>8159</v>
      </c>
      <c r="K847">
        <v>133</v>
      </c>
      <c r="L847">
        <v>133</v>
      </c>
      <c r="M847" t="s">
        <v>8214</v>
      </c>
      <c r="N847" t="s">
        <v>8215</v>
      </c>
      <c r="O847" s="3">
        <v>0</v>
      </c>
      <c r="P847" s="3">
        <v>0</v>
      </c>
      <c r="Q847" s="3">
        <v>199.25</v>
      </c>
      <c r="R847" s="3">
        <v>25.9025</v>
      </c>
      <c r="S847" s="3">
        <v>0</v>
      </c>
      <c r="T847" s="3">
        <v>0</v>
      </c>
      <c r="U847" s="3">
        <v>225.1525</v>
      </c>
      <c r="V847" s="3">
        <v>0</v>
      </c>
      <c r="W847" s="3" t="s">
        <v>1</v>
      </c>
    </row>
    <row r="848" spans="5:23" hidden="1" x14ac:dyDescent="0.25">
      <c r="E848" t="s">
        <v>8608</v>
      </c>
      <c r="F848" s="1" t="s">
        <v>8701</v>
      </c>
      <c r="G848" t="s">
        <v>1</v>
      </c>
      <c r="H848" t="s">
        <v>0</v>
      </c>
      <c r="I848" t="s">
        <v>8158</v>
      </c>
      <c r="J848" t="s">
        <v>8159</v>
      </c>
      <c r="K848">
        <v>134</v>
      </c>
      <c r="L848">
        <v>134</v>
      </c>
      <c r="M848" t="s">
        <v>8241</v>
      </c>
      <c r="N848" t="s">
        <v>8242</v>
      </c>
      <c r="O848" s="3">
        <v>0</v>
      </c>
      <c r="P848" s="3">
        <v>0</v>
      </c>
      <c r="Q848" s="3">
        <v>212.4</v>
      </c>
      <c r="R848" s="3">
        <v>27.612000000000002</v>
      </c>
      <c r="S848" s="3">
        <v>0</v>
      </c>
      <c r="T848" s="3">
        <v>0</v>
      </c>
      <c r="U848" s="3">
        <v>240.012</v>
      </c>
      <c r="V848" s="3">
        <v>0</v>
      </c>
      <c r="W848" s="3" t="s">
        <v>1</v>
      </c>
    </row>
    <row r="849" spans="5:23" hidden="1" x14ac:dyDescent="0.25">
      <c r="E849" t="s">
        <v>8608</v>
      </c>
      <c r="F849" s="1" t="s">
        <v>8701</v>
      </c>
      <c r="G849" t="s">
        <v>1</v>
      </c>
      <c r="H849" t="s">
        <v>0</v>
      </c>
      <c r="I849" t="s">
        <v>8158</v>
      </c>
      <c r="J849" t="s">
        <v>8159</v>
      </c>
      <c r="K849">
        <v>135</v>
      </c>
      <c r="L849">
        <v>135</v>
      </c>
      <c r="M849" t="s">
        <v>7852</v>
      </c>
      <c r="N849" t="s">
        <v>7851</v>
      </c>
      <c r="O849" s="3">
        <v>0</v>
      </c>
      <c r="P849" s="3">
        <v>0</v>
      </c>
      <c r="Q849" s="3">
        <v>0</v>
      </c>
      <c r="R849" s="3">
        <v>0</v>
      </c>
      <c r="S849" s="3">
        <v>0</v>
      </c>
      <c r="T849" s="3">
        <v>0</v>
      </c>
      <c r="U849" s="3">
        <v>0</v>
      </c>
      <c r="V849" s="3">
        <v>0</v>
      </c>
      <c r="W849" s="3" t="s">
        <v>1</v>
      </c>
    </row>
    <row r="850" spans="5:23" hidden="1" x14ac:dyDescent="0.25">
      <c r="E850" t="s">
        <v>8608</v>
      </c>
      <c r="F850" s="1" t="s">
        <v>8701</v>
      </c>
      <c r="G850" t="s">
        <v>1</v>
      </c>
      <c r="H850" t="s">
        <v>0</v>
      </c>
      <c r="I850" t="s">
        <v>8158</v>
      </c>
      <c r="J850" t="s">
        <v>8159</v>
      </c>
      <c r="K850">
        <v>136</v>
      </c>
      <c r="L850">
        <v>136</v>
      </c>
      <c r="M850">
        <v>0</v>
      </c>
      <c r="N850" t="s">
        <v>8454</v>
      </c>
      <c r="O850" s="3">
        <v>0</v>
      </c>
      <c r="P850" s="3">
        <v>0</v>
      </c>
      <c r="Q850" s="3">
        <v>36.520000000000003</v>
      </c>
      <c r="R850" s="3">
        <v>4.7476000000000003</v>
      </c>
      <c r="S850" s="3">
        <v>0</v>
      </c>
      <c r="T850" s="3">
        <v>0</v>
      </c>
      <c r="U850" s="3">
        <v>41.267600000000002</v>
      </c>
      <c r="V850" s="3" t="s">
        <v>8651</v>
      </c>
      <c r="W850" s="3" t="s">
        <v>1</v>
      </c>
    </row>
    <row r="851" spans="5:23" hidden="1" x14ac:dyDescent="0.25">
      <c r="E851" t="s">
        <v>8608</v>
      </c>
      <c r="F851" s="1" t="s">
        <v>8701</v>
      </c>
      <c r="G851" t="s">
        <v>1</v>
      </c>
      <c r="H851" t="s">
        <v>0</v>
      </c>
      <c r="I851" t="s">
        <v>8158</v>
      </c>
      <c r="J851" t="s">
        <v>8159</v>
      </c>
      <c r="K851">
        <v>137</v>
      </c>
      <c r="L851">
        <v>137</v>
      </c>
      <c r="M851" t="s">
        <v>7869</v>
      </c>
      <c r="N851" t="s">
        <v>7870</v>
      </c>
      <c r="O851" s="3">
        <v>0</v>
      </c>
      <c r="P851" s="3">
        <v>0</v>
      </c>
      <c r="Q851" s="3">
        <v>355.66</v>
      </c>
      <c r="R851" s="3">
        <v>46.235800000000005</v>
      </c>
      <c r="S851" s="3">
        <v>0</v>
      </c>
      <c r="T851" s="3">
        <v>0</v>
      </c>
      <c r="U851" s="3">
        <v>401.89580000000001</v>
      </c>
      <c r="V851" s="3">
        <v>0</v>
      </c>
      <c r="W851" s="3" t="s">
        <v>1</v>
      </c>
    </row>
    <row r="852" spans="5:23" hidden="1" x14ac:dyDescent="0.25">
      <c r="E852" t="s">
        <v>8608</v>
      </c>
      <c r="F852" s="1" t="s">
        <v>8701</v>
      </c>
      <c r="G852" t="s">
        <v>1</v>
      </c>
      <c r="H852" t="s">
        <v>0</v>
      </c>
      <c r="I852" t="s">
        <v>8158</v>
      </c>
      <c r="J852" t="s">
        <v>8159</v>
      </c>
      <c r="K852">
        <v>138</v>
      </c>
      <c r="L852">
        <v>138</v>
      </c>
      <c r="M852" t="s">
        <v>8241</v>
      </c>
      <c r="N852" t="s">
        <v>8242</v>
      </c>
      <c r="O852" s="3">
        <v>0</v>
      </c>
      <c r="P852" s="3">
        <v>0</v>
      </c>
      <c r="Q852" s="3">
        <v>310.8</v>
      </c>
      <c r="R852" s="3">
        <v>40.404000000000003</v>
      </c>
      <c r="S852" s="3">
        <v>0</v>
      </c>
      <c r="T852" s="3">
        <v>0</v>
      </c>
      <c r="U852" s="3">
        <v>351.20400000000001</v>
      </c>
      <c r="V852" s="3">
        <v>0</v>
      </c>
      <c r="W852" s="3" t="s">
        <v>1</v>
      </c>
    </row>
    <row r="853" spans="5:23" hidden="1" x14ac:dyDescent="0.25">
      <c r="E853" t="s">
        <v>8608</v>
      </c>
      <c r="F853" s="1" t="s">
        <v>8701</v>
      </c>
      <c r="G853" t="s">
        <v>1</v>
      </c>
      <c r="H853" t="s">
        <v>0</v>
      </c>
      <c r="I853" t="s">
        <v>8158</v>
      </c>
      <c r="J853" t="s">
        <v>8159</v>
      </c>
      <c r="K853">
        <v>139</v>
      </c>
      <c r="L853">
        <v>139</v>
      </c>
      <c r="M853">
        <v>0</v>
      </c>
      <c r="N853" t="s">
        <v>8229</v>
      </c>
      <c r="O853" s="3">
        <v>0</v>
      </c>
      <c r="P853" s="3">
        <v>0</v>
      </c>
      <c r="Q853" s="3">
        <v>44.89</v>
      </c>
      <c r="R853" s="3">
        <v>5.8357000000000001</v>
      </c>
      <c r="S853" s="3">
        <v>0</v>
      </c>
      <c r="T853" s="3">
        <v>0</v>
      </c>
      <c r="U853" s="3">
        <v>50.725700000000003</v>
      </c>
      <c r="V853" s="3" t="s">
        <v>8719</v>
      </c>
      <c r="W853" s="3" t="s">
        <v>1</v>
      </c>
    </row>
    <row r="854" spans="5:23" hidden="1" x14ac:dyDescent="0.25">
      <c r="E854" t="s">
        <v>8608</v>
      </c>
      <c r="F854" s="1" t="s">
        <v>8701</v>
      </c>
      <c r="G854" t="s">
        <v>1</v>
      </c>
      <c r="H854" t="s">
        <v>0</v>
      </c>
      <c r="I854" t="s">
        <v>8158</v>
      </c>
      <c r="J854" t="s">
        <v>8159</v>
      </c>
      <c r="K854">
        <v>140</v>
      </c>
      <c r="L854">
        <v>140</v>
      </c>
      <c r="M854" t="s">
        <v>8241</v>
      </c>
      <c r="N854" t="s">
        <v>8242</v>
      </c>
      <c r="O854" s="3">
        <v>0</v>
      </c>
      <c r="P854" s="3">
        <v>0</v>
      </c>
      <c r="Q854" s="3">
        <v>77.7</v>
      </c>
      <c r="R854" s="3">
        <v>10.101000000000001</v>
      </c>
      <c r="S854" s="3">
        <v>0</v>
      </c>
      <c r="T854" s="3">
        <v>0</v>
      </c>
      <c r="U854" s="3">
        <v>87.801000000000002</v>
      </c>
      <c r="V854" s="3">
        <v>0</v>
      </c>
      <c r="W854" s="3" t="s">
        <v>1</v>
      </c>
    </row>
    <row r="855" spans="5:23" hidden="1" x14ac:dyDescent="0.25">
      <c r="E855" t="s">
        <v>8608</v>
      </c>
      <c r="F855" s="1" t="s">
        <v>8701</v>
      </c>
      <c r="G855" t="s">
        <v>1</v>
      </c>
      <c r="H855" t="s">
        <v>0</v>
      </c>
      <c r="I855" t="s">
        <v>8158</v>
      </c>
      <c r="J855" t="s">
        <v>8159</v>
      </c>
      <c r="K855">
        <v>141</v>
      </c>
      <c r="L855">
        <v>141</v>
      </c>
      <c r="M855" t="s">
        <v>8255</v>
      </c>
      <c r="N855" t="s">
        <v>8256</v>
      </c>
      <c r="O855" s="3">
        <v>0</v>
      </c>
      <c r="P855" s="3">
        <v>0</v>
      </c>
      <c r="Q855" s="3">
        <v>306.23</v>
      </c>
      <c r="R855" s="3">
        <v>39.809900000000006</v>
      </c>
      <c r="S855" s="3">
        <v>0</v>
      </c>
      <c r="T855" s="3">
        <v>0</v>
      </c>
      <c r="U855" s="3">
        <v>346.03990000000005</v>
      </c>
      <c r="V855" s="3">
        <v>0</v>
      </c>
      <c r="W855" s="3" t="s">
        <v>1</v>
      </c>
    </row>
    <row r="856" spans="5:23" hidden="1" x14ac:dyDescent="0.25">
      <c r="E856" t="s">
        <v>8608</v>
      </c>
      <c r="F856" s="1" t="s">
        <v>8701</v>
      </c>
      <c r="G856" t="s">
        <v>1</v>
      </c>
      <c r="H856" t="s">
        <v>0</v>
      </c>
      <c r="I856" t="s">
        <v>8158</v>
      </c>
      <c r="J856" t="s">
        <v>8159</v>
      </c>
      <c r="K856">
        <v>142</v>
      </c>
      <c r="L856">
        <v>142</v>
      </c>
      <c r="M856" t="s">
        <v>8255</v>
      </c>
      <c r="N856" t="s">
        <v>8256</v>
      </c>
      <c r="O856" s="3">
        <v>0</v>
      </c>
      <c r="P856" s="3">
        <v>0</v>
      </c>
      <c r="Q856" s="3">
        <v>87</v>
      </c>
      <c r="R856" s="3">
        <v>11.31</v>
      </c>
      <c r="S856" s="3">
        <v>0</v>
      </c>
      <c r="T856" s="3">
        <v>0</v>
      </c>
      <c r="U856" s="3">
        <v>98.31</v>
      </c>
      <c r="V856" s="3">
        <v>0</v>
      </c>
      <c r="W856" s="3" t="s">
        <v>1</v>
      </c>
    </row>
    <row r="857" spans="5:23" hidden="1" x14ac:dyDescent="0.25">
      <c r="E857" t="s">
        <v>8608</v>
      </c>
      <c r="F857" s="1" t="s">
        <v>8701</v>
      </c>
      <c r="G857" t="s">
        <v>1</v>
      </c>
      <c r="H857" t="s">
        <v>0</v>
      </c>
      <c r="I857" t="s">
        <v>8158</v>
      </c>
      <c r="J857" t="s">
        <v>8159</v>
      </c>
      <c r="K857">
        <v>134</v>
      </c>
      <c r="L857">
        <v>134</v>
      </c>
      <c r="M857" t="s">
        <v>7852</v>
      </c>
      <c r="N857" t="s">
        <v>7851</v>
      </c>
      <c r="O857" s="3">
        <v>0</v>
      </c>
      <c r="P857" s="3">
        <v>0</v>
      </c>
      <c r="Q857" s="3">
        <v>0</v>
      </c>
      <c r="R857" s="3">
        <v>0</v>
      </c>
      <c r="S857" s="3">
        <v>0</v>
      </c>
      <c r="T857" s="3">
        <v>0</v>
      </c>
      <c r="U857" s="3">
        <v>0</v>
      </c>
      <c r="V857" s="3">
        <v>0</v>
      </c>
      <c r="W857" s="3" t="s">
        <v>1</v>
      </c>
    </row>
    <row r="858" spans="5:23" hidden="1" x14ac:dyDescent="0.25">
      <c r="E858" t="s">
        <v>8608</v>
      </c>
      <c r="F858" s="1" t="s">
        <v>8701</v>
      </c>
      <c r="G858" t="s">
        <v>1</v>
      </c>
      <c r="H858" t="s">
        <v>0</v>
      </c>
      <c r="I858" t="s">
        <v>8165</v>
      </c>
      <c r="J858" t="s">
        <v>8164</v>
      </c>
      <c r="K858">
        <v>13009</v>
      </c>
      <c r="L858">
        <v>13009</v>
      </c>
      <c r="M858">
        <v>0</v>
      </c>
      <c r="N858" t="s">
        <v>8235</v>
      </c>
      <c r="O858" s="3">
        <v>0</v>
      </c>
      <c r="P858" s="3">
        <v>0</v>
      </c>
      <c r="Q858" s="3">
        <v>148.87</v>
      </c>
      <c r="R858" s="3">
        <v>19.353100000000001</v>
      </c>
      <c r="S858" s="3">
        <v>0</v>
      </c>
      <c r="T858" s="3">
        <v>0</v>
      </c>
      <c r="U858" s="3">
        <v>168.22310000000002</v>
      </c>
      <c r="V858" s="3" t="s">
        <v>8718</v>
      </c>
      <c r="W858" s="3" t="s">
        <v>1</v>
      </c>
    </row>
    <row r="859" spans="5:23" hidden="1" x14ac:dyDescent="0.25">
      <c r="E859" t="s">
        <v>8608</v>
      </c>
      <c r="F859" s="1" t="s">
        <v>8701</v>
      </c>
      <c r="G859" t="s">
        <v>1</v>
      </c>
      <c r="H859" t="s">
        <v>0</v>
      </c>
      <c r="I859" t="s">
        <v>8165</v>
      </c>
      <c r="J859" t="s">
        <v>8164</v>
      </c>
      <c r="K859">
        <v>13010</v>
      </c>
      <c r="L859">
        <v>13010</v>
      </c>
      <c r="M859">
        <v>0</v>
      </c>
      <c r="N859" t="s">
        <v>8235</v>
      </c>
      <c r="O859" s="3">
        <v>0</v>
      </c>
      <c r="P859" s="3">
        <v>0</v>
      </c>
      <c r="Q859" s="3">
        <v>163.69</v>
      </c>
      <c r="R859" s="3">
        <v>21.279700000000002</v>
      </c>
      <c r="S859" s="3">
        <v>0</v>
      </c>
      <c r="T859" s="3">
        <v>0</v>
      </c>
      <c r="U859" s="3">
        <v>184.96969999999999</v>
      </c>
      <c r="V859" s="3" t="s">
        <v>8718</v>
      </c>
      <c r="W859" s="3" t="s">
        <v>1</v>
      </c>
    </row>
    <row r="860" spans="5:23" hidden="1" x14ac:dyDescent="0.25">
      <c r="E860" t="s">
        <v>8608</v>
      </c>
      <c r="F860" s="1" t="s">
        <v>8701</v>
      </c>
      <c r="G860" t="s">
        <v>1</v>
      </c>
      <c r="H860" t="s">
        <v>0</v>
      </c>
      <c r="I860" t="s">
        <v>8165</v>
      </c>
      <c r="J860" t="s">
        <v>8164</v>
      </c>
      <c r="K860">
        <v>13011</v>
      </c>
      <c r="L860">
        <v>13011</v>
      </c>
      <c r="M860" t="s">
        <v>7852</v>
      </c>
      <c r="N860" t="s">
        <v>7851</v>
      </c>
      <c r="O860" s="3">
        <v>0</v>
      </c>
      <c r="P860" s="3">
        <v>0</v>
      </c>
      <c r="Q860" s="3">
        <v>0</v>
      </c>
      <c r="R860" s="3">
        <v>0</v>
      </c>
      <c r="S860" s="3">
        <v>0</v>
      </c>
      <c r="T860" s="3">
        <v>0</v>
      </c>
      <c r="U860" s="3">
        <v>0</v>
      </c>
      <c r="V860" s="3">
        <v>0</v>
      </c>
      <c r="W860" s="3" t="s">
        <v>1</v>
      </c>
    </row>
    <row r="861" spans="5:23" hidden="1" x14ac:dyDescent="0.25">
      <c r="E861" t="s">
        <v>8608</v>
      </c>
      <c r="F861" s="1" t="s">
        <v>8701</v>
      </c>
      <c r="G861" t="s">
        <v>1</v>
      </c>
      <c r="H861" t="s">
        <v>0</v>
      </c>
      <c r="I861" t="s">
        <v>8165</v>
      </c>
      <c r="J861" t="s">
        <v>8164</v>
      </c>
      <c r="K861">
        <v>13012</v>
      </c>
      <c r="L861">
        <v>13012</v>
      </c>
      <c r="M861" t="s">
        <v>8176</v>
      </c>
      <c r="N861" t="s">
        <v>8177</v>
      </c>
      <c r="O861" s="3">
        <v>0</v>
      </c>
      <c r="P861" s="3">
        <v>0</v>
      </c>
      <c r="Q861" s="3">
        <v>17.420000000000002</v>
      </c>
      <c r="R861" s="3">
        <v>2.2646000000000002</v>
      </c>
      <c r="S861" s="3">
        <v>0</v>
      </c>
      <c r="T861" s="3">
        <v>0</v>
      </c>
      <c r="U861" s="3">
        <v>19.684600000000003</v>
      </c>
      <c r="V861" s="3">
        <v>0</v>
      </c>
      <c r="W861" s="3" t="s">
        <v>1</v>
      </c>
    </row>
    <row r="862" spans="5:23" hidden="1" x14ac:dyDescent="0.25">
      <c r="E862" t="s">
        <v>8608</v>
      </c>
      <c r="F862" s="1" t="s">
        <v>8701</v>
      </c>
      <c r="G862" t="s">
        <v>1</v>
      </c>
      <c r="H862" t="s">
        <v>0</v>
      </c>
      <c r="I862" t="s">
        <v>8165</v>
      </c>
      <c r="J862" t="s">
        <v>8164</v>
      </c>
      <c r="K862">
        <v>13013</v>
      </c>
      <c r="L862">
        <v>13013</v>
      </c>
      <c r="M862" t="s">
        <v>8209</v>
      </c>
      <c r="N862" t="s">
        <v>8210</v>
      </c>
      <c r="O862" s="3">
        <v>0</v>
      </c>
      <c r="P862" s="3">
        <v>0</v>
      </c>
      <c r="Q862" s="3">
        <v>955</v>
      </c>
      <c r="R862" s="3">
        <v>124.15</v>
      </c>
      <c r="S862" s="3">
        <v>0</v>
      </c>
      <c r="T862" s="3">
        <v>0</v>
      </c>
      <c r="U862" s="3">
        <v>1079.1500000000001</v>
      </c>
      <c r="V862" s="3">
        <v>0</v>
      </c>
      <c r="W862" s="3" t="s">
        <v>1</v>
      </c>
    </row>
    <row r="863" spans="5:23" hidden="1" x14ac:dyDescent="0.25">
      <c r="E863" t="s">
        <v>8608</v>
      </c>
      <c r="F863" s="1" t="s">
        <v>8701</v>
      </c>
      <c r="G863" t="s">
        <v>1</v>
      </c>
      <c r="H863" t="s">
        <v>0</v>
      </c>
      <c r="I863" t="s">
        <v>8165</v>
      </c>
      <c r="J863" t="s">
        <v>8164</v>
      </c>
      <c r="K863">
        <v>13014</v>
      </c>
      <c r="L863">
        <v>13014</v>
      </c>
      <c r="M863" t="s">
        <v>7852</v>
      </c>
      <c r="N863" t="s">
        <v>7851</v>
      </c>
      <c r="O863" s="3">
        <v>0</v>
      </c>
      <c r="P863" s="3">
        <v>0</v>
      </c>
      <c r="Q863" s="3">
        <v>0</v>
      </c>
      <c r="R863" s="3">
        <v>0</v>
      </c>
      <c r="S863" s="3">
        <v>0</v>
      </c>
      <c r="T863" s="3">
        <v>0</v>
      </c>
      <c r="U863" s="3">
        <v>0</v>
      </c>
      <c r="V863" s="3">
        <v>0</v>
      </c>
      <c r="W863" s="3" t="s">
        <v>1</v>
      </c>
    </row>
    <row r="864" spans="5:23" hidden="1" x14ac:dyDescent="0.25">
      <c r="E864" t="s">
        <v>8608</v>
      </c>
      <c r="F864" s="1" t="s">
        <v>8701</v>
      </c>
      <c r="G864" t="s">
        <v>1</v>
      </c>
      <c r="H864" t="s">
        <v>0</v>
      </c>
      <c r="I864" t="s">
        <v>8165</v>
      </c>
      <c r="J864" t="s">
        <v>8164</v>
      </c>
      <c r="K864">
        <v>13015</v>
      </c>
      <c r="L864">
        <v>13015</v>
      </c>
      <c r="M864" t="s">
        <v>8209</v>
      </c>
      <c r="N864" t="s">
        <v>8210</v>
      </c>
      <c r="O864" s="3">
        <v>0</v>
      </c>
      <c r="P864" s="3">
        <v>0</v>
      </c>
      <c r="Q864" s="3">
        <v>207</v>
      </c>
      <c r="R864" s="3">
        <v>26.91</v>
      </c>
      <c r="S864" s="3">
        <v>0</v>
      </c>
      <c r="T864" s="3">
        <v>0</v>
      </c>
      <c r="U864" s="3">
        <v>233.91</v>
      </c>
      <c r="V864" s="3">
        <v>0</v>
      </c>
      <c r="W864" s="3" t="s">
        <v>1</v>
      </c>
    </row>
    <row r="865" spans="5:23" hidden="1" x14ac:dyDescent="0.25">
      <c r="E865" t="s">
        <v>8608</v>
      </c>
      <c r="F865" s="1" t="s">
        <v>8701</v>
      </c>
      <c r="G865" t="s">
        <v>1</v>
      </c>
      <c r="H865" t="s">
        <v>0</v>
      </c>
      <c r="I865" t="s">
        <v>8165</v>
      </c>
      <c r="J865" t="s">
        <v>8164</v>
      </c>
      <c r="K865">
        <v>13016</v>
      </c>
      <c r="L865">
        <v>13016</v>
      </c>
      <c r="M865" t="s">
        <v>1423</v>
      </c>
      <c r="N865" t="s">
        <v>1424</v>
      </c>
      <c r="O865" s="3">
        <v>0</v>
      </c>
      <c r="P865" s="3">
        <v>0</v>
      </c>
      <c r="Q865" s="3">
        <v>113.3</v>
      </c>
      <c r="R865" s="3">
        <v>14.729000000000001</v>
      </c>
      <c r="S865" s="3">
        <v>0</v>
      </c>
      <c r="T865" s="3">
        <v>0</v>
      </c>
      <c r="U865" s="3">
        <v>128.029</v>
      </c>
      <c r="V865" s="3">
        <v>0</v>
      </c>
      <c r="W865" s="3" t="s">
        <v>1</v>
      </c>
    </row>
    <row r="866" spans="5:23" hidden="1" x14ac:dyDescent="0.25">
      <c r="E866" t="s">
        <v>8608</v>
      </c>
      <c r="F866" s="1" t="s">
        <v>8701</v>
      </c>
      <c r="G866" t="s">
        <v>1</v>
      </c>
      <c r="H866" t="s">
        <v>0</v>
      </c>
      <c r="I866" t="s">
        <v>8165</v>
      </c>
      <c r="J866" t="s">
        <v>8164</v>
      </c>
      <c r="K866">
        <v>13017</v>
      </c>
      <c r="L866">
        <v>13017</v>
      </c>
      <c r="M866" t="s">
        <v>1423</v>
      </c>
      <c r="N866" t="s">
        <v>1424</v>
      </c>
      <c r="O866" s="3">
        <v>0</v>
      </c>
      <c r="P866" s="3">
        <v>0</v>
      </c>
      <c r="Q866" s="3">
        <v>135.35</v>
      </c>
      <c r="R866" s="3">
        <v>17.595500000000001</v>
      </c>
      <c r="S866" s="3">
        <v>0</v>
      </c>
      <c r="T866" s="3">
        <v>0</v>
      </c>
      <c r="U866" s="3">
        <v>152.94549999999998</v>
      </c>
    </row>
    <row r="867" spans="5:23" hidden="1" x14ac:dyDescent="0.25">
      <c r="E867" t="s">
        <v>8608</v>
      </c>
      <c r="F867" s="1" t="s">
        <v>8701</v>
      </c>
      <c r="G867" t="s">
        <v>1</v>
      </c>
      <c r="H867" t="s">
        <v>0</v>
      </c>
      <c r="I867" t="s">
        <v>8165</v>
      </c>
      <c r="J867" t="s">
        <v>8164</v>
      </c>
      <c r="K867">
        <v>13018</v>
      </c>
      <c r="L867">
        <v>13018</v>
      </c>
      <c r="M867">
        <v>0</v>
      </c>
      <c r="N867" t="s">
        <v>8280</v>
      </c>
      <c r="O867" s="3">
        <v>0</v>
      </c>
      <c r="P867" s="3">
        <v>0</v>
      </c>
      <c r="Q867" s="3">
        <v>232.93</v>
      </c>
      <c r="R867" s="3">
        <v>30.280900000000003</v>
      </c>
      <c r="S867" s="3">
        <v>0</v>
      </c>
      <c r="T867" s="3">
        <v>0</v>
      </c>
      <c r="U867" s="3">
        <v>263.21090000000004</v>
      </c>
      <c r="V867" s="3" t="s">
        <v>8708</v>
      </c>
      <c r="W867" s="3" t="s">
        <v>1</v>
      </c>
    </row>
    <row r="868" spans="5:23" hidden="1" x14ac:dyDescent="0.25">
      <c r="E868" t="s">
        <v>8608</v>
      </c>
      <c r="F868" s="1" t="s">
        <v>8701</v>
      </c>
      <c r="G868" t="s">
        <v>1</v>
      </c>
      <c r="H868" t="s">
        <v>0</v>
      </c>
      <c r="I868" t="s">
        <v>8165</v>
      </c>
      <c r="J868" t="s">
        <v>8164</v>
      </c>
      <c r="K868">
        <v>13019</v>
      </c>
      <c r="L868">
        <v>13019</v>
      </c>
      <c r="M868">
        <v>0</v>
      </c>
      <c r="N868" t="s">
        <v>8745</v>
      </c>
      <c r="O868" s="3">
        <v>0</v>
      </c>
      <c r="P868" s="3">
        <v>0</v>
      </c>
      <c r="Q868" s="3">
        <v>11.95</v>
      </c>
      <c r="R868" s="3">
        <v>1.5534999999999999</v>
      </c>
      <c r="S868" s="3">
        <v>0</v>
      </c>
      <c r="T868" s="3">
        <v>0</v>
      </c>
      <c r="U868" s="3">
        <v>13.503499999999999</v>
      </c>
      <c r="V868" s="3" t="s">
        <v>8744</v>
      </c>
      <c r="W868" s="3" t="s">
        <v>1</v>
      </c>
    </row>
    <row r="869" spans="5:23" hidden="1" x14ac:dyDescent="0.25">
      <c r="E869" t="s">
        <v>8608</v>
      </c>
      <c r="F869" s="1" t="s">
        <v>8701</v>
      </c>
      <c r="G869" t="s">
        <v>1</v>
      </c>
      <c r="H869" t="s">
        <v>0</v>
      </c>
      <c r="I869" t="s">
        <v>8165</v>
      </c>
      <c r="J869" t="s">
        <v>8164</v>
      </c>
      <c r="K869">
        <v>13020</v>
      </c>
      <c r="L869">
        <v>13020</v>
      </c>
      <c r="M869">
        <v>0</v>
      </c>
      <c r="N869" t="s">
        <v>8235</v>
      </c>
      <c r="O869" s="3">
        <v>0</v>
      </c>
      <c r="P869" s="3">
        <v>0</v>
      </c>
      <c r="Q869" s="3">
        <v>174.15</v>
      </c>
      <c r="R869" s="3">
        <v>22.639500000000002</v>
      </c>
      <c r="S869" s="3">
        <v>0</v>
      </c>
      <c r="T869" s="3">
        <v>0</v>
      </c>
      <c r="U869" s="3">
        <v>196.7895</v>
      </c>
      <c r="V869" s="3" t="s">
        <v>8718</v>
      </c>
      <c r="W869" s="3" t="s">
        <v>1</v>
      </c>
    </row>
    <row r="870" spans="5:23" hidden="1" x14ac:dyDescent="0.25">
      <c r="E870" t="s">
        <v>8608</v>
      </c>
      <c r="F870" s="1" t="s">
        <v>8701</v>
      </c>
      <c r="G870" t="s">
        <v>1</v>
      </c>
      <c r="H870" t="s">
        <v>0</v>
      </c>
      <c r="I870" t="s">
        <v>8165</v>
      </c>
      <c r="J870" t="s">
        <v>8164</v>
      </c>
      <c r="K870">
        <v>13021</v>
      </c>
      <c r="L870">
        <v>13021</v>
      </c>
      <c r="M870" t="s">
        <v>1273</v>
      </c>
      <c r="N870" t="s">
        <v>1274</v>
      </c>
      <c r="O870" s="3">
        <v>0</v>
      </c>
      <c r="P870" s="3">
        <v>0</v>
      </c>
      <c r="Q870" s="3">
        <v>353.09</v>
      </c>
      <c r="R870" s="3">
        <v>45.901699999999998</v>
      </c>
      <c r="S870" s="3">
        <v>0</v>
      </c>
      <c r="T870" s="3">
        <v>0</v>
      </c>
      <c r="U870" s="3">
        <v>398.99169999999998</v>
      </c>
      <c r="V870" s="3">
        <v>0</v>
      </c>
      <c r="W870" s="3" t="s">
        <v>1</v>
      </c>
    </row>
    <row r="871" spans="5:23" hidden="1" x14ac:dyDescent="0.25">
      <c r="E871" t="s">
        <v>8608</v>
      </c>
      <c r="F871" s="1" t="s">
        <v>8701</v>
      </c>
      <c r="G871" t="s">
        <v>1</v>
      </c>
      <c r="H871" t="s">
        <v>0</v>
      </c>
      <c r="I871" t="s">
        <v>8165</v>
      </c>
      <c r="J871" t="s">
        <v>8164</v>
      </c>
      <c r="K871">
        <v>13022</v>
      </c>
      <c r="L871">
        <v>13022</v>
      </c>
      <c r="M871" t="s">
        <v>7852</v>
      </c>
      <c r="N871" t="s">
        <v>7851</v>
      </c>
      <c r="O871" s="3">
        <v>0</v>
      </c>
      <c r="P871" s="3">
        <v>0</v>
      </c>
      <c r="Q871" s="3">
        <v>0</v>
      </c>
      <c r="R871" s="3">
        <v>0</v>
      </c>
      <c r="S871" s="3">
        <v>0</v>
      </c>
      <c r="T871" s="3">
        <v>0</v>
      </c>
      <c r="U871" s="3">
        <v>0</v>
      </c>
      <c r="V871" s="3">
        <v>0</v>
      </c>
      <c r="W871" s="3" t="s">
        <v>1</v>
      </c>
    </row>
    <row r="872" spans="5:23" hidden="1" x14ac:dyDescent="0.25">
      <c r="E872" t="s">
        <v>8608</v>
      </c>
      <c r="F872" s="1" t="s">
        <v>8701</v>
      </c>
      <c r="G872" t="s">
        <v>1</v>
      </c>
      <c r="H872" t="s">
        <v>0</v>
      </c>
      <c r="I872" t="s">
        <v>8165</v>
      </c>
      <c r="J872" t="s">
        <v>8164</v>
      </c>
      <c r="K872">
        <v>13023</v>
      </c>
      <c r="L872">
        <v>13023</v>
      </c>
      <c r="M872" t="s">
        <v>8269</v>
      </c>
      <c r="N872" t="s">
        <v>8270</v>
      </c>
      <c r="O872" s="3">
        <v>0</v>
      </c>
      <c r="P872" s="3">
        <v>0</v>
      </c>
      <c r="Q872" s="3">
        <v>17.61</v>
      </c>
      <c r="R872" s="3">
        <v>2.2892999999999999</v>
      </c>
      <c r="S872" s="3">
        <v>0</v>
      </c>
      <c r="T872" s="3">
        <v>0</v>
      </c>
      <c r="U872" s="3">
        <v>19.8993</v>
      </c>
      <c r="V872" s="3">
        <v>0</v>
      </c>
      <c r="W872" s="3" t="s">
        <v>1</v>
      </c>
    </row>
    <row r="873" spans="5:23" hidden="1" x14ac:dyDescent="0.25">
      <c r="E873" t="s">
        <v>8608</v>
      </c>
      <c r="F873" s="1" t="s">
        <v>8701</v>
      </c>
      <c r="G873" t="s">
        <v>1</v>
      </c>
      <c r="H873" t="s">
        <v>0</v>
      </c>
      <c r="I873" t="s">
        <v>8165</v>
      </c>
      <c r="J873" t="s">
        <v>8164</v>
      </c>
      <c r="K873">
        <v>13024</v>
      </c>
      <c r="L873">
        <v>13024</v>
      </c>
      <c r="M873" t="s">
        <v>8295</v>
      </c>
      <c r="N873" t="s">
        <v>935</v>
      </c>
      <c r="O873" s="3">
        <v>0</v>
      </c>
      <c r="P873" s="3">
        <v>0</v>
      </c>
      <c r="Q873" s="3">
        <v>20</v>
      </c>
      <c r="R873" s="3">
        <v>2.6</v>
      </c>
      <c r="S873" s="3">
        <v>0</v>
      </c>
      <c r="T873" s="3">
        <v>0</v>
      </c>
      <c r="U873" s="3">
        <v>22.6</v>
      </c>
      <c r="V873" s="3">
        <v>0</v>
      </c>
      <c r="W873" s="3" t="s">
        <v>1</v>
      </c>
    </row>
    <row r="874" spans="5:23" hidden="1" x14ac:dyDescent="0.25">
      <c r="E874" t="s">
        <v>8608</v>
      </c>
      <c r="F874" s="1" t="s">
        <v>8701</v>
      </c>
      <c r="G874" t="s">
        <v>1</v>
      </c>
      <c r="H874" t="s">
        <v>0</v>
      </c>
      <c r="I874" t="s">
        <v>8165</v>
      </c>
      <c r="J874" t="s">
        <v>8164</v>
      </c>
      <c r="K874">
        <v>13025</v>
      </c>
      <c r="L874">
        <v>13025</v>
      </c>
      <c r="M874" t="s">
        <v>7852</v>
      </c>
      <c r="N874" t="s">
        <v>7851</v>
      </c>
      <c r="O874" s="3">
        <v>0</v>
      </c>
      <c r="P874" s="3">
        <v>0</v>
      </c>
      <c r="Q874" s="3">
        <v>0</v>
      </c>
      <c r="R874" s="3">
        <v>0</v>
      </c>
      <c r="S874" s="3">
        <v>0</v>
      </c>
      <c r="T874" s="3">
        <v>0</v>
      </c>
      <c r="U874" s="3">
        <v>0</v>
      </c>
      <c r="V874" s="3">
        <v>0</v>
      </c>
      <c r="W874" s="3" t="s">
        <v>1</v>
      </c>
    </row>
    <row r="875" spans="5:23" hidden="1" x14ac:dyDescent="0.25">
      <c r="E875" t="s">
        <v>8608</v>
      </c>
      <c r="F875" s="1" t="s">
        <v>8701</v>
      </c>
      <c r="G875" t="s">
        <v>1</v>
      </c>
      <c r="H875" t="s">
        <v>0</v>
      </c>
      <c r="I875" t="s">
        <v>8165</v>
      </c>
      <c r="J875" t="s">
        <v>8164</v>
      </c>
      <c r="K875">
        <v>13026</v>
      </c>
      <c r="L875">
        <v>13026</v>
      </c>
      <c r="M875" t="s">
        <v>8230</v>
      </c>
      <c r="N875" t="s">
        <v>8231</v>
      </c>
      <c r="O875" s="3">
        <v>0</v>
      </c>
      <c r="P875" s="3">
        <v>0</v>
      </c>
      <c r="Q875" s="3">
        <v>15.9</v>
      </c>
      <c r="R875" s="3">
        <v>2.0670000000000002</v>
      </c>
      <c r="S875" s="3">
        <v>0</v>
      </c>
      <c r="T875" s="3">
        <v>0</v>
      </c>
      <c r="U875" s="3">
        <v>17.966999999999999</v>
      </c>
      <c r="V875" s="3">
        <v>0</v>
      </c>
      <c r="W875" s="3" t="s">
        <v>1</v>
      </c>
    </row>
    <row r="876" spans="5:23" hidden="1" x14ac:dyDescent="0.25">
      <c r="E876" t="s">
        <v>8608</v>
      </c>
      <c r="F876" s="1" t="s">
        <v>8700</v>
      </c>
      <c r="G876" t="s">
        <v>1</v>
      </c>
      <c r="H876" t="s">
        <v>0</v>
      </c>
      <c r="I876" t="s">
        <v>8165</v>
      </c>
      <c r="J876" t="s">
        <v>8164</v>
      </c>
      <c r="K876">
        <v>13027</v>
      </c>
      <c r="L876">
        <v>13027</v>
      </c>
      <c r="M876" t="s">
        <v>8742</v>
      </c>
      <c r="N876" t="s">
        <v>8743</v>
      </c>
      <c r="O876" s="3">
        <v>0</v>
      </c>
      <c r="P876" s="3">
        <v>0</v>
      </c>
      <c r="Q876" s="3">
        <v>154.80000000000001</v>
      </c>
      <c r="R876" s="3">
        <v>20.124000000000002</v>
      </c>
      <c r="S876" s="3">
        <v>0</v>
      </c>
      <c r="T876" s="3">
        <v>0</v>
      </c>
      <c r="U876" s="3">
        <v>174.92400000000001</v>
      </c>
      <c r="V876" s="3">
        <v>0</v>
      </c>
      <c r="W876" s="3" t="s">
        <v>1</v>
      </c>
    </row>
    <row r="877" spans="5:23" hidden="1" x14ac:dyDescent="0.25">
      <c r="E877" t="s">
        <v>8608</v>
      </c>
      <c r="F877" s="1" t="s">
        <v>8700</v>
      </c>
      <c r="G877" t="s">
        <v>1</v>
      </c>
      <c r="H877" t="s">
        <v>0</v>
      </c>
      <c r="I877" t="s">
        <v>8165</v>
      </c>
      <c r="J877" t="s">
        <v>8164</v>
      </c>
      <c r="K877">
        <v>13028</v>
      </c>
      <c r="L877">
        <v>13028</v>
      </c>
      <c r="M877" t="s">
        <v>8740</v>
      </c>
      <c r="N877" t="s">
        <v>8741</v>
      </c>
      <c r="O877" s="3">
        <v>0</v>
      </c>
      <c r="P877" s="3">
        <v>0</v>
      </c>
      <c r="Q877" s="3">
        <v>123.01</v>
      </c>
      <c r="R877" s="3">
        <v>15.991300000000001</v>
      </c>
      <c r="S877" s="3">
        <v>0</v>
      </c>
      <c r="T877" s="3">
        <v>0</v>
      </c>
      <c r="U877" s="3">
        <v>139.00130000000001</v>
      </c>
      <c r="V877" s="3">
        <v>0</v>
      </c>
      <c r="W877" s="3" t="s">
        <v>1</v>
      </c>
    </row>
    <row r="878" spans="5:23" hidden="1" x14ac:dyDescent="0.25">
      <c r="E878" t="s">
        <v>8608</v>
      </c>
      <c r="F878" s="1" t="s">
        <v>8700</v>
      </c>
      <c r="G878" t="s">
        <v>1</v>
      </c>
      <c r="H878" t="s">
        <v>0</v>
      </c>
      <c r="I878" t="s">
        <v>8165</v>
      </c>
      <c r="J878" t="s">
        <v>8164</v>
      </c>
      <c r="K878">
        <v>13029</v>
      </c>
      <c r="L878">
        <v>13029</v>
      </c>
      <c r="M878" t="s">
        <v>8456</v>
      </c>
      <c r="N878" t="s">
        <v>8457</v>
      </c>
      <c r="O878" s="3">
        <v>0</v>
      </c>
      <c r="P878" s="3">
        <v>0</v>
      </c>
      <c r="Q878" s="3">
        <v>153.76</v>
      </c>
      <c r="R878" s="3">
        <v>19.988800000000001</v>
      </c>
      <c r="S878" s="3">
        <v>0</v>
      </c>
      <c r="T878" s="3">
        <v>0</v>
      </c>
      <c r="U878" s="3">
        <v>173.74879999999999</v>
      </c>
      <c r="V878" s="3">
        <v>0</v>
      </c>
      <c r="W878" s="3" t="s">
        <v>1</v>
      </c>
    </row>
    <row r="879" spans="5:23" hidden="1" x14ac:dyDescent="0.25">
      <c r="E879" t="s">
        <v>8608</v>
      </c>
      <c r="F879" s="1" t="s">
        <v>8700</v>
      </c>
      <c r="G879" t="s">
        <v>1</v>
      </c>
      <c r="H879" t="s">
        <v>0</v>
      </c>
      <c r="I879" t="s">
        <v>8165</v>
      </c>
      <c r="J879" t="s">
        <v>8164</v>
      </c>
      <c r="K879">
        <v>13030</v>
      </c>
      <c r="L879">
        <v>13030</v>
      </c>
      <c r="M879" t="s">
        <v>8551</v>
      </c>
      <c r="N879" t="s">
        <v>8552</v>
      </c>
      <c r="O879" s="3">
        <v>0</v>
      </c>
      <c r="P879" s="3">
        <v>0</v>
      </c>
      <c r="Q879" s="3">
        <v>36.9</v>
      </c>
      <c r="R879" s="3">
        <v>4.7969999999999997</v>
      </c>
      <c r="S879" s="3">
        <v>0</v>
      </c>
      <c r="T879" s="3">
        <v>0</v>
      </c>
      <c r="U879" s="3">
        <v>41.696999999999996</v>
      </c>
      <c r="V879" s="3">
        <v>0</v>
      </c>
      <c r="W879" s="3" t="s">
        <v>1</v>
      </c>
    </row>
    <row r="880" spans="5:23" hidden="1" x14ac:dyDescent="0.25">
      <c r="E880" t="s">
        <v>8608</v>
      </c>
      <c r="F880" s="1" t="s">
        <v>8700</v>
      </c>
      <c r="G880" t="s">
        <v>1</v>
      </c>
      <c r="H880" t="s">
        <v>0</v>
      </c>
      <c r="I880" t="s">
        <v>8165</v>
      </c>
      <c r="J880" t="s">
        <v>8164</v>
      </c>
      <c r="K880">
        <v>13031</v>
      </c>
      <c r="L880">
        <v>13031</v>
      </c>
      <c r="M880">
        <v>0</v>
      </c>
      <c r="N880" t="s">
        <v>8169</v>
      </c>
      <c r="O880" s="3">
        <v>0</v>
      </c>
      <c r="P880" s="3">
        <v>0</v>
      </c>
      <c r="Q880" s="3">
        <v>116.88</v>
      </c>
      <c r="R880" s="3">
        <v>15.1944</v>
      </c>
      <c r="S880" s="3">
        <v>0</v>
      </c>
      <c r="T880" s="3">
        <v>0</v>
      </c>
      <c r="U880" s="3">
        <v>132.0744</v>
      </c>
      <c r="V880" s="3" t="s">
        <v>8646</v>
      </c>
      <c r="W880" s="3" t="s">
        <v>1</v>
      </c>
    </row>
    <row r="881" spans="5:23" hidden="1" x14ac:dyDescent="0.25">
      <c r="E881" t="s">
        <v>8608</v>
      </c>
      <c r="F881" s="1" t="s">
        <v>8700</v>
      </c>
      <c r="G881" t="s">
        <v>1</v>
      </c>
      <c r="H881" t="s">
        <v>0</v>
      </c>
      <c r="I881" t="s">
        <v>8165</v>
      </c>
      <c r="J881" t="s">
        <v>8164</v>
      </c>
      <c r="K881">
        <v>13032</v>
      </c>
      <c r="L881">
        <v>13032</v>
      </c>
      <c r="M881" t="s">
        <v>1394</v>
      </c>
      <c r="N881" t="s">
        <v>1395</v>
      </c>
      <c r="O881" s="3">
        <v>0</v>
      </c>
      <c r="P881" s="3">
        <v>0</v>
      </c>
      <c r="Q881" s="3">
        <v>41</v>
      </c>
      <c r="R881" s="3">
        <v>5.33</v>
      </c>
      <c r="S881" s="3">
        <v>0</v>
      </c>
      <c r="T881" s="3">
        <v>0</v>
      </c>
      <c r="U881" s="3">
        <v>46.33</v>
      </c>
      <c r="V881" s="3">
        <v>0</v>
      </c>
      <c r="W881" s="3" t="s">
        <v>1</v>
      </c>
    </row>
    <row r="882" spans="5:23" hidden="1" x14ac:dyDescent="0.25">
      <c r="E882" t="s">
        <v>8608</v>
      </c>
      <c r="F882" s="1" t="s">
        <v>8700</v>
      </c>
      <c r="G882" t="s">
        <v>1</v>
      </c>
      <c r="H882" t="s">
        <v>0</v>
      </c>
      <c r="I882" t="s">
        <v>8165</v>
      </c>
      <c r="J882" t="s">
        <v>8164</v>
      </c>
      <c r="K882">
        <v>13033</v>
      </c>
      <c r="L882">
        <v>13033</v>
      </c>
      <c r="M882" t="s">
        <v>7852</v>
      </c>
      <c r="N882" t="s">
        <v>7851</v>
      </c>
      <c r="O882" s="3">
        <v>0</v>
      </c>
      <c r="P882" s="3">
        <v>0</v>
      </c>
      <c r="Q882" s="3">
        <v>0</v>
      </c>
      <c r="R882" s="3">
        <v>0</v>
      </c>
      <c r="S882" s="3">
        <v>0</v>
      </c>
      <c r="T882" s="3">
        <v>0</v>
      </c>
      <c r="U882" s="3">
        <v>0</v>
      </c>
      <c r="V882" s="3">
        <v>0</v>
      </c>
      <c r="W882" s="3" t="s">
        <v>1</v>
      </c>
    </row>
    <row r="883" spans="5:23" hidden="1" x14ac:dyDescent="0.25">
      <c r="E883" t="s">
        <v>8608</v>
      </c>
      <c r="F883" s="1" t="s">
        <v>8700</v>
      </c>
      <c r="G883" t="s">
        <v>1</v>
      </c>
      <c r="H883" t="s">
        <v>0</v>
      </c>
      <c r="I883" t="s">
        <v>8165</v>
      </c>
      <c r="J883" t="s">
        <v>8164</v>
      </c>
      <c r="K883">
        <v>13034</v>
      </c>
      <c r="L883">
        <v>13034</v>
      </c>
      <c r="M883" t="s">
        <v>8555</v>
      </c>
      <c r="N883" t="s">
        <v>8556</v>
      </c>
      <c r="O883" s="3">
        <v>0</v>
      </c>
      <c r="P883" s="3">
        <v>0</v>
      </c>
      <c r="Q883" s="3">
        <v>61.5</v>
      </c>
      <c r="R883" s="3">
        <v>7.9950000000000001</v>
      </c>
      <c r="S883" s="3">
        <v>0</v>
      </c>
      <c r="T883" s="3">
        <v>0</v>
      </c>
      <c r="U883" s="3">
        <v>69.495000000000005</v>
      </c>
      <c r="V883" s="3">
        <v>0</v>
      </c>
      <c r="W883" s="3" t="s">
        <v>1</v>
      </c>
    </row>
    <row r="884" spans="5:23" hidden="1" x14ac:dyDescent="0.25">
      <c r="E884" t="s">
        <v>8608</v>
      </c>
      <c r="F884" s="1" t="s">
        <v>8700</v>
      </c>
      <c r="G884" t="s">
        <v>1</v>
      </c>
      <c r="H884" t="s">
        <v>0</v>
      </c>
      <c r="I884" t="s">
        <v>8165</v>
      </c>
      <c r="J884" t="s">
        <v>8164</v>
      </c>
      <c r="K884">
        <v>13035</v>
      </c>
      <c r="L884">
        <v>13035</v>
      </c>
      <c r="M884" t="s">
        <v>8302</v>
      </c>
      <c r="N884" t="s">
        <v>8303</v>
      </c>
      <c r="O884" s="3">
        <v>0</v>
      </c>
      <c r="P884" s="3">
        <v>0</v>
      </c>
      <c r="Q884" s="3">
        <v>154.5</v>
      </c>
      <c r="R884" s="3">
        <v>20.085000000000001</v>
      </c>
      <c r="S884" s="3">
        <v>0</v>
      </c>
      <c r="T884" s="3">
        <v>0</v>
      </c>
      <c r="U884" s="3">
        <v>174.58500000000001</v>
      </c>
      <c r="V884" s="3">
        <v>0</v>
      </c>
      <c r="W884" s="3" t="s">
        <v>1</v>
      </c>
    </row>
    <row r="885" spans="5:23" hidden="1" x14ac:dyDescent="0.25">
      <c r="E885" t="s">
        <v>8608</v>
      </c>
      <c r="F885" s="1" t="s">
        <v>8700</v>
      </c>
      <c r="G885" t="s">
        <v>1</v>
      </c>
      <c r="H885" t="s">
        <v>0</v>
      </c>
      <c r="I885" t="s">
        <v>8165</v>
      </c>
      <c r="J885" t="s">
        <v>8164</v>
      </c>
      <c r="K885">
        <v>13036</v>
      </c>
      <c r="L885">
        <v>13036</v>
      </c>
      <c r="M885" t="s">
        <v>8269</v>
      </c>
      <c r="N885" t="s">
        <v>8270</v>
      </c>
      <c r="O885" s="3">
        <v>0</v>
      </c>
      <c r="P885" s="3">
        <v>0</v>
      </c>
      <c r="Q885" s="3">
        <v>28.75</v>
      </c>
      <c r="R885" s="3">
        <v>3.7375000000000003</v>
      </c>
      <c r="S885" s="3">
        <v>0</v>
      </c>
      <c r="T885" s="3">
        <v>0</v>
      </c>
      <c r="U885" s="3">
        <v>32.487499999999997</v>
      </c>
      <c r="V885" s="3">
        <v>0</v>
      </c>
      <c r="W885" s="3" t="s">
        <v>1</v>
      </c>
    </row>
    <row r="886" spans="5:23" hidden="1" x14ac:dyDescent="0.25">
      <c r="E886" t="s">
        <v>8608</v>
      </c>
      <c r="F886" s="1" t="s">
        <v>8700</v>
      </c>
      <c r="G886" t="s">
        <v>1</v>
      </c>
      <c r="H886" t="s">
        <v>0</v>
      </c>
      <c r="I886" t="s">
        <v>8165</v>
      </c>
      <c r="J886" t="s">
        <v>8164</v>
      </c>
      <c r="K886">
        <v>13037</v>
      </c>
      <c r="L886">
        <v>13037</v>
      </c>
      <c r="M886" t="s">
        <v>8263</v>
      </c>
      <c r="N886" t="s">
        <v>8264</v>
      </c>
      <c r="O886" s="3">
        <v>0</v>
      </c>
      <c r="P886" s="3">
        <v>0</v>
      </c>
      <c r="Q886" s="3">
        <v>35.69</v>
      </c>
      <c r="R886" s="3">
        <v>4.6396999999999995</v>
      </c>
      <c r="S886" s="3">
        <v>0</v>
      </c>
      <c r="T886" s="3">
        <v>0</v>
      </c>
      <c r="U886" s="3">
        <v>40.329699999999995</v>
      </c>
      <c r="V886" s="3">
        <v>0</v>
      </c>
      <c r="W886" s="3" t="s">
        <v>1</v>
      </c>
    </row>
    <row r="887" spans="5:23" hidden="1" x14ac:dyDescent="0.25">
      <c r="E887" t="s">
        <v>8608</v>
      </c>
      <c r="F887" s="1" t="s">
        <v>8700</v>
      </c>
      <c r="G887" t="s">
        <v>1</v>
      </c>
      <c r="H887" t="s">
        <v>0</v>
      </c>
      <c r="I887" t="s">
        <v>8165</v>
      </c>
      <c r="J887" t="s">
        <v>8164</v>
      </c>
      <c r="K887">
        <v>13038</v>
      </c>
      <c r="L887">
        <v>13038</v>
      </c>
      <c r="M887" t="s">
        <v>8391</v>
      </c>
      <c r="N887" t="s">
        <v>8392</v>
      </c>
      <c r="O887" s="3">
        <v>0</v>
      </c>
      <c r="P887" s="3">
        <v>0</v>
      </c>
      <c r="Q887" s="3">
        <v>123.01</v>
      </c>
      <c r="R887" s="3">
        <v>15.991300000000001</v>
      </c>
      <c r="S887" s="3">
        <v>0</v>
      </c>
      <c r="T887" s="3">
        <v>0</v>
      </c>
      <c r="U887" s="3">
        <v>139.00130000000001</v>
      </c>
      <c r="V887" s="3">
        <v>0</v>
      </c>
      <c r="W887" s="3" t="s">
        <v>1</v>
      </c>
    </row>
    <row r="888" spans="5:23" hidden="1" x14ac:dyDescent="0.25">
      <c r="E888" t="s">
        <v>8608</v>
      </c>
      <c r="F888" s="1" t="s">
        <v>8700</v>
      </c>
      <c r="G888" t="s">
        <v>1</v>
      </c>
      <c r="H888" t="s">
        <v>0</v>
      </c>
      <c r="I888" t="s">
        <v>8165</v>
      </c>
      <c r="J888" t="s">
        <v>8164</v>
      </c>
      <c r="K888">
        <v>13039</v>
      </c>
      <c r="L888">
        <v>13039</v>
      </c>
      <c r="M888" t="s">
        <v>440</v>
      </c>
      <c r="N888" t="s">
        <v>441</v>
      </c>
      <c r="O888" s="3">
        <v>0</v>
      </c>
      <c r="P888" s="3">
        <v>0</v>
      </c>
      <c r="Q888" s="3">
        <v>92.88</v>
      </c>
      <c r="R888" s="3">
        <v>12.074400000000001</v>
      </c>
      <c r="S888" s="3">
        <v>0</v>
      </c>
      <c r="T888" s="3">
        <v>0</v>
      </c>
      <c r="U888" s="3">
        <v>104.95439999999999</v>
      </c>
      <c r="V888" s="3">
        <v>0</v>
      </c>
      <c r="W888" s="3" t="s">
        <v>1</v>
      </c>
    </row>
    <row r="889" spans="5:23" hidden="1" x14ac:dyDescent="0.25">
      <c r="E889" t="s">
        <v>8608</v>
      </c>
      <c r="F889" s="1" t="s">
        <v>8700</v>
      </c>
      <c r="G889" t="s">
        <v>1</v>
      </c>
      <c r="H889" t="s">
        <v>0</v>
      </c>
      <c r="I889" t="s">
        <v>8165</v>
      </c>
      <c r="J889" t="s">
        <v>8164</v>
      </c>
      <c r="K889">
        <v>13040</v>
      </c>
      <c r="L889">
        <v>13040</v>
      </c>
      <c r="M889" t="s">
        <v>238</v>
      </c>
      <c r="N889" t="s">
        <v>239</v>
      </c>
      <c r="O889" s="3">
        <v>0</v>
      </c>
      <c r="P889" s="3">
        <v>0</v>
      </c>
      <c r="Q889" s="3">
        <v>139.13999999999999</v>
      </c>
      <c r="R889" s="3">
        <v>18.088200000000001</v>
      </c>
      <c r="S889" s="3">
        <v>0</v>
      </c>
      <c r="T889" s="3">
        <v>0</v>
      </c>
      <c r="U889" s="3">
        <v>157.22819999999999</v>
      </c>
      <c r="V889" s="3">
        <v>0</v>
      </c>
      <c r="W889" s="3" t="s">
        <v>1</v>
      </c>
    </row>
    <row r="890" spans="5:23" hidden="1" x14ac:dyDescent="0.25">
      <c r="E890" t="s">
        <v>8608</v>
      </c>
      <c r="F890" s="1" t="s">
        <v>8700</v>
      </c>
      <c r="G890" t="s">
        <v>1</v>
      </c>
      <c r="H890" t="s">
        <v>0</v>
      </c>
      <c r="I890" t="s">
        <v>8165</v>
      </c>
      <c r="J890" t="s">
        <v>8164</v>
      </c>
      <c r="K890">
        <v>13041</v>
      </c>
      <c r="L890">
        <v>13041</v>
      </c>
      <c r="M890" t="s">
        <v>8166</v>
      </c>
      <c r="N890" t="s">
        <v>8167</v>
      </c>
      <c r="O890" s="3">
        <v>0</v>
      </c>
      <c r="P890" s="3">
        <v>0</v>
      </c>
      <c r="Q890" s="3">
        <v>475.8</v>
      </c>
      <c r="R890" s="3">
        <v>61.854000000000006</v>
      </c>
      <c r="S890" s="3">
        <v>0</v>
      </c>
      <c r="T890" s="3">
        <v>0</v>
      </c>
      <c r="U890" s="3">
        <v>537.654</v>
      </c>
      <c r="V890" s="3">
        <v>0</v>
      </c>
      <c r="W890" s="3" t="s">
        <v>1</v>
      </c>
    </row>
    <row r="891" spans="5:23" hidden="1" x14ac:dyDescent="0.25">
      <c r="E891" t="s">
        <v>8608</v>
      </c>
      <c r="F891" s="1" t="s">
        <v>8700</v>
      </c>
      <c r="G891" t="s">
        <v>1</v>
      </c>
      <c r="H891" t="s">
        <v>0</v>
      </c>
      <c r="I891" t="s">
        <v>8165</v>
      </c>
      <c r="J891" t="s">
        <v>8164</v>
      </c>
      <c r="K891">
        <v>13042</v>
      </c>
      <c r="L891">
        <v>13042</v>
      </c>
      <c r="M891" t="s">
        <v>8226</v>
      </c>
      <c r="N891" t="s">
        <v>8227</v>
      </c>
      <c r="O891" s="3">
        <v>0</v>
      </c>
      <c r="P891" s="3">
        <v>0</v>
      </c>
      <c r="Q891" s="3">
        <v>241.86</v>
      </c>
      <c r="R891" s="3">
        <v>31.441800000000004</v>
      </c>
      <c r="S891" s="3">
        <v>0</v>
      </c>
      <c r="T891" s="3">
        <v>0</v>
      </c>
      <c r="U891" s="3">
        <v>273.30180000000001</v>
      </c>
      <c r="V891" s="3">
        <v>0</v>
      </c>
      <c r="W891" s="3" t="s">
        <v>1</v>
      </c>
    </row>
    <row r="892" spans="5:23" hidden="1" x14ac:dyDescent="0.25">
      <c r="E892" t="s">
        <v>8608</v>
      </c>
      <c r="F892" s="1" t="s">
        <v>8699</v>
      </c>
      <c r="G892" t="s">
        <v>1</v>
      </c>
      <c r="H892" t="s">
        <v>0</v>
      </c>
      <c r="I892" t="s">
        <v>8165</v>
      </c>
      <c r="J892" t="s">
        <v>8164</v>
      </c>
      <c r="K892">
        <v>13043</v>
      </c>
      <c r="L892">
        <v>13043</v>
      </c>
      <c r="M892">
        <v>0</v>
      </c>
      <c r="N892" t="s">
        <v>8208</v>
      </c>
      <c r="O892" s="3">
        <v>0</v>
      </c>
      <c r="P892" s="3">
        <v>0</v>
      </c>
      <c r="Q892" s="3">
        <v>40.200000000000003</v>
      </c>
      <c r="R892" s="3">
        <v>5.2260000000000009</v>
      </c>
      <c r="S892" s="3">
        <v>0</v>
      </c>
      <c r="T892" s="3">
        <v>0</v>
      </c>
      <c r="U892" s="3">
        <v>45.426000000000002</v>
      </c>
      <c r="V892" s="3" t="s">
        <v>8650</v>
      </c>
      <c r="W892" s="3" t="s">
        <v>1</v>
      </c>
    </row>
    <row r="893" spans="5:23" hidden="1" x14ac:dyDescent="0.25">
      <c r="E893" t="s">
        <v>8608</v>
      </c>
      <c r="F893" s="1" t="s">
        <v>8699</v>
      </c>
      <c r="G893" t="s">
        <v>1</v>
      </c>
      <c r="H893" t="s">
        <v>0</v>
      </c>
      <c r="I893" t="s">
        <v>8165</v>
      </c>
      <c r="J893" t="s">
        <v>8164</v>
      </c>
      <c r="K893">
        <v>13044</v>
      </c>
      <c r="L893">
        <v>13044</v>
      </c>
      <c r="M893" t="s">
        <v>8738</v>
      </c>
      <c r="N893" t="s">
        <v>8739</v>
      </c>
      <c r="O893" s="3">
        <v>0</v>
      </c>
      <c r="P893" s="3">
        <v>0</v>
      </c>
      <c r="Q893" s="3">
        <v>61.5</v>
      </c>
      <c r="R893" s="3">
        <v>7.9950000000000001</v>
      </c>
      <c r="S893" s="3">
        <v>0</v>
      </c>
      <c r="T893" s="3">
        <v>0</v>
      </c>
      <c r="U893" s="3">
        <v>69.495000000000005</v>
      </c>
      <c r="V893" s="3">
        <v>0</v>
      </c>
      <c r="W893" s="3" t="s">
        <v>1</v>
      </c>
    </row>
    <row r="894" spans="5:23" hidden="1" x14ac:dyDescent="0.25">
      <c r="E894" t="s">
        <v>8608</v>
      </c>
      <c r="F894" s="1" t="s">
        <v>8699</v>
      </c>
      <c r="G894" t="s">
        <v>1</v>
      </c>
      <c r="H894" t="s">
        <v>0</v>
      </c>
      <c r="I894" t="s">
        <v>8165</v>
      </c>
      <c r="J894" t="s">
        <v>8164</v>
      </c>
      <c r="K894">
        <v>13045</v>
      </c>
      <c r="L894">
        <v>13045</v>
      </c>
      <c r="M894">
        <v>0</v>
      </c>
      <c r="N894" t="s">
        <v>8219</v>
      </c>
      <c r="O894" s="3">
        <v>0</v>
      </c>
      <c r="P894" s="3">
        <v>0</v>
      </c>
      <c r="Q894" s="3">
        <v>521.03</v>
      </c>
      <c r="R894" s="3">
        <v>67.733900000000006</v>
      </c>
      <c r="S894" s="3">
        <v>0</v>
      </c>
      <c r="T894" s="3">
        <v>0</v>
      </c>
      <c r="U894" s="3">
        <v>588.76389999999992</v>
      </c>
      <c r="V894" s="3" t="s">
        <v>8636</v>
      </c>
      <c r="W894" s="3" t="s">
        <v>1</v>
      </c>
    </row>
    <row r="895" spans="5:23" hidden="1" x14ac:dyDescent="0.25">
      <c r="E895" t="s">
        <v>8608</v>
      </c>
      <c r="F895" s="1" t="s">
        <v>8699</v>
      </c>
      <c r="G895" t="s">
        <v>1</v>
      </c>
      <c r="H895" t="s">
        <v>0</v>
      </c>
      <c r="I895" t="s">
        <v>8165</v>
      </c>
      <c r="J895" t="s">
        <v>8164</v>
      </c>
      <c r="K895">
        <v>13046</v>
      </c>
      <c r="L895">
        <v>13046</v>
      </c>
      <c r="M895" t="s">
        <v>7852</v>
      </c>
      <c r="N895" t="s">
        <v>7851</v>
      </c>
      <c r="O895" s="3">
        <v>0</v>
      </c>
      <c r="P895" s="3">
        <v>0</v>
      </c>
      <c r="Q895" s="3">
        <v>0</v>
      </c>
      <c r="R895" s="3">
        <v>0</v>
      </c>
      <c r="S895" s="3">
        <v>0</v>
      </c>
      <c r="T895" s="3">
        <v>0</v>
      </c>
      <c r="U895" s="3">
        <v>0</v>
      </c>
      <c r="V895" s="3">
        <v>0</v>
      </c>
      <c r="W895" s="3" t="s">
        <v>1</v>
      </c>
    </row>
    <row r="896" spans="5:23" hidden="1" x14ac:dyDescent="0.25">
      <c r="E896" t="s">
        <v>8608</v>
      </c>
      <c r="F896" s="1" t="s">
        <v>8699</v>
      </c>
      <c r="G896" t="s">
        <v>1</v>
      </c>
      <c r="H896" t="s">
        <v>0</v>
      </c>
      <c r="I896" t="s">
        <v>8165</v>
      </c>
      <c r="J896" t="s">
        <v>8164</v>
      </c>
      <c r="K896">
        <v>13047</v>
      </c>
      <c r="L896">
        <v>13047</v>
      </c>
      <c r="M896" t="s">
        <v>8216</v>
      </c>
      <c r="N896" t="s">
        <v>8217</v>
      </c>
      <c r="O896" s="3">
        <v>0</v>
      </c>
      <c r="P896" s="3">
        <v>0</v>
      </c>
      <c r="Q896" s="3">
        <v>1183.78</v>
      </c>
      <c r="R896" s="3">
        <v>153.8914</v>
      </c>
      <c r="S896" s="3">
        <v>0</v>
      </c>
      <c r="T896" s="3">
        <v>0</v>
      </c>
      <c r="U896" s="3">
        <v>1337.6713999999999</v>
      </c>
      <c r="V896" s="3">
        <v>0</v>
      </c>
      <c r="W896" s="3" t="s">
        <v>1</v>
      </c>
    </row>
    <row r="897" spans="5:23" hidden="1" x14ac:dyDescent="0.25">
      <c r="E897" t="s">
        <v>8608</v>
      </c>
      <c r="F897" s="1" t="s">
        <v>8699</v>
      </c>
      <c r="G897" t="s">
        <v>1</v>
      </c>
      <c r="H897" t="s">
        <v>0</v>
      </c>
      <c r="I897" t="s">
        <v>8165</v>
      </c>
      <c r="J897" t="s">
        <v>8164</v>
      </c>
      <c r="K897">
        <v>13048</v>
      </c>
      <c r="L897">
        <v>13048</v>
      </c>
      <c r="M897" t="s">
        <v>8269</v>
      </c>
      <c r="N897" t="s">
        <v>8270</v>
      </c>
      <c r="O897" s="3">
        <v>0</v>
      </c>
      <c r="P897" s="3">
        <v>0</v>
      </c>
      <c r="Q897" s="3">
        <v>105.02</v>
      </c>
      <c r="R897" s="3">
        <v>13.6526</v>
      </c>
      <c r="S897" s="3">
        <v>0</v>
      </c>
      <c r="T897" s="3">
        <v>0</v>
      </c>
      <c r="U897" s="3">
        <v>118.67259999999999</v>
      </c>
      <c r="V897" s="3">
        <v>0</v>
      </c>
      <c r="W897" s="3" t="s">
        <v>1</v>
      </c>
    </row>
    <row r="898" spans="5:23" hidden="1" x14ac:dyDescent="0.25">
      <c r="E898" t="s">
        <v>8608</v>
      </c>
      <c r="F898" s="1" t="s">
        <v>8699</v>
      </c>
      <c r="G898" t="s">
        <v>1</v>
      </c>
      <c r="H898" t="s">
        <v>0</v>
      </c>
      <c r="I898" t="s">
        <v>8165</v>
      </c>
      <c r="J898" t="s">
        <v>8164</v>
      </c>
      <c r="K898">
        <v>13049</v>
      </c>
      <c r="L898">
        <v>13049</v>
      </c>
      <c r="M898">
        <v>0</v>
      </c>
      <c r="N898" t="s">
        <v>8229</v>
      </c>
      <c r="O898" s="3">
        <v>0</v>
      </c>
      <c r="P898" s="3">
        <v>0</v>
      </c>
      <c r="Q898" s="3">
        <v>37.130000000000003</v>
      </c>
      <c r="R898" s="3">
        <v>4.8269000000000002</v>
      </c>
      <c r="S898" s="3">
        <v>0</v>
      </c>
      <c r="T898" s="3">
        <v>0</v>
      </c>
      <c r="U898" s="3">
        <v>41.956900000000005</v>
      </c>
      <c r="V898" s="3" t="s">
        <v>8719</v>
      </c>
      <c r="W898" s="3" t="s">
        <v>1</v>
      </c>
    </row>
    <row r="899" spans="5:23" hidden="1" x14ac:dyDescent="0.25">
      <c r="E899" t="s">
        <v>8608</v>
      </c>
      <c r="F899" s="1" t="s">
        <v>8699</v>
      </c>
      <c r="G899" t="s">
        <v>1</v>
      </c>
      <c r="H899" t="s">
        <v>0</v>
      </c>
      <c r="I899" t="s">
        <v>8165</v>
      </c>
      <c r="J899" t="s">
        <v>8164</v>
      </c>
      <c r="K899">
        <v>13050</v>
      </c>
      <c r="L899">
        <v>13050</v>
      </c>
      <c r="M899" t="s">
        <v>7869</v>
      </c>
      <c r="N899" t="s">
        <v>7870</v>
      </c>
      <c r="O899" s="3">
        <v>0</v>
      </c>
      <c r="P899" s="3">
        <v>0</v>
      </c>
      <c r="Q899" s="3">
        <v>321.20999999999998</v>
      </c>
      <c r="R899" s="3">
        <v>41.757300000000001</v>
      </c>
      <c r="S899" s="3">
        <v>0</v>
      </c>
      <c r="T899" s="3">
        <v>0</v>
      </c>
      <c r="U899" s="3">
        <v>362.96729999999997</v>
      </c>
      <c r="V899" s="3">
        <v>0</v>
      </c>
      <c r="W899" s="3" t="s">
        <v>1</v>
      </c>
    </row>
    <row r="900" spans="5:23" hidden="1" x14ac:dyDescent="0.25">
      <c r="E900" t="s">
        <v>8608</v>
      </c>
      <c r="F900" s="1" t="s">
        <v>8699</v>
      </c>
      <c r="G900" t="s">
        <v>1</v>
      </c>
      <c r="H900" t="s">
        <v>0</v>
      </c>
      <c r="I900" t="s">
        <v>8165</v>
      </c>
      <c r="J900" t="s">
        <v>8164</v>
      </c>
      <c r="K900">
        <v>13051</v>
      </c>
      <c r="L900">
        <v>13051</v>
      </c>
      <c r="M900" t="s">
        <v>8259</v>
      </c>
      <c r="N900" t="s">
        <v>8260</v>
      </c>
      <c r="O900" s="3">
        <v>0</v>
      </c>
      <c r="P900" s="3">
        <v>0</v>
      </c>
      <c r="Q900" s="3">
        <v>78.33</v>
      </c>
      <c r="R900" s="3">
        <v>10.1829</v>
      </c>
      <c r="S900" s="3">
        <v>0</v>
      </c>
      <c r="T900" s="3">
        <v>0</v>
      </c>
      <c r="U900" s="3">
        <v>88.512900000000002</v>
      </c>
      <c r="V900" s="3">
        <v>0</v>
      </c>
      <c r="W900" s="3" t="s">
        <v>1</v>
      </c>
    </row>
    <row r="901" spans="5:23" hidden="1" x14ac:dyDescent="0.25">
      <c r="E901" t="s">
        <v>8608</v>
      </c>
      <c r="F901" s="1" t="s">
        <v>8699</v>
      </c>
      <c r="G901" t="s">
        <v>1</v>
      </c>
      <c r="H901" t="s">
        <v>0</v>
      </c>
      <c r="I901" t="s">
        <v>8165</v>
      </c>
      <c r="J901" t="s">
        <v>8164</v>
      </c>
      <c r="K901">
        <v>13052</v>
      </c>
      <c r="L901">
        <v>13052</v>
      </c>
      <c r="M901" t="s">
        <v>8259</v>
      </c>
      <c r="N901" t="s">
        <v>8260</v>
      </c>
      <c r="O901" s="3">
        <v>0</v>
      </c>
      <c r="P901" s="3">
        <v>0</v>
      </c>
      <c r="Q901" s="3">
        <v>121.79</v>
      </c>
      <c r="R901" s="3">
        <v>15.832700000000001</v>
      </c>
      <c r="S901" s="3">
        <v>0</v>
      </c>
      <c r="T901" s="3">
        <v>0</v>
      </c>
      <c r="U901" s="3">
        <v>137.62270000000001</v>
      </c>
      <c r="V901" s="3">
        <v>0</v>
      </c>
      <c r="W901" s="3" t="s">
        <v>1</v>
      </c>
    </row>
    <row r="902" spans="5:23" hidden="1" x14ac:dyDescent="0.25">
      <c r="E902" t="s">
        <v>8608</v>
      </c>
      <c r="F902" s="1" t="s">
        <v>8699</v>
      </c>
      <c r="G902" t="s">
        <v>1</v>
      </c>
      <c r="H902" t="s">
        <v>0</v>
      </c>
      <c r="I902" t="s">
        <v>8165</v>
      </c>
      <c r="J902" t="s">
        <v>8164</v>
      </c>
      <c r="K902">
        <v>13053</v>
      </c>
      <c r="L902">
        <v>13053</v>
      </c>
      <c r="M902" t="s">
        <v>7852</v>
      </c>
      <c r="N902" t="s">
        <v>7851</v>
      </c>
      <c r="O902" s="3">
        <v>0</v>
      </c>
      <c r="P902" s="3">
        <v>0</v>
      </c>
      <c r="Q902" s="3">
        <v>0</v>
      </c>
      <c r="R902" s="3">
        <v>0</v>
      </c>
      <c r="S902" s="3">
        <v>0</v>
      </c>
      <c r="T902" s="3">
        <v>0</v>
      </c>
      <c r="U902" s="3">
        <v>0</v>
      </c>
      <c r="V902" s="3">
        <v>0</v>
      </c>
      <c r="W902" s="3" t="s">
        <v>1</v>
      </c>
    </row>
    <row r="903" spans="5:23" hidden="1" x14ac:dyDescent="0.25">
      <c r="E903" t="s">
        <v>8608</v>
      </c>
      <c r="F903" s="1" t="s">
        <v>8699</v>
      </c>
      <c r="G903" t="s">
        <v>1</v>
      </c>
      <c r="H903" t="s">
        <v>0</v>
      </c>
      <c r="I903" t="s">
        <v>8165</v>
      </c>
      <c r="J903" t="s">
        <v>8164</v>
      </c>
      <c r="K903">
        <v>13054</v>
      </c>
      <c r="L903">
        <v>13054</v>
      </c>
      <c r="M903" t="s">
        <v>436</v>
      </c>
      <c r="N903" t="s">
        <v>437</v>
      </c>
      <c r="O903" s="3">
        <v>0</v>
      </c>
      <c r="P903" s="3">
        <v>0</v>
      </c>
      <c r="Q903" s="3">
        <v>99</v>
      </c>
      <c r="R903" s="3">
        <v>12.870000000000001</v>
      </c>
      <c r="S903" s="3">
        <v>0</v>
      </c>
      <c r="T903" s="3">
        <v>0</v>
      </c>
      <c r="U903" s="3">
        <v>111.87</v>
      </c>
      <c r="V903" s="3">
        <v>0</v>
      </c>
      <c r="W903" s="3" t="s">
        <v>1</v>
      </c>
    </row>
    <row r="904" spans="5:23" hidden="1" x14ac:dyDescent="0.25">
      <c r="E904" t="s">
        <v>8608</v>
      </c>
      <c r="F904" s="1" t="s">
        <v>8698</v>
      </c>
      <c r="G904" t="s">
        <v>1</v>
      </c>
      <c r="H904" t="s">
        <v>0</v>
      </c>
      <c r="I904" t="s">
        <v>8165</v>
      </c>
      <c r="J904" t="s">
        <v>8164</v>
      </c>
      <c r="K904">
        <v>13055</v>
      </c>
      <c r="L904">
        <v>13055</v>
      </c>
      <c r="M904" t="s">
        <v>7852</v>
      </c>
      <c r="N904" t="s">
        <v>7851</v>
      </c>
      <c r="O904" s="3">
        <v>0</v>
      </c>
      <c r="P904" s="3">
        <v>0</v>
      </c>
      <c r="Q904" s="3">
        <v>0</v>
      </c>
      <c r="R904" s="3">
        <v>0</v>
      </c>
      <c r="S904" s="3">
        <v>0</v>
      </c>
      <c r="T904" s="3">
        <v>0</v>
      </c>
      <c r="U904" s="3">
        <v>0</v>
      </c>
      <c r="V904" s="3">
        <v>0</v>
      </c>
      <c r="W904" s="3" t="s">
        <v>1</v>
      </c>
    </row>
    <row r="905" spans="5:23" hidden="1" x14ac:dyDescent="0.25">
      <c r="E905" t="s">
        <v>8608</v>
      </c>
      <c r="F905" s="1" t="s">
        <v>8698</v>
      </c>
      <c r="G905" t="s">
        <v>1</v>
      </c>
      <c r="H905" t="s">
        <v>0</v>
      </c>
      <c r="I905" t="s">
        <v>8165</v>
      </c>
      <c r="J905" t="s">
        <v>8164</v>
      </c>
      <c r="K905">
        <v>13056</v>
      </c>
      <c r="L905">
        <v>13056</v>
      </c>
      <c r="M905" t="s">
        <v>7852</v>
      </c>
      <c r="N905" t="s">
        <v>7851</v>
      </c>
      <c r="O905" s="3">
        <v>0</v>
      </c>
      <c r="P905" s="3">
        <v>0</v>
      </c>
      <c r="Q905" s="3">
        <v>0</v>
      </c>
      <c r="R905" s="3">
        <v>0</v>
      </c>
      <c r="S905" s="3">
        <v>0</v>
      </c>
      <c r="T905" s="3">
        <v>0</v>
      </c>
      <c r="U905" s="3">
        <v>0</v>
      </c>
      <c r="V905" s="3">
        <v>0</v>
      </c>
      <c r="W905" s="3" t="s">
        <v>1</v>
      </c>
    </row>
    <row r="906" spans="5:23" hidden="1" x14ac:dyDescent="0.25">
      <c r="E906" t="s">
        <v>8608</v>
      </c>
      <c r="F906" s="1" t="s">
        <v>8698</v>
      </c>
      <c r="G906" t="s">
        <v>1</v>
      </c>
      <c r="H906" t="s">
        <v>0</v>
      </c>
      <c r="I906" t="s">
        <v>8165</v>
      </c>
      <c r="J906" t="s">
        <v>8164</v>
      </c>
      <c r="K906">
        <v>13057</v>
      </c>
      <c r="L906">
        <v>13057</v>
      </c>
      <c r="M906" t="s">
        <v>7852</v>
      </c>
      <c r="N906" t="s">
        <v>7851</v>
      </c>
      <c r="O906" s="3">
        <v>0</v>
      </c>
      <c r="P906" s="3">
        <v>0</v>
      </c>
      <c r="Q906" s="3">
        <v>0</v>
      </c>
      <c r="R906" s="3">
        <v>0</v>
      </c>
      <c r="S906" s="3">
        <v>0</v>
      </c>
      <c r="T906" s="3">
        <v>0</v>
      </c>
      <c r="U906" s="3">
        <v>0</v>
      </c>
      <c r="V906" s="3">
        <v>0</v>
      </c>
      <c r="W906" s="3" t="s">
        <v>1</v>
      </c>
    </row>
    <row r="907" spans="5:23" hidden="1" x14ac:dyDescent="0.25">
      <c r="E907" t="s">
        <v>8608</v>
      </c>
      <c r="F907" s="1" t="s">
        <v>8698</v>
      </c>
      <c r="G907" t="s">
        <v>1</v>
      </c>
      <c r="H907" t="s">
        <v>0</v>
      </c>
      <c r="I907" t="s">
        <v>8165</v>
      </c>
      <c r="J907" t="s">
        <v>8164</v>
      </c>
      <c r="K907">
        <v>13058</v>
      </c>
      <c r="L907">
        <v>13058</v>
      </c>
      <c r="M907" t="s">
        <v>8277</v>
      </c>
      <c r="N907" t="s">
        <v>8278</v>
      </c>
      <c r="O907" s="3">
        <v>0</v>
      </c>
      <c r="P907" s="3">
        <v>0</v>
      </c>
      <c r="Q907" s="3">
        <v>4.2</v>
      </c>
      <c r="R907" s="3">
        <v>0.54600000000000004</v>
      </c>
      <c r="S907" s="3">
        <v>0</v>
      </c>
      <c r="T907" s="3">
        <v>0</v>
      </c>
      <c r="U907" s="3">
        <v>4.7460000000000004</v>
      </c>
      <c r="V907" s="3">
        <v>0</v>
      </c>
      <c r="W907" s="3" t="s">
        <v>1</v>
      </c>
    </row>
    <row r="908" spans="5:23" hidden="1" x14ac:dyDescent="0.25">
      <c r="E908" t="s">
        <v>8608</v>
      </c>
      <c r="F908" s="1" t="s">
        <v>8698</v>
      </c>
      <c r="G908" t="s">
        <v>1</v>
      </c>
      <c r="H908" t="s">
        <v>0</v>
      </c>
      <c r="I908" t="s">
        <v>8165</v>
      </c>
      <c r="J908" t="s">
        <v>8164</v>
      </c>
      <c r="K908">
        <v>13059</v>
      </c>
      <c r="L908">
        <v>13059</v>
      </c>
      <c r="M908" t="s">
        <v>7852</v>
      </c>
      <c r="N908" t="s">
        <v>7851</v>
      </c>
      <c r="O908" s="3">
        <v>0</v>
      </c>
      <c r="P908" s="3">
        <v>0</v>
      </c>
      <c r="Q908" s="3">
        <v>0</v>
      </c>
      <c r="R908" s="3">
        <v>0</v>
      </c>
      <c r="S908" s="3">
        <v>0</v>
      </c>
      <c r="T908" s="3">
        <v>0</v>
      </c>
      <c r="U908" s="3">
        <v>0</v>
      </c>
      <c r="V908" s="3">
        <v>0</v>
      </c>
      <c r="W908" s="3" t="s">
        <v>1</v>
      </c>
    </row>
    <row r="909" spans="5:23" hidden="1" x14ac:dyDescent="0.25">
      <c r="E909" t="s">
        <v>8608</v>
      </c>
      <c r="F909" s="1" t="s">
        <v>8698</v>
      </c>
      <c r="G909" t="s">
        <v>1</v>
      </c>
      <c r="H909" t="s">
        <v>0</v>
      </c>
      <c r="I909" t="s">
        <v>8165</v>
      </c>
      <c r="J909" t="s">
        <v>8164</v>
      </c>
      <c r="K909">
        <v>13060</v>
      </c>
      <c r="L909">
        <v>13060</v>
      </c>
      <c r="M909" t="s">
        <v>8458</v>
      </c>
      <c r="N909" t="s">
        <v>8459</v>
      </c>
      <c r="O909" s="3">
        <v>0</v>
      </c>
      <c r="P909" s="3">
        <v>0</v>
      </c>
      <c r="Q909" s="3">
        <v>123</v>
      </c>
      <c r="R909" s="3">
        <v>15.99</v>
      </c>
      <c r="S909" s="3">
        <v>0</v>
      </c>
      <c r="T909" s="3">
        <v>0</v>
      </c>
      <c r="U909" s="3">
        <v>138.99</v>
      </c>
      <c r="V909" s="3">
        <v>0</v>
      </c>
      <c r="W909" s="3" t="s">
        <v>1</v>
      </c>
    </row>
    <row r="910" spans="5:23" hidden="1" x14ac:dyDescent="0.25">
      <c r="E910" t="s">
        <v>8608</v>
      </c>
      <c r="F910" s="1" t="s">
        <v>8698</v>
      </c>
      <c r="G910" t="s">
        <v>1</v>
      </c>
      <c r="H910" t="s">
        <v>0</v>
      </c>
      <c r="I910" t="s">
        <v>8165</v>
      </c>
      <c r="J910" t="s">
        <v>8164</v>
      </c>
      <c r="K910">
        <v>13061</v>
      </c>
      <c r="L910">
        <v>13061</v>
      </c>
      <c r="M910" t="s">
        <v>7852</v>
      </c>
      <c r="N910" t="s">
        <v>7851</v>
      </c>
      <c r="O910" s="3">
        <v>0</v>
      </c>
      <c r="P910" s="3">
        <v>0</v>
      </c>
      <c r="Q910" s="3">
        <v>0</v>
      </c>
      <c r="R910" s="3">
        <v>0</v>
      </c>
      <c r="S910" s="3">
        <v>0</v>
      </c>
      <c r="T910" s="3">
        <v>0</v>
      </c>
      <c r="U910" s="3">
        <v>0</v>
      </c>
      <c r="V910" s="3">
        <v>0</v>
      </c>
      <c r="W910" s="3" t="s">
        <v>1</v>
      </c>
    </row>
    <row r="911" spans="5:23" hidden="1" x14ac:dyDescent="0.25">
      <c r="E911" t="s">
        <v>8608</v>
      </c>
      <c r="F911" s="1" t="s">
        <v>8698</v>
      </c>
      <c r="G911" t="s">
        <v>1</v>
      </c>
      <c r="H911" t="s">
        <v>0</v>
      </c>
      <c r="I911" t="s">
        <v>8165</v>
      </c>
      <c r="J911" t="s">
        <v>8164</v>
      </c>
      <c r="K911">
        <v>13062</v>
      </c>
      <c r="L911">
        <v>13062</v>
      </c>
      <c r="M911">
        <v>0</v>
      </c>
      <c r="N911" t="s">
        <v>8235</v>
      </c>
      <c r="O911" s="3">
        <v>0</v>
      </c>
      <c r="P911" s="3">
        <v>0</v>
      </c>
      <c r="Q911" s="3">
        <v>133.91999999999999</v>
      </c>
      <c r="R911" s="3">
        <v>17.409599999999998</v>
      </c>
      <c r="S911" s="3">
        <v>0</v>
      </c>
      <c r="T911" s="3">
        <v>0</v>
      </c>
      <c r="U911" s="3">
        <v>151.32959999999997</v>
      </c>
      <c r="V911" t="s">
        <v>8718</v>
      </c>
      <c r="W911" s="3" t="s">
        <v>1</v>
      </c>
    </row>
    <row r="912" spans="5:23" hidden="1" x14ac:dyDescent="0.25">
      <c r="E912" t="s">
        <v>8608</v>
      </c>
      <c r="F912" s="1" t="s">
        <v>8698</v>
      </c>
      <c r="G912" t="s">
        <v>1</v>
      </c>
      <c r="H912" t="s">
        <v>0</v>
      </c>
      <c r="I912" t="s">
        <v>8165</v>
      </c>
      <c r="J912" t="s">
        <v>8164</v>
      </c>
      <c r="K912">
        <v>13063</v>
      </c>
      <c r="L912">
        <v>13063</v>
      </c>
      <c r="M912" t="s">
        <v>7852</v>
      </c>
      <c r="N912" t="s">
        <v>7851</v>
      </c>
      <c r="O912" s="3">
        <v>0</v>
      </c>
      <c r="P912" s="3">
        <v>0</v>
      </c>
      <c r="Q912" s="3">
        <v>0</v>
      </c>
      <c r="R912" s="3">
        <v>0</v>
      </c>
      <c r="S912" s="3">
        <v>0</v>
      </c>
      <c r="T912" s="3">
        <v>0</v>
      </c>
      <c r="U912" s="3">
        <v>0</v>
      </c>
      <c r="V912" s="3">
        <v>0</v>
      </c>
      <c r="W912" s="3" t="s">
        <v>1</v>
      </c>
    </row>
    <row r="913" spans="5:23" hidden="1" x14ac:dyDescent="0.25">
      <c r="E913" t="s">
        <v>8608</v>
      </c>
      <c r="F913" s="1" t="s">
        <v>8698</v>
      </c>
      <c r="G913" t="s">
        <v>1</v>
      </c>
      <c r="H913" t="s">
        <v>0</v>
      </c>
      <c r="I913" t="s">
        <v>8165</v>
      </c>
      <c r="J913" t="s">
        <v>8164</v>
      </c>
      <c r="K913">
        <v>13064</v>
      </c>
      <c r="L913">
        <v>13064</v>
      </c>
      <c r="M913" t="s">
        <v>8328</v>
      </c>
      <c r="N913" t="s">
        <v>8294</v>
      </c>
      <c r="O913" s="3">
        <v>0</v>
      </c>
      <c r="P913" s="3">
        <v>0</v>
      </c>
      <c r="Q913" s="3">
        <v>1413.01</v>
      </c>
      <c r="R913" s="3">
        <v>183.69130000000001</v>
      </c>
      <c r="S913" s="3">
        <v>0</v>
      </c>
      <c r="T913" s="3">
        <v>0</v>
      </c>
      <c r="U913" s="3">
        <v>1596.7012999999999</v>
      </c>
      <c r="V913" s="3">
        <v>0</v>
      </c>
      <c r="W913" s="3" t="s">
        <v>1</v>
      </c>
    </row>
    <row r="914" spans="5:23" hidden="1" x14ac:dyDescent="0.25">
      <c r="E914" t="s">
        <v>8608</v>
      </c>
      <c r="F914" s="1" t="s">
        <v>8697</v>
      </c>
      <c r="G914" t="s">
        <v>1</v>
      </c>
      <c r="H914" t="s">
        <v>0</v>
      </c>
      <c r="I914" t="s">
        <v>8165</v>
      </c>
      <c r="J914" t="s">
        <v>8164</v>
      </c>
      <c r="K914">
        <v>13065</v>
      </c>
      <c r="L914">
        <v>13065</v>
      </c>
      <c r="M914" t="s">
        <v>8176</v>
      </c>
      <c r="N914" t="s">
        <v>8177</v>
      </c>
      <c r="O914" s="3">
        <v>0</v>
      </c>
      <c r="P914" s="3">
        <v>0</v>
      </c>
      <c r="Q914" s="3">
        <v>7</v>
      </c>
      <c r="R914" s="3">
        <v>0.91</v>
      </c>
      <c r="S914" s="3">
        <v>0</v>
      </c>
      <c r="T914" s="3">
        <v>0</v>
      </c>
      <c r="U914" s="3">
        <v>7.91</v>
      </c>
      <c r="V914" s="3">
        <v>0</v>
      </c>
      <c r="W914" s="3" t="s">
        <v>1</v>
      </c>
    </row>
    <row r="915" spans="5:23" hidden="1" x14ac:dyDescent="0.25">
      <c r="E915" t="s">
        <v>8608</v>
      </c>
      <c r="F915" s="1" t="s">
        <v>8697</v>
      </c>
      <c r="G915" t="s">
        <v>1</v>
      </c>
      <c r="H915" t="s">
        <v>0</v>
      </c>
      <c r="I915" t="s">
        <v>8165</v>
      </c>
      <c r="J915" t="s">
        <v>8164</v>
      </c>
      <c r="K915">
        <v>13066</v>
      </c>
      <c r="L915">
        <v>13066</v>
      </c>
      <c r="M915" t="s">
        <v>936</v>
      </c>
      <c r="N915" t="s">
        <v>937</v>
      </c>
      <c r="O915" s="3">
        <v>0</v>
      </c>
      <c r="P915" s="3">
        <v>0</v>
      </c>
      <c r="Q915" s="3">
        <v>3.89</v>
      </c>
      <c r="R915" s="3">
        <v>0.50570000000000004</v>
      </c>
      <c r="S915" s="3">
        <v>0</v>
      </c>
      <c r="T915" s="3">
        <v>0</v>
      </c>
      <c r="U915" s="3">
        <v>4.3956999999999997</v>
      </c>
      <c r="V915" s="3">
        <v>0</v>
      </c>
      <c r="W915" s="3" t="s">
        <v>1</v>
      </c>
    </row>
    <row r="916" spans="5:23" hidden="1" x14ac:dyDescent="0.25">
      <c r="E916" t="s">
        <v>8608</v>
      </c>
      <c r="F916" s="1" t="s">
        <v>8697</v>
      </c>
      <c r="G916" t="s">
        <v>1</v>
      </c>
      <c r="H916" t="s">
        <v>0</v>
      </c>
      <c r="I916" t="s">
        <v>8165</v>
      </c>
      <c r="J916" t="s">
        <v>8164</v>
      </c>
      <c r="K916">
        <v>13067</v>
      </c>
      <c r="L916">
        <v>13067</v>
      </c>
      <c r="M916" t="s">
        <v>8255</v>
      </c>
      <c r="N916" t="s">
        <v>8256</v>
      </c>
      <c r="O916" s="3">
        <v>0</v>
      </c>
      <c r="P916" s="3">
        <v>0</v>
      </c>
      <c r="Q916" s="3">
        <v>148.5</v>
      </c>
      <c r="R916" s="3">
        <v>19.305</v>
      </c>
      <c r="S916" s="3">
        <v>0</v>
      </c>
      <c r="T916" s="3">
        <v>0</v>
      </c>
      <c r="U916" s="3">
        <v>167.80500000000001</v>
      </c>
      <c r="V916" s="3">
        <v>0</v>
      </c>
      <c r="W916" s="3" t="s">
        <v>1</v>
      </c>
    </row>
    <row r="917" spans="5:23" hidden="1" x14ac:dyDescent="0.25">
      <c r="E917" t="s">
        <v>8608</v>
      </c>
      <c r="F917" s="1" t="s">
        <v>8697</v>
      </c>
      <c r="G917" t="s">
        <v>1</v>
      </c>
      <c r="H917" t="s">
        <v>0</v>
      </c>
      <c r="I917" t="s">
        <v>8165</v>
      </c>
      <c r="J917" t="s">
        <v>8164</v>
      </c>
      <c r="K917">
        <v>13068</v>
      </c>
      <c r="L917">
        <v>13068</v>
      </c>
      <c r="M917" t="s">
        <v>8222</v>
      </c>
      <c r="N917" t="s">
        <v>8223</v>
      </c>
      <c r="O917" s="3">
        <v>0</v>
      </c>
      <c r="P917" s="3">
        <v>0</v>
      </c>
      <c r="Q917" s="3">
        <v>250</v>
      </c>
      <c r="R917" s="3">
        <v>32.5</v>
      </c>
      <c r="S917" s="3">
        <v>0</v>
      </c>
      <c r="T917" s="3">
        <v>0</v>
      </c>
      <c r="U917" s="3">
        <v>282.5</v>
      </c>
      <c r="V917" s="3">
        <v>0</v>
      </c>
      <c r="W917" s="3" t="s">
        <v>1</v>
      </c>
    </row>
    <row r="918" spans="5:23" hidden="1" x14ac:dyDescent="0.25">
      <c r="E918" t="s">
        <v>8608</v>
      </c>
      <c r="F918" s="1" t="s">
        <v>8697</v>
      </c>
      <c r="G918" t="s">
        <v>1</v>
      </c>
      <c r="H918" t="s">
        <v>0</v>
      </c>
      <c r="I918" t="s">
        <v>8165</v>
      </c>
      <c r="J918" t="s">
        <v>8164</v>
      </c>
      <c r="K918">
        <v>13068</v>
      </c>
      <c r="L918">
        <v>13068</v>
      </c>
      <c r="M918" t="s">
        <v>8222</v>
      </c>
      <c r="N918" t="s">
        <v>8223</v>
      </c>
      <c r="O918" s="3">
        <v>0</v>
      </c>
      <c r="P918" s="3">
        <v>0</v>
      </c>
      <c r="Q918" s="3">
        <v>250</v>
      </c>
      <c r="R918" s="3">
        <v>32.5</v>
      </c>
      <c r="S918" s="3">
        <v>0</v>
      </c>
      <c r="T918" s="3">
        <v>0</v>
      </c>
      <c r="U918" s="3">
        <v>282.5</v>
      </c>
      <c r="V918" s="3">
        <v>0</v>
      </c>
      <c r="W918" s="3" t="s">
        <v>1</v>
      </c>
    </row>
    <row r="919" spans="5:23" hidden="1" x14ac:dyDescent="0.25">
      <c r="E919" t="s">
        <v>8608</v>
      </c>
      <c r="F919" s="1" t="s">
        <v>8697</v>
      </c>
      <c r="G919" t="s">
        <v>1</v>
      </c>
      <c r="H919" t="s">
        <v>0</v>
      </c>
      <c r="I919" t="s">
        <v>8165</v>
      </c>
      <c r="J919" t="s">
        <v>8164</v>
      </c>
      <c r="K919">
        <v>13069</v>
      </c>
      <c r="L919">
        <v>13069</v>
      </c>
      <c r="M919" t="s">
        <v>8166</v>
      </c>
      <c r="N919" t="s">
        <v>8167</v>
      </c>
      <c r="O919" s="3">
        <v>0</v>
      </c>
      <c r="P919" s="3">
        <v>0</v>
      </c>
      <c r="Q919" s="3">
        <v>251</v>
      </c>
      <c r="R919" s="3">
        <v>32.630000000000003</v>
      </c>
      <c r="S919" s="3">
        <v>0</v>
      </c>
      <c r="T919" s="3">
        <v>0</v>
      </c>
      <c r="U919" s="3">
        <v>283.63</v>
      </c>
      <c r="V919" s="3">
        <v>0</v>
      </c>
      <c r="W919" s="3" t="s">
        <v>1</v>
      </c>
    </row>
    <row r="920" spans="5:23" hidden="1" x14ac:dyDescent="0.25">
      <c r="E920" t="s">
        <v>8608</v>
      </c>
      <c r="F920" s="1" t="s">
        <v>8697</v>
      </c>
      <c r="G920" t="s">
        <v>1</v>
      </c>
      <c r="H920" t="s">
        <v>0</v>
      </c>
      <c r="I920" t="s">
        <v>8165</v>
      </c>
      <c r="J920" t="s">
        <v>8164</v>
      </c>
      <c r="K920">
        <v>13070</v>
      </c>
      <c r="L920">
        <v>13070</v>
      </c>
      <c r="M920" t="s">
        <v>8734</v>
      </c>
      <c r="N920" t="s">
        <v>8735</v>
      </c>
      <c r="O920" s="3">
        <v>0</v>
      </c>
      <c r="P920" s="3">
        <v>0</v>
      </c>
      <c r="Q920" s="3">
        <v>212.39</v>
      </c>
      <c r="R920" s="3">
        <v>27.610699999999998</v>
      </c>
      <c r="S920" s="3">
        <v>0</v>
      </c>
      <c r="T920" s="3">
        <v>0</v>
      </c>
      <c r="U920" s="3">
        <v>240.00069999999999</v>
      </c>
      <c r="V920" s="3">
        <v>0</v>
      </c>
      <c r="W920" s="3" t="s">
        <v>1</v>
      </c>
    </row>
    <row r="921" spans="5:23" hidden="1" x14ac:dyDescent="0.25">
      <c r="E921" t="s">
        <v>8608</v>
      </c>
      <c r="F921" s="1" t="s">
        <v>8697</v>
      </c>
      <c r="G921" t="s">
        <v>1</v>
      </c>
      <c r="H921" t="s">
        <v>0</v>
      </c>
      <c r="I921" t="s">
        <v>8165</v>
      </c>
      <c r="J921" t="s">
        <v>8164</v>
      </c>
      <c r="K921">
        <v>13071</v>
      </c>
      <c r="L921">
        <v>13071</v>
      </c>
      <c r="M921" t="s">
        <v>129</v>
      </c>
      <c r="N921" t="s">
        <v>130</v>
      </c>
      <c r="O921" s="3">
        <v>0</v>
      </c>
      <c r="P921" s="3">
        <v>0</v>
      </c>
      <c r="Q921" s="3">
        <v>264</v>
      </c>
      <c r="R921" s="3">
        <v>34.32</v>
      </c>
      <c r="S921" s="3">
        <v>0</v>
      </c>
      <c r="T921" s="3">
        <v>0</v>
      </c>
      <c r="U921" s="3">
        <v>298.32</v>
      </c>
      <c r="V921" s="3">
        <v>0</v>
      </c>
      <c r="W921" s="3" t="s">
        <v>1</v>
      </c>
    </row>
    <row r="922" spans="5:23" hidden="1" x14ac:dyDescent="0.25">
      <c r="E922" t="s">
        <v>8608</v>
      </c>
      <c r="F922" s="1" t="s">
        <v>8697</v>
      </c>
      <c r="G922" t="s">
        <v>1</v>
      </c>
      <c r="H922" t="s">
        <v>0</v>
      </c>
      <c r="I922" t="s">
        <v>8165</v>
      </c>
      <c r="J922" t="s">
        <v>8164</v>
      </c>
      <c r="K922">
        <v>13072</v>
      </c>
      <c r="L922">
        <v>13072</v>
      </c>
      <c r="M922" t="s">
        <v>8322</v>
      </c>
      <c r="N922" t="s">
        <v>8323</v>
      </c>
      <c r="O922" s="3">
        <v>0</v>
      </c>
      <c r="P922" s="3">
        <v>0</v>
      </c>
      <c r="Q922" s="3">
        <v>114.63</v>
      </c>
      <c r="R922" s="3">
        <v>14.901899999999999</v>
      </c>
      <c r="S922" s="3">
        <v>0</v>
      </c>
      <c r="T922" s="3">
        <v>0</v>
      </c>
      <c r="U922" s="3">
        <v>129.53190000000001</v>
      </c>
      <c r="V922" s="3">
        <v>0</v>
      </c>
      <c r="W922" s="3" t="s">
        <v>1</v>
      </c>
    </row>
    <row r="923" spans="5:23" hidden="1" x14ac:dyDescent="0.25">
      <c r="E923" t="s">
        <v>8608</v>
      </c>
      <c r="F923" s="1" t="s">
        <v>8697</v>
      </c>
      <c r="G923" t="s">
        <v>1</v>
      </c>
      <c r="H923" t="s">
        <v>0</v>
      </c>
      <c r="I923" t="s">
        <v>8165</v>
      </c>
      <c r="J923" t="s">
        <v>8164</v>
      </c>
      <c r="K923">
        <v>13073</v>
      </c>
      <c r="L923">
        <v>13073</v>
      </c>
      <c r="M923" t="s">
        <v>214</v>
      </c>
      <c r="N923" t="s">
        <v>215</v>
      </c>
      <c r="O923" s="3">
        <v>0</v>
      </c>
      <c r="P923" s="3">
        <v>0</v>
      </c>
      <c r="Q923" s="3">
        <v>133.84</v>
      </c>
      <c r="R923" s="3">
        <v>17.3992</v>
      </c>
      <c r="S923" s="3">
        <v>0</v>
      </c>
      <c r="T923" s="3">
        <v>0</v>
      </c>
      <c r="U923" s="3">
        <v>151.23920000000001</v>
      </c>
      <c r="V923" s="3">
        <v>0</v>
      </c>
      <c r="W923" s="3" t="s">
        <v>1</v>
      </c>
    </row>
    <row r="924" spans="5:23" hidden="1" x14ac:dyDescent="0.25">
      <c r="E924" t="s">
        <v>8608</v>
      </c>
      <c r="F924" s="1" t="s">
        <v>8697</v>
      </c>
      <c r="G924" t="s">
        <v>1</v>
      </c>
      <c r="H924" t="s">
        <v>0</v>
      </c>
      <c r="I924" t="s">
        <v>8165</v>
      </c>
      <c r="J924" t="s">
        <v>8164</v>
      </c>
      <c r="K924">
        <v>13074</v>
      </c>
      <c r="L924">
        <v>13074</v>
      </c>
      <c r="M924" t="s">
        <v>8018</v>
      </c>
      <c r="N924" t="s">
        <v>8019</v>
      </c>
      <c r="O924" s="3">
        <v>0</v>
      </c>
      <c r="P924" s="3">
        <v>0</v>
      </c>
      <c r="Q924" s="3">
        <v>22.12</v>
      </c>
      <c r="R924" s="3">
        <v>2.8756000000000004</v>
      </c>
      <c r="S924" s="3">
        <v>0</v>
      </c>
      <c r="T924" s="3">
        <v>0</v>
      </c>
      <c r="U924" s="3">
        <v>24.995600000000003</v>
      </c>
      <c r="V924" s="3">
        <v>0</v>
      </c>
      <c r="W924" s="3" t="s">
        <v>1</v>
      </c>
    </row>
    <row r="925" spans="5:23" hidden="1" x14ac:dyDescent="0.25">
      <c r="E925" t="s">
        <v>8608</v>
      </c>
      <c r="F925" s="1" t="s">
        <v>8697</v>
      </c>
      <c r="G925" t="s">
        <v>1</v>
      </c>
      <c r="H925" t="s">
        <v>0</v>
      </c>
      <c r="I925" t="s">
        <v>8165</v>
      </c>
      <c r="J925" t="s">
        <v>8164</v>
      </c>
      <c r="K925">
        <v>13075</v>
      </c>
      <c r="L925">
        <v>13075</v>
      </c>
      <c r="M925" t="s">
        <v>7852</v>
      </c>
      <c r="N925" t="s">
        <v>7851</v>
      </c>
      <c r="O925" s="3">
        <v>0</v>
      </c>
      <c r="P925" s="3">
        <v>0</v>
      </c>
      <c r="Q925" s="3">
        <v>0</v>
      </c>
      <c r="R925" s="3">
        <v>0</v>
      </c>
      <c r="S925" s="3">
        <v>0</v>
      </c>
      <c r="T925" s="3">
        <v>0</v>
      </c>
      <c r="U925" s="3">
        <v>0</v>
      </c>
      <c r="V925" s="3">
        <v>0</v>
      </c>
      <c r="W925" s="3" t="s">
        <v>1</v>
      </c>
    </row>
    <row r="926" spans="5:23" hidden="1" x14ac:dyDescent="0.25">
      <c r="E926" t="s">
        <v>8608</v>
      </c>
      <c r="F926" s="1" t="s">
        <v>8697</v>
      </c>
      <c r="G926" t="s">
        <v>1</v>
      </c>
      <c r="H926" t="s">
        <v>0</v>
      </c>
      <c r="I926" t="s">
        <v>8165</v>
      </c>
      <c r="J926" t="s">
        <v>8164</v>
      </c>
      <c r="K926">
        <v>13076</v>
      </c>
      <c r="L926">
        <v>13076</v>
      </c>
      <c r="M926" t="s">
        <v>8269</v>
      </c>
      <c r="N926" t="s">
        <v>8270</v>
      </c>
      <c r="O926" s="3">
        <v>0</v>
      </c>
      <c r="P926" s="3">
        <v>0</v>
      </c>
      <c r="Q926" s="3">
        <v>64.53</v>
      </c>
      <c r="R926" s="3">
        <v>8.3888999999999996</v>
      </c>
      <c r="S926" s="3">
        <v>0</v>
      </c>
      <c r="T926" s="3">
        <v>0</v>
      </c>
      <c r="U926" s="3">
        <v>72.918900000000008</v>
      </c>
      <c r="V926" s="3">
        <v>0</v>
      </c>
      <c r="W926" s="3" t="s">
        <v>1</v>
      </c>
    </row>
    <row r="927" spans="5:23" hidden="1" x14ac:dyDescent="0.25">
      <c r="E927" t="s">
        <v>8608</v>
      </c>
      <c r="F927" s="1" t="s">
        <v>8697</v>
      </c>
      <c r="G927" t="s">
        <v>1</v>
      </c>
      <c r="H927" t="s">
        <v>0</v>
      </c>
      <c r="I927" t="s">
        <v>8165</v>
      </c>
      <c r="J927" t="s">
        <v>8164</v>
      </c>
      <c r="K927">
        <v>13077</v>
      </c>
      <c r="L927">
        <v>13077</v>
      </c>
      <c r="M927" t="s">
        <v>8269</v>
      </c>
      <c r="N927" t="s">
        <v>8270</v>
      </c>
      <c r="O927" s="3">
        <v>0</v>
      </c>
      <c r="P927" s="3">
        <v>0</v>
      </c>
      <c r="Q927" s="3">
        <v>37.5</v>
      </c>
      <c r="R927" s="3">
        <v>4.875</v>
      </c>
      <c r="S927" s="3">
        <v>0</v>
      </c>
      <c r="T927" s="3">
        <v>0</v>
      </c>
      <c r="U927" s="3">
        <v>42.375</v>
      </c>
      <c r="V927" s="3">
        <v>0</v>
      </c>
      <c r="W927" s="3" t="s">
        <v>1</v>
      </c>
    </row>
    <row r="928" spans="5:23" hidden="1" x14ac:dyDescent="0.25">
      <c r="E928" t="s">
        <v>8608</v>
      </c>
      <c r="F928" s="1" t="s">
        <v>8696</v>
      </c>
      <c r="G928" t="s">
        <v>1</v>
      </c>
      <c r="H928" t="s">
        <v>0</v>
      </c>
      <c r="I928" t="s">
        <v>8165</v>
      </c>
      <c r="J928" t="s">
        <v>8164</v>
      </c>
      <c r="K928">
        <v>13079</v>
      </c>
      <c r="L928">
        <v>13079</v>
      </c>
      <c r="M928" t="s">
        <v>8732</v>
      </c>
      <c r="N928" t="s">
        <v>8733</v>
      </c>
      <c r="O928" s="3">
        <v>0</v>
      </c>
      <c r="P928" s="3">
        <v>0</v>
      </c>
      <c r="Q928" s="3">
        <v>250.92</v>
      </c>
      <c r="R928" s="3">
        <v>32.619599999999998</v>
      </c>
      <c r="S928" s="3">
        <v>0</v>
      </c>
      <c r="T928" s="3">
        <v>0</v>
      </c>
      <c r="U928" s="3">
        <v>283.53960000000001</v>
      </c>
      <c r="V928" s="3">
        <v>0</v>
      </c>
      <c r="W928" s="3" t="s">
        <v>1</v>
      </c>
    </row>
    <row r="929" spans="5:23" hidden="1" x14ac:dyDescent="0.25">
      <c r="E929" t="s">
        <v>8608</v>
      </c>
      <c r="F929" s="1" t="s">
        <v>8696</v>
      </c>
      <c r="G929" t="s">
        <v>1</v>
      </c>
      <c r="H929" t="s">
        <v>0</v>
      </c>
      <c r="I929" t="s">
        <v>8165</v>
      </c>
      <c r="J929" t="s">
        <v>8164</v>
      </c>
      <c r="K929">
        <v>13080</v>
      </c>
      <c r="L929">
        <v>13080</v>
      </c>
      <c r="M929" t="s">
        <v>8732</v>
      </c>
      <c r="N929" t="s">
        <v>8733</v>
      </c>
      <c r="O929" s="3">
        <v>0</v>
      </c>
      <c r="P929" s="3">
        <v>0</v>
      </c>
      <c r="Q929" s="3">
        <v>417.3</v>
      </c>
      <c r="R929" s="3">
        <v>54.249000000000002</v>
      </c>
      <c r="S929" s="3">
        <v>0</v>
      </c>
      <c r="T929" s="3">
        <v>0</v>
      </c>
      <c r="U929" s="3">
        <v>471.54900000000004</v>
      </c>
      <c r="V929" s="3">
        <v>0</v>
      </c>
      <c r="W929" s="3" t="s">
        <v>1</v>
      </c>
    </row>
    <row r="930" spans="5:23" hidden="1" x14ac:dyDescent="0.25">
      <c r="E930" t="s">
        <v>8608</v>
      </c>
      <c r="F930" s="1" t="s">
        <v>8696</v>
      </c>
      <c r="G930" t="s">
        <v>1</v>
      </c>
      <c r="H930" t="s">
        <v>0</v>
      </c>
      <c r="I930" t="s">
        <v>8165</v>
      </c>
      <c r="J930" t="s">
        <v>8164</v>
      </c>
      <c r="K930">
        <v>13081</v>
      </c>
      <c r="L930">
        <v>13081</v>
      </c>
      <c r="M930" t="s">
        <v>1062</v>
      </c>
      <c r="N930" t="s">
        <v>1063</v>
      </c>
      <c r="O930" s="3">
        <v>0</v>
      </c>
      <c r="P930" s="3">
        <v>0</v>
      </c>
      <c r="Q930" s="3">
        <v>2325.2600000000002</v>
      </c>
      <c r="R930" s="3">
        <v>302.28380000000004</v>
      </c>
      <c r="S930" s="3">
        <v>0</v>
      </c>
      <c r="T930" s="3">
        <v>0</v>
      </c>
      <c r="U930" s="3">
        <v>2627.5438000000004</v>
      </c>
      <c r="V930" s="3">
        <v>0</v>
      </c>
      <c r="W930" s="3" t="s">
        <v>1</v>
      </c>
    </row>
    <row r="931" spans="5:23" hidden="1" x14ac:dyDescent="0.25">
      <c r="E931" t="s">
        <v>8608</v>
      </c>
      <c r="F931" s="1" t="s">
        <v>8696</v>
      </c>
      <c r="G931" t="s">
        <v>1</v>
      </c>
      <c r="H931" t="s">
        <v>0</v>
      </c>
      <c r="I931" t="s">
        <v>8165</v>
      </c>
      <c r="J931" t="s">
        <v>8164</v>
      </c>
      <c r="K931">
        <v>13082</v>
      </c>
      <c r="L931">
        <v>13082</v>
      </c>
      <c r="M931" t="s">
        <v>115</v>
      </c>
      <c r="N931" t="s">
        <v>116</v>
      </c>
      <c r="O931" s="3">
        <v>0</v>
      </c>
      <c r="P931" s="3">
        <v>0</v>
      </c>
      <c r="Q931" s="3">
        <v>2556.5700000000002</v>
      </c>
      <c r="R931" s="3">
        <v>332.35410000000002</v>
      </c>
      <c r="S931" s="3">
        <v>0</v>
      </c>
      <c r="T931" s="3">
        <v>0</v>
      </c>
      <c r="U931" s="3">
        <v>2888.9241000000002</v>
      </c>
      <c r="V931" s="3">
        <v>0</v>
      </c>
      <c r="W931" s="3" t="s">
        <v>1</v>
      </c>
    </row>
    <row r="932" spans="5:23" hidden="1" x14ac:dyDescent="0.25">
      <c r="E932" t="s">
        <v>8608</v>
      </c>
      <c r="F932" s="1" t="s">
        <v>8696</v>
      </c>
      <c r="G932" t="s">
        <v>1</v>
      </c>
      <c r="H932" t="s">
        <v>0</v>
      </c>
      <c r="I932" t="s">
        <v>8165</v>
      </c>
      <c r="J932" t="s">
        <v>8164</v>
      </c>
      <c r="K932">
        <v>13083</v>
      </c>
      <c r="L932">
        <v>13083</v>
      </c>
      <c r="M932" t="s">
        <v>125</v>
      </c>
      <c r="N932" t="s">
        <v>126</v>
      </c>
      <c r="O932" s="3">
        <v>0</v>
      </c>
      <c r="P932" s="3">
        <v>0</v>
      </c>
      <c r="Q932" s="3">
        <v>124.67</v>
      </c>
      <c r="R932" s="3">
        <v>16.207100000000001</v>
      </c>
      <c r="S932" s="3">
        <v>0</v>
      </c>
      <c r="T932" s="3">
        <v>0</v>
      </c>
      <c r="U932" s="3">
        <v>140.87710000000001</v>
      </c>
      <c r="V932" s="3">
        <v>0</v>
      </c>
      <c r="W932" s="3" t="s">
        <v>1</v>
      </c>
    </row>
    <row r="933" spans="5:23" hidden="1" x14ac:dyDescent="0.25">
      <c r="E933" t="s">
        <v>8608</v>
      </c>
      <c r="F933" s="1" t="s">
        <v>8696</v>
      </c>
      <c r="G933" t="s">
        <v>1</v>
      </c>
      <c r="H933" t="s">
        <v>0</v>
      </c>
      <c r="I933" t="s">
        <v>8165</v>
      </c>
      <c r="J933" t="s">
        <v>8164</v>
      </c>
      <c r="K933">
        <v>13084</v>
      </c>
      <c r="L933">
        <v>13084</v>
      </c>
      <c r="M933" t="s">
        <v>5329</v>
      </c>
      <c r="N933" t="s">
        <v>5330</v>
      </c>
      <c r="O933" s="3">
        <v>0</v>
      </c>
      <c r="P933" s="3">
        <v>0</v>
      </c>
      <c r="Q933" s="3">
        <v>363.04</v>
      </c>
      <c r="R933" s="3">
        <v>47.195200000000007</v>
      </c>
      <c r="S933" s="3">
        <v>0</v>
      </c>
      <c r="T933" s="3">
        <v>0</v>
      </c>
      <c r="U933" s="3">
        <v>410.23520000000002</v>
      </c>
      <c r="V933" s="3">
        <v>0</v>
      </c>
      <c r="W933" s="3" t="s">
        <v>1</v>
      </c>
    </row>
    <row r="934" spans="5:23" hidden="1" x14ac:dyDescent="0.25">
      <c r="E934" t="s">
        <v>8608</v>
      </c>
      <c r="F934" s="1" t="s">
        <v>8696</v>
      </c>
      <c r="G934" t="s">
        <v>1</v>
      </c>
      <c r="H934" t="s">
        <v>0</v>
      </c>
      <c r="I934" t="s">
        <v>8165</v>
      </c>
      <c r="J934" t="s">
        <v>8164</v>
      </c>
      <c r="K934">
        <v>13085</v>
      </c>
      <c r="L934">
        <v>13085</v>
      </c>
      <c r="M934" t="s">
        <v>8277</v>
      </c>
      <c r="N934" t="s">
        <v>8278</v>
      </c>
      <c r="O934" s="3">
        <v>0</v>
      </c>
      <c r="P934" s="3">
        <v>0</v>
      </c>
      <c r="Q934" s="3">
        <v>202.89</v>
      </c>
      <c r="R934" s="3">
        <v>26.375699999999998</v>
      </c>
      <c r="S934" s="3">
        <v>0</v>
      </c>
      <c r="T934" s="3">
        <v>0</v>
      </c>
      <c r="U934" s="3">
        <v>229.26569999999998</v>
      </c>
      <c r="V934" s="3">
        <v>0</v>
      </c>
      <c r="W934" s="3" t="s">
        <v>1</v>
      </c>
    </row>
    <row r="935" spans="5:23" hidden="1" x14ac:dyDescent="0.25">
      <c r="E935" t="s">
        <v>8608</v>
      </c>
      <c r="F935" s="1" t="s">
        <v>8696</v>
      </c>
      <c r="G935" t="s">
        <v>1</v>
      </c>
      <c r="H935" t="s">
        <v>0</v>
      </c>
      <c r="I935" t="s">
        <v>8165</v>
      </c>
      <c r="J935" t="s">
        <v>8164</v>
      </c>
      <c r="K935">
        <v>13086</v>
      </c>
      <c r="L935">
        <v>13086</v>
      </c>
      <c r="M935">
        <v>0</v>
      </c>
      <c r="N935" t="s">
        <v>8169</v>
      </c>
      <c r="O935" s="3">
        <v>0</v>
      </c>
      <c r="P935" s="3">
        <v>0</v>
      </c>
      <c r="Q935" s="3">
        <v>137.04</v>
      </c>
      <c r="R935" s="3">
        <v>17.815200000000001</v>
      </c>
      <c r="S935" s="3">
        <v>0</v>
      </c>
      <c r="T935" s="3">
        <v>0</v>
      </c>
      <c r="U935" s="3">
        <v>154.8552</v>
      </c>
      <c r="V935" s="3" t="s">
        <v>8646</v>
      </c>
      <c r="W935" s="3" t="s">
        <v>1</v>
      </c>
    </row>
    <row r="936" spans="5:23" hidden="1" x14ac:dyDescent="0.25">
      <c r="E936" t="s">
        <v>8608</v>
      </c>
      <c r="F936" s="1" t="s">
        <v>8696</v>
      </c>
      <c r="G936" t="s">
        <v>1</v>
      </c>
      <c r="H936" t="s">
        <v>0</v>
      </c>
      <c r="I936" t="s">
        <v>8165</v>
      </c>
      <c r="J936" t="s">
        <v>8164</v>
      </c>
      <c r="K936">
        <v>13087</v>
      </c>
      <c r="L936">
        <v>13087</v>
      </c>
      <c r="M936" t="s">
        <v>8114</v>
      </c>
      <c r="N936" t="s">
        <v>8115</v>
      </c>
      <c r="O936" s="3">
        <v>0</v>
      </c>
      <c r="P936" s="3">
        <v>0</v>
      </c>
      <c r="Q936" s="3">
        <v>280.60000000000002</v>
      </c>
      <c r="R936" s="3">
        <v>36.478000000000002</v>
      </c>
      <c r="S936" s="3">
        <v>0</v>
      </c>
      <c r="T936" s="3">
        <v>0</v>
      </c>
      <c r="U936" s="3">
        <v>317.07800000000003</v>
      </c>
      <c r="V936" s="3">
        <v>0</v>
      </c>
      <c r="W936" s="3" t="s">
        <v>1</v>
      </c>
    </row>
    <row r="937" spans="5:23" hidden="1" x14ac:dyDescent="0.25">
      <c r="E937" t="s">
        <v>8608</v>
      </c>
      <c r="F937" s="1" t="s">
        <v>8696</v>
      </c>
      <c r="G937" t="s">
        <v>1</v>
      </c>
      <c r="H937" t="s">
        <v>0</v>
      </c>
      <c r="I937" t="s">
        <v>8165</v>
      </c>
      <c r="J937" t="s">
        <v>8164</v>
      </c>
      <c r="K937">
        <v>13088</v>
      </c>
      <c r="L937">
        <v>13088</v>
      </c>
      <c r="M937" t="s">
        <v>8205</v>
      </c>
      <c r="N937" t="s">
        <v>8206</v>
      </c>
      <c r="O937" s="3">
        <v>0</v>
      </c>
      <c r="P937" s="3">
        <v>0</v>
      </c>
      <c r="Q937" s="3">
        <v>42.5</v>
      </c>
      <c r="R937" s="3">
        <v>5.5250000000000004</v>
      </c>
      <c r="S937" s="3">
        <v>0</v>
      </c>
      <c r="T937" s="3">
        <v>0</v>
      </c>
      <c r="U937" s="3">
        <v>48.024999999999999</v>
      </c>
      <c r="V937" s="3">
        <v>0</v>
      </c>
      <c r="W937" s="3" t="s">
        <v>1</v>
      </c>
    </row>
    <row r="938" spans="5:23" hidden="1" x14ac:dyDescent="0.25">
      <c r="E938" t="s">
        <v>8608</v>
      </c>
      <c r="F938" s="1" t="s">
        <v>8696</v>
      </c>
      <c r="G938" t="s">
        <v>1</v>
      </c>
      <c r="H938" t="s">
        <v>0</v>
      </c>
      <c r="I938" t="s">
        <v>8165</v>
      </c>
      <c r="J938" t="s">
        <v>8164</v>
      </c>
      <c r="K938">
        <v>13089</v>
      </c>
      <c r="L938">
        <v>13089</v>
      </c>
      <c r="M938" t="s">
        <v>8194</v>
      </c>
      <c r="N938" t="s">
        <v>8195</v>
      </c>
      <c r="O938" s="3">
        <v>0</v>
      </c>
      <c r="P938" s="3">
        <v>0</v>
      </c>
      <c r="Q938" s="3">
        <v>52.8</v>
      </c>
      <c r="R938" s="3">
        <v>6.8639999999999999</v>
      </c>
      <c r="S938" s="3">
        <v>0</v>
      </c>
      <c r="T938" s="3">
        <v>0</v>
      </c>
      <c r="U938" s="3">
        <v>59.663999999999994</v>
      </c>
      <c r="V938" s="3">
        <v>0</v>
      </c>
      <c r="W938" s="3" t="s">
        <v>1</v>
      </c>
    </row>
    <row r="939" spans="5:23" hidden="1" x14ac:dyDescent="0.25">
      <c r="E939" t="s">
        <v>8608</v>
      </c>
      <c r="F939" s="1" t="s">
        <v>8696</v>
      </c>
      <c r="G939" t="s">
        <v>1</v>
      </c>
      <c r="H939" t="s">
        <v>0</v>
      </c>
      <c r="I939" t="s">
        <v>8165</v>
      </c>
      <c r="J939" t="s">
        <v>8164</v>
      </c>
      <c r="K939">
        <v>13090</v>
      </c>
      <c r="L939">
        <v>13090</v>
      </c>
      <c r="M939" t="s">
        <v>8188</v>
      </c>
      <c r="N939" t="s">
        <v>8189</v>
      </c>
      <c r="O939" s="3">
        <v>0</v>
      </c>
      <c r="P939" s="3">
        <v>0</v>
      </c>
      <c r="Q939" s="3">
        <v>56.56</v>
      </c>
      <c r="R939" s="3">
        <v>7.3528000000000002</v>
      </c>
      <c r="S939" s="3">
        <v>0</v>
      </c>
      <c r="T939" s="3">
        <v>0</v>
      </c>
      <c r="U939" s="3">
        <v>63.912800000000004</v>
      </c>
      <c r="V939" s="3">
        <v>0</v>
      </c>
      <c r="W939" s="3" t="s">
        <v>1</v>
      </c>
    </row>
    <row r="940" spans="5:23" hidden="1" x14ac:dyDescent="0.25">
      <c r="E940" t="s">
        <v>8608</v>
      </c>
      <c r="F940" s="1" t="s">
        <v>8695</v>
      </c>
      <c r="G940" t="s">
        <v>1</v>
      </c>
      <c r="H940" t="s">
        <v>0</v>
      </c>
      <c r="I940" t="s">
        <v>8165</v>
      </c>
      <c r="J940" t="s">
        <v>8164</v>
      </c>
      <c r="K940">
        <v>13091</v>
      </c>
      <c r="L940">
        <v>3094</v>
      </c>
      <c r="M940" t="s">
        <v>436</v>
      </c>
      <c r="N940" t="s">
        <v>437</v>
      </c>
      <c r="O940" s="3">
        <v>0</v>
      </c>
      <c r="P940" s="3">
        <v>0</v>
      </c>
      <c r="Q940" s="3">
        <v>77.040000000000006</v>
      </c>
      <c r="R940" s="3">
        <v>10.015200000000002</v>
      </c>
      <c r="S940" s="3">
        <v>0</v>
      </c>
      <c r="T940" s="3">
        <v>0</v>
      </c>
      <c r="U940" s="3">
        <v>87.055200000000013</v>
      </c>
      <c r="V940" s="3">
        <v>0</v>
      </c>
      <c r="W940" s="3" t="s">
        <v>1</v>
      </c>
    </row>
    <row r="941" spans="5:23" hidden="1" x14ac:dyDescent="0.25">
      <c r="E941" t="s">
        <v>8608</v>
      </c>
      <c r="F941" s="1" t="s">
        <v>8695</v>
      </c>
      <c r="G941" t="s">
        <v>1</v>
      </c>
      <c r="H941" t="s">
        <v>0</v>
      </c>
      <c r="I941" t="s">
        <v>8165</v>
      </c>
      <c r="J941" t="s">
        <v>8164</v>
      </c>
      <c r="K941">
        <v>13092</v>
      </c>
      <c r="L941">
        <v>13092</v>
      </c>
      <c r="M941">
        <v>0</v>
      </c>
      <c r="N941" t="s">
        <v>8208</v>
      </c>
      <c r="O941" s="3">
        <v>0</v>
      </c>
      <c r="P941" s="3">
        <v>0</v>
      </c>
      <c r="Q941" s="3">
        <v>74.34</v>
      </c>
      <c r="R941" s="3">
        <v>9.664200000000001</v>
      </c>
      <c r="S941" s="3">
        <v>0</v>
      </c>
      <c r="T941" s="3">
        <v>0</v>
      </c>
      <c r="U941" s="3">
        <v>84.004199999999997</v>
      </c>
      <c r="V941" s="3" t="s">
        <v>8650</v>
      </c>
      <c r="W941" s="3" t="s">
        <v>1</v>
      </c>
    </row>
    <row r="942" spans="5:23" hidden="1" x14ac:dyDescent="0.25">
      <c r="E942" t="s">
        <v>8608</v>
      </c>
      <c r="F942" s="1" t="s">
        <v>8695</v>
      </c>
      <c r="G942" t="s">
        <v>1</v>
      </c>
      <c r="H942" t="s">
        <v>0</v>
      </c>
      <c r="I942" t="s">
        <v>8165</v>
      </c>
      <c r="J942" t="s">
        <v>8164</v>
      </c>
      <c r="K942">
        <v>13093</v>
      </c>
      <c r="L942">
        <v>13093</v>
      </c>
      <c r="M942" t="s">
        <v>1223</v>
      </c>
      <c r="N942" t="s">
        <v>1224</v>
      </c>
      <c r="O942" s="3">
        <v>0</v>
      </c>
      <c r="P942" s="3">
        <v>0</v>
      </c>
      <c r="Q942" s="3">
        <v>49.22</v>
      </c>
      <c r="R942" s="3">
        <v>6.3986000000000001</v>
      </c>
      <c r="S942" s="3">
        <v>0</v>
      </c>
      <c r="T942" s="3">
        <v>0</v>
      </c>
      <c r="U942" s="3">
        <v>55.618600000000001</v>
      </c>
      <c r="V942" s="3">
        <v>0</v>
      </c>
      <c r="W942" s="3" t="s">
        <v>1</v>
      </c>
    </row>
    <row r="943" spans="5:23" hidden="1" x14ac:dyDescent="0.25">
      <c r="E943" t="s">
        <v>8608</v>
      </c>
      <c r="F943" s="1" t="s">
        <v>8695</v>
      </c>
      <c r="G943" t="s">
        <v>1</v>
      </c>
      <c r="H943" t="s">
        <v>0</v>
      </c>
      <c r="I943" t="s">
        <v>8165</v>
      </c>
      <c r="J943" t="s">
        <v>8164</v>
      </c>
      <c r="K943">
        <v>13094</v>
      </c>
      <c r="L943">
        <v>13094</v>
      </c>
      <c r="M943" t="s">
        <v>8277</v>
      </c>
      <c r="N943" t="s">
        <v>8278</v>
      </c>
      <c r="O943" s="3">
        <v>0</v>
      </c>
      <c r="P943" s="3">
        <v>0</v>
      </c>
      <c r="Q943" s="3">
        <v>16.5</v>
      </c>
      <c r="R943" s="3">
        <v>2.145</v>
      </c>
      <c r="S943" s="3">
        <v>0</v>
      </c>
      <c r="T943" s="3">
        <v>0</v>
      </c>
      <c r="U943" s="3">
        <v>18.645</v>
      </c>
      <c r="V943" s="3">
        <v>0</v>
      </c>
      <c r="W943" s="3" t="s">
        <v>1</v>
      </c>
    </row>
    <row r="944" spans="5:23" hidden="1" x14ac:dyDescent="0.25">
      <c r="E944" t="s">
        <v>8608</v>
      </c>
      <c r="F944" s="1" t="s">
        <v>8695</v>
      </c>
      <c r="G944" t="s">
        <v>1</v>
      </c>
      <c r="H944" t="s">
        <v>0</v>
      </c>
      <c r="I944" t="s">
        <v>8165</v>
      </c>
      <c r="J944" t="s">
        <v>8164</v>
      </c>
      <c r="K944">
        <v>13095</v>
      </c>
      <c r="L944">
        <v>13095</v>
      </c>
      <c r="M944" t="s">
        <v>8188</v>
      </c>
      <c r="N944" t="s">
        <v>8189</v>
      </c>
      <c r="O944" s="3">
        <v>0</v>
      </c>
      <c r="P944" s="3">
        <v>0</v>
      </c>
      <c r="Q944" s="3">
        <v>452.48</v>
      </c>
      <c r="R944" s="3">
        <v>58.822400000000002</v>
      </c>
      <c r="S944" s="3">
        <v>0</v>
      </c>
      <c r="T944" s="3">
        <v>0</v>
      </c>
      <c r="U944" s="3">
        <v>511.30240000000003</v>
      </c>
      <c r="V944" s="3">
        <v>0</v>
      </c>
      <c r="W944" s="3" t="s">
        <v>1</v>
      </c>
    </row>
    <row r="945" spans="5:23" hidden="1" x14ac:dyDescent="0.25">
      <c r="E945" t="s">
        <v>8608</v>
      </c>
      <c r="F945" s="1" t="s">
        <v>8695</v>
      </c>
      <c r="G945" t="s">
        <v>1</v>
      </c>
      <c r="H945" t="s">
        <v>0</v>
      </c>
      <c r="I945" t="s">
        <v>8165</v>
      </c>
      <c r="J945" t="s">
        <v>8164</v>
      </c>
      <c r="K945">
        <v>13096</v>
      </c>
      <c r="L945">
        <v>13096</v>
      </c>
      <c r="M945" t="s">
        <v>158</v>
      </c>
      <c r="N945" t="s">
        <v>159</v>
      </c>
      <c r="O945" s="3">
        <v>0</v>
      </c>
      <c r="P945" s="3">
        <v>0</v>
      </c>
      <c r="Q945" s="3">
        <v>67.2</v>
      </c>
      <c r="R945" s="3">
        <v>8.7360000000000007</v>
      </c>
      <c r="S945" s="3">
        <v>0</v>
      </c>
      <c r="T945" s="3">
        <v>0</v>
      </c>
      <c r="U945" s="3">
        <v>75.936000000000007</v>
      </c>
      <c r="V945" s="3">
        <v>0</v>
      </c>
      <c r="W945" s="3" t="s">
        <v>1</v>
      </c>
    </row>
    <row r="946" spans="5:23" hidden="1" x14ac:dyDescent="0.25">
      <c r="E946" t="s">
        <v>8608</v>
      </c>
      <c r="F946" s="1" t="s">
        <v>8694</v>
      </c>
      <c r="G946" t="s">
        <v>1</v>
      </c>
      <c r="H946" t="s">
        <v>0</v>
      </c>
      <c r="I946" t="s">
        <v>8165</v>
      </c>
      <c r="J946" t="s">
        <v>8164</v>
      </c>
      <c r="K946">
        <v>13097</v>
      </c>
      <c r="L946">
        <v>13097</v>
      </c>
      <c r="M946" t="s">
        <v>8249</v>
      </c>
      <c r="N946" t="s">
        <v>8250</v>
      </c>
      <c r="O946" s="3">
        <v>0</v>
      </c>
      <c r="P946" s="3">
        <v>0</v>
      </c>
      <c r="Q946" s="3">
        <v>150</v>
      </c>
      <c r="R946" s="3">
        <v>19.5</v>
      </c>
      <c r="S946" s="3">
        <v>0</v>
      </c>
      <c r="T946" s="3">
        <v>0</v>
      </c>
      <c r="U946" s="3">
        <v>169.5</v>
      </c>
      <c r="V946" s="3">
        <v>0</v>
      </c>
      <c r="W946" s="3" t="s">
        <v>1</v>
      </c>
    </row>
    <row r="947" spans="5:23" hidden="1" x14ac:dyDescent="0.25">
      <c r="E947" t="s">
        <v>8608</v>
      </c>
      <c r="F947" s="1" t="s">
        <v>8694</v>
      </c>
      <c r="G947" t="s">
        <v>1</v>
      </c>
      <c r="H947" t="s">
        <v>0</v>
      </c>
      <c r="I947" t="s">
        <v>8165</v>
      </c>
      <c r="J947" t="s">
        <v>8164</v>
      </c>
      <c r="K947">
        <v>13098</v>
      </c>
      <c r="L947">
        <v>13098</v>
      </c>
      <c r="M947" t="s">
        <v>1273</v>
      </c>
      <c r="N947" t="s">
        <v>1274</v>
      </c>
      <c r="O947" s="3">
        <v>0</v>
      </c>
      <c r="P947" s="3">
        <v>0</v>
      </c>
      <c r="Q947" s="3">
        <v>371.68</v>
      </c>
      <c r="R947" s="3">
        <v>48.318400000000004</v>
      </c>
      <c r="S947" s="3">
        <v>0</v>
      </c>
      <c r="T947" s="3">
        <v>0</v>
      </c>
      <c r="U947" s="3">
        <v>419.9984</v>
      </c>
      <c r="V947" s="3">
        <v>0</v>
      </c>
      <c r="W947" s="3" t="s">
        <v>1</v>
      </c>
    </row>
    <row r="948" spans="5:23" hidden="1" x14ac:dyDescent="0.25">
      <c r="E948" t="s">
        <v>8608</v>
      </c>
      <c r="F948" s="1" t="s">
        <v>8694</v>
      </c>
      <c r="G948" t="s">
        <v>1</v>
      </c>
      <c r="H948" t="s">
        <v>0</v>
      </c>
      <c r="I948" t="s">
        <v>8165</v>
      </c>
      <c r="J948" t="s">
        <v>8164</v>
      </c>
      <c r="K948">
        <v>13099</v>
      </c>
      <c r="L948">
        <v>13099</v>
      </c>
      <c r="M948" t="s">
        <v>807</v>
      </c>
      <c r="N948" t="s">
        <v>808</v>
      </c>
      <c r="O948" s="3">
        <v>0</v>
      </c>
      <c r="P948" s="3">
        <v>0</v>
      </c>
      <c r="Q948" s="3">
        <v>16.45</v>
      </c>
      <c r="R948" s="3">
        <v>2.1385000000000001</v>
      </c>
      <c r="S948" s="3">
        <v>0</v>
      </c>
      <c r="T948" s="3">
        <v>0</v>
      </c>
      <c r="U948" s="3">
        <v>18.5885</v>
      </c>
      <c r="V948" s="3">
        <v>0</v>
      </c>
      <c r="W948" s="3" t="s">
        <v>1</v>
      </c>
    </row>
    <row r="949" spans="5:23" hidden="1" x14ac:dyDescent="0.25">
      <c r="E949" t="s">
        <v>8608</v>
      </c>
      <c r="F949" s="1" t="s">
        <v>8694</v>
      </c>
      <c r="G949" t="s">
        <v>1</v>
      </c>
      <c r="H949" t="s">
        <v>0</v>
      </c>
      <c r="I949" t="s">
        <v>8165</v>
      </c>
      <c r="J949" t="s">
        <v>8164</v>
      </c>
      <c r="K949">
        <v>13100</v>
      </c>
      <c r="L949">
        <v>13100</v>
      </c>
      <c r="M949">
        <v>0</v>
      </c>
      <c r="N949" t="s">
        <v>8219</v>
      </c>
      <c r="O949" s="3">
        <v>0</v>
      </c>
      <c r="P949" s="3">
        <v>0</v>
      </c>
      <c r="Q949" s="3">
        <v>177.12</v>
      </c>
      <c r="R949" s="3">
        <v>23.025600000000001</v>
      </c>
      <c r="S949" s="3">
        <v>0</v>
      </c>
      <c r="T949" s="3">
        <v>0</v>
      </c>
      <c r="U949" s="3">
        <v>200.1456</v>
      </c>
      <c r="V949" s="3" t="s">
        <v>8636</v>
      </c>
      <c r="W949" s="3" t="s">
        <v>1</v>
      </c>
    </row>
    <row r="950" spans="5:23" hidden="1" x14ac:dyDescent="0.25">
      <c r="E950" t="s">
        <v>8608</v>
      </c>
      <c r="F950" s="1" t="s">
        <v>8694</v>
      </c>
      <c r="G950" t="s">
        <v>1</v>
      </c>
      <c r="H950" t="s">
        <v>0</v>
      </c>
      <c r="I950" t="s">
        <v>8165</v>
      </c>
      <c r="J950" t="s">
        <v>8164</v>
      </c>
      <c r="K950">
        <v>13101</v>
      </c>
      <c r="L950">
        <v>13101</v>
      </c>
      <c r="M950" t="s">
        <v>8018</v>
      </c>
      <c r="N950" t="s">
        <v>8019</v>
      </c>
      <c r="O950" s="3">
        <v>0</v>
      </c>
      <c r="P950" s="3">
        <v>0</v>
      </c>
      <c r="Q950" s="3">
        <v>44.25</v>
      </c>
      <c r="R950" s="3">
        <v>5.7525000000000004</v>
      </c>
      <c r="S950" s="3">
        <v>0</v>
      </c>
      <c r="T950" s="3">
        <v>0</v>
      </c>
      <c r="U950" s="3">
        <v>50.002499999999998</v>
      </c>
      <c r="V950" s="3">
        <v>0</v>
      </c>
      <c r="W950" s="3" t="s">
        <v>1</v>
      </c>
    </row>
    <row r="951" spans="5:23" hidden="1" x14ac:dyDescent="0.25">
      <c r="E951" t="s">
        <v>8608</v>
      </c>
      <c r="F951" s="1" t="s">
        <v>8694</v>
      </c>
      <c r="G951" t="s">
        <v>1</v>
      </c>
      <c r="H951" t="s">
        <v>0</v>
      </c>
      <c r="I951" t="s">
        <v>8165</v>
      </c>
      <c r="J951" t="s">
        <v>8164</v>
      </c>
      <c r="K951">
        <v>13102</v>
      </c>
      <c r="L951">
        <v>13102</v>
      </c>
      <c r="M951" t="s">
        <v>8209</v>
      </c>
      <c r="N951" t="s">
        <v>8210</v>
      </c>
      <c r="O951" s="3">
        <v>0</v>
      </c>
      <c r="P951" s="3">
        <v>0</v>
      </c>
      <c r="Q951" s="3">
        <v>135.6</v>
      </c>
      <c r="R951" s="3">
        <v>17.628</v>
      </c>
      <c r="S951" s="3">
        <v>0</v>
      </c>
      <c r="T951" s="3">
        <v>0</v>
      </c>
      <c r="U951" s="3">
        <v>153.22800000000001</v>
      </c>
      <c r="V951" s="3">
        <v>0</v>
      </c>
      <c r="W951" s="3" t="s">
        <v>1</v>
      </c>
    </row>
    <row r="952" spans="5:23" hidden="1" x14ac:dyDescent="0.25">
      <c r="E952" t="s">
        <v>8608</v>
      </c>
      <c r="F952" s="1" t="s">
        <v>8694</v>
      </c>
      <c r="G952" t="s">
        <v>1</v>
      </c>
      <c r="H952" t="s">
        <v>0</v>
      </c>
      <c r="I952" t="s">
        <v>8165</v>
      </c>
      <c r="J952" t="s">
        <v>8164</v>
      </c>
      <c r="K952">
        <v>13103</v>
      </c>
      <c r="L952">
        <v>13103</v>
      </c>
      <c r="M952" t="s">
        <v>8269</v>
      </c>
      <c r="N952" t="s">
        <v>8270</v>
      </c>
      <c r="O952" s="3">
        <v>0</v>
      </c>
      <c r="P952" s="3">
        <v>0</v>
      </c>
      <c r="Q952" s="3">
        <v>12.39</v>
      </c>
      <c r="R952" s="3">
        <v>1.6107</v>
      </c>
      <c r="S952" s="3">
        <v>0</v>
      </c>
      <c r="T952" s="3">
        <v>0</v>
      </c>
      <c r="U952" s="3">
        <v>14.0007</v>
      </c>
      <c r="V952" s="3">
        <v>0</v>
      </c>
      <c r="W952" s="3" t="s">
        <v>1</v>
      </c>
    </row>
    <row r="953" spans="5:23" hidden="1" x14ac:dyDescent="0.25">
      <c r="E953" t="s">
        <v>8608</v>
      </c>
      <c r="F953" s="1" t="s">
        <v>8694</v>
      </c>
      <c r="G953" t="s">
        <v>1</v>
      </c>
      <c r="H953" t="s">
        <v>0</v>
      </c>
      <c r="I953" t="s">
        <v>8165</v>
      </c>
      <c r="J953" t="s">
        <v>8164</v>
      </c>
      <c r="K953">
        <v>13104</v>
      </c>
      <c r="L953">
        <v>13104</v>
      </c>
      <c r="M953" t="s">
        <v>238</v>
      </c>
      <c r="N953" t="s">
        <v>239</v>
      </c>
      <c r="O953" s="3">
        <v>0</v>
      </c>
      <c r="P953" s="3">
        <v>0</v>
      </c>
      <c r="Q953" s="3">
        <v>121.29</v>
      </c>
      <c r="R953" s="3">
        <v>15.767700000000001</v>
      </c>
      <c r="S953" s="3">
        <v>0</v>
      </c>
      <c r="T953" s="3">
        <v>0</v>
      </c>
      <c r="U953" s="3">
        <v>137.05770000000001</v>
      </c>
      <c r="V953" s="3">
        <v>0</v>
      </c>
      <c r="W953" s="3" t="s">
        <v>1</v>
      </c>
    </row>
    <row r="954" spans="5:23" hidden="1" x14ac:dyDescent="0.25">
      <c r="E954" t="s">
        <v>8608</v>
      </c>
      <c r="F954" s="34" t="s">
        <v>8731</v>
      </c>
      <c r="G954" t="s">
        <v>1</v>
      </c>
      <c r="H954" t="s">
        <v>0</v>
      </c>
      <c r="I954" t="s">
        <v>8165</v>
      </c>
      <c r="J954" t="s">
        <v>8164</v>
      </c>
      <c r="K954">
        <v>13105</v>
      </c>
      <c r="L954">
        <v>13105</v>
      </c>
      <c r="M954">
        <v>0</v>
      </c>
      <c r="N954" t="s">
        <v>8235</v>
      </c>
      <c r="O954" s="3">
        <v>0</v>
      </c>
      <c r="P954" s="3">
        <v>0</v>
      </c>
      <c r="Q954" s="3">
        <v>326.05</v>
      </c>
      <c r="R954" s="3">
        <v>42.386500000000005</v>
      </c>
      <c r="S954" s="3">
        <v>0</v>
      </c>
      <c r="T954" s="3">
        <v>0</v>
      </c>
      <c r="U954" s="3">
        <v>368.43650000000002</v>
      </c>
      <c r="V954" s="3" t="s">
        <v>8718</v>
      </c>
      <c r="W954" s="3" t="s">
        <v>1</v>
      </c>
    </row>
    <row r="955" spans="5:23" hidden="1" x14ac:dyDescent="0.25">
      <c r="E955" t="s">
        <v>8608</v>
      </c>
      <c r="F955" s="34" t="s">
        <v>8731</v>
      </c>
      <c r="G955" t="s">
        <v>1</v>
      </c>
      <c r="H955" t="s">
        <v>0</v>
      </c>
      <c r="I955" t="s">
        <v>8165</v>
      </c>
      <c r="J955" t="s">
        <v>8164</v>
      </c>
      <c r="K955">
        <v>13106</v>
      </c>
      <c r="L955">
        <v>13106</v>
      </c>
      <c r="M955" t="s">
        <v>8713</v>
      </c>
      <c r="N955" t="s">
        <v>8714</v>
      </c>
      <c r="O955" s="3">
        <v>0</v>
      </c>
      <c r="P955" s="3">
        <v>0</v>
      </c>
      <c r="Q955" s="3">
        <v>165.84</v>
      </c>
      <c r="R955" s="3">
        <v>21.559200000000001</v>
      </c>
      <c r="S955" s="3">
        <v>0</v>
      </c>
      <c r="T955" s="3">
        <v>0</v>
      </c>
      <c r="U955" s="3">
        <v>187.39920000000001</v>
      </c>
      <c r="V955" s="3">
        <v>0</v>
      </c>
      <c r="W955" s="3" t="s">
        <v>1</v>
      </c>
    </row>
    <row r="956" spans="5:23" hidden="1" x14ac:dyDescent="0.25">
      <c r="E956" t="s">
        <v>8608</v>
      </c>
      <c r="F956" s="1" t="s">
        <v>8692</v>
      </c>
      <c r="G956" t="s">
        <v>1</v>
      </c>
      <c r="H956" t="s">
        <v>0</v>
      </c>
      <c r="I956" t="s">
        <v>8165</v>
      </c>
      <c r="J956" t="s">
        <v>8164</v>
      </c>
      <c r="K956">
        <v>13107</v>
      </c>
      <c r="L956">
        <v>13107</v>
      </c>
      <c r="M956" t="s">
        <v>8713</v>
      </c>
      <c r="N956" t="s">
        <v>8714</v>
      </c>
      <c r="O956" s="3">
        <v>0</v>
      </c>
      <c r="P956" s="3">
        <v>0</v>
      </c>
      <c r="Q956" s="3">
        <v>113.62</v>
      </c>
      <c r="R956" s="3">
        <v>14.770600000000002</v>
      </c>
      <c r="S956" s="3">
        <v>0</v>
      </c>
      <c r="T956" s="3">
        <v>0</v>
      </c>
      <c r="U956" s="3">
        <v>128.39060000000001</v>
      </c>
      <c r="V956" s="3">
        <v>0</v>
      </c>
      <c r="W956" s="3" t="s">
        <v>1</v>
      </c>
    </row>
    <row r="957" spans="5:23" hidden="1" x14ac:dyDescent="0.25">
      <c r="E957" t="s">
        <v>8608</v>
      </c>
      <c r="F957" s="1" t="s">
        <v>8692</v>
      </c>
      <c r="G957" t="s">
        <v>1</v>
      </c>
      <c r="H957" t="s">
        <v>0</v>
      </c>
      <c r="I957" t="s">
        <v>8165</v>
      </c>
      <c r="J957" t="s">
        <v>8164</v>
      </c>
      <c r="K957">
        <v>13108</v>
      </c>
      <c r="L957">
        <v>13108</v>
      </c>
      <c r="M957" t="s">
        <v>8713</v>
      </c>
      <c r="N957" t="s">
        <v>8714</v>
      </c>
      <c r="O957" s="3">
        <v>0</v>
      </c>
      <c r="P957" s="3">
        <v>0</v>
      </c>
      <c r="Q957" s="3">
        <v>155.34</v>
      </c>
      <c r="R957" s="3">
        <v>20.194200000000002</v>
      </c>
      <c r="S957" s="3">
        <v>0</v>
      </c>
      <c r="T957" s="3">
        <v>0</v>
      </c>
      <c r="U957" s="3">
        <v>175.5342</v>
      </c>
      <c r="V957" s="3">
        <v>0</v>
      </c>
      <c r="W957" s="3" t="s">
        <v>1</v>
      </c>
    </row>
    <row r="958" spans="5:23" hidden="1" x14ac:dyDescent="0.25">
      <c r="E958" t="s">
        <v>8608</v>
      </c>
      <c r="F958" s="1" t="s">
        <v>8692</v>
      </c>
      <c r="G958" t="s">
        <v>1</v>
      </c>
      <c r="H958" t="s">
        <v>0</v>
      </c>
      <c r="I958" t="s">
        <v>8165</v>
      </c>
      <c r="J958" t="s">
        <v>8164</v>
      </c>
      <c r="K958">
        <v>13109</v>
      </c>
      <c r="L958">
        <v>13109</v>
      </c>
      <c r="M958" t="s">
        <v>8275</v>
      </c>
      <c r="N958" t="s">
        <v>8276</v>
      </c>
      <c r="O958" s="3">
        <v>0</v>
      </c>
      <c r="P958" s="3">
        <v>0</v>
      </c>
      <c r="Q958" s="3">
        <v>328</v>
      </c>
      <c r="R958" s="3">
        <v>42.64</v>
      </c>
      <c r="S958" s="3">
        <v>0</v>
      </c>
      <c r="T958" s="3">
        <v>0</v>
      </c>
      <c r="U958" s="3">
        <v>370.64</v>
      </c>
      <c r="V958" s="3">
        <v>0</v>
      </c>
      <c r="W958" s="3" t="s">
        <v>1</v>
      </c>
    </row>
    <row r="959" spans="5:23" hidden="1" x14ac:dyDescent="0.25">
      <c r="E959" t="s">
        <v>8608</v>
      </c>
      <c r="F959" s="1" t="s">
        <v>8692</v>
      </c>
      <c r="G959" t="s">
        <v>1</v>
      </c>
      <c r="H959" t="s">
        <v>0</v>
      </c>
      <c r="I959" t="s">
        <v>8165</v>
      </c>
      <c r="J959" t="s">
        <v>8164</v>
      </c>
      <c r="K959">
        <v>13110</v>
      </c>
      <c r="L959">
        <v>13110</v>
      </c>
      <c r="M959" t="s">
        <v>8569</v>
      </c>
      <c r="N959" t="s">
        <v>8570</v>
      </c>
      <c r="O959" s="3">
        <v>0</v>
      </c>
      <c r="P959" s="3">
        <v>0</v>
      </c>
      <c r="Q959" s="3">
        <v>153.76</v>
      </c>
      <c r="R959" s="3">
        <v>19.988800000000001</v>
      </c>
      <c r="S959" s="3">
        <v>0</v>
      </c>
      <c r="T959" s="3">
        <v>0</v>
      </c>
      <c r="U959" s="3">
        <v>173.74879999999999</v>
      </c>
      <c r="V959" s="3">
        <v>0</v>
      </c>
      <c r="W959" s="3" t="s">
        <v>1</v>
      </c>
    </row>
    <row r="960" spans="5:23" hidden="1" x14ac:dyDescent="0.25">
      <c r="E960" t="s">
        <v>8608</v>
      </c>
      <c r="F960" s="1" t="s">
        <v>8692</v>
      </c>
      <c r="G960" t="s">
        <v>1</v>
      </c>
      <c r="H960" t="s">
        <v>0</v>
      </c>
      <c r="I960" t="s">
        <v>8165</v>
      </c>
      <c r="J960" t="s">
        <v>8164</v>
      </c>
      <c r="K960">
        <v>13111</v>
      </c>
      <c r="L960">
        <v>13111</v>
      </c>
      <c r="M960" t="s">
        <v>8729</v>
      </c>
      <c r="N960" t="s">
        <v>8730</v>
      </c>
      <c r="O960" s="3">
        <v>0</v>
      </c>
      <c r="P960" s="3">
        <v>0</v>
      </c>
      <c r="Q960" s="3">
        <v>8.3800000000000008</v>
      </c>
      <c r="R960" s="3">
        <v>1.0894000000000001</v>
      </c>
      <c r="S960" s="3">
        <v>0</v>
      </c>
      <c r="T960" s="3">
        <v>0</v>
      </c>
      <c r="U960" s="3">
        <v>9.4694000000000003</v>
      </c>
      <c r="V960" s="3">
        <v>0</v>
      </c>
      <c r="W960" s="3" t="s">
        <v>1</v>
      </c>
    </row>
    <row r="961" spans="5:23" hidden="1" x14ac:dyDescent="0.25">
      <c r="E961" t="s">
        <v>8608</v>
      </c>
      <c r="F961" s="1" t="s">
        <v>8692</v>
      </c>
      <c r="G961" t="s">
        <v>1</v>
      </c>
      <c r="H961" t="s">
        <v>0</v>
      </c>
      <c r="I961" t="s">
        <v>8165</v>
      </c>
      <c r="J961" t="s">
        <v>8164</v>
      </c>
      <c r="K961">
        <v>13112</v>
      </c>
      <c r="L961">
        <v>13112</v>
      </c>
      <c r="M961" t="s">
        <v>8259</v>
      </c>
      <c r="N961" t="s">
        <v>8260</v>
      </c>
      <c r="O961" s="3">
        <v>0</v>
      </c>
      <c r="P961" s="3">
        <v>0</v>
      </c>
      <c r="Q961" s="3">
        <v>40.47</v>
      </c>
      <c r="R961" s="3">
        <v>5.2610999999999999</v>
      </c>
      <c r="S961" s="3">
        <v>0</v>
      </c>
      <c r="T961" s="3">
        <v>0</v>
      </c>
      <c r="U961" s="3">
        <v>45.731099999999998</v>
      </c>
      <c r="V961" s="3">
        <v>0</v>
      </c>
      <c r="W961" s="3" t="s">
        <v>1</v>
      </c>
    </row>
    <row r="962" spans="5:23" hidden="1" x14ac:dyDescent="0.25">
      <c r="E962" t="s">
        <v>8608</v>
      </c>
      <c r="F962" s="1" t="s">
        <v>8692</v>
      </c>
      <c r="G962" t="s">
        <v>1</v>
      </c>
      <c r="H962" t="s">
        <v>0</v>
      </c>
      <c r="I962" t="s">
        <v>8165</v>
      </c>
      <c r="J962" t="s">
        <v>8164</v>
      </c>
      <c r="K962">
        <v>13113</v>
      </c>
      <c r="L962">
        <v>13113</v>
      </c>
      <c r="M962" t="s">
        <v>115</v>
      </c>
      <c r="N962" t="s">
        <v>116</v>
      </c>
      <c r="O962" s="3">
        <v>0</v>
      </c>
      <c r="P962" s="3">
        <v>0</v>
      </c>
      <c r="Q962" s="3">
        <v>336</v>
      </c>
      <c r="R962" s="3">
        <v>43.68</v>
      </c>
      <c r="S962" s="3">
        <v>0</v>
      </c>
      <c r="T962" s="3">
        <v>0</v>
      </c>
      <c r="U962" s="3">
        <v>379.68</v>
      </c>
      <c r="V962" s="3">
        <v>0</v>
      </c>
      <c r="W962" s="3" t="s">
        <v>1</v>
      </c>
    </row>
    <row r="963" spans="5:23" hidden="1" x14ac:dyDescent="0.25">
      <c r="E963" t="s">
        <v>8608</v>
      </c>
      <c r="F963" s="1" t="s">
        <v>8692</v>
      </c>
      <c r="G963" t="s">
        <v>1</v>
      </c>
      <c r="H963" t="s">
        <v>0</v>
      </c>
      <c r="I963" t="s">
        <v>8165</v>
      </c>
      <c r="J963" t="s">
        <v>8164</v>
      </c>
      <c r="K963">
        <v>13114</v>
      </c>
      <c r="L963">
        <v>13114</v>
      </c>
      <c r="M963" t="s">
        <v>8188</v>
      </c>
      <c r="N963" t="s">
        <v>8189</v>
      </c>
      <c r="O963" s="3">
        <v>0</v>
      </c>
      <c r="P963" s="3">
        <v>0</v>
      </c>
      <c r="Q963" s="3">
        <v>160.19999999999999</v>
      </c>
      <c r="R963" s="3">
        <v>20.826000000000001</v>
      </c>
      <c r="S963" s="3">
        <v>0</v>
      </c>
      <c r="T963" s="3">
        <v>0</v>
      </c>
      <c r="U963" s="3">
        <v>181.02599999999998</v>
      </c>
      <c r="V963" s="3">
        <v>0</v>
      </c>
      <c r="W963" s="3" t="s">
        <v>1</v>
      </c>
    </row>
    <row r="964" spans="5:23" hidden="1" x14ac:dyDescent="0.25">
      <c r="E964" t="s">
        <v>8608</v>
      </c>
      <c r="F964" s="1" t="s">
        <v>8692</v>
      </c>
      <c r="G964" t="s">
        <v>1</v>
      </c>
      <c r="H964" t="s">
        <v>0</v>
      </c>
      <c r="I964" t="s">
        <v>8165</v>
      </c>
      <c r="J964" t="s">
        <v>8164</v>
      </c>
      <c r="K964">
        <v>13115</v>
      </c>
      <c r="L964">
        <v>13115</v>
      </c>
      <c r="M964" t="s">
        <v>8269</v>
      </c>
      <c r="N964" t="s">
        <v>8270</v>
      </c>
      <c r="O964" s="3">
        <v>0</v>
      </c>
      <c r="P964" s="3">
        <v>0</v>
      </c>
      <c r="Q964" s="3">
        <v>6</v>
      </c>
      <c r="R964" s="3">
        <v>0.78</v>
      </c>
      <c r="S964" s="3">
        <v>0</v>
      </c>
      <c r="T964" s="3">
        <v>0</v>
      </c>
      <c r="U964" s="3">
        <v>6.78</v>
      </c>
      <c r="V964" s="3">
        <v>0</v>
      </c>
      <c r="W964" s="3" t="s">
        <v>1</v>
      </c>
    </row>
    <row r="965" spans="5:23" hidden="1" x14ac:dyDescent="0.25">
      <c r="E965" t="s">
        <v>8608</v>
      </c>
      <c r="F965" s="1" t="s">
        <v>8692</v>
      </c>
      <c r="G965" t="s">
        <v>1</v>
      </c>
      <c r="H965" t="s">
        <v>0</v>
      </c>
      <c r="I965" t="s">
        <v>8165</v>
      </c>
      <c r="J965" t="s">
        <v>8164</v>
      </c>
      <c r="K965">
        <v>13116</v>
      </c>
      <c r="L965">
        <v>13116</v>
      </c>
      <c r="M965" t="s">
        <v>8727</v>
      </c>
      <c r="N965" t="s">
        <v>8728</v>
      </c>
      <c r="O965" s="3">
        <v>0</v>
      </c>
      <c r="P965" s="3">
        <v>0</v>
      </c>
      <c r="Q965" s="3">
        <v>19.350000000000001</v>
      </c>
      <c r="R965" s="3">
        <v>2.5155000000000003</v>
      </c>
      <c r="S965" s="3">
        <v>0</v>
      </c>
      <c r="T965" s="3">
        <v>0</v>
      </c>
      <c r="U965" s="3">
        <v>21.865500000000001</v>
      </c>
      <c r="V965" s="3">
        <v>0</v>
      </c>
      <c r="W965" s="3" t="s">
        <v>1</v>
      </c>
    </row>
    <row r="966" spans="5:23" hidden="1" x14ac:dyDescent="0.25">
      <c r="E966" t="s">
        <v>8608</v>
      </c>
      <c r="F966" s="1" t="s">
        <v>8692</v>
      </c>
      <c r="G966" t="s">
        <v>1</v>
      </c>
      <c r="H966" t="s">
        <v>0</v>
      </c>
      <c r="I966" t="s">
        <v>8165</v>
      </c>
      <c r="J966" t="s">
        <v>8164</v>
      </c>
      <c r="K966">
        <v>13117</v>
      </c>
      <c r="L966">
        <v>13117</v>
      </c>
      <c r="M966" t="s">
        <v>8480</v>
      </c>
      <c r="N966" t="s">
        <v>8481</v>
      </c>
      <c r="O966" s="3">
        <v>0</v>
      </c>
      <c r="P966" s="3">
        <v>0</v>
      </c>
      <c r="Q966" s="3">
        <v>8.85</v>
      </c>
      <c r="R966" s="3">
        <v>1.1505000000000001</v>
      </c>
      <c r="S966" s="3">
        <v>0</v>
      </c>
      <c r="T966" s="3">
        <v>0</v>
      </c>
      <c r="U966" s="3">
        <v>10.000499999999999</v>
      </c>
      <c r="V966" s="3">
        <v>0</v>
      </c>
      <c r="W966" s="3" t="s">
        <v>1</v>
      </c>
    </row>
    <row r="967" spans="5:23" hidden="1" x14ac:dyDescent="0.25">
      <c r="E967" t="s">
        <v>8608</v>
      </c>
      <c r="F967" s="1" t="s">
        <v>8691</v>
      </c>
      <c r="G967" t="s">
        <v>1</v>
      </c>
      <c r="H967" t="s">
        <v>0</v>
      </c>
      <c r="I967" t="s">
        <v>8165</v>
      </c>
      <c r="J967" t="s">
        <v>8164</v>
      </c>
      <c r="K967">
        <v>13118</v>
      </c>
      <c r="L967">
        <v>13118</v>
      </c>
      <c r="M967" t="s">
        <v>8174</v>
      </c>
      <c r="N967" t="s">
        <v>8175</v>
      </c>
      <c r="O967" s="3">
        <v>0</v>
      </c>
      <c r="P967" s="3">
        <v>0</v>
      </c>
      <c r="Q967" s="3">
        <v>40</v>
      </c>
      <c r="R967" s="3">
        <v>5.2</v>
      </c>
      <c r="S967" s="3">
        <v>0</v>
      </c>
      <c r="T967" s="3">
        <v>0</v>
      </c>
      <c r="U967" s="3">
        <v>45.2</v>
      </c>
      <c r="V967" s="3">
        <v>0</v>
      </c>
      <c r="W967" s="3" t="s">
        <v>1</v>
      </c>
    </row>
    <row r="968" spans="5:23" hidden="1" x14ac:dyDescent="0.25">
      <c r="E968" t="s">
        <v>8608</v>
      </c>
      <c r="F968" s="1" t="s">
        <v>8691</v>
      </c>
      <c r="G968" t="s">
        <v>1</v>
      </c>
      <c r="H968" t="s">
        <v>0</v>
      </c>
      <c r="I968" t="s">
        <v>8165</v>
      </c>
      <c r="J968" t="s">
        <v>8164</v>
      </c>
      <c r="K968">
        <v>13119</v>
      </c>
      <c r="L968">
        <v>13119</v>
      </c>
      <c r="M968" t="s">
        <v>3977</v>
      </c>
      <c r="N968" t="s">
        <v>3978</v>
      </c>
      <c r="O968" s="3">
        <v>0</v>
      </c>
      <c r="P968" s="3">
        <v>0</v>
      </c>
      <c r="Q968" s="3">
        <v>221</v>
      </c>
      <c r="R968" s="3">
        <v>28.73</v>
      </c>
      <c r="S968" s="3">
        <v>0</v>
      </c>
      <c r="T968" s="3">
        <v>0</v>
      </c>
      <c r="U968" s="3">
        <v>249.73</v>
      </c>
      <c r="V968" s="3">
        <v>0</v>
      </c>
      <c r="W968" s="3" t="s">
        <v>1</v>
      </c>
    </row>
    <row r="969" spans="5:23" hidden="1" x14ac:dyDescent="0.25">
      <c r="E969" t="s">
        <v>8608</v>
      </c>
      <c r="F969" s="1" t="s">
        <v>8691</v>
      </c>
      <c r="G969" t="s">
        <v>1</v>
      </c>
      <c r="H969" t="s">
        <v>0</v>
      </c>
      <c r="I969" t="s">
        <v>8165</v>
      </c>
      <c r="J969" t="s">
        <v>8164</v>
      </c>
      <c r="K969">
        <v>13120</v>
      </c>
      <c r="L969">
        <v>13120</v>
      </c>
      <c r="M969" t="s">
        <v>8391</v>
      </c>
      <c r="N969" t="s">
        <v>8392</v>
      </c>
      <c r="O969" s="3">
        <v>0</v>
      </c>
      <c r="P969" s="3">
        <v>0</v>
      </c>
      <c r="Q969" s="3">
        <v>123.01</v>
      </c>
      <c r="R969" s="3">
        <v>15.991300000000001</v>
      </c>
      <c r="S969" s="3">
        <v>0</v>
      </c>
      <c r="T969" s="3">
        <v>0</v>
      </c>
      <c r="U969" s="3">
        <v>139.00130000000001</v>
      </c>
      <c r="V969" s="3">
        <v>0</v>
      </c>
      <c r="W969" s="3" t="s">
        <v>1</v>
      </c>
    </row>
    <row r="970" spans="5:23" hidden="1" x14ac:dyDescent="0.25">
      <c r="E970" t="s">
        <v>8608</v>
      </c>
      <c r="F970" s="1" t="s">
        <v>8691</v>
      </c>
      <c r="G970" t="s">
        <v>1</v>
      </c>
      <c r="H970" t="s">
        <v>0</v>
      </c>
      <c r="I970" t="s">
        <v>8165</v>
      </c>
      <c r="J970" t="s">
        <v>8164</v>
      </c>
      <c r="K970">
        <v>13121</v>
      </c>
      <c r="L970">
        <v>13121</v>
      </c>
      <c r="M970" t="s">
        <v>238</v>
      </c>
      <c r="N970" t="s">
        <v>239</v>
      </c>
      <c r="O970" s="3">
        <v>0</v>
      </c>
      <c r="P970" s="3">
        <v>0</v>
      </c>
      <c r="Q970" s="3">
        <v>117.58</v>
      </c>
      <c r="R970" s="3">
        <v>15.285400000000001</v>
      </c>
      <c r="S970" s="3">
        <v>0</v>
      </c>
      <c r="T970" s="3">
        <v>0</v>
      </c>
      <c r="U970" s="3">
        <v>132.86539999999999</v>
      </c>
      <c r="V970" s="3">
        <v>0</v>
      </c>
      <c r="W970" s="3" t="s">
        <v>1</v>
      </c>
    </row>
    <row r="971" spans="5:23" hidden="1" x14ac:dyDescent="0.25">
      <c r="E971" t="s">
        <v>8608</v>
      </c>
      <c r="F971" s="1" t="s">
        <v>8691</v>
      </c>
      <c r="G971" t="s">
        <v>1</v>
      </c>
      <c r="H971" t="s">
        <v>0</v>
      </c>
      <c r="I971" t="s">
        <v>8165</v>
      </c>
      <c r="J971" t="s">
        <v>8164</v>
      </c>
      <c r="K971">
        <v>13122</v>
      </c>
      <c r="L971">
        <v>13122</v>
      </c>
      <c r="M971" t="s">
        <v>8269</v>
      </c>
      <c r="N971" t="s">
        <v>8270</v>
      </c>
      <c r="O971" s="3">
        <v>0</v>
      </c>
      <c r="P971" s="3">
        <v>0</v>
      </c>
      <c r="Q971" s="3">
        <v>6</v>
      </c>
      <c r="R971" s="3">
        <v>0.78</v>
      </c>
      <c r="S971" s="3">
        <v>0</v>
      </c>
      <c r="T971" s="3">
        <v>0</v>
      </c>
      <c r="U971" s="3">
        <v>6.78</v>
      </c>
      <c r="V971" s="3">
        <v>0</v>
      </c>
      <c r="W971" s="3" t="s">
        <v>1</v>
      </c>
    </row>
    <row r="972" spans="5:23" hidden="1" x14ac:dyDescent="0.25">
      <c r="E972" t="s">
        <v>8608</v>
      </c>
      <c r="F972" s="1" t="s">
        <v>8690</v>
      </c>
      <c r="G972" t="s">
        <v>1</v>
      </c>
      <c r="H972" t="s">
        <v>0</v>
      </c>
      <c r="I972" t="s">
        <v>8165</v>
      </c>
      <c r="J972" t="s">
        <v>8164</v>
      </c>
      <c r="K972">
        <v>13123</v>
      </c>
      <c r="L972">
        <v>13123</v>
      </c>
      <c r="M972" t="s">
        <v>1062</v>
      </c>
      <c r="N972" t="s">
        <v>1063</v>
      </c>
      <c r="O972" s="3">
        <v>0</v>
      </c>
      <c r="P972" s="3">
        <v>0</v>
      </c>
      <c r="Q972" s="3">
        <v>187.4</v>
      </c>
      <c r="R972" s="3">
        <v>24.362000000000002</v>
      </c>
      <c r="S972" s="3">
        <v>0</v>
      </c>
      <c r="T972" s="3">
        <v>0</v>
      </c>
      <c r="U972" s="3">
        <v>211.762</v>
      </c>
      <c r="V972" s="3">
        <v>0</v>
      </c>
      <c r="W972" s="3" t="s">
        <v>1</v>
      </c>
    </row>
    <row r="973" spans="5:23" hidden="1" x14ac:dyDescent="0.25">
      <c r="E973" t="s">
        <v>8608</v>
      </c>
      <c r="F973" s="1" t="s">
        <v>8690</v>
      </c>
      <c r="G973" t="s">
        <v>1</v>
      </c>
      <c r="H973" t="s">
        <v>0</v>
      </c>
      <c r="I973" t="s">
        <v>8165</v>
      </c>
      <c r="J973" t="s">
        <v>8164</v>
      </c>
      <c r="K973">
        <v>13124</v>
      </c>
      <c r="L973">
        <v>13124</v>
      </c>
      <c r="M973" t="s">
        <v>1062</v>
      </c>
      <c r="N973" t="s">
        <v>1063</v>
      </c>
      <c r="O973" s="3">
        <v>0</v>
      </c>
      <c r="P973" s="3">
        <v>0</v>
      </c>
      <c r="Q973" s="3">
        <v>20</v>
      </c>
      <c r="R973" s="3">
        <v>2.6</v>
      </c>
      <c r="S973" s="3">
        <v>0</v>
      </c>
      <c r="T973" s="3">
        <v>0</v>
      </c>
      <c r="U973" s="3">
        <v>22.6</v>
      </c>
      <c r="V973" s="3">
        <v>0</v>
      </c>
      <c r="W973" s="3" t="s">
        <v>1</v>
      </c>
    </row>
    <row r="974" spans="5:23" hidden="1" x14ac:dyDescent="0.25">
      <c r="E974" t="s">
        <v>8608</v>
      </c>
      <c r="F974" s="1" t="s">
        <v>8690</v>
      </c>
      <c r="G974" t="s">
        <v>1</v>
      </c>
      <c r="H974" t="s">
        <v>0</v>
      </c>
      <c r="I974" t="s">
        <v>8165</v>
      </c>
      <c r="J974" t="s">
        <v>8164</v>
      </c>
      <c r="K974">
        <v>13125</v>
      </c>
      <c r="L974">
        <v>13125</v>
      </c>
      <c r="M974" t="s">
        <v>164</v>
      </c>
      <c r="N974" t="s">
        <v>165</v>
      </c>
      <c r="O974" s="3">
        <v>0</v>
      </c>
      <c r="P974" s="3">
        <v>0</v>
      </c>
      <c r="Q974" s="3">
        <v>153.6</v>
      </c>
      <c r="R974" s="3">
        <v>19.968</v>
      </c>
      <c r="S974" s="3">
        <v>0</v>
      </c>
      <c r="T974" s="3">
        <v>0</v>
      </c>
      <c r="U974" s="3">
        <v>173.56799999999998</v>
      </c>
      <c r="V974" s="3">
        <v>0</v>
      </c>
      <c r="W974" s="3" t="s">
        <v>1</v>
      </c>
    </row>
    <row r="975" spans="5:23" hidden="1" x14ac:dyDescent="0.25">
      <c r="E975" t="s">
        <v>8608</v>
      </c>
      <c r="F975" s="1" t="s">
        <v>8690</v>
      </c>
      <c r="G975" t="s">
        <v>1</v>
      </c>
      <c r="H975" t="s">
        <v>0</v>
      </c>
      <c r="I975" t="s">
        <v>8165</v>
      </c>
      <c r="J975" t="s">
        <v>8164</v>
      </c>
      <c r="K975">
        <v>13126</v>
      </c>
      <c r="L975">
        <v>13126</v>
      </c>
      <c r="M975" t="s">
        <v>7869</v>
      </c>
      <c r="N975" t="s">
        <v>7870</v>
      </c>
      <c r="O975" s="3">
        <v>0</v>
      </c>
      <c r="P975" s="3">
        <v>0</v>
      </c>
      <c r="Q975" s="3">
        <v>21.06</v>
      </c>
      <c r="R975" s="3">
        <v>2.7378</v>
      </c>
      <c r="S975" s="3">
        <v>0</v>
      </c>
      <c r="T975" s="3">
        <v>0</v>
      </c>
      <c r="U975" s="3">
        <v>23.797799999999999</v>
      </c>
      <c r="V975" s="3">
        <v>0</v>
      </c>
      <c r="W975" s="3" t="s">
        <v>1</v>
      </c>
    </row>
    <row r="976" spans="5:23" hidden="1" x14ac:dyDescent="0.25">
      <c r="E976" t="s">
        <v>8608</v>
      </c>
      <c r="F976" s="1" t="s">
        <v>8690</v>
      </c>
      <c r="G976" t="s">
        <v>1</v>
      </c>
      <c r="H976" t="s">
        <v>0</v>
      </c>
      <c r="I976" t="s">
        <v>8165</v>
      </c>
      <c r="J976" t="s">
        <v>8164</v>
      </c>
      <c r="K976">
        <v>13127</v>
      </c>
      <c r="L976">
        <v>13127</v>
      </c>
      <c r="M976" t="s">
        <v>8306</v>
      </c>
      <c r="N976" t="s">
        <v>8307</v>
      </c>
      <c r="O976" s="3">
        <v>0</v>
      </c>
      <c r="P976" s="3">
        <v>0</v>
      </c>
      <c r="Q976" s="3">
        <v>14.07</v>
      </c>
      <c r="R976" s="3">
        <v>1.8291000000000002</v>
      </c>
      <c r="S976" s="3">
        <v>0</v>
      </c>
      <c r="T976" s="3">
        <v>0</v>
      </c>
      <c r="U976" s="3">
        <v>15.899100000000001</v>
      </c>
      <c r="V976" s="3">
        <v>0</v>
      </c>
      <c r="W976" s="3" t="s">
        <v>1</v>
      </c>
    </row>
    <row r="977" spans="5:23" hidden="1" x14ac:dyDescent="0.25">
      <c r="E977" t="s">
        <v>8608</v>
      </c>
      <c r="F977" s="1" t="s">
        <v>8690</v>
      </c>
      <c r="G977" t="s">
        <v>1</v>
      </c>
      <c r="H977" t="s">
        <v>0</v>
      </c>
      <c r="I977" t="s">
        <v>8165</v>
      </c>
      <c r="J977" t="s">
        <v>8164</v>
      </c>
      <c r="K977">
        <v>13128</v>
      </c>
      <c r="L977">
        <v>13128</v>
      </c>
      <c r="M977" t="s">
        <v>190</v>
      </c>
      <c r="N977" t="s">
        <v>191</v>
      </c>
      <c r="O977" s="3">
        <v>0</v>
      </c>
      <c r="P977" s="3">
        <v>0</v>
      </c>
      <c r="Q977" s="3">
        <v>398.27</v>
      </c>
      <c r="R977" s="3">
        <v>51.775100000000002</v>
      </c>
      <c r="S977" s="3">
        <v>0</v>
      </c>
      <c r="T977" s="3">
        <v>0</v>
      </c>
      <c r="U977" s="3">
        <v>450.04509999999999</v>
      </c>
      <c r="V977" s="3">
        <v>0</v>
      </c>
      <c r="W977" s="3" t="s">
        <v>1</v>
      </c>
    </row>
    <row r="978" spans="5:23" hidden="1" x14ac:dyDescent="0.25">
      <c r="E978" t="s">
        <v>8608</v>
      </c>
      <c r="F978" s="1" t="s">
        <v>8690</v>
      </c>
      <c r="G978" t="s">
        <v>1</v>
      </c>
      <c r="H978" t="s">
        <v>0</v>
      </c>
      <c r="I978" t="s">
        <v>8165</v>
      </c>
      <c r="J978" t="s">
        <v>8164</v>
      </c>
      <c r="K978">
        <v>13129</v>
      </c>
      <c r="L978">
        <v>13129</v>
      </c>
      <c r="M978">
        <v>0</v>
      </c>
      <c r="N978" t="s">
        <v>8169</v>
      </c>
      <c r="O978" s="3">
        <v>0</v>
      </c>
      <c r="P978" s="3">
        <v>0</v>
      </c>
      <c r="Q978" s="3">
        <v>36.44</v>
      </c>
      <c r="R978" s="3">
        <v>4.7371999999999996</v>
      </c>
      <c r="S978" s="3">
        <v>0</v>
      </c>
      <c r="T978" s="3">
        <v>0</v>
      </c>
      <c r="U978" s="3">
        <v>41.177199999999999</v>
      </c>
      <c r="V978" s="3" t="s">
        <v>8646</v>
      </c>
      <c r="W978" s="3" t="s">
        <v>1</v>
      </c>
    </row>
    <row r="979" spans="5:23" hidden="1" x14ac:dyDescent="0.25">
      <c r="E979" t="s">
        <v>8608</v>
      </c>
      <c r="F979" s="1" t="s">
        <v>8690</v>
      </c>
      <c r="G979" t="s">
        <v>1</v>
      </c>
      <c r="H979" t="s">
        <v>0</v>
      </c>
      <c r="I979" t="s">
        <v>8165</v>
      </c>
      <c r="J979" t="s">
        <v>8164</v>
      </c>
      <c r="K979">
        <v>13130</v>
      </c>
      <c r="L979">
        <v>13130</v>
      </c>
      <c r="M979" t="s">
        <v>807</v>
      </c>
      <c r="N979" t="s">
        <v>808</v>
      </c>
      <c r="O979" s="3">
        <v>0</v>
      </c>
      <c r="P979" s="3">
        <v>0</v>
      </c>
      <c r="Q979" s="3">
        <v>558.63</v>
      </c>
      <c r="R979" s="3">
        <v>72.621899999999997</v>
      </c>
      <c r="S979" s="3">
        <v>0</v>
      </c>
      <c r="T979" s="3">
        <v>0</v>
      </c>
      <c r="U979" s="3">
        <v>631.25189999999998</v>
      </c>
      <c r="V979" s="3">
        <v>0</v>
      </c>
      <c r="W979" s="3" t="s">
        <v>1</v>
      </c>
    </row>
    <row r="980" spans="5:23" hidden="1" x14ac:dyDescent="0.25">
      <c r="E980" t="s">
        <v>8608</v>
      </c>
      <c r="F980" s="1" t="s">
        <v>8690</v>
      </c>
      <c r="G980" t="s">
        <v>1</v>
      </c>
      <c r="H980" t="s">
        <v>0</v>
      </c>
      <c r="I980" t="s">
        <v>8165</v>
      </c>
      <c r="J980" t="s">
        <v>8164</v>
      </c>
      <c r="K980">
        <v>13131</v>
      </c>
      <c r="L980">
        <v>13131</v>
      </c>
      <c r="M980" t="s">
        <v>8269</v>
      </c>
      <c r="N980" t="s">
        <v>8270</v>
      </c>
      <c r="O980" s="3">
        <v>0</v>
      </c>
      <c r="P980" s="3">
        <v>0</v>
      </c>
      <c r="Q980" s="3">
        <v>36.58</v>
      </c>
      <c r="R980" s="3">
        <v>4.7553999999999998</v>
      </c>
      <c r="S980" s="3">
        <v>0</v>
      </c>
      <c r="T980" s="3">
        <v>0</v>
      </c>
      <c r="U980" s="3">
        <v>41.3354</v>
      </c>
      <c r="V980" s="3">
        <v>0</v>
      </c>
      <c r="W980" s="3" t="s">
        <v>1</v>
      </c>
    </row>
    <row r="981" spans="5:23" hidden="1" x14ac:dyDescent="0.25">
      <c r="E981" t="s">
        <v>8608</v>
      </c>
      <c r="F981" s="1" t="s">
        <v>8690</v>
      </c>
      <c r="G981" t="s">
        <v>1</v>
      </c>
      <c r="H981" t="s">
        <v>0</v>
      </c>
      <c r="I981" t="s">
        <v>8165</v>
      </c>
      <c r="J981" t="s">
        <v>8164</v>
      </c>
      <c r="K981">
        <v>13132</v>
      </c>
      <c r="L981">
        <v>13132</v>
      </c>
      <c r="M981" t="s">
        <v>8713</v>
      </c>
      <c r="N981" t="s">
        <v>8714</v>
      </c>
      <c r="O981" s="3">
        <v>0</v>
      </c>
      <c r="P981" s="3">
        <v>0</v>
      </c>
      <c r="Q981" s="3">
        <v>57</v>
      </c>
      <c r="R981" s="3">
        <v>7.41</v>
      </c>
      <c r="S981" s="3">
        <v>0</v>
      </c>
      <c r="T981" s="3">
        <v>0</v>
      </c>
      <c r="U981" s="3">
        <v>64.41</v>
      </c>
      <c r="V981" s="3">
        <v>0</v>
      </c>
      <c r="W981" s="3" t="s">
        <v>1</v>
      </c>
    </row>
    <row r="982" spans="5:23" hidden="1" x14ac:dyDescent="0.25">
      <c r="E982" t="s">
        <v>8608</v>
      </c>
      <c r="F982" s="1" t="s">
        <v>8726</v>
      </c>
      <c r="G982" t="s">
        <v>1</v>
      </c>
      <c r="H982" t="s">
        <v>0</v>
      </c>
      <c r="I982" t="s">
        <v>8165</v>
      </c>
      <c r="J982" t="s">
        <v>8164</v>
      </c>
      <c r="K982">
        <v>13133</v>
      </c>
      <c r="L982">
        <v>13133</v>
      </c>
      <c r="M982" t="s">
        <v>8711</v>
      </c>
      <c r="N982" t="s">
        <v>8712</v>
      </c>
      <c r="O982" s="3">
        <v>0</v>
      </c>
      <c r="P982" s="3">
        <v>0</v>
      </c>
      <c r="Q982" s="3">
        <v>187.82</v>
      </c>
      <c r="R982" s="3">
        <v>24.416599999999999</v>
      </c>
      <c r="S982" s="3">
        <v>0</v>
      </c>
      <c r="T982" s="3">
        <v>0</v>
      </c>
      <c r="U982" s="3">
        <v>212.23659999999998</v>
      </c>
      <c r="V982" s="3">
        <v>0</v>
      </c>
      <c r="W982" s="3" t="s">
        <v>1</v>
      </c>
    </row>
    <row r="983" spans="5:23" hidden="1" x14ac:dyDescent="0.25">
      <c r="E983" t="s">
        <v>8608</v>
      </c>
      <c r="F983" s="1" t="s">
        <v>8689</v>
      </c>
      <c r="G983" t="s">
        <v>1</v>
      </c>
      <c r="H983" t="s">
        <v>0</v>
      </c>
      <c r="I983" t="s">
        <v>8165</v>
      </c>
      <c r="J983" t="s">
        <v>8164</v>
      </c>
      <c r="K983">
        <v>13134</v>
      </c>
      <c r="L983">
        <v>13134</v>
      </c>
      <c r="M983" t="s">
        <v>7869</v>
      </c>
      <c r="N983" t="s">
        <v>7870</v>
      </c>
      <c r="O983" s="3">
        <v>0</v>
      </c>
      <c r="P983" s="3">
        <v>0</v>
      </c>
      <c r="Q983" s="3">
        <v>60</v>
      </c>
      <c r="R983" s="3">
        <v>7.8000000000000007</v>
      </c>
      <c r="S983" s="3">
        <v>0</v>
      </c>
      <c r="T983" s="3">
        <v>0</v>
      </c>
      <c r="U983" s="3">
        <v>67.8</v>
      </c>
      <c r="V983" s="3">
        <v>0</v>
      </c>
      <c r="W983" s="3" t="s">
        <v>1</v>
      </c>
    </row>
    <row r="984" spans="5:23" hidden="1" x14ac:dyDescent="0.25">
      <c r="E984" t="s">
        <v>8608</v>
      </c>
      <c r="F984" s="1" t="s">
        <v>8689</v>
      </c>
      <c r="G984" t="s">
        <v>1</v>
      </c>
      <c r="H984" t="s">
        <v>0</v>
      </c>
      <c r="I984" t="s">
        <v>8165</v>
      </c>
      <c r="J984" t="s">
        <v>8164</v>
      </c>
      <c r="K984">
        <v>13135</v>
      </c>
      <c r="L984">
        <v>13135</v>
      </c>
      <c r="M984" t="s">
        <v>8255</v>
      </c>
      <c r="N984" t="s">
        <v>8256</v>
      </c>
      <c r="O984" s="3">
        <v>0</v>
      </c>
      <c r="P984" s="3">
        <v>0</v>
      </c>
      <c r="Q984" s="3">
        <v>138</v>
      </c>
      <c r="R984" s="3">
        <v>17.940000000000001</v>
      </c>
      <c r="S984" s="3">
        <v>0</v>
      </c>
      <c r="T984" s="3">
        <v>0</v>
      </c>
      <c r="U984" s="3">
        <v>155.94</v>
      </c>
      <c r="V984" s="3">
        <v>0</v>
      </c>
      <c r="W984" s="3" t="s">
        <v>1</v>
      </c>
    </row>
    <row r="985" spans="5:23" hidden="1" x14ac:dyDescent="0.25">
      <c r="E985" t="s">
        <v>8608</v>
      </c>
      <c r="F985" s="1" t="s">
        <v>8689</v>
      </c>
      <c r="G985" t="s">
        <v>1</v>
      </c>
      <c r="H985" t="s">
        <v>0</v>
      </c>
      <c r="I985" t="s">
        <v>8165</v>
      </c>
      <c r="J985" t="s">
        <v>8164</v>
      </c>
      <c r="K985">
        <v>13136</v>
      </c>
      <c r="L985">
        <v>13136</v>
      </c>
      <c r="M985" t="s">
        <v>7852</v>
      </c>
      <c r="N985" t="s">
        <v>7851</v>
      </c>
      <c r="O985" s="3">
        <v>0</v>
      </c>
      <c r="P985" s="3">
        <v>0</v>
      </c>
      <c r="Q985" s="3">
        <v>0</v>
      </c>
      <c r="R985" s="3">
        <v>0</v>
      </c>
      <c r="S985" s="3">
        <v>0</v>
      </c>
      <c r="T985" s="3">
        <v>0</v>
      </c>
      <c r="U985" s="3">
        <v>0</v>
      </c>
      <c r="V985" s="3">
        <v>0</v>
      </c>
      <c r="W985" s="3" t="s">
        <v>1</v>
      </c>
    </row>
    <row r="986" spans="5:23" hidden="1" x14ac:dyDescent="0.25">
      <c r="E986" t="s">
        <v>8608</v>
      </c>
      <c r="F986" s="1" t="s">
        <v>8689</v>
      </c>
      <c r="G986" t="s">
        <v>1</v>
      </c>
      <c r="H986" t="s">
        <v>0</v>
      </c>
      <c r="I986" t="s">
        <v>8165</v>
      </c>
      <c r="J986" t="s">
        <v>8164</v>
      </c>
      <c r="K986">
        <v>13137</v>
      </c>
      <c r="L986">
        <v>13137</v>
      </c>
      <c r="M986">
        <v>0</v>
      </c>
      <c r="N986" t="s">
        <v>8219</v>
      </c>
      <c r="O986" s="3">
        <v>0</v>
      </c>
      <c r="P986" s="3">
        <v>0</v>
      </c>
      <c r="Q986" s="3">
        <v>141</v>
      </c>
      <c r="R986" s="3">
        <v>18.330000000000002</v>
      </c>
      <c r="S986" s="3">
        <v>0</v>
      </c>
      <c r="T986" s="3">
        <v>0</v>
      </c>
      <c r="U986" s="3">
        <v>159.33000000000001</v>
      </c>
      <c r="V986" s="3" t="s">
        <v>8636</v>
      </c>
      <c r="W986" s="3" t="s">
        <v>1</v>
      </c>
    </row>
    <row r="987" spans="5:23" hidden="1" x14ac:dyDescent="0.25">
      <c r="E987" t="s">
        <v>8608</v>
      </c>
      <c r="F987" s="1" t="s">
        <v>8689</v>
      </c>
      <c r="G987" t="s">
        <v>1</v>
      </c>
      <c r="H987" t="s">
        <v>0</v>
      </c>
      <c r="I987" t="s">
        <v>8165</v>
      </c>
      <c r="J987" t="s">
        <v>8164</v>
      </c>
      <c r="K987">
        <v>13138</v>
      </c>
      <c r="L987">
        <v>13138</v>
      </c>
      <c r="M987" t="s">
        <v>8724</v>
      </c>
      <c r="N987" t="s">
        <v>8725</v>
      </c>
      <c r="O987" s="3">
        <v>0</v>
      </c>
      <c r="P987" s="3">
        <v>0</v>
      </c>
      <c r="Q987" s="3">
        <v>86.28</v>
      </c>
      <c r="R987" s="3">
        <v>11.2164</v>
      </c>
      <c r="S987" s="3">
        <v>0</v>
      </c>
      <c r="T987" s="3">
        <v>0</v>
      </c>
      <c r="U987" s="3">
        <v>97.496399999999994</v>
      </c>
      <c r="V987" s="3">
        <v>0</v>
      </c>
      <c r="W987" s="3" t="s">
        <v>1</v>
      </c>
    </row>
    <row r="988" spans="5:23" hidden="1" x14ac:dyDescent="0.25">
      <c r="E988" t="s">
        <v>8608</v>
      </c>
      <c r="F988" s="1" t="s">
        <v>8689</v>
      </c>
      <c r="G988" t="s">
        <v>1</v>
      </c>
      <c r="H988" t="s">
        <v>0</v>
      </c>
      <c r="I988" t="s">
        <v>8165</v>
      </c>
      <c r="J988" t="s">
        <v>8164</v>
      </c>
      <c r="K988">
        <v>13139</v>
      </c>
      <c r="L988">
        <v>13139</v>
      </c>
      <c r="M988" t="s">
        <v>7852</v>
      </c>
      <c r="N988" t="s">
        <v>7851</v>
      </c>
      <c r="O988" s="3">
        <v>0</v>
      </c>
      <c r="P988" s="3">
        <v>0</v>
      </c>
      <c r="Q988" s="3">
        <v>0</v>
      </c>
      <c r="R988" s="3">
        <v>0</v>
      </c>
      <c r="S988" s="3">
        <v>0</v>
      </c>
      <c r="T988" s="3">
        <v>0</v>
      </c>
      <c r="U988" s="3">
        <v>0</v>
      </c>
      <c r="V988" s="3">
        <v>0</v>
      </c>
      <c r="W988" s="3" t="s">
        <v>1</v>
      </c>
    </row>
    <row r="989" spans="5:23" hidden="1" x14ac:dyDescent="0.25">
      <c r="E989" t="s">
        <v>8608</v>
      </c>
      <c r="F989" s="1" t="s">
        <v>8689</v>
      </c>
      <c r="G989" t="s">
        <v>1</v>
      </c>
      <c r="H989" t="s">
        <v>0</v>
      </c>
      <c r="I989" t="s">
        <v>8165</v>
      </c>
      <c r="J989" t="s">
        <v>8164</v>
      </c>
      <c r="K989">
        <v>13140</v>
      </c>
      <c r="L989">
        <v>13140</v>
      </c>
      <c r="M989" t="s">
        <v>8722</v>
      </c>
      <c r="N989" t="s">
        <v>8723</v>
      </c>
      <c r="O989" s="3">
        <v>0</v>
      </c>
      <c r="P989" s="3">
        <v>0</v>
      </c>
      <c r="Q989" s="3">
        <v>245.12</v>
      </c>
      <c r="R989" s="3">
        <v>31.865600000000001</v>
      </c>
      <c r="S989" s="3">
        <v>0</v>
      </c>
      <c r="T989" s="3">
        <v>0</v>
      </c>
      <c r="U989" s="3">
        <v>276.98559999999998</v>
      </c>
      <c r="V989" s="3">
        <v>0</v>
      </c>
      <c r="W989" s="3" t="s">
        <v>1</v>
      </c>
    </row>
    <row r="990" spans="5:23" hidden="1" x14ac:dyDescent="0.25">
      <c r="E990" t="s">
        <v>8608</v>
      </c>
      <c r="F990" s="1" t="s">
        <v>8689</v>
      </c>
      <c r="G990" t="s">
        <v>1</v>
      </c>
      <c r="H990" t="s">
        <v>0</v>
      </c>
      <c r="I990" t="s">
        <v>8165</v>
      </c>
      <c r="J990" t="s">
        <v>8164</v>
      </c>
      <c r="K990">
        <v>13141</v>
      </c>
      <c r="L990">
        <v>13141</v>
      </c>
      <c r="M990" t="s">
        <v>8213</v>
      </c>
      <c r="N990" t="s">
        <v>8181</v>
      </c>
      <c r="O990" s="3">
        <v>0</v>
      </c>
      <c r="P990" s="3">
        <v>0</v>
      </c>
      <c r="Q990" s="3">
        <v>49.2</v>
      </c>
      <c r="R990" s="3">
        <v>6.3960000000000008</v>
      </c>
      <c r="S990" s="3">
        <v>0</v>
      </c>
      <c r="T990" s="3">
        <v>0</v>
      </c>
      <c r="U990" s="3">
        <v>55.596000000000004</v>
      </c>
      <c r="V990" s="3">
        <v>0</v>
      </c>
      <c r="W990" s="3" t="s">
        <v>1</v>
      </c>
    </row>
    <row r="991" spans="5:23" hidden="1" x14ac:dyDescent="0.25">
      <c r="E991" t="s">
        <v>8608</v>
      </c>
      <c r="F991" s="1" t="s">
        <v>8689</v>
      </c>
      <c r="G991" t="s">
        <v>1</v>
      </c>
      <c r="H991" t="s">
        <v>0</v>
      </c>
      <c r="I991" t="s">
        <v>8165</v>
      </c>
      <c r="J991" t="s">
        <v>8164</v>
      </c>
      <c r="K991">
        <v>13142</v>
      </c>
      <c r="L991">
        <v>13142</v>
      </c>
      <c r="M991">
        <v>0</v>
      </c>
      <c r="N991" t="s">
        <v>8208</v>
      </c>
      <c r="O991" s="3">
        <v>0</v>
      </c>
      <c r="P991" s="3">
        <v>0</v>
      </c>
      <c r="Q991" s="3">
        <v>28.44</v>
      </c>
      <c r="R991" s="3">
        <v>3.6972000000000005</v>
      </c>
      <c r="S991" s="3">
        <v>0</v>
      </c>
      <c r="T991" s="3">
        <v>0</v>
      </c>
      <c r="U991" s="3">
        <v>32.1372</v>
      </c>
      <c r="V991" s="3" t="s">
        <v>8650</v>
      </c>
      <c r="W991" s="3" t="s">
        <v>1</v>
      </c>
    </row>
    <row r="992" spans="5:23" hidden="1" x14ac:dyDescent="0.25">
      <c r="E992" t="s">
        <v>8608</v>
      </c>
      <c r="F992" s="1" t="s">
        <v>8688</v>
      </c>
      <c r="G992" t="s">
        <v>1</v>
      </c>
      <c r="H992" t="s">
        <v>0</v>
      </c>
      <c r="I992" t="s">
        <v>8165</v>
      </c>
      <c r="J992" t="s">
        <v>8164</v>
      </c>
      <c r="K992">
        <v>13143</v>
      </c>
      <c r="L992">
        <v>13143</v>
      </c>
      <c r="M992" t="s">
        <v>8188</v>
      </c>
      <c r="N992" t="s">
        <v>8189</v>
      </c>
      <c r="O992" s="3">
        <v>0</v>
      </c>
      <c r="P992" s="3">
        <v>0</v>
      </c>
      <c r="Q992" s="3">
        <v>901.5</v>
      </c>
      <c r="R992" s="3">
        <v>117.19500000000001</v>
      </c>
      <c r="S992" s="3">
        <v>0</v>
      </c>
      <c r="T992" s="3">
        <v>0</v>
      </c>
      <c r="U992" s="3">
        <v>1018.6950000000001</v>
      </c>
      <c r="V992" s="3">
        <v>0</v>
      </c>
      <c r="W992" s="3" t="s">
        <v>1</v>
      </c>
    </row>
    <row r="993" spans="5:23" hidden="1" x14ac:dyDescent="0.25">
      <c r="E993" t="s">
        <v>8608</v>
      </c>
      <c r="F993" s="1" t="s">
        <v>8688</v>
      </c>
      <c r="G993" t="s">
        <v>1</v>
      </c>
      <c r="H993" t="s">
        <v>0</v>
      </c>
      <c r="I993" t="s">
        <v>8165</v>
      </c>
      <c r="J993" t="s">
        <v>8164</v>
      </c>
      <c r="K993">
        <v>13144</v>
      </c>
      <c r="L993">
        <v>13144</v>
      </c>
      <c r="M993" t="s">
        <v>8255</v>
      </c>
      <c r="N993" t="s">
        <v>8256</v>
      </c>
      <c r="O993" s="3">
        <v>0</v>
      </c>
      <c r="P993" s="3">
        <v>0</v>
      </c>
      <c r="Q993" s="3">
        <v>156</v>
      </c>
      <c r="R993" s="3">
        <v>20.28</v>
      </c>
      <c r="S993" s="3">
        <v>0</v>
      </c>
      <c r="T993" s="3">
        <v>0</v>
      </c>
      <c r="U993" s="3">
        <v>176.28</v>
      </c>
      <c r="V993" s="3">
        <v>0</v>
      </c>
      <c r="W993" s="3" t="s">
        <v>1</v>
      </c>
    </row>
    <row r="994" spans="5:23" hidden="1" x14ac:dyDescent="0.25">
      <c r="E994" t="s">
        <v>8608</v>
      </c>
      <c r="F994" s="1" t="s">
        <v>8688</v>
      </c>
      <c r="G994" t="s">
        <v>1</v>
      </c>
      <c r="H994" t="s">
        <v>0</v>
      </c>
      <c r="I994" t="s">
        <v>8165</v>
      </c>
      <c r="J994" t="s">
        <v>8164</v>
      </c>
      <c r="K994">
        <v>13145</v>
      </c>
      <c r="L994">
        <v>13145</v>
      </c>
      <c r="M994" t="s">
        <v>1273</v>
      </c>
      <c r="N994" t="s">
        <v>1274</v>
      </c>
      <c r="O994" s="3">
        <v>0</v>
      </c>
      <c r="P994" s="3">
        <v>0</v>
      </c>
      <c r="Q994" s="3">
        <v>424.32</v>
      </c>
      <c r="R994" s="3">
        <v>55.1616</v>
      </c>
      <c r="S994" s="3">
        <v>0</v>
      </c>
      <c r="T994" s="3">
        <v>0</v>
      </c>
      <c r="U994" s="3">
        <v>479.48160000000001</v>
      </c>
      <c r="V994" s="3">
        <v>0</v>
      </c>
      <c r="W994" s="3" t="s">
        <v>1</v>
      </c>
    </row>
    <row r="995" spans="5:23" hidden="1" x14ac:dyDescent="0.25">
      <c r="E995" t="s">
        <v>8608</v>
      </c>
      <c r="F995" s="1" t="s">
        <v>8688</v>
      </c>
      <c r="G995" t="s">
        <v>1</v>
      </c>
      <c r="H995" t="s">
        <v>0</v>
      </c>
      <c r="I995" t="s">
        <v>8165</v>
      </c>
      <c r="J995" t="s">
        <v>8164</v>
      </c>
      <c r="K995">
        <v>13146</v>
      </c>
      <c r="L995">
        <v>13146</v>
      </c>
      <c r="M995" t="s">
        <v>8269</v>
      </c>
      <c r="N995" t="s">
        <v>8270</v>
      </c>
      <c r="O995" s="3">
        <v>0</v>
      </c>
      <c r="P995" s="3">
        <v>0</v>
      </c>
      <c r="Q995" s="3">
        <v>10.1</v>
      </c>
      <c r="R995" s="3">
        <v>1.3129999999999999</v>
      </c>
      <c r="S995" s="3">
        <v>0</v>
      </c>
      <c r="T995" s="3">
        <v>0</v>
      </c>
      <c r="U995" s="3">
        <v>11.413</v>
      </c>
      <c r="V995" s="3">
        <v>0</v>
      </c>
      <c r="W995" s="3" t="s">
        <v>1</v>
      </c>
    </row>
    <row r="996" spans="5:23" hidden="1" x14ac:dyDescent="0.25">
      <c r="E996" t="s">
        <v>8608</v>
      </c>
      <c r="F996" s="1" t="s">
        <v>8688</v>
      </c>
      <c r="G996" t="s">
        <v>1</v>
      </c>
      <c r="H996" t="s">
        <v>0</v>
      </c>
      <c r="I996" t="s">
        <v>8165</v>
      </c>
      <c r="J996" t="s">
        <v>8164</v>
      </c>
      <c r="K996">
        <v>13147</v>
      </c>
      <c r="L996">
        <v>13147</v>
      </c>
      <c r="M996" t="s">
        <v>7852</v>
      </c>
      <c r="N996" t="s">
        <v>7851</v>
      </c>
      <c r="O996" s="3">
        <v>0</v>
      </c>
      <c r="P996" s="3">
        <v>0</v>
      </c>
      <c r="Q996" s="3">
        <v>0</v>
      </c>
      <c r="R996" s="3">
        <v>0</v>
      </c>
      <c r="S996" s="3">
        <v>0</v>
      </c>
      <c r="T996" s="3">
        <v>0</v>
      </c>
      <c r="U996" s="3">
        <v>0</v>
      </c>
      <c r="V996" s="3">
        <v>0</v>
      </c>
      <c r="W996" s="3" t="s">
        <v>1</v>
      </c>
    </row>
    <row r="997" spans="5:23" hidden="1" x14ac:dyDescent="0.25">
      <c r="E997" t="s">
        <v>8608</v>
      </c>
      <c r="F997" s="1" t="s">
        <v>8688</v>
      </c>
      <c r="G997" t="s">
        <v>1</v>
      </c>
      <c r="H997" t="s">
        <v>0</v>
      </c>
      <c r="I997" t="s">
        <v>8165</v>
      </c>
      <c r="J997" t="s">
        <v>8164</v>
      </c>
      <c r="K997">
        <v>13148</v>
      </c>
      <c r="L997">
        <v>13148</v>
      </c>
      <c r="M997" t="s">
        <v>8720</v>
      </c>
      <c r="N997" t="s">
        <v>8721</v>
      </c>
      <c r="O997" s="3">
        <v>0</v>
      </c>
      <c r="P997" s="3">
        <v>0</v>
      </c>
      <c r="Q997" s="3">
        <v>17.04</v>
      </c>
      <c r="R997" s="3">
        <v>2.2151999999999998</v>
      </c>
      <c r="S997" s="3">
        <v>0</v>
      </c>
      <c r="T997" s="3">
        <v>0</v>
      </c>
      <c r="U997" s="3">
        <v>19.255199999999999</v>
      </c>
      <c r="V997" s="3">
        <v>0</v>
      </c>
      <c r="W997" s="3" t="s">
        <v>1</v>
      </c>
    </row>
    <row r="998" spans="5:23" hidden="1" x14ac:dyDescent="0.25">
      <c r="E998" t="s">
        <v>8608</v>
      </c>
      <c r="F998" s="1" t="s">
        <v>8688</v>
      </c>
      <c r="G998" t="s">
        <v>1</v>
      </c>
      <c r="H998" t="s">
        <v>0</v>
      </c>
      <c r="I998" t="s">
        <v>8165</v>
      </c>
      <c r="J998" t="s">
        <v>8164</v>
      </c>
      <c r="K998">
        <v>13149</v>
      </c>
      <c r="L998">
        <v>13149</v>
      </c>
      <c r="M998" t="s">
        <v>8190</v>
      </c>
      <c r="N998" t="s">
        <v>8191</v>
      </c>
      <c r="O998" s="3">
        <v>0</v>
      </c>
      <c r="P998" s="3">
        <v>0</v>
      </c>
      <c r="Q998" s="3">
        <v>377.47</v>
      </c>
      <c r="R998" s="3">
        <v>49.071100000000008</v>
      </c>
      <c r="S998" s="3">
        <v>0</v>
      </c>
      <c r="T998" s="3">
        <v>0</v>
      </c>
      <c r="U998" s="3">
        <v>426.54110000000003</v>
      </c>
      <c r="V998" s="3">
        <v>0</v>
      </c>
      <c r="W998" s="3" t="s">
        <v>1</v>
      </c>
    </row>
    <row r="999" spans="5:23" hidden="1" x14ac:dyDescent="0.25">
      <c r="E999" t="s">
        <v>8608</v>
      </c>
      <c r="F999" s="1" t="s">
        <v>8688</v>
      </c>
      <c r="G999" t="s">
        <v>1</v>
      </c>
      <c r="H999" t="s">
        <v>0</v>
      </c>
      <c r="I999" t="s">
        <v>8165</v>
      </c>
      <c r="J999" t="s">
        <v>8164</v>
      </c>
      <c r="K999">
        <v>13150</v>
      </c>
      <c r="L999">
        <v>13150</v>
      </c>
      <c r="M999" t="s">
        <v>734</v>
      </c>
      <c r="N999" t="s">
        <v>735</v>
      </c>
      <c r="O999" s="3">
        <v>0</v>
      </c>
      <c r="P999" s="3">
        <v>0</v>
      </c>
      <c r="Q999" s="3">
        <v>669.01</v>
      </c>
      <c r="R999" s="3">
        <v>86.971299999999999</v>
      </c>
      <c r="S999" s="3">
        <v>0</v>
      </c>
      <c r="T999" s="3">
        <v>0</v>
      </c>
      <c r="U999" s="3">
        <v>755.98130000000003</v>
      </c>
      <c r="V999" s="3">
        <v>0</v>
      </c>
      <c r="W999" s="3" t="s">
        <v>1</v>
      </c>
    </row>
    <row r="1000" spans="5:23" hidden="1" x14ac:dyDescent="0.25">
      <c r="E1000" t="s">
        <v>8608</v>
      </c>
      <c r="F1000" s="1" t="s">
        <v>8688</v>
      </c>
      <c r="G1000" t="s">
        <v>1</v>
      </c>
      <c r="H1000" t="s">
        <v>0</v>
      </c>
      <c r="I1000" t="s">
        <v>8165</v>
      </c>
      <c r="J1000" t="s">
        <v>8164</v>
      </c>
      <c r="K1000">
        <v>13151</v>
      </c>
      <c r="L1000">
        <v>13151</v>
      </c>
      <c r="M1000" t="s">
        <v>7852</v>
      </c>
      <c r="N1000" t="s">
        <v>7851</v>
      </c>
      <c r="O1000" s="3">
        <v>0</v>
      </c>
      <c r="P1000" s="3">
        <v>0</v>
      </c>
      <c r="Q1000" s="3">
        <v>0</v>
      </c>
      <c r="R1000" s="3">
        <v>0</v>
      </c>
      <c r="S1000" s="3">
        <v>0</v>
      </c>
      <c r="T1000" s="3">
        <v>0</v>
      </c>
      <c r="U1000" s="3">
        <v>0</v>
      </c>
      <c r="V1000" s="3">
        <v>0</v>
      </c>
      <c r="W1000" s="3" t="s">
        <v>1</v>
      </c>
    </row>
    <row r="1001" spans="5:23" hidden="1" x14ac:dyDescent="0.25">
      <c r="E1001" t="s">
        <v>8608</v>
      </c>
      <c r="F1001" s="1" t="s">
        <v>8688</v>
      </c>
      <c r="G1001" t="s">
        <v>1</v>
      </c>
      <c r="H1001" t="s">
        <v>0</v>
      </c>
      <c r="I1001" t="s">
        <v>8165</v>
      </c>
      <c r="J1001" t="s">
        <v>8164</v>
      </c>
      <c r="K1001">
        <v>13152</v>
      </c>
      <c r="L1001">
        <v>13152</v>
      </c>
      <c r="M1001" t="s">
        <v>244</v>
      </c>
      <c r="N1001" t="s">
        <v>245</v>
      </c>
      <c r="O1001" s="3">
        <v>0</v>
      </c>
      <c r="P1001" s="3">
        <v>0</v>
      </c>
      <c r="Q1001" s="3">
        <v>958.23</v>
      </c>
      <c r="R1001" s="3">
        <v>124.5699</v>
      </c>
      <c r="S1001" s="3">
        <v>0</v>
      </c>
      <c r="T1001" s="3">
        <v>0</v>
      </c>
      <c r="U1001" s="3">
        <v>1082.7999</v>
      </c>
      <c r="V1001" s="3">
        <v>0</v>
      </c>
      <c r="W1001" s="3" t="s">
        <v>1</v>
      </c>
    </row>
    <row r="1002" spans="5:23" hidden="1" x14ac:dyDescent="0.25">
      <c r="E1002" t="s">
        <v>8608</v>
      </c>
      <c r="F1002" s="1" t="s">
        <v>8688</v>
      </c>
      <c r="G1002" t="s">
        <v>1</v>
      </c>
      <c r="H1002" t="s">
        <v>0</v>
      </c>
      <c r="I1002" t="s">
        <v>8165</v>
      </c>
      <c r="J1002" t="s">
        <v>8164</v>
      </c>
      <c r="K1002">
        <v>13153</v>
      </c>
      <c r="L1002">
        <v>13153</v>
      </c>
      <c r="M1002" t="s">
        <v>8300</v>
      </c>
      <c r="N1002" t="s">
        <v>8301</v>
      </c>
      <c r="O1002" s="3">
        <v>0</v>
      </c>
      <c r="P1002" s="3">
        <v>0</v>
      </c>
      <c r="Q1002" s="3">
        <v>106.53</v>
      </c>
      <c r="R1002" s="3">
        <v>13.8489</v>
      </c>
      <c r="S1002" s="3">
        <v>0</v>
      </c>
      <c r="T1002" s="3">
        <v>0</v>
      </c>
      <c r="U1002" s="3">
        <v>120.3789</v>
      </c>
      <c r="V1002" s="3">
        <v>0</v>
      </c>
      <c r="W1002" s="3" t="s">
        <v>1</v>
      </c>
    </row>
    <row r="1003" spans="5:23" hidden="1" x14ac:dyDescent="0.25">
      <c r="E1003" t="s">
        <v>8608</v>
      </c>
      <c r="F1003" s="1" t="s">
        <v>8688</v>
      </c>
      <c r="G1003" t="s">
        <v>1</v>
      </c>
      <c r="H1003" t="s">
        <v>0</v>
      </c>
      <c r="I1003" t="s">
        <v>8165</v>
      </c>
      <c r="J1003" t="s">
        <v>8164</v>
      </c>
      <c r="K1003">
        <v>13154</v>
      </c>
      <c r="L1003">
        <v>13154</v>
      </c>
      <c r="M1003" t="s">
        <v>7866</v>
      </c>
      <c r="N1003" t="s">
        <v>7867</v>
      </c>
      <c r="O1003" s="3">
        <v>0</v>
      </c>
      <c r="P1003" s="3">
        <v>0</v>
      </c>
      <c r="Q1003" s="3">
        <v>24.42</v>
      </c>
      <c r="R1003" s="3">
        <v>3.1746000000000003</v>
      </c>
      <c r="S1003" s="3">
        <v>0</v>
      </c>
      <c r="T1003" s="3">
        <v>0</v>
      </c>
      <c r="U1003" s="3">
        <v>27.594600000000003</v>
      </c>
      <c r="V1003" s="3">
        <v>0</v>
      </c>
      <c r="W1003" s="3" t="s">
        <v>1</v>
      </c>
    </row>
    <row r="1004" spans="5:23" hidden="1" x14ac:dyDescent="0.25">
      <c r="E1004" t="s">
        <v>8608</v>
      </c>
      <c r="F1004" s="1" t="s">
        <v>8688</v>
      </c>
      <c r="G1004" t="s">
        <v>1</v>
      </c>
      <c r="H1004" t="s">
        <v>0</v>
      </c>
      <c r="I1004" t="s">
        <v>8165</v>
      </c>
      <c r="J1004" t="s">
        <v>8164</v>
      </c>
      <c r="K1004">
        <v>13155</v>
      </c>
      <c r="L1004">
        <v>13155</v>
      </c>
      <c r="M1004">
        <v>0</v>
      </c>
      <c r="N1004" t="s">
        <v>8229</v>
      </c>
      <c r="O1004" s="3">
        <v>0</v>
      </c>
      <c r="P1004" s="3">
        <v>0</v>
      </c>
      <c r="Q1004" s="3">
        <v>64.06</v>
      </c>
      <c r="R1004" s="3">
        <v>8.3277999999999999</v>
      </c>
      <c r="S1004" s="3">
        <v>0</v>
      </c>
      <c r="T1004" s="3">
        <v>0</v>
      </c>
      <c r="U1004" s="3">
        <v>72.387799999999999</v>
      </c>
      <c r="V1004" s="3" t="s">
        <v>8719</v>
      </c>
      <c r="W1004" s="3" t="s">
        <v>1</v>
      </c>
    </row>
    <row r="1005" spans="5:23" hidden="1" x14ac:dyDescent="0.25">
      <c r="E1005" t="s">
        <v>8608</v>
      </c>
      <c r="F1005" s="1" t="s">
        <v>8688</v>
      </c>
      <c r="G1005" t="s">
        <v>1</v>
      </c>
      <c r="H1005" t="s">
        <v>0</v>
      </c>
      <c r="I1005" t="s">
        <v>8165</v>
      </c>
      <c r="J1005" t="s">
        <v>8164</v>
      </c>
      <c r="K1005">
        <v>13156</v>
      </c>
      <c r="L1005">
        <v>13156</v>
      </c>
      <c r="M1005" t="s">
        <v>238</v>
      </c>
      <c r="N1005" t="s">
        <v>239</v>
      </c>
      <c r="O1005" s="3">
        <v>0</v>
      </c>
      <c r="P1005" s="3">
        <v>0</v>
      </c>
      <c r="Q1005" s="3">
        <v>317.79000000000002</v>
      </c>
      <c r="R1005" s="3">
        <v>41.312700000000007</v>
      </c>
      <c r="S1005" s="3">
        <v>0</v>
      </c>
      <c r="T1005" s="3">
        <v>0</v>
      </c>
      <c r="U1005" s="3">
        <v>359.10270000000003</v>
      </c>
      <c r="V1005" s="3">
        <v>0</v>
      </c>
      <c r="W1005" s="3" t="s">
        <v>1</v>
      </c>
    </row>
    <row r="1006" spans="5:23" hidden="1" x14ac:dyDescent="0.25">
      <c r="E1006" t="s">
        <v>8608</v>
      </c>
      <c r="F1006" s="1" t="s">
        <v>8688</v>
      </c>
      <c r="G1006" t="s">
        <v>1</v>
      </c>
      <c r="H1006" t="s">
        <v>0</v>
      </c>
      <c r="I1006" t="s">
        <v>8165</v>
      </c>
      <c r="J1006" t="s">
        <v>8164</v>
      </c>
      <c r="K1006">
        <v>13157</v>
      </c>
      <c r="L1006">
        <v>13157</v>
      </c>
      <c r="M1006" t="s">
        <v>8174</v>
      </c>
      <c r="N1006" t="s">
        <v>8175</v>
      </c>
      <c r="O1006" s="3">
        <v>0</v>
      </c>
      <c r="P1006" s="3">
        <v>0</v>
      </c>
      <c r="Q1006" s="3">
        <v>29.29</v>
      </c>
      <c r="R1006" s="3">
        <v>3.8077000000000001</v>
      </c>
      <c r="S1006" s="3">
        <v>0</v>
      </c>
      <c r="T1006" s="3">
        <v>0</v>
      </c>
      <c r="U1006" s="3">
        <v>33.097699999999996</v>
      </c>
      <c r="V1006" s="3">
        <v>0</v>
      </c>
      <c r="W1006" s="3" t="s">
        <v>1</v>
      </c>
    </row>
    <row r="1007" spans="5:23" hidden="1" x14ac:dyDescent="0.25">
      <c r="E1007" t="s">
        <v>8608</v>
      </c>
      <c r="F1007" s="1" t="s">
        <v>8688</v>
      </c>
      <c r="G1007" t="s">
        <v>1</v>
      </c>
      <c r="H1007" t="s">
        <v>0</v>
      </c>
      <c r="I1007" t="s">
        <v>8165</v>
      </c>
      <c r="J1007" t="s">
        <v>8164</v>
      </c>
      <c r="K1007">
        <v>13158</v>
      </c>
      <c r="L1007">
        <v>13158</v>
      </c>
      <c r="M1007" t="s">
        <v>7869</v>
      </c>
      <c r="N1007" t="s">
        <v>7870</v>
      </c>
      <c r="O1007" s="3">
        <v>0</v>
      </c>
      <c r="P1007" s="3">
        <v>0</v>
      </c>
      <c r="Q1007" s="3">
        <v>500</v>
      </c>
      <c r="R1007" s="3">
        <v>65</v>
      </c>
      <c r="S1007" s="3">
        <v>0</v>
      </c>
      <c r="T1007" s="3">
        <v>0</v>
      </c>
      <c r="U1007" s="3">
        <v>565</v>
      </c>
      <c r="V1007" s="3">
        <v>0</v>
      </c>
      <c r="W1007" s="3" t="s">
        <v>1</v>
      </c>
    </row>
    <row r="1008" spans="5:23" hidden="1" x14ac:dyDescent="0.25">
      <c r="E1008" t="s">
        <v>8608</v>
      </c>
      <c r="F1008" s="1" t="s">
        <v>8688</v>
      </c>
      <c r="G1008" t="s">
        <v>1</v>
      </c>
      <c r="H1008" t="s">
        <v>0</v>
      </c>
      <c r="I1008" t="s">
        <v>8165</v>
      </c>
      <c r="J1008" t="s">
        <v>8164</v>
      </c>
      <c r="K1008">
        <v>13159</v>
      </c>
      <c r="L1008">
        <v>13159</v>
      </c>
      <c r="M1008" t="s">
        <v>8249</v>
      </c>
      <c r="N1008" t="s">
        <v>8250</v>
      </c>
      <c r="O1008" s="3">
        <v>0</v>
      </c>
      <c r="P1008" s="3">
        <v>0</v>
      </c>
      <c r="Q1008" s="3">
        <v>63.5</v>
      </c>
      <c r="R1008" s="3">
        <v>8.2550000000000008</v>
      </c>
      <c r="S1008" s="3">
        <v>0</v>
      </c>
      <c r="T1008" s="3">
        <v>0</v>
      </c>
      <c r="U1008" s="3">
        <v>71.754999999999995</v>
      </c>
      <c r="V1008" s="3">
        <v>0</v>
      </c>
      <c r="W1008" s="3" t="s">
        <v>1</v>
      </c>
    </row>
    <row r="1009" spans="5:23" hidden="1" x14ac:dyDescent="0.25">
      <c r="E1009" t="s">
        <v>8608</v>
      </c>
      <c r="F1009" s="1" t="s">
        <v>8687</v>
      </c>
      <c r="G1009" t="s">
        <v>1</v>
      </c>
      <c r="H1009" t="s">
        <v>0</v>
      </c>
      <c r="I1009" t="s">
        <v>8165</v>
      </c>
      <c r="J1009" t="s">
        <v>8164</v>
      </c>
      <c r="K1009">
        <v>13160</v>
      </c>
      <c r="L1009">
        <v>13160</v>
      </c>
      <c r="M1009" t="s">
        <v>807</v>
      </c>
      <c r="N1009" t="s">
        <v>808</v>
      </c>
      <c r="O1009" s="3">
        <v>0</v>
      </c>
      <c r="P1009" s="3">
        <v>0</v>
      </c>
      <c r="Q1009" s="3">
        <v>61.5</v>
      </c>
      <c r="R1009" s="3">
        <v>7.9950000000000001</v>
      </c>
      <c r="S1009" s="3">
        <v>0</v>
      </c>
      <c r="T1009" s="3">
        <v>0</v>
      </c>
      <c r="U1009" s="3">
        <v>69.495000000000005</v>
      </c>
      <c r="V1009" s="3">
        <v>0</v>
      </c>
      <c r="W1009" s="3" t="s">
        <v>1</v>
      </c>
    </row>
    <row r="1010" spans="5:23" hidden="1" x14ac:dyDescent="0.25">
      <c r="E1010" t="s">
        <v>8608</v>
      </c>
      <c r="F1010" s="1" t="s">
        <v>8687</v>
      </c>
      <c r="G1010" t="s">
        <v>1</v>
      </c>
      <c r="H1010" t="s">
        <v>0</v>
      </c>
      <c r="I1010" t="s">
        <v>8165</v>
      </c>
      <c r="J1010" t="s">
        <v>8164</v>
      </c>
      <c r="K1010">
        <v>13161</v>
      </c>
      <c r="L1010">
        <v>13161</v>
      </c>
      <c r="M1010">
        <v>0</v>
      </c>
      <c r="N1010" t="s">
        <v>8235</v>
      </c>
      <c r="O1010" s="3">
        <v>0</v>
      </c>
      <c r="P1010" s="3">
        <v>0</v>
      </c>
      <c r="Q1010" s="3">
        <v>248.41</v>
      </c>
      <c r="R1010" s="3">
        <v>32.293300000000002</v>
      </c>
      <c r="S1010" s="3">
        <v>0</v>
      </c>
      <c r="T1010" s="3">
        <v>0</v>
      </c>
      <c r="U1010" s="3">
        <v>280.70330000000001</v>
      </c>
      <c r="V1010" s="52" t="s">
        <v>8718</v>
      </c>
      <c r="W1010" s="3" t="s">
        <v>1</v>
      </c>
    </row>
    <row r="1011" spans="5:23" hidden="1" x14ac:dyDescent="0.25">
      <c r="E1011" t="s">
        <v>8608</v>
      </c>
      <c r="F1011" s="1" t="s">
        <v>8687</v>
      </c>
      <c r="G1011" t="s">
        <v>1</v>
      </c>
      <c r="H1011" t="s">
        <v>0</v>
      </c>
      <c r="I1011" t="s">
        <v>8165</v>
      </c>
      <c r="J1011" t="s">
        <v>8164</v>
      </c>
      <c r="K1011">
        <v>13162</v>
      </c>
      <c r="L1011">
        <v>13162</v>
      </c>
      <c r="M1011" t="s">
        <v>7869</v>
      </c>
      <c r="N1011" t="s">
        <v>7870</v>
      </c>
      <c r="O1011" s="3">
        <v>0</v>
      </c>
      <c r="P1011" s="3">
        <v>0</v>
      </c>
      <c r="Q1011" s="3">
        <v>265.5</v>
      </c>
      <c r="R1011" s="3">
        <v>34.515000000000001</v>
      </c>
      <c r="S1011" s="3">
        <v>0</v>
      </c>
      <c r="T1011" s="3">
        <v>0</v>
      </c>
      <c r="U1011" s="3">
        <v>300.01499999999999</v>
      </c>
      <c r="V1011" s="3">
        <v>0</v>
      </c>
      <c r="W1011" s="3" t="s">
        <v>1</v>
      </c>
    </row>
    <row r="1012" spans="5:23" hidden="1" x14ac:dyDescent="0.25">
      <c r="E1012" t="s">
        <v>8608</v>
      </c>
      <c r="F1012" s="1" t="s">
        <v>8687</v>
      </c>
      <c r="G1012" t="s">
        <v>1</v>
      </c>
      <c r="H1012" t="s">
        <v>0</v>
      </c>
      <c r="I1012" t="s">
        <v>8165</v>
      </c>
      <c r="J1012" t="s">
        <v>8164</v>
      </c>
      <c r="K1012">
        <v>13163</v>
      </c>
      <c r="L1012">
        <v>13163</v>
      </c>
      <c r="M1012">
        <v>0</v>
      </c>
      <c r="N1012" t="s">
        <v>8208</v>
      </c>
      <c r="O1012" s="3">
        <v>0</v>
      </c>
      <c r="P1012" s="3">
        <v>0</v>
      </c>
      <c r="Q1012" s="3">
        <v>84.6</v>
      </c>
      <c r="R1012" s="3">
        <v>10.997999999999999</v>
      </c>
      <c r="S1012" s="3">
        <v>0</v>
      </c>
      <c r="T1012" s="3">
        <v>0</v>
      </c>
      <c r="U1012" s="3">
        <v>95.597999999999999</v>
      </c>
      <c r="V1012" s="3" t="s">
        <v>8650</v>
      </c>
      <c r="W1012" s="3" t="s">
        <v>1</v>
      </c>
    </row>
    <row r="1013" spans="5:23" hidden="1" x14ac:dyDescent="0.25">
      <c r="E1013" t="s">
        <v>8608</v>
      </c>
      <c r="F1013" s="1" t="s">
        <v>8687</v>
      </c>
      <c r="G1013" t="s">
        <v>1</v>
      </c>
      <c r="H1013" t="s">
        <v>0</v>
      </c>
      <c r="I1013" t="s">
        <v>8165</v>
      </c>
      <c r="J1013" t="s">
        <v>8164</v>
      </c>
      <c r="K1013">
        <v>13164</v>
      </c>
      <c r="L1013">
        <v>13164</v>
      </c>
      <c r="M1013" t="s">
        <v>8404</v>
      </c>
      <c r="N1013" t="s">
        <v>8405</v>
      </c>
      <c r="O1013" s="3">
        <v>0</v>
      </c>
      <c r="P1013" s="3">
        <v>0</v>
      </c>
      <c r="Q1013" s="3">
        <v>5.7</v>
      </c>
      <c r="R1013" s="3">
        <v>0.7410000000000001</v>
      </c>
      <c r="S1013" s="3">
        <v>0</v>
      </c>
      <c r="T1013" s="3">
        <v>0</v>
      </c>
      <c r="U1013" s="3">
        <v>6.4410000000000007</v>
      </c>
      <c r="V1013" s="3">
        <v>0</v>
      </c>
      <c r="W1013" s="3" t="s">
        <v>1</v>
      </c>
    </row>
    <row r="1014" spans="5:23" hidden="1" x14ac:dyDescent="0.25">
      <c r="E1014" t="s">
        <v>8608</v>
      </c>
      <c r="F1014" s="1" t="s">
        <v>8687</v>
      </c>
      <c r="G1014" t="s">
        <v>1</v>
      </c>
      <c r="H1014" t="s">
        <v>0</v>
      </c>
      <c r="I1014" t="s">
        <v>8165</v>
      </c>
      <c r="J1014" t="s">
        <v>8164</v>
      </c>
      <c r="K1014">
        <v>13165</v>
      </c>
      <c r="L1014">
        <v>13165</v>
      </c>
      <c r="M1014" t="s">
        <v>8269</v>
      </c>
      <c r="N1014" t="s">
        <v>8270</v>
      </c>
      <c r="O1014" s="3">
        <v>0</v>
      </c>
      <c r="P1014" s="3">
        <v>0</v>
      </c>
      <c r="Q1014" s="3">
        <v>10.1</v>
      </c>
      <c r="R1014" s="3">
        <v>1.3129999999999999</v>
      </c>
      <c r="S1014" s="3">
        <v>0</v>
      </c>
      <c r="T1014" s="3">
        <v>0</v>
      </c>
      <c r="U1014" s="3">
        <v>11.413</v>
      </c>
      <c r="V1014" s="3">
        <v>0</v>
      </c>
      <c r="W1014" s="3" t="s">
        <v>1</v>
      </c>
    </row>
    <row r="1015" spans="5:23" hidden="1" x14ac:dyDescent="0.25">
      <c r="E1015" t="s">
        <v>8608</v>
      </c>
      <c r="F1015" s="1" t="s">
        <v>8687</v>
      </c>
      <c r="G1015" t="s">
        <v>1</v>
      </c>
      <c r="H1015" t="s">
        <v>0</v>
      </c>
      <c r="I1015" t="s">
        <v>8165</v>
      </c>
      <c r="J1015" t="s">
        <v>8164</v>
      </c>
      <c r="K1015">
        <v>13166</v>
      </c>
      <c r="L1015">
        <v>13166</v>
      </c>
      <c r="M1015" t="s">
        <v>959</v>
      </c>
      <c r="N1015" t="s">
        <v>960</v>
      </c>
      <c r="O1015" s="3">
        <v>0</v>
      </c>
      <c r="P1015" s="3">
        <v>0</v>
      </c>
      <c r="Q1015" s="3">
        <v>105.66</v>
      </c>
      <c r="R1015" s="3">
        <v>13.735799999999999</v>
      </c>
      <c r="S1015" s="3">
        <v>0</v>
      </c>
      <c r="T1015" s="3">
        <v>0</v>
      </c>
      <c r="U1015" s="3">
        <v>119.39579999999999</v>
      </c>
      <c r="V1015" s="3">
        <v>0</v>
      </c>
      <c r="W1015" s="3" t="s">
        <v>1</v>
      </c>
    </row>
    <row r="1016" spans="5:23" hidden="1" x14ac:dyDescent="0.25">
      <c r="E1016" t="s">
        <v>8608</v>
      </c>
      <c r="F1016" s="1" t="s">
        <v>8687</v>
      </c>
      <c r="G1016" t="s">
        <v>1</v>
      </c>
      <c r="H1016" t="s">
        <v>0</v>
      </c>
      <c r="I1016" t="s">
        <v>8165</v>
      </c>
      <c r="J1016" t="s">
        <v>8164</v>
      </c>
      <c r="K1016">
        <v>13167</v>
      </c>
      <c r="L1016">
        <v>13167</v>
      </c>
      <c r="M1016" t="s">
        <v>8243</v>
      </c>
      <c r="N1016" t="s">
        <v>8244</v>
      </c>
      <c r="O1016" s="3">
        <v>0</v>
      </c>
      <c r="P1016" s="3">
        <v>0</v>
      </c>
      <c r="Q1016" s="3">
        <v>66.400000000000006</v>
      </c>
      <c r="R1016" s="3">
        <v>8.6320000000000014</v>
      </c>
      <c r="S1016" s="3">
        <v>0</v>
      </c>
      <c r="T1016" s="3">
        <v>0</v>
      </c>
      <c r="U1016" s="3">
        <v>75.032000000000011</v>
      </c>
      <c r="V1016" s="3">
        <v>0</v>
      </c>
      <c r="W1016" s="3" t="s">
        <v>1</v>
      </c>
    </row>
    <row r="1017" spans="5:23" hidden="1" x14ac:dyDescent="0.25">
      <c r="E1017" t="s">
        <v>8608</v>
      </c>
      <c r="F1017" s="1" t="s">
        <v>8687</v>
      </c>
      <c r="G1017" t="s">
        <v>1</v>
      </c>
      <c r="H1017" t="s">
        <v>0</v>
      </c>
      <c r="I1017" t="s">
        <v>8165</v>
      </c>
      <c r="J1017" t="s">
        <v>8164</v>
      </c>
      <c r="K1017">
        <v>13168</v>
      </c>
      <c r="L1017">
        <v>13168</v>
      </c>
      <c r="M1017" t="s">
        <v>8706</v>
      </c>
      <c r="N1017" t="s">
        <v>8707</v>
      </c>
      <c r="O1017" s="3">
        <v>0</v>
      </c>
      <c r="P1017" s="3">
        <v>0</v>
      </c>
      <c r="Q1017" s="3">
        <v>98.4</v>
      </c>
      <c r="R1017" s="3">
        <v>12.792000000000002</v>
      </c>
      <c r="S1017" s="3">
        <v>0</v>
      </c>
      <c r="T1017" s="3">
        <v>0</v>
      </c>
      <c r="U1017" s="3">
        <v>111.19200000000001</v>
      </c>
      <c r="V1017" s="3">
        <v>0</v>
      </c>
      <c r="W1017" s="3" t="s">
        <v>1</v>
      </c>
    </row>
    <row r="1018" spans="5:23" hidden="1" x14ac:dyDescent="0.25">
      <c r="E1018" t="s">
        <v>8608</v>
      </c>
      <c r="F1018" s="1" t="s">
        <v>8687</v>
      </c>
      <c r="G1018" t="s">
        <v>1</v>
      </c>
      <c r="H1018" t="s">
        <v>0</v>
      </c>
      <c r="I1018" t="s">
        <v>8165</v>
      </c>
      <c r="J1018" t="s">
        <v>8164</v>
      </c>
      <c r="K1018">
        <v>13169</v>
      </c>
      <c r="L1018">
        <v>13169</v>
      </c>
      <c r="M1018" t="s">
        <v>8300</v>
      </c>
      <c r="N1018" t="s">
        <v>8301</v>
      </c>
      <c r="O1018" s="3">
        <v>0</v>
      </c>
      <c r="P1018" s="3">
        <v>0</v>
      </c>
      <c r="Q1018" s="3">
        <v>520.85</v>
      </c>
      <c r="R1018" s="3">
        <v>67.71050000000001</v>
      </c>
      <c r="S1018" s="3">
        <v>0</v>
      </c>
      <c r="T1018" s="3">
        <v>0</v>
      </c>
      <c r="U1018" s="3">
        <v>588.56050000000005</v>
      </c>
      <c r="V1018" s="3">
        <v>0</v>
      </c>
      <c r="W1018" s="3" t="s">
        <v>1</v>
      </c>
    </row>
    <row r="1019" spans="5:23" hidden="1" x14ac:dyDescent="0.25">
      <c r="E1019" t="s">
        <v>8608</v>
      </c>
      <c r="F1019" s="1" t="s">
        <v>8686</v>
      </c>
      <c r="G1019" t="s">
        <v>1</v>
      </c>
      <c r="H1019" t="s">
        <v>0</v>
      </c>
      <c r="I1019" t="s">
        <v>8165</v>
      </c>
      <c r="J1019" t="s">
        <v>8164</v>
      </c>
      <c r="K1019">
        <v>13170</v>
      </c>
      <c r="L1019">
        <v>13170</v>
      </c>
      <c r="M1019" t="s">
        <v>8249</v>
      </c>
      <c r="N1019" t="s">
        <v>8250</v>
      </c>
      <c r="O1019" s="3">
        <v>0</v>
      </c>
      <c r="P1019" s="3">
        <v>0</v>
      </c>
      <c r="Q1019" s="3">
        <v>1460.18</v>
      </c>
      <c r="R1019" s="3">
        <v>189.82340000000002</v>
      </c>
      <c r="S1019" s="3">
        <v>0</v>
      </c>
      <c r="T1019" s="3">
        <v>0</v>
      </c>
      <c r="U1019" s="3">
        <v>1650.0034000000001</v>
      </c>
      <c r="V1019" s="3">
        <v>0</v>
      </c>
      <c r="W1019" s="3" t="s">
        <v>1</v>
      </c>
    </row>
    <row r="1020" spans="5:23" hidden="1" x14ac:dyDescent="0.25">
      <c r="E1020" t="s">
        <v>8608</v>
      </c>
      <c r="F1020" s="1" t="s">
        <v>8686</v>
      </c>
      <c r="G1020" t="s">
        <v>1</v>
      </c>
      <c r="H1020" t="s">
        <v>0</v>
      </c>
      <c r="I1020" t="s">
        <v>8165</v>
      </c>
      <c r="J1020" t="s">
        <v>8164</v>
      </c>
      <c r="K1020">
        <v>13171</v>
      </c>
      <c r="L1020">
        <v>13171</v>
      </c>
      <c r="M1020">
        <v>0</v>
      </c>
      <c r="N1020" t="s">
        <v>8169</v>
      </c>
      <c r="O1020" s="3">
        <v>0</v>
      </c>
      <c r="P1020" s="3">
        <v>0</v>
      </c>
      <c r="Q1020" s="3">
        <v>62.5</v>
      </c>
      <c r="R1020" s="3">
        <v>8.125</v>
      </c>
      <c r="S1020" s="3">
        <v>0</v>
      </c>
      <c r="T1020" s="3">
        <v>0</v>
      </c>
      <c r="U1020" s="3">
        <v>70.625</v>
      </c>
      <c r="V1020" s="3" t="s">
        <v>8646</v>
      </c>
      <c r="W1020" s="3" t="s">
        <v>1</v>
      </c>
    </row>
    <row r="1021" spans="5:23" hidden="1" x14ac:dyDescent="0.25">
      <c r="E1021" t="s">
        <v>8608</v>
      </c>
      <c r="F1021" s="1" t="s">
        <v>8686</v>
      </c>
      <c r="G1021" t="s">
        <v>1</v>
      </c>
      <c r="H1021" t="s">
        <v>0</v>
      </c>
      <c r="I1021" t="s">
        <v>8165</v>
      </c>
      <c r="J1021" t="s">
        <v>8164</v>
      </c>
      <c r="K1021">
        <v>13172</v>
      </c>
      <c r="L1021">
        <v>13172</v>
      </c>
      <c r="M1021" t="s">
        <v>8255</v>
      </c>
      <c r="N1021" t="s">
        <v>8256</v>
      </c>
      <c r="O1021" s="3">
        <v>0</v>
      </c>
      <c r="P1021" s="3">
        <v>0</v>
      </c>
      <c r="Q1021" s="3">
        <v>361.53</v>
      </c>
      <c r="R1021" s="3">
        <v>46.998899999999999</v>
      </c>
      <c r="S1021" s="3">
        <v>0</v>
      </c>
      <c r="T1021" s="3">
        <v>0</v>
      </c>
      <c r="U1021" s="3">
        <v>408.52889999999996</v>
      </c>
      <c r="V1021" s="3">
        <v>0</v>
      </c>
      <c r="W1021" s="3" t="s">
        <v>1</v>
      </c>
    </row>
    <row r="1022" spans="5:23" hidden="1" x14ac:dyDescent="0.25">
      <c r="E1022" t="s">
        <v>8608</v>
      </c>
      <c r="F1022" s="1" t="s">
        <v>8686</v>
      </c>
      <c r="G1022" t="s">
        <v>1</v>
      </c>
      <c r="H1022" t="s">
        <v>0</v>
      </c>
      <c r="I1022" t="s">
        <v>8165</v>
      </c>
      <c r="J1022" t="s">
        <v>8164</v>
      </c>
      <c r="K1022">
        <v>13173</v>
      </c>
      <c r="L1022">
        <v>13173</v>
      </c>
      <c r="M1022" t="s">
        <v>8255</v>
      </c>
      <c r="N1022" t="s">
        <v>8256</v>
      </c>
      <c r="O1022" s="3">
        <v>0</v>
      </c>
      <c r="P1022" s="3">
        <v>0</v>
      </c>
      <c r="Q1022" s="3">
        <v>210</v>
      </c>
      <c r="R1022" s="3">
        <v>27.3</v>
      </c>
      <c r="S1022" s="3">
        <v>0</v>
      </c>
      <c r="T1022" s="3">
        <v>0</v>
      </c>
      <c r="U1022" s="3">
        <v>237.3</v>
      </c>
      <c r="V1022" s="3">
        <v>0</v>
      </c>
      <c r="W1022" s="3" t="s">
        <v>1</v>
      </c>
    </row>
    <row r="1023" spans="5:23" hidden="1" x14ac:dyDescent="0.25">
      <c r="E1023" t="s">
        <v>8608</v>
      </c>
      <c r="F1023" s="1" t="s">
        <v>8686</v>
      </c>
      <c r="G1023" t="s">
        <v>1</v>
      </c>
      <c r="H1023" t="s">
        <v>0</v>
      </c>
      <c r="I1023" t="s">
        <v>8165</v>
      </c>
      <c r="J1023" t="s">
        <v>8164</v>
      </c>
      <c r="K1023">
        <v>13174</v>
      </c>
      <c r="L1023">
        <v>13174</v>
      </c>
      <c r="M1023" t="s">
        <v>8209</v>
      </c>
      <c r="N1023" t="s">
        <v>8210</v>
      </c>
      <c r="O1023" s="3">
        <v>0</v>
      </c>
      <c r="P1023" s="3">
        <v>0</v>
      </c>
      <c r="Q1023" s="3">
        <v>2102.17</v>
      </c>
      <c r="R1023" s="3">
        <v>273.28210000000001</v>
      </c>
      <c r="S1023" s="3">
        <v>0</v>
      </c>
      <c r="T1023" s="3">
        <v>0</v>
      </c>
      <c r="U1023" s="3">
        <v>2375.4521</v>
      </c>
      <c r="V1023" s="3">
        <v>0</v>
      </c>
      <c r="W1023" s="3" t="s">
        <v>1</v>
      </c>
    </row>
    <row r="1024" spans="5:23" hidden="1" x14ac:dyDescent="0.25">
      <c r="E1024" t="s">
        <v>8608</v>
      </c>
      <c r="F1024" s="1" t="s">
        <v>8686</v>
      </c>
      <c r="G1024" t="s">
        <v>1</v>
      </c>
      <c r="H1024" t="s">
        <v>0</v>
      </c>
      <c r="I1024" t="s">
        <v>8165</v>
      </c>
      <c r="J1024" t="s">
        <v>8164</v>
      </c>
      <c r="K1024">
        <v>13175</v>
      </c>
      <c r="L1024">
        <v>13175</v>
      </c>
      <c r="M1024" t="s">
        <v>238</v>
      </c>
      <c r="N1024" t="s">
        <v>239</v>
      </c>
      <c r="O1024" s="3">
        <v>0</v>
      </c>
      <c r="P1024" s="3">
        <v>0</v>
      </c>
      <c r="Q1024" s="3">
        <v>88.3</v>
      </c>
      <c r="R1024" s="3">
        <v>11.478999999999999</v>
      </c>
      <c r="S1024" s="3">
        <v>0</v>
      </c>
      <c r="T1024" s="3">
        <v>0</v>
      </c>
      <c r="U1024" s="3">
        <v>99.778999999999996</v>
      </c>
      <c r="V1024" s="3">
        <v>0</v>
      </c>
      <c r="W1024" s="3" t="s">
        <v>1</v>
      </c>
    </row>
    <row r="1025" spans="5:23" hidden="1" x14ac:dyDescent="0.25">
      <c r="E1025" t="s">
        <v>8608</v>
      </c>
      <c r="F1025" s="1" t="s">
        <v>8686</v>
      </c>
      <c r="G1025" t="s">
        <v>1</v>
      </c>
      <c r="H1025" t="s">
        <v>0</v>
      </c>
      <c r="I1025" t="s">
        <v>8165</v>
      </c>
      <c r="J1025" t="s">
        <v>8164</v>
      </c>
      <c r="K1025">
        <v>13176</v>
      </c>
      <c r="L1025">
        <v>13176</v>
      </c>
      <c r="M1025">
        <v>0</v>
      </c>
      <c r="N1025" t="s">
        <v>8268</v>
      </c>
      <c r="O1025" s="3">
        <v>0</v>
      </c>
      <c r="P1025" s="3">
        <v>0</v>
      </c>
      <c r="Q1025" s="3">
        <v>128.9</v>
      </c>
      <c r="R1025" s="3">
        <v>16.757000000000001</v>
      </c>
      <c r="S1025" s="3">
        <v>0</v>
      </c>
      <c r="T1025" s="3">
        <v>0</v>
      </c>
      <c r="U1025" s="3">
        <v>145.65700000000001</v>
      </c>
      <c r="V1025" s="3" t="s">
        <v>8717</v>
      </c>
      <c r="W1025" s="3" t="s">
        <v>1</v>
      </c>
    </row>
    <row r="1026" spans="5:23" hidden="1" x14ac:dyDescent="0.25">
      <c r="E1026" t="s">
        <v>8608</v>
      </c>
      <c r="F1026" s="1" t="s">
        <v>8686</v>
      </c>
      <c r="G1026" t="s">
        <v>1</v>
      </c>
      <c r="H1026" t="s">
        <v>0</v>
      </c>
      <c r="I1026" t="s">
        <v>8165</v>
      </c>
      <c r="J1026" t="s">
        <v>8164</v>
      </c>
      <c r="K1026">
        <v>13177</v>
      </c>
      <c r="L1026">
        <v>13177</v>
      </c>
      <c r="M1026" t="s">
        <v>8551</v>
      </c>
      <c r="N1026" t="s">
        <v>8552</v>
      </c>
      <c r="O1026" s="3">
        <v>0</v>
      </c>
      <c r="P1026" s="3">
        <v>0</v>
      </c>
      <c r="Q1026" s="3">
        <v>30.97</v>
      </c>
      <c r="R1026" s="3">
        <v>4.0260999999999996</v>
      </c>
      <c r="S1026" s="3">
        <v>0</v>
      </c>
      <c r="T1026" s="3">
        <v>0</v>
      </c>
      <c r="U1026" s="3">
        <v>34.996099999999998</v>
      </c>
      <c r="V1026" s="3">
        <v>0</v>
      </c>
      <c r="W1026" s="3" t="s">
        <v>1</v>
      </c>
    </row>
    <row r="1027" spans="5:23" hidden="1" x14ac:dyDescent="0.25">
      <c r="E1027" t="s">
        <v>8608</v>
      </c>
      <c r="F1027" s="1" t="s">
        <v>8686</v>
      </c>
      <c r="G1027" t="s">
        <v>1</v>
      </c>
      <c r="H1027" t="s">
        <v>0</v>
      </c>
      <c r="I1027" t="s">
        <v>8165</v>
      </c>
      <c r="J1027" t="s">
        <v>8164</v>
      </c>
      <c r="K1027">
        <v>13178</v>
      </c>
      <c r="L1027">
        <v>13178</v>
      </c>
      <c r="M1027" t="s">
        <v>8551</v>
      </c>
      <c r="N1027" t="s">
        <v>8552</v>
      </c>
      <c r="O1027" s="3">
        <v>0</v>
      </c>
      <c r="P1027" s="3">
        <v>0</v>
      </c>
      <c r="Q1027" s="3">
        <v>12.18</v>
      </c>
      <c r="R1027" s="3">
        <v>1.5833999999999999</v>
      </c>
      <c r="S1027" s="3">
        <v>0</v>
      </c>
      <c r="T1027" s="3">
        <v>0</v>
      </c>
      <c r="U1027" s="3">
        <v>13.763399999999999</v>
      </c>
      <c r="V1027" s="3">
        <v>0</v>
      </c>
      <c r="W1027" s="3" t="s">
        <v>1</v>
      </c>
    </row>
    <row r="1028" spans="5:23" hidden="1" x14ac:dyDescent="0.25">
      <c r="E1028" t="s">
        <v>8608</v>
      </c>
      <c r="F1028" s="1" t="s">
        <v>8686</v>
      </c>
      <c r="G1028" t="s">
        <v>1</v>
      </c>
      <c r="H1028" t="s">
        <v>0</v>
      </c>
      <c r="I1028" t="s">
        <v>8165</v>
      </c>
      <c r="J1028" t="s">
        <v>8164</v>
      </c>
      <c r="K1028">
        <v>13179</v>
      </c>
      <c r="L1028">
        <v>13179</v>
      </c>
      <c r="M1028" t="s">
        <v>7852</v>
      </c>
      <c r="N1028" t="s">
        <v>7851</v>
      </c>
      <c r="O1028" s="3">
        <v>0</v>
      </c>
      <c r="P1028" s="3">
        <v>0</v>
      </c>
      <c r="Q1028" s="3">
        <v>0</v>
      </c>
      <c r="R1028" s="3">
        <v>0</v>
      </c>
      <c r="S1028" s="3">
        <v>0</v>
      </c>
      <c r="T1028" s="3">
        <v>0</v>
      </c>
      <c r="U1028" s="3">
        <v>0</v>
      </c>
      <c r="V1028" s="3">
        <v>0</v>
      </c>
      <c r="W1028" s="3" t="s">
        <v>1</v>
      </c>
    </row>
    <row r="1029" spans="5:23" hidden="1" x14ac:dyDescent="0.25">
      <c r="E1029" t="s">
        <v>8608</v>
      </c>
      <c r="F1029" s="1" t="s">
        <v>8686</v>
      </c>
      <c r="G1029" t="s">
        <v>1</v>
      </c>
      <c r="H1029" t="s">
        <v>0</v>
      </c>
      <c r="I1029" t="s">
        <v>8165</v>
      </c>
      <c r="J1029" t="s">
        <v>8164</v>
      </c>
      <c r="K1029">
        <v>13180</v>
      </c>
      <c r="L1029">
        <v>13180</v>
      </c>
      <c r="M1029" t="s">
        <v>959</v>
      </c>
      <c r="N1029" t="s">
        <v>960</v>
      </c>
      <c r="O1029" s="3">
        <v>0</v>
      </c>
      <c r="P1029" s="3">
        <v>0</v>
      </c>
      <c r="Q1029" s="3">
        <v>23</v>
      </c>
      <c r="R1029" s="3">
        <v>2.99</v>
      </c>
      <c r="S1029" s="3">
        <v>0</v>
      </c>
      <c r="T1029" s="3">
        <v>0</v>
      </c>
      <c r="U1029" s="3">
        <v>25.990000000000002</v>
      </c>
      <c r="V1029" s="3">
        <v>0</v>
      </c>
      <c r="W1029" s="3" t="s">
        <v>1</v>
      </c>
    </row>
    <row r="1030" spans="5:23" hidden="1" x14ac:dyDescent="0.25">
      <c r="E1030" t="s">
        <v>8608</v>
      </c>
      <c r="F1030" s="1" t="s">
        <v>8685</v>
      </c>
      <c r="G1030" t="s">
        <v>1</v>
      </c>
      <c r="H1030" t="s">
        <v>0</v>
      </c>
      <c r="I1030" t="s">
        <v>8165</v>
      </c>
      <c r="J1030" t="s">
        <v>8164</v>
      </c>
      <c r="K1030">
        <v>13181</v>
      </c>
      <c r="L1030">
        <v>13181</v>
      </c>
      <c r="M1030" t="s">
        <v>7852</v>
      </c>
      <c r="N1030" t="s">
        <v>7851</v>
      </c>
      <c r="O1030" s="3">
        <v>0</v>
      </c>
      <c r="P1030" s="3">
        <v>0</v>
      </c>
      <c r="Q1030" s="3">
        <v>0</v>
      </c>
      <c r="R1030" s="3">
        <v>0</v>
      </c>
      <c r="S1030" s="3">
        <v>0</v>
      </c>
      <c r="T1030" s="3">
        <v>0</v>
      </c>
      <c r="U1030" s="3">
        <v>0</v>
      </c>
      <c r="V1030" s="3">
        <v>0</v>
      </c>
      <c r="W1030" s="3" t="s">
        <v>1</v>
      </c>
    </row>
    <row r="1031" spans="5:23" hidden="1" x14ac:dyDescent="0.25">
      <c r="E1031" t="s">
        <v>8608</v>
      </c>
      <c r="F1031" s="1" t="s">
        <v>8685</v>
      </c>
      <c r="G1031" t="s">
        <v>1</v>
      </c>
      <c r="H1031" t="s">
        <v>0</v>
      </c>
      <c r="I1031" t="s">
        <v>8165</v>
      </c>
      <c r="J1031" t="s">
        <v>8164</v>
      </c>
      <c r="K1031">
        <v>13182</v>
      </c>
      <c r="L1031">
        <v>13182</v>
      </c>
      <c r="M1031" t="s">
        <v>7852</v>
      </c>
      <c r="N1031" t="s">
        <v>7851</v>
      </c>
      <c r="O1031" s="3">
        <v>0</v>
      </c>
      <c r="P1031" s="3">
        <v>0</v>
      </c>
      <c r="Q1031" s="3">
        <v>0</v>
      </c>
      <c r="R1031" s="3">
        <v>0</v>
      </c>
      <c r="S1031" s="3">
        <v>0</v>
      </c>
      <c r="T1031" s="3">
        <v>0</v>
      </c>
      <c r="U1031" s="3">
        <v>0</v>
      </c>
      <c r="V1031" s="3">
        <v>0</v>
      </c>
      <c r="W1031" s="3" t="s">
        <v>1</v>
      </c>
    </row>
    <row r="1032" spans="5:23" hidden="1" x14ac:dyDescent="0.25">
      <c r="E1032" t="s">
        <v>8608</v>
      </c>
      <c r="F1032" s="1" t="s">
        <v>8685</v>
      </c>
      <c r="G1032" t="s">
        <v>1</v>
      </c>
      <c r="H1032" t="s">
        <v>0</v>
      </c>
      <c r="I1032" t="s">
        <v>8165</v>
      </c>
      <c r="J1032" t="s">
        <v>8164</v>
      </c>
      <c r="K1032">
        <v>13183</v>
      </c>
      <c r="L1032">
        <v>13183</v>
      </c>
      <c r="M1032" t="s">
        <v>436</v>
      </c>
      <c r="N1032" t="s">
        <v>437</v>
      </c>
      <c r="O1032" s="3">
        <v>0</v>
      </c>
      <c r="P1032" s="3">
        <v>0</v>
      </c>
      <c r="Q1032" s="3">
        <v>109.23</v>
      </c>
      <c r="R1032" s="3">
        <v>14.199900000000001</v>
      </c>
      <c r="S1032" s="3">
        <v>0</v>
      </c>
      <c r="T1032" s="3">
        <v>0</v>
      </c>
      <c r="U1032" s="3">
        <v>123.4299</v>
      </c>
      <c r="V1032" s="3">
        <v>0</v>
      </c>
      <c r="W1032" s="3" t="s">
        <v>1</v>
      </c>
    </row>
    <row r="1033" spans="5:23" hidden="1" x14ac:dyDescent="0.25">
      <c r="E1033" t="s">
        <v>8608</v>
      </c>
      <c r="F1033" s="1" t="s">
        <v>8685</v>
      </c>
      <c r="G1033" t="s">
        <v>1</v>
      </c>
      <c r="H1033" t="s">
        <v>0</v>
      </c>
      <c r="I1033" t="s">
        <v>8165</v>
      </c>
      <c r="J1033" t="s">
        <v>8164</v>
      </c>
      <c r="K1033">
        <v>13184</v>
      </c>
      <c r="L1033">
        <v>13184</v>
      </c>
      <c r="M1033" t="s">
        <v>7869</v>
      </c>
      <c r="N1033" t="s">
        <v>7870</v>
      </c>
      <c r="O1033" s="3">
        <v>0</v>
      </c>
      <c r="P1033" s="3">
        <v>0</v>
      </c>
      <c r="Q1033" s="3">
        <v>56.38</v>
      </c>
      <c r="R1033" s="3">
        <v>7.3294000000000006</v>
      </c>
      <c r="S1033" s="3">
        <v>0</v>
      </c>
      <c r="T1033" s="3">
        <v>0</v>
      </c>
      <c r="U1033" s="3">
        <v>63.709400000000002</v>
      </c>
      <c r="V1033" s="3">
        <v>0</v>
      </c>
      <c r="W1033" s="3" t="s">
        <v>1</v>
      </c>
    </row>
    <row r="1034" spans="5:23" hidden="1" x14ac:dyDescent="0.25">
      <c r="E1034" t="s">
        <v>8608</v>
      </c>
      <c r="F1034" s="1" t="s">
        <v>8685</v>
      </c>
      <c r="G1034" t="s">
        <v>1</v>
      </c>
      <c r="H1034" t="s">
        <v>0</v>
      </c>
      <c r="I1034" t="s">
        <v>8165</v>
      </c>
      <c r="J1034" t="s">
        <v>8164</v>
      </c>
      <c r="K1034">
        <v>13185</v>
      </c>
      <c r="L1034">
        <v>13185</v>
      </c>
      <c r="M1034">
        <v>0</v>
      </c>
      <c r="N1034" t="s">
        <v>8454</v>
      </c>
      <c r="O1034" s="3">
        <v>0</v>
      </c>
      <c r="P1034" s="3">
        <v>0</v>
      </c>
      <c r="Q1034" s="3">
        <v>85.02</v>
      </c>
      <c r="R1034" s="3">
        <v>11.0526</v>
      </c>
      <c r="S1034" s="3">
        <v>0</v>
      </c>
      <c r="T1034" s="3">
        <v>0</v>
      </c>
      <c r="U1034" s="3">
        <v>96.072599999999994</v>
      </c>
      <c r="V1034" s="3" t="s">
        <v>8651</v>
      </c>
      <c r="W1034" s="3" t="s">
        <v>1</v>
      </c>
    </row>
    <row r="1035" spans="5:23" hidden="1" x14ac:dyDescent="0.25">
      <c r="E1035" t="s">
        <v>8608</v>
      </c>
      <c r="F1035" s="1" t="s">
        <v>8685</v>
      </c>
      <c r="G1035" t="s">
        <v>1</v>
      </c>
      <c r="H1035" t="s">
        <v>0</v>
      </c>
      <c r="I1035" t="s">
        <v>8165</v>
      </c>
      <c r="J1035" t="s">
        <v>8164</v>
      </c>
      <c r="K1035">
        <v>13186</v>
      </c>
      <c r="L1035">
        <v>13186</v>
      </c>
      <c r="M1035" t="s">
        <v>8277</v>
      </c>
      <c r="N1035" t="s">
        <v>8278</v>
      </c>
      <c r="O1035" s="3">
        <v>0</v>
      </c>
      <c r="P1035" s="3">
        <v>0</v>
      </c>
      <c r="Q1035" s="3">
        <v>86.4</v>
      </c>
      <c r="R1035" s="3">
        <v>11.232000000000001</v>
      </c>
      <c r="S1035" s="3">
        <v>0</v>
      </c>
      <c r="T1035" s="3">
        <v>0</v>
      </c>
      <c r="U1035" s="3">
        <v>97.632000000000005</v>
      </c>
      <c r="V1035" s="3">
        <v>0</v>
      </c>
      <c r="W1035" s="3" t="s">
        <v>1</v>
      </c>
    </row>
    <row r="1036" spans="5:23" hidden="1" x14ac:dyDescent="0.25">
      <c r="E1036" t="s">
        <v>8608</v>
      </c>
      <c r="F1036" s="1" t="s">
        <v>8685</v>
      </c>
      <c r="G1036" t="s">
        <v>1</v>
      </c>
      <c r="H1036" t="s">
        <v>0</v>
      </c>
      <c r="I1036" t="s">
        <v>8165</v>
      </c>
      <c r="J1036" t="s">
        <v>8164</v>
      </c>
      <c r="K1036">
        <v>13187</v>
      </c>
      <c r="L1036">
        <v>13187</v>
      </c>
      <c r="M1036" t="s">
        <v>8236</v>
      </c>
      <c r="N1036" t="s">
        <v>8237</v>
      </c>
      <c r="O1036" s="3">
        <v>0</v>
      </c>
      <c r="P1036" s="3">
        <v>0</v>
      </c>
      <c r="Q1036" s="3">
        <v>99.6</v>
      </c>
      <c r="R1036" s="3">
        <v>12.948</v>
      </c>
      <c r="S1036" s="3">
        <v>0</v>
      </c>
      <c r="T1036" s="3">
        <v>0</v>
      </c>
      <c r="U1036" s="3">
        <v>112.548</v>
      </c>
      <c r="V1036" s="3">
        <v>0</v>
      </c>
      <c r="W1036" s="3" t="s">
        <v>1</v>
      </c>
    </row>
    <row r="1037" spans="5:23" hidden="1" x14ac:dyDescent="0.25">
      <c r="E1037" t="s">
        <v>8608</v>
      </c>
      <c r="F1037" s="1" t="s">
        <v>8685</v>
      </c>
      <c r="G1037" t="s">
        <v>1</v>
      </c>
      <c r="H1037" t="s">
        <v>0</v>
      </c>
      <c r="I1037" t="s">
        <v>8165</v>
      </c>
      <c r="J1037" t="s">
        <v>8164</v>
      </c>
      <c r="K1037">
        <v>13188</v>
      </c>
      <c r="L1037">
        <v>13188</v>
      </c>
      <c r="M1037" t="s">
        <v>8114</v>
      </c>
      <c r="N1037" t="s">
        <v>8115</v>
      </c>
      <c r="O1037" s="3">
        <v>0</v>
      </c>
      <c r="P1037" s="3">
        <v>0</v>
      </c>
      <c r="Q1037" s="3">
        <v>121.03</v>
      </c>
      <c r="R1037" s="3">
        <v>15.7339</v>
      </c>
      <c r="S1037" s="3">
        <v>0</v>
      </c>
      <c r="T1037" s="3">
        <v>0</v>
      </c>
      <c r="U1037" s="3">
        <v>136.76390000000001</v>
      </c>
      <c r="V1037" s="3">
        <v>0</v>
      </c>
      <c r="W1037" s="3" t="s">
        <v>1</v>
      </c>
    </row>
    <row r="1038" spans="5:23" hidden="1" x14ac:dyDescent="0.25">
      <c r="E1038" t="s">
        <v>8608</v>
      </c>
      <c r="F1038" s="1" t="s">
        <v>8685</v>
      </c>
      <c r="G1038" t="s">
        <v>1</v>
      </c>
      <c r="H1038" t="s">
        <v>0</v>
      </c>
      <c r="I1038" t="s">
        <v>8165</v>
      </c>
      <c r="J1038" t="s">
        <v>8164</v>
      </c>
      <c r="K1038">
        <v>13189</v>
      </c>
      <c r="L1038">
        <v>13189</v>
      </c>
      <c r="M1038" t="s">
        <v>8404</v>
      </c>
      <c r="N1038" t="s">
        <v>8405</v>
      </c>
      <c r="O1038" s="3">
        <v>0</v>
      </c>
      <c r="P1038" s="3">
        <v>0</v>
      </c>
      <c r="Q1038" s="3">
        <v>21.6</v>
      </c>
      <c r="R1038" s="3">
        <v>2.8080000000000003</v>
      </c>
      <c r="S1038" s="3">
        <v>0</v>
      </c>
      <c r="T1038" s="3">
        <v>0</v>
      </c>
      <c r="U1038" s="3">
        <v>24.408000000000001</v>
      </c>
      <c r="V1038" s="3">
        <v>0</v>
      </c>
      <c r="W1038" s="3" t="s">
        <v>1</v>
      </c>
    </row>
    <row r="1039" spans="5:23" hidden="1" x14ac:dyDescent="0.25">
      <c r="E1039" t="s">
        <v>8608</v>
      </c>
      <c r="F1039" s="1" t="s">
        <v>8685</v>
      </c>
      <c r="G1039" t="s">
        <v>1</v>
      </c>
      <c r="H1039" t="s">
        <v>0</v>
      </c>
      <c r="I1039" t="s">
        <v>8165</v>
      </c>
      <c r="J1039" t="s">
        <v>8164</v>
      </c>
      <c r="K1039">
        <v>13190</v>
      </c>
      <c r="L1039">
        <v>13190</v>
      </c>
      <c r="M1039" t="s">
        <v>8289</v>
      </c>
      <c r="N1039" t="s">
        <v>8290</v>
      </c>
      <c r="O1039" s="3">
        <v>0</v>
      </c>
      <c r="P1039" s="3">
        <v>0</v>
      </c>
      <c r="Q1039" s="3">
        <v>715.34</v>
      </c>
      <c r="R1039" s="3">
        <v>92.994200000000006</v>
      </c>
      <c r="S1039" s="3">
        <v>0</v>
      </c>
      <c r="T1039" s="3">
        <v>0</v>
      </c>
      <c r="U1039" s="3">
        <v>808.33420000000001</v>
      </c>
      <c r="V1039" s="3">
        <v>0</v>
      </c>
      <c r="W1039" s="3" t="s">
        <v>1</v>
      </c>
    </row>
    <row r="1040" spans="5:23" hidden="1" x14ac:dyDescent="0.25">
      <c r="E1040" t="s">
        <v>8608</v>
      </c>
      <c r="F1040" s="1" t="s">
        <v>8685</v>
      </c>
      <c r="G1040" t="s">
        <v>1</v>
      </c>
      <c r="H1040" t="s">
        <v>0</v>
      </c>
      <c r="I1040" t="s">
        <v>8165</v>
      </c>
      <c r="J1040" t="s">
        <v>8164</v>
      </c>
      <c r="K1040">
        <v>13191</v>
      </c>
      <c r="L1040">
        <v>13191</v>
      </c>
      <c r="M1040" t="s">
        <v>8277</v>
      </c>
      <c r="N1040" t="s">
        <v>8278</v>
      </c>
      <c r="O1040" s="3">
        <v>0</v>
      </c>
      <c r="P1040" s="3">
        <v>0</v>
      </c>
      <c r="Q1040" s="3">
        <v>113.13</v>
      </c>
      <c r="R1040" s="3">
        <v>14.706899999999999</v>
      </c>
      <c r="S1040" s="3">
        <v>0</v>
      </c>
      <c r="T1040" s="3">
        <v>0</v>
      </c>
      <c r="U1040" s="3">
        <v>127.8369</v>
      </c>
      <c r="V1040" s="3">
        <v>0</v>
      </c>
      <c r="W1040" s="3" t="s">
        <v>1</v>
      </c>
    </row>
    <row r="1041" spans="5:23" hidden="1" x14ac:dyDescent="0.25">
      <c r="E1041" t="s">
        <v>8608</v>
      </c>
      <c r="F1041" s="1" t="s">
        <v>8685</v>
      </c>
      <c r="G1041" t="s">
        <v>1</v>
      </c>
      <c r="H1041" t="s">
        <v>0</v>
      </c>
      <c r="I1041" t="s">
        <v>8165</v>
      </c>
      <c r="J1041" t="s">
        <v>8164</v>
      </c>
      <c r="K1041">
        <v>13192</v>
      </c>
      <c r="L1041">
        <v>13192</v>
      </c>
      <c r="M1041" t="s">
        <v>8715</v>
      </c>
      <c r="N1041" t="s">
        <v>8716</v>
      </c>
      <c r="O1041" s="3">
        <v>0</v>
      </c>
      <c r="P1041" s="3">
        <v>0</v>
      </c>
      <c r="Q1041" s="3">
        <v>6.12</v>
      </c>
      <c r="R1041" s="3">
        <v>0.79560000000000008</v>
      </c>
      <c r="S1041" s="3">
        <v>0</v>
      </c>
      <c r="T1041" s="3">
        <v>0</v>
      </c>
      <c r="U1041" s="3">
        <v>6.9156000000000004</v>
      </c>
      <c r="V1041" s="3">
        <v>0</v>
      </c>
      <c r="W1041" s="3" t="s">
        <v>1</v>
      </c>
    </row>
    <row r="1042" spans="5:23" hidden="1" x14ac:dyDescent="0.25">
      <c r="E1042" t="s">
        <v>8608</v>
      </c>
      <c r="F1042" s="1" t="s">
        <v>8685</v>
      </c>
      <c r="G1042" t="s">
        <v>1</v>
      </c>
      <c r="H1042" t="s">
        <v>0</v>
      </c>
      <c r="I1042" t="s">
        <v>8165</v>
      </c>
      <c r="J1042" t="s">
        <v>8164</v>
      </c>
      <c r="K1042">
        <v>13193</v>
      </c>
      <c r="L1042">
        <v>13193</v>
      </c>
      <c r="M1042" t="s">
        <v>3271</v>
      </c>
      <c r="N1042" t="s">
        <v>3272</v>
      </c>
      <c r="O1042" s="3">
        <v>0</v>
      </c>
      <c r="P1042" s="3">
        <v>0</v>
      </c>
      <c r="Q1042" s="3">
        <v>138</v>
      </c>
      <c r="R1042" s="3">
        <v>17.940000000000001</v>
      </c>
      <c r="S1042" s="3">
        <v>0</v>
      </c>
      <c r="T1042" s="3">
        <v>0</v>
      </c>
      <c r="U1042" s="3">
        <v>155.94</v>
      </c>
      <c r="V1042" s="3">
        <v>0</v>
      </c>
      <c r="W1042" s="3" t="s">
        <v>1</v>
      </c>
    </row>
    <row r="1043" spans="5:23" hidden="1" x14ac:dyDescent="0.25">
      <c r="E1043" t="s">
        <v>8608</v>
      </c>
      <c r="F1043" s="1" t="s">
        <v>8684</v>
      </c>
      <c r="G1043" t="s">
        <v>1</v>
      </c>
      <c r="H1043" t="s">
        <v>0</v>
      </c>
      <c r="I1043" t="s">
        <v>8165</v>
      </c>
      <c r="J1043" t="s">
        <v>8164</v>
      </c>
      <c r="K1043">
        <v>13194</v>
      </c>
      <c r="L1043">
        <v>13194</v>
      </c>
      <c r="M1043" t="s">
        <v>8713</v>
      </c>
      <c r="N1043" t="s">
        <v>8714</v>
      </c>
      <c r="O1043" s="3">
        <v>0</v>
      </c>
      <c r="P1043" s="3">
        <v>0</v>
      </c>
      <c r="Q1043" s="3">
        <v>80.53</v>
      </c>
      <c r="R1043" s="3">
        <v>10.4689</v>
      </c>
      <c r="S1043" s="3">
        <v>0</v>
      </c>
      <c r="T1043" s="3">
        <v>0</v>
      </c>
      <c r="U1043" s="3">
        <v>90.998900000000006</v>
      </c>
      <c r="V1043" s="3">
        <v>0</v>
      </c>
      <c r="W1043" s="3" t="s">
        <v>1</v>
      </c>
    </row>
    <row r="1044" spans="5:23" hidden="1" x14ac:dyDescent="0.25">
      <c r="E1044" t="s">
        <v>8608</v>
      </c>
      <c r="F1044" s="1" t="s">
        <v>8684</v>
      </c>
      <c r="G1044" t="s">
        <v>1</v>
      </c>
      <c r="H1044" t="s">
        <v>0</v>
      </c>
      <c r="I1044" t="s">
        <v>8165</v>
      </c>
      <c r="J1044" t="s">
        <v>8164</v>
      </c>
      <c r="K1044">
        <v>13195</v>
      </c>
      <c r="L1044">
        <v>13195</v>
      </c>
      <c r="M1044" t="s">
        <v>8269</v>
      </c>
      <c r="N1044" t="s">
        <v>8270</v>
      </c>
      <c r="O1044" s="3">
        <v>0</v>
      </c>
      <c r="P1044" s="3">
        <v>0</v>
      </c>
      <c r="Q1044" s="3">
        <v>44.25</v>
      </c>
      <c r="R1044" s="3">
        <v>5.7525000000000004</v>
      </c>
      <c r="S1044" s="3">
        <v>0</v>
      </c>
      <c r="T1044" s="3">
        <v>0</v>
      </c>
      <c r="U1044" s="3">
        <v>50.002499999999998</v>
      </c>
      <c r="V1044" s="3">
        <v>0</v>
      </c>
      <c r="W1044" s="3" t="s">
        <v>1</v>
      </c>
    </row>
    <row r="1045" spans="5:23" hidden="1" x14ac:dyDescent="0.25">
      <c r="E1045" t="s">
        <v>8608</v>
      </c>
      <c r="F1045" s="1" t="s">
        <v>8684</v>
      </c>
      <c r="G1045" t="s">
        <v>1</v>
      </c>
      <c r="H1045" t="s">
        <v>0</v>
      </c>
      <c r="I1045" t="s">
        <v>8165</v>
      </c>
      <c r="J1045" t="s">
        <v>8164</v>
      </c>
      <c r="K1045">
        <v>13196</v>
      </c>
      <c r="L1045">
        <v>13196</v>
      </c>
      <c r="M1045" t="s">
        <v>8711</v>
      </c>
      <c r="N1045" t="s">
        <v>8712</v>
      </c>
      <c r="O1045" s="3">
        <v>0</v>
      </c>
      <c r="P1045" s="3">
        <v>0</v>
      </c>
      <c r="Q1045" s="3">
        <v>158.91999999999999</v>
      </c>
      <c r="R1045" s="3">
        <v>20.659599999999998</v>
      </c>
      <c r="S1045" s="3">
        <v>0</v>
      </c>
      <c r="T1045" s="3">
        <v>0</v>
      </c>
      <c r="U1045" s="3">
        <v>179.57959999999997</v>
      </c>
      <c r="V1045" s="3">
        <v>0</v>
      </c>
      <c r="W1045" s="3" t="s">
        <v>1</v>
      </c>
    </row>
    <row r="1046" spans="5:23" hidden="1" x14ac:dyDescent="0.25">
      <c r="E1046" t="s">
        <v>8608</v>
      </c>
      <c r="F1046" s="1" t="s">
        <v>8684</v>
      </c>
      <c r="G1046" t="s">
        <v>1</v>
      </c>
      <c r="H1046" t="s">
        <v>0</v>
      </c>
      <c r="I1046" t="s">
        <v>8165</v>
      </c>
      <c r="J1046" t="s">
        <v>8164</v>
      </c>
      <c r="K1046">
        <v>13197</v>
      </c>
      <c r="L1046">
        <v>13197</v>
      </c>
      <c r="M1046" t="s">
        <v>8243</v>
      </c>
      <c r="N1046" t="s">
        <v>8244</v>
      </c>
      <c r="O1046" s="3">
        <v>0</v>
      </c>
      <c r="P1046" s="3">
        <v>0</v>
      </c>
      <c r="Q1046" s="3">
        <v>99.55</v>
      </c>
      <c r="R1046" s="3">
        <v>12.9415</v>
      </c>
      <c r="S1046" s="3">
        <v>0</v>
      </c>
      <c r="T1046" s="3">
        <v>0</v>
      </c>
      <c r="U1046" s="3">
        <v>112.4915</v>
      </c>
      <c r="V1046" s="3">
        <v>0</v>
      </c>
      <c r="W1046" s="3" t="s">
        <v>1</v>
      </c>
    </row>
    <row r="1047" spans="5:23" hidden="1" x14ac:dyDescent="0.25">
      <c r="E1047" t="s">
        <v>8608</v>
      </c>
      <c r="F1047" s="1" t="s">
        <v>8684</v>
      </c>
      <c r="G1047" t="s">
        <v>1</v>
      </c>
      <c r="H1047" t="s">
        <v>0</v>
      </c>
      <c r="I1047" t="s">
        <v>8165</v>
      </c>
      <c r="J1047" t="s">
        <v>8164</v>
      </c>
      <c r="K1047">
        <v>13198</v>
      </c>
      <c r="L1047">
        <v>13198</v>
      </c>
      <c r="M1047" t="s">
        <v>8243</v>
      </c>
      <c r="N1047" t="s">
        <v>8244</v>
      </c>
      <c r="O1047" s="3">
        <v>0</v>
      </c>
      <c r="P1047" s="3">
        <v>0</v>
      </c>
      <c r="Q1047" s="3">
        <v>27.88</v>
      </c>
      <c r="R1047" s="3">
        <v>3.6244000000000001</v>
      </c>
      <c r="S1047" s="3">
        <v>0</v>
      </c>
      <c r="T1047" s="3">
        <v>0</v>
      </c>
      <c r="U1047" s="3">
        <v>31.5044</v>
      </c>
      <c r="V1047" s="3">
        <v>0</v>
      </c>
      <c r="W1047" s="3" t="s">
        <v>1</v>
      </c>
    </row>
    <row r="1048" spans="5:23" hidden="1" x14ac:dyDescent="0.25">
      <c r="E1048" t="s">
        <v>8608</v>
      </c>
      <c r="F1048" s="1" t="s">
        <v>8684</v>
      </c>
      <c r="G1048" t="s">
        <v>1</v>
      </c>
      <c r="H1048" t="s">
        <v>0</v>
      </c>
      <c r="I1048" t="s">
        <v>8165</v>
      </c>
      <c r="J1048" t="s">
        <v>8164</v>
      </c>
      <c r="K1048">
        <v>13199</v>
      </c>
      <c r="L1048">
        <v>13199</v>
      </c>
      <c r="M1048">
        <v>0</v>
      </c>
      <c r="N1048" t="s">
        <v>8640</v>
      </c>
      <c r="O1048" s="3">
        <v>0</v>
      </c>
      <c r="P1048" s="3">
        <v>0</v>
      </c>
      <c r="Q1048" s="3">
        <v>254.75</v>
      </c>
      <c r="R1048" s="3">
        <v>33.1175</v>
      </c>
      <c r="S1048" s="3">
        <v>0</v>
      </c>
      <c r="T1048" s="3">
        <v>0</v>
      </c>
      <c r="U1048" s="3">
        <v>287.86750000000001</v>
      </c>
      <c r="V1048" s="3" t="s">
        <v>8639</v>
      </c>
      <c r="W1048" s="3" t="s">
        <v>1</v>
      </c>
    </row>
    <row r="1049" spans="5:23" hidden="1" x14ac:dyDescent="0.25">
      <c r="E1049" t="s">
        <v>8608</v>
      </c>
      <c r="F1049" s="1" t="s">
        <v>8684</v>
      </c>
      <c r="G1049" t="s">
        <v>1</v>
      </c>
      <c r="H1049" t="s">
        <v>0</v>
      </c>
      <c r="I1049" t="s">
        <v>8165</v>
      </c>
      <c r="J1049" t="s">
        <v>8164</v>
      </c>
      <c r="K1049">
        <v>13200</v>
      </c>
      <c r="L1049">
        <v>13200</v>
      </c>
      <c r="M1049" t="s">
        <v>149</v>
      </c>
      <c r="N1049" t="s">
        <v>150</v>
      </c>
      <c r="O1049" s="3">
        <v>0</v>
      </c>
      <c r="P1049" s="3">
        <v>0</v>
      </c>
      <c r="Q1049" s="3">
        <v>40.5</v>
      </c>
      <c r="R1049" s="3">
        <v>5.2650000000000006</v>
      </c>
      <c r="S1049" s="3">
        <v>0</v>
      </c>
      <c r="T1049" s="3">
        <v>0</v>
      </c>
      <c r="U1049" s="3">
        <v>45.765000000000001</v>
      </c>
      <c r="V1049" s="3">
        <v>0</v>
      </c>
      <c r="W1049" s="3" t="s">
        <v>1</v>
      </c>
    </row>
    <row r="1050" spans="5:23" hidden="1" x14ac:dyDescent="0.25">
      <c r="E1050" t="s">
        <v>8608</v>
      </c>
      <c r="F1050" s="1" t="s">
        <v>8684</v>
      </c>
      <c r="G1050" t="s">
        <v>1</v>
      </c>
      <c r="H1050" t="s">
        <v>0</v>
      </c>
      <c r="I1050" t="s">
        <v>8165</v>
      </c>
      <c r="J1050" t="s">
        <v>8164</v>
      </c>
      <c r="K1050">
        <v>13201</v>
      </c>
      <c r="L1050">
        <v>13201</v>
      </c>
      <c r="M1050" t="s">
        <v>8160</v>
      </c>
      <c r="N1050" t="s">
        <v>8161</v>
      </c>
      <c r="O1050" s="3">
        <v>0</v>
      </c>
      <c r="P1050" s="3">
        <v>0</v>
      </c>
      <c r="Q1050" s="3">
        <v>33.18</v>
      </c>
      <c r="R1050" s="3">
        <v>4.3133999999999997</v>
      </c>
      <c r="S1050" s="3">
        <v>0</v>
      </c>
      <c r="T1050" s="3">
        <v>0</v>
      </c>
      <c r="U1050" s="3">
        <v>37.493400000000001</v>
      </c>
      <c r="V1050" s="3">
        <v>0</v>
      </c>
      <c r="W1050" s="3" t="s">
        <v>1</v>
      </c>
    </row>
    <row r="1051" spans="5:23" hidden="1" x14ac:dyDescent="0.25">
      <c r="E1051" t="s">
        <v>8608</v>
      </c>
      <c r="F1051" s="1" t="s">
        <v>8684</v>
      </c>
      <c r="G1051" t="s">
        <v>1</v>
      </c>
      <c r="H1051" t="s">
        <v>0</v>
      </c>
      <c r="I1051" t="s">
        <v>8165</v>
      </c>
      <c r="J1051" t="s">
        <v>8164</v>
      </c>
      <c r="K1051">
        <v>13202</v>
      </c>
      <c r="L1051">
        <v>13202</v>
      </c>
      <c r="M1051" t="s">
        <v>8160</v>
      </c>
      <c r="N1051" t="s">
        <v>8161</v>
      </c>
      <c r="O1051" s="3">
        <v>0</v>
      </c>
      <c r="P1051" s="3">
        <v>0</v>
      </c>
      <c r="Q1051" s="3">
        <v>12.21</v>
      </c>
      <c r="R1051" s="3">
        <v>1.5873000000000002</v>
      </c>
      <c r="S1051" s="3">
        <v>0</v>
      </c>
      <c r="T1051" s="3">
        <v>0</v>
      </c>
      <c r="U1051" s="3">
        <v>13.797300000000002</v>
      </c>
      <c r="V1051" s="3">
        <v>0</v>
      </c>
      <c r="W1051" s="3" t="s">
        <v>1</v>
      </c>
    </row>
    <row r="1052" spans="5:23" hidden="1" x14ac:dyDescent="0.25">
      <c r="E1052" t="s">
        <v>8608</v>
      </c>
      <c r="F1052" s="1" t="s">
        <v>8684</v>
      </c>
      <c r="G1052" t="s">
        <v>1</v>
      </c>
      <c r="H1052" t="s">
        <v>0</v>
      </c>
      <c r="I1052" t="s">
        <v>8165</v>
      </c>
      <c r="J1052" t="s">
        <v>8164</v>
      </c>
      <c r="K1052">
        <v>13203</v>
      </c>
      <c r="L1052">
        <v>13203</v>
      </c>
      <c r="M1052" t="s">
        <v>8269</v>
      </c>
      <c r="N1052" t="s">
        <v>8270</v>
      </c>
      <c r="O1052" s="3">
        <v>0</v>
      </c>
      <c r="P1052" s="3">
        <v>0</v>
      </c>
      <c r="Q1052" s="3">
        <v>10.8</v>
      </c>
      <c r="R1052" s="3">
        <v>1.4040000000000001</v>
      </c>
      <c r="S1052" s="3">
        <v>0</v>
      </c>
      <c r="T1052" s="3">
        <v>0</v>
      </c>
      <c r="U1052" s="3">
        <v>12.204000000000001</v>
      </c>
      <c r="V1052" s="3">
        <v>0</v>
      </c>
      <c r="W1052" s="3" t="s">
        <v>1</v>
      </c>
    </row>
    <row r="1053" spans="5:23" hidden="1" x14ac:dyDescent="0.25">
      <c r="E1053" t="s">
        <v>8608</v>
      </c>
      <c r="F1053" s="1" t="s">
        <v>8684</v>
      </c>
      <c r="G1053" t="s">
        <v>1</v>
      </c>
      <c r="H1053" t="s">
        <v>0</v>
      </c>
      <c r="I1053" t="s">
        <v>8165</v>
      </c>
      <c r="J1053" t="s">
        <v>8164</v>
      </c>
      <c r="K1053">
        <v>13204</v>
      </c>
      <c r="L1053">
        <v>13204</v>
      </c>
      <c r="M1053" t="s">
        <v>1415</v>
      </c>
      <c r="N1053" t="s">
        <v>1416</v>
      </c>
      <c r="O1053" s="3">
        <v>0</v>
      </c>
      <c r="P1053" s="3">
        <v>0</v>
      </c>
      <c r="Q1053" s="3">
        <v>40.49</v>
      </c>
      <c r="R1053" s="3">
        <v>5.2637</v>
      </c>
      <c r="S1053" s="3">
        <v>0</v>
      </c>
      <c r="T1053" s="3">
        <v>0</v>
      </c>
      <c r="U1053" s="3">
        <v>45.753700000000002</v>
      </c>
      <c r="V1053" s="3">
        <v>0</v>
      </c>
      <c r="W1053" s="3" t="s">
        <v>1</v>
      </c>
    </row>
    <row r="1054" spans="5:23" hidden="1" x14ac:dyDescent="0.25">
      <c r="E1054" t="s">
        <v>8608</v>
      </c>
      <c r="F1054" s="1" t="s">
        <v>8684</v>
      </c>
      <c r="G1054" t="s">
        <v>1</v>
      </c>
      <c r="H1054" t="s">
        <v>0</v>
      </c>
      <c r="I1054" t="s">
        <v>8165</v>
      </c>
      <c r="J1054" t="s">
        <v>8164</v>
      </c>
      <c r="K1054">
        <v>13205</v>
      </c>
      <c r="L1054">
        <v>13205</v>
      </c>
      <c r="M1054" t="s">
        <v>8709</v>
      </c>
      <c r="N1054" t="s">
        <v>8710</v>
      </c>
      <c r="O1054" s="3">
        <v>0</v>
      </c>
      <c r="P1054" s="3">
        <v>0</v>
      </c>
      <c r="Q1054" s="3">
        <v>55.2</v>
      </c>
      <c r="R1054" s="3">
        <v>7.176000000000001</v>
      </c>
      <c r="S1054" s="3">
        <v>0</v>
      </c>
      <c r="T1054" s="3">
        <v>0</v>
      </c>
      <c r="U1054" s="3">
        <v>62.376000000000005</v>
      </c>
      <c r="V1054" s="3">
        <v>0</v>
      </c>
      <c r="W1054" s="3" t="s">
        <v>1</v>
      </c>
    </row>
    <row r="1055" spans="5:23" hidden="1" x14ac:dyDescent="0.25">
      <c r="E1055" t="s">
        <v>8608</v>
      </c>
      <c r="F1055" s="1" t="s">
        <v>8684</v>
      </c>
      <c r="G1055" t="s">
        <v>1</v>
      </c>
      <c r="H1055" t="s">
        <v>0</v>
      </c>
      <c r="I1055" t="s">
        <v>8165</v>
      </c>
      <c r="J1055" t="s">
        <v>8164</v>
      </c>
      <c r="K1055">
        <v>13206</v>
      </c>
      <c r="L1055">
        <v>13206</v>
      </c>
      <c r="M1055" t="s">
        <v>8662</v>
      </c>
      <c r="N1055" t="s">
        <v>8663</v>
      </c>
      <c r="O1055" s="3">
        <v>0</v>
      </c>
      <c r="P1055" s="3">
        <v>0</v>
      </c>
      <c r="Q1055" s="3">
        <v>26.55</v>
      </c>
      <c r="R1055" s="3">
        <v>3.4515000000000002</v>
      </c>
      <c r="S1055" s="3">
        <v>0</v>
      </c>
      <c r="T1055" s="3">
        <v>0</v>
      </c>
      <c r="U1055" s="3">
        <v>30.0015</v>
      </c>
      <c r="V1055" s="3">
        <v>0</v>
      </c>
      <c r="W1055" s="3" t="s">
        <v>1</v>
      </c>
    </row>
    <row r="1056" spans="5:23" hidden="1" x14ac:dyDescent="0.25">
      <c r="E1056" t="s">
        <v>8608</v>
      </c>
      <c r="F1056" s="1" t="s">
        <v>8683</v>
      </c>
      <c r="G1056" t="s">
        <v>1</v>
      </c>
      <c r="H1056" t="s">
        <v>0</v>
      </c>
      <c r="I1056" t="s">
        <v>8165</v>
      </c>
      <c r="J1056" t="s">
        <v>8164</v>
      </c>
      <c r="K1056">
        <v>13207</v>
      </c>
      <c r="L1056">
        <v>13207</v>
      </c>
      <c r="M1056" t="s">
        <v>164</v>
      </c>
      <c r="N1056" t="s">
        <v>165</v>
      </c>
      <c r="O1056" s="3">
        <v>0</v>
      </c>
      <c r="P1056" s="3">
        <v>0</v>
      </c>
      <c r="Q1056" s="3">
        <v>148.96</v>
      </c>
      <c r="R1056" s="3">
        <v>19.364800000000002</v>
      </c>
      <c r="S1056" s="3">
        <v>0</v>
      </c>
      <c r="T1056" s="3">
        <v>0</v>
      </c>
      <c r="U1056" s="3">
        <v>168.32480000000001</v>
      </c>
      <c r="V1056" s="3">
        <v>0</v>
      </c>
      <c r="W1056" s="3" t="s">
        <v>1</v>
      </c>
    </row>
    <row r="1057" spans="5:23" hidden="1" x14ac:dyDescent="0.25">
      <c r="E1057" t="s">
        <v>8608</v>
      </c>
      <c r="F1057" s="1" t="s">
        <v>8683</v>
      </c>
      <c r="G1057" t="s">
        <v>1</v>
      </c>
      <c r="H1057" t="s">
        <v>0</v>
      </c>
      <c r="I1057" t="s">
        <v>8165</v>
      </c>
      <c r="J1057" t="s">
        <v>8164</v>
      </c>
      <c r="K1057">
        <v>13208</v>
      </c>
      <c r="L1057">
        <v>13208</v>
      </c>
      <c r="M1057" t="s">
        <v>8190</v>
      </c>
      <c r="N1057" t="s">
        <v>8191</v>
      </c>
      <c r="O1057" s="3">
        <v>0</v>
      </c>
      <c r="P1057" s="3">
        <v>0</v>
      </c>
      <c r="Q1057" s="3">
        <v>300.24</v>
      </c>
      <c r="R1057" s="3">
        <v>39.031200000000005</v>
      </c>
      <c r="S1057" s="3">
        <v>0</v>
      </c>
      <c r="T1057" s="3">
        <v>0</v>
      </c>
      <c r="U1057" s="3">
        <v>339.27120000000002</v>
      </c>
      <c r="V1057" s="3">
        <v>0</v>
      </c>
      <c r="W1057" s="3" t="s">
        <v>1</v>
      </c>
    </row>
    <row r="1058" spans="5:23" hidden="1" x14ac:dyDescent="0.25">
      <c r="E1058" t="s">
        <v>8608</v>
      </c>
      <c r="F1058" s="1" t="s">
        <v>8683</v>
      </c>
      <c r="G1058" t="s">
        <v>1</v>
      </c>
      <c r="H1058" t="s">
        <v>0</v>
      </c>
      <c r="I1058" t="s">
        <v>8165</v>
      </c>
      <c r="J1058" t="s">
        <v>8164</v>
      </c>
      <c r="K1058">
        <v>13209</v>
      </c>
      <c r="L1058">
        <v>13209</v>
      </c>
      <c r="M1058">
        <v>0</v>
      </c>
      <c r="N1058" t="s">
        <v>8280</v>
      </c>
      <c r="O1058" s="3">
        <v>0</v>
      </c>
      <c r="P1058" s="3">
        <v>0</v>
      </c>
      <c r="Q1058" s="3">
        <v>88.5</v>
      </c>
      <c r="R1058" s="3">
        <v>11.505000000000001</v>
      </c>
      <c r="S1058" s="3">
        <v>0</v>
      </c>
      <c r="T1058" s="3">
        <v>0</v>
      </c>
      <c r="U1058" s="3">
        <v>100.005</v>
      </c>
      <c r="V1058" s="3" t="s">
        <v>8708</v>
      </c>
      <c r="W1058" s="3" t="s">
        <v>1</v>
      </c>
    </row>
    <row r="1059" spans="5:23" hidden="1" x14ac:dyDescent="0.25">
      <c r="E1059" t="s">
        <v>8608</v>
      </c>
      <c r="F1059" s="1" t="s">
        <v>8683</v>
      </c>
      <c r="G1059" t="s">
        <v>1</v>
      </c>
      <c r="H1059" t="s">
        <v>0</v>
      </c>
      <c r="I1059" t="s">
        <v>8165</v>
      </c>
      <c r="J1059" t="s">
        <v>8164</v>
      </c>
      <c r="K1059">
        <v>13210</v>
      </c>
      <c r="L1059">
        <v>13210</v>
      </c>
      <c r="M1059" t="s">
        <v>8277</v>
      </c>
      <c r="N1059" t="s">
        <v>8278</v>
      </c>
      <c r="O1059" s="3">
        <v>0</v>
      </c>
      <c r="P1059" s="3">
        <v>0</v>
      </c>
      <c r="Q1059" s="3">
        <v>24.6</v>
      </c>
      <c r="R1059" s="3">
        <v>3.1980000000000004</v>
      </c>
      <c r="S1059" s="3">
        <v>0</v>
      </c>
      <c r="T1059" s="3">
        <v>0</v>
      </c>
      <c r="U1059" s="3">
        <v>27.798000000000002</v>
      </c>
      <c r="V1059" s="3">
        <v>0</v>
      </c>
      <c r="W1059" s="3" t="s">
        <v>1</v>
      </c>
    </row>
    <row r="1060" spans="5:23" hidden="1" x14ac:dyDescent="0.25">
      <c r="E1060" t="s">
        <v>8608</v>
      </c>
      <c r="F1060" s="1" t="s">
        <v>8683</v>
      </c>
      <c r="G1060" t="s">
        <v>1</v>
      </c>
      <c r="H1060" t="s">
        <v>0</v>
      </c>
      <c r="I1060" t="s">
        <v>8165</v>
      </c>
      <c r="J1060" t="s">
        <v>8164</v>
      </c>
      <c r="K1060">
        <v>13211</v>
      </c>
      <c r="L1060">
        <v>13211</v>
      </c>
      <c r="M1060" t="s">
        <v>8706</v>
      </c>
      <c r="N1060" t="s">
        <v>8707</v>
      </c>
      <c r="O1060" s="3">
        <v>0</v>
      </c>
      <c r="P1060" s="3">
        <v>0</v>
      </c>
      <c r="Q1060" s="3">
        <v>92.25</v>
      </c>
      <c r="R1060" s="3">
        <v>11.9925</v>
      </c>
      <c r="S1060" s="3">
        <v>0</v>
      </c>
      <c r="T1060" s="3">
        <v>0</v>
      </c>
      <c r="U1060" s="3">
        <v>104.24250000000001</v>
      </c>
      <c r="V1060" s="3">
        <v>0</v>
      </c>
      <c r="W1060" s="3" t="s">
        <v>1</v>
      </c>
    </row>
    <row r="1061" spans="5:23" hidden="1" x14ac:dyDescent="0.25">
      <c r="E1061" t="s">
        <v>8608</v>
      </c>
      <c r="F1061" s="1" t="s">
        <v>8683</v>
      </c>
      <c r="G1061" t="s">
        <v>1</v>
      </c>
      <c r="H1061" t="s">
        <v>0</v>
      </c>
      <c r="I1061" t="s">
        <v>8165</v>
      </c>
      <c r="J1061" t="s">
        <v>8164</v>
      </c>
      <c r="K1061">
        <v>13212</v>
      </c>
      <c r="L1061">
        <v>13212</v>
      </c>
      <c r="M1061" t="s">
        <v>8114</v>
      </c>
      <c r="N1061" t="s">
        <v>8115</v>
      </c>
      <c r="O1061" s="3">
        <v>0</v>
      </c>
      <c r="P1061" s="3">
        <v>0</v>
      </c>
      <c r="Q1061" s="3">
        <v>242.06</v>
      </c>
      <c r="R1061" s="3">
        <v>31.4678</v>
      </c>
      <c r="S1061" s="3">
        <v>0</v>
      </c>
      <c r="T1061" s="3">
        <v>0</v>
      </c>
      <c r="U1061" s="3">
        <v>273.52780000000001</v>
      </c>
      <c r="V1061" s="3">
        <v>0</v>
      </c>
      <c r="W1061" s="3" t="s">
        <v>1</v>
      </c>
    </row>
    <row r="1062" spans="5:23" hidden="1" x14ac:dyDescent="0.25">
      <c r="E1062" t="s">
        <v>8608</v>
      </c>
      <c r="F1062" s="1" t="s">
        <v>8683</v>
      </c>
      <c r="G1062" t="s">
        <v>1</v>
      </c>
      <c r="H1062" t="s">
        <v>0</v>
      </c>
      <c r="I1062" t="s">
        <v>8165</v>
      </c>
      <c r="J1062" t="s">
        <v>8164</v>
      </c>
      <c r="K1062">
        <v>13213</v>
      </c>
      <c r="L1062">
        <v>13213</v>
      </c>
      <c r="M1062" t="s">
        <v>164</v>
      </c>
      <c r="N1062" t="s">
        <v>165</v>
      </c>
      <c r="O1062" s="3">
        <v>0</v>
      </c>
      <c r="P1062" s="3">
        <v>0</v>
      </c>
      <c r="Q1062" s="3">
        <v>56.64</v>
      </c>
      <c r="R1062" s="3">
        <v>7.3632</v>
      </c>
      <c r="S1062" s="3">
        <v>0</v>
      </c>
      <c r="T1062" s="3">
        <v>0</v>
      </c>
      <c r="U1062" s="3">
        <v>64.003200000000007</v>
      </c>
      <c r="V1062" s="3">
        <v>0</v>
      </c>
      <c r="W1062" s="3" t="s">
        <v>1</v>
      </c>
    </row>
    <row r="1063" spans="5:23" hidden="1" x14ac:dyDescent="0.25">
      <c r="E1063" t="s">
        <v>8608</v>
      </c>
      <c r="F1063" s="1" t="s">
        <v>8683</v>
      </c>
      <c r="G1063" t="s">
        <v>1</v>
      </c>
      <c r="H1063" t="s">
        <v>0</v>
      </c>
      <c r="I1063" t="s">
        <v>8165</v>
      </c>
      <c r="J1063" t="s">
        <v>8164</v>
      </c>
      <c r="K1063">
        <v>13214</v>
      </c>
      <c r="L1063">
        <v>13214</v>
      </c>
      <c r="M1063" t="s">
        <v>734</v>
      </c>
      <c r="N1063" t="s">
        <v>735</v>
      </c>
      <c r="O1063" s="3">
        <v>0</v>
      </c>
      <c r="P1063" s="3">
        <v>0</v>
      </c>
      <c r="Q1063" s="3">
        <v>726.34</v>
      </c>
      <c r="R1063" s="3">
        <v>94.424200000000013</v>
      </c>
      <c r="S1063" s="3">
        <v>0</v>
      </c>
      <c r="T1063" s="3">
        <v>0</v>
      </c>
      <c r="U1063" s="3">
        <v>820.76420000000007</v>
      </c>
      <c r="V1063" s="3">
        <v>0</v>
      </c>
      <c r="W1063" s="3" t="s">
        <v>1</v>
      </c>
    </row>
    <row r="1064" spans="5:23" hidden="1" x14ac:dyDescent="0.25">
      <c r="E1064" t="s">
        <v>8608</v>
      </c>
      <c r="F1064" s="1" t="s">
        <v>8683</v>
      </c>
      <c r="G1064" t="s">
        <v>1</v>
      </c>
      <c r="H1064" t="s">
        <v>0</v>
      </c>
      <c r="I1064" t="s">
        <v>8165</v>
      </c>
      <c r="J1064" t="s">
        <v>8164</v>
      </c>
      <c r="K1064">
        <v>13215</v>
      </c>
      <c r="L1064">
        <v>13215</v>
      </c>
      <c r="M1064" t="s">
        <v>7852</v>
      </c>
      <c r="N1064" t="s">
        <v>7851</v>
      </c>
      <c r="O1064" s="3">
        <v>0</v>
      </c>
      <c r="P1064" s="3">
        <v>0</v>
      </c>
      <c r="Q1064" s="3">
        <v>0</v>
      </c>
      <c r="R1064" s="3">
        <v>0</v>
      </c>
      <c r="S1064" s="3">
        <v>0</v>
      </c>
      <c r="T1064" s="3">
        <v>0</v>
      </c>
      <c r="U1064" s="3">
        <v>0</v>
      </c>
      <c r="V1064" s="3">
        <v>0</v>
      </c>
      <c r="W1064" s="3" t="s">
        <v>1</v>
      </c>
    </row>
    <row r="1065" spans="5:23" hidden="1" x14ac:dyDescent="0.25">
      <c r="E1065" t="s">
        <v>8608</v>
      </c>
      <c r="F1065" s="1" t="s">
        <v>8683</v>
      </c>
      <c r="G1065" t="s">
        <v>1</v>
      </c>
      <c r="H1065" t="s">
        <v>0</v>
      </c>
      <c r="I1065" t="s">
        <v>8165</v>
      </c>
      <c r="J1065" t="s">
        <v>8164</v>
      </c>
      <c r="K1065">
        <v>13216</v>
      </c>
      <c r="L1065">
        <v>13216</v>
      </c>
      <c r="M1065" t="s">
        <v>8114</v>
      </c>
      <c r="N1065" t="s">
        <v>8115</v>
      </c>
      <c r="O1065" s="3">
        <v>0</v>
      </c>
      <c r="P1065" s="3">
        <v>0</v>
      </c>
      <c r="Q1065" s="3">
        <v>158.4</v>
      </c>
      <c r="R1065" s="3">
        <v>20.592000000000002</v>
      </c>
      <c r="S1065" s="3">
        <v>0</v>
      </c>
      <c r="T1065" s="3">
        <v>0</v>
      </c>
      <c r="U1065" s="3">
        <v>178.99200000000002</v>
      </c>
      <c r="V1065" s="3">
        <v>0</v>
      </c>
      <c r="W1065" s="3" t="s">
        <v>1</v>
      </c>
    </row>
    <row r="1066" spans="5:23" hidden="1" x14ac:dyDescent="0.25">
      <c r="E1066" t="s">
        <v>8608</v>
      </c>
      <c r="F1066" s="1" t="s">
        <v>8683</v>
      </c>
      <c r="G1066" t="s">
        <v>1</v>
      </c>
      <c r="H1066" t="s">
        <v>0</v>
      </c>
      <c r="I1066" t="s">
        <v>8165</v>
      </c>
      <c r="J1066" t="s">
        <v>8164</v>
      </c>
      <c r="K1066">
        <v>13217</v>
      </c>
      <c r="L1066">
        <v>13217</v>
      </c>
      <c r="M1066" t="s">
        <v>129</v>
      </c>
      <c r="N1066" t="s">
        <v>130</v>
      </c>
      <c r="O1066" s="3">
        <v>0</v>
      </c>
      <c r="P1066" s="3">
        <v>0</v>
      </c>
      <c r="Q1066" s="3">
        <v>164.28</v>
      </c>
      <c r="R1066" s="3">
        <v>21.356400000000001</v>
      </c>
      <c r="S1066" s="3">
        <v>0</v>
      </c>
      <c r="T1066" s="3">
        <v>0</v>
      </c>
      <c r="U1066" s="3">
        <v>185.63640000000001</v>
      </c>
      <c r="V1066" s="3">
        <v>0</v>
      </c>
      <c r="W1066" s="3" t="s">
        <v>1</v>
      </c>
    </row>
    <row r="1067" spans="5:23" hidden="1" x14ac:dyDescent="0.25">
      <c r="E1067" t="s">
        <v>8608</v>
      </c>
      <c r="F1067" s="1" t="s">
        <v>8682</v>
      </c>
      <c r="G1067" t="s">
        <v>1</v>
      </c>
      <c r="H1067" t="s">
        <v>0</v>
      </c>
      <c r="I1067" t="s">
        <v>8165</v>
      </c>
      <c r="J1067" t="s">
        <v>8164</v>
      </c>
      <c r="K1067">
        <v>13218</v>
      </c>
      <c r="L1067">
        <v>13218</v>
      </c>
      <c r="M1067" t="s">
        <v>8559</v>
      </c>
      <c r="N1067" t="s">
        <v>8560</v>
      </c>
      <c r="O1067" s="3">
        <v>0</v>
      </c>
      <c r="P1067" s="3">
        <v>0</v>
      </c>
      <c r="Q1067" s="3">
        <v>61.5</v>
      </c>
      <c r="R1067" s="3">
        <v>7.9950000000000001</v>
      </c>
      <c r="S1067" s="3">
        <v>0</v>
      </c>
      <c r="T1067" s="3">
        <v>0</v>
      </c>
      <c r="U1067" s="3">
        <v>69.495000000000005</v>
      </c>
      <c r="V1067" s="3">
        <v>0</v>
      </c>
      <c r="W1067" s="3" t="s">
        <v>1</v>
      </c>
    </row>
    <row r="1068" spans="5:23" hidden="1" x14ac:dyDescent="0.25">
      <c r="E1068" t="s">
        <v>8608</v>
      </c>
      <c r="F1068" s="1" t="s">
        <v>8682</v>
      </c>
      <c r="G1068" t="s">
        <v>1</v>
      </c>
      <c r="H1068" t="s">
        <v>0</v>
      </c>
      <c r="I1068" t="s">
        <v>8165</v>
      </c>
      <c r="J1068" t="s">
        <v>8164</v>
      </c>
      <c r="K1068">
        <v>13219</v>
      </c>
      <c r="L1068">
        <v>13219</v>
      </c>
      <c r="M1068" t="s">
        <v>8285</v>
      </c>
      <c r="N1068" t="s">
        <v>8286</v>
      </c>
      <c r="O1068" s="3">
        <v>0</v>
      </c>
      <c r="P1068" s="3">
        <v>0</v>
      </c>
      <c r="Q1068" s="3">
        <v>514.70000000000005</v>
      </c>
      <c r="R1068" s="3">
        <v>66.911000000000001</v>
      </c>
      <c r="S1068" s="3">
        <v>0</v>
      </c>
      <c r="T1068" s="3">
        <v>0</v>
      </c>
      <c r="U1068" s="3">
        <v>581.6110000000001</v>
      </c>
      <c r="V1068" s="3">
        <v>0</v>
      </c>
      <c r="W1068" s="3" t="s">
        <v>1</v>
      </c>
    </row>
    <row r="1069" spans="5:23" hidden="1" x14ac:dyDescent="0.25">
      <c r="E1069" t="s">
        <v>8608</v>
      </c>
      <c r="F1069" s="1" t="s">
        <v>8682</v>
      </c>
      <c r="G1069" t="s">
        <v>1</v>
      </c>
      <c r="H1069" t="s">
        <v>0</v>
      </c>
      <c r="I1069" t="s">
        <v>8165</v>
      </c>
      <c r="J1069" t="s">
        <v>8164</v>
      </c>
      <c r="K1069">
        <v>13220</v>
      </c>
      <c r="L1069">
        <v>13220</v>
      </c>
      <c r="M1069" t="s">
        <v>8557</v>
      </c>
      <c r="N1069" t="s">
        <v>8558</v>
      </c>
      <c r="O1069" s="3">
        <v>0</v>
      </c>
      <c r="P1069" s="3">
        <v>0</v>
      </c>
      <c r="Q1069" s="3">
        <v>197.9</v>
      </c>
      <c r="R1069" s="3">
        <v>25.727</v>
      </c>
      <c r="S1069" s="3">
        <v>0</v>
      </c>
      <c r="T1069" s="3">
        <v>0</v>
      </c>
      <c r="U1069" s="3">
        <v>223.62700000000001</v>
      </c>
      <c r="V1069" s="3">
        <v>0</v>
      </c>
      <c r="W1069" s="3" t="s">
        <v>1</v>
      </c>
    </row>
    <row r="1070" spans="5:23" hidden="1" x14ac:dyDescent="0.25">
      <c r="E1070" t="s">
        <v>8608</v>
      </c>
      <c r="F1070" s="1" t="s">
        <v>8682</v>
      </c>
      <c r="G1070" t="s">
        <v>1</v>
      </c>
      <c r="H1070" t="s">
        <v>0</v>
      </c>
      <c r="I1070" t="s">
        <v>8165</v>
      </c>
      <c r="J1070" t="s">
        <v>8164</v>
      </c>
      <c r="K1070">
        <v>13221</v>
      </c>
      <c r="L1070">
        <v>13221</v>
      </c>
      <c r="M1070" t="s">
        <v>8289</v>
      </c>
      <c r="N1070" t="s">
        <v>8290</v>
      </c>
      <c r="O1070" s="3">
        <v>0</v>
      </c>
      <c r="P1070" s="3">
        <v>0</v>
      </c>
      <c r="Q1070" s="3">
        <v>170.52</v>
      </c>
      <c r="R1070" s="3">
        <v>22.167600000000004</v>
      </c>
      <c r="S1070" s="3">
        <v>0</v>
      </c>
      <c r="T1070" s="3">
        <v>0</v>
      </c>
      <c r="U1070" s="3">
        <v>192.6876</v>
      </c>
      <c r="V1070" s="3">
        <v>0</v>
      </c>
      <c r="W1070" s="3" t="s">
        <v>1</v>
      </c>
    </row>
    <row r="1071" spans="5:23" hidden="1" x14ac:dyDescent="0.25">
      <c r="E1071" t="s">
        <v>8608</v>
      </c>
      <c r="F1071" s="1" t="s">
        <v>8682</v>
      </c>
      <c r="G1071" t="s">
        <v>1</v>
      </c>
      <c r="H1071" t="s">
        <v>0</v>
      </c>
      <c r="I1071" t="s">
        <v>8165</v>
      </c>
      <c r="J1071" t="s">
        <v>8164</v>
      </c>
      <c r="K1071">
        <v>13222</v>
      </c>
      <c r="L1071">
        <v>13222</v>
      </c>
      <c r="M1071" t="s">
        <v>8540</v>
      </c>
      <c r="N1071" t="s">
        <v>1165</v>
      </c>
      <c r="O1071" s="3">
        <v>0</v>
      </c>
      <c r="P1071" s="3">
        <v>0</v>
      </c>
      <c r="Q1071" s="3">
        <v>25.8</v>
      </c>
      <c r="R1071" s="3">
        <v>3.3540000000000001</v>
      </c>
      <c r="S1071" s="3">
        <v>0</v>
      </c>
      <c r="T1071" s="3">
        <v>0</v>
      </c>
      <c r="U1071" s="3">
        <v>29.154</v>
      </c>
      <c r="V1071" s="3">
        <v>0</v>
      </c>
      <c r="W1071" s="3" t="s">
        <v>1</v>
      </c>
    </row>
    <row r="1072" spans="5:23" hidden="1" x14ac:dyDescent="0.25">
      <c r="E1072" t="s">
        <v>8608</v>
      </c>
      <c r="F1072" s="1" t="s">
        <v>8682</v>
      </c>
      <c r="G1072" t="s">
        <v>1</v>
      </c>
      <c r="H1072" t="s">
        <v>0</v>
      </c>
      <c r="I1072" t="s">
        <v>8165</v>
      </c>
      <c r="J1072" t="s">
        <v>8164</v>
      </c>
      <c r="K1072">
        <v>13223</v>
      </c>
      <c r="L1072">
        <v>13223</v>
      </c>
      <c r="M1072" t="s">
        <v>1396</v>
      </c>
      <c r="N1072" t="s">
        <v>1397</v>
      </c>
      <c r="O1072" s="3">
        <v>0</v>
      </c>
      <c r="P1072" s="3">
        <v>0</v>
      </c>
      <c r="Q1072" s="3">
        <v>326.25</v>
      </c>
      <c r="R1072" s="3">
        <v>42.412500000000001</v>
      </c>
      <c r="S1072" s="3">
        <v>0</v>
      </c>
      <c r="T1072" s="3">
        <v>0</v>
      </c>
      <c r="U1072" s="3">
        <v>368.66250000000002</v>
      </c>
      <c r="V1072" s="3">
        <v>0</v>
      </c>
      <c r="W1072" s="3" t="s">
        <v>1</v>
      </c>
    </row>
    <row r="1073" spans="5:23" hidden="1" x14ac:dyDescent="0.25">
      <c r="E1073" t="s">
        <v>8608</v>
      </c>
      <c r="F1073" s="1" t="s">
        <v>8682</v>
      </c>
      <c r="G1073" t="s">
        <v>1</v>
      </c>
      <c r="H1073" t="s">
        <v>0</v>
      </c>
      <c r="I1073" t="s">
        <v>8165</v>
      </c>
      <c r="J1073" t="s">
        <v>8164</v>
      </c>
      <c r="K1073">
        <v>13224</v>
      </c>
      <c r="L1073">
        <v>13224</v>
      </c>
      <c r="M1073">
        <v>0</v>
      </c>
      <c r="N1073" t="s">
        <v>8705</v>
      </c>
      <c r="O1073" s="3">
        <v>0</v>
      </c>
      <c r="P1073" s="3">
        <v>0</v>
      </c>
      <c r="Q1073" s="3">
        <v>534.99</v>
      </c>
      <c r="R1073" s="3">
        <v>69.548699999999997</v>
      </c>
      <c r="S1073" s="3">
        <v>0</v>
      </c>
      <c r="T1073" s="3">
        <v>0</v>
      </c>
      <c r="U1073" s="3">
        <v>604.53870000000006</v>
      </c>
      <c r="V1073" s="3" t="s">
        <v>8704</v>
      </c>
      <c r="W1073" s="3" t="s">
        <v>1</v>
      </c>
    </row>
    <row r="1074" spans="5:23" hidden="1" x14ac:dyDescent="0.25">
      <c r="E1074" t="s">
        <v>8608</v>
      </c>
      <c r="F1074" s="1" t="s">
        <v>8682</v>
      </c>
      <c r="G1074" t="s">
        <v>1</v>
      </c>
      <c r="H1074" t="s">
        <v>0</v>
      </c>
      <c r="I1074" t="s">
        <v>8165</v>
      </c>
      <c r="J1074" t="s">
        <v>8164</v>
      </c>
      <c r="K1074">
        <v>13225</v>
      </c>
      <c r="L1074">
        <v>13225</v>
      </c>
      <c r="M1074" t="s">
        <v>8480</v>
      </c>
      <c r="N1074" t="s">
        <v>8481</v>
      </c>
      <c r="O1074" s="3">
        <v>0</v>
      </c>
      <c r="P1074" s="3">
        <v>0</v>
      </c>
      <c r="Q1074" s="3">
        <v>13.95</v>
      </c>
      <c r="R1074" s="3">
        <v>1.8134999999999999</v>
      </c>
      <c r="S1074" s="3">
        <v>0</v>
      </c>
      <c r="T1074" s="3">
        <v>0</v>
      </c>
      <c r="U1074" s="3">
        <v>15.763499999999999</v>
      </c>
      <c r="V1074" s="3">
        <v>0</v>
      </c>
      <c r="W1074" s="3" t="s">
        <v>1</v>
      </c>
    </row>
    <row r="1075" spans="5:23" hidden="1" x14ac:dyDescent="0.25">
      <c r="E1075" t="s">
        <v>8608</v>
      </c>
      <c r="F1075" s="1" t="s">
        <v>8682</v>
      </c>
      <c r="G1075" t="s">
        <v>1</v>
      </c>
      <c r="H1075" t="s">
        <v>0</v>
      </c>
      <c r="I1075" t="s">
        <v>8165</v>
      </c>
      <c r="J1075" t="s">
        <v>8164</v>
      </c>
      <c r="K1075">
        <v>13226</v>
      </c>
      <c r="L1075">
        <v>13226</v>
      </c>
      <c r="M1075" t="s">
        <v>8702</v>
      </c>
      <c r="N1075" t="s">
        <v>8703</v>
      </c>
      <c r="O1075" s="3">
        <v>0</v>
      </c>
      <c r="P1075" s="3">
        <v>0</v>
      </c>
      <c r="Q1075" s="3">
        <v>326.75</v>
      </c>
      <c r="R1075" s="3">
        <v>42.477499999999999</v>
      </c>
      <c r="S1075" s="3">
        <v>0</v>
      </c>
      <c r="T1075" s="3">
        <v>0</v>
      </c>
      <c r="U1075" s="3">
        <v>369.22750000000002</v>
      </c>
      <c r="V1075" s="3">
        <v>0</v>
      </c>
      <c r="W1075" s="3" t="s">
        <v>1</v>
      </c>
    </row>
    <row r="1076" spans="5:23" hidden="1" x14ac:dyDescent="0.25">
      <c r="E1076" t="s">
        <v>8608</v>
      </c>
      <c r="F1076" s="1" t="s">
        <v>8682</v>
      </c>
      <c r="G1076" t="s">
        <v>1</v>
      </c>
      <c r="H1076" t="s">
        <v>0</v>
      </c>
      <c r="I1076" t="s">
        <v>8165</v>
      </c>
      <c r="J1076" t="s">
        <v>8164</v>
      </c>
      <c r="K1076">
        <v>13227</v>
      </c>
      <c r="L1076">
        <v>13227</v>
      </c>
      <c r="M1076" t="s">
        <v>8559</v>
      </c>
      <c r="N1076" t="s">
        <v>8560</v>
      </c>
      <c r="O1076" s="3">
        <v>0</v>
      </c>
      <c r="P1076" s="3">
        <v>0</v>
      </c>
      <c r="Q1076" s="3">
        <v>130.5</v>
      </c>
      <c r="R1076" s="3">
        <v>16.965</v>
      </c>
      <c r="S1076" s="3">
        <v>0</v>
      </c>
      <c r="T1076" s="3">
        <v>0</v>
      </c>
      <c r="U1076" s="3">
        <v>147.465</v>
      </c>
      <c r="V1076" s="3">
        <v>0</v>
      </c>
      <c r="W1076" s="3" t="s">
        <v>1</v>
      </c>
    </row>
    <row r="1077" spans="5:23" hidden="1" x14ac:dyDescent="0.25">
      <c r="E1077" t="s">
        <v>8608</v>
      </c>
      <c r="F1077" s="1" t="s">
        <v>8682</v>
      </c>
      <c r="G1077" t="s">
        <v>1</v>
      </c>
      <c r="H1077" t="s">
        <v>0</v>
      </c>
      <c r="I1077" t="s">
        <v>8165</v>
      </c>
      <c r="J1077" t="s">
        <v>8164</v>
      </c>
      <c r="K1077">
        <v>13228</v>
      </c>
      <c r="L1077">
        <v>13228</v>
      </c>
      <c r="M1077" t="s">
        <v>1473</v>
      </c>
      <c r="N1077" t="s">
        <v>1474</v>
      </c>
      <c r="O1077" s="3">
        <v>0</v>
      </c>
      <c r="P1077" s="3">
        <v>0</v>
      </c>
      <c r="Q1077" s="3">
        <v>275.25</v>
      </c>
      <c r="R1077" s="3">
        <v>35.782499999999999</v>
      </c>
      <c r="S1077" s="3">
        <v>0</v>
      </c>
      <c r="T1077" s="3">
        <v>0</v>
      </c>
      <c r="U1077" s="3">
        <v>311.03250000000003</v>
      </c>
      <c r="V1077" s="3">
        <v>0</v>
      </c>
      <c r="W1077" s="3" t="s">
        <v>1</v>
      </c>
    </row>
    <row r="1078" spans="5:23" hidden="1" x14ac:dyDescent="0.25">
      <c r="E1078" t="s">
        <v>8608</v>
      </c>
      <c r="F1078" s="1" t="s">
        <v>8682</v>
      </c>
      <c r="G1078" t="s">
        <v>1</v>
      </c>
      <c r="H1078" t="s">
        <v>0</v>
      </c>
      <c r="I1078" t="s">
        <v>8165</v>
      </c>
      <c r="J1078" t="s">
        <v>8164</v>
      </c>
      <c r="K1078">
        <v>13229</v>
      </c>
      <c r="L1078">
        <v>13229</v>
      </c>
      <c r="M1078" t="s">
        <v>8239</v>
      </c>
      <c r="N1078" t="s">
        <v>8240</v>
      </c>
      <c r="O1078" s="3">
        <v>0</v>
      </c>
      <c r="P1078" s="3">
        <v>0</v>
      </c>
      <c r="Q1078" s="3">
        <v>219.84</v>
      </c>
      <c r="R1078" s="3">
        <v>28.5792</v>
      </c>
      <c r="S1078" s="3">
        <v>0</v>
      </c>
      <c r="T1078" s="3">
        <v>0</v>
      </c>
      <c r="U1078" s="3">
        <v>248.41919999999999</v>
      </c>
      <c r="V1078" s="3">
        <v>0</v>
      </c>
      <c r="W1078" s="3" t="s">
        <v>1</v>
      </c>
    </row>
    <row r="1079" spans="5:23" hidden="1" x14ac:dyDescent="0.25">
      <c r="E1079" t="s">
        <v>8608</v>
      </c>
      <c r="F1079" s="1" t="s">
        <v>8682</v>
      </c>
      <c r="G1079" t="s">
        <v>1</v>
      </c>
      <c r="H1079" t="s">
        <v>0</v>
      </c>
      <c r="I1079" t="s">
        <v>8165</v>
      </c>
      <c r="J1079" t="s">
        <v>8164</v>
      </c>
      <c r="K1079">
        <v>13230</v>
      </c>
      <c r="L1079">
        <v>13230</v>
      </c>
      <c r="M1079" t="s">
        <v>972</v>
      </c>
      <c r="N1079" t="s">
        <v>973</v>
      </c>
      <c r="O1079" s="3">
        <v>0</v>
      </c>
      <c r="P1079" s="3">
        <v>0</v>
      </c>
      <c r="Q1079" s="3">
        <v>262.3</v>
      </c>
      <c r="R1079" s="3">
        <v>34.099000000000004</v>
      </c>
      <c r="S1079" s="3">
        <v>0</v>
      </c>
      <c r="T1079" s="3">
        <v>0</v>
      </c>
      <c r="U1079" s="3">
        <v>296.399</v>
      </c>
      <c r="V1079" s="3">
        <v>0</v>
      </c>
      <c r="W1079" s="3" t="s">
        <v>1</v>
      </c>
    </row>
    <row r="1080" spans="5:23" hidden="1" x14ac:dyDescent="0.25">
      <c r="E1080" t="s">
        <v>8608</v>
      </c>
      <c r="F1080" s="1" t="s">
        <v>8682</v>
      </c>
      <c r="G1080" t="s">
        <v>1</v>
      </c>
      <c r="H1080" t="s">
        <v>0</v>
      </c>
      <c r="I1080" t="s">
        <v>8165</v>
      </c>
      <c r="J1080" t="s">
        <v>8164</v>
      </c>
      <c r="K1080">
        <v>13231</v>
      </c>
      <c r="L1080">
        <v>13231</v>
      </c>
      <c r="M1080" t="s">
        <v>8224</v>
      </c>
      <c r="N1080" t="s">
        <v>8225</v>
      </c>
      <c r="O1080" s="3">
        <v>0</v>
      </c>
      <c r="P1080" s="3">
        <v>0</v>
      </c>
      <c r="Q1080" s="3">
        <v>199.38</v>
      </c>
      <c r="R1080" s="3">
        <v>25.9194</v>
      </c>
      <c r="S1080" s="3">
        <v>0</v>
      </c>
      <c r="T1080" s="3">
        <v>0</v>
      </c>
      <c r="U1080" s="3">
        <v>225.29939999999999</v>
      </c>
      <c r="V1080" s="3">
        <v>0</v>
      </c>
      <c r="W1080" s="3" t="s">
        <v>1</v>
      </c>
    </row>
    <row r="1081" spans="5:23" hidden="1" x14ac:dyDescent="0.25">
      <c r="E1081" t="s">
        <v>8608</v>
      </c>
      <c r="F1081" s="1" t="s">
        <v>8682</v>
      </c>
      <c r="G1081" t="s">
        <v>1</v>
      </c>
      <c r="H1081" t="s">
        <v>0</v>
      </c>
      <c r="I1081" t="s">
        <v>8165</v>
      </c>
      <c r="J1081" t="s">
        <v>8164</v>
      </c>
      <c r="K1081">
        <v>13232</v>
      </c>
      <c r="L1081">
        <v>13232</v>
      </c>
      <c r="M1081" t="s">
        <v>7852</v>
      </c>
      <c r="N1081" t="s">
        <v>7851</v>
      </c>
      <c r="O1081" s="3">
        <v>0</v>
      </c>
      <c r="P1081" s="3">
        <v>0</v>
      </c>
      <c r="Q1081" s="3">
        <v>0</v>
      </c>
      <c r="R1081" s="3">
        <v>0</v>
      </c>
      <c r="S1081" s="3">
        <v>0</v>
      </c>
      <c r="T1081" s="3">
        <v>0</v>
      </c>
      <c r="U1081" s="3">
        <v>0</v>
      </c>
      <c r="V1081" s="3">
        <v>0</v>
      </c>
      <c r="W1081" s="3" t="s">
        <v>1</v>
      </c>
    </row>
    <row r="1082" spans="5:23" hidden="1" x14ac:dyDescent="0.25">
      <c r="E1082" t="s">
        <v>8608</v>
      </c>
      <c r="F1082" s="1" t="s">
        <v>8682</v>
      </c>
      <c r="G1082" t="s">
        <v>1</v>
      </c>
      <c r="H1082" t="s">
        <v>0</v>
      </c>
      <c r="I1082" t="s">
        <v>8165</v>
      </c>
      <c r="J1082" t="s">
        <v>8164</v>
      </c>
      <c r="K1082">
        <v>13233</v>
      </c>
      <c r="L1082">
        <v>13233</v>
      </c>
      <c r="M1082" t="s">
        <v>8239</v>
      </c>
      <c r="N1082" t="s">
        <v>8240</v>
      </c>
      <c r="O1082" s="3">
        <v>0</v>
      </c>
      <c r="P1082" s="3">
        <v>0</v>
      </c>
      <c r="Q1082" s="3">
        <v>30</v>
      </c>
      <c r="R1082" s="3">
        <v>3.9000000000000004</v>
      </c>
      <c r="S1082" s="3">
        <v>0</v>
      </c>
      <c r="T1082" s="3">
        <v>0</v>
      </c>
      <c r="U1082" s="3">
        <v>33.9</v>
      </c>
      <c r="V1082" s="3">
        <v>0</v>
      </c>
      <c r="W1082" s="3" t="s">
        <v>1</v>
      </c>
    </row>
    <row r="1083" spans="5:23" hidden="1" x14ac:dyDescent="0.25">
      <c r="E1083" t="s">
        <v>8608</v>
      </c>
      <c r="F1083" s="1" t="s">
        <v>8682</v>
      </c>
      <c r="G1083" t="s">
        <v>1</v>
      </c>
      <c r="H1083" t="s">
        <v>0</v>
      </c>
      <c r="I1083" t="s">
        <v>8165</v>
      </c>
      <c r="J1083" t="s">
        <v>8164</v>
      </c>
      <c r="K1083">
        <v>13234</v>
      </c>
      <c r="L1083">
        <v>13234</v>
      </c>
      <c r="M1083" t="s">
        <v>8166</v>
      </c>
      <c r="N1083" t="s">
        <v>8167</v>
      </c>
      <c r="O1083" s="3">
        <v>0</v>
      </c>
      <c r="P1083" s="3">
        <v>0</v>
      </c>
      <c r="Q1083" s="3">
        <v>99.9</v>
      </c>
      <c r="R1083" s="3">
        <v>12.987000000000002</v>
      </c>
      <c r="S1083" s="3">
        <v>0</v>
      </c>
      <c r="T1083" s="3">
        <v>0</v>
      </c>
      <c r="U1083" s="3">
        <v>112.887</v>
      </c>
      <c r="V1083" s="3">
        <v>0</v>
      </c>
      <c r="W1083" s="3" t="s">
        <v>1</v>
      </c>
    </row>
    <row r="1084" spans="5:23" hidden="1" x14ac:dyDescent="0.25">
      <c r="E1084" t="s">
        <v>8608</v>
      </c>
      <c r="F1084" s="1" t="s">
        <v>8682</v>
      </c>
      <c r="G1084" t="s">
        <v>1</v>
      </c>
      <c r="H1084" t="s">
        <v>0</v>
      </c>
      <c r="I1084" t="s">
        <v>8165</v>
      </c>
      <c r="J1084" t="s">
        <v>8164</v>
      </c>
      <c r="K1084">
        <v>13235</v>
      </c>
      <c r="L1084">
        <v>13235</v>
      </c>
      <c r="M1084" t="s">
        <v>8166</v>
      </c>
      <c r="N1084" t="s">
        <v>8167</v>
      </c>
      <c r="O1084" s="3">
        <v>0</v>
      </c>
      <c r="P1084" s="3">
        <v>0</v>
      </c>
      <c r="Q1084" s="3">
        <v>50</v>
      </c>
      <c r="R1084" s="3">
        <v>6.5</v>
      </c>
      <c r="S1084" s="3">
        <v>0</v>
      </c>
      <c r="T1084" s="3">
        <v>0</v>
      </c>
      <c r="U1084" s="3">
        <v>56.5</v>
      </c>
      <c r="V1084" s="3">
        <v>0</v>
      </c>
      <c r="W1084" s="3" t="s">
        <v>1</v>
      </c>
    </row>
    <row r="1085" spans="5:23" hidden="1" x14ac:dyDescent="0.25">
      <c r="E1085" t="s">
        <v>8608</v>
      </c>
      <c r="F1085" s="1" t="s">
        <v>8681</v>
      </c>
      <c r="G1085" t="s">
        <v>1</v>
      </c>
      <c r="H1085" t="s">
        <v>0</v>
      </c>
      <c r="I1085" t="s">
        <v>8165</v>
      </c>
      <c r="J1085" t="s">
        <v>8164</v>
      </c>
      <c r="K1085">
        <v>13236</v>
      </c>
      <c r="L1085">
        <v>13236</v>
      </c>
      <c r="M1085" t="s">
        <v>7852</v>
      </c>
      <c r="N1085" t="s">
        <v>7851</v>
      </c>
      <c r="O1085" s="3">
        <v>0</v>
      </c>
      <c r="P1085" s="3">
        <v>0</v>
      </c>
      <c r="Q1085" s="3">
        <v>0</v>
      </c>
      <c r="R1085" s="3">
        <v>0</v>
      </c>
      <c r="S1085" s="3">
        <v>0</v>
      </c>
      <c r="T1085" s="3">
        <v>0</v>
      </c>
      <c r="U1085" s="3">
        <v>0</v>
      </c>
      <c r="V1085" s="3">
        <v>0</v>
      </c>
      <c r="W1085" s="3" t="s">
        <v>1</v>
      </c>
    </row>
    <row r="1086" spans="5:23" hidden="1" x14ac:dyDescent="0.25">
      <c r="E1086" t="s">
        <v>8608</v>
      </c>
      <c r="F1086" s="1" t="s">
        <v>8681</v>
      </c>
      <c r="G1086" t="s">
        <v>1</v>
      </c>
      <c r="H1086" t="s">
        <v>0</v>
      </c>
      <c r="I1086" t="s">
        <v>8165</v>
      </c>
      <c r="J1086" t="s">
        <v>8164</v>
      </c>
      <c r="K1086">
        <v>13237</v>
      </c>
      <c r="L1086">
        <v>13237</v>
      </c>
      <c r="M1086" t="s">
        <v>8269</v>
      </c>
      <c r="N1086" t="s">
        <v>8270</v>
      </c>
      <c r="O1086" s="3">
        <v>0</v>
      </c>
      <c r="P1086" s="3">
        <v>0</v>
      </c>
      <c r="Q1086" s="3">
        <v>19.48</v>
      </c>
      <c r="R1086" s="3">
        <v>2.5324</v>
      </c>
      <c r="S1086" s="3">
        <v>0</v>
      </c>
      <c r="T1086" s="3">
        <v>0</v>
      </c>
      <c r="U1086" s="3">
        <v>22.0124</v>
      </c>
      <c r="V1086" s="3">
        <v>0</v>
      </c>
      <c r="W1086" s="3" t="s">
        <v>1</v>
      </c>
    </row>
    <row r="1087" spans="5:23" hidden="1" x14ac:dyDescent="0.25">
      <c r="E1087" t="s">
        <v>8608</v>
      </c>
      <c r="F1087" s="1" t="s">
        <v>8681</v>
      </c>
      <c r="G1087" t="s">
        <v>1</v>
      </c>
      <c r="H1087" t="s">
        <v>0</v>
      </c>
      <c r="I1087" t="s">
        <v>8165</v>
      </c>
      <c r="J1087" t="s">
        <v>8164</v>
      </c>
      <c r="K1087">
        <v>13228</v>
      </c>
      <c r="L1087">
        <v>13228</v>
      </c>
      <c r="M1087" t="s">
        <v>764</v>
      </c>
      <c r="N1087" t="s">
        <v>765</v>
      </c>
      <c r="O1087" s="3">
        <v>0</v>
      </c>
      <c r="P1087" s="3">
        <v>0</v>
      </c>
      <c r="Q1087" s="3">
        <v>75</v>
      </c>
      <c r="R1087" s="3">
        <v>9.75</v>
      </c>
      <c r="S1087" s="3">
        <v>0</v>
      </c>
      <c r="T1087" s="3">
        <v>0</v>
      </c>
      <c r="U1087" s="3">
        <v>84.75</v>
      </c>
      <c r="V1087" s="3">
        <v>0</v>
      </c>
      <c r="W1087" s="3" t="s">
        <v>1</v>
      </c>
    </row>
    <row r="1088" spans="5:23" hidden="1" x14ac:dyDescent="0.25">
      <c r="E1088" t="s">
        <v>8608</v>
      </c>
      <c r="F1088" s="1" t="s">
        <v>8681</v>
      </c>
      <c r="G1088" t="s">
        <v>1</v>
      </c>
      <c r="H1088" t="s">
        <v>0</v>
      </c>
      <c r="I1088" t="s">
        <v>8165</v>
      </c>
      <c r="J1088" t="s">
        <v>8164</v>
      </c>
      <c r="K1088">
        <v>13239</v>
      </c>
      <c r="L1088">
        <v>13239</v>
      </c>
      <c r="M1088" t="s">
        <v>764</v>
      </c>
      <c r="N1088" t="s">
        <v>765</v>
      </c>
      <c r="O1088" s="3">
        <v>0</v>
      </c>
      <c r="P1088" s="3">
        <v>0</v>
      </c>
      <c r="Q1088" s="3">
        <v>75</v>
      </c>
      <c r="R1088" s="3">
        <v>9.75</v>
      </c>
      <c r="S1088" s="3">
        <v>0</v>
      </c>
      <c r="T1088" s="3">
        <v>0</v>
      </c>
      <c r="U1088" s="3">
        <v>84.75</v>
      </c>
      <c r="V1088" s="3">
        <v>0</v>
      </c>
      <c r="W1088" s="3" t="s">
        <v>1</v>
      </c>
    </row>
    <row r="1089" spans="5:23" hidden="1" x14ac:dyDescent="0.25">
      <c r="E1089" t="s">
        <v>8608</v>
      </c>
      <c r="F1089" s="1" t="s">
        <v>8681</v>
      </c>
      <c r="G1089" t="s">
        <v>1</v>
      </c>
      <c r="H1089" t="s">
        <v>0</v>
      </c>
      <c r="I1089" t="s">
        <v>8165</v>
      </c>
      <c r="J1089" t="s">
        <v>8164</v>
      </c>
      <c r="K1089">
        <v>13240</v>
      </c>
      <c r="L1089">
        <v>13240</v>
      </c>
      <c r="M1089" t="s">
        <v>1062</v>
      </c>
      <c r="N1089" t="s">
        <v>1063</v>
      </c>
      <c r="O1089" s="3">
        <v>0</v>
      </c>
      <c r="P1089" s="3">
        <v>0</v>
      </c>
      <c r="Q1089" s="3">
        <v>384.94</v>
      </c>
      <c r="R1089" s="3">
        <v>50.042200000000001</v>
      </c>
      <c r="S1089" s="3">
        <v>0</v>
      </c>
      <c r="T1089" s="3">
        <v>0</v>
      </c>
      <c r="U1089" s="3">
        <v>434.98219999999998</v>
      </c>
      <c r="V1089" s="3">
        <v>0</v>
      </c>
      <c r="W1089" s="3" t="s">
        <v>1</v>
      </c>
    </row>
    <row r="1090" spans="5:23" hidden="1" x14ac:dyDescent="0.25">
      <c r="E1090" t="s">
        <v>8608</v>
      </c>
      <c r="F1090" s="1" t="s">
        <v>8681</v>
      </c>
      <c r="G1090" t="s">
        <v>1</v>
      </c>
      <c r="H1090" t="s">
        <v>0</v>
      </c>
      <c r="I1090" t="s">
        <v>8165</v>
      </c>
      <c r="J1090" t="s">
        <v>8164</v>
      </c>
      <c r="K1090">
        <v>13241</v>
      </c>
      <c r="L1090">
        <v>13241</v>
      </c>
      <c r="M1090" t="s">
        <v>8462</v>
      </c>
      <c r="N1090" t="s">
        <v>8463</v>
      </c>
      <c r="O1090" s="3">
        <v>0</v>
      </c>
      <c r="P1090" s="3">
        <v>0</v>
      </c>
      <c r="Q1090" s="3">
        <v>123</v>
      </c>
      <c r="R1090" s="3">
        <v>15.99</v>
      </c>
      <c r="S1090" s="3">
        <v>0</v>
      </c>
      <c r="T1090" s="3">
        <v>0</v>
      </c>
      <c r="U1090" s="3">
        <v>138.99</v>
      </c>
      <c r="V1090" s="3">
        <v>0</v>
      </c>
      <c r="W1090" s="3" t="s">
        <v>1</v>
      </c>
    </row>
    <row r="1091" spans="5:23" hidden="1" x14ac:dyDescent="0.25">
      <c r="E1091" t="s">
        <v>8608</v>
      </c>
      <c r="F1091" s="1" t="s">
        <v>8681</v>
      </c>
      <c r="G1091" t="s">
        <v>1</v>
      </c>
      <c r="H1091" t="s">
        <v>0</v>
      </c>
      <c r="I1091" t="s">
        <v>8165</v>
      </c>
      <c r="J1091" t="s">
        <v>8164</v>
      </c>
      <c r="K1091">
        <v>13242</v>
      </c>
      <c r="L1091">
        <v>13242</v>
      </c>
      <c r="M1091">
        <v>0</v>
      </c>
      <c r="N1091" t="s">
        <v>8185</v>
      </c>
      <c r="O1091" s="3">
        <v>0</v>
      </c>
      <c r="P1091" s="3">
        <v>0</v>
      </c>
      <c r="Q1091" s="3">
        <v>180.38</v>
      </c>
      <c r="R1091" s="3">
        <v>23.449400000000001</v>
      </c>
      <c r="S1091" s="3">
        <v>0</v>
      </c>
      <c r="T1091" s="3">
        <v>0</v>
      </c>
      <c r="U1091" s="3">
        <v>203.82939999999999</v>
      </c>
      <c r="V1091" s="3" t="s">
        <v>8647</v>
      </c>
      <c r="W1091" s="3" t="s">
        <v>1</v>
      </c>
    </row>
    <row r="1092" spans="5:23" hidden="1" x14ac:dyDescent="0.25">
      <c r="E1092" t="s">
        <v>8608</v>
      </c>
      <c r="F1092" s="1" t="s">
        <v>8681</v>
      </c>
      <c r="G1092" t="s">
        <v>1</v>
      </c>
      <c r="H1092" t="s">
        <v>0</v>
      </c>
      <c r="I1092" t="s">
        <v>8165</v>
      </c>
      <c r="J1092" t="s">
        <v>8164</v>
      </c>
      <c r="K1092">
        <v>13243</v>
      </c>
      <c r="L1092">
        <v>13243</v>
      </c>
      <c r="M1092" t="s">
        <v>238</v>
      </c>
      <c r="N1092" t="s">
        <v>239</v>
      </c>
      <c r="O1092" s="3">
        <v>0</v>
      </c>
      <c r="P1092" s="3">
        <v>0</v>
      </c>
      <c r="Q1092" s="3">
        <v>1150.44</v>
      </c>
      <c r="R1092" s="3">
        <v>149.55720000000002</v>
      </c>
      <c r="S1092" s="3">
        <v>0</v>
      </c>
      <c r="T1092" s="3">
        <v>0</v>
      </c>
      <c r="U1092" s="3">
        <v>1299.9972</v>
      </c>
      <c r="V1092" s="3">
        <v>0</v>
      </c>
      <c r="W1092" s="3" t="s">
        <v>1</v>
      </c>
    </row>
    <row r="1093" spans="5:23" hidden="1" x14ac:dyDescent="0.25">
      <c r="E1093" t="s">
        <v>8608</v>
      </c>
      <c r="F1093" s="1" t="s">
        <v>8681</v>
      </c>
      <c r="G1093" t="s">
        <v>1</v>
      </c>
      <c r="H1093" t="s">
        <v>0</v>
      </c>
      <c r="I1093" t="s">
        <v>8165</v>
      </c>
      <c r="J1093" t="s">
        <v>8164</v>
      </c>
      <c r="K1093">
        <v>13244</v>
      </c>
      <c r="L1093">
        <v>13244</v>
      </c>
      <c r="M1093" t="s">
        <v>238</v>
      </c>
      <c r="N1093" t="s">
        <v>239</v>
      </c>
      <c r="O1093" s="3">
        <v>0</v>
      </c>
      <c r="P1093" s="3">
        <v>0</v>
      </c>
      <c r="Q1093" s="3">
        <v>22.13</v>
      </c>
      <c r="R1093" s="3">
        <v>2.8769</v>
      </c>
      <c r="S1093" s="3">
        <v>0</v>
      </c>
      <c r="T1093" s="3">
        <v>0</v>
      </c>
      <c r="U1093" s="3">
        <v>25.006899999999998</v>
      </c>
      <c r="V1093" s="3">
        <v>0</v>
      </c>
      <c r="W1093" s="3" t="s">
        <v>1</v>
      </c>
    </row>
    <row r="1094" spans="5:23" hidden="1" x14ac:dyDescent="0.25">
      <c r="E1094" t="s">
        <v>8608</v>
      </c>
      <c r="F1094" s="1" t="s">
        <v>8681</v>
      </c>
      <c r="G1094" t="s">
        <v>1</v>
      </c>
      <c r="H1094" t="s">
        <v>0</v>
      </c>
      <c r="I1094" t="s">
        <v>8165</v>
      </c>
      <c r="J1094" t="s">
        <v>8164</v>
      </c>
      <c r="K1094">
        <v>13245</v>
      </c>
      <c r="L1094">
        <v>13245</v>
      </c>
      <c r="M1094">
        <v>0</v>
      </c>
      <c r="N1094" t="s">
        <v>8640</v>
      </c>
      <c r="O1094" s="3">
        <v>0</v>
      </c>
      <c r="P1094" s="3">
        <v>0</v>
      </c>
      <c r="Q1094" s="3">
        <v>254.75</v>
      </c>
      <c r="R1094" s="3">
        <v>33.1175</v>
      </c>
      <c r="S1094" s="3">
        <v>0</v>
      </c>
      <c r="T1094" s="3">
        <v>0</v>
      </c>
      <c r="U1094" s="3">
        <v>287.86750000000001</v>
      </c>
      <c r="V1094" s="3" t="s">
        <v>8639</v>
      </c>
      <c r="W1094" s="3" t="s">
        <v>1</v>
      </c>
    </row>
    <row r="1095" spans="5:23" hidden="1" x14ac:dyDescent="0.25">
      <c r="E1095" t="s">
        <v>8608</v>
      </c>
      <c r="F1095" s="1" t="s">
        <v>8681</v>
      </c>
      <c r="G1095" t="s">
        <v>1</v>
      </c>
      <c r="H1095" t="s">
        <v>0</v>
      </c>
      <c r="I1095" t="s">
        <v>8165</v>
      </c>
      <c r="J1095" t="s">
        <v>8164</v>
      </c>
      <c r="K1095">
        <v>13246</v>
      </c>
      <c r="L1095">
        <v>13246</v>
      </c>
      <c r="M1095" t="s">
        <v>8214</v>
      </c>
      <c r="N1095" t="s">
        <v>8215</v>
      </c>
      <c r="O1095" s="3">
        <v>0</v>
      </c>
      <c r="P1095" s="3">
        <v>0</v>
      </c>
      <c r="Q1095" s="3">
        <v>159.4</v>
      </c>
      <c r="R1095" s="3">
        <v>20.722000000000001</v>
      </c>
      <c r="S1095" s="3">
        <v>0</v>
      </c>
      <c r="T1095" s="3">
        <v>0</v>
      </c>
      <c r="U1095" s="3">
        <v>180.12200000000001</v>
      </c>
      <c r="V1095" s="3">
        <v>0</v>
      </c>
      <c r="W1095" s="3" t="s">
        <v>1</v>
      </c>
    </row>
    <row r="1096" spans="5:23" hidden="1" x14ac:dyDescent="0.25">
      <c r="E1096" t="s">
        <v>8607</v>
      </c>
      <c r="F1096" s="1" t="s">
        <v>8634</v>
      </c>
      <c r="G1096" t="s">
        <v>1</v>
      </c>
      <c r="H1096" t="s">
        <v>0</v>
      </c>
      <c r="I1096" t="s">
        <v>8165</v>
      </c>
      <c r="J1096" t="s">
        <v>8164</v>
      </c>
      <c r="K1096">
        <v>12588</v>
      </c>
      <c r="L1096">
        <v>12588</v>
      </c>
      <c r="M1096" t="s">
        <v>7852</v>
      </c>
      <c r="N1096" t="s">
        <v>7851</v>
      </c>
      <c r="O1096" s="3">
        <v>0</v>
      </c>
      <c r="P1096" s="3">
        <v>0</v>
      </c>
      <c r="Q1096" s="3">
        <v>0</v>
      </c>
      <c r="R1096" s="3">
        <v>0</v>
      </c>
      <c r="S1096" s="3">
        <v>0</v>
      </c>
      <c r="T1096" s="3">
        <v>0</v>
      </c>
      <c r="U1096" s="3">
        <v>0</v>
      </c>
      <c r="W1096" s="3" t="s">
        <v>1</v>
      </c>
    </row>
    <row r="1097" spans="5:23" hidden="1" x14ac:dyDescent="0.25">
      <c r="E1097" t="s">
        <v>8607</v>
      </c>
      <c r="F1097" s="1" t="s">
        <v>8634</v>
      </c>
      <c r="G1097" t="s">
        <v>1</v>
      </c>
      <c r="H1097" t="s">
        <v>0</v>
      </c>
      <c r="I1097" t="s">
        <v>8165</v>
      </c>
      <c r="J1097" t="s">
        <v>8164</v>
      </c>
      <c r="K1097">
        <v>12799</v>
      </c>
      <c r="L1097">
        <v>12799</v>
      </c>
      <c r="M1097" t="s">
        <v>8662</v>
      </c>
      <c r="N1097" t="s">
        <v>8663</v>
      </c>
      <c r="O1097" s="3">
        <v>0</v>
      </c>
      <c r="P1097" s="3">
        <v>0</v>
      </c>
      <c r="Q1097" s="3">
        <v>678.69</v>
      </c>
      <c r="R1097" s="3">
        <v>88.229700000000008</v>
      </c>
      <c r="S1097" s="3">
        <v>0</v>
      </c>
      <c r="T1097" s="3">
        <v>0</v>
      </c>
      <c r="U1097" s="3">
        <v>766.91970000000003</v>
      </c>
      <c r="W1097" s="3" t="s">
        <v>1</v>
      </c>
    </row>
    <row r="1098" spans="5:23" hidden="1" x14ac:dyDescent="0.25">
      <c r="E1098" t="s">
        <v>8607</v>
      </c>
      <c r="F1098" s="1" t="s">
        <v>8634</v>
      </c>
      <c r="G1098" t="s">
        <v>1</v>
      </c>
      <c r="H1098" t="s">
        <v>0</v>
      </c>
      <c r="I1098" t="s">
        <v>8165</v>
      </c>
      <c r="J1098" t="s">
        <v>8164</v>
      </c>
      <c r="K1098">
        <v>12800</v>
      </c>
      <c r="L1098">
        <v>12800</v>
      </c>
      <c r="M1098" t="s">
        <v>1062</v>
      </c>
      <c r="N1098" t="s">
        <v>1063</v>
      </c>
      <c r="O1098" s="3">
        <v>0</v>
      </c>
      <c r="P1098" s="3">
        <v>0</v>
      </c>
      <c r="Q1098" s="3">
        <v>201.85</v>
      </c>
      <c r="R1098" s="3">
        <v>26.240500000000001</v>
      </c>
      <c r="S1098" s="3">
        <v>0</v>
      </c>
      <c r="T1098" s="3">
        <v>0</v>
      </c>
      <c r="U1098" s="3">
        <v>228.09049999999999</v>
      </c>
      <c r="W1098" s="3" t="s">
        <v>1</v>
      </c>
    </row>
    <row r="1099" spans="5:23" hidden="1" x14ac:dyDescent="0.25">
      <c r="E1099" t="s">
        <v>8607</v>
      </c>
      <c r="F1099" s="1" t="s">
        <v>8634</v>
      </c>
      <c r="G1099" t="s">
        <v>1</v>
      </c>
      <c r="H1099" t="s">
        <v>0</v>
      </c>
      <c r="I1099" t="s">
        <v>8165</v>
      </c>
      <c r="J1099" t="s">
        <v>8164</v>
      </c>
      <c r="K1099">
        <v>12801</v>
      </c>
      <c r="L1099">
        <v>12801</v>
      </c>
      <c r="M1099" t="s">
        <v>1062</v>
      </c>
      <c r="N1099" t="s">
        <v>1063</v>
      </c>
      <c r="O1099" s="3">
        <v>0</v>
      </c>
      <c r="P1099" s="3">
        <v>0</v>
      </c>
      <c r="Q1099" s="3">
        <v>66.98</v>
      </c>
      <c r="R1099" s="3">
        <v>8.7074000000000016</v>
      </c>
      <c r="S1099" s="3">
        <v>0</v>
      </c>
      <c r="T1099" s="3">
        <v>0</v>
      </c>
      <c r="U1099" s="3">
        <v>75.687400000000011</v>
      </c>
      <c r="W1099" s="3" t="s">
        <v>1</v>
      </c>
    </row>
    <row r="1100" spans="5:23" hidden="1" x14ac:dyDescent="0.25">
      <c r="E1100" t="s">
        <v>8607</v>
      </c>
      <c r="F1100" s="1" t="s">
        <v>8634</v>
      </c>
      <c r="G1100" t="s">
        <v>1</v>
      </c>
      <c r="H1100" t="s">
        <v>0</v>
      </c>
      <c r="I1100" t="s">
        <v>8165</v>
      </c>
      <c r="J1100" t="s">
        <v>8164</v>
      </c>
      <c r="K1100">
        <v>12802</v>
      </c>
      <c r="L1100">
        <v>12802</v>
      </c>
      <c r="M1100" t="s">
        <v>8312</v>
      </c>
      <c r="N1100" t="s">
        <v>8313</v>
      </c>
      <c r="O1100" s="3">
        <v>0</v>
      </c>
      <c r="P1100" s="3">
        <v>0</v>
      </c>
      <c r="Q1100" s="3">
        <v>67.5</v>
      </c>
      <c r="R1100" s="3">
        <v>8.7750000000000004</v>
      </c>
      <c r="S1100" s="3">
        <v>0</v>
      </c>
      <c r="T1100" s="3">
        <v>0</v>
      </c>
      <c r="U1100" s="3">
        <v>76.275000000000006</v>
      </c>
      <c r="W1100" s="3" t="s">
        <v>1</v>
      </c>
    </row>
    <row r="1101" spans="5:23" hidden="1" x14ac:dyDescent="0.25">
      <c r="E1101" t="s">
        <v>8607</v>
      </c>
      <c r="F1101" s="1" t="s">
        <v>8634</v>
      </c>
      <c r="G1101" t="s">
        <v>1</v>
      </c>
      <c r="H1101" t="s">
        <v>0</v>
      </c>
      <c r="I1101" t="s">
        <v>8165</v>
      </c>
      <c r="J1101" t="s">
        <v>8164</v>
      </c>
      <c r="K1101">
        <v>12803</v>
      </c>
      <c r="L1101">
        <v>12803</v>
      </c>
      <c r="M1101" t="s">
        <v>8224</v>
      </c>
      <c r="N1101" t="s">
        <v>8225</v>
      </c>
      <c r="O1101" s="3">
        <v>0</v>
      </c>
      <c r="P1101" s="3">
        <v>0</v>
      </c>
      <c r="Q1101" s="3">
        <v>227.49</v>
      </c>
      <c r="R1101" s="3">
        <v>29.573700000000002</v>
      </c>
      <c r="S1101" s="3">
        <v>0</v>
      </c>
      <c r="T1101" s="3">
        <v>0</v>
      </c>
      <c r="U1101" s="3">
        <v>257.06370000000004</v>
      </c>
      <c r="W1101" s="3" t="s">
        <v>1</v>
      </c>
    </row>
    <row r="1102" spans="5:23" hidden="1" x14ac:dyDescent="0.25">
      <c r="E1102" t="s">
        <v>8607</v>
      </c>
      <c r="F1102" s="1" t="s">
        <v>8634</v>
      </c>
      <c r="G1102" t="s">
        <v>1</v>
      </c>
      <c r="H1102" t="s">
        <v>0</v>
      </c>
      <c r="I1102" t="s">
        <v>8165</v>
      </c>
      <c r="J1102" t="s">
        <v>8164</v>
      </c>
      <c r="K1102">
        <v>12804</v>
      </c>
      <c r="L1102">
        <v>12804</v>
      </c>
      <c r="M1102" t="s">
        <v>8243</v>
      </c>
      <c r="N1102" t="s">
        <v>8244</v>
      </c>
      <c r="O1102" s="3">
        <v>0</v>
      </c>
      <c r="P1102" s="3">
        <v>0</v>
      </c>
      <c r="Q1102" s="3">
        <v>34.35</v>
      </c>
      <c r="R1102" s="3">
        <v>4.4655000000000005</v>
      </c>
      <c r="S1102" s="3">
        <v>0</v>
      </c>
      <c r="T1102" s="3">
        <v>0</v>
      </c>
      <c r="U1102" s="3">
        <v>38.8155</v>
      </c>
      <c r="W1102" s="3" t="s">
        <v>1</v>
      </c>
    </row>
    <row r="1103" spans="5:23" hidden="1" x14ac:dyDescent="0.25">
      <c r="E1103" t="s">
        <v>8607</v>
      </c>
      <c r="F1103" s="1" t="s">
        <v>8634</v>
      </c>
      <c r="G1103" t="s">
        <v>1</v>
      </c>
      <c r="H1103" t="s">
        <v>0</v>
      </c>
      <c r="I1103" t="s">
        <v>8165</v>
      </c>
      <c r="J1103" t="s">
        <v>8164</v>
      </c>
      <c r="K1103">
        <v>12805</v>
      </c>
      <c r="L1103">
        <v>12805</v>
      </c>
      <c r="M1103" t="s">
        <v>8243</v>
      </c>
      <c r="N1103" t="s">
        <v>8244</v>
      </c>
      <c r="O1103" s="3">
        <v>0</v>
      </c>
      <c r="P1103" s="3">
        <v>0</v>
      </c>
      <c r="Q1103" s="3">
        <v>17.7</v>
      </c>
      <c r="R1103" s="3">
        <v>2.3010000000000002</v>
      </c>
      <c r="S1103" s="3">
        <v>0</v>
      </c>
      <c r="T1103" s="3">
        <v>0</v>
      </c>
      <c r="U1103" s="3">
        <v>20.000999999999998</v>
      </c>
      <c r="W1103" s="3" t="s">
        <v>1</v>
      </c>
    </row>
    <row r="1104" spans="5:23" hidden="1" x14ac:dyDescent="0.25">
      <c r="E1104" t="s">
        <v>8607</v>
      </c>
      <c r="F1104" s="1" t="s">
        <v>8634</v>
      </c>
      <c r="G1104" t="s">
        <v>1</v>
      </c>
      <c r="H1104" t="s">
        <v>0</v>
      </c>
      <c r="I1104" t="s">
        <v>8165</v>
      </c>
      <c r="J1104" t="s">
        <v>8164</v>
      </c>
      <c r="K1104">
        <v>12806</v>
      </c>
      <c r="L1104">
        <v>12806</v>
      </c>
      <c r="M1104" t="s">
        <v>8289</v>
      </c>
      <c r="N1104" t="s">
        <v>8290</v>
      </c>
      <c r="O1104" s="3">
        <v>0</v>
      </c>
      <c r="P1104" s="3">
        <v>0</v>
      </c>
      <c r="Q1104" s="3">
        <v>466.5</v>
      </c>
      <c r="R1104" s="3">
        <v>60.645000000000003</v>
      </c>
      <c r="S1104" s="3">
        <v>0</v>
      </c>
      <c r="T1104" s="3">
        <v>0</v>
      </c>
      <c r="U1104" s="3">
        <v>527.14499999999998</v>
      </c>
      <c r="W1104" s="3" t="s">
        <v>1</v>
      </c>
    </row>
    <row r="1105" spans="5:23" hidden="1" x14ac:dyDescent="0.25">
      <c r="E1105" t="s">
        <v>8607</v>
      </c>
      <c r="F1105" s="1" t="s">
        <v>8634</v>
      </c>
      <c r="G1105" t="s">
        <v>1</v>
      </c>
      <c r="H1105" t="s">
        <v>0</v>
      </c>
      <c r="I1105" t="s">
        <v>8165</v>
      </c>
      <c r="J1105" t="s">
        <v>8164</v>
      </c>
      <c r="K1105">
        <v>12807</v>
      </c>
      <c r="L1105">
        <v>12807</v>
      </c>
      <c r="M1105" t="s">
        <v>7869</v>
      </c>
      <c r="N1105" t="s">
        <v>7870</v>
      </c>
      <c r="O1105" s="3">
        <v>0</v>
      </c>
      <c r="P1105" s="3">
        <v>0</v>
      </c>
      <c r="Q1105" s="3">
        <v>94.4</v>
      </c>
      <c r="R1105" s="3">
        <v>12.272000000000002</v>
      </c>
      <c r="S1105" s="3">
        <v>0</v>
      </c>
      <c r="T1105" s="3">
        <v>0</v>
      </c>
      <c r="U1105" s="3">
        <v>106.67200000000001</v>
      </c>
      <c r="W1105" s="3" t="s">
        <v>1</v>
      </c>
    </row>
    <row r="1106" spans="5:23" hidden="1" x14ac:dyDescent="0.25">
      <c r="E1106" t="s">
        <v>8607</v>
      </c>
      <c r="F1106" s="1" t="s">
        <v>8633</v>
      </c>
      <c r="G1106" t="s">
        <v>1</v>
      </c>
      <c r="H1106" t="s">
        <v>0</v>
      </c>
      <c r="I1106" t="s">
        <v>8165</v>
      </c>
      <c r="J1106" t="s">
        <v>8164</v>
      </c>
      <c r="K1106">
        <v>12808</v>
      </c>
      <c r="L1106">
        <v>12808</v>
      </c>
      <c r="M1106" t="s">
        <v>7869</v>
      </c>
      <c r="N1106" t="s">
        <v>7870</v>
      </c>
      <c r="O1106" s="3">
        <v>0</v>
      </c>
      <c r="P1106" s="3">
        <v>0</v>
      </c>
      <c r="Q1106" s="3">
        <v>250</v>
      </c>
      <c r="R1106" s="3">
        <v>32.5</v>
      </c>
      <c r="S1106" s="3">
        <v>0</v>
      </c>
      <c r="T1106" s="3">
        <v>0</v>
      </c>
      <c r="U1106" s="3">
        <v>282.5</v>
      </c>
      <c r="W1106" s="3" t="s">
        <v>1</v>
      </c>
    </row>
    <row r="1107" spans="5:23" hidden="1" x14ac:dyDescent="0.25">
      <c r="E1107" t="s">
        <v>8607</v>
      </c>
      <c r="F1107" s="1" t="s">
        <v>8633</v>
      </c>
      <c r="G1107" t="s">
        <v>1</v>
      </c>
      <c r="H1107" t="s">
        <v>0</v>
      </c>
      <c r="I1107" t="s">
        <v>8165</v>
      </c>
      <c r="J1107" t="s">
        <v>8164</v>
      </c>
      <c r="K1107">
        <v>12809</v>
      </c>
      <c r="L1107">
        <v>12809</v>
      </c>
      <c r="M1107" t="s">
        <v>8255</v>
      </c>
      <c r="N1107" t="s">
        <v>8256</v>
      </c>
      <c r="O1107" s="3">
        <v>0</v>
      </c>
      <c r="P1107" s="3">
        <v>0</v>
      </c>
      <c r="Q1107" s="3">
        <v>552</v>
      </c>
      <c r="R1107" s="3">
        <v>71.760000000000005</v>
      </c>
      <c r="S1107" s="3">
        <v>0</v>
      </c>
      <c r="T1107" s="3">
        <v>0</v>
      </c>
      <c r="U1107" s="3">
        <v>623.76</v>
      </c>
      <c r="W1107" s="3" t="s">
        <v>1</v>
      </c>
    </row>
    <row r="1108" spans="5:23" hidden="1" x14ac:dyDescent="0.25">
      <c r="E1108" t="s">
        <v>8607</v>
      </c>
      <c r="F1108" s="1" t="s">
        <v>8633</v>
      </c>
      <c r="G1108" t="s">
        <v>1</v>
      </c>
      <c r="H1108" t="s">
        <v>0</v>
      </c>
      <c r="I1108" t="s">
        <v>8165</v>
      </c>
      <c r="J1108" t="s">
        <v>8164</v>
      </c>
      <c r="K1108">
        <v>12810</v>
      </c>
      <c r="L1108">
        <v>12810</v>
      </c>
      <c r="M1108">
        <v>0</v>
      </c>
      <c r="N1108" t="s">
        <v>8219</v>
      </c>
      <c r="O1108" s="3">
        <v>0</v>
      </c>
      <c r="P1108" s="3">
        <v>0</v>
      </c>
      <c r="Q1108" s="3">
        <v>103.32</v>
      </c>
      <c r="R1108" s="3">
        <v>13.4316</v>
      </c>
      <c r="S1108" s="3">
        <v>0</v>
      </c>
      <c r="T1108" s="3">
        <v>0</v>
      </c>
      <c r="U1108" s="3">
        <v>116.7516</v>
      </c>
      <c r="V1108" s="3" t="s">
        <v>8636</v>
      </c>
      <c r="W1108" s="3" t="s">
        <v>1</v>
      </c>
    </row>
    <row r="1109" spans="5:23" hidden="1" x14ac:dyDescent="0.25">
      <c r="E1109" t="s">
        <v>8607</v>
      </c>
      <c r="F1109" s="1" t="s">
        <v>8633</v>
      </c>
      <c r="G1109" t="s">
        <v>1</v>
      </c>
      <c r="H1109" t="s">
        <v>0</v>
      </c>
      <c r="I1109" t="s">
        <v>8165</v>
      </c>
      <c r="J1109" t="s">
        <v>8164</v>
      </c>
      <c r="K1109">
        <v>12811</v>
      </c>
      <c r="L1109">
        <v>12811</v>
      </c>
      <c r="M1109" t="s">
        <v>7852</v>
      </c>
      <c r="N1109" t="s">
        <v>7851</v>
      </c>
      <c r="O1109" s="3">
        <v>0</v>
      </c>
      <c r="P1109" s="3">
        <v>0</v>
      </c>
      <c r="Q1109" s="3">
        <v>0</v>
      </c>
      <c r="R1109" s="3">
        <v>0</v>
      </c>
      <c r="S1109" s="3">
        <v>0</v>
      </c>
      <c r="T1109" s="3">
        <v>0</v>
      </c>
      <c r="U1109" s="3">
        <v>0</v>
      </c>
      <c r="W1109" s="3" t="s">
        <v>1</v>
      </c>
    </row>
    <row r="1110" spans="5:23" hidden="1" x14ac:dyDescent="0.25">
      <c r="E1110" t="s">
        <v>8607</v>
      </c>
      <c r="F1110" s="1" t="s">
        <v>8633</v>
      </c>
      <c r="G1110" t="s">
        <v>1</v>
      </c>
      <c r="H1110" t="s">
        <v>0</v>
      </c>
      <c r="I1110" t="s">
        <v>8165</v>
      </c>
      <c r="J1110" t="s">
        <v>8164</v>
      </c>
      <c r="K1110">
        <v>12812</v>
      </c>
      <c r="L1110">
        <v>12812</v>
      </c>
      <c r="M1110" t="s">
        <v>1423</v>
      </c>
      <c r="N1110" t="s">
        <v>1424</v>
      </c>
      <c r="O1110" s="3">
        <v>0</v>
      </c>
      <c r="P1110" s="3">
        <v>0</v>
      </c>
      <c r="Q1110" s="3">
        <v>183.75</v>
      </c>
      <c r="R1110" s="3">
        <v>23.887499999999999</v>
      </c>
      <c r="S1110" s="3">
        <v>0</v>
      </c>
      <c r="T1110" s="3">
        <v>0</v>
      </c>
      <c r="U1110" s="3">
        <v>207.63749999999999</v>
      </c>
      <c r="W1110" s="3" t="s">
        <v>1</v>
      </c>
    </row>
    <row r="1111" spans="5:23" hidden="1" x14ac:dyDescent="0.25">
      <c r="E1111" t="s">
        <v>8607</v>
      </c>
      <c r="F1111" s="1" t="s">
        <v>8633</v>
      </c>
      <c r="G1111" t="s">
        <v>1</v>
      </c>
      <c r="H1111" t="s">
        <v>0</v>
      </c>
      <c r="I1111" t="s">
        <v>8165</v>
      </c>
      <c r="J1111" t="s">
        <v>8164</v>
      </c>
      <c r="K1111">
        <v>12813</v>
      </c>
      <c r="L1111">
        <v>12813</v>
      </c>
      <c r="M1111" t="s">
        <v>8243</v>
      </c>
      <c r="N1111" t="s">
        <v>8244</v>
      </c>
      <c r="O1111" s="3">
        <v>0</v>
      </c>
      <c r="P1111" s="3">
        <v>0</v>
      </c>
      <c r="Q1111" s="3">
        <v>16.66</v>
      </c>
      <c r="R1111" s="3">
        <v>2.1657999999999999</v>
      </c>
      <c r="S1111" s="3">
        <v>0</v>
      </c>
      <c r="T1111" s="3">
        <v>0</v>
      </c>
      <c r="U1111" s="3">
        <v>18.825800000000001</v>
      </c>
      <c r="W1111" s="3" t="s">
        <v>1</v>
      </c>
    </row>
    <row r="1112" spans="5:23" hidden="1" x14ac:dyDescent="0.25">
      <c r="E1112" t="s">
        <v>8607</v>
      </c>
      <c r="F1112" s="1" t="s">
        <v>8633</v>
      </c>
      <c r="G1112" t="s">
        <v>1</v>
      </c>
      <c r="H1112" t="s">
        <v>0</v>
      </c>
      <c r="I1112" t="s">
        <v>8165</v>
      </c>
      <c r="J1112" t="s">
        <v>8164</v>
      </c>
      <c r="K1112">
        <v>12814</v>
      </c>
      <c r="L1112">
        <v>12814</v>
      </c>
      <c r="M1112" t="s">
        <v>8243</v>
      </c>
      <c r="N1112" t="s">
        <v>8244</v>
      </c>
      <c r="O1112" s="3">
        <v>0</v>
      </c>
      <c r="P1112" s="3">
        <v>0</v>
      </c>
      <c r="Q1112" s="3">
        <v>88.7</v>
      </c>
      <c r="R1112" s="3">
        <v>11.531000000000001</v>
      </c>
      <c r="S1112" s="3">
        <v>0</v>
      </c>
      <c r="T1112" s="3">
        <v>0</v>
      </c>
      <c r="U1112" s="3">
        <v>100.23100000000001</v>
      </c>
      <c r="W1112" s="3" t="s">
        <v>1</v>
      </c>
    </row>
    <row r="1113" spans="5:23" hidden="1" x14ac:dyDescent="0.25">
      <c r="E1113" t="s">
        <v>8607</v>
      </c>
      <c r="F1113" s="1" t="s">
        <v>8633</v>
      </c>
      <c r="G1113" t="s">
        <v>1</v>
      </c>
      <c r="H1113" t="s">
        <v>0</v>
      </c>
      <c r="I1113" t="s">
        <v>8165</v>
      </c>
      <c r="J1113" t="s">
        <v>8164</v>
      </c>
      <c r="K1113">
        <v>12815</v>
      </c>
      <c r="L1113">
        <v>12815</v>
      </c>
      <c r="M1113" t="s">
        <v>7852</v>
      </c>
      <c r="N1113" t="s">
        <v>7851</v>
      </c>
      <c r="O1113" s="3">
        <v>0</v>
      </c>
      <c r="P1113" s="3">
        <v>0</v>
      </c>
      <c r="Q1113" s="3">
        <v>0</v>
      </c>
      <c r="R1113" s="3">
        <v>0</v>
      </c>
      <c r="S1113" s="3">
        <v>0</v>
      </c>
      <c r="T1113" s="3">
        <v>0</v>
      </c>
      <c r="U1113" s="3">
        <v>0</v>
      </c>
      <c r="W1113" s="3" t="s">
        <v>1</v>
      </c>
    </row>
    <row r="1114" spans="5:23" hidden="1" x14ac:dyDescent="0.25">
      <c r="E1114" t="s">
        <v>8607</v>
      </c>
      <c r="F1114" s="1" t="s">
        <v>8633</v>
      </c>
      <c r="G1114" t="s">
        <v>1</v>
      </c>
      <c r="H1114" t="s">
        <v>0</v>
      </c>
      <c r="I1114" t="s">
        <v>8165</v>
      </c>
      <c r="J1114" t="s">
        <v>8164</v>
      </c>
      <c r="K1114">
        <v>12816</v>
      </c>
      <c r="L1114">
        <v>12816</v>
      </c>
      <c r="M1114" t="s">
        <v>1423</v>
      </c>
      <c r="N1114" t="s">
        <v>1424</v>
      </c>
      <c r="O1114" s="3">
        <v>0</v>
      </c>
      <c r="P1114" s="3">
        <v>0</v>
      </c>
      <c r="Q1114" s="3">
        <v>53.3</v>
      </c>
      <c r="R1114" s="3">
        <v>6.9290000000000003</v>
      </c>
      <c r="S1114" s="3">
        <v>0</v>
      </c>
      <c r="T1114" s="3">
        <v>0</v>
      </c>
      <c r="U1114" s="3">
        <v>60.228999999999999</v>
      </c>
      <c r="W1114" s="3" t="s">
        <v>1</v>
      </c>
    </row>
    <row r="1115" spans="5:23" hidden="1" x14ac:dyDescent="0.25">
      <c r="E1115" t="s">
        <v>8607</v>
      </c>
      <c r="F1115" s="1" t="s">
        <v>8633</v>
      </c>
      <c r="G1115" t="s">
        <v>1</v>
      </c>
      <c r="H1115" t="s">
        <v>0</v>
      </c>
      <c r="I1115" t="s">
        <v>8165</v>
      </c>
      <c r="J1115" t="s">
        <v>8164</v>
      </c>
      <c r="K1115">
        <v>12817</v>
      </c>
      <c r="L1115">
        <v>12817</v>
      </c>
      <c r="M1115" t="s">
        <v>8209</v>
      </c>
      <c r="N1115" t="s">
        <v>8210</v>
      </c>
      <c r="O1115" s="3">
        <v>0</v>
      </c>
      <c r="P1115" s="3">
        <v>0</v>
      </c>
      <c r="Q1115" s="3">
        <v>4111</v>
      </c>
      <c r="R1115" s="3">
        <v>534.43000000000006</v>
      </c>
      <c r="S1115" s="3">
        <v>0</v>
      </c>
      <c r="T1115" s="3">
        <v>0</v>
      </c>
      <c r="U1115" s="3">
        <v>4645.43</v>
      </c>
      <c r="W1115" s="3" t="s">
        <v>1</v>
      </c>
    </row>
    <row r="1116" spans="5:23" hidden="1" x14ac:dyDescent="0.25">
      <c r="E1116" t="s">
        <v>8607</v>
      </c>
      <c r="F1116" s="1" t="s">
        <v>8633</v>
      </c>
      <c r="G1116" t="s">
        <v>1</v>
      </c>
      <c r="H1116" t="s">
        <v>0</v>
      </c>
      <c r="I1116" t="s">
        <v>8165</v>
      </c>
      <c r="J1116" t="s">
        <v>8164</v>
      </c>
      <c r="K1116">
        <v>12818</v>
      </c>
      <c r="L1116">
        <v>12818</v>
      </c>
      <c r="M1116" t="s">
        <v>8255</v>
      </c>
      <c r="N1116" t="s">
        <v>8256</v>
      </c>
      <c r="O1116" s="3">
        <v>0</v>
      </c>
      <c r="P1116" s="3">
        <v>0</v>
      </c>
      <c r="Q1116" s="3">
        <v>240</v>
      </c>
      <c r="R1116" s="3">
        <v>31.200000000000003</v>
      </c>
      <c r="S1116" s="3">
        <v>0</v>
      </c>
      <c r="T1116" s="3">
        <v>0</v>
      </c>
      <c r="U1116" s="3">
        <v>271.2</v>
      </c>
      <c r="W1116" s="3" t="s">
        <v>1</v>
      </c>
    </row>
    <row r="1117" spans="5:23" hidden="1" x14ac:dyDescent="0.25">
      <c r="E1117" t="s">
        <v>8607</v>
      </c>
      <c r="F1117" s="1" t="s">
        <v>8633</v>
      </c>
      <c r="G1117" t="s">
        <v>1</v>
      </c>
      <c r="H1117" t="s">
        <v>0</v>
      </c>
      <c r="I1117" t="s">
        <v>8165</v>
      </c>
      <c r="J1117" t="s">
        <v>8164</v>
      </c>
      <c r="K1117">
        <v>12819</v>
      </c>
      <c r="L1117">
        <v>12819</v>
      </c>
      <c r="M1117" t="s">
        <v>7852</v>
      </c>
      <c r="N1117" t="s">
        <v>7851</v>
      </c>
      <c r="O1117" s="3">
        <v>0</v>
      </c>
      <c r="P1117" s="3">
        <v>0</v>
      </c>
      <c r="Q1117" s="3">
        <v>0</v>
      </c>
      <c r="R1117" s="3">
        <v>0</v>
      </c>
      <c r="S1117" s="3">
        <v>0</v>
      </c>
      <c r="T1117" s="3">
        <v>0</v>
      </c>
      <c r="U1117" s="3">
        <v>0</v>
      </c>
      <c r="W1117" s="3" t="s">
        <v>1</v>
      </c>
    </row>
    <row r="1118" spans="5:23" hidden="1" x14ac:dyDescent="0.25">
      <c r="E1118" t="s">
        <v>8607</v>
      </c>
      <c r="F1118" s="1" t="s">
        <v>8633</v>
      </c>
      <c r="G1118" t="s">
        <v>1</v>
      </c>
      <c r="H1118" t="s">
        <v>0</v>
      </c>
      <c r="I1118" t="s">
        <v>8165</v>
      </c>
      <c r="J1118" t="s">
        <v>8164</v>
      </c>
      <c r="K1118">
        <v>12820</v>
      </c>
      <c r="L1118">
        <v>12820</v>
      </c>
      <c r="M1118" t="s">
        <v>8166</v>
      </c>
      <c r="N1118" t="s">
        <v>8167</v>
      </c>
      <c r="O1118" s="3">
        <v>0</v>
      </c>
      <c r="P1118" s="3">
        <v>0</v>
      </c>
      <c r="Q1118" s="3">
        <v>650.64</v>
      </c>
      <c r="R1118" s="3">
        <v>84.583200000000005</v>
      </c>
      <c r="S1118" s="3">
        <v>0</v>
      </c>
      <c r="T1118" s="3">
        <v>0</v>
      </c>
      <c r="U1118" s="3">
        <v>735.22320000000002</v>
      </c>
      <c r="W1118" s="3" t="s">
        <v>1</v>
      </c>
    </row>
    <row r="1119" spans="5:23" hidden="1" x14ac:dyDescent="0.25">
      <c r="E1119" t="s">
        <v>8607</v>
      </c>
      <c r="F1119" s="1" t="s">
        <v>8633</v>
      </c>
      <c r="G1119" t="s">
        <v>1</v>
      </c>
      <c r="H1119" t="s">
        <v>0</v>
      </c>
      <c r="I1119" t="s">
        <v>8165</v>
      </c>
      <c r="J1119" t="s">
        <v>8164</v>
      </c>
      <c r="K1119">
        <v>12821</v>
      </c>
      <c r="L1119">
        <v>12821</v>
      </c>
      <c r="M1119" t="s">
        <v>8660</v>
      </c>
      <c r="N1119" t="s">
        <v>8661</v>
      </c>
      <c r="O1119" s="3">
        <v>0</v>
      </c>
      <c r="P1119" s="3">
        <v>0</v>
      </c>
      <c r="Q1119" s="3">
        <v>37.17</v>
      </c>
      <c r="R1119" s="3">
        <v>4.8321000000000005</v>
      </c>
      <c r="S1119" s="3">
        <v>0</v>
      </c>
      <c r="T1119" s="3">
        <v>0</v>
      </c>
      <c r="U1119" s="3">
        <v>42.002099999999999</v>
      </c>
      <c r="W1119" s="3" t="s">
        <v>1</v>
      </c>
    </row>
    <row r="1120" spans="5:23" hidden="1" x14ac:dyDescent="0.25">
      <c r="E1120" t="s">
        <v>8607</v>
      </c>
      <c r="F1120" s="1" t="s">
        <v>8632</v>
      </c>
      <c r="G1120" t="s">
        <v>1</v>
      </c>
      <c r="H1120" t="s">
        <v>0</v>
      </c>
      <c r="I1120" t="s">
        <v>8165</v>
      </c>
      <c r="J1120" t="s">
        <v>8164</v>
      </c>
      <c r="K1120">
        <v>12822</v>
      </c>
      <c r="L1120">
        <v>12822</v>
      </c>
      <c r="N1120" t="s">
        <v>8208</v>
      </c>
      <c r="O1120" s="3">
        <v>0</v>
      </c>
      <c r="P1120" s="3">
        <v>0</v>
      </c>
      <c r="Q1120" s="3">
        <v>89.42</v>
      </c>
      <c r="R1120" s="3">
        <v>11.624600000000001</v>
      </c>
      <c r="S1120" s="3">
        <v>0</v>
      </c>
      <c r="T1120" s="3">
        <v>0</v>
      </c>
      <c r="U1120" s="3">
        <v>101.0446</v>
      </c>
      <c r="V1120" s="3" t="s">
        <v>8650</v>
      </c>
      <c r="W1120" s="3" t="s">
        <v>1</v>
      </c>
    </row>
    <row r="1121" spans="5:23" hidden="1" x14ac:dyDescent="0.25">
      <c r="E1121" t="s">
        <v>8607</v>
      </c>
      <c r="F1121" s="1" t="s">
        <v>8632</v>
      </c>
      <c r="G1121" t="s">
        <v>1</v>
      </c>
      <c r="H1121" t="s">
        <v>0</v>
      </c>
      <c r="I1121" t="s">
        <v>8165</v>
      </c>
      <c r="J1121" t="s">
        <v>8164</v>
      </c>
      <c r="K1121">
        <v>12823</v>
      </c>
      <c r="L1121">
        <v>12823</v>
      </c>
      <c r="M1121" t="s">
        <v>8308</v>
      </c>
      <c r="N1121" t="s">
        <v>8309</v>
      </c>
      <c r="O1121" s="3">
        <v>0</v>
      </c>
      <c r="P1121" s="3">
        <v>0</v>
      </c>
      <c r="Q1121" s="3">
        <v>88.56</v>
      </c>
      <c r="R1121" s="3">
        <v>11.5128</v>
      </c>
      <c r="S1121" s="3">
        <v>0</v>
      </c>
      <c r="T1121" s="3">
        <v>0</v>
      </c>
      <c r="U1121" s="3">
        <v>100.0728</v>
      </c>
      <c r="W1121" s="3" t="s">
        <v>1</v>
      </c>
    </row>
    <row r="1122" spans="5:23" hidden="1" x14ac:dyDescent="0.25">
      <c r="E1122" t="s">
        <v>8607</v>
      </c>
      <c r="F1122" s="1" t="s">
        <v>8632</v>
      </c>
      <c r="G1122" t="s">
        <v>1</v>
      </c>
      <c r="H1122" t="s">
        <v>0</v>
      </c>
      <c r="I1122" t="s">
        <v>8165</v>
      </c>
      <c r="J1122" t="s">
        <v>8164</v>
      </c>
      <c r="K1122">
        <v>12824</v>
      </c>
      <c r="L1122">
        <v>12824</v>
      </c>
      <c r="M1122" t="s">
        <v>8308</v>
      </c>
      <c r="N1122" t="s">
        <v>8309</v>
      </c>
      <c r="O1122" s="3">
        <v>0</v>
      </c>
      <c r="P1122" s="3">
        <v>0</v>
      </c>
      <c r="Q1122" s="3">
        <v>358.23</v>
      </c>
      <c r="R1122" s="3">
        <v>46.569900000000004</v>
      </c>
      <c r="S1122" s="3">
        <v>0</v>
      </c>
      <c r="T1122" s="3">
        <v>0</v>
      </c>
      <c r="U1122" s="3">
        <v>404.79990000000004</v>
      </c>
      <c r="W1122" s="3" t="s">
        <v>1</v>
      </c>
    </row>
    <row r="1123" spans="5:23" hidden="1" x14ac:dyDescent="0.25">
      <c r="E1123" t="s">
        <v>8607</v>
      </c>
      <c r="F1123" s="1" t="s">
        <v>8632</v>
      </c>
      <c r="G1123" t="s">
        <v>1</v>
      </c>
      <c r="H1123" t="s">
        <v>0</v>
      </c>
      <c r="I1123" t="s">
        <v>8165</v>
      </c>
      <c r="J1123" t="s">
        <v>8164</v>
      </c>
      <c r="K1123">
        <v>12825</v>
      </c>
      <c r="L1123">
        <v>12825</v>
      </c>
      <c r="N1123" t="s">
        <v>8659</v>
      </c>
      <c r="O1123" s="3">
        <v>0</v>
      </c>
      <c r="P1123" s="3">
        <v>0</v>
      </c>
      <c r="Q1123" s="3">
        <v>70.900000000000006</v>
      </c>
      <c r="R1123" s="3">
        <v>9.2170000000000005</v>
      </c>
      <c r="S1123" s="3">
        <v>0</v>
      </c>
      <c r="T1123" s="3">
        <v>0</v>
      </c>
      <c r="U1123" s="3">
        <v>80.117000000000004</v>
      </c>
      <c r="V1123" s="3" t="s">
        <v>8658</v>
      </c>
      <c r="W1123" s="3" t="s">
        <v>1</v>
      </c>
    </row>
    <row r="1124" spans="5:23" hidden="1" x14ac:dyDescent="0.25">
      <c r="E1124" t="s">
        <v>8607</v>
      </c>
      <c r="F1124" s="1" t="s">
        <v>8632</v>
      </c>
      <c r="G1124" t="s">
        <v>1</v>
      </c>
      <c r="H1124" t="s">
        <v>0</v>
      </c>
      <c r="I1124" t="s">
        <v>8165</v>
      </c>
      <c r="J1124" t="s">
        <v>8164</v>
      </c>
      <c r="K1124">
        <v>12826</v>
      </c>
      <c r="L1124">
        <v>12826</v>
      </c>
      <c r="M1124" t="s">
        <v>7852</v>
      </c>
      <c r="N1124" t="s">
        <v>7851</v>
      </c>
      <c r="O1124" s="3">
        <v>0</v>
      </c>
      <c r="P1124" s="3">
        <v>0</v>
      </c>
      <c r="Q1124" s="3">
        <v>0</v>
      </c>
      <c r="R1124" s="3">
        <v>0</v>
      </c>
      <c r="S1124" s="3">
        <v>0</v>
      </c>
      <c r="T1124" s="3">
        <v>0</v>
      </c>
      <c r="U1124" s="3">
        <v>0</v>
      </c>
      <c r="W1124" s="3" t="s">
        <v>1</v>
      </c>
    </row>
    <row r="1125" spans="5:23" hidden="1" x14ac:dyDescent="0.25">
      <c r="E1125" t="s">
        <v>8607</v>
      </c>
      <c r="F1125" s="1" t="s">
        <v>8632</v>
      </c>
      <c r="G1125" t="s">
        <v>1</v>
      </c>
      <c r="H1125" t="s">
        <v>0</v>
      </c>
      <c r="I1125" t="s">
        <v>8165</v>
      </c>
      <c r="J1125" t="s">
        <v>8164</v>
      </c>
      <c r="K1125">
        <v>12827</v>
      </c>
      <c r="L1125">
        <v>12827</v>
      </c>
      <c r="M1125" t="s">
        <v>153</v>
      </c>
      <c r="N1125" t="s">
        <v>154</v>
      </c>
      <c r="O1125" s="3">
        <v>0</v>
      </c>
      <c r="P1125" s="3">
        <v>0</v>
      </c>
      <c r="Q1125" s="3">
        <v>206.4</v>
      </c>
      <c r="R1125" s="3">
        <v>26.832000000000001</v>
      </c>
      <c r="S1125" s="3">
        <v>0</v>
      </c>
      <c r="T1125" s="3">
        <v>0</v>
      </c>
      <c r="U1125" s="3">
        <v>233.232</v>
      </c>
      <c r="W1125" s="3" t="s">
        <v>1</v>
      </c>
    </row>
    <row r="1126" spans="5:23" hidden="1" x14ac:dyDescent="0.25">
      <c r="E1126" t="s">
        <v>8607</v>
      </c>
      <c r="F1126" s="1" t="s">
        <v>8632</v>
      </c>
      <c r="G1126" t="s">
        <v>1</v>
      </c>
      <c r="H1126" t="s">
        <v>0</v>
      </c>
      <c r="I1126" t="s">
        <v>8165</v>
      </c>
      <c r="J1126" t="s">
        <v>8164</v>
      </c>
      <c r="K1126">
        <v>12828</v>
      </c>
      <c r="L1126">
        <v>12828</v>
      </c>
      <c r="M1126" t="s">
        <v>153</v>
      </c>
      <c r="N1126" t="s">
        <v>154</v>
      </c>
      <c r="O1126" s="3">
        <v>0</v>
      </c>
      <c r="P1126" s="3">
        <v>0</v>
      </c>
      <c r="Q1126" s="3">
        <v>45.44</v>
      </c>
      <c r="R1126" s="3">
        <v>5.9071999999999996</v>
      </c>
      <c r="S1126" s="3">
        <v>0</v>
      </c>
      <c r="T1126" s="3">
        <v>0</v>
      </c>
      <c r="U1126" s="3">
        <v>51.347200000000001</v>
      </c>
      <c r="W1126" s="3" t="s">
        <v>1</v>
      </c>
    </row>
    <row r="1127" spans="5:23" hidden="1" x14ac:dyDescent="0.25">
      <c r="E1127" t="s">
        <v>8607</v>
      </c>
      <c r="F1127" s="1" t="s">
        <v>8632</v>
      </c>
      <c r="G1127" t="s">
        <v>1</v>
      </c>
      <c r="H1127" t="s">
        <v>0</v>
      </c>
      <c r="I1127" t="s">
        <v>8165</v>
      </c>
      <c r="J1127" t="s">
        <v>8164</v>
      </c>
      <c r="K1127">
        <v>12829</v>
      </c>
      <c r="L1127">
        <v>12829</v>
      </c>
      <c r="M1127" t="s">
        <v>7852</v>
      </c>
      <c r="N1127" t="s">
        <v>7851</v>
      </c>
      <c r="O1127" s="3">
        <v>0</v>
      </c>
      <c r="P1127" s="3">
        <v>0</v>
      </c>
      <c r="Q1127" s="3">
        <v>0</v>
      </c>
      <c r="R1127" s="3">
        <v>0</v>
      </c>
      <c r="S1127" s="3">
        <v>0</v>
      </c>
      <c r="T1127" s="3">
        <v>0</v>
      </c>
      <c r="U1127" s="3">
        <v>0</v>
      </c>
      <c r="W1127" s="3" t="s">
        <v>1</v>
      </c>
    </row>
    <row r="1128" spans="5:23" hidden="1" x14ac:dyDescent="0.25">
      <c r="E1128" t="s">
        <v>8607</v>
      </c>
      <c r="F1128" s="1" t="s">
        <v>8632</v>
      </c>
      <c r="G1128" t="s">
        <v>1</v>
      </c>
      <c r="H1128" t="s">
        <v>0</v>
      </c>
      <c r="I1128" t="s">
        <v>8165</v>
      </c>
      <c r="J1128" t="s">
        <v>8164</v>
      </c>
      <c r="K1128">
        <v>12830</v>
      </c>
      <c r="L1128">
        <v>12830</v>
      </c>
      <c r="M1128" t="s">
        <v>8320</v>
      </c>
      <c r="N1128" t="s">
        <v>8321</v>
      </c>
      <c r="O1128" s="3">
        <v>0</v>
      </c>
      <c r="P1128" s="3">
        <v>0</v>
      </c>
      <c r="Q1128" s="3">
        <v>23.89</v>
      </c>
      <c r="R1128" s="3">
        <v>3.1057000000000001</v>
      </c>
      <c r="S1128" s="3">
        <v>0</v>
      </c>
      <c r="T1128" s="3">
        <v>0</v>
      </c>
      <c r="U1128" s="3">
        <v>26.995699999999999</v>
      </c>
      <c r="W1128" s="3" t="s">
        <v>1</v>
      </c>
    </row>
    <row r="1129" spans="5:23" hidden="1" x14ac:dyDescent="0.25">
      <c r="E1129" t="s">
        <v>8607</v>
      </c>
      <c r="F1129" s="1" t="s">
        <v>8632</v>
      </c>
      <c r="G1129" t="s">
        <v>1</v>
      </c>
      <c r="H1129" t="s">
        <v>0</v>
      </c>
      <c r="I1129" t="s">
        <v>8165</v>
      </c>
      <c r="J1129" t="s">
        <v>8164</v>
      </c>
      <c r="K1129">
        <v>12831</v>
      </c>
      <c r="L1129">
        <v>12831</v>
      </c>
      <c r="M1129" t="s">
        <v>238</v>
      </c>
      <c r="N1129" t="s">
        <v>239</v>
      </c>
      <c r="O1129" s="3">
        <v>0</v>
      </c>
      <c r="P1129" s="3">
        <v>0</v>
      </c>
      <c r="Q1129" s="3">
        <v>179.2</v>
      </c>
      <c r="R1129" s="3">
        <v>23.295999999999999</v>
      </c>
      <c r="S1129" s="3">
        <v>0</v>
      </c>
      <c r="T1129" s="3">
        <v>0</v>
      </c>
      <c r="U1129" s="3">
        <v>202.49599999999998</v>
      </c>
      <c r="W1129" s="3" t="s">
        <v>1</v>
      </c>
    </row>
    <row r="1130" spans="5:23" hidden="1" x14ac:dyDescent="0.25">
      <c r="E1130" t="s">
        <v>8607</v>
      </c>
      <c r="F1130" s="1" t="s">
        <v>8632</v>
      </c>
      <c r="G1130" t="s">
        <v>1</v>
      </c>
      <c r="H1130" t="s">
        <v>0</v>
      </c>
      <c r="I1130" t="s">
        <v>8165</v>
      </c>
      <c r="J1130" t="s">
        <v>8164</v>
      </c>
      <c r="K1130">
        <v>12832</v>
      </c>
      <c r="L1130">
        <v>12832</v>
      </c>
      <c r="M1130" t="s">
        <v>8226</v>
      </c>
      <c r="N1130" t="s">
        <v>8227</v>
      </c>
      <c r="O1130" s="3">
        <v>0</v>
      </c>
      <c r="P1130" s="3">
        <v>0</v>
      </c>
      <c r="Q1130" s="3">
        <v>389.27</v>
      </c>
      <c r="R1130" s="3">
        <v>50.6051</v>
      </c>
      <c r="S1130" s="3">
        <v>0</v>
      </c>
      <c r="T1130" s="3">
        <v>0</v>
      </c>
      <c r="U1130" s="3">
        <v>439.87509999999997</v>
      </c>
      <c r="W1130" s="3" t="s">
        <v>1</v>
      </c>
    </row>
    <row r="1131" spans="5:23" hidden="1" x14ac:dyDescent="0.25">
      <c r="E1131" t="s">
        <v>8607</v>
      </c>
      <c r="F1131" s="1" t="s">
        <v>8632</v>
      </c>
      <c r="G1131" t="s">
        <v>1</v>
      </c>
      <c r="H1131" t="s">
        <v>0</v>
      </c>
      <c r="I1131" t="s">
        <v>8165</v>
      </c>
      <c r="J1131" t="s">
        <v>8164</v>
      </c>
      <c r="K1131">
        <v>12833</v>
      </c>
      <c r="L1131">
        <v>12833</v>
      </c>
      <c r="M1131" t="s">
        <v>8220</v>
      </c>
      <c r="N1131" t="s">
        <v>8221</v>
      </c>
      <c r="O1131" s="3">
        <v>0</v>
      </c>
      <c r="P1131" s="3">
        <v>0</v>
      </c>
      <c r="Q1131" s="3">
        <v>43.25</v>
      </c>
      <c r="R1131" s="3">
        <v>5.6225000000000005</v>
      </c>
      <c r="S1131" s="3">
        <v>0</v>
      </c>
      <c r="T1131" s="3">
        <v>0</v>
      </c>
      <c r="U1131" s="3">
        <v>48.872500000000002</v>
      </c>
      <c r="W1131" s="3" t="s">
        <v>1</v>
      </c>
    </row>
    <row r="1132" spans="5:23" hidden="1" x14ac:dyDescent="0.25">
      <c r="E1132" t="s">
        <v>8607</v>
      </c>
      <c r="F1132" s="1" t="s">
        <v>8632</v>
      </c>
      <c r="G1132" t="s">
        <v>1</v>
      </c>
      <c r="H1132" t="s">
        <v>0</v>
      </c>
      <c r="I1132" t="s">
        <v>8165</v>
      </c>
      <c r="J1132" t="s">
        <v>8164</v>
      </c>
      <c r="K1132">
        <v>12834</v>
      </c>
      <c r="L1132">
        <v>12834</v>
      </c>
      <c r="M1132" t="s">
        <v>8222</v>
      </c>
      <c r="N1132" t="s">
        <v>8223</v>
      </c>
      <c r="O1132" s="3">
        <v>0</v>
      </c>
      <c r="P1132" s="3">
        <v>0</v>
      </c>
      <c r="Q1132" s="3">
        <v>250</v>
      </c>
      <c r="R1132" s="3">
        <v>32.5</v>
      </c>
      <c r="S1132" s="3">
        <v>0</v>
      </c>
      <c r="T1132" s="3">
        <v>0</v>
      </c>
      <c r="U1132" s="3">
        <v>282.5</v>
      </c>
      <c r="W1132" s="3" t="s">
        <v>1</v>
      </c>
    </row>
    <row r="1133" spans="5:23" hidden="1" x14ac:dyDescent="0.25">
      <c r="E1133" t="s">
        <v>8607</v>
      </c>
      <c r="F1133" s="1" t="s">
        <v>8632</v>
      </c>
      <c r="G1133" t="s">
        <v>1</v>
      </c>
      <c r="H1133" t="s">
        <v>0</v>
      </c>
      <c r="I1133" t="s">
        <v>8165</v>
      </c>
      <c r="J1133" t="s">
        <v>8164</v>
      </c>
      <c r="K1133">
        <v>12835</v>
      </c>
      <c r="L1133">
        <v>12835</v>
      </c>
      <c r="M1133" t="s">
        <v>8285</v>
      </c>
      <c r="N1133" t="s">
        <v>8286</v>
      </c>
      <c r="O1133" s="3">
        <v>0</v>
      </c>
      <c r="P1133" s="3">
        <v>0</v>
      </c>
      <c r="Q1133" s="3">
        <v>223.75</v>
      </c>
      <c r="R1133" s="3">
        <v>29.087500000000002</v>
      </c>
      <c r="S1133" s="3">
        <v>0</v>
      </c>
      <c r="T1133" s="3">
        <v>0</v>
      </c>
      <c r="U1133" s="3">
        <v>252.83750000000001</v>
      </c>
      <c r="W1133" s="3" t="s">
        <v>1</v>
      </c>
    </row>
    <row r="1134" spans="5:23" hidden="1" x14ac:dyDescent="0.25">
      <c r="E1134" t="s">
        <v>8607</v>
      </c>
      <c r="F1134" s="1" t="s">
        <v>8631</v>
      </c>
      <c r="G1134" t="s">
        <v>1</v>
      </c>
      <c r="H1134" t="s">
        <v>0</v>
      </c>
      <c r="I1134" t="s">
        <v>8165</v>
      </c>
      <c r="J1134" t="s">
        <v>8164</v>
      </c>
      <c r="K1134">
        <v>12836</v>
      </c>
      <c r="L1134">
        <v>12836</v>
      </c>
      <c r="M1134" t="s">
        <v>8549</v>
      </c>
      <c r="N1134" t="s">
        <v>8550</v>
      </c>
      <c r="O1134" s="3">
        <v>0</v>
      </c>
      <c r="P1134" s="3">
        <v>0</v>
      </c>
      <c r="Q1134" s="3">
        <v>52.8</v>
      </c>
      <c r="R1134" s="3">
        <v>6.8639999999999999</v>
      </c>
      <c r="S1134" s="3">
        <v>0</v>
      </c>
      <c r="T1134" s="3">
        <v>0</v>
      </c>
      <c r="U1134" s="3">
        <v>59.663999999999994</v>
      </c>
      <c r="W1134" s="3" t="s">
        <v>1</v>
      </c>
    </row>
    <row r="1135" spans="5:23" hidden="1" x14ac:dyDescent="0.25">
      <c r="E1135" t="s">
        <v>8607</v>
      </c>
      <c r="F1135" s="1" t="s">
        <v>8631</v>
      </c>
      <c r="G1135" t="s">
        <v>1</v>
      </c>
      <c r="H1135" t="s">
        <v>0</v>
      </c>
      <c r="I1135" t="s">
        <v>8165</v>
      </c>
      <c r="J1135" t="s">
        <v>8164</v>
      </c>
      <c r="K1135">
        <v>12837</v>
      </c>
      <c r="L1135">
        <v>12837</v>
      </c>
      <c r="M1135" t="s">
        <v>8176</v>
      </c>
      <c r="N1135" t="s">
        <v>8177</v>
      </c>
      <c r="O1135" s="3">
        <v>0</v>
      </c>
      <c r="P1135" s="3">
        <v>0</v>
      </c>
      <c r="Q1135" s="3">
        <v>21</v>
      </c>
      <c r="R1135" s="3">
        <v>2.73</v>
      </c>
      <c r="S1135" s="3">
        <v>0</v>
      </c>
      <c r="T1135" s="3">
        <v>0</v>
      </c>
      <c r="U1135" s="3">
        <v>23.73</v>
      </c>
      <c r="W1135" s="3" t="s">
        <v>1</v>
      </c>
    </row>
    <row r="1136" spans="5:23" hidden="1" x14ac:dyDescent="0.25">
      <c r="E1136" t="s">
        <v>8607</v>
      </c>
      <c r="F1136" s="1" t="s">
        <v>8631</v>
      </c>
      <c r="G1136" t="s">
        <v>1</v>
      </c>
      <c r="H1136" t="s">
        <v>0</v>
      </c>
      <c r="I1136" t="s">
        <v>8165</v>
      </c>
      <c r="J1136" t="s">
        <v>8164</v>
      </c>
      <c r="K1136">
        <v>12838</v>
      </c>
      <c r="L1136">
        <v>12838</v>
      </c>
      <c r="M1136" t="s">
        <v>7852</v>
      </c>
      <c r="N1136" t="s">
        <v>7851</v>
      </c>
      <c r="O1136" s="3">
        <v>0</v>
      </c>
      <c r="P1136" s="3">
        <v>0</v>
      </c>
      <c r="Q1136" s="3">
        <v>0</v>
      </c>
      <c r="R1136" s="3">
        <v>0</v>
      </c>
      <c r="S1136" s="3">
        <v>0</v>
      </c>
      <c r="T1136" s="3">
        <v>0</v>
      </c>
      <c r="U1136" s="3">
        <v>0</v>
      </c>
      <c r="W1136" s="3" t="s">
        <v>1</v>
      </c>
    </row>
    <row r="1137" spans="5:23" hidden="1" x14ac:dyDescent="0.25">
      <c r="E1137" t="s">
        <v>8607</v>
      </c>
      <c r="F1137" s="1" t="s">
        <v>8631</v>
      </c>
      <c r="G1137" t="s">
        <v>1</v>
      </c>
      <c r="H1137" t="s">
        <v>0</v>
      </c>
      <c r="I1137" t="s">
        <v>8165</v>
      </c>
      <c r="J1137" t="s">
        <v>8164</v>
      </c>
      <c r="K1137">
        <v>12839</v>
      </c>
      <c r="L1137">
        <v>12839</v>
      </c>
      <c r="M1137" t="s">
        <v>807</v>
      </c>
      <c r="N1137" t="s">
        <v>808</v>
      </c>
      <c r="O1137" s="3">
        <v>0</v>
      </c>
      <c r="P1137" s="3">
        <v>0</v>
      </c>
      <c r="Q1137" s="3">
        <v>1105.75</v>
      </c>
      <c r="R1137" s="3">
        <v>143.7475</v>
      </c>
      <c r="S1137" s="3">
        <v>0</v>
      </c>
      <c r="T1137" s="3">
        <v>0</v>
      </c>
      <c r="U1137" s="3">
        <v>1249.4974999999999</v>
      </c>
      <c r="W1137" s="3" t="s">
        <v>1</v>
      </c>
    </row>
    <row r="1138" spans="5:23" hidden="1" x14ac:dyDescent="0.25">
      <c r="E1138" t="s">
        <v>8607</v>
      </c>
      <c r="F1138" s="1" t="s">
        <v>8631</v>
      </c>
      <c r="G1138" t="s">
        <v>1</v>
      </c>
      <c r="H1138" t="s">
        <v>0</v>
      </c>
      <c r="I1138" t="s">
        <v>8165</v>
      </c>
      <c r="J1138" t="s">
        <v>8164</v>
      </c>
      <c r="K1138">
        <v>12840</v>
      </c>
      <c r="L1138">
        <v>12840</v>
      </c>
      <c r="M1138" t="s">
        <v>8209</v>
      </c>
      <c r="N1138" t="s">
        <v>8210</v>
      </c>
      <c r="O1138" s="3">
        <v>0</v>
      </c>
      <c r="P1138" s="3">
        <v>0</v>
      </c>
      <c r="Q1138" s="3">
        <v>250.8</v>
      </c>
      <c r="R1138" s="3">
        <v>32.603999999999999</v>
      </c>
      <c r="S1138" s="3">
        <v>0</v>
      </c>
      <c r="T1138" s="3">
        <v>0</v>
      </c>
      <c r="U1138" s="3">
        <v>283.404</v>
      </c>
      <c r="W1138" s="3" t="s">
        <v>1</v>
      </c>
    </row>
    <row r="1139" spans="5:23" hidden="1" x14ac:dyDescent="0.25">
      <c r="E1139" t="s">
        <v>8607</v>
      </c>
      <c r="F1139" s="1" t="s">
        <v>8631</v>
      </c>
      <c r="G1139" t="s">
        <v>1</v>
      </c>
      <c r="H1139" t="s">
        <v>0</v>
      </c>
      <c r="I1139" t="s">
        <v>8165</v>
      </c>
      <c r="J1139" t="s">
        <v>8164</v>
      </c>
      <c r="K1139">
        <v>12841</v>
      </c>
      <c r="L1139">
        <v>12841</v>
      </c>
      <c r="M1139" t="s">
        <v>8209</v>
      </c>
      <c r="N1139" t="s">
        <v>8210</v>
      </c>
      <c r="O1139" s="3">
        <v>0</v>
      </c>
      <c r="P1139" s="3">
        <v>0</v>
      </c>
      <c r="Q1139" s="3">
        <v>70.09</v>
      </c>
      <c r="R1139" s="3">
        <v>9.1117000000000008</v>
      </c>
      <c r="S1139" s="3">
        <v>0</v>
      </c>
      <c r="T1139" s="3">
        <v>0</v>
      </c>
      <c r="U1139" s="3">
        <v>79.201700000000002</v>
      </c>
      <c r="W1139" s="3" t="s">
        <v>1</v>
      </c>
    </row>
    <row r="1140" spans="5:23" hidden="1" x14ac:dyDescent="0.25">
      <c r="E1140" t="s">
        <v>8607</v>
      </c>
      <c r="F1140" s="1" t="s">
        <v>8631</v>
      </c>
      <c r="G1140" t="s">
        <v>1</v>
      </c>
      <c r="H1140" t="s">
        <v>0</v>
      </c>
      <c r="I1140" t="s">
        <v>8165</v>
      </c>
      <c r="J1140" t="s">
        <v>8164</v>
      </c>
      <c r="K1140">
        <v>12842</v>
      </c>
      <c r="L1140">
        <v>12842</v>
      </c>
      <c r="M1140" t="s">
        <v>8478</v>
      </c>
      <c r="N1140" t="s">
        <v>803</v>
      </c>
      <c r="O1140" s="3">
        <v>0</v>
      </c>
      <c r="P1140" s="3">
        <v>0</v>
      </c>
      <c r="Q1140" s="3">
        <v>55</v>
      </c>
      <c r="R1140" s="3">
        <v>7.15</v>
      </c>
      <c r="S1140" s="3">
        <v>0</v>
      </c>
      <c r="T1140" s="3">
        <v>0</v>
      </c>
      <c r="U1140" s="3">
        <v>62.15</v>
      </c>
      <c r="W1140" s="3" t="s">
        <v>1</v>
      </c>
    </row>
    <row r="1141" spans="5:23" hidden="1" x14ac:dyDescent="0.25">
      <c r="E1141" t="s">
        <v>8607</v>
      </c>
      <c r="F1141" s="1" t="s">
        <v>8631</v>
      </c>
      <c r="G1141" t="s">
        <v>1</v>
      </c>
      <c r="H1141" t="s">
        <v>0</v>
      </c>
      <c r="I1141" t="s">
        <v>8165</v>
      </c>
      <c r="J1141" t="s">
        <v>8164</v>
      </c>
      <c r="K1141">
        <v>12843</v>
      </c>
      <c r="L1141">
        <v>12843</v>
      </c>
      <c r="M1141" t="s">
        <v>2008</v>
      </c>
      <c r="N1141" t="s">
        <v>2009</v>
      </c>
      <c r="O1141" s="3">
        <v>0</v>
      </c>
      <c r="P1141" s="3">
        <v>0</v>
      </c>
      <c r="Q1141" s="3">
        <v>378</v>
      </c>
      <c r="R1141" s="3">
        <v>49.14</v>
      </c>
      <c r="S1141" s="3">
        <v>0</v>
      </c>
      <c r="T1141" s="3">
        <v>0</v>
      </c>
      <c r="U1141" s="3">
        <v>427.14</v>
      </c>
      <c r="W1141" s="3" t="s">
        <v>1</v>
      </c>
    </row>
    <row r="1142" spans="5:23" hidden="1" x14ac:dyDescent="0.25">
      <c r="E1142" t="s">
        <v>8607</v>
      </c>
      <c r="F1142" s="1" t="s">
        <v>8631</v>
      </c>
      <c r="G1142" t="s">
        <v>1</v>
      </c>
      <c r="H1142" t="s">
        <v>0</v>
      </c>
      <c r="I1142" t="s">
        <v>8165</v>
      </c>
      <c r="J1142" t="s">
        <v>8164</v>
      </c>
      <c r="K1142">
        <v>12844</v>
      </c>
      <c r="L1142">
        <v>12844</v>
      </c>
      <c r="M1142" t="s">
        <v>8174</v>
      </c>
      <c r="N1142" t="s">
        <v>8175</v>
      </c>
      <c r="O1142" s="3">
        <v>0</v>
      </c>
      <c r="P1142" s="3">
        <v>0</v>
      </c>
      <c r="Q1142" s="3">
        <v>38</v>
      </c>
      <c r="R1142" s="3">
        <v>4.9400000000000004</v>
      </c>
      <c r="S1142" s="3">
        <v>0</v>
      </c>
      <c r="T1142" s="3">
        <v>0</v>
      </c>
      <c r="U1142" s="3">
        <v>42.94</v>
      </c>
      <c r="W1142" s="3" t="s">
        <v>1</v>
      </c>
    </row>
    <row r="1143" spans="5:23" hidden="1" x14ac:dyDescent="0.25">
      <c r="E1143" t="s">
        <v>8607</v>
      </c>
      <c r="F1143" s="1" t="s">
        <v>8631</v>
      </c>
      <c r="G1143" t="s">
        <v>1</v>
      </c>
      <c r="H1143" t="s">
        <v>0</v>
      </c>
      <c r="I1143" t="s">
        <v>8165</v>
      </c>
      <c r="J1143" t="s">
        <v>8164</v>
      </c>
      <c r="K1143">
        <v>12845</v>
      </c>
      <c r="L1143">
        <v>12845</v>
      </c>
      <c r="M1143" t="s">
        <v>8259</v>
      </c>
      <c r="N1143" t="s">
        <v>8260</v>
      </c>
      <c r="O1143" s="3">
        <v>0</v>
      </c>
      <c r="P1143" s="3">
        <v>0</v>
      </c>
      <c r="Q1143" s="3">
        <v>62.33</v>
      </c>
      <c r="R1143" s="3">
        <v>8.1029</v>
      </c>
      <c r="S1143" s="3">
        <v>0</v>
      </c>
      <c r="T1143" s="3">
        <v>0</v>
      </c>
      <c r="U1143" s="3">
        <v>70.432900000000004</v>
      </c>
      <c r="W1143" s="3" t="s">
        <v>1</v>
      </c>
    </row>
    <row r="1144" spans="5:23" hidden="1" x14ac:dyDescent="0.25">
      <c r="E1144" t="s">
        <v>8607</v>
      </c>
      <c r="F1144" s="1" t="s">
        <v>8631</v>
      </c>
      <c r="G1144" t="s">
        <v>1</v>
      </c>
      <c r="H1144" t="s">
        <v>0</v>
      </c>
      <c r="I1144" t="s">
        <v>8165</v>
      </c>
      <c r="J1144" t="s">
        <v>8164</v>
      </c>
      <c r="K1144">
        <v>12846</v>
      </c>
      <c r="L1144">
        <v>12846</v>
      </c>
      <c r="M1144" t="s">
        <v>246</v>
      </c>
      <c r="N1144" t="s">
        <v>247</v>
      </c>
      <c r="O1144" s="3">
        <v>0</v>
      </c>
      <c r="P1144" s="3">
        <v>0</v>
      </c>
      <c r="Q1144" s="3">
        <v>764.6</v>
      </c>
      <c r="R1144" s="3">
        <v>99.39800000000001</v>
      </c>
      <c r="S1144" s="3">
        <v>0</v>
      </c>
      <c r="T1144" s="3">
        <v>0</v>
      </c>
      <c r="U1144" s="3">
        <v>863.99800000000005</v>
      </c>
      <c r="W1144" s="3" t="s">
        <v>1</v>
      </c>
    </row>
    <row r="1145" spans="5:23" hidden="1" x14ac:dyDescent="0.25">
      <c r="E1145" t="s">
        <v>8607</v>
      </c>
      <c r="F1145" s="1" t="s">
        <v>8631</v>
      </c>
      <c r="G1145" t="s">
        <v>1</v>
      </c>
      <c r="H1145" t="s">
        <v>0</v>
      </c>
      <c r="I1145" t="s">
        <v>8165</v>
      </c>
      <c r="J1145" t="s">
        <v>8164</v>
      </c>
      <c r="K1145">
        <v>12847</v>
      </c>
      <c r="L1145">
        <v>12847</v>
      </c>
      <c r="M1145" t="s">
        <v>8306</v>
      </c>
      <c r="N1145" t="s">
        <v>8307</v>
      </c>
      <c r="O1145" s="3">
        <v>0</v>
      </c>
      <c r="P1145" s="3">
        <v>0</v>
      </c>
      <c r="Q1145" s="3">
        <v>6.64</v>
      </c>
      <c r="R1145" s="3">
        <v>0.86319999999999997</v>
      </c>
      <c r="S1145" s="3">
        <v>0</v>
      </c>
      <c r="T1145" s="3">
        <v>0</v>
      </c>
      <c r="U1145" s="3">
        <v>7.5031999999999996</v>
      </c>
      <c r="W1145" s="3" t="s">
        <v>1</v>
      </c>
    </row>
    <row r="1146" spans="5:23" hidden="1" x14ac:dyDescent="0.25">
      <c r="E1146" t="s">
        <v>8607</v>
      </c>
      <c r="F1146" s="1" t="s">
        <v>8631</v>
      </c>
      <c r="G1146" t="s">
        <v>1</v>
      </c>
      <c r="H1146" t="s">
        <v>0</v>
      </c>
      <c r="I1146" t="s">
        <v>8165</v>
      </c>
      <c r="J1146" t="s">
        <v>8164</v>
      </c>
      <c r="K1146">
        <v>12848</v>
      </c>
      <c r="L1146">
        <v>12848</v>
      </c>
      <c r="M1146" t="s">
        <v>8391</v>
      </c>
      <c r="N1146" t="s">
        <v>8392</v>
      </c>
      <c r="O1146" s="3">
        <v>0</v>
      </c>
      <c r="P1146" s="3">
        <v>0</v>
      </c>
      <c r="Q1146" s="3">
        <v>123.01</v>
      </c>
      <c r="R1146" s="3">
        <v>15.991300000000001</v>
      </c>
      <c r="S1146" s="3">
        <v>0</v>
      </c>
      <c r="T1146" s="3">
        <v>0</v>
      </c>
      <c r="U1146" s="3">
        <v>139.00130000000001</v>
      </c>
      <c r="W1146" s="3" t="s">
        <v>1</v>
      </c>
    </row>
    <row r="1147" spans="5:23" hidden="1" x14ac:dyDescent="0.25">
      <c r="E1147" t="s">
        <v>8607</v>
      </c>
      <c r="F1147" s="1" t="s">
        <v>8631</v>
      </c>
      <c r="G1147" t="s">
        <v>1</v>
      </c>
      <c r="H1147" t="s">
        <v>0</v>
      </c>
      <c r="I1147" t="s">
        <v>8165</v>
      </c>
      <c r="J1147" t="s">
        <v>8164</v>
      </c>
      <c r="K1147">
        <v>12849</v>
      </c>
      <c r="L1147">
        <v>12849</v>
      </c>
      <c r="M1147" t="s">
        <v>8328</v>
      </c>
      <c r="N1147" t="s">
        <v>8294</v>
      </c>
      <c r="O1147" s="3">
        <v>0</v>
      </c>
      <c r="P1147" s="3">
        <v>0</v>
      </c>
      <c r="Q1147" s="3">
        <v>212.39</v>
      </c>
      <c r="R1147" s="3">
        <v>27.610699999999998</v>
      </c>
      <c r="S1147" s="3">
        <v>0</v>
      </c>
      <c r="T1147" s="3">
        <v>0</v>
      </c>
      <c r="U1147" s="3">
        <v>240.00069999999999</v>
      </c>
      <c r="W1147" s="3" t="s">
        <v>1</v>
      </c>
    </row>
    <row r="1148" spans="5:23" hidden="1" x14ac:dyDescent="0.25">
      <c r="E1148" t="s">
        <v>8607</v>
      </c>
      <c r="F1148" s="1" t="s">
        <v>8631</v>
      </c>
      <c r="G1148" t="s">
        <v>1</v>
      </c>
      <c r="H1148" t="s">
        <v>0</v>
      </c>
      <c r="I1148" t="s">
        <v>8165</v>
      </c>
      <c r="J1148" t="s">
        <v>8164</v>
      </c>
      <c r="K1148">
        <v>12850</v>
      </c>
      <c r="L1148">
        <v>12850</v>
      </c>
      <c r="M1148" t="s">
        <v>8328</v>
      </c>
      <c r="N1148" t="s">
        <v>8294</v>
      </c>
      <c r="O1148" s="3">
        <v>0</v>
      </c>
      <c r="P1148" s="3">
        <v>0</v>
      </c>
      <c r="Q1148" s="3">
        <v>33.130000000000003</v>
      </c>
      <c r="R1148" s="3">
        <v>4.3069000000000006</v>
      </c>
      <c r="S1148" s="3">
        <v>0</v>
      </c>
      <c r="T1148" s="3">
        <v>0</v>
      </c>
      <c r="U1148" s="3">
        <v>37.436900000000001</v>
      </c>
      <c r="W1148" s="3" t="s">
        <v>1</v>
      </c>
    </row>
    <row r="1149" spans="5:23" hidden="1" x14ac:dyDescent="0.25">
      <c r="E1149" t="s">
        <v>8607</v>
      </c>
      <c r="F1149" s="1" t="s">
        <v>8631</v>
      </c>
      <c r="G1149" t="s">
        <v>1</v>
      </c>
      <c r="H1149" t="s">
        <v>0</v>
      </c>
      <c r="I1149" t="s">
        <v>8165</v>
      </c>
      <c r="J1149" t="s">
        <v>8164</v>
      </c>
      <c r="K1149">
        <v>12851</v>
      </c>
      <c r="L1149">
        <v>12851</v>
      </c>
      <c r="M1149" t="s">
        <v>107</v>
      </c>
      <c r="N1149" t="s">
        <v>108</v>
      </c>
      <c r="O1149" s="3">
        <v>0</v>
      </c>
      <c r="P1149" s="3">
        <v>0</v>
      </c>
      <c r="Q1149" s="3">
        <v>249.25</v>
      </c>
      <c r="R1149" s="3">
        <v>32.402500000000003</v>
      </c>
      <c r="S1149" s="3">
        <v>0</v>
      </c>
      <c r="T1149" s="3">
        <v>0</v>
      </c>
      <c r="U1149" s="3">
        <v>281.65250000000003</v>
      </c>
      <c r="W1149" s="3" t="s">
        <v>1</v>
      </c>
    </row>
    <row r="1150" spans="5:23" hidden="1" x14ac:dyDescent="0.25">
      <c r="E1150" t="s">
        <v>8607</v>
      </c>
      <c r="F1150" s="1" t="s">
        <v>8630</v>
      </c>
      <c r="G1150" t="s">
        <v>1</v>
      </c>
      <c r="H1150" t="s">
        <v>0</v>
      </c>
      <c r="I1150" t="s">
        <v>8165</v>
      </c>
      <c r="J1150" t="s">
        <v>8164</v>
      </c>
      <c r="K1150">
        <v>12852</v>
      </c>
      <c r="L1150">
        <v>12852</v>
      </c>
      <c r="N1150" t="s">
        <v>8169</v>
      </c>
      <c r="O1150" s="3">
        <v>0</v>
      </c>
      <c r="P1150" s="3">
        <v>0</v>
      </c>
      <c r="Q1150" s="3">
        <v>38.25</v>
      </c>
      <c r="R1150" s="3">
        <v>4.9725000000000001</v>
      </c>
      <c r="S1150" s="3">
        <v>0</v>
      </c>
      <c r="T1150" s="3">
        <v>0</v>
      </c>
      <c r="U1150" s="3">
        <v>43.222499999999997</v>
      </c>
      <c r="V1150" s="3" t="s">
        <v>8646</v>
      </c>
      <c r="W1150" s="3" t="s">
        <v>1</v>
      </c>
    </row>
    <row r="1151" spans="5:23" hidden="1" x14ac:dyDescent="0.25">
      <c r="E1151" t="s">
        <v>8607</v>
      </c>
      <c r="F1151" s="1" t="s">
        <v>8630</v>
      </c>
      <c r="G1151" t="s">
        <v>1</v>
      </c>
      <c r="H1151" t="s">
        <v>0</v>
      </c>
      <c r="I1151" t="s">
        <v>8165</v>
      </c>
      <c r="J1151" t="s">
        <v>8164</v>
      </c>
      <c r="K1151">
        <v>12853</v>
      </c>
      <c r="L1151">
        <v>12853</v>
      </c>
      <c r="M1151" t="s">
        <v>129</v>
      </c>
      <c r="N1151" t="s">
        <v>130</v>
      </c>
      <c r="O1151" s="3">
        <v>0</v>
      </c>
      <c r="P1151" s="3">
        <v>0</v>
      </c>
      <c r="Q1151" s="3">
        <v>115.96</v>
      </c>
      <c r="R1151" s="3">
        <v>15.0748</v>
      </c>
      <c r="S1151" s="3">
        <v>0</v>
      </c>
      <c r="T1151" s="3">
        <v>0</v>
      </c>
      <c r="U1151" s="3">
        <v>131.03479999999999</v>
      </c>
      <c r="W1151" s="3" t="s">
        <v>1</v>
      </c>
    </row>
    <row r="1152" spans="5:23" hidden="1" x14ac:dyDescent="0.25">
      <c r="E1152" t="s">
        <v>8607</v>
      </c>
      <c r="F1152" s="1" t="s">
        <v>8630</v>
      </c>
      <c r="G1152" t="s">
        <v>1</v>
      </c>
      <c r="H1152" t="s">
        <v>0</v>
      </c>
      <c r="I1152" t="s">
        <v>8165</v>
      </c>
      <c r="J1152" t="s">
        <v>8164</v>
      </c>
      <c r="K1152">
        <v>12854</v>
      </c>
      <c r="L1152">
        <v>12854</v>
      </c>
      <c r="M1152" t="s">
        <v>8243</v>
      </c>
      <c r="N1152" t="s">
        <v>8244</v>
      </c>
      <c r="O1152" s="3">
        <v>0</v>
      </c>
      <c r="P1152" s="3">
        <v>0</v>
      </c>
      <c r="Q1152" s="3">
        <v>66.349999999999994</v>
      </c>
      <c r="R1152" s="3">
        <v>8.6254999999999988</v>
      </c>
      <c r="S1152" s="3">
        <v>0</v>
      </c>
      <c r="T1152" s="3">
        <v>0</v>
      </c>
      <c r="U1152" s="3">
        <v>74.975499999999997</v>
      </c>
      <c r="W1152" s="3" t="s">
        <v>1</v>
      </c>
    </row>
    <row r="1153" spans="5:23" hidden="1" x14ac:dyDescent="0.25">
      <c r="E1153" t="s">
        <v>8607</v>
      </c>
      <c r="F1153" s="1" t="s">
        <v>8630</v>
      </c>
      <c r="G1153" t="s">
        <v>1</v>
      </c>
      <c r="H1153" t="s">
        <v>0</v>
      </c>
      <c r="I1153" t="s">
        <v>8165</v>
      </c>
      <c r="J1153" t="s">
        <v>8164</v>
      </c>
      <c r="K1153">
        <v>12855</v>
      </c>
      <c r="L1153">
        <v>12855</v>
      </c>
      <c r="M1153" t="s">
        <v>1273</v>
      </c>
      <c r="N1153" t="s">
        <v>1274</v>
      </c>
      <c r="O1153" s="3">
        <v>0</v>
      </c>
      <c r="P1153" s="3">
        <v>0</v>
      </c>
      <c r="Q1153" s="3">
        <v>260.16000000000003</v>
      </c>
      <c r="R1153" s="3">
        <v>33.820800000000006</v>
      </c>
      <c r="S1153" s="3">
        <v>0</v>
      </c>
      <c r="T1153" s="3">
        <v>0</v>
      </c>
      <c r="U1153" s="3">
        <v>293.98080000000004</v>
      </c>
      <c r="W1153" s="3" t="s">
        <v>1</v>
      </c>
    </row>
    <row r="1154" spans="5:23" hidden="1" x14ac:dyDescent="0.25">
      <c r="E1154" t="s">
        <v>8607</v>
      </c>
      <c r="F1154" s="1" t="s">
        <v>8630</v>
      </c>
      <c r="G1154" t="s">
        <v>1</v>
      </c>
      <c r="H1154" t="s">
        <v>0</v>
      </c>
      <c r="I1154" t="s">
        <v>8165</v>
      </c>
      <c r="J1154" t="s">
        <v>8164</v>
      </c>
      <c r="K1154">
        <v>12856</v>
      </c>
      <c r="L1154">
        <v>12856</v>
      </c>
      <c r="M1154" t="s">
        <v>8224</v>
      </c>
      <c r="N1154" t="s">
        <v>8225</v>
      </c>
      <c r="O1154" s="3">
        <v>0</v>
      </c>
      <c r="P1154" s="3">
        <v>0</v>
      </c>
      <c r="Q1154" s="3">
        <v>122.91</v>
      </c>
      <c r="R1154" s="3">
        <v>15.978300000000001</v>
      </c>
      <c r="S1154" s="3">
        <v>0</v>
      </c>
      <c r="T1154" s="3">
        <v>0</v>
      </c>
      <c r="U1154" s="3">
        <v>138.88829999999999</v>
      </c>
      <c r="W1154" s="3" t="s">
        <v>1</v>
      </c>
    </row>
    <row r="1155" spans="5:23" hidden="1" x14ac:dyDescent="0.25">
      <c r="E1155" t="s">
        <v>8607</v>
      </c>
      <c r="F1155" s="1" t="s">
        <v>8630</v>
      </c>
      <c r="G1155" t="s">
        <v>1</v>
      </c>
      <c r="H1155" t="s">
        <v>0</v>
      </c>
      <c r="I1155" t="s">
        <v>8165</v>
      </c>
      <c r="J1155" t="s">
        <v>8164</v>
      </c>
      <c r="K1155">
        <v>12857</v>
      </c>
      <c r="L1155">
        <v>12857</v>
      </c>
      <c r="M1155" t="s">
        <v>8255</v>
      </c>
      <c r="N1155" t="s">
        <v>8256</v>
      </c>
      <c r="O1155" s="3">
        <v>0</v>
      </c>
      <c r="P1155" s="3">
        <v>0</v>
      </c>
      <c r="Q1155" s="3">
        <v>520</v>
      </c>
      <c r="R1155" s="3">
        <v>67.600000000000009</v>
      </c>
      <c r="S1155" s="3">
        <v>0</v>
      </c>
      <c r="T1155" s="3">
        <v>0</v>
      </c>
      <c r="U1155" s="3">
        <v>587.6</v>
      </c>
      <c r="W1155" s="3" t="s">
        <v>1</v>
      </c>
    </row>
    <row r="1156" spans="5:23" hidden="1" x14ac:dyDescent="0.25">
      <c r="E1156" t="s">
        <v>8607</v>
      </c>
      <c r="F1156" s="1" t="s">
        <v>8630</v>
      </c>
      <c r="G1156" t="s">
        <v>1</v>
      </c>
      <c r="H1156" t="s">
        <v>0</v>
      </c>
      <c r="I1156" t="s">
        <v>8165</v>
      </c>
      <c r="J1156" t="s">
        <v>8164</v>
      </c>
      <c r="K1156">
        <v>12858</v>
      </c>
      <c r="L1156">
        <v>12858</v>
      </c>
      <c r="M1156" t="s">
        <v>8114</v>
      </c>
      <c r="N1156" t="s">
        <v>8115</v>
      </c>
      <c r="O1156" s="3">
        <v>0</v>
      </c>
      <c r="P1156" s="3">
        <v>0</v>
      </c>
      <c r="Q1156" s="3">
        <v>272</v>
      </c>
      <c r="R1156" s="3">
        <v>35.36</v>
      </c>
      <c r="S1156" s="3">
        <v>0</v>
      </c>
      <c r="T1156" s="3">
        <v>0</v>
      </c>
      <c r="U1156" s="3">
        <v>307.36</v>
      </c>
      <c r="W1156" s="3" t="s">
        <v>1</v>
      </c>
    </row>
    <row r="1157" spans="5:23" hidden="1" x14ac:dyDescent="0.25">
      <c r="E1157" t="s">
        <v>8607</v>
      </c>
      <c r="F1157" s="1" t="s">
        <v>8629</v>
      </c>
      <c r="G1157" t="s">
        <v>1</v>
      </c>
      <c r="H1157" t="s">
        <v>0</v>
      </c>
      <c r="I1157" t="s">
        <v>8165</v>
      </c>
      <c r="J1157" t="s">
        <v>8164</v>
      </c>
      <c r="K1157">
        <v>12859</v>
      </c>
      <c r="L1157">
        <v>12859</v>
      </c>
      <c r="M1157" t="s">
        <v>8295</v>
      </c>
      <c r="N1157" t="s">
        <v>935</v>
      </c>
      <c r="O1157" s="3">
        <v>0</v>
      </c>
      <c r="P1157" s="3">
        <v>0</v>
      </c>
      <c r="Q1157" s="3">
        <v>20</v>
      </c>
      <c r="R1157" s="3">
        <v>2.6</v>
      </c>
      <c r="S1157" s="3">
        <v>0</v>
      </c>
      <c r="T1157" s="3">
        <v>0</v>
      </c>
      <c r="U1157" s="3">
        <v>22.6</v>
      </c>
      <c r="W1157" s="3" t="s">
        <v>1</v>
      </c>
    </row>
    <row r="1158" spans="5:23" hidden="1" x14ac:dyDescent="0.25">
      <c r="E1158" t="s">
        <v>8607</v>
      </c>
      <c r="F1158" s="1" t="s">
        <v>8629</v>
      </c>
      <c r="G1158" t="s">
        <v>1</v>
      </c>
      <c r="H1158" t="s">
        <v>0</v>
      </c>
      <c r="I1158" t="s">
        <v>8165</v>
      </c>
      <c r="J1158" t="s">
        <v>8164</v>
      </c>
      <c r="K1158">
        <v>12860</v>
      </c>
      <c r="L1158">
        <v>12860</v>
      </c>
      <c r="M1158" t="s">
        <v>8205</v>
      </c>
      <c r="N1158" t="s">
        <v>8206</v>
      </c>
      <c r="O1158" s="3">
        <v>0</v>
      </c>
      <c r="P1158" s="3">
        <v>0</v>
      </c>
      <c r="Q1158" s="3">
        <v>62.67</v>
      </c>
      <c r="R1158" s="3">
        <v>8.1471</v>
      </c>
      <c r="S1158" s="3">
        <v>0</v>
      </c>
      <c r="T1158" s="3">
        <v>0</v>
      </c>
      <c r="U1158" s="3">
        <v>70.817099999999996</v>
      </c>
      <c r="W1158" s="3" t="s">
        <v>1</v>
      </c>
    </row>
    <row r="1159" spans="5:23" hidden="1" x14ac:dyDescent="0.25">
      <c r="E1159" t="s">
        <v>8607</v>
      </c>
      <c r="F1159" s="1" t="s">
        <v>8629</v>
      </c>
      <c r="G1159" t="s">
        <v>1</v>
      </c>
      <c r="H1159" t="s">
        <v>0</v>
      </c>
      <c r="I1159" t="s">
        <v>8165</v>
      </c>
      <c r="J1159" t="s">
        <v>8164</v>
      </c>
      <c r="K1159">
        <v>12861</v>
      </c>
      <c r="L1159">
        <v>12861</v>
      </c>
      <c r="M1159" t="s">
        <v>8277</v>
      </c>
      <c r="N1159" t="s">
        <v>8278</v>
      </c>
      <c r="O1159" s="3">
        <v>0</v>
      </c>
      <c r="P1159" s="3">
        <v>0</v>
      </c>
      <c r="Q1159" s="3">
        <v>86.4</v>
      </c>
      <c r="R1159" s="3">
        <v>11.232000000000001</v>
      </c>
      <c r="S1159" s="3">
        <v>0</v>
      </c>
      <c r="T1159" s="3">
        <v>0</v>
      </c>
      <c r="U1159" s="3">
        <v>97.632000000000005</v>
      </c>
      <c r="W1159" s="3" t="s">
        <v>1</v>
      </c>
    </row>
    <row r="1160" spans="5:23" hidden="1" x14ac:dyDescent="0.25">
      <c r="E1160" t="s">
        <v>8607</v>
      </c>
      <c r="F1160" s="1" t="s">
        <v>8629</v>
      </c>
      <c r="G1160" t="s">
        <v>1</v>
      </c>
      <c r="H1160" t="s">
        <v>0</v>
      </c>
      <c r="I1160" t="s">
        <v>8165</v>
      </c>
      <c r="J1160" t="s">
        <v>8164</v>
      </c>
      <c r="K1160">
        <v>12862</v>
      </c>
      <c r="L1160">
        <v>12862</v>
      </c>
      <c r="M1160" t="s">
        <v>8255</v>
      </c>
      <c r="N1160" t="s">
        <v>8256</v>
      </c>
      <c r="O1160" s="3">
        <v>0</v>
      </c>
      <c r="P1160" s="3">
        <v>0</v>
      </c>
      <c r="Q1160" s="3">
        <v>35</v>
      </c>
      <c r="R1160" s="3">
        <v>4.55</v>
      </c>
      <c r="S1160" s="3">
        <v>0</v>
      </c>
      <c r="T1160" s="3">
        <v>0</v>
      </c>
      <c r="U1160" s="3">
        <v>39.549999999999997</v>
      </c>
      <c r="W1160" s="3" t="s">
        <v>1</v>
      </c>
    </row>
    <row r="1161" spans="5:23" hidden="1" x14ac:dyDescent="0.25">
      <c r="E1161" t="s">
        <v>8607</v>
      </c>
      <c r="F1161" s="1" t="s">
        <v>8629</v>
      </c>
      <c r="G1161" t="s">
        <v>1</v>
      </c>
      <c r="H1161" t="s">
        <v>0</v>
      </c>
      <c r="I1161" t="s">
        <v>8165</v>
      </c>
      <c r="J1161" t="s">
        <v>8164</v>
      </c>
      <c r="K1161">
        <v>12863</v>
      </c>
      <c r="L1161">
        <v>12863</v>
      </c>
      <c r="M1161" t="s">
        <v>7852</v>
      </c>
      <c r="N1161" t="s">
        <v>7851</v>
      </c>
      <c r="O1161" s="3">
        <v>0</v>
      </c>
      <c r="P1161" s="3">
        <v>0</v>
      </c>
      <c r="Q1161" s="3">
        <v>0</v>
      </c>
      <c r="R1161" s="3">
        <v>0</v>
      </c>
      <c r="S1161" s="3">
        <v>0</v>
      </c>
      <c r="T1161" s="3">
        <v>0</v>
      </c>
      <c r="U1161" s="3">
        <v>0</v>
      </c>
      <c r="W1161" s="3" t="s">
        <v>1</v>
      </c>
    </row>
    <row r="1162" spans="5:23" hidden="1" x14ac:dyDescent="0.25">
      <c r="E1162" t="s">
        <v>8607</v>
      </c>
      <c r="F1162" s="1" t="s">
        <v>8629</v>
      </c>
      <c r="G1162" t="s">
        <v>1</v>
      </c>
      <c r="H1162" t="s">
        <v>0</v>
      </c>
      <c r="I1162" t="s">
        <v>8165</v>
      </c>
      <c r="J1162" t="s">
        <v>8164</v>
      </c>
      <c r="K1162">
        <v>12864</v>
      </c>
      <c r="L1162">
        <v>12864</v>
      </c>
      <c r="N1162" t="s">
        <v>8272</v>
      </c>
      <c r="O1162" s="3">
        <v>0</v>
      </c>
      <c r="P1162" s="3">
        <v>0</v>
      </c>
      <c r="Q1162" s="3">
        <v>38.5</v>
      </c>
      <c r="R1162" s="3">
        <v>5.0049999999999999</v>
      </c>
      <c r="S1162" s="3">
        <v>0</v>
      </c>
      <c r="T1162" s="3">
        <v>0</v>
      </c>
      <c r="U1162" s="3">
        <v>43.505000000000003</v>
      </c>
      <c r="V1162" s="3" t="s">
        <v>8657</v>
      </c>
      <c r="W1162" s="3" t="s">
        <v>1</v>
      </c>
    </row>
    <row r="1163" spans="5:23" hidden="1" x14ac:dyDescent="0.25">
      <c r="E1163" t="s">
        <v>8607</v>
      </c>
      <c r="F1163" s="1" t="s">
        <v>8629</v>
      </c>
      <c r="G1163" t="s">
        <v>1</v>
      </c>
      <c r="H1163" t="s">
        <v>0</v>
      </c>
      <c r="I1163" t="s">
        <v>8165</v>
      </c>
      <c r="J1163" t="s">
        <v>8164</v>
      </c>
      <c r="K1163">
        <v>12865</v>
      </c>
      <c r="L1163">
        <v>12865</v>
      </c>
      <c r="M1163" t="s">
        <v>7852</v>
      </c>
      <c r="N1163" t="s">
        <v>7851</v>
      </c>
      <c r="O1163" s="3">
        <v>0</v>
      </c>
      <c r="P1163" s="3">
        <v>0</v>
      </c>
      <c r="Q1163" s="3">
        <v>0</v>
      </c>
      <c r="R1163" s="3">
        <v>0</v>
      </c>
      <c r="S1163" s="3">
        <v>0</v>
      </c>
      <c r="T1163" s="3">
        <v>0</v>
      </c>
      <c r="U1163" s="3">
        <v>0</v>
      </c>
      <c r="W1163" s="3" t="s">
        <v>1</v>
      </c>
    </row>
    <row r="1164" spans="5:23" hidden="1" x14ac:dyDescent="0.25">
      <c r="E1164" t="s">
        <v>8607</v>
      </c>
      <c r="F1164" s="1" t="s">
        <v>8629</v>
      </c>
      <c r="G1164" t="s">
        <v>1</v>
      </c>
      <c r="H1164" t="s">
        <v>0</v>
      </c>
      <c r="I1164" t="s">
        <v>8165</v>
      </c>
      <c r="J1164" t="s">
        <v>8164</v>
      </c>
      <c r="K1164">
        <v>12866</v>
      </c>
      <c r="L1164">
        <v>12866</v>
      </c>
      <c r="N1164" t="s">
        <v>8208</v>
      </c>
      <c r="O1164" s="3">
        <v>0</v>
      </c>
      <c r="P1164" s="3">
        <v>0</v>
      </c>
      <c r="Q1164" s="3">
        <v>24.78</v>
      </c>
      <c r="R1164" s="3">
        <v>3.2214</v>
      </c>
      <c r="S1164" s="3">
        <v>0</v>
      </c>
      <c r="T1164" s="3">
        <v>0</v>
      </c>
      <c r="U1164" s="3">
        <v>28.0014</v>
      </c>
      <c r="V1164" s="3" t="s">
        <v>8650</v>
      </c>
      <c r="W1164" s="3" t="s">
        <v>1</v>
      </c>
    </row>
    <row r="1165" spans="5:23" hidden="1" x14ac:dyDescent="0.25">
      <c r="E1165" t="s">
        <v>8607</v>
      </c>
      <c r="F1165" s="1" t="s">
        <v>8629</v>
      </c>
      <c r="G1165" t="s">
        <v>1</v>
      </c>
      <c r="H1165" t="s">
        <v>0</v>
      </c>
      <c r="I1165" t="s">
        <v>8165</v>
      </c>
      <c r="J1165" t="s">
        <v>8164</v>
      </c>
      <c r="K1165">
        <v>12867</v>
      </c>
      <c r="L1165">
        <v>12867</v>
      </c>
      <c r="M1165" t="s">
        <v>8306</v>
      </c>
      <c r="N1165" t="s">
        <v>8307</v>
      </c>
      <c r="O1165" s="3">
        <v>0</v>
      </c>
      <c r="P1165" s="3">
        <v>0</v>
      </c>
      <c r="Q1165" s="3">
        <v>8.34</v>
      </c>
      <c r="R1165" s="3">
        <v>1.0842000000000001</v>
      </c>
      <c r="S1165" s="3">
        <v>0</v>
      </c>
      <c r="T1165" s="3">
        <v>0</v>
      </c>
      <c r="U1165" s="3">
        <v>9.424199999999999</v>
      </c>
      <c r="W1165" s="3" t="s">
        <v>1</v>
      </c>
    </row>
    <row r="1166" spans="5:23" hidden="1" x14ac:dyDescent="0.25">
      <c r="E1166" t="s">
        <v>8607</v>
      </c>
      <c r="F1166" s="1" t="s">
        <v>8629</v>
      </c>
      <c r="G1166" t="s">
        <v>1</v>
      </c>
      <c r="H1166" t="s">
        <v>0</v>
      </c>
      <c r="I1166" t="s">
        <v>8165</v>
      </c>
      <c r="J1166" t="s">
        <v>8164</v>
      </c>
      <c r="K1166">
        <v>12868</v>
      </c>
      <c r="L1166">
        <v>12868</v>
      </c>
      <c r="M1166" t="s">
        <v>7852</v>
      </c>
      <c r="N1166" t="s">
        <v>7851</v>
      </c>
      <c r="O1166" s="3">
        <v>0</v>
      </c>
      <c r="P1166" s="3">
        <v>0</v>
      </c>
      <c r="Q1166" s="3">
        <v>0</v>
      </c>
      <c r="R1166" s="3">
        <v>0</v>
      </c>
      <c r="S1166" s="3">
        <v>0</v>
      </c>
      <c r="T1166" s="3">
        <v>0</v>
      </c>
      <c r="U1166" s="3">
        <v>0</v>
      </c>
      <c r="W1166" s="3" t="s">
        <v>1</v>
      </c>
    </row>
    <row r="1167" spans="5:23" hidden="1" x14ac:dyDescent="0.25">
      <c r="E1167" t="s">
        <v>8607</v>
      </c>
      <c r="F1167" s="1" t="s">
        <v>8629</v>
      </c>
      <c r="G1167" t="s">
        <v>1</v>
      </c>
      <c r="H1167" t="s">
        <v>0</v>
      </c>
      <c r="I1167" t="s">
        <v>8165</v>
      </c>
      <c r="J1167" t="s">
        <v>8164</v>
      </c>
      <c r="K1167">
        <v>12869</v>
      </c>
      <c r="L1167">
        <v>12869</v>
      </c>
      <c r="M1167" t="s">
        <v>8277</v>
      </c>
      <c r="N1167" t="s">
        <v>8278</v>
      </c>
      <c r="O1167" s="3">
        <v>0</v>
      </c>
      <c r="P1167" s="3">
        <v>0</v>
      </c>
      <c r="Q1167" s="3">
        <v>45.44</v>
      </c>
      <c r="R1167" s="3">
        <v>5.9071999999999996</v>
      </c>
      <c r="S1167" s="3">
        <v>0</v>
      </c>
      <c r="T1167" s="3">
        <v>0</v>
      </c>
      <c r="U1167" s="3">
        <v>51.347200000000001</v>
      </c>
      <c r="W1167" s="3" t="s">
        <v>1</v>
      </c>
    </row>
    <row r="1168" spans="5:23" hidden="1" x14ac:dyDescent="0.25">
      <c r="E1168" t="s">
        <v>8607</v>
      </c>
      <c r="F1168" s="1" t="s">
        <v>8629</v>
      </c>
      <c r="G1168" t="s">
        <v>1</v>
      </c>
      <c r="H1168" t="s">
        <v>0</v>
      </c>
      <c r="I1168" t="s">
        <v>8165</v>
      </c>
      <c r="J1168" t="s">
        <v>8164</v>
      </c>
      <c r="K1168">
        <v>12870</v>
      </c>
      <c r="L1168">
        <v>12870</v>
      </c>
      <c r="M1168" t="s">
        <v>8277</v>
      </c>
      <c r="N1168" t="s">
        <v>8278</v>
      </c>
      <c r="O1168" s="3">
        <v>0</v>
      </c>
      <c r="P1168" s="3">
        <v>0</v>
      </c>
      <c r="Q1168" s="3">
        <v>151.54</v>
      </c>
      <c r="R1168" s="3">
        <v>19.700199999999999</v>
      </c>
      <c r="S1168" s="3">
        <v>0</v>
      </c>
      <c r="T1168" s="3">
        <v>0</v>
      </c>
      <c r="U1168" s="3">
        <v>171.24019999999999</v>
      </c>
      <c r="W1168" s="3" t="s">
        <v>1</v>
      </c>
    </row>
    <row r="1169" spans="5:23" hidden="1" x14ac:dyDescent="0.25">
      <c r="E1169" t="s">
        <v>8607</v>
      </c>
      <c r="F1169" s="1" t="s">
        <v>8629</v>
      </c>
      <c r="G1169" t="s">
        <v>1</v>
      </c>
      <c r="H1169" t="s">
        <v>0</v>
      </c>
      <c r="I1169" t="s">
        <v>8165</v>
      </c>
      <c r="J1169" t="s">
        <v>8164</v>
      </c>
      <c r="K1169">
        <v>12871</v>
      </c>
      <c r="L1169">
        <v>12871</v>
      </c>
      <c r="M1169" t="s">
        <v>8283</v>
      </c>
      <c r="N1169" t="s">
        <v>8284</v>
      </c>
      <c r="O1169" s="3">
        <v>0</v>
      </c>
      <c r="P1169" s="3">
        <v>0</v>
      </c>
      <c r="Q1169" s="3">
        <v>243.37</v>
      </c>
      <c r="R1169" s="3">
        <v>31.638100000000001</v>
      </c>
      <c r="S1169" s="3">
        <v>0</v>
      </c>
      <c r="T1169" s="3">
        <v>0</v>
      </c>
      <c r="U1169" s="3">
        <v>275.00810000000001</v>
      </c>
      <c r="W1169" s="3" t="s">
        <v>1</v>
      </c>
    </row>
    <row r="1170" spans="5:23" hidden="1" x14ac:dyDescent="0.25">
      <c r="E1170" t="s">
        <v>8607</v>
      </c>
      <c r="F1170" s="1" t="s">
        <v>8629</v>
      </c>
      <c r="G1170" t="s">
        <v>1</v>
      </c>
      <c r="H1170" t="s">
        <v>0</v>
      </c>
      <c r="I1170" t="s">
        <v>8165</v>
      </c>
      <c r="J1170" t="s">
        <v>8164</v>
      </c>
      <c r="K1170">
        <v>12872</v>
      </c>
      <c r="L1170">
        <v>12872</v>
      </c>
      <c r="M1170" t="s">
        <v>8249</v>
      </c>
      <c r="N1170" t="s">
        <v>8250</v>
      </c>
      <c r="O1170" s="3">
        <v>0</v>
      </c>
      <c r="P1170" s="3">
        <v>0</v>
      </c>
      <c r="Q1170" s="3">
        <v>993.36</v>
      </c>
      <c r="R1170" s="3">
        <v>129.13679999999999</v>
      </c>
      <c r="S1170" s="3">
        <v>0</v>
      </c>
      <c r="T1170" s="3">
        <v>0</v>
      </c>
      <c r="U1170" s="3">
        <v>1122.4967999999999</v>
      </c>
      <c r="W1170" s="3" t="s">
        <v>1</v>
      </c>
    </row>
    <row r="1171" spans="5:23" hidden="1" x14ac:dyDescent="0.25">
      <c r="E1171" t="s">
        <v>8607</v>
      </c>
      <c r="F1171" s="1" t="s">
        <v>8629</v>
      </c>
      <c r="G1171" t="s">
        <v>1</v>
      </c>
      <c r="H1171" t="s">
        <v>0</v>
      </c>
      <c r="I1171" t="s">
        <v>8165</v>
      </c>
      <c r="J1171" t="s">
        <v>8164</v>
      </c>
      <c r="K1171">
        <v>12873</v>
      </c>
      <c r="L1171">
        <v>12873</v>
      </c>
      <c r="M1171" t="s">
        <v>7869</v>
      </c>
      <c r="N1171" t="s">
        <v>7870</v>
      </c>
      <c r="O1171" s="3">
        <v>0</v>
      </c>
      <c r="P1171" s="3">
        <v>0</v>
      </c>
      <c r="Q1171" s="3">
        <v>310.85000000000002</v>
      </c>
      <c r="R1171" s="3">
        <v>40.410500000000006</v>
      </c>
      <c r="S1171" s="3">
        <v>0</v>
      </c>
      <c r="T1171" s="3">
        <v>0</v>
      </c>
      <c r="U1171" s="3">
        <v>351.26050000000004</v>
      </c>
      <c r="W1171" s="3" t="s">
        <v>1</v>
      </c>
    </row>
    <row r="1172" spans="5:23" hidden="1" x14ac:dyDescent="0.25">
      <c r="E1172" t="s">
        <v>8607</v>
      </c>
      <c r="F1172" s="1" t="s">
        <v>8629</v>
      </c>
      <c r="G1172" t="s">
        <v>1</v>
      </c>
      <c r="H1172" t="s">
        <v>0</v>
      </c>
      <c r="I1172" t="s">
        <v>8165</v>
      </c>
      <c r="J1172" t="s">
        <v>8164</v>
      </c>
      <c r="K1172">
        <v>12874</v>
      </c>
      <c r="L1172">
        <v>12874</v>
      </c>
      <c r="M1172" t="s">
        <v>238</v>
      </c>
      <c r="N1172" t="s">
        <v>239</v>
      </c>
      <c r="O1172" s="3">
        <v>0</v>
      </c>
      <c r="P1172" s="3">
        <v>0</v>
      </c>
      <c r="Q1172" s="3">
        <v>34.1</v>
      </c>
      <c r="R1172" s="3">
        <v>4.4330000000000007</v>
      </c>
      <c r="S1172" s="3">
        <v>0</v>
      </c>
      <c r="T1172" s="3">
        <v>0</v>
      </c>
      <c r="U1172" s="3">
        <v>38.533000000000001</v>
      </c>
      <c r="W1172" s="3" t="s">
        <v>1</v>
      </c>
    </row>
    <row r="1173" spans="5:23" hidden="1" x14ac:dyDescent="0.25">
      <c r="E1173" t="s">
        <v>8607</v>
      </c>
      <c r="F1173" s="1" t="s">
        <v>8629</v>
      </c>
      <c r="G1173" t="s">
        <v>1</v>
      </c>
      <c r="H1173" t="s">
        <v>0</v>
      </c>
      <c r="I1173" t="s">
        <v>8165</v>
      </c>
      <c r="J1173" t="s">
        <v>8164</v>
      </c>
      <c r="K1173">
        <v>12875</v>
      </c>
      <c r="L1173">
        <v>12875</v>
      </c>
      <c r="M1173" t="s">
        <v>8190</v>
      </c>
      <c r="N1173" t="s">
        <v>8191</v>
      </c>
      <c r="O1173" s="3">
        <v>0</v>
      </c>
      <c r="P1173" s="3">
        <v>0</v>
      </c>
      <c r="Q1173" s="3">
        <v>154.87</v>
      </c>
      <c r="R1173" s="3">
        <v>20.133100000000002</v>
      </c>
      <c r="S1173" s="3">
        <v>0</v>
      </c>
      <c r="T1173" s="3">
        <v>0</v>
      </c>
      <c r="U1173" s="3">
        <v>175.00310000000002</v>
      </c>
      <c r="W1173" s="3" t="s">
        <v>1</v>
      </c>
    </row>
    <row r="1174" spans="5:23" hidden="1" x14ac:dyDescent="0.25">
      <c r="E1174" t="s">
        <v>8607</v>
      </c>
      <c r="F1174" s="1" t="s">
        <v>8629</v>
      </c>
      <c r="G1174" t="s">
        <v>1</v>
      </c>
      <c r="H1174" t="s">
        <v>0</v>
      </c>
      <c r="I1174" t="s">
        <v>8165</v>
      </c>
      <c r="J1174" t="s">
        <v>8164</v>
      </c>
      <c r="K1174">
        <v>12876</v>
      </c>
      <c r="L1174">
        <v>12876</v>
      </c>
      <c r="M1174" t="s">
        <v>8655</v>
      </c>
      <c r="N1174" t="s">
        <v>8656</v>
      </c>
      <c r="O1174" s="3">
        <v>0</v>
      </c>
      <c r="P1174" s="3">
        <v>0</v>
      </c>
      <c r="Q1174" s="3">
        <v>78</v>
      </c>
      <c r="R1174" s="3">
        <v>10.14</v>
      </c>
      <c r="S1174" s="3">
        <v>0</v>
      </c>
      <c r="T1174" s="3">
        <v>0</v>
      </c>
      <c r="U1174" s="3">
        <v>88.14</v>
      </c>
      <c r="W1174" s="3" t="s">
        <v>1</v>
      </c>
    </row>
    <row r="1175" spans="5:23" hidden="1" x14ac:dyDescent="0.25">
      <c r="E1175" t="s">
        <v>8607</v>
      </c>
      <c r="F1175" s="1" t="s">
        <v>8629</v>
      </c>
      <c r="G1175" t="s">
        <v>1</v>
      </c>
      <c r="H1175" t="s">
        <v>0</v>
      </c>
      <c r="I1175" t="s">
        <v>8165</v>
      </c>
      <c r="J1175" t="s">
        <v>8164</v>
      </c>
      <c r="K1175">
        <v>12877</v>
      </c>
      <c r="L1175">
        <v>12877</v>
      </c>
      <c r="M1175" t="s">
        <v>8547</v>
      </c>
      <c r="N1175" t="s">
        <v>8548</v>
      </c>
      <c r="O1175" s="3">
        <v>0</v>
      </c>
      <c r="P1175" s="3">
        <v>0</v>
      </c>
      <c r="Q1175" s="3">
        <v>61.5</v>
      </c>
      <c r="R1175" s="3">
        <v>7.9950000000000001</v>
      </c>
      <c r="S1175" s="3">
        <v>0</v>
      </c>
      <c r="T1175" s="3">
        <v>0</v>
      </c>
      <c r="U1175" s="3">
        <v>69.495000000000005</v>
      </c>
      <c r="W1175" s="3" t="s">
        <v>1</v>
      </c>
    </row>
    <row r="1176" spans="5:23" hidden="1" x14ac:dyDescent="0.25">
      <c r="E1176" t="s">
        <v>8607</v>
      </c>
      <c r="F1176" s="1" t="s">
        <v>8654</v>
      </c>
      <c r="G1176" t="s">
        <v>1</v>
      </c>
      <c r="H1176" t="s">
        <v>0</v>
      </c>
      <c r="I1176" t="s">
        <v>8165</v>
      </c>
      <c r="J1176" t="s">
        <v>8164</v>
      </c>
      <c r="K1176">
        <v>12878</v>
      </c>
      <c r="L1176">
        <v>12878</v>
      </c>
      <c r="M1176" t="s">
        <v>8226</v>
      </c>
      <c r="N1176" t="s">
        <v>8227</v>
      </c>
      <c r="O1176" s="3">
        <v>0</v>
      </c>
      <c r="P1176" s="3">
        <v>0</v>
      </c>
      <c r="Q1176" s="3">
        <v>360.6</v>
      </c>
      <c r="R1176" s="3">
        <v>46.878000000000007</v>
      </c>
      <c r="S1176" s="3">
        <v>0</v>
      </c>
      <c r="T1176" s="3">
        <v>0</v>
      </c>
      <c r="U1176" s="3">
        <v>407.47800000000001</v>
      </c>
      <c r="W1176" s="3" t="s">
        <v>1</v>
      </c>
    </row>
    <row r="1177" spans="5:23" hidden="1" x14ac:dyDescent="0.25">
      <c r="E1177" t="s">
        <v>8607</v>
      </c>
      <c r="F1177" s="1" t="s">
        <v>8628</v>
      </c>
      <c r="G1177" t="s">
        <v>1</v>
      </c>
      <c r="H1177" t="s">
        <v>0</v>
      </c>
      <c r="I1177" t="s">
        <v>8165</v>
      </c>
      <c r="J1177" t="s">
        <v>8164</v>
      </c>
      <c r="K1177">
        <v>12879</v>
      </c>
      <c r="L1177">
        <v>12879</v>
      </c>
      <c r="M1177" t="s">
        <v>7852</v>
      </c>
      <c r="N1177" t="s">
        <v>7851</v>
      </c>
      <c r="O1177" s="3">
        <v>0</v>
      </c>
      <c r="P1177" s="3">
        <v>0</v>
      </c>
      <c r="Q1177" s="3">
        <v>0</v>
      </c>
      <c r="R1177" s="3">
        <v>0</v>
      </c>
      <c r="S1177" s="3">
        <v>0</v>
      </c>
      <c r="T1177" s="3">
        <v>0</v>
      </c>
      <c r="U1177" s="3">
        <v>0</v>
      </c>
      <c r="W1177" s="3" t="s">
        <v>1</v>
      </c>
    </row>
    <row r="1178" spans="5:23" hidden="1" x14ac:dyDescent="0.25">
      <c r="E1178" t="s">
        <v>8607</v>
      </c>
      <c r="F1178" s="1" t="s">
        <v>8628</v>
      </c>
      <c r="G1178" t="s">
        <v>1</v>
      </c>
      <c r="H1178" t="s">
        <v>0</v>
      </c>
      <c r="I1178" t="s">
        <v>8165</v>
      </c>
      <c r="J1178" t="s">
        <v>8164</v>
      </c>
      <c r="K1178">
        <v>12880</v>
      </c>
      <c r="L1178">
        <v>12880</v>
      </c>
      <c r="M1178" t="s">
        <v>8652</v>
      </c>
      <c r="N1178" t="s">
        <v>8653</v>
      </c>
      <c r="O1178" s="3">
        <v>0</v>
      </c>
      <c r="P1178" s="3">
        <v>0</v>
      </c>
      <c r="Q1178" s="3">
        <v>442.5</v>
      </c>
      <c r="R1178" s="3">
        <v>57.524999999999999</v>
      </c>
      <c r="S1178" s="3">
        <v>0</v>
      </c>
      <c r="T1178" s="3">
        <v>0</v>
      </c>
      <c r="U1178" s="3">
        <v>500.02499999999998</v>
      </c>
      <c r="W1178" s="3" t="s">
        <v>1</v>
      </c>
    </row>
    <row r="1179" spans="5:23" hidden="1" x14ac:dyDescent="0.25">
      <c r="E1179" t="s">
        <v>8607</v>
      </c>
      <c r="F1179" s="1" t="s">
        <v>8628</v>
      </c>
      <c r="G1179" t="s">
        <v>1</v>
      </c>
      <c r="H1179" t="s">
        <v>0</v>
      </c>
      <c r="I1179" t="s">
        <v>8165</v>
      </c>
      <c r="J1179" t="s">
        <v>8164</v>
      </c>
      <c r="K1179">
        <v>12881</v>
      </c>
      <c r="L1179">
        <v>12881</v>
      </c>
      <c r="N1179" t="s">
        <v>8454</v>
      </c>
      <c r="O1179" s="3">
        <v>0</v>
      </c>
      <c r="P1179" s="3">
        <v>0</v>
      </c>
      <c r="Q1179" s="3">
        <v>29</v>
      </c>
      <c r="R1179" s="3">
        <v>3.77</v>
      </c>
      <c r="S1179" s="3">
        <v>0</v>
      </c>
      <c r="T1179" s="3">
        <v>0</v>
      </c>
      <c r="U1179" s="3">
        <v>32.770000000000003</v>
      </c>
      <c r="V1179" s="3" t="s">
        <v>8651</v>
      </c>
      <c r="W1179" s="3" t="s">
        <v>1</v>
      </c>
    </row>
    <row r="1180" spans="5:23" hidden="1" x14ac:dyDescent="0.25">
      <c r="E1180" t="s">
        <v>8607</v>
      </c>
      <c r="F1180" s="1" t="s">
        <v>8628</v>
      </c>
      <c r="G1180" t="s">
        <v>1</v>
      </c>
      <c r="H1180" t="s">
        <v>0</v>
      </c>
      <c r="I1180" t="s">
        <v>8165</v>
      </c>
      <c r="J1180" t="s">
        <v>8164</v>
      </c>
      <c r="K1180">
        <v>12882</v>
      </c>
      <c r="L1180">
        <v>12882</v>
      </c>
      <c r="N1180" t="s">
        <v>8208</v>
      </c>
      <c r="O1180" s="3">
        <v>0</v>
      </c>
      <c r="P1180" s="3">
        <v>0</v>
      </c>
      <c r="Q1180" s="3">
        <v>113.95</v>
      </c>
      <c r="R1180" s="3">
        <v>14.813500000000001</v>
      </c>
      <c r="S1180" s="3">
        <v>0</v>
      </c>
      <c r="T1180" s="3">
        <v>0</v>
      </c>
      <c r="U1180" s="3">
        <v>128.76349999999999</v>
      </c>
      <c r="V1180" s="3" t="s">
        <v>8650</v>
      </c>
      <c r="W1180" s="3" t="s">
        <v>1</v>
      </c>
    </row>
    <row r="1181" spans="5:23" hidden="1" x14ac:dyDescent="0.25">
      <c r="E1181" t="s">
        <v>8607</v>
      </c>
      <c r="F1181" s="1" t="s">
        <v>8628</v>
      </c>
      <c r="G1181" t="s">
        <v>1</v>
      </c>
      <c r="H1181" t="s">
        <v>0</v>
      </c>
      <c r="I1181" t="s">
        <v>8165</v>
      </c>
      <c r="J1181" t="s">
        <v>8164</v>
      </c>
      <c r="K1181">
        <v>12883</v>
      </c>
      <c r="L1181">
        <v>12883</v>
      </c>
      <c r="M1181" t="s">
        <v>8234</v>
      </c>
      <c r="N1181" t="s">
        <v>8235</v>
      </c>
      <c r="O1181" s="3">
        <v>0</v>
      </c>
      <c r="P1181" s="3">
        <v>0</v>
      </c>
      <c r="Q1181" s="3">
        <v>209.9</v>
      </c>
      <c r="R1181" s="3">
        <v>27.287000000000003</v>
      </c>
      <c r="S1181" s="3">
        <v>0</v>
      </c>
      <c r="T1181" s="3">
        <v>0</v>
      </c>
      <c r="U1181" s="3">
        <v>237.18700000000001</v>
      </c>
      <c r="W1181" s="3" t="s">
        <v>1</v>
      </c>
    </row>
    <row r="1182" spans="5:23" hidden="1" x14ac:dyDescent="0.25">
      <c r="E1182" t="s">
        <v>8607</v>
      </c>
      <c r="F1182" s="1" t="s">
        <v>8628</v>
      </c>
      <c r="G1182" t="s">
        <v>1</v>
      </c>
      <c r="H1182" t="s">
        <v>0</v>
      </c>
      <c r="I1182" t="s">
        <v>8165</v>
      </c>
      <c r="J1182" t="s">
        <v>8164</v>
      </c>
      <c r="K1182">
        <v>12884</v>
      </c>
      <c r="L1182">
        <v>12884</v>
      </c>
      <c r="N1182" t="s">
        <v>8208</v>
      </c>
      <c r="O1182" s="3">
        <v>0</v>
      </c>
      <c r="P1182" s="3">
        <v>0</v>
      </c>
      <c r="Q1182" s="3">
        <v>25.5</v>
      </c>
      <c r="R1182" s="3">
        <v>3.3149999999999999</v>
      </c>
      <c r="S1182" s="3">
        <v>0</v>
      </c>
      <c r="T1182" s="3">
        <v>0</v>
      </c>
      <c r="U1182" s="3">
        <v>28.815000000000001</v>
      </c>
      <c r="V1182" s="3" t="s">
        <v>8650</v>
      </c>
      <c r="W1182" s="3" t="s">
        <v>1</v>
      </c>
    </row>
    <row r="1183" spans="5:23" hidden="1" x14ac:dyDescent="0.25">
      <c r="E1183" t="s">
        <v>8607</v>
      </c>
      <c r="F1183" s="1" t="s">
        <v>8628</v>
      </c>
      <c r="G1183" t="s">
        <v>1</v>
      </c>
      <c r="H1183" t="s">
        <v>0</v>
      </c>
      <c r="I1183" t="s">
        <v>8165</v>
      </c>
      <c r="J1183" t="s">
        <v>8164</v>
      </c>
      <c r="K1183">
        <v>12885</v>
      </c>
      <c r="L1183">
        <v>12885</v>
      </c>
      <c r="M1183" t="s">
        <v>8214</v>
      </c>
      <c r="N1183" t="s">
        <v>8215</v>
      </c>
      <c r="O1183" s="3">
        <v>0</v>
      </c>
      <c r="P1183" s="3">
        <v>0</v>
      </c>
      <c r="Q1183" s="3">
        <v>119.55</v>
      </c>
      <c r="R1183" s="3">
        <v>15.541500000000001</v>
      </c>
      <c r="S1183" s="3">
        <v>0</v>
      </c>
      <c r="T1183" s="3">
        <v>0</v>
      </c>
      <c r="U1183" s="3">
        <v>135.0915</v>
      </c>
      <c r="W1183" s="3" t="s">
        <v>1</v>
      </c>
    </row>
    <row r="1184" spans="5:23" hidden="1" x14ac:dyDescent="0.25">
      <c r="E1184" t="s">
        <v>8607</v>
      </c>
      <c r="F1184" s="1" t="s">
        <v>8628</v>
      </c>
      <c r="G1184" t="s">
        <v>1</v>
      </c>
      <c r="H1184" t="s">
        <v>0</v>
      </c>
      <c r="I1184" t="s">
        <v>8165</v>
      </c>
      <c r="J1184" t="s">
        <v>8164</v>
      </c>
      <c r="K1184">
        <v>12886</v>
      </c>
      <c r="L1184">
        <v>12886</v>
      </c>
      <c r="M1184" t="s">
        <v>7852</v>
      </c>
      <c r="N1184" t="s">
        <v>7851</v>
      </c>
      <c r="O1184" s="3">
        <v>0</v>
      </c>
      <c r="P1184" s="3">
        <v>0</v>
      </c>
      <c r="Q1184" s="3">
        <v>0</v>
      </c>
      <c r="R1184" s="3">
        <v>0</v>
      </c>
      <c r="S1184" s="3">
        <v>0</v>
      </c>
      <c r="T1184" s="3">
        <v>0</v>
      </c>
      <c r="U1184" s="3">
        <v>0</v>
      </c>
      <c r="W1184" s="3" t="s">
        <v>1</v>
      </c>
    </row>
    <row r="1185" spans="5:23" hidden="1" x14ac:dyDescent="0.25">
      <c r="E1185" t="s">
        <v>8607</v>
      </c>
      <c r="F1185" s="1" t="s">
        <v>8628</v>
      </c>
      <c r="G1185" t="s">
        <v>1</v>
      </c>
      <c r="H1185" t="s">
        <v>0</v>
      </c>
      <c r="I1185" t="s">
        <v>8165</v>
      </c>
      <c r="J1185" t="s">
        <v>8164</v>
      </c>
      <c r="K1185">
        <v>12887</v>
      </c>
      <c r="L1185">
        <v>12887</v>
      </c>
      <c r="M1185" t="s">
        <v>1793</v>
      </c>
      <c r="N1185" t="s">
        <v>1794</v>
      </c>
      <c r="O1185" s="3">
        <v>0</v>
      </c>
      <c r="P1185" s="3">
        <v>0</v>
      </c>
      <c r="Q1185" s="3">
        <v>22.5</v>
      </c>
      <c r="R1185" s="3">
        <v>2.9250000000000003</v>
      </c>
      <c r="S1185" s="3">
        <v>0</v>
      </c>
      <c r="T1185" s="3">
        <v>0</v>
      </c>
      <c r="U1185" s="3">
        <v>25.425000000000001</v>
      </c>
      <c r="W1185" s="3" t="s">
        <v>1</v>
      </c>
    </row>
    <row r="1186" spans="5:23" hidden="1" x14ac:dyDescent="0.25">
      <c r="E1186" t="s">
        <v>8607</v>
      </c>
      <c r="F1186" s="1" t="s">
        <v>8627</v>
      </c>
      <c r="G1186" t="s">
        <v>1</v>
      </c>
      <c r="H1186" t="s">
        <v>0</v>
      </c>
      <c r="I1186" t="s">
        <v>8165</v>
      </c>
      <c r="J1186" t="s">
        <v>8164</v>
      </c>
      <c r="K1186">
        <v>12888</v>
      </c>
      <c r="L1186">
        <v>12888</v>
      </c>
      <c r="N1186" t="s">
        <v>8169</v>
      </c>
      <c r="O1186" s="3">
        <v>0</v>
      </c>
      <c r="P1186" s="3">
        <v>0</v>
      </c>
      <c r="Q1186" s="3">
        <v>223.25</v>
      </c>
      <c r="R1186" s="3">
        <v>29.022500000000001</v>
      </c>
      <c r="S1186" s="3">
        <v>0</v>
      </c>
      <c r="T1186" s="3">
        <v>0</v>
      </c>
      <c r="U1186" s="3">
        <v>252.27250000000001</v>
      </c>
      <c r="V1186" s="3" t="s">
        <v>8646</v>
      </c>
      <c r="W1186" s="3" t="s">
        <v>1</v>
      </c>
    </row>
    <row r="1187" spans="5:23" hidden="1" x14ac:dyDescent="0.25">
      <c r="E1187" t="s">
        <v>8607</v>
      </c>
      <c r="F1187" s="1" t="s">
        <v>8627</v>
      </c>
      <c r="G1187" t="s">
        <v>1</v>
      </c>
      <c r="H1187" t="s">
        <v>0</v>
      </c>
      <c r="I1187" t="s">
        <v>8165</v>
      </c>
      <c r="J1187" t="s">
        <v>8164</v>
      </c>
      <c r="K1187">
        <v>12889</v>
      </c>
      <c r="L1187">
        <v>12889</v>
      </c>
      <c r="N1187" t="s">
        <v>8208</v>
      </c>
      <c r="O1187" s="3">
        <v>0</v>
      </c>
      <c r="P1187" s="3">
        <v>0</v>
      </c>
      <c r="Q1187" s="3">
        <v>57.44</v>
      </c>
      <c r="R1187" s="3">
        <v>7.4672000000000001</v>
      </c>
      <c r="S1187" s="3">
        <v>0</v>
      </c>
      <c r="T1187" s="3">
        <v>0</v>
      </c>
      <c r="U1187" s="3">
        <v>64.907200000000003</v>
      </c>
      <c r="V1187" t="s">
        <v>8650</v>
      </c>
      <c r="W1187" s="3" t="s">
        <v>1</v>
      </c>
    </row>
    <row r="1188" spans="5:23" hidden="1" x14ac:dyDescent="0.25">
      <c r="E1188" t="s">
        <v>8607</v>
      </c>
      <c r="F1188" s="1" t="s">
        <v>8627</v>
      </c>
      <c r="G1188" t="s">
        <v>1</v>
      </c>
      <c r="H1188" t="s">
        <v>0</v>
      </c>
      <c r="I1188" t="s">
        <v>8165</v>
      </c>
      <c r="J1188" t="s">
        <v>8164</v>
      </c>
      <c r="K1188">
        <v>12890</v>
      </c>
      <c r="L1188">
        <v>12890</v>
      </c>
      <c r="M1188" t="s">
        <v>8166</v>
      </c>
      <c r="N1188" t="s">
        <v>8167</v>
      </c>
      <c r="O1188" s="3">
        <v>0</v>
      </c>
      <c r="P1188" s="3">
        <v>0</v>
      </c>
      <c r="Q1188" s="3">
        <v>188.86</v>
      </c>
      <c r="R1188" s="3">
        <v>24.551800000000004</v>
      </c>
      <c r="S1188" s="3">
        <v>0</v>
      </c>
      <c r="T1188" s="3">
        <v>0</v>
      </c>
      <c r="U1188" s="3">
        <v>213.41180000000003</v>
      </c>
      <c r="W1188" s="3" t="s">
        <v>1</v>
      </c>
    </row>
    <row r="1189" spans="5:23" hidden="1" x14ac:dyDescent="0.25">
      <c r="E1189" t="s">
        <v>8607</v>
      </c>
      <c r="F1189" s="1" t="s">
        <v>8627</v>
      </c>
      <c r="G1189" t="s">
        <v>1</v>
      </c>
      <c r="H1189" t="s">
        <v>0</v>
      </c>
      <c r="I1189" t="s">
        <v>8165</v>
      </c>
      <c r="J1189" t="s">
        <v>8164</v>
      </c>
      <c r="K1189">
        <v>12891</v>
      </c>
      <c r="L1189">
        <v>12891</v>
      </c>
      <c r="M1189" t="s">
        <v>1062</v>
      </c>
      <c r="N1189" t="s">
        <v>1063</v>
      </c>
      <c r="O1189" s="3">
        <v>0</v>
      </c>
      <c r="P1189" s="3">
        <v>0</v>
      </c>
      <c r="Q1189" s="3">
        <v>289.8</v>
      </c>
      <c r="R1189" s="3">
        <v>37.673999999999999</v>
      </c>
      <c r="S1189" s="3">
        <v>0</v>
      </c>
      <c r="T1189" s="3">
        <v>0</v>
      </c>
      <c r="U1189" s="3">
        <v>327.47399999999999</v>
      </c>
      <c r="W1189" s="3" t="s">
        <v>1</v>
      </c>
    </row>
    <row r="1190" spans="5:23" hidden="1" x14ac:dyDescent="0.25">
      <c r="E1190" t="s">
        <v>8607</v>
      </c>
      <c r="F1190" s="1" t="s">
        <v>8627</v>
      </c>
      <c r="G1190" t="s">
        <v>1</v>
      </c>
      <c r="H1190" t="s">
        <v>0</v>
      </c>
      <c r="I1190" t="s">
        <v>8165</v>
      </c>
      <c r="J1190" t="s">
        <v>8164</v>
      </c>
      <c r="K1190">
        <v>12892</v>
      </c>
      <c r="L1190">
        <v>12892</v>
      </c>
      <c r="M1190" t="s">
        <v>8472</v>
      </c>
      <c r="N1190" t="s">
        <v>8473</v>
      </c>
      <c r="O1190" s="3">
        <v>0</v>
      </c>
      <c r="P1190" s="3">
        <v>0</v>
      </c>
      <c r="Q1190" s="3">
        <v>168.32</v>
      </c>
      <c r="R1190" s="3">
        <v>21.881599999999999</v>
      </c>
      <c r="S1190" s="3">
        <v>0</v>
      </c>
      <c r="T1190" s="3">
        <v>0</v>
      </c>
      <c r="U1190" s="3">
        <v>190.20159999999998</v>
      </c>
      <c r="W1190" s="3" t="s">
        <v>1</v>
      </c>
    </row>
    <row r="1191" spans="5:23" hidden="1" x14ac:dyDescent="0.25">
      <c r="E1191" t="s">
        <v>8607</v>
      </c>
      <c r="F1191" s="1" t="s">
        <v>8627</v>
      </c>
      <c r="G1191" t="s">
        <v>1</v>
      </c>
      <c r="H1191" t="s">
        <v>0</v>
      </c>
      <c r="I1191" t="s">
        <v>8165</v>
      </c>
      <c r="J1191" t="s">
        <v>8164</v>
      </c>
      <c r="K1191">
        <v>12893</v>
      </c>
      <c r="L1191">
        <v>12893</v>
      </c>
      <c r="M1191" t="s">
        <v>8472</v>
      </c>
      <c r="N1191" t="s">
        <v>8473</v>
      </c>
      <c r="O1191" s="3">
        <v>0</v>
      </c>
      <c r="P1191" s="3">
        <v>0</v>
      </c>
      <c r="Q1191" s="3">
        <v>24.62</v>
      </c>
      <c r="R1191" s="3">
        <v>3.2006000000000001</v>
      </c>
      <c r="S1191" s="3">
        <v>0</v>
      </c>
      <c r="T1191" s="3">
        <v>0</v>
      </c>
      <c r="U1191" s="3">
        <v>27.820600000000002</v>
      </c>
      <c r="W1191" s="3" t="s">
        <v>1</v>
      </c>
    </row>
    <row r="1192" spans="5:23" hidden="1" x14ac:dyDescent="0.25">
      <c r="E1192" t="s">
        <v>8607</v>
      </c>
      <c r="F1192" s="1" t="s">
        <v>8627</v>
      </c>
      <c r="G1192" t="s">
        <v>1</v>
      </c>
      <c r="H1192" t="s">
        <v>0</v>
      </c>
      <c r="I1192" t="s">
        <v>8165</v>
      </c>
      <c r="J1192" t="s">
        <v>8164</v>
      </c>
      <c r="K1192">
        <v>12894</v>
      </c>
      <c r="L1192">
        <v>12894</v>
      </c>
      <c r="M1192" t="s">
        <v>7852</v>
      </c>
      <c r="N1192" t="s">
        <v>7851</v>
      </c>
      <c r="O1192" s="3">
        <v>0</v>
      </c>
      <c r="P1192" s="3">
        <v>0</v>
      </c>
      <c r="Q1192" s="3">
        <v>0</v>
      </c>
      <c r="R1192" s="3">
        <v>0</v>
      </c>
      <c r="S1192" s="3">
        <v>0</v>
      </c>
      <c r="T1192" s="3">
        <v>0</v>
      </c>
      <c r="U1192" s="3">
        <v>0</v>
      </c>
      <c r="W1192" s="3" t="s">
        <v>1</v>
      </c>
    </row>
    <row r="1193" spans="5:23" hidden="1" x14ac:dyDescent="0.25">
      <c r="E1193" t="s">
        <v>8607</v>
      </c>
      <c r="F1193" s="1" t="s">
        <v>8627</v>
      </c>
      <c r="G1193" t="s">
        <v>1</v>
      </c>
      <c r="H1193" t="s">
        <v>0</v>
      </c>
      <c r="I1193" t="s">
        <v>8165</v>
      </c>
      <c r="J1193" t="s">
        <v>8164</v>
      </c>
      <c r="K1193">
        <v>12894</v>
      </c>
      <c r="L1193">
        <v>12894</v>
      </c>
      <c r="M1193" t="s">
        <v>238</v>
      </c>
      <c r="N1193" t="s">
        <v>239</v>
      </c>
      <c r="O1193" s="3">
        <v>0</v>
      </c>
      <c r="P1193" s="3">
        <v>0</v>
      </c>
      <c r="Q1193" s="3">
        <v>294.85000000000002</v>
      </c>
      <c r="R1193" s="3">
        <v>38.330500000000008</v>
      </c>
      <c r="S1193" s="3">
        <v>0</v>
      </c>
      <c r="T1193" s="3">
        <v>0</v>
      </c>
      <c r="U1193" s="3">
        <v>333.18050000000005</v>
      </c>
      <c r="W1193" s="3" t="s">
        <v>1</v>
      </c>
    </row>
    <row r="1194" spans="5:23" hidden="1" x14ac:dyDescent="0.25">
      <c r="E1194" t="s">
        <v>8607</v>
      </c>
      <c r="F1194" s="1" t="s">
        <v>8627</v>
      </c>
      <c r="G1194" t="s">
        <v>1</v>
      </c>
      <c r="H1194" t="s">
        <v>0</v>
      </c>
      <c r="I1194" t="s">
        <v>8165</v>
      </c>
      <c r="J1194" t="s">
        <v>8164</v>
      </c>
      <c r="K1194">
        <v>12895</v>
      </c>
      <c r="L1194">
        <v>12895</v>
      </c>
      <c r="M1194" t="s">
        <v>238</v>
      </c>
      <c r="N1194" t="s">
        <v>239</v>
      </c>
      <c r="O1194" s="3">
        <v>0</v>
      </c>
      <c r="P1194" s="3">
        <v>0</v>
      </c>
      <c r="Q1194" s="3">
        <v>269.81</v>
      </c>
      <c r="R1194" s="3">
        <v>35.075299999999999</v>
      </c>
      <c r="S1194" s="3">
        <v>0</v>
      </c>
      <c r="T1194" s="3">
        <v>0</v>
      </c>
      <c r="U1194" s="3">
        <v>304.88530000000003</v>
      </c>
      <c r="W1194" s="3" t="s">
        <v>1</v>
      </c>
    </row>
    <row r="1195" spans="5:23" hidden="1" x14ac:dyDescent="0.25">
      <c r="E1195" t="s">
        <v>8607</v>
      </c>
      <c r="F1195" s="1" t="s">
        <v>8626</v>
      </c>
      <c r="G1195" t="s">
        <v>1</v>
      </c>
      <c r="H1195" t="s">
        <v>0</v>
      </c>
      <c r="I1195" t="s">
        <v>8165</v>
      </c>
      <c r="J1195" t="s">
        <v>8164</v>
      </c>
      <c r="K1195">
        <v>12896</v>
      </c>
      <c r="L1195">
        <v>12896</v>
      </c>
      <c r="M1195" t="s">
        <v>8393</v>
      </c>
      <c r="N1195" t="s">
        <v>8394</v>
      </c>
      <c r="O1195" s="3">
        <v>0</v>
      </c>
      <c r="P1195" s="3">
        <v>0</v>
      </c>
      <c r="Q1195" s="3">
        <v>148.68</v>
      </c>
      <c r="R1195" s="3">
        <v>19.328400000000002</v>
      </c>
      <c r="S1195" s="3">
        <v>0</v>
      </c>
      <c r="T1195" s="3">
        <v>0</v>
      </c>
      <c r="U1195" s="3">
        <v>168.00839999999999</v>
      </c>
      <c r="W1195" s="3" t="s">
        <v>1</v>
      </c>
    </row>
    <row r="1196" spans="5:23" hidden="1" x14ac:dyDescent="0.25">
      <c r="E1196" t="s">
        <v>8607</v>
      </c>
      <c r="F1196" s="1" t="s">
        <v>8626</v>
      </c>
      <c r="G1196" t="s">
        <v>1</v>
      </c>
      <c r="H1196" t="s">
        <v>0</v>
      </c>
      <c r="I1196" t="s">
        <v>8165</v>
      </c>
      <c r="J1196" t="s">
        <v>8164</v>
      </c>
      <c r="K1196">
        <v>12897</v>
      </c>
      <c r="L1196">
        <v>12897</v>
      </c>
      <c r="M1196" t="s">
        <v>8186</v>
      </c>
      <c r="N1196" t="s">
        <v>8187</v>
      </c>
      <c r="O1196" s="3">
        <v>0</v>
      </c>
      <c r="P1196" s="3">
        <v>0</v>
      </c>
      <c r="Q1196" s="3">
        <v>106.2</v>
      </c>
      <c r="R1196" s="3">
        <v>13.806000000000001</v>
      </c>
      <c r="S1196" s="3">
        <v>0</v>
      </c>
      <c r="T1196" s="3">
        <v>0</v>
      </c>
      <c r="U1196" s="3">
        <v>120.006</v>
      </c>
      <c r="W1196" s="3" t="s">
        <v>1</v>
      </c>
    </row>
    <row r="1197" spans="5:23" hidden="1" x14ac:dyDescent="0.25">
      <c r="E1197" t="s">
        <v>8607</v>
      </c>
      <c r="F1197" s="1" t="s">
        <v>8625</v>
      </c>
      <c r="G1197" t="s">
        <v>1</v>
      </c>
      <c r="H1197" t="s">
        <v>0</v>
      </c>
      <c r="I1197" t="s">
        <v>8165</v>
      </c>
      <c r="J1197" t="s">
        <v>8164</v>
      </c>
      <c r="K1197">
        <v>12898</v>
      </c>
      <c r="L1197">
        <v>12898</v>
      </c>
      <c r="M1197" t="s">
        <v>8160</v>
      </c>
      <c r="N1197" t="s">
        <v>8161</v>
      </c>
      <c r="O1197" s="3">
        <v>0</v>
      </c>
      <c r="P1197" s="3">
        <v>0</v>
      </c>
      <c r="Q1197" s="3">
        <v>47.98</v>
      </c>
      <c r="R1197" s="3">
        <v>6.2374000000000001</v>
      </c>
      <c r="S1197" s="3">
        <v>0</v>
      </c>
      <c r="T1197" s="3">
        <v>0</v>
      </c>
      <c r="U1197" s="3">
        <v>54.217399999999998</v>
      </c>
      <c r="W1197" s="3" t="s">
        <v>1</v>
      </c>
    </row>
    <row r="1198" spans="5:23" hidden="1" x14ac:dyDescent="0.25">
      <c r="E1198" t="s">
        <v>8607</v>
      </c>
      <c r="F1198" s="1" t="s">
        <v>8625</v>
      </c>
      <c r="G1198" t="s">
        <v>1</v>
      </c>
      <c r="H1198" t="s">
        <v>0</v>
      </c>
      <c r="I1198" t="s">
        <v>8165</v>
      </c>
      <c r="J1198" t="s">
        <v>8164</v>
      </c>
      <c r="K1198">
        <v>12899</v>
      </c>
      <c r="L1198">
        <v>12899</v>
      </c>
      <c r="M1198" t="s">
        <v>7852</v>
      </c>
      <c r="N1198" t="s">
        <v>7851</v>
      </c>
      <c r="O1198" s="3">
        <v>0</v>
      </c>
      <c r="P1198" s="3">
        <v>0</v>
      </c>
      <c r="Q1198" s="3">
        <v>0</v>
      </c>
      <c r="R1198" s="3">
        <v>0</v>
      </c>
      <c r="S1198" s="3">
        <v>0</v>
      </c>
      <c r="T1198" s="3">
        <v>0</v>
      </c>
      <c r="U1198" s="3">
        <v>0</v>
      </c>
      <c r="W1198" s="3" t="s">
        <v>1</v>
      </c>
    </row>
    <row r="1199" spans="5:23" hidden="1" x14ac:dyDescent="0.25">
      <c r="E1199" t="s">
        <v>8607</v>
      </c>
      <c r="F1199" s="1" t="s">
        <v>8625</v>
      </c>
      <c r="G1199" t="s">
        <v>1</v>
      </c>
      <c r="H1199" t="s">
        <v>0</v>
      </c>
      <c r="I1199" t="s">
        <v>8165</v>
      </c>
      <c r="J1199" t="s">
        <v>8164</v>
      </c>
      <c r="K1199">
        <v>12900</v>
      </c>
      <c r="L1199">
        <v>12900</v>
      </c>
      <c r="M1199" t="s">
        <v>8178</v>
      </c>
      <c r="N1199" t="s">
        <v>8179</v>
      </c>
      <c r="O1199" s="3">
        <v>0</v>
      </c>
      <c r="P1199" s="3">
        <v>0</v>
      </c>
      <c r="Q1199" s="3">
        <v>239.1</v>
      </c>
      <c r="R1199" s="3">
        <v>31.083000000000002</v>
      </c>
      <c r="S1199" s="3">
        <v>0</v>
      </c>
      <c r="T1199" s="3">
        <v>0</v>
      </c>
      <c r="U1199" s="3">
        <v>270.18299999999999</v>
      </c>
      <c r="W1199" s="3" t="s">
        <v>1</v>
      </c>
    </row>
    <row r="1200" spans="5:23" hidden="1" x14ac:dyDescent="0.25">
      <c r="E1200" t="s">
        <v>8607</v>
      </c>
      <c r="F1200" s="1" t="s">
        <v>8625</v>
      </c>
      <c r="G1200" t="s">
        <v>1</v>
      </c>
      <c r="H1200" t="s">
        <v>0</v>
      </c>
      <c r="I1200" t="s">
        <v>8165</v>
      </c>
      <c r="J1200" t="s">
        <v>8164</v>
      </c>
      <c r="K1200">
        <v>12901</v>
      </c>
      <c r="L1200">
        <v>12901</v>
      </c>
      <c r="M1200" t="s">
        <v>5339</v>
      </c>
      <c r="N1200" t="s">
        <v>5340</v>
      </c>
      <c r="O1200" s="3">
        <v>0</v>
      </c>
      <c r="P1200" s="3">
        <v>0</v>
      </c>
      <c r="Q1200" s="3">
        <v>132.69999999999999</v>
      </c>
      <c r="R1200" s="3">
        <v>17.250999999999998</v>
      </c>
      <c r="S1200" s="3">
        <v>0</v>
      </c>
      <c r="T1200" s="3">
        <v>0</v>
      </c>
      <c r="U1200" s="3">
        <v>149.95099999999999</v>
      </c>
      <c r="W1200" s="3" t="s">
        <v>1</v>
      </c>
    </row>
    <row r="1201" spans="5:23" hidden="1" x14ac:dyDescent="0.25">
      <c r="E1201" t="s">
        <v>8607</v>
      </c>
      <c r="F1201" s="1" t="s">
        <v>8625</v>
      </c>
      <c r="G1201" t="s">
        <v>1</v>
      </c>
      <c r="H1201" t="s">
        <v>0</v>
      </c>
      <c r="I1201" t="s">
        <v>8165</v>
      </c>
      <c r="J1201" t="s">
        <v>8164</v>
      </c>
      <c r="K1201">
        <v>12902</v>
      </c>
      <c r="L1201">
        <v>12902</v>
      </c>
      <c r="M1201" t="s">
        <v>8283</v>
      </c>
      <c r="N1201" t="s">
        <v>8284</v>
      </c>
      <c r="O1201" s="3">
        <v>0</v>
      </c>
      <c r="P1201" s="3">
        <v>0</v>
      </c>
      <c r="Q1201" s="3">
        <v>243.37</v>
      </c>
      <c r="R1201" s="3">
        <v>31.638100000000001</v>
      </c>
      <c r="S1201" s="3">
        <v>0</v>
      </c>
      <c r="T1201" s="3">
        <v>0</v>
      </c>
      <c r="U1201" s="3">
        <v>275.00810000000001</v>
      </c>
      <c r="W1201" s="3" t="s">
        <v>1</v>
      </c>
    </row>
    <row r="1202" spans="5:23" hidden="1" x14ac:dyDescent="0.25">
      <c r="E1202" t="s">
        <v>8607</v>
      </c>
      <c r="F1202" s="1" t="s">
        <v>8625</v>
      </c>
      <c r="G1202" t="s">
        <v>1</v>
      </c>
      <c r="H1202" t="s">
        <v>0</v>
      </c>
      <c r="I1202" t="s">
        <v>8165</v>
      </c>
      <c r="J1202" t="s">
        <v>8164</v>
      </c>
      <c r="K1202">
        <v>12903</v>
      </c>
      <c r="L1202">
        <v>12903</v>
      </c>
      <c r="M1202" t="s">
        <v>8265</v>
      </c>
      <c r="N1202" t="s">
        <v>8266</v>
      </c>
      <c r="O1202" s="3">
        <v>0</v>
      </c>
      <c r="P1202" s="3">
        <v>0</v>
      </c>
      <c r="Q1202" s="3">
        <v>786.75</v>
      </c>
      <c r="R1202" s="3">
        <v>102.2775</v>
      </c>
      <c r="S1202" s="3">
        <v>0</v>
      </c>
      <c r="T1202" s="3">
        <v>0</v>
      </c>
      <c r="U1202" s="3">
        <v>889.02750000000003</v>
      </c>
      <c r="W1202" s="3" t="s">
        <v>1</v>
      </c>
    </row>
    <row r="1203" spans="5:23" hidden="1" x14ac:dyDescent="0.25">
      <c r="E1203" t="s">
        <v>8607</v>
      </c>
      <c r="F1203" s="1" t="s">
        <v>8625</v>
      </c>
      <c r="G1203" t="s">
        <v>1</v>
      </c>
      <c r="H1203" t="s">
        <v>0</v>
      </c>
      <c r="I1203" t="s">
        <v>8165</v>
      </c>
      <c r="J1203" t="s">
        <v>8164</v>
      </c>
      <c r="K1203">
        <v>12904</v>
      </c>
      <c r="L1203">
        <v>12904</v>
      </c>
      <c r="M1203" t="s">
        <v>8441</v>
      </c>
      <c r="N1203" t="s">
        <v>8442</v>
      </c>
      <c r="O1203" s="3">
        <v>0</v>
      </c>
      <c r="P1203" s="3">
        <v>0</v>
      </c>
      <c r="Q1203" s="3">
        <v>71.400000000000006</v>
      </c>
      <c r="R1203" s="3">
        <v>9.2820000000000018</v>
      </c>
      <c r="S1203" s="3">
        <v>0</v>
      </c>
      <c r="T1203" s="3">
        <v>0</v>
      </c>
      <c r="U1203" s="3">
        <v>80.682000000000002</v>
      </c>
      <c r="W1203" s="3" t="s">
        <v>1</v>
      </c>
    </row>
    <row r="1204" spans="5:23" hidden="1" x14ac:dyDescent="0.25">
      <c r="E1204" t="s">
        <v>8607</v>
      </c>
      <c r="F1204" s="1" t="s">
        <v>8625</v>
      </c>
      <c r="G1204" t="s">
        <v>1</v>
      </c>
      <c r="H1204" t="s">
        <v>0</v>
      </c>
      <c r="I1204" t="s">
        <v>8165</v>
      </c>
      <c r="J1204" t="s">
        <v>8164</v>
      </c>
      <c r="K1204">
        <v>12905</v>
      </c>
      <c r="L1204">
        <v>12905</v>
      </c>
      <c r="M1204" t="s">
        <v>8226</v>
      </c>
      <c r="N1204" t="s">
        <v>8227</v>
      </c>
      <c r="O1204" s="3">
        <v>0</v>
      </c>
      <c r="P1204" s="3">
        <v>0</v>
      </c>
      <c r="Q1204" s="3">
        <v>360.6</v>
      </c>
      <c r="R1204" s="3">
        <v>46.878000000000007</v>
      </c>
      <c r="S1204" s="3">
        <v>0</v>
      </c>
      <c r="T1204" s="3">
        <v>0</v>
      </c>
      <c r="U1204" s="3">
        <v>407.47800000000001</v>
      </c>
      <c r="W1204" s="3" t="s">
        <v>1</v>
      </c>
    </row>
    <row r="1205" spans="5:23" hidden="1" x14ac:dyDescent="0.25">
      <c r="E1205" t="s">
        <v>8607</v>
      </c>
      <c r="F1205" s="1" t="s">
        <v>8625</v>
      </c>
      <c r="G1205" t="s">
        <v>1</v>
      </c>
      <c r="H1205" t="s">
        <v>0</v>
      </c>
      <c r="I1205" t="s">
        <v>8165</v>
      </c>
      <c r="J1205" t="s">
        <v>8164</v>
      </c>
      <c r="K1205">
        <v>12906</v>
      </c>
      <c r="L1205">
        <v>12906</v>
      </c>
      <c r="M1205" t="s">
        <v>8224</v>
      </c>
      <c r="N1205" t="s">
        <v>8225</v>
      </c>
      <c r="O1205" s="3">
        <v>0</v>
      </c>
      <c r="P1205" s="3">
        <v>0</v>
      </c>
      <c r="Q1205" s="3">
        <v>289.86</v>
      </c>
      <c r="R1205" s="3">
        <v>37.681800000000003</v>
      </c>
      <c r="S1205" s="3">
        <v>0</v>
      </c>
      <c r="T1205" s="3">
        <v>0</v>
      </c>
      <c r="U1205" s="3">
        <v>327.54180000000002</v>
      </c>
      <c r="W1205" s="3" t="s">
        <v>1</v>
      </c>
    </row>
    <row r="1206" spans="5:23" hidden="1" x14ac:dyDescent="0.25">
      <c r="E1206" t="s">
        <v>8607</v>
      </c>
      <c r="F1206" s="1" t="s">
        <v>8624</v>
      </c>
      <c r="G1206" t="s">
        <v>1</v>
      </c>
      <c r="H1206" t="s">
        <v>0</v>
      </c>
      <c r="I1206" t="s">
        <v>8165</v>
      </c>
      <c r="J1206" t="s">
        <v>8164</v>
      </c>
      <c r="K1206">
        <v>12907</v>
      </c>
      <c r="L1206">
        <v>12907</v>
      </c>
      <c r="M1206" t="s">
        <v>7983</v>
      </c>
      <c r="N1206" t="s">
        <v>7984</v>
      </c>
      <c r="O1206" s="3">
        <v>0</v>
      </c>
      <c r="P1206" s="3">
        <v>0</v>
      </c>
      <c r="Q1206" s="3">
        <v>355</v>
      </c>
      <c r="R1206" s="3">
        <v>46.15</v>
      </c>
      <c r="S1206" s="3">
        <v>0</v>
      </c>
      <c r="T1206" s="3">
        <v>0</v>
      </c>
      <c r="U1206" s="3">
        <v>401.15</v>
      </c>
      <c r="W1206" s="3" t="s">
        <v>1</v>
      </c>
    </row>
    <row r="1207" spans="5:23" hidden="1" x14ac:dyDescent="0.25">
      <c r="E1207" t="s">
        <v>8607</v>
      </c>
      <c r="F1207" s="1" t="s">
        <v>8624</v>
      </c>
      <c r="G1207" t="s">
        <v>1</v>
      </c>
      <c r="H1207" t="s">
        <v>0</v>
      </c>
      <c r="I1207" t="s">
        <v>8165</v>
      </c>
      <c r="J1207" t="s">
        <v>8164</v>
      </c>
      <c r="K1207">
        <v>12908</v>
      </c>
      <c r="L1207">
        <v>12908</v>
      </c>
      <c r="M1207" t="s">
        <v>8174</v>
      </c>
      <c r="N1207" t="s">
        <v>8175</v>
      </c>
      <c r="O1207" s="3">
        <v>0</v>
      </c>
      <c r="P1207" s="3">
        <v>0</v>
      </c>
      <c r="Q1207" s="3">
        <v>110.97</v>
      </c>
      <c r="R1207" s="3">
        <v>14.4261</v>
      </c>
      <c r="S1207" s="3">
        <v>0</v>
      </c>
      <c r="T1207" s="3">
        <v>0</v>
      </c>
      <c r="U1207" s="3">
        <v>125.3961</v>
      </c>
      <c r="W1207" s="3" t="s">
        <v>1</v>
      </c>
    </row>
    <row r="1208" spans="5:23" hidden="1" x14ac:dyDescent="0.25">
      <c r="E1208" t="s">
        <v>8607</v>
      </c>
      <c r="F1208" s="1" t="s">
        <v>8624</v>
      </c>
      <c r="G1208" t="s">
        <v>1</v>
      </c>
      <c r="H1208" t="s">
        <v>0</v>
      </c>
      <c r="I1208" t="s">
        <v>8165</v>
      </c>
      <c r="J1208" t="s">
        <v>8164</v>
      </c>
      <c r="K1208">
        <v>12909</v>
      </c>
      <c r="L1208">
        <v>12909</v>
      </c>
      <c r="N1208" t="s">
        <v>8208</v>
      </c>
      <c r="O1208" s="3">
        <v>0</v>
      </c>
      <c r="P1208" s="3">
        <v>0</v>
      </c>
      <c r="Q1208" s="3">
        <v>41</v>
      </c>
      <c r="R1208" s="3">
        <v>5.33</v>
      </c>
      <c r="S1208" s="3">
        <v>0</v>
      </c>
      <c r="T1208" s="3">
        <v>0</v>
      </c>
      <c r="U1208" s="3">
        <v>46.33</v>
      </c>
      <c r="V1208" s="3" t="s">
        <v>8650</v>
      </c>
      <c r="W1208" s="3" t="s">
        <v>1</v>
      </c>
    </row>
    <row r="1209" spans="5:23" hidden="1" x14ac:dyDescent="0.25">
      <c r="E1209" t="s">
        <v>8607</v>
      </c>
      <c r="F1209" s="1" t="s">
        <v>8624</v>
      </c>
      <c r="G1209" t="s">
        <v>1</v>
      </c>
      <c r="H1209" t="s">
        <v>0</v>
      </c>
      <c r="I1209" t="s">
        <v>8165</v>
      </c>
      <c r="J1209" t="s">
        <v>8164</v>
      </c>
      <c r="K1209">
        <v>12910</v>
      </c>
      <c r="L1209">
        <v>12910</v>
      </c>
      <c r="M1209" t="s">
        <v>7852</v>
      </c>
      <c r="N1209" t="s">
        <v>7851</v>
      </c>
      <c r="O1209" s="3">
        <v>0</v>
      </c>
      <c r="P1209" s="3">
        <v>0</v>
      </c>
      <c r="Q1209" s="3">
        <v>0</v>
      </c>
      <c r="R1209" s="3">
        <v>0</v>
      </c>
      <c r="S1209" s="3">
        <v>0</v>
      </c>
      <c r="T1209" s="3">
        <v>0</v>
      </c>
      <c r="U1209" s="3">
        <v>0</v>
      </c>
      <c r="W1209" s="3" t="s">
        <v>1</v>
      </c>
    </row>
    <row r="1210" spans="5:23" hidden="1" x14ac:dyDescent="0.25">
      <c r="E1210" t="s">
        <v>8607</v>
      </c>
      <c r="F1210" s="1" t="s">
        <v>8624</v>
      </c>
      <c r="G1210" t="s">
        <v>1</v>
      </c>
      <c r="H1210" t="s">
        <v>0</v>
      </c>
      <c r="I1210" t="s">
        <v>8165</v>
      </c>
      <c r="J1210" t="s">
        <v>8164</v>
      </c>
      <c r="K1210">
        <v>12910</v>
      </c>
      <c r="L1210">
        <v>12910</v>
      </c>
      <c r="M1210" t="s">
        <v>8257</v>
      </c>
      <c r="N1210" t="s">
        <v>8258</v>
      </c>
      <c r="O1210" s="3">
        <v>0</v>
      </c>
      <c r="P1210" s="3">
        <v>0</v>
      </c>
      <c r="Q1210" s="3">
        <v>27</v>
      </c>
      <c r="R1210" s="3">
        <v>3.5100000000000002</v>
      </c>
      <c r="S1210" s="3">
        <v>0</v>
      </c>
      <c r="T1210" s="3">
        <v>0</v>
      </c>
      <c r="U1210" s="3">
        <v>30.51</v>
      </c>
      <c r="W1210" s="3" t="s">
        <v>1</v>
      </c>
    </row>
    <row r="1211" spans="5:23" hidden="1" x14ac:dyDescent="0.25">
      <c r="E1211" t="s">
        <v>8607</v>
      </c>
      <c r="F1211" s="1" t="s">
        <v>8624</v>
      </c>
      <c r="G1211" t="s">
        <v>1</v>
      </c>
      <c r="H1211" t="s">
        <v>0</v>
      </c>
      <c r="I1211" t="s">
        <v>8165</v>
      </c>
      <c r="J1211" t="s">
        <v>8164</v>
      </c>
      <c r="K1211">
        <v>12911</v>
      </c>
      <c r="L1211">
        <v>12911</v>
      </c>
      <c r="M1211" t="s">
        <v>8255</v>
      </c>
      <c r="N1211" t="s">
        <v>8256</v>
      </c>
      <c r="O1211" s="3">
        <v>0</v>
      </c>
      <c r="P1211" s="3">
        <v>0</v>
      </c>
      <c r="Q1211" s="3">
        <v>350</v>
      </c>
      <c r="R1211" s="3">
        <v>45.5</v>
      </c>
      <c r="S1211" s="3">
        <v>0</v>
      </c>
      <c r="T1211" s="3">
        <v>0</v>
      </c>
      <c r="U1211" s="3">
        <v>395.5</v>
      </c>
      <c r="W1211" s="3" t="s">
        <v>1</v>
      </c>
    </row>
    <row r="1212" spans="5:23" hidden="1" x14ac:dyDescent="0.25">
      <c r="E1212" t="s">
        <v>8607</v>
      </c>
      <c r="F1212" s="1" t="s">
        <v>8624</v>
      </c>
      <c r="G1212" t="s">
        <v>1</v>
      </c>
      <c r="H1212" t="s">
        <v>0</v>
      </c>
      <c r="I1212" t="s">
        <v>8165</v>
      </c>
      <c r="J1212" t="s">
        <v>8164</v>
      </c>
      <c r="K1212">
        <v>12912</v>
      </c>
      <c r="L1212">
        <v>12912</v>
      </c>
      <c r="N1212" t="s">
        <v>8208</v>
      </c>
      <c r="O1212" s="3">
        <v>0</v>
      </c>
      <c r="P1212" s="3">
        <v>0</v>
      </c>
      <c r="Q1212" s="3">
        <v>35.4</v>
      </c>
      <c r="R1212" s="3">
        <v>4.6020000000000003</v>
      </c>
      <c r="S1212" s="3">
        <v>0</v>
      </c>
      <c r="T1212" s="3">
        <v>0</v>
      </c>
      <c r="U1212" s="3">
        <v>40.001999999999995</v>
      </c>
      <c r="V1212" s="3" t="s">
        <v>8650</v>
      </c>
      <c r="W1212" s="3" t="s">
        <v>1</v>
      </c>
    </row>
    <row r="1213" spans="5:23" hidden="1" x14ac:dyDescent="0.25">
      <c r="E1213" t="s">
        <v>8607</v>
      </c>
      <c r="F1213" s="1" t="s">
        <v>8624</v>
      </c>
      <c r="G1213" t="s">
        <v>1</v>
      </c>
      <c r="H1213" t="s">
        <v>0</v>
      </c>
      <c r="I1213" t="s">
        <v>8165</v>
      </c>
      <c r="J1213" t="s">
        <v>8164</v>
      </c>
      <c r="K1213">
        <v>12913</v>
      </c>
      <c r="L1213">
        <v>12913</v>
      </c>
      <c r="M1213" t="s">
        <v>8326</v>
      </c>
      <c r="N1213" t="s">
        <v>8327</v>
      </c>
      <c r="O1213" s="3">
        <v>0</v>
      </c>
      <c r="P1213" s="3">
        <v>0</v>
      </c>
      <c r="Q1213" s="3">
        <v>17.04</v>
      </c>
      <c r="R1213" s="3">
        <v>2.2151999999999998</v>
      </c>
      <c r="S1213" s="3">
        <v>0</v>
      </c>
      <c r="T1213" s="3">
        <v>0</v>
      </c>
      <c r="U1213" s="3">
        <v>19.255199999999999</v>
      </c>
      <c r="W1213" s="3" t="s">
        <v>1</v>
      </c>
    </row>
    <row r="1214" spans="5:23" hidden="1" x14ac:dyDescent="0.25">
      <c r="E1214" t="s">
        <v>8607</v>
      </c>
      <c r="F1214" s="1" t="s">
        <v>8624</v>
      </c>
      <c r="G1214" t="s">
        <v>1</v>
      </c>
      <c r="H1214" t="s">
        <v>0</v>
      </c>
      <c r="I1214" t="s">
        <v>8165</v>
      </c>
      <c r="J1214" t="s">
        <v>8164</v>
      </c>
      <c r="K1214">
        <v>12914</v>
      </c>
      <c r="L1214">
        <v>12914</v>
      </c>
      <c r="M1214" t="s">
        <v>8209</v>
      </c>
      <c r="N1214" t="s">
        <v>8210</v>
      </c>
      <c r="O1214" s="3">
        <v>0</v>
      </c>
      <c r="P1214" s="3">
        <v>0</v>
      </c>
      <c r="Q1214" s="3">
        <v>348.1</v>
      </c>
      <c r="R1214" s="3">
        <v>45.253000000000007</v>
      </c>
      <c r="S1214" s="3">
        <v>0</v>
      </c>
      <c r="T1214" s="3">
        <v>0</v>
      </c>
      <c r="U1214" s="3">
        <v>393.35300000000001</v>
      </c>
      <c r="W1214" s="3" t="s">
        <v>1</v>
      </c>
    </row>
    <row r="1215" spans="5:23" hidden="1" x14ac:dyDescent="0.25">
      <c r="E1215" t="s">
        <v>8607</v>
      </c>
      <c r="F1215" s="1" t="s">
        <v>8624</v>
      </c>
      <c r="G1215" t="s">
        <v>1</v>
      </c>
      <c r="H1215" t="s">
        <v>0</v>
      </c>
      <c r="I1215" t="s">
        <v>8165</v>
      </c>
      <c r="J1215" t="s">
        <v>8164</v>
      </c>
      <c r="K1215">
        <v>12915</v>
      </c>
      <c r="L1215">
        <v>12915</v>
      </c>
      <c r="M1215" t="s">
        <v>8281</v>
      </c>
      <c r="N1215" t="s">
        <v>8282</v>
      </c>
      <c r="O1215" s="3">
        <v>0</v>
      </c>
      <c r="P1215" s="3">
        <v>0</v>
      </c>
      <c r="Q1215" s="3">
        <v>104.4</v>
      </c>
      <c r="R1215" s="3">
        <v>13.572000000000001</v>
      </c>
      <c r="S1215" s="3">
        <v>0</v>
      </c>
      <c r="T1215" s="3">
        <v>0</v>
      </c>
      <c r="U1215" s="3">
        <v>117.97200000000001</v>
      </c>
      <c r="W1215" s="3" t="s">
        <v>1</v>
      </c>
    </row>
    <row r="1216" spans="5:23" hidden="1" x14ac:dyDescent="0.25">
      <c r="E1216" t="s">
        <v>8607</v>
      </c>
      <c r="F1216" s="1" t="s">
        <v>8624</v>
      </c>
      <c r="G1216" t="s">
        <v>1</v>
      </c>
      <c r="H1216" t="s">
        <v>0</v>
      </c>
      <c r="I1216" t="s">
        <v>8165</v>
      </c>
      <c r="J1216" t="s">
        <v>8164</v>
      </c>
      <c r="K1216">
        <v>12916</v>
      </c>
      <c r="L1216">
        <v>12916</v>
      </c>
      <c r="M1216" t="s">
        <v>7852</v>
      </c>
      <c r="N1216" t="s">
        <v>7851</v>
      </c>
      <c r="O1216" s="3">
        <v>0</v>
      </c>
      <c r="P1216" s="3">
        <v>0</v>
      </c>
      <c r="Q1216" s="3">
        <v>0</v>
      </c>
      <c r="R1216" s="3">
        <v>0</v>
      </c>
      <c r="S1216" s="3">
        <v>0</v>
      </c>
      <c r="T1216" s="3">
        <v>0</v>
      </c>
      <c r="U1216" s="3">
        <v>0</v>
      </c>
      <c r="W1216" s="3" t="s">
        <v>1</v>
      </c>
    </row>
    <row r="1217" spans="5:23" hidden="1" x14ac:dyDescent="0.25">
      <c r="E1217" t="s">
        <v>8607</v>
      </c>
      <c r="F1217" s="1" t="s">
        <v>8624</v>
      </c>
      <c r="G1217" t="s">
        <v>1</v>
      </c>
      <c r="H1217" t="s">
        <v>0</v>
      </c>
      <c r="I1217" t="s">
        <v>8165</v>
      </c>
      <c r="J1217" t="s">
        <v>8164</v>
      </c>
      <c r="K1217">
        <v>12917</v>
      </c>
      <c r="L1217">
        <v>12917</v>
      </c>
      <c r="M1217" t="s">
        <v>7852</v>
      </c>
      <c r="N1217" t="s">
        <v>7851</v>
      </c>
      <c r="O1217" s="3">
        <v>0</v>
      </c>
      <c r="P1217" s="3">
        <v>0</v>
      </c>
      <c r="Q1217" s="3">
        <v>0</v>
      </c>
      <c r="R1217" s="3">
        <v>0</v>
      </c>
      <c r="S1217" s="3">
        <v>0</v>
      </c>
      <c r="T1217" s="3">
        <v>0</v>
      </c>
      <c r="U1217" s="3">
        <v>0</v>
      </c>
      <c r="W1217" s="3" t="s">
        <v>1</v>
      </c>
    </row>
    <row r="1218" spans="5:23" hidden="1" x14ac:dyDescent="0.25">
      <c r="E1218" t="s">
        <v>8607</v>
      </c>
      <c r="F1218" s="1" t="s">
        <v>8624</v>
      </c>
      <c r="G1218" t="s">
        <v>1</v>
      </c>
      <c r="H1218" t="s">
        <v>0</v>
      </c>
      <c r="I1218" t="s">
        <v>8165</v>
      </c>
      <c r="J1218" t="s">
        <v>8164</v>
      </c>
      <c r="K1218">
        <v>12918</v>
      </c>
      <c r="L1218">
        <v>12918</v>
      </c>
      <c r="M1218" t="s">
        <v>7852</v>
      </c>
      <c r="N1218" t="s">
        <v>7851</v>
      </c>
      <c r="O1218" s="3">
        <v>0</v>
      </c>
      <c r="P1218" s="3">
        <v>0</v>
      </c>
      <c r="Q1218" s="3">
        <v>0</v>
      </c>
      <c r="R1218" s="3">
        <v>0</v>
      </c>
      <c r="S1218" s="3">
        <v>0</v>
      </c>
      <c r="T1218" s="3">
        <v>0</v>
      </c>
      <c r="U1218" s="3">
        <v>0</v>
      </c>
      <c r="W1218" s="3" t="s">
        <v>1</v>
      </c>
    </row>
    <row r="1219" spans="5:23" hidden="1" x14ac:dyDescent="0.25">
      <c r="E1219" t="s">
        <v>8607</v>
      </c>
      <c r="F1219" s="1" t="s">
        <v>8624</v>
      </c>
      <c r="G1219" t="s">
        <v>1</v>
      </c>
      <c r="H1219" t="s">
        <v>0</v>
      </c>
      <c r="I1219" t="s">
        <v>8165</v>
      </c>
      <c r="J1219" t="s">
        <v>8164</v>
      </c>
      <c r="K1219">
        <v>12919</v>
      </c>
      <c r="L1219">
        <v>12919</v>
      </c>
      <c r="M1219" t="s">
        <v>7852</v>
      </c>
      <c r="N1219" t="s">
        <v>7851</v>
      </c>
      <c r="O1219" s="3">
        <v>0</v>
      </c>
      <c r="P1219" s="3">
        <v>0</v>
      </c>
      <c r="Q1219" s="3">
        <v>0</v>
      </c>
      <c r="R1219" s="3">
        <v>0</v>
      </c>
      <c r="S1219" s="3">
        <v>0</v>
      </c>
      <c r="T1219" s="3">
        <v>0</v>
      </c>
      <c r="U1219" s="3">
        <v>0</v>
      </c>
      <c r="W1219" s="3" t="s">
        <v>1</v>
      </c>
    </row>
    <row r="1220" spans="5:23" hidden="1" x14ac:dyDescent="0.25">
      <c r="E1220" t="s">
        <v>8607</v>
      </c>
      <c r="F1220" s="1" t="s">
        <v>8624</v>
      </c>
      <c r="G1220" t="s">
        <v>1</v>
      </c>
      <c r="H1220" t="s">
        <v>0</v>
      </c>
      <c r="I1220" t="s">
        <v>8165</v>
      </c>
      <c r="J1220" t="s">
        <v>8164</v>
      </c>
      <c r="K1220">
        <v>12920</v>
      </c>
      <c r="L1220">
        <v>12920</v>
      </c>
      <c r="M1220" t="s">
        <v>8243</v>
      </c>
      <c r="N1220" t="s">
        <v>8244</v>
      </c>
      <c r="O1220" s="3">
        <v>0</v>
      </c>
      <c r="P1220" s="3">
        <v>0</v>
      </c>
      <c r="Q1220" s="3">
        <v>61.2</v>
      </c>
      <c r="R1220" s="3">
        <v>7.9560000000000004</v>
      </c>
      <c r="S1220" s="3">
        <v>0</v>
      </c>
      <c r="T1220" s="3">
        <v>0</v>
      </c>
      <c r="U1220" s="3">
        <v>69.156000000000006</v>
      </c>
      <c r="W1220" s="3" t="s">
        <v>1</v>
      </c>
    </row>
    <row r="1221" spans="5:23" hidden="1" x14ac:dyDescent="0.25">
      <c r="E1221" t="s">
        <v>8607</v>
      </c>
      <c r="F1221" s="1" t="s">
        <v>8624</v>
      </c>
      <c r="G1221" t="s">
        <v>1</v>
      </c>
      <c r="H1221" t="s">
        <v>0</v>
      </c>
      <c r="I1221" t="s">
        <v>8165</v>
      </c>
      <c r="J1221" t="s">
        <v>8164</v>
      </c>
      <c r="K1221">
        <v>12921</v>
      </c>
      <c r="L1221">
        <v>12921</v>
      </c>
      <c r="M1221" t="s">
        <v>7852</v>
      </c>
      <c r="N1221" t="s">
        <v>7851</v>
      </c>
      <c r="O1221" s="3">
        <v>0</v>
      </c>
      <c r="P1221" s="3">
        <v>0</v>
      </c>
      <c r="Q1221" s="3">
        <v>0</v>
      </c>
      <c r="R1221" s="3">
        <v>0</v>
      </c>
      <c r="S1221" s="3">
        <v>0</v>
      </c>
      <c r="T1221" s="3">
        <v>0</v>
      </c>
      <c r="U1221" s="3">
        <v>0</v>
      </c>
      <c r="W1221" s="3" t="s">
        <v>1</v>
      </c>
    </row>
    <row r="1222" spans="5:23" hidden="1" x14ac:dyDescent="0.25">
      <c r="E1222" t="s">
        <v>8607</v>
      </c>
      <c r="F1222" s="1" t="s">
        <v>8624</v>
      </c>
      <c r="G1222" t="s">
        <v>1</v>
      </c>
      <c r="H1222" t="s">
        <v>0</v>
      </c>
      <c r="I1222" t="s">
        <v>8165</v>
      </c>
      <c r="J1222" t="s">
        <v>8164</v>
      </c>
      <c r="K1222">
        <v>12922</v>
      </c>
      <c r="L1222">
        <v>12922</v>
      </c>
      <c r="M1222" t="s">
        <v>238</v>
      </c>
      <c r="N1222" t="s">
        <v>239</v>
      </c>
      <c r="O1222" s="3">
        <v>0</v>
      </c>
      <c r="P1222" s="3">
        <v>0</v>
      </c>
      <c r="Q1222" s="3">
        <v>126.375</v>
      </c>
      <c r="R1222" s="3">
        <v>16.428750000000001</v>
      </c>
      <c r="S1222" s="3">
        <v>0</v>
      </c>
      <c r="T1222" s="3">
        <v>0</v>
      </c>
      <c r="U1222" s="3">
        <v>142.80375000000001</v>
      </c>
      <c r="W1222" s="3" t="s">
        <v>1</v>
      </c>
    </row>
    <row r="1223" spans="5:23" hidden="1" x14ac:dyDescent="0.25">
      <c r="E1223" t="s">
        <v>8607</v>
      </c>
      <c r="F1223" s="1" t="s">
        <v>8624</v>
      </c>
      <c r="G1223" t="s">
        <v>1</v>
      </c>
      <c r="H1223" t="s">
        <v>0</v>
      </c>
      <c r="I1223" t="s">
        <v>8165</v>
      </c>
      <c r="J1223" t="s">
        <v>8164</v>
      </c>
      <c r="K1223">
        <v>12923</v>
      </c>
      <c r="L1223">
        <v>12923</v>
      </c>
      <c r="M1223" t="s">
        <v>8166</v>
      </c>
      <c r="N1223" t="s">
        <v>8167</v>
      </c>
      <c r="O1223" s="3">
        <v>0</v>
      </c>
      <c r="P1223" s="3">
        <v>0</v>
      </c>
      <c r="Q1223" s="3">
        <v>464.22</v>
      </c>
      <c r="R1223" s="3">
        <v>60.348600000000005</v>
      </c>
      <c r="S1223" s="3">
        <v>0</v>
      </c>
      <c r="T1223" s="3">
        <v>0</v>
      </c>
      <c r="U1223" s="3">
        <v>524.56860000000006</v>
      </c>
      <c r="W1223" s="3" t="s">
        <v>1</v>
      </c>
    </row>
    <row r="1224" spans="5:23" hidden="1" x14ac:dyDescent="0.25">
      <c r="E1224" t="s">
        <v>8607</v>
      </c>
      <c r="F1224" s="1" t="s">
        <v>8623</v>
      </c>
      <c r="G1224" t="s">
        <v>1</v>
      </c>
      <c r="H1224" t="s">
        <v>0</v>
      </c>
      <c r="I1224" t="s">
        <v>8165</v>
      </c>
      <c r="J1224" t="s">
        <v>8164</v>
      </c>
      <c r="K1224">
        <v>12924</v>
      </c>
      <c r="L1224">
        <v>12924</v>
      </c>
      <c r="M1224" t="s">
        <v>8407</v>
      </c>
      <c r="N1224" t="s">
        <v>8408</v>
      </c>
      <c r="O1224" s="3">
        <v>0</v>
      </c>
      <c r="P1224" s="3">
        <v>0</v>
      </c>
      <c r="Q1224" s="3">
        <v>61.5</v>
      </c>
      <c r="R1224" s="3">
        <v>7.9950000000000001</v>
      </c>
      <c r="S1224" s="3">
        <v>0</v>
      </c>
      <c r="T1224" s="3">
        <v>0</v>
      </c>
      <c r="U1224" s="3">
        <v>69.495000000000005</v>
      </c>
      <c r="W1224" s="3" t="s">
        <v>1</v>
      </c>
    </row>
    <row r="1225" spans="5:23" hidden="1" x14ac:dyDescent="0.25">
      <c r="E1225" t="s">
        <v>8607</v>
      </c>
      <c r="F1225" s="1" t="s">
        <v>8623</v>
      </c>
      <c r="G1225" t="s">
        <v>1</v>
      </c>
      <c r="H1225" t="s">
        <v>0</v>
      </c>
      <c r="I1225" t="s">
        <v>8165</v>
      </c>
      <c r="J1225" t="s">
        <v>8164</v>
      </c>
      <c r="K1225">
        <v>12925</v>
      </c>
      <c r="L1225">
        <v>12925</v>
      </c>
      <c r="M1225" t="s">
        <v>7852</v>
      </c>
      <c r="N1225" t="s">
        <v>7851</v>
      </c>
      <c r="O1225" s="3">
        <v>0</v>
      </c>
      <c r="P1225" s="3">
        <v>0</v>
      </c>
      <c r="Q1225" s="3">
        <v>0</v>
      </c>
      <c r="R1225" s="3">
        <v>0</v>
      </c>
      <c r="S1225" s="3">
        <v>0</v>
      </c>
      <c r="T1225" s="3">
        <v>0</v>
      </c>
      <c r="U1225" s="3">
        <v>0</v>
      </c>
      <c r="W1225" s="3" t="s">
        <v>1</v>
      </c>
    </row>
    <row r="1226" spans="5:23" hidden="1" x14ac:dyDescent="0.25">
      <c r="E1226" t="s">
        <v>8607</v>
      </c>
      <c r="F1226" s="1" t="s">
        <v>8623</v>
      </c>
      <c r="G1226" t="s">
        <v>1</v>
      </c>
      <c r="H1226" t="s">
        <v>0</v>
      </c>
      <c r="I1226" t="s">
        <v>8165</v>
      </c>
      <c r="J1226" t="s">
        <v>8164</v>
      </c>
      <c r="K1226">
        <v>12926</v>
      </c>
      <c r="L1226">
        <v>12926</v>
      </c>
      <c r="M1226" t="s">
        <v>7852</v>
      </c>
      <c r="N1226" t="s">
        <v>7851</v>
      </c>
      <c r="O1226" s="3">
        <v>0</v>
      </c>
      <c r="P1226" s="3">
        <v>0</v>
      </c>
      <c r="Q1226" s="3">
        <v>0</v>
      </c>
      <c r="R1226" s="3">
        <v>0</v>
      </c>
      <c r="S1226" s="3">
        <v>0</v>
      </c>
      <c r="T1226" s="3">
        <v>0</v>
      </c>
      <c r="U1226" s="3">
        <v>0</v>
      </c>
      <c r="W1226" s="3" t="s">
        <v>1</v>
      </c>
    </row>
    <row r="1227" spans="5:23" hidden="1" x14ac:dyDescent="0.25">
      <c r="E1227" t="s">
        <v>8607</v>
      </c>
      <c r="F1227" s="1" t="s">
        <v>8623</v>
      </c>
      <c r="G1227" t="s">
        <v>1</v>
      </c>
      <c r="H1227" t="s">
        <v>0</v>
      </c>
      <c r="I1227" t="s">
        <v>8165</v>
      </c>
      <c r="J1227" t="s">
        <v>8164</v>
      </c>
      <c r="K1227">
        <v>12927</v>
      </c>
      <c r="L1227">
        <v>12927</v>
      </c>
      <c r="M1227" t="s">
        <v>8255</v>
      </c>
      <c r="N1227" t="s">
        <v>8256</v>
      </c>
      <c r="O1227" s="3">
        <v>0</v>
      </c>
      <c r="P1227" s="3">
        <v>0</v>
      </c>
      <c r="Q1227" s="3">
        <v>272.10000000000002</v>
      </c>
      <c r="R1227" s="3">
        <v>35.373000000000005</v>
      </c>
      <c r="S1227" s="3">
        <v>0</v>
      </c>
      <c r="T1227" s="3">
        <v>0</v>
      </c>
      <c r="U1227" s="3">
        <v>307.47300000000001</v>
      </c>
      <c r="W1227" s="3" t="s">
        <v>1</v>
      </c>
    </row>
    <row r="1228" spans="5:23" hidden="1" x14ac:dyDescent="0.25">
      <c r="E1228" t="s">
        <v>8607</v>
      </c>
      <c r="F1228" s="1" t="s">
        <v>8623</v>
      </c>
      <c r="G1228" t="s">
        <v>1</v>
      </c>
      <c r="H1228" t="s">
        <v>0</v>
      </c>
      <c r="I1228" t="s">
        <v>8165</v>
      </c>
      <c r="J1228" t="s">
        <v>8164</v>
      </c>
      <c r="K1228">
        <v>12928</v>
      </c>
      <c r="L1228">
        <v>12928</v>
      </c>
      <c r="M1228" t="s">
        <v>8188</v>
      </c>
      <c r="N1228" t="s">
        <v>8189</v>
      </c>
      <c r="O1228" s="3">
        <v>0</v>
      </c>
      <c r="P1228" s="3">
        <v>0</v>
      </c>
      <c r="Q1228" s="3">
        <v>85.84</v>
      </c>
      <c r="R1228" s="3">
        <v>11.1592</v>
      </c>
      <c r="S1228" s="3">
        <v>0</v>
      </c>
      <c r="T1228" s="3">
        <v>0</v>
      </c>
      <c r="U1228" s="3">
        <v>96.999200000000002</v>
      </c>
      <c r="W1228" s="3" t="s">
        <v>1</v>
      </c>
    </row>
    <row r="1229" spans="5:23" hidden="1" x14ac:dyDescent="0.25">
      <c r="E1229" t="s">
        <v>8607</v>
      </c>
      <c r="F1229" s="1" t="s">
        <v>8623</v>
      </c>
      <c r="G1229" t="s">
        <v>1</v>
      </c>
      <c r="H1229" t="s">
        <v>0</v>
      </c>
      <c r="I1229" t="s">
        <v>8165</v>
      </c>
      <c r="J1229" t="s">
        <v>8164</v>
      </c>
      <c r="K1229">
        <v>12929</v>
      </c>
      <c r="L1229">
        <v>12929</v>
      </c>
      <c r="N1229" t="s">
        <v>8208</v>
      </c>
      <c r="O1229" s="3">
        <v>0</v>
      </c>
      <c r="P1229" s="3">
        <v>0</v>
      </c>
      <c r="Q1229" s="3">
        <v>31.36</v>
      </c>
      <c r="R1229" s="3">
        <v>4.0768000000000004</v>
      </c>
      <c r="S1229" s="3">
        <v>0</v>
      </c>
      <c r="T1229" s="3">
        <v>0</v>
      </c>
      <c r="U1229" s="3">
        <v>35.436799999999998</v>
      </c>
      <c r="V1229" s="3" t="s">
        <v>8650</v>
      </c>
      <c r="W1229" s="3" t="s">
        <v>1</v>
      </c>
    </row>
    <row r="1230" spans="5:23" hidden="1" x14ac:dyDescent="0.25">
      <c r="E1230" t="s">
        <v>8607</v>
      </c>
      <c r="F1230" s="1" t="s">
        <v>8623</v>
      </c>
      <c r="G1230" t="s">
        <v>1</v>
      </c>
      <c r="H1230" t="s">
        <v>0</v>
      </c>
      <c r="I1230" t="s">
        <v>8165</v>
      </c>
      <c r="J1230" t="s">
        <v>8164</v>
      </c>
      <c r="K1230">
        <v>12930</v>
      </c>
      <c r="L1230">
        <v>12930</v>
      </c>
      <c r="M1230" t="s">
        <v>7852</v>
      </c>
      <c r="N1230" t="s">
        <v>7851</v>
      </c>
      <c r="O1230" s="3">
        <v>0</v>
      </c>
      <c r="P1230" s="3">
        <v>0</v>
      </c>
      <c r="Q1230" s="3">
        <v>0</v>
      </c>
      <c r="R1230" s="3">
        <v>0</v>
      </c>
      <c r="S1230" s="3">
        <v>0</v>
      </c>
      <c r="T1230" s="3">
        <v>0</v>
      </c>
      <c r="U1230" s="3">
        <v>0</v>
      </c>
      <c r="W1230" s="3" t="s">
        <v>1</v>
      </c>
    </row>
    <row r="1231" spans="5:23" hidden="1" x14ac:dyDescent="0.25">
      <c r="E1231" t="s">
        <v>8607</v>
      </c>
      <c r="F1231" s="1" t="s">
        <v>8623</v>
      </c>
      <c r="G1231" t="s">
        <v>1</v>
      </c>
      <c r="H1231" t="s">
        <v>0</v>
      </c>
      <c r="I1231" t="s">
        <v>8165</v>
      </c>
      <c r="J1231" t="s">
        <v>8164</v>
      </c>
      <c r="K1231">
        <v>12931</v>
      </c>
      <c r="L1231">
        <v>12931</v>
      </c>
      <c r="M1231" t="s">
        <v>164</v>
      </c>
      <c r="N1231" t="s">
        <v>165</v>
      </c>
      <c r="O1231" s="3">
        <v>0</v>
      </c>
      <c r="P1231" s="3">
        <v>0</v>
      </c>
      <c r="Q1231" s="3">
        <v>42.48</v>
      </c>
      <c r="R1231" s="3">
        <v>5.5224000000000002</v>
      </c>
      <c r="S1231" s="3">
        <v>0</v>
      </c>
      <c r="T1231" s="3">
        <v>0</v>
      </c>
      <c r="U1231" s="3">
        <v>48.002399999999994</v>
      </c>
      <c r="W1231" s="3" t="s">
        <v>1</v>
      </c>
    </row>
    <row r="1232" spans="5:23" hidden="1" x14ac:dyDescent="0.25">
      <c r="E1232" t="s">
        <v>8607</v>
      </c>
      <c r="F1232" s="1" t="s">
        <v>8623</v>
      </c>
      <c r="G1232" t="s">
        <v>1</v>
      </c>
      <c r="H1232" t="s">
        <v>0</v>
      </c>
      <c r="I1232" t="s">
        <v>8165</v>
      </c>
      <c r="J1232" t="s">
        <v>8164</v>
      </c>
      <c r="K1232">
        <v>12932</v>
      </c>
      <c r="L1232">
        <v>12932</v>
      </c>
      <c r="M1232" t="s">
        <v>7852</v>
      </c>
      <c r="N1232" t="s">
        <v>7851</v>
      </c>
      <c r="O1232" s="3">
        <v>0</v>
      </c>
      <c r="P1232" s="3">
        <v>0</v>
      </c>
      <c r="Q1232" s="3">
        <v>0</v>
      </c>
      <c r="R1232" s="3">
        <v>0</v>
      </c>
      <c r="S1232" s="3">
        <v>0</v>
      </c>
      <c r="T1232" s="3">
        <v>0</v>
      </c>
      <c r="U1232" s="3">
        <v>0</v>
      </c>
      <c r="W1232" s="3" t="s">
        <v>1</v>
      </c>
    </row>
    <row r="1233" spans="5:23" hidden="1" x14ac:dyDescent="0.25">
      <c r="E1233" t="s">
        <v>8607</v>
      </c>
      <c r="F1233" s="1" t="s">
        <v>8623</v>
      </c>
      <c r="G1233" t="s">
        <v>1</v>
      </c>
      <c r="H1233" t="s">
        <v>0</v>
      </c>
      <c r="I1233" t="s">
        <v>8165</v>
      </c>
      <c r="J1233" t="s">
        <v>8164</v>
      </c>
      <c r="K1233">
        <v>12933</v>
      </c>
      <c r="L1233">
        <v>12933</v>
      </c>
      <c r="M1233" t="s">
        <v>936</v>
      </c>
      <c r="N1233" t="s">
        <v>937</v>
      </c>
      <c r="O1233" s="3">
        <v>0</v>
      </c>
      <c r="P1233" s="3">
        <v>0</v>
      </c>
      <c r="Q1233" s="3">
        <v>205.9</v>
      </c>
      <c r="R1233" s="3">
        <v>26.767000000000003</v>
      </c>
      <c r="S1233" s="3">
        <v>0</v>
      </c>
      <c r="T1233" s="3">
        <v>0</v>
      </c>
      <c r="U1233" s="3">
        <v>232.667</v>
      </c>
      <c r="W1233" s="3" t="s">
        <v>1</v>
      </c>
    </row>
    <row r="1234" spans="5:23" hidden="1" x14ac:dyDescent="0.25">
      <c r="E1234" t="s">
        <v>8607</v>
      </c>
      <c r="F1234" s="1" t="s">
        <v>8623</v>
      </c>
      <c r="G1234" t="s">
        <v>1</v>
      </c>
      <c r="H1234" t="s">
        <v>0</v>
      </c>
      <c r="I1234" t="s">
        <v>8165</v>
      </c>
      <c r="J1234" t="s">
        <v>8164</v>
      </c>
      <c r="K1234">
        <v>12934</v>
      </c>
      <c r="L1234">
        <v>12934</v>
      </c>
      <c r="M1234" t="s">
        <v>8269</v>
      </c>
      <c r="N1234" t="s">
        <v>8270</v>
      </c>
      <c r="O1234" s="3">
        <v>0</v>
      </c>
      <c r="P1234" s="3">
        <v>0</v>
      </c>
      <c r="Q1234" s="3">
        <v>58.44</v>
      </c>
      <c r="R1234" s="3">
        <v>7.5972</v>
      </c>
      <c r="S1234" s="3">
        <v>0</v>
      </c>
      <c r="T1234" s="3">
        <v>0</v>
      </c>
      <c r="U1234" s="3">
        <v>66.037199999999999</v>
      </c>
      <c r="W1234" s="3" t="s">
        <v>1</v>
      </c>
    </row>
    <row r="1235" spans="5:23" hidden="1" x14ac:dyDescent="0.25">
      <c r="E1235" t="s">
        <v>8607</v>
      </c>
      <c r="F1235" s="1" t="s">
        <v>8622</v>
      </c>
      <c r="G1235" t="s">
        <v>1</v>
      </c>
      <c r="H1235" t="s">
        <v>0</v>
      </c>
      <c r="I1235" t="s">
        <v>8165</v>
      </c>
      <c r="J1235" t="s">
        <v>8164</v>
      </c>
      <c r="K1235">
        <v>12935</v>
      </c>
      <c r="L1235">
        <v>12935</v>
      </c>
      <c r="M1235" t="s">
        <v>8269</v>
      </c>
      <c r="N1235" t="s">
        <v>8270</v>
      </c>
      <c r="O1235" s="3">
        <v>0</v>
      </c>
      <c r="P1235" s="3">
        <v>0</v>
      </c>
      <c r="Q1235" s="3">
        <v>14.86</v>
      </c>
      <c r="R1235" s="3">
        <v>1.9318</v>
      </c>
      <c r="S1235" s="3">
        <v>0</v>
      </c>
      <c r="T1235" s="3">
        <v>0</v>
      </c>
      <c r="U1235" s="3">
        <v>16.791799999999999</v>
      </c>
      <c r="W1235" s="3" t="s">
        <v>1</v>
      </c>
    </row>
    <row r="1236" spans="5:23" hidden="1" x14ac:dyDescent="0.25">
      <c r="E1236" t="s">
        <v>8607</v>
      </c>
      <c r="F1236" s="1" t="s">
        <v>8622</v>
      </c>
      <c r="G1236" t="s">
        <v>1</v>
      </c>
      <c r="H1236" t="s">
        <v>0</v>
      </c>
      <c r="I1236" t="s">
        <v>8165</v>
      </c>
      <c r="J1236" t="s">
        <v>8164</v>
      </c>
      <c r="K1236">
        <v>12936</v>
      </c>
      <c r="L1236">
        <v>12936</v>
      </c>
      <c r="M1236" t="s">
        <v>8249</v>
      </c>
      <c r="N1236" t="s">
        <v>8250</v>
      </c>
      <c r="O1236" s="3">
        <v>0</v>
      </c>
      <c r="P1236" s="3">
        <v>0</v>
      </c>
      <c r="Q1236" s="3">
        <v>60</v>
      </c>
      <c r="R1236" s="3">
        <v>7.8000000000000007</v>
      </c>
      <c r="S1236" s="3">
        <v>0</v>
      </c>
      <c r="T1236" s="3">
        <v>0</v>
      </c>
      <c r="U1236" s="3">
        <v>67.8</v>
      </c>
      <c r="W1236" s="3" t="s">
        <v>1</v>
      </c>
    </row>
    <row r="1237" spans="5:23" hidden="1" x14ac:dyDescent="0.25">
      <c r="E1237" t="s">
        <v>8607</v>
      </c>
      <c r="F1237" s="1" t="s">
        <v>8622</v>
      </c>
      <c r="G1237" t="s">
        <v>1</v>
      </c>
      <c r="H1237" t="s">
        <v>0</v>
      </c>
      <c r="I1237" t="s">
        <v>8165</v>
      </c>
      <c r="J1237" t="s">
        <v>8164</v>
      </c>
      <c r="K1237">
        <v>12937</v>
      </c>
      <c r="L1237">
        <v>12937</v>
      </c>
      <c r="M1237" t="s">
        <v>8648</v>
      </c>
      <c r="N1237" t="s">
        <v>8649</v>
      </c>
      <c r="O1237" s="3">
        <v>0</v>
      </c>
      <c r="P1237" s="3">
        <v>0</v>
      </c>
      <c r="Q1237" s="3">
        <v>123.01</v>
      </c>
      <c r="R1237" s="3">
        <v>15.991300000000001</v>
      </c>
      <c r="S1237" s="3">
        <v>0</v>
      </c>
      <c r="T1237" s="3">
        <v>0</v>
      </c>
      <c r="U1237" s="3">
        <v>139.00130000000001</v>
      </c>
      <c r="W1237" s="3" t="s">
        <v>1</v>
      </c>
    </row>
    <row r="1238" spans="5:23" hidden="1" x14ac:dyDescent="0.25">
      <c r="E1238" t="s">
        <v>8607</v>
      </c>
      <c r="F1238" s="1" t="s">
        <v>8622</v>
      </c>
      <c r="G1238" t="s">
        <v>1</v>
      </c>
      <c r="H1238" t="s">
        <v>0</v>
      </c>
      <c r="I1238" t="s">
        <v>8165</v>
      </c>
      <c r="J1238" t="s">
        <v>8164</v>
      </c>
      <c r="K1238">
        <v>12938</v>
      </c>
      <c r="L1238">
        <v>12938</v>
      </c>
      <c r="M1238" t="s">
        <v>7852</v>
      </c>
      <c r="N1238" t="s">
        <v>7851</v>
      </c>
      <c r="O1238" s="3">
        <v>0</v>
      </c>
      <c r="P1238" s="3">
        <v>0</v>
      </c>
      <c r="Q1238" s="3">
        <v>0</v>
      </c>
      <c r="R1238" s="3">
        <v>0</v>
      </c>
      <c r="S1238" s="3">
        <v>0</v>
      </c>
      <c r="T1238" s="3">
        <v>0</v>
      </c>
      <c r="U1238" s="3">
        <v>0</v>
      </c>
      <c r="W1238" s="3" t="s">
        <v>1</v>
      </c>
    </row>
    <row r="1239" spans="5:23" hidden="1" x14ac:dyDescent="0.25">
      <c r="E1239" t="s">
        <v>8607</v>
      </c>
      <c r="F1239" s="1" t="s">
        <v>8622</v>
      </c>
      <c r="G1239" t="s">
        <v>1</v>
      </c>
      <c r="H1239" t="s">
        <v>0</v>
      </c>
      <c r="I1239" t="s">
        <v>8165</v>
      </c>
      <c r="J1239" t="s">
        <v>8164</v>
      </c>
      <c r="K1239">
        <v>12939</v>
      </c>
      <c r="L1239">
        <v>12939</v>
      </c>
      <c r="M1239" t="s">
        <v>8209</v>
      </c>
      <c r="N1239" t="s">
        <v>8210</v>
      </c>
      <c r="O1239" s="3">
        <v>0</v>
      </c>
      <c r="P1239" s="3">
        <v>0</v>
      </c>
      <c r="Q1239" s="3">
        <v>496.4</v>
      </c>
      <c r="R1239" s="3">
        <v>64.531999999999996</v>
      </c>
      <c r="S1239" s="3">
        <v>0</v>
      </c>
      <c r="T1239" s="3">
        <v>0</v>
      </c>
      <c r="U1239" s="3">
        <v>560.93200000000002</v>
      </c>
      <c r="W1239" s="3" t="s">
        <v>1</v>
      </c>
    </row>
    <row r="1240" spans="5:23" hidden="1" x14ac:dyDescent="0.25">
      <c r="E1240" t="s">
        <v>8607</v>
      </c>
      <c r="F1240" s="1" t="s">
        <v>8622</v>
      </c>
      <c r="G1240" t="s">
        <v>1</v>
      </c>
      <c r="H1240" t="s">
        <v>0</v>
      </c>
      <c r="I1240" t="s">
        <v>8165</v>
      </c>
      <c r="J1240" t="s">
        <v>8164</v>
      </c>
      <c r="K1240">
        <v>12940</v>
      </c>
      <c r="L1240">
        <v>12940</v>
      </c>
      <c r="M1240" t="s">
        <v>1273</v>
      </c>
      <c r="N1240" t="s">
        <v>1274</v>
      </c>
      <c r="O1240" s="3">
        <v>0</v>
      </c>
      <c r="P1240" s="3">
        <v>0</v>
      </c>
      <c r="Q1240" s="3">
        <v>278.74</v>
      </c>
      <c r="R1240" s="3">
        <v>36.236200000000004</v>
      </c>
      <c r="S1240" s="3">
        <v>0</v>
      </c>
      <c r="T1240" s="3">
        <v>0</v>
      </c>
      <c r="U1240" s="3">
        <v>314.97620000000001</v>
      </c>
      <c r="W1240" s="3" t="s">
        <v>1</v>
      </c>
    </row>
    <row r="1241" spans="5:23" hidden="1" x14ac:dyDescent="0.25">
      <c r="E1241" t="s">
        <v>8607</v>
      </c>
      <c r="F1241" s="1" t="s">
        <v>8622</v>
      </c>
      <c r="G1241" t="s">
        <v>1</v>
      </c>
      <c r="H1241" t="s">
        <v>0</v>
      </c>
      <c r="I1241" t="s">
        <v>8165</v>
      </c>
      <c r="J1241" t="s">
        <v>8164</v>
      </c>
      <c r="K1241">
        <v>12941</v>
      </c>
      <c r="L1241">
        <v>12941</v>
      </c>
      <c r="M1241" t="s">
        <v>8243</v>
      </c>
      <c r="N1241" t="s">
        <v>8244</v>
      </c>
      <c r="O1241" s="3">
        <v>0</v>
      </c>
      <c r="P1241" s="3">
        <v>0</v>
      </c>
      <c r="Q1241" s="3">
        <v>40.25</v>
      </c>
      <c r="R1241" s="3">
        <v>5.2324999999999999</v>
      </c>
      <c r="S1241" s="3">
        <v>0</v>
      </c>
      <c r="T1241" s="3">
        <v>0</v>
      </c>
      <c r="U1241" s="3">
        <v>45.482500000000002</v>
      </c>
      <c r="W1241" s="3" t="s">
        <v>1</v>
      </c>
    </row>
    <row r="1242" spans="5:23" hidden="1" x14ac:dyDescent="0.25">
      <c r="E1242" t="s">
        <v>8607</v>
      </c>
      <c r="F1242" s="1" t="s">
        <v>8622</v>
      </c>
      <c r="G1242" t="s">
        <v>1</v>
      </c>
      <c r="H1242" t="s">
        <v>0</v>
      </c>
      <c r="I1242" t="s">
        <v>8165</v>
      </c>
      <c r="J1242" t="s">
        <v>8164</v>
      </c>
      <c r="K1242">
        <v>12942</v>
      </c>
      <c r="L1242">
        <v>12942</v>
      </c>
      <c r="M1242" t="s">
        <v>7852</v>
      </c>
      <c r="N1242" t="s">
        <v>7851</v>
      </c>
      <c r="O1242" s="3">
        <v>0</v>
      </c>
      <c r="P1242" s="3">
        <v>0</v>
      </c>
      <c r="Q1242" s="3">
        <v>0</v>
      </c>
      <c r="R1242" s="3">
        <v>0</v>
      </c>
      <c r="S1242" s="3">
        <v>0</v>
      </c>
      <c r="T1242" s="3">
        <v>0</v>
      </c>
      <c r="U1242" s="3">
        <v>0</v>
      </c>
      <c r="W1242" s="3" t="s">
        <v>1</v>
      </c>
    </row>
    <row r="1243" spans="5:23" hidden="1" x14ac:dyDescent="0.25">
      <c r="E1243" t="s">
        <v>8607</v>
      </c>
      <c r="F1243" s="1" t="s">
        <v>8622</v>
      </c>
      <c r="G1243" t="s">
        <v>1</v>
      </c>
      <c r="H1243" t="s">
        <v>0</v>
      </c>
      <c r="I1243" t="s">
        <v>8165</v>
      </c>
      <c r="J1243" t="s">
        <v>8164</v>
      </c>
      <c r="K1243">
        <v>12943</v>
      </c>
      <c r="L1243">
        <v>12943</v>
      </c>
      <c r="M1243" t="s">
        <v>8269</v>
      </c>
      <c r="N1243" t="s">
        <v>8270</v>
      </c>
      <c r="O1243" s="3">
        <v>0</v>
      </c>
      <c r="P1243" s="3">
        <v>0</v>
      </c>
      <c r="Q1243" s="3">
        <v>47.38</v>
      </c>
      <c r="R1243" s="3">
        <v>6.1594000000000007</v>
      </c>
      <c r="S1243" s="3">
        <v>0</v>
      </c>
      <c r="T1243" s="3">
        <v>0</v>
      </c>
      <c r="U1243" s="3">
        <v>53.539400000000001</v>
      </c>
      <c r="W1243" s="3" t="s">
        <v>1</v>
      </c>
    </row>
    <row r="1244" spans="5:23" hidden="1" x14ac:dyDescent="0.25">
      <c r="E1244" t="s">
        <v>8607</v>
      </c>
      <c r="F1244" s="1" t="s">
        <v>8622</v>
      </c>
      <c r="G1244" t="s">
        <v>1</v>
      </c>
      <c r="H1244" t="s">
        <v>0</v>
      </c>
      <c r="I1244" t="s">
        <v>8165</v>
      </c>
      <c r="J1244" t="s">
        <v>8164</v>
      </c>
      <c r="K1244">
        <v>12944</v>
      </c>
      <c r="L1244">
        <v>12944</v>
      </c>
      <c r="M1244" t="s">
        <v>762</v>
      </c>
      <c r="N1244" t="s">
        <v>763</v>
      </c>
      <c r="O1244" s="3">
        <v>0</v>
      </c>
      <c r="P1244" s="3">
        <v>0</v>
      </c>
      <c r="Q1244" s="3">
        <v>88.5</v>
      </c>
      <c r="R1244" s="3">
        <v>11.505000000000001</v>
      </c>
      <c r="S1244" s="3">
        <v>0</v>
      </c>
      <c r="T1244" s="3">
        <v>0</v>
      </c>
      <c r="U1244" s="3">
        <v>100.005</v>
      </c>
      <c r="W1244" s="3" t="s">
        <v>1</v>
      </c>
    </row>
    <row r="1245" spans="5:23" hidden="1" x14ac:dyDescent="0.25">
      <c r="E1245" t="s">
        <v>8607</v>
      </c>
      <c r="F1245" s="1" t="s">
        <v>8622</v>
      </c>
      <c r="G1245" t="s">
        <v>1</v>
      </c>
      <c r="H1245" t="s">
        <v>0</v>
      </c>
      <c r="I1245" t="s">
        <v>8165</v>
      </c>
      <c r="J1245" t="s">
        <v>8164</v>
      </c>
      <c r="K1245">
        <v>12945</v>
      </c>
      <c r="L1245">
        <v>12945</v>
      </c>
      <c r="M1245" t="s">
        <v>8569</v>
      </c>
      <c r="N1245" t="s">
        <v>8570</v>
      </c>
      <c r="O1245" s="3">
        <v>0</v>
      </c>
      <c r="P1245" s="3">
        <v>0</v>
      </c>
      <c r="Q1245" s="3">
        <v>153.76</v>
      </c>
      <c r="R1245" s="3">
        <v>19.988800000000001</v>
      </c>
      <c r="S1245" s="3">
        <v>0</v>
      </c>
      <c r="T1245" s="3">
        <v>0</v>
      </c>
      <c r="U1245" s="3">
        <v>173.74879999999999</v>
      </c>
      <c r="W1245" s="3" t="s">
        <v>1</v>
      </c>
    </row>
    <row r="1246" spans="5:23" hidden="1" x14ac:dyDescent="0.25">
      <c r="E1246" t="s">
        <v>8607</v>
      </c>
      <c r="F1246" s="1" t="s">
        <v>8622</v>
      </c>
      <c r="G1246" t="s">
        <v>1</v>
      </c>
      <c r="H1246" t="s">
        <v>0</v>
      </c>
      <c r="I1246" t="s">
        <v>8165</v>
      </c>
      <c r="J1246" t="s">
        <v>8164</v>
      </c>
      <c r="K1246">
        <v>12946</v>
      </c>
      <c r="L1246">
        <v>12946</v>
      </c>
      <c r="N1246" t="s">
        <v>8185</v>
      </c>
      <c r="O1246" s="3">
        <v>0</v>
      </c>
      <c r="P1246" s="3">
        <v>0</v>
      </c>
      <c r="Q1246" s="3">
        <v>343.55</v>
      </c>
      <c r="R1246" s="3">
        <v>44.661500000000004</v>
      </c>
      <c r="S1246" s="3">
        <v>0</v>
      </c>
      <c r="T1246" s="3">
        <v>0</v>
      </c>
      <c r="U1246" s="3">
        <v>388.2115</v>
      </c>
      <c r="V1246" s="3" t="s">
        <v>8647</v>
      </c>
      <c r="W1246" s="3" t="s">
        <v>1</v>
      </c>
    </row>
    <row r="1247" spans="5:23" hidden="1" x14ac:dyDescent="0.25">
      <c r="E1247" t="s">
        <v>8607</v>
      </c>
      <c r="F1247" s="1" t="s">
        <v>8622</v>
      </c>
      <c r="G1247" t="s">
        <v>1</v>
      </c>
      <c r="H1247" t="s">
        <v>0</v>
      </c>
      <c r="I1247" t="s">
        <v>8165</v>
      </c>
      <c r="J1247" t="s">
        <v>8164</v>
      </c>
      <c r="K1247">
        <v>12947</v>
      </c>
      <c r="L1247">
        <v>12947</v>
      </c>
      <c r="M1247" t="s">
        <v>153</v>
      </c>
      <c r="N1247" t="s">
        <v>154</v>
      </c>
      <c r="O1247" s="3">
        <v>0</v>
      </c>
      <c r="P1247" s="3">
        <v>0</v>
      </c>
      <c r="Q1247" s="3">
        <v>84.07</v>
      </c>
      <c r="R1247" s="3">
        <v>10.9291</v>
      </c>
      <c r="S1247" s="3">
        <v>0</v>
      </c>
      <c r="T1247" s="3">
        <v>0</v>
      </c>
      <c r="U1247" s="3">
        <v>94.999099999999999</v>
      </c>
      <c r="W1247" s="3" t="s">
        <v>1</v>
      </c>
    </row>
    <row r="1248" spans="5:23" hidden="1" x14ac:dyDescent="0.25">
      <c r="E1248" t="s">
        <v>8607</v>
      </c>
      <c r="F1248" s="1" t="s">
        <v>8622</v>
      </c>
      <c r="G1248" t="s">
        <v>1</v>
      </c>
      <c r="H1248" t="s">
        <v>0</v>
      </c>
      <c r="I1248" t="s">
        <v>8165</v>
      </c>
      <c r="J1248" t="s">
        <v>8164</v>
      </c>
      <c r="K1248">
        <v>12948</v>
      </c>
      <c r="L1248">
        <v>12948</v>
      </c>
      <c r="M1248" t="s">
        <v>8308</v>
      </c>
      <c r="N1248" t="s">
        <v>8309</v>
      </c>
      <c r="O1248" s="3">
        <v>0</v>
      </c>
      <c r="P1248" s="3">
        <v>0</v>
      </c>
      <c r="Q1248" s="3">
        <v>105.66</v>
      </c>
      <c r="R1248" s="3">
        <v>13.735799999999999</v>
      </c>
      <c r="S1248" s="3">
        <v>0</v>
      </c>
      <c r="T1248" s="3">
        <v>0</v>
      </c>
      <c r="U1248" s="3">
        <v>119.39579999999999</v>
      </c>
      <c r="W1248" s="3" t="s">
        <v>1</v>
      </c>
    </row>
    <row r="1249" spans="5:23" hidden="1" x14ac:dyDescent="0.25">
      <c r="E1249" t="s">
        <v>8607</v>
      </c>
      <c r="F1249" s="1" t="s">
        <v>8621</v>
      </c>
      <c r="G1249" t="s">
        <v>1</v>
      </c>
      <c r="H1249" t="s">
        <v>0</v>
      </c>
      <c r="I1249" t="s">
        <v>8165</v>
      </c>
      <c r="J1249" t="s">
        <v>8164</v>
      </c>
      <c r="K1249">
        <v>12949</v>
      </c>
      <c r="L1249">
        <v>12949</v>
      </c>
      <c r="M1249" t="s">
        <v>8228</v>
      </c>
      <c r="N1249" t="s">
        <v>8229</v>
      </c>
      <c r="O1249" s="3">
        <v>0</v>
      </c>
      <c r="P1249" s="3">
        <v>0</v>
      </c>
      <c r="Q1249" s="3">
        <v>25.93</v>
      </c>
      <c r="R1249" s="3">
        <v>3.3709000000000002</v>
      </c>
      <c r="S1249" s="3">
        <v>0</v>
      </c>
      <c r="T1249" s="3">
        <v>0</v>
      </c>
      <c r="U1249" s="3">
        <v>29.300899999999999</v>
      </c>
      <c r="W1249" s="3" t="s">
        <v>1</v>
      </c>
    </row>
    <row r="1250" spans="5:23" hidden="1" x14ac:dyDescent="0.25">
      <c r="E1250" t="s">
        <v>8607</v>
      </c>
      <c r="F1250" s="1" t="s">
        <v>8621</v>
      </c>
      <c r="G1250" t="s">
        <v>1</v>
      </c>
      <c r="H1250" t="s">
        <v>0</v>
      </c>
      <c r="I1250" t="s">
        <v>8165</v>
      </c>
      <c r="J1250" t="s">
        <v>8164</v>
      </c>
      <c r="K1250">
        <v>12950</v>
      </c>
      <c r="L1250">
        <v>12950</v>
      </c>
      <c r="M1250" t="s">
        <v>5339</v>
      </c>
      <c r="N1250" t="s">
        <v>5340</v>
      </c>
      <c r="O1250" s="3">
        <v>0</v>
      </c>
      <c r="P1250" s="3">
        <v>0</v>
      </c>
      <c r="Q1250" s="3">
        <v>265.39999999999998</v>
      </c>
      <c r="R1250" s="3">
        <v>34.501999999999995</v>
      </c>
      <c r="S1250" s="3">
        <v>0</v>
      </c>
      <c r="T1250" s="3">
        <v>0</v>
      </c>
      <c r="U1250" s="3">
        <v>299.90199999999999</v>
      </c>
      <c r="W1250" s="3" t="s">
        <v>1</v>
      </c>
    </row>
    <row r="1251" spans="5:23" hidden="1" x14ac:dyDescent="0.25">
      <c r="E1251" t="s">
        <v>8607</v>
      </c>
      <c r="F1251" s="1" t="s">
        <v>8621</v>
      </c>
      <c r="G1251" t="s">
        <v>1</v>
      </c>
      <c r="H1251" t="s">
        <v>0</v>
      </c>
      <c r="I1251" t="s">
        <v>8165</v>
      </c>
      <c r="J1251" t="s">
        <v>8164</v>
      </c>
      <c r="K1251">
        <v>12951</v>
      </c>
      <c r="L1251">
        <v>12951</v>
      </c>
      <c r="M1251" t="s">
        <v>7852</v>
      </c>
      <c r="N1251" t="s">
        <v>7851</v>
      </c>
      <c r="O1251" s="3">
        <v>0</v>
      </c>
      <c r="P1251" s="3">
        <v>0</v>
      </c>
      <c r="Q1251" s="3">
        <v>0</v>
      </c>
      <c r="R1251" s="3">
        <v>0</v>
      </c>
      <c r="S1251" s="3">
        <v>0</v>
      </c>
      <c r="T1251" s="3">
        <v>0</v>
      </c>
      <c r="U1251" s="3">
        <v>0</v>
      </c>
      <c r="W1251" s="3" t="s">
        <v>1</v>
      </c>
    </row>
    <row r="1252" spans="5:23" hidden="1" x14ac:dyDescent="0.25">
      <c r="E1252" t="s">
        <v>8607</v>
      </c>
      <c r="F1252" s="1" t="s">
        <v>8621</v>
      </c>
      <c r="G1252" t="s">
        <v>1</v>
      </c>
      <c r="H1252" t="s">
        <v>0</v>
      </c>
      <c r="I1252" t="s">
        <v>8165</v>
      </c>
      <c r="J1252" t="s">
        <v>8164</v>
      </c>
      <c r="K1252">
        <v>12952</v>
      </c>
      <c r="L1252">
        <v>12952</v>
      </c>
      <c r="N1252" t="s">
        <v>8169</v>
      </c>
      <c r="O1252" s="3">
        <v>0</v>
      </c>
      <c r="P1252" s="3">
        <v>0</v>
      </c>
      <c r="Q1252" s="3">
        <v>22.99</v>
      </c>
      <c r="R1252" s="3">
        <v>2.9886999999999997</v>
      </c>
      <c r="S1252" s="3">
        <v>0</v>
      </c>
      <c r="T1252" s="3">
        <v>0</v>
      </c>
      <c r="U1252" s="3">
        <v>25.978699999999996</v>
      </c>
      <c r="V1252" s="3" t="s">
        <v>8646</v>
      </c>
      <c r="W1252" s="3" t="s">
        <v>1</v>
      </c>
    </row>
    <row r="1253" spans="5:23" hidden="1" x14ac:dyDescent="0.25">
      <c r="E1253" t="s">
        <v>8607</v>
      </c>
      <c r="F1253" s="1" t="s">
        <v>8621</v>
      </c>
      <c r="G1253" t="s">
        <v>1</v>
      </c>
      <c r="H1253" t="s">
        <v>0</v>
      </c>
      <c r="I1253" t="s">
        <v>8165</v>
      </c>
      <c r="J1253" t="s">
        <v>8164</v>
      </c>
      <c r="K1253">
        <v>12953</v>
      </c>
      <c r="L1253">
        <v>12953</v>
      </c>
      <c r="M1253" t="s">
        <v>8243</v>
      </c>
      <c r="N1253" t="s">
        <v>8244</v>
      </c>
      <c r="O1253" s="3">
        <v>0</v>
      </c>
      <c r="P1253" s="3">
        <v>0</v>
      </c>
      <c r="Q1253" s="3">
        <v>27.26</v>
      </c>
      <c r="R1253" s="3">
        <v>3.5438000000000005</v>
      </c>
      <c r="S1253" s="3">
        <v>0</v>
      </c>
      <c r="T1253" s="3">
        <v>0</v>
      </c>
      <c r="U1253" s="3">
        <v>30.803800000000003</v>
      </c>
      <c r="W1253" s="3" t="s">
        <v>1</v>
      </c>
    </row>
    <row r="1254" spans="5:23" hidden="1" x14ac:dyDescent="0.25">
      <c r="E1254" t="s">
        <v>8607</v>
      </c>
      <c r="F1254" s="1" t="s">
        <v>8621</v>
      </c>
      <c r="G1254" t="s">
        <v>1</v>
      </c>
      <c r="H1254" t="s">
        <v>0</v>
      </c>
      <c r="I1254" t="s">
        <v>8165</v>
      </c>
      <c r="J1254" t="s">
        <v>8164</v>
      </c>
      <c r="K1254">
        <v>12954</v>
      </c>
      <c r="L1254">
        <v>12954</v>
      </c>
      <c r="M1254" t="s">
        <v>8289</v>
      </c>
      <c r="N1254" t="s">
        <v>8290</v>
      </c>
      <c r="O1254" s="3">
        <v>0</v>
      </c>
      <c r="P1254" s="3">
        <v>0</v>
      </c>
      <c r="Q1254" s="3">
        <v>248</v>
      </c>
      <c r="R1254" s="3">
        <v>32.24</v>
      </c>
      <c r="S1254" s="3">
        <v>0</v>
      </c>
      <c r="T1254" s="3">
        <v>0</v>
      </c>
      <c r="U1254" s="3">
        <v>280.24</v>
      </c>
      <c r="W1254" s="3" t="s">
        <v>1</v>
      </c>
    </row>
    <row r="1255" spans="5:23" hidden="1" x14ac:dyDescent="0.25">
      <c r="E1255" t="s">
        <v>8607</v>
      </c>
      <c r="F1255" s="1" t="s">
        <v>8621</v>
      </c>
      <c r="G1255" t="s">
        <v>1</v>
      </c>
      <c r="H1255" t="s">
        <v>0</v>
      </c>
      <c r="I1255" t="s">
        <v>8165</v>
      </c>
      <c r="J1255" t="s">
        <v>8164</v>
      </c>
      <c r="K1255">
        <v>12955</v>
      </c>
      <c r="L1255">
        <v>12955</v>
      </c>
      <c r="M1255" t="s">
        <v>7852</v>
      </c>
      <c r="N1255" t="s">
        <v>7851</v>
      </c>
      <c r="O1255" s="3">
        <v>0</v>
      </c>
      <c r="P1255" s="3">
        <v>0</v>
      </c>
      <c r="Q1255" s="3">
        <v>0</v>
      </c>
      <c r="R1255" s="3">
        <v>0</v>
      </c>
      <c r="S1255" s="3">
        <v>0</v>
      </c>
      <c r="T1255" s="3">
        <v>0</v>
      </c>
      <c r="U1255" s="3">
        <v>0</v>
      </c>
      <c r="W1255" s="3" t="s">
        <v>1</v>
      </c>
    </row>
    <row r="1256" spans="5:23" hidden="1" x14ac:dyDescent="0.25">
      <c r="E1256" t="s">
        <v>8607</v>
      </c>
      <c r="F1256" s="1" t="s">
        <v>8621</v>
      </c>
      <c r="G1256" t="s">
        <v>1</v>
      </c>
      <c r="H1256" t="s">
        <v>0</v>
      </c>
      <c r="I1256" t="s">
        <v>8165</v>
      </c>
      <c r="J1256" t="s">
        <v>8164</v>
      </c>
      <c r="K1256">
        <v>12956</v>
      </c>
      <c r="L1256">
        <v>12956</v>
      </c>
      <c r="M1256" t="s">
        <v>7852</v>
      </c>
      <c r="N1256" t="s">
        <v>7851</v>
      </c>
      <c r="O1256" s="3">
        <v>0</v>
      </c>
      <c r="P1256" s="3">
        <v>0</v>
      </c>
      <c r="Q1256" s="3">
        <v>0</v>
      </c>
      <c r="R1256" s="3">
        <v>0</v>
      </c>
      <c r="S1256" s="3">
        <v>0</v>
      </c>
      <c r="T1256" s="3">
        <v>0</v>
      </c>
      <c r="U1256" s="3">
        <v>0</v>
      </c>
      <c r="W1256" s="3" t="s">
        <v>1</v>
      </c>
    </row>
    <row r="1257" spans="5:23" hidden="1" x14ac:dyDescent="0.25">
      <c r="E1257" t="s">
        <v>8607</v>
      </c>
      <c r="F1257" s="1" t="s">
        <v>8621</v>
      </c>
      <c r="G1257" t="s">
        <v>1</v>
      </c>
      <c r="H1257" t="s">
        <v>0</v>
      </c>
      <c r="I1257" t="s">
        <v>8165</v>
      </c>
      <c r="J1257" t="s">
        <v>8164</v>
      </c>
      <c r="K1257">
        <v>12957</v>
      </c>
      <c r="L1257">
        <v>12957</v>
      </c>
      <c r="M1257" t="s">
        <v>8259</v>
      </c>
      <c r="N1257" t="s">
        <v>8260</v>
      </c>
      <c r="O1257" s="3">
        <v>0</v>
      </c>
      <c r="P1257" s="3">
        <v>0</v>
      </c>
      <c r="Q1257" s="3">
        <v>30.4</v>
      </c>
      <c r="R1257" s="3">
        <v>3.952</v>
      </c>
      <c r="S1257" s="3">
        <v>0</v>
      </c>
      <c r="T1257" s="3">
        <v>0</v>
      </c>
      <c r="U1257" s="3">
        <v>34.351999999999997</v>
      </c>
      <c r="W1257" s="3" t="s">
        <v>1</v>
      </c>
    </row>
    <row r="1258" spans="5:23" hidden="1" x14ac:dyDescent="0.25">
      <c r="E1258" t="s">
        <v>8607</v>
      </c>
      <c r="F1258" s="1" t="s">
        <v>8621</v>
      </c>
      <c r="G1258" t="s">
        <v>1</v>
      </c>
      <c r="H1258" t="s">
        <v>0</v>
      </c>
      <c r="I1258" t="s">
        <v>8165</v>
      </c>
      <c r="J1258" t="s">
        <v>8164</v>
      </c>
      <c r="K1258">
        <v>12958</v>
      </c>
      <c r="L1258">
        <v>12958</v>
      </c>
      <c r="M1258" t="s">
        <v>734</v>
      </c>
      <c r="N1258" t="s">
        <v>735</v>
      </c>
      <c r="O1258" s="3">
        <v>0</v>
      </c>
      <c r="P1258" s="3">
        <v>0</v>
      </c>
      <c r="Q1258" s="3">
        <v>38.22</v>
      </c>
      <c r="R1258" s="3">
        <v>4.9686000000000003</v>
      </c>
      <c r="S1258" s="3">
        <v>0</v>
      </c>
      <c r="T1258" s="3">
        <v>0</v>
      </c>
      <c r="U1258" s="3">
        <v>43.188600000000001</v>
      </c>
      <c r="W1258" s="3" t="s">
        <v>1</v>
      </c>
    </row>
    <row r="1259" spans="5:23" hidden="1" x14ac:dyDescent="0.25">
      <c r="E1259" t="s">
        <v>8607</v>
      </c>
      <c r="F1259" s="1" t="s">
        <v>8621</v>
      </c>
      <c r="G1259" t="s">
        <v>1</v>
      </c>
      <c r="H1259" t="s">
        <v>0</v>
      </c>
      <c r="I1259" t="s">
        <v>8165</v>
      </c>
      <c r="J1259" t="s">
        <v>8164</v>
      </c>
      <c r="K1259">
        <v>12959</v>
      </c>
      <c r="L1259">
        <v>12959</v>
      </c>
      <c r="M1259" t="s">
        <v>238</v>
      </c>
      <c r="N1259" t="s">
        <v>239</v>
      </c>
      <c r="O1259" s="3">
        <v>0</v>
      </c>
      <c r="P1259" s="3">
        <v>0</v>
      </c>
      <c r="Q1259" s="3">
        <v>165.07</v>
      </c>
      <c r="R1259" s="3">
        <v>21.459099999999999</v>
      </c>
      <c r="S1259" s="3">
        <v>0</v>
      </c>
      <c r="T1259" s="3">
        <v>0</v>
      </c>
      <c r="U1259" s="3">
        <v>186.5291</v>
      </c>
      <c r="W1259" s="3" t="s">
        <v>1</v>
      </c>
    </row>
    <row r="1260" spans="5:23" hidden="1" x14ac:dyDescent="0.25">
      <c r="E1260" t="s">
        <v>8607</v>
      </c>
      <c r="F1260" s="1" t="s">
        <v>8621</v>
      </c>
      <c r="G1260" t="s">
        <v>1</v>
      </c>
      <c r="H1260" t="s">
        <v>0</v>
      </c>
      <c r="I1260" t="s">
        <v>8165</v>
      </c>
      <c r="J1260" t="s">
        <v>8164</v>
      </c>
      <c r="K1260">
        <v>12960</v>
      </c>
      <c r="L1260">
        <v>12960</v>
      </c>
      <c r="M1260" t="s">
        <v>8174</v>
      </c>
      <c r="N1260" t="s">
        <v>8175</v>
      </c>
      <c r="O1260" s="3">
        <v>0</v>
      </c>
      <c r="P1260" s="3">
        <v>0</v>
      </c>
      <c r="Q1260" s="3">
        <v>144</v>
      </c>
      <c r="R1260" s="3">
        <v>18.72</v>
      </c>
      <c r="S1260" s="3">
        <v>0</v>
      </c>
      <c r="T1260" s="3">
        <v>0</v>
      </c>
      <c r="U1260" s="3">
        <v>162.72</v>
      </c>
      <c r="W1260" s="3" t="s">
        <v>1</v>
      </c>
    </row>
    <row r="1261" spans="5:23" hidden="1" x14ac:dyDescent="0.25">
      <c r="E1261" t="s">
        <v>8607</v>
      </c>
      <c r="F1261" s="1" t="s">
        <v>8621</v>
      </c>
      <c r="G1261" t="s">
        <v>1</v>
      </c>
      <c r="H1261" t="s">
        <v>0</v>
      </c>
      <c r="I1261" t="s">
        <v>8165</v>
      </c>
      <c r="J1261" t="s">
        <v>8164</v>
      </c>
      <c r="K1261">
        <v>12961</v>
      </c>
      <c r="L1261">
        <v>12961</v>
      </c>
      <c r="M1261" t="s">
        <v>8188</v>
      </c>
      <c r="N1261" t="s">
        <v>8189</v>
      </c>
      <c r="O1261" s="3">
        <v>0</v>
      </c>
      <c r="P1261" s="3">
        <v>0</v>
      </c>
      <c r="Q1261" s="3">
        <v>120.64</v>
      </c>
      <c r="R1261" s="3">
        <v>15.683200000000001</v>
      </c>
      <c r="S1261" s="3">
        <v>0</v>
      </c>
      <c r="T1261" s="3">
        <v>0</v>
      </c>
      <c r="U1261" s="3">
        <v>136.32320000000001</v>
      </c>
      <c r="W1261" s="3" t="s">
        <v>1</v>
      </c>
    </row>
    <row r="1262" spans="5:23" hidden="1" x14ac:dyDescent="0.25">
      <c r="E1262" t="s">
        <v>8607</v>
      </c>
      <c r="F1262" s="1" t="s">
        <v>8619</v>
      </c>
      <c r="G1262" t="s">
        <v>1</v>
      </c>
      <c r="H1262" t="s">
        <v>0</v>
      </c>
      <c r="I1262" t="s">
        <v>8165</v>
      </c>
      <c r="J1262" t="s">
        <v>8164</v>
      </c>
      <c r="K1262">
        <v>12962</v>
      </c>
      <c r="L1262">
        <v>12962</v>
      </c>
      <c r="M1262" t="s">
        <v>8188</v>
      </c>
      <c r="N1262" t="s">
        <v>8189</v>
      </c>
      <c r="O1262" s="3">
        <v>0</v>
      </c>
      <c r="P1262" s="3">
        <v>0</v>
      </c>
      <c r="Q1262" s="3">
        <v>132.08000000000001</v>
      </c>
      <c r="R1262" s="3">
        <v>17.170400000000001</v>
      </c>
      <c r="S1262" s="3">
        <v>0</v>
      </c>
      <c r="T1262" s="3">
        <v>0</v>
      </c>
      <c r="U1262" s="3">
        <v>149.25040000000001</v>
      </c>
      <c r="W1262" s="3" t="s">
        <v>1</v>
      </c>
    </row>
    <row r="1263" spans="5:23" hidden="1" x14ac:dyDescent="0.25">
      <c r="E1263" t="s">
        <v>8607</v>
      </c>
      <c r="F1263" s="1" t="s">
        <v>8619</v>
      </c>
      <c r="G1263" t="s">
        <v>1</v>
      </c>
      <c r="H1263" t="s">
        <v>0</v>
      </c>
      <c r="I1263" t="s">
        <v>8165</v>
      </c>
      <c r="J1263" t="s">
        <v>8164</v>
      </c>
      <c r="K1263">
        <v>12963</v>
      </c>
      <c r="L1263">
        <v>12963</v>
      </c>
      <c r="M1263" t="s">
        <v>8320</v>
      </c>
      <c r="N1263" t="s">
        <v>8321</v>
      </c>
      <c r="O1263" s="3">
        <v>0</v>
      </c>
      <c r="P1263" s="3">
        <v>0</v>
      </c>
      <c r="Q1263" s="3">
        <v>23.89</v>
      </c>
      <c r="R1263" s="3">
        <v>3.1057000000000001</v>
      </c>
      <c r="S1263" s="3">
        <v>0</v>
      </c>
      <c r="T1263" s="3">
        <v>0</v>
      </c>
      <c r="U1263" s="3">
        <v>26.995699999999999</v>
      </c>
      <c r="W1263" s="3" t="s">
        <v>1</v>
      </c>
    </row>
    <row r="1264" spans="5:23" hidden="1" x14ac:dyDescent="0.25">
      <c r="E1264" t="s">
        <v>8607</v>
      </c>
      <c r="F1264" s="1" t="s">
        <v>8619</v>
      </c>
      <c r="G1264" t="s">
        <v>1</v>
      </c>
      <c r="H1264" t="s">
        <v>0</v>
      </c>
      <c r="I1264" t="s">
        <v>8165</v>
      </c>
      <c r="J1264" t="s">
        <v>8164</v>
      </c>
      <c r="K1264">
        <v>12964</v>
      </c>
      <c r="L1264">
        <v>12964</v>
      </c>
      <c r="M1264" t="s">
        <v>8644</v>
      </c>
      <c r="N1264" t="s">
        <v>8645</v>
      </c>
      <c r="O1264" s="3">
        <v>0</v>
      </c>
      <c r="P1264" s="3">
        <v>0</v>
      </c>
      <c r="Q1264" s="3">
        <v>23.5</v>
      </c>
      <c r="R1264" s="3">
        <v>3.0550000000000002</v>
      </c>
      <c r="S1264" s="3">
        <v>0</v>
      </c>
      <c r="T1264" s="3">
        <v>0</v>
      </c>
      <c r="U1264" s="3">
        <v>26.555</v>
      </c>
      <c r="W1264" s="3" t="s">
        <v>1</v>
      </c>
    </row>
    <row r="1265" spans="5:23" hidden="1" x14ac:dyDescent="0.25">
      <c r="E1265" t="s">
        <v>8607</v>
      </c>
      <c r="F1265" s="1" t="s">
        <v>8619</v>
      </c>
      <c r="G1265" t="s">
        <v>1</v>
      </c>
      <c r="H1265" t="s">
        <v>0</v>
      </c>
      <c r="I1265" t="s">
        <v>8165</v>
      </c>
      <c r="J1265" t="s">
        <v>8164</v>
      </c>
      <c r="K1265">
        <v>12965</v>
      </c>
      <c r="L1265">
        <v>12965</v>
      </c>
      <c r="M1265" t="s">
        <v>8255</v>
      </c>
      <c r="N1265" t="s">
        <v>8256</v>
      </c>
      <c r="O1265" s="3">
        <v>0</v>
      </c>
      <c r="P1265" s="3">
        <v>0</v>
      </c>
      <c r="Q1265" s="3">
        <v>219.93</v>
      </c>
      <c r="R1265" s="3">
        <v>28.590900000000001</v>
      </c>
      <c r="S1265" s="3">
        <v>0</v>
      </c>
      <c r="T1265" s="3">
        <v>0</v>
      </c>
      <c r="U1265" s="3">
        <v>248.52090000000001</v>
      </c>
      <c r="W1265" s="3" t="s">
        <v>1</v>
      </c>
    </row>
    <row r="1266" spans="5:23" hidden="1" x14ac:dyDescent="0.25">
      <c r="E1266" t="s">
        <v>8607</v>
      </c>
      <c r="F1266" s="1" t="s">
        <v>8619</v>
      </c>
      <c r="G1266" t="s">
        <v>1</v>
      </c>
      <c r="H1266" t="s">
        <v>0</v>
      </c>
      <c r="I1266" t="s">
        <v>8165</v>
      </c>
      <c r="J1266" t="s">
        <v>8164</v>
      </c>
      <c r="K1266">
        <v>12966</v>
      </c>
      <c r="L1266">
        <v>12966</v>
      </c>
      <c r="M1266" t="s">
        <v>8642</v>
      </c>
      <c r="N1266" t="s">
        <v>8643</v>
      </c>
      <c r="O1266" s="3">
        <v>0</v>
      </c>
      <c r="P1266" s="3">
        <v>0</v>
      </c>
      <c r="Q1266" s="3">
        <v>156.96</v>
      </c>
      <c r="R1266" s="3">
        <v>20.404800000000002</v>
      </c>
      <c r="S1266" s="3">
        <v>0</v>
      </c>
      <c r="T1266" s="3">
        <v>0</v>
      </c>
      <c r="U1266" s="3">
        <v>177.3648</v>
      </c>
      <c r="W1266" s="3" t="s">
        <v>1</v>
      </c>
    </row>
    <row r="1267" spans="5:23" hidden="1" x14ac:dyDescent="0.25">
      <c r="E1267" t="s">
        <v>8607</v>
      </c>
      <c r="F1267" s="1" t="s">
        <v>8619</v>
      </c>
      <c r="G1267" t="s">
        <v>1</v>
      </c>
      <c r="H1267" t="s">
        <v>0</v>
      </c>
      <c r="I1267" t="s">
        <v>8165</v>
      </c>
      <c r="J1267" t="s">
        <v>8164</v>
      </c>
      <c r="K1267">
        <v>12967</v>
      </c>
      <c r="L1267">
        <v>12967</v>
      </c>
      <c r="M1267" t="s">
        <v>8188</v>
      </c>
      <c r="N1267" t="s">
        <v>8189</v>
      </c>
      <c r="O1267" s="3">
        <v>0</v>
      </c>
      <c r="P1267" s="3">
        <v>0</v>
      </c>
      <c r="Q1267" s="3">
        <v>113.25</v>
      </c>
      <c r="R1267" s="3">
        <v>14.7225</v>
      </c>
      <c r="S1267" s="3">
        <v>0</v>
      </c>
      <c r="T1267" s="3">
        <v>0</v>
      </c>
      <c r="U1267" s="3">
        <v>127.9725</v>
      </c>
      <c r="W1267" s="3" t="s">
        <v>1</v>
      </c>
    </row>
    <row r="1268" spans="5:23" hidden="1" x14ac:dyDescent="0.25">
      <c r="E1268" t="s">
        <v>8607</v>
      </c>
      <c r="F1268" s="1" t="s">
        <v>8641</v>
      </c>
      <c r="G1268" t="s">
        <v>1</v>
      </c>
      <c r="H1268" t="s">
        <v>0</v>
      </c>
      <c r="I1268" t="s">
        <v>8165</v>
      </c>
      <c r="J1268" t="s">
        <v>8164</v>
      </c>
      <c r="K1268">
        <v>12968</v>
      </c>
      <c r="L1268">
        <v>12968</v>
      </c>
      <c r="M1268" t="s">
        <v>8160</v>
      </c>
      <c r="N1268" t="s">
        <v>8161</v>
      </c>
      <c r="O1268" s="3">
        <v>0</v>
      </c>
      <c r="P1268" s="3">
        <v>0</v>
      </c>
      <c r="Q1268" s="3">
        <v>58.15</v>
      </c>
      <c r="R1268" s="3">
        <v>7.5594999999999999</v>
      </c>
      <c r="S1268" s="3">
        <v>0</v>
      </c>
      <c r="T1268" s="3">
        <v>0</v>
      </c>
      <c r="U1268" s="3">
        <v>65.709499999999991</v>
      </c>
      <c r="W1268" s="3" t="s">
        <v>1</v>
      </c>
    </row>
    <row r="1269" spans="5:23" hidden="1" x14ac:dyDescent="0.25">
      <c r="E1269" t="s">
        <v>8607</v>
      </c>
      <c r="F1269" s="1" t="s">
        <v>8641</v>
      </c>
      <c r="G1269" t="s">
        <v>1</v>
      </c>
      <c r="H1269" t="s">
        <v>0</v>
      </c>
      <c r="I1269" t="s">
        <v>8165</v>
      </c>
      <c r="J1269" t="s">
        <v>8164</v>
      </c>
      <c r="K1269">
        <v>12969</v>
      </c>
      <c r="L1269">
        <v>12969</v>
      </c>
      <c r="M1269" t="s">
        <v>8410</v>
      </c>
      <c r="N1269" t="s">
        <v>8411</v>
      </c>
      <c r="O1269" s="3">
        <v>0</v>
      </c>
      <c r="P1269" s="3">
        <v>0</v>
      </c>
      <c r="Q1269" s="3">
        <v>92.18</v>
      </c>
      <c r="R1269" s="3">
        <v>11.983400000000001</v>
      </c>
      <c r="S1269" s="3">
        <v>0</v>
      </c>
      <c r="T1269" s="3">
        <v>0</v>
      </c>
      <c r="U1269" s="3">
        <v>104.16340000000001</v>
      </c>
      <c r="W1269" s="3" t="s">
        <v>1</v>
      </c>
    </row>
    <row r="1270" spans="5:23" hidden="1" x14ac:dyDescent="0.25">
      <c r="E1270" t="s">
        <v>8607</v>
      </c>
      <c r="F1270" s="1" t="s">
        <v>8641</v>
      </c>
      <c r="G1270" t="s">
        <v>1</v>
      </c>
      <c r="H1270" t="s">
        <v>0</v>
      </c>
      <c r="I1270" t="s">
        <v>8165</v>
      </c>
      <c r="J1270" t="s">
        <v>8164</v>
      </c>
      <c r="K1270">
        <v>12970</v>
      </c>
      <c r="L1270">
        <v>12970</v>
      </c>
      <c r="M1270" t="s">
        <v>8241</v>
      </c>
      <c r="N1270" t="s">
        <v>8242</v>
      </c>
      <c r="O1270" s="3">
        <v>0</v>
      </c>
      <c r="P1270" s="3">
        <v>0</v>
      </c>
      <c r="Q1270" s="3">
        <v>212.4</v>
      </c>
      <c r="R1270" s="3">
        <v>27.612000000000002</v>
      </c>
      <c r="S1270" s="3">
        <v>0</v>
      </c>
      <c r="T1270" s="3">
        <v>0</v>
      </c>
      <c r="U1270" s="3">
        <v>240.012</v>
      </c>
      <c r="W1270" s="3" t="s">
        <v>1</v>
      </c>
    </row>
    <row r="1271" spans="5:23" hidden="1" x14ac:dyDescent="0.25">
      <c r="E1271" t="s">
        <v>8607</v>
      </c>
      <c r="F1271" s="1" t="s">
        <v>8641</v>
      </c>
      <c r="G1271" t="s">
        <v>1</v>
      </c>
      <c r="H1271" t="s">
        <v>0</v>
      </c>
      <c r="I1271" t="s">
        <v>8165</v>
      </c>
      <c r="J1271" t="s">
        <v>8164</v>
      </c>
      <c r="K1271">
        <v>12971</v>
      </c>
      <c r="L1271">
        <v>12971</v>
      </c>
      <c r="M1271" t="s">
        <v>115</v>
      </c>
      <c r="N1271" t="s">
        <v>116</v>
      </c>
      <c r="O1271" s="3">
        <v>0</v>
      </c>
      <c r="P1271" s="3">
        <v>0</v>
      </c>
      <c r="Q1271" s="3">
        <v>1390.26</v>
      </c>
      <c r="R1271" s="3">
        <v>180.7338</v>
      </c>
      <c r="S1271" s="3">
        <v>0</v>
      </c>
      <c r="T1271" s="3">
        <v>0</v>
      </c>
      <c r="U1271" s="3">
        <v>1570.9938</v>
      </c>
      <c r="W1271" s="3" t="s">
        <v>1</v>
      </c>
    </row>
    <row r="1272" spans="5:23" hidden="1" x14ac:dyDescent="0.25">
      <c r="E1272" t="s">
        <v>8607</v>
      </c>
      <c r="F1272" s="1" t="s">
        <v>8641</v>
      </c>
      <c r="G1272" t="s">
        <v>1</v>
      </c>
      <c r="H1272" t="s">
        <v>0</v>
      </c>
      <c r="I1272" t="s">
        <v>8165</v>
      </c>
      <c r="J1272" t="s">
        <v>8164</v>
      </c>
      <c r="K1272">
        <v>12972</v>
      </c>
      <c r="L1272">
        <v>12972</v>
      </c>
      <c r="M1272" t="s">
        <v>8243</v>
      </c>
      <c r="N1272" t="s">
        <v>8244</v>
      </c>
      <c r="O1272" s="3">
        <v>0</v>
      </c>
      <c r="P1272" s="3">
        <v>0</v>
      </c>
      <c r="Q1272" s="3">
        <v>22.5</v>
      </c>
      <c r="R1272" s="3">
        <v>2.9250000000000003</v>
      </c>
      <c r="S1272" s="3">
        <v>0</v>
      </c>
      <c r="T1272" s="3">
        <v>0</v>
      </c>
      <c r="U1272" s="3">
        <v>25.425000000000001</v>
      </c>
      <c r="W1272" s="3" t="s">
        <v>1</v>
      </c>
    </row>
    <row r="1273" spans="5:23" hidden="1" x14ac:dyDescent="0.25">
      <c r="E1273" t="s">
        <v>8607</v>
      </c>
      <c r="F1273" s="1" t="s">
        <v>8641</v>
      </c>
      <c r="G1273" t="s">
        <v>1</v>
      </c>
      <c r="H1273" t="s">
        <v>0</v>
      </c>
      <c r="I1273" t="s">
        <v>8165</v>
      </c>
      <c r="J1273" t="s">
        <v>8164</v>
      </c>
      <c r="K1273">
        <v>12973</v>
      </c>
      <c r="L1273">
        <v>12973</v>
      </c>
      <c r="M1273" t="s">
        <v>7852</v>
      </c>
      <c r="N1273" t="s">
        <v>7851</v>
      </c>
      <c r="O1273" s="3">
        <v>0</v>
      </c>
      <c r="P1273" s="3">
        <v>0</v>
      </c>
      <c r="Q1273" s="3">
        <v>0</v>
      </c>
      <c r="R1273" s="3">
        <v>0</v>
      </c>
      <c r="S1273" s="3">
        <v>0</v>
      </c>
      <c r="T1273" s="3">
        <v>0</v>
      </c>
      <c r="U1273" s="3">
        <v>0</v>
      </c>
      <c r="W1273" s="3" t="s">
        <v>1</v>
      </c>
    </row>
    <row r="1274" spans="5:23" hidden="1" x14ac:dyDescent="0.25">
      <c r="E1274" t="s">
        <v>8607</v>
      </c>
      <c r="F1274" s="1" t="s">
        <v>8641</v>
      </c>
      <c r="G1274" t="s">
        <v>1</v>
      </c>
      <c r="H1274" t="s">
        <v>0</v>
      </c>
      <c r="I1274" t="s">
        <v>8165</v>
      </c>
      <c r="J1274" t="s">
        <v>8164</v>
      </c>
      <c r="K1274">
        <v>12974</v>
      </c>
      <c r="L1274">
        <v>12974</v>
      </c>
      <c r="M1274" t="s">
        <v>8196</v>
      </c>
      <c r="N1274" t="s">
        <v>8197</v>
      </c>
      <c r="O1274" s="3">
        <v>0</v>
      </c>
      <c r="P1274" s="3">
        <v>0</v>
      </c>
      <c r="Q1274" s="3">
        <v>504.43</v>
      </c>
      <c r="R1274" s="3">
        <v>65.575900000000004</v>
      </c>
      <c r="S1274" s="3">
        <v>0</v>
      </c>
      <c r="T1274" s="3">
        <v>0</v>
      </c>
      <c r="U1274" s="3">
        <v>570.0059</v>
      </c>
      <c r="W1274" s="3" t="s">
        <v>1</v>
      </c>
    </row>
    <row r="1275" spans="5:23" hidden="1" x14ac:dyDescent="0.25">
      <c r="E1275" t="s">
        <v>8607</v>
      </c>
      <c r="F1275" s="1" t="s">
        <v>8641</v>
      </c>
      <c r="G1275" t="s">
        <v>1</v>
      </c>
      <c r="H1275" t="s">
        <v>0</v>
      </c>
      <c r="I1275" t="s">
        <v>8165</v>
      </c>
      <c r="J1275" t="s">
        <v>8164</v>
      </c>
      <c r="K1275">
        <v>12975</v>
      </c>
      <c r="L1275">
        <v>12975</v>
      </c>
      <c r="M1275" t="s">
        <v>238</v>
      </c>
      <c r="N1275" t="s">
        <v>239</v>
      </c>
      <c r="O1275" s="3">
        <v>0</v>
      </c>
      <c r="P1275" s="3">
        <v>0</v>
      </c>
      <c r="Q1275" s="3">
        <v>193.85</v>
      </c>
      <c r="R1275" s="3">
        <v>25.200500000000002</v>
      </c>
      <c r="S1275" s="3">
        <v>0</v>
      </c>
      <c r="T1275" s="3">
        <v>0</v>
      </c>
      <c r="U1275" s="3">
        <v>219.0505</v>
      </c>
      <c r="W1275" s="3" t="s">
        <v>1</v>
      </c>
    </row>
    <row r="1276" spans="5:23" hidden="1" x14ac:dyDescent="0.25">
      <c r="E1276" t="s">
        <v>8607</v>
      </c>
      <c r="F1276" s="1" t="s">
        <v>8641</v>
      </c>
      <c r="G1276" t="s">
        <v>1</v>
      </c>
      <c r="H1276" t="s">
        <v>0</v>
      </c>
      <c r="I1276" t="s">
        <v>8165</v>
      </c>
      <c r="J1276" t="s">
        <v>8164</v>
      </c>
      <c r="K1276">
        <v>12976</v>
      </c>
      <c r="L1276">
        <v>12976</v>
      </c>
      <c r="M1276" t="s">
        <v>7869</v>
      </c>
      <c r="N1276" t="s">
        <v>7870</v>
      </c>
      <c r="O1276" s="3">
        <v>0</v>
      </c>
      <c r="P1276" s="3">
        <v>0</v>
      </c>
      <c r="Q1276" s="3">
        <v>325</v>
      </c>
      <c r="R1276" s="3">
        <v>42.25</v>
      </c>
      <c r="S1276" s="3">
        <v>0</v>
      </c>
      <c r="T1276" s="3">
        <v>0</v>
      </c>
      <c r="U1276" s="3">
        <v>367.25</v>
      </c>
      <c r="W1276" s="3" t="s">
        <v>1</v>
      </c>
    </row>
    <row r="1277" spans="5:23" hidden="1" x14ac:dyDescent="0.25">
      <c r="E1277" t="s">
        <v>8607</v>
      </c>
      <c r="F1277" s="1" t="s">
        <v>8641</v>
      </c>
      <c r="G1277" t="s">
        <v>1</v>
      </c>
      <c r="H1277" t="s">
        <v>0</v>
      </c>
      <c r="I1277" t="s">
        <v>8165</v>
      </c>
      <c r="J1277" t="s">
        <v>8164</v>
      </c>
      <c r="K1277">
        <v>12977</v>
      </c>
      <c r="L1277">
        <v>12977</v>
      </c>
      <c r="M1277" t="s">
        <v>8243</v>
      </c>
      <c r="N1277" t="s">
        <v>8244</v>
      </c>
      <c r="O1277" s="3">
        <v>0</v>
      </c>
      <c r="P1277" s="3">
        <v>0</v>
      </c>
      <c r="Q1277" s="3">
        <v>243.37</v>
      </c>
      <c r="R1277" s="3">
        <v>31.638100000000001</v>
      </c>
      <c r="S1277" s="3">
        <v>0</v>
      </c>
      <c r="T1277" s="3">
        <v>0</v>
      </c>
      <c r="U1277" s="3">
        <v>275.00810000000001</v>
      </c>
      <c r="W1277" s="3" t="s">
        <v>1</v>
      </c>
    </row>
    <row r="1278" spans="5:23" hidden="1" x14ac:dyDescent="0.25">
      <c r="E1278" t="s">
        <v>8607</v>
      </c>
      <c r="F1278" s="1" t="s">
        <v>8641</v>
      </c>
      <c r="G1278" t="s">
        <v>1</v>
      </c>
      <c r="H1278" t="s">
        <v>0</v>
      </c>
      <c r="I1278" t="s">
        <v>8165</v>
      </c>
      <c r="J1278" t="s">
        <v>8164</v>
      </c>
      <c r="K1278">
        <v>12978</v>
      </c>
      <c r="L1278">
        <v>12978</v>
      </c>
      <c r="M1278" t="s">
        <v>8243</v>
      </c>
      <c r="N1278" t="s">
        <v>8244</v>
      </c>
      <c r="O1278" s="3">
        <v>0</v>
      </c>
      <c r="P1278" s="3">
        <v>0</v>
      </c>
      <c r="Q1278" s="3">
        <v>37.5</v>
      </c>
      <c r="R1278" s="3">
        <v>4.875</v>
      </c>
      <c r="S1278" s="3">
        <v>0</v>
      </c>
      <c r="T1278" s="3">
        <v>0</v>
      </c>
      <c r="U1278" s="3">
        <v>42.375</v>
      </c>
      <c r="W1278" s="3" t="s">
        <v>1</v>
      </c>
    </row>
    <row r="1279" spans="5:23" hidden="1" x14ac:dyDescent="0.25">
      <c r="E1279" t="s">
        <v>8607</v>
      </c>
      <c r="F1279" s="1" t="s">
        <v>8641</v>
      </c>
      <c r="G1279" t="s">
        <v>1</v>
      </c>
      <c r="H1279" t="s">
        <v>0</v>
      </c>
      <c r="I1279" t="s">
        <v>8165</v>
      </c>
      <c r="J1279" t="s">
        <v>8164</v>
      </c>
      <c r="K1279">
        <v>12979</v>
      </c>
      <c r="L1279">
        <v>12979</v>
      </c>
      <c r="M1279" t="s">
        <v>5339</v>
      </c>
      <c r="N1279" t="s">
        <v>5340</v>
      </c>
      <c r="O1279" s="3">
        <v>0</v>
      </c>
      <c r="P1279" s="3">
        <v>0</v>
      </c>
      <c r="Q1279" s="3">
        <v>358.29</v>
      </c>
      <c r="R1279" s="3">
        <v>46.577700000000007</v>
      </c>
      <c r="S1279" s="3">
        <v>0</v>
      </c>
      <c r="T1279" s="3">
        <v>0</v>
      </c>
      <c r="U1279" s="3">
        <v>404.86770000000001</v>
      </c>
      <c r="W1279" s="3" t="s">
        <v>1</v>
      </c>
    </row>
    <row r="1280" spans="5:23" hidden="1" x14ac:dyDescent="0.25">
      <c r="E1280" t="s">
        <v>8607</v>
      </c>
      <c r="F1280" s="1" t="s">
        <v>8641</v>
      </c>
      <c r="G1280" t="s">
        <v>1</v>
      </c>
      <c r="H1280" t="s">
        <v>0</v>
      </c>
      <c r="I1280" t="s">
        <v>8165</v>
      </c>
      <c r="J1280" t="s">
        <v>8164</v>
      </c>
      <c r="K1280">
        <v>12980</v>
      </c>
      <c r="L1280">
        <v>12980</v>
      </c>
      <c r="M1280" t="s">
        <v>8295</v>
      </c>
      <c r="N1280" t="s">
        <v>935</v>
      </c>
      <c r="O1280" s="3">
        <v>0</v>
      </c>
      <c r="P1280" s="3">
        <v>0</v>
      </c>
      <c r="Q1280" s="3">
        <v>20</v>
      </c>
      <c r="R1280" s="3">
        <v>2.6</v>
      </c>
      <c r="S1280" s="3">
        <v>0</v>
      </c>
      <c r="T1280" s="3">
        <v>0</v>
      </c>
      <c r="U1280" s="3">
        <v>22.6</v>
      </c>
      <c r="W1280" s="3" t="s">
        <v>1</v>
      </c>
    </row>
    <row r="1281" spans="5:23" hidden="1" x14ac:dyDescent="0.25">
      <c r="E1281" t="s">
        <v>8607</v>
      </c>
      <c r="F1281" s="1" t="s">
        <v>8618</v>
      </c>
      <c r="G1281" t="s">
        <v>1</v>
      </c>
      <c r="H1281" t="s">
        <v>0</v>
      </c>
      <c r="I1281" t="s">
        <v>8165</v>
      </c>
      <c r="J1281" t="s">
        <v>8164</v>
      </c>
      <c r="K1281">
        <v>12981</v>
      </c>
      <c r="L1281">
        <v>12981</v>
      </c>
      <c r="M1281" t="s">
        <v>7852</v>
      </c>
      <c r="N1281" t="s">
        <v>7851</v>
      </c>
      <c r="O1281" s="3">
        <v>0</v>
      </c>
      <c r="P1281" s="3">
        <v>0</v>
      </c>
      <c r="Q1281" s="3">
        <v>0</v>
      </c>
      <c r="R1281" s="3">
        <v>0</v>
      </c>
      <c r="S1281" s="3">
        <v>0</v>
      </c>
      <c r="T1281" s="3">
        <v>0</v>
      </c>
      <c r="U1281" s="3">
        <v>0</v>
      </c>
      <c r="W1281" s="3" t="s">
        <v>1</v>
      </c>
    </row>
    <row r="1282" spans="5:23" hidden="1" x14ac:dyDescent="0.25">
      <c r="E1282" t="s">
        <v>8607</v>
      </c>
      <c r="F1282" s="1" t="s">
        <v>8618</v>
      </c>
      <c r="G1282" t="s">
        <v>1</v>
      </c>
      <c r="H1282" t="s">
        <v>0</v>
      </c>
      <c r="I1282" t="s">
        <v>8165</v>
      </c>
      <c r="J1282" t="s">
        <v>8164</v>
      </c>
      <c r="K1282">
        <v>12982</v>
      </c>
      <c r="L1282">
        <v>12982</v>
      </c>
      <c r="M1282" t="s">
        <v>8209</v>
      </c>
      <c r="N1282" t="s">
        <v>8210</v>
      </c>
      <c r="O1282" s="3">
        <v>0</v>
      </c>
      <c r="P1282" s="3">
        <v>0</v>
      </c>
      <c r="Q1282" s="3">
        <v>3143.36</v>
      </c>
      <c r="R1282" s="3">
        <v>408.63680000000005</v>
      </c>
      <c r="S1282" s="3">
        <v>0</v>
      </c>
      <c r="T1282" s="3">
        <v>0</v>
      </c>
      <c r="U1282" s="3">
        <v>3551.9968000000003</v>
      </c>
      <c r="W1282" s="3" t="s">
        <v>1</v>
      </c>
    </row>
    <row r="1283" spans="5:23" hidden="1" x14ac:dyDescent="0.25">
      <c r="E1283" t="s">
        <v>8607</v>
      </c>
      <c r="F1283" s="1" t="s">
        <v>8618</v>
      </c>
      <c r="G1283" t="s">
        <v>1</v>
      </c>
      <c r="H1283" t="s">
        <v>0</v>
      </c>
      <c r="I1283" t="s">
        <v>8165</v>
      </c>
      <c r="J1283" t="s">
        <v>8164</v>
      </c>
      <c r="K1283">
        <v>12983</v>
      </c>
      <c r="L1283">
        <v>12983</v>
      </c>
      <c r="N1283" t="s">
        <v>8208</v>
      </c>
      <c r="O1283" s="3">
        <v>0</v>
      </c>
      <c r="P1283" s="3">
        <v>0</v>
      </c>
      <c r="Q1283" s="3">
        <v>122.15</v>
      </c>
      <c r="R1283" s="3">
        <v>15.879500000000002</v>
      </c>
      <c r="S1283" s="3">
        <v>0</v>
      </c>
      <c r="T1283" s="3">
        <v>0</v>
      </c>
      <c r="U1283" s="3">
        <v>138.02950000000001</v>
      </c>
      <c r="V1283" s="51" t="s">
        <v>8650</v>
      </c>
      <c r="W1283" s="3" t="s">
        <v>1</v>
      </c>
    </row>
    <row r="1284" spans="5:23" hidden="1" x14ac:dyDescent="0.25">
      <c r="E1284" t="s">
        <v>8607</v>
      </c>
      <c r="F1284" s="1" t="s">
        <v>8618</v>
      </c>
      <c r="G1284" t="s">
        <v>1</v>
      </c>
      <c r="H1284" t="s">
        <v>0</v>
      </c>
      <c r="I1284" t="s">
        <v>8165</v>
      </c>
      <c r="J1284" t="s">
        <v>8164</v>
      </c>
      <c r="K1284">
        <v>12984</v>
      </c>
      <c r="L1284">
        <v>12984</v>
      </c>
      <c r="M1284" t="s">
        <v>8234</v>
      </c>
      <c r="N1284" t="s">
        <v>8235</v>
      </c>
      <c r="O1284" s="3">
        <v>0</v>
      </c>
      <c r="P1284" s="3">
        <v>0</v>
      </c>
      <c r="Q1284" s="3">
        <v>559.94000000000005</v>
      </c>
      <c r="R1284" s="3">
        <v>72.792200000000008</v>
      </c>
      <c r="S1284" s="3">
        <v>0</v>
      </c>
      <c r="T1284" s="3">
        <v>0</v>
      </c>
      <c r="U1284" s="3">
        <v>632.73220000000003</v>
      </c>
      <c r="W1284" s="3" t="s">
        <v>1</v>
      </c>
    </row>
    <row r="1285" spans="5:23" hidden="1" x14ac:dyDescent="0.25">
      <c r="E1285" t="s">
        <v>8607</v>
      </c>
      <c r="F1285" s="1" t="s">
        <v>8618</v>
      </c>
      <c r="G1285" t="s">
        <v>1</v>
      </c>
      <c r="H1285" t="s">
        <v>0</v>
      </c>
      <c r="I1285" t="s">
        <v>8165</v>
      </c>
      <c r="J1285" t="s">
        <v>8164</v>
      </c>
      <c r="K1285">
        <v>12985</v>
      </c>
      <c r="L1285">
        <v>12985</v>
      </c>
      <c r="M1285" t="s">
        <v>734</v>
      </c>
      <c r="N1285" t="s">
        <v>735</v>
      </c>
      <c r="O1285" s="3">
        <v>0</v>
      </c>
      <c r="P1285" s="3">
        <v>0</v>
      </c>
      <c r="Q1285" s="3">
        <v>707.22</v>
      </c>
      <c r="R1285" s="3">
        <v>91.938600000000008</v>
      </c>
      <c r="S1285" s="3">
        <v>0</v>
      </c>
      <c r="T1285" s="3">
        <v>0</v>
      </c>
      <c r="U1285" s="3">
        <v>799.15859999999998</v>
      </c>
      <c r="W1285" s="3" t="s">
        <v>1</v>
      </c>
    </row>
    <row r="1286" spans="5:23" hidden="1" x14ac:dyDescent="0.25">
      <c r="E1286" t="s">
        <v>8607</v>
      </c>
      <c r="F1286" s="1" t="s">
        <v>8617</v>
      </c>
      <c r="G1286" t="s">
        <v>1</v>
      </c>
      <c r="H1286" t="s">
        <v>0</v>
      </c>
      <c r="I1286" t="s">
        <v>8165</v>
      </c>
      <c r="J1286" t="s">
        <v>8164</v>
      </c>
      <c r="K1286">
        <v>12986</v>
      </c>
      <c r="L1286">
        <v>12986</v>
      </c>
      <c r="M1286" t="s">
        <v>8243</v>
      </c>
      <c r="N1286" t="s">
        <v>8244</v>
      </c>
      <c r="O1286" s="3">
        <v>0</v>
      </c>
      <c r="P1286" s="3">
        <v>0</v>
      </c>
      <c r="Q1286" s="3">
        <v>21.24</v>
      </c>
      <c r="R1286" s="3">
        <v>2.7612000000000001</v>
      </c>
      <c r="S1286" s="3">
        <v>0</v>
      </c>
      <c r="T1286" s="3">
        <v>0</v>
      </c>
      <c r="U1286" s="3">
        <v>24.001199999999997</v>
      </c>
      <c r="W1286" s="3" t="s">
        <v>1</v>
      </c>
    </row>
    <row r="1287" spans="5:23" hidden="1" x14ac:dyDescent="0.25">
      <c r="E1287" t="s">
        <v>8607</v>
      </c>
      <c r="F1287" s="1" t="s">
        <v>8617</v>
      </c>
      <c r="G1287" t="s">
        <v>1</v>
      </c>
      <c r="H1287" t="s">
        <v>0</v>
      </c>
      <c r="I1287" t="s">
        <v>8165</v>
      </c>
      <c r="J1287" t="s">
        <v>8164</v>
      </c>
      <c r="K1287">
        <v>12987</v>
      </c>
      <c r="L1287">
        <v>12987</v>
      </c>
      <c r="M1287" t="s">
        <v>8269</v>
      </c>
      <c r="N1287" t="s">
        <v>8270</v>
      </c>
      <c r="O1287" s="3">
        <v>0</v>
      </c>
      <c r="P1287" s="3">
        <v>0</v>
      </c>
      <c r="Q1287" s="3">
        <v>95.09</v>
      </c>
      <c r="R1287" s="3">
        <v>12.361700000000001</v>
      </c>
      <c r="S1287" s="3">
        <v>0</v>
      </c>
      <c r="T1287" s="3">
        <v>0</v>
      </c>
      <c r="U1287" s="3">
        <v>107.4517</v>
      </c>
      <c r="W1287" s="3" t="s">
        <v>1</v>
      </c>
    </row>
    <row r="1288" spans="5:23" hidden="1" x14ac:dyDescent="0.25">
      <c r="E1288" t="s">
        <v>8607</v>
      </c>
      <c r="F1288" s="1" t="s">
        <v>8617</v>
      </c>
      <c r="G1288" t="s">
        <v>1</v>
      </c>
      <c r="H1288" t="s">
        <v>0</v>
      </c>
      <c r="I1288" t="s">
        <v>8165</v>
      </c>
      <c r="J1288" t="s">
        <v>8164</v>
      </c>
      <c r="K1288">
        <v>12988</v>
      </c>
      <c r="L1288">
        <v>12988</v>
      </c>
      <c r="M1288" t="s">
        <v>8277</v>
      </c>
      <c r="N1288" t="s">
        <v>8278</v>
      </c>
      <c r="O1288" s="3">
        <v>0</v>
      </c>
      <c r="P1288" s="3">
        <v>0</v>
      </c>
      <c r="Q1288" s="3">
        <v>204.61</v>
      </c>
      <c r="R1288" s="3">
        <v>26.599300000000003</v>
      </c>
      <c r="S1288" s="3">
        <v>0</v>
      </c>
      <c r="T1288" s="3">
        <v>0</v>
      </c>
      <c r="U1288" s="3">
        <v>231.20930000000001</v>
      </c>
      <c r="W1288" s="3" t="s">
        <v>1</v>
      </c>
    </row>
    <row r="1289" spans="5:23" hidden="1" x14ac:dyDescent="0.25">
      <c r="E1289" t="s">
        <v>8607</v>
      </c>
      <c r="F1289" s="1" t="s">
        <v>8617</v>
      </c>
      <c r="G1289" t="s">
        <v>1</v>
      </c>
      <c r="H1289" t="s">
        <v>0</v>
      </c>
      <c r="I1289" t="s">
        <v>8165</v>
      </c>
      <c r="J1289" t="s">
        <v>8164</v>
      </c>
      <c r="K1289">
        <v>12989</v>
      </c>
      <c r="L1289">
        <v>12989</v>
      </c>
      <c r="M1289" t="s">
        <v>8269</v>
      </c>
      <c r="N1289" t="s">
        <v>8270</v>
      </c>
      <c r="O1289" s="3">
        <v>0</v>
      </c>
      <c r="P1289" s="3">
        <v>0</v>
      </c>
      <c r="Q1289" s="3">
        <v>24.48</v>
      </c>
      <c r="R1289" s="3">
        <v>3.1824000000000003</v>
      </c>
      <c r="S1289" s="3">
        <v>0</v>
      </c>
      <c r="T1289" s="3">
        <v>0</v>
      </c>
      <c r="U1289" s="3">
        <v>27.662400000000002</v>
      </c>
      <c r="W1289" s="3" t="s">
        <v>1</v>
      </c>
    </row>
    <row r="1290" spans="5:23" hidden="1" x14ac:dyDescent="0.25">
      <c r="E1290" t="s">
        <v>8607</v>
      </c>
      <c r="F1290" s="1" t="s">
        <v>8617</v>
      </c>
      <c r="G1290" t="s">
        <v>1</v>
      </c>
      <c r="H1290" t="s">
        <v>0</v>
      </c>
      <c r="I1290" t="s">
        <v>8165</v>
      </c>
      <c r="J1290" t="s">
        <v>8164</v>
      </c>
      <c r="K1290">
        <v>12990</v>
      </c>
      <c r="L1290">
        <v>12990</v>
      </c>
      <c r="M1290" t="s">
        <v>1793</v>
      </c>
      <c r="N1290" t="s">
        <v>1794</v>
      </c>
      <c r="O1290" s="3">
        <v>0</v>
      </c>
      <c r="P1290" s="3">
        <v>0</v>
      </c>
      <c r="Q1290" s="3">
        <v>616</v>
      </c>
      <c r="R1290" s="3">
        <v>80.08</v>
      </c>
      <c r="S1290" s="3">
        <v>0</v>
      </c>
      <c r="T1290" s="3">
        <v>0</v>
      </c>
      <c r="U1290" s="3">
        <v>696.08</v>
      </c>
      <c r="W1290" s="3" t="s">
        <v>1</v>
      </c>
    </row>
    <row r="1291" spans="5:23" hidden="1" x14ac:dyDescent="0.25">
      <c r="E1291" t="s">
        <v>8607</v>
      </c>
      <c r="F1291" s="1" t="s">
        <v>8617</v>
      </c>
      <c r="G1291" t="s">
        <v>1</v>
      </c>
      <c r="H1291" t="s">
        <v>0</v>
      </c>
      <c r="I1291" t="s">
        <v>8165</v>
      </c>
      <c r="J1291" t="s">
        <v>8164</v>
      </c>
      <c r="K1291">
        <v>12991</v>
      </c>
      <c r="L1291">
        <v>12991</v>
      </c>
      <c r="N1291" t="s">
        <v>8640</v>
      </c>
      <c r="O1291" s="3">
        <v>0</v>
      </c>
      <c r="P1291" s="3">
        <v>0</v>
      </c>
      <c r="Q1291" s="3">
        <v>494.87</v>
      </c>
      <c r="R1291" s="3">
        <v>64.333100000000002</v>
      </c>
      <c r="S1291" s="3">
        <v>0</v>
      </c>
      <c r="T1291" s="3">
        <v>0</v>
      </c>
      <c r="U1291" s="3">
        <v>559.20309999999995</v>
      </c>
      <c r="V1291" s="3" t="s">
        <v>8639</v>
      </c>
      <c r="W1291" s="3" t="s">
        <v>1</v>
      </c>
    </row>
    <row r="1292" spans="5:23" hidden="1" x14ac:dyDescent="0.25">
      <c r="E1292" t="s">
        <v>8607</v>
      </c>
      <c r="F1292" s="1" t="s">
        <v>8617</v>
      </c>
      <c r="G1292" t="s">
        <v>1</v>
      </c>
      <c r="H1292" t="s">
        <v>0</v>
      </c>
      <c r="I1292" t="s">
        <v>8165</v>
      </c>
      <c r="J1292" t="s">
        <v>8164</v>
      </c>
      <c r="K1292">
        <v>12992</v>
      </c>
      <c r="L1292">
        <v>12992</v>
      </c>
      <c r="M1292" t="s">
        <v>8448</v>
      </c>
      <c r="N1292" t="s">
        <v>8449</v>
      </c>
      <c r="O1292" s="3">
        <v>0</v>
      </c>
      <c r="P1292" s="3">
        <v>0</v>
      </c>
      <c r="Q1292" s="3">
        <v>1833.75</v>
      </c>
      <c r="R1292" s="3">
        <v>238.38750000000002</v>
      </c>
      <c r="S1292" s="3">
        <v>0</v>
      </c>
      <c r="T1292" s="3">
        <v>0</v>
      </c>
      <c r="U1292" s="3">
        <v>2072.1374999999998</v>
      </c>
      <c r="W1292" s="3" t="s">
        <v>1</v>
      </c>
    </row>
    <row r="1293" spans="5:23" hidden="1" x14ac:dyDescent="0.25">
      <c r="E1293" t="s">
        <v>8607</v>
      </c>
      <c r="F1293" s="1" t="s">
        <v>8617</v>
      </c>
      <c r="G1293" t="s">
        <v>1</v>
      </c>
      <c r="H1293" t="s">
        <v>0</v>
      </c>
      <c r="I1293" t="s">
        <v>8165</v>
      </c>
      <c r="J1293" t="s">
        <v>8164</v>
      </c>
      <c r="K1293">
        <v>12993</v>
      </c>
      <c r="L1293">
        <v>12993</v>
      </c>
      <c r="M1293" t="s">
        <v>8224</v>
      </c>
      <c r="N1293" t="s">
        <v>8225</v>
      </c>
      <c r="O1293" s="3">
        <v>0</v>
      </c>
      <c r="P1293" s="3">
        <v>0</v>
      </c>
      <c r="Q1293" s="3">
        <v>59.91</v>
      </c>
      <c r="R1293" s="3">
        <v>7.7882999999999996</v>
      </c>
      <c r="S1293" s="3">
        <v>0</v>
      </c>
      <c r="T1293" s="3">
        <v>0</v>
      </c>
      <c r="U1293" s="3">
        <v>67.698299999999989</v>
      </c>
      <c r="W1293" s="3" t="s">
        <v>1</v>
      </c>
    </row>
    <row r="1294" spans="5:23" hidden="1" x14ac:dyDescent="0.25">
      <c r="E1294" t="s">
        <v>8607</v>
      </c>
      <c r="F1294" s="1" t="s">
        <v>8617</v>
      </c>
      <c r="G1294" t="s">
        <v>1</v>
      </c>
      <c r="H1294" t="s">
        <v>0</v>
      </c>
      <c r="I1294" t="s">
        <v>8165</v>
      </c>
      <c r="J1294" t="s">
        <v>8164</v>
      </c>
      <c r="K1294">
        <v>12994</v>
      </c>
      <c r="L1294">
        <v>12994</v>
      </c>
      <c r="M1294" t="s">
        <v>8239</v>
      </c>
      <c r="N1294" t="s">
        <v>8240</v>
      </c>
      <c r="O1294" s="3">
        <v>0</v>
      </c>
      <c r="P1294" s="3">
        <v>0</v>
      </c>
      <c r="Q1294" s="3">
        <v>198.24</v>
      </c>
      <c r="R1294" s="3">
        <v>25.7712</v>
      </c>
      <c r="S1294" s="3">
        <v>0</v>
      </c>
      <c r="T1294" s="3">
        <v>0</v>
      </c>
      <c r="U1294" s="3">
        <v>224.0112</v>
      </c>
      <c r="W1294" s="3" t="s">
        <v>1</v>
      </c>
    </row>
    <row r="1295" spans="5:23" hidden="1" x14ac:dyDescent="0.25">
      <c r="E1295" t="s">
        <v>8607</v>
      </c>
      <c r="F1295" s="1" t="s">
        <v>8616</v>
      </c>
      <c r="G1295" t="s">
        <v>1</v>
      </c>
      <c r="H1295" t="s">
        <v>0</v>
      </c>
      <c r="I1295" t="s">
        <v>8165</v>
      </c>
      <c r="J1295" t="s">
        <v>8164</v>
      </c>
      <c r="K1295">
        <v>12995</v>
      </c>
      <c r="L1295">
        <v>12995</v>
      </c>
      <c r="M1295" t="s">
        <v>8239</v>
      </c>
      <c r="N1295" t="s">
        <v>8240</v>
      </c>
      <c r="O1295" s="3">
        <v>0</v>
      </c>
      <c r="P1295" s="3">
        <v>0</v>
      </c>
      <c r="Q1295" s="3">
        <v>42</v>
      </c>
      <c r="R1295" s="3">
        <v>5.46</v>
      </c>
      <c r="S1295" s="3">
        <v>0</v>
      </c>
      <c r="T1295" s="3">
        <v>0</v>
      </c>
      <c r="U1295" s="3">
        <v>47.46</v>
      </c>
      <c r="W1295" s="3" t="s">
        <v>1</v>
      </c>
    </row>
    <row r="1296" spans="5:23" hidden="1" x14ac:dyDescent="0.25">
      <c r="E1296" t="s">
        <v>8607</v>
      </c>
      <c r="F1296" s="1" t="s">
        <v>8616</v>
      </c>
      <c r="G1296" t="s">
        <v>1</v>
      </c>
      <c r="H1296" t="s">
        <v>0</v>
      </c>
      <c r="I1296" t="s">
        <v>8165</v>
      </c>
      <c r="J1296" t="s">
        <v>8164</v>
      </c>
      <c r="K1296">
        <v>12996</v>
      </c>
      <c r="L1296">
        <v>12996</v>
      </c>
      <c r="M1296" t="s">
        <v>8275</v>
      </c>
      <c r="N1296" t="s">
        <v>8276</v>
      </c>
      <c r="O1296" s="3">
        <v>0</v>
      </c>
      <c r="P1296" s="3">
        <v>0</v>
      </c>
      <c r="Q1296" s="3">
        <v>744.48</v>
      </c>
      <c r="R1296" s="3">
        <v>96.78240000000001</v>
      </c>
      <c r="S1296" s="3">
        <v>0</v>
      </c>
      <c r="T1296" s="3">
        <v>0</v>
      </c>
      <c r="U1296" s="3">
        <v>841.26240000000007</v>
      </c>
      <c r="W1296" s="3" t="s">
        <v>1</v>
      </c>
    </row>
    <row r="1297" spans="5:23" hidden="1" x14ac:dyDescent="0.25">
      <c r="E1297" t="s">
        <v>8607</v>
      </c>
      <c r="F1297" s="1" t="s">
        <v>8616</v>
      </c>
      <c r="G1297" t="s">
        <v>1</v>
      </c>
      <c r="H1297" t="s">
        <v>0</v>
      </c>
      <c r="I1297" t="s">
        <v>8165</v>
      </c>
      <c r="J1297" t="s">
        <v>8164</v>
      </c>
      <c r="K1297">
        <v>12997</v>
      </c>
      <c r="L1297">
        <v>12997</v>
      </c>
      <c r="M1297" t="s">
        <v>8255</v>
      </c>
      <c r="N1297" t="s">
        <v>8256</v>
      </c>
      <c r="O1297" s="3">
        <v>0</v>
      </c>
      <c r="P1297" s="3">
        <v>0</v>
      </c>
      <c r="Q1297" s="3">
        <v>414</v>
      </c>
      <c r="R1297" s="3">
        <v>53.82</v>
      </c>
      <c r="S1297" s="3">
        <v>0</v>
      </c>
      <c r="T1297" s="3">
        <v>0</v>
      </c>
      <c r="U1297" s="3">
        <v>467.82</v>
      </c>
      <c r="W1297" s="3" t="s">
        <v>1</v>
      </c>
    </row>
    <row r="1298" spans="5:23" hidden="1" x14ac:dyDescent="0.25">
      <c r="E1298" t="s">
        <v>8607</v>
      </c>
      <c r="F1298" s="1" t="s">
        <v>8616</v>
      </c>
      <c r="G1298" t="s">
        <v>1</v>
      </c>
      <c r="H1298" t="s">
        <v>0</v>
      </c>
      <c r="I1298" t="s">
        <v>8165</v>
      </c>
      <c r="J1298" t="s">
        <v>8164</v>
      </c>
      <c r="K1298">
        <v>12998</v>
      </c>
      <c r="L1298">
        <v>12998</v>
      </c>
      <c r="M1298" t="s">
        <v>8226</v>
      </c>
      <c r="N1298" t="s">
        <v>8227</v>
      </c>
      <c r="O1298" s="3">
        <v>0</v>
      </c>
      <c r="P1298" s="3">
        <v>0</v>
      </c>
      <c r="Q1298" s="3">
        <v>157.4</v>
      </c>
      <c r="R1298" s="3">
        <v>20.462</v>
      </c>
      <c r="S1298" s="3">
        <v>0</v>
      </c>
      <c r="T1298" s="3">
        <v>0</v>
      </c>
      <c r="U1298" s="3">
        <v>177.86199999999999</v>
      </c>
      <c r="W1298" s="3" t="s">
        <v>1</v>
      </c>
    </row>
    <row r="1299" spans="5:23" hidden="1" x14ac:dyDescent="0.25">
      <c r="E1299" t="s">
        <v>8607</v>
      </c>
      <c r="F1299" s="1" t="s">
        <v>8616</v>
      </c>
      <c r="G1299" t="s">
        <v>1</v>
      </c>
      <c r="H1299" t="s">
        <v>0</v>
      </c>
      <c r="I1299" t="s">
        <v>8165</v>
      </c>
      <c r="J1299" t="s">
        <v>8164</v>
      </c>
      <c r="K1299">
        <v>12999</v>
      </c>
      <c r="L1299">
        <v>12999</v>
      </c>
      <c r="M1299" t="s">
        <v>8226</v>
      </c>
      <c r="N1299" t="s">
        <v>8227</v>
      </c>
      <c r="O1299" s="3">
        <v>0</v>
      </c>
      <c r="P1299" s="3">
        <v>0</v>
      </c>
      <c r="Q1299" s="3">
        <v>120</v>
      </c>
      <c r="R1299" s="3">
        <v>15.600000000000001</v>
      </c>
      <c r="S1299" s="3">
        <v>0</v>
      </c>
      <c r="T1299" s="3">
        <v>0</v>
      </c>
      <c r="U1299" s="3">
        <v>135.6</v>
      </c>
      <c r="W1299" s="3" t="s">
        <v>1</v>
      </c>
    </row>
    <row r="1300" spans="5:23" hidden="1" x14ac:dyDescent="0.25">
      <c r="E1300" t="s">
        <v>8607</v>
      </c>
      <c r="F1300" s="1" t="s">
        <v>8616</v>
      </c>
      <c r="G1300" t="s">
        <v>1</v>
      </c>
      <c r="H1300" t="s">
        <v>0</v>
      </c>
      <c r="I1300" t="s">
        <v>8165</v>
      </c>
      <c r="J1300" t="s">
        <v>8164</v>
      </c>
      <c r="K1300">
        <v>13000</v>
      </c>
      <c r="L1300">
        <v>13000</v>
      </c>
      <c r="M1300" t="s">
        <v>8637</v>
      </c>
      <c r="N1300" t="s">
        <v>8638</v>
      </c>
      <c r="O1300" s="3">
        <v>0</v>
      </c>
      <c r="P1300" s="3">
        <v>0</v>
      </c>
      <c r="Q1300" s="3">
        <v>346.91</v>
      </c>
      <c r="R1300" s="3">
        <v>45.098300000000002</v>
      </c>
      <c r="S1300" s="3">
        <v>0</v>
      </c>
      <c r="T1300" s="3">
        <v>0</v>
      </c>
      <c r="U1300" s="3">
        <v>392.00830000000002</v>
      </c>
      <c r="W1300" s="3" t="s">
        <v>1</v>
      </c>
    </row>
    <row r="1301" spans="5:23" hidden="1" x14ac:dyDescent="0.25">
      <c r="E1301" t="s">
        <v>8607</v>
      </c>
      <c r="F1301" s="1" t="s">
        <v>8616</v>
      </c>
      <c r="G1301" t="s">
        <v>1</v>
      </c>
      <c r="H1301" t="s">
        <v>0</v>
      </c>
      <c r="I1301" t="s">
        <v>8165</v>
      </c>
      <c r="J1301" t="s">
        <v>8164</v>
      </c>
      <c r="K1301">
        <v>13001</v>
      </c>
      <c r="L1301">
        <v>13001</v>
      </c>
      <c r="M1301" t="s">
        <v>8637</v>
      </c>
      <c r="N1301" t="s">
        <v>8638</v>
      </c>
      <c r="O1301" s="3">
        <v>0</v>
      </c>
      <c r="P1301" s="3">
        <v>0</v>
      </c>
      <c r="Q1301" s="3">
        <v>96.49</v>
      </c>
      <c r="R1301" s="3">
        <v>12.543699999999999</v>
      </c>
      <c r="S1301" s="3">
        <v>0</v>
      </c>
      <c r="T1301" s="3">
        <v>0</v>
      </c>
      <c r="U1301" s="3">
        <v>109.0337</v>
      </c>
      <c r="W1301" s="3" t="s">
        <v>1</v>
      </c>
    </row>
    <row r="1302" spans="5:23" hidden="1" x14ac:dyDescent="0.25">
      <c r="E1302" t="s">
        <v>8607</v>
      </c>
      <c r="F1302" s="1" t="s">
        <v>8616</v>
      </c>
      <c r="G1302" t="s">
        <v>1</v>
      </c>
      <c r="H1302" t="s">
        <v>0</v>
      </c>
      <c r="I1302" t="s">
        <v>8165</v>
      </c>
      <c r="J1302" t="s">
        <v>8164</v>
      </c>
      <c r="K1302">
        <v>13002</v>
      </c>
      <c r="L1302">
        <v>13002</v>
      </c>
      <c r="M1302" t="s">
        <v>1231</v>
      </c>
      <c r="N1302" t="s">
        <v>1232</v>
      </c>
      <c r="O1302" s="3">
        <v>0</v>
      </c>
      <c r="P1302" s="3">
        <v>0</v>
      </c>
      <c r="Q1302" s="3">
        <v>166.32</v>
      </c>
      <c r="R1302" s="3">
        <v>21.621600000000001</v>
      </c>
      <c r="S1302" s="3">
        <v>0</v>
      </c>
      <c r="T1302" s="3">
        <v>0</v>
      </c>
      <c r="U1302" s="3">
        <v>187.94159999999999</v>
      </c>
      <c r="W1302" s="3" t="s">
        <v>1</v>
      </c>
    </row>
    <row r="1303" spans="5:23" hidden="1" x14ac:dyDescent="0.25">
      <c r="E1303" t="s">
        <v>8607</v>
      </c>
      <c r="F1303" s="1" t="s">
        <v>8616</v>
      </c>
      <c r="G1303" t="s">
        <v>1</v>
      </c>
      <c r="H1303" t="s">
        <v>0</v>
      </c>
      <c r="I1303" t="s">
        <v>8165</v>
      </c>
      <c r="J1303" t="s">
        <v>8164</v>
      </c>
      <c r="K1303">
        <v>13003</v>
      </c>
      <c r="L1303">
        <v>13003</v>
      </c>
      <c r="M1303" t="s">
        <v>936</v>
      </c>
      <c r="N1303" t="s">
        <v>937</v>
      </c>
      <c r="O1303" s="3">
        <v>0</v>
      </c>
      <c r="P1303" s="3">
        <v>0</v>
      </c>
      <c r="Q1303" s="3">
        <v>10.4</v>
      </c>
      <c r="R1303" s="3">
        <v>1.3520000000000001</v>
      </c>
      <c r="S1303" s="3">
        <v>0</v>
      </c>
      <c r="T1303" s="3">
        <v>0</v>
      </c>
      <c r="U1303" s="3">
        <v>11.752000000000001</v>
      </c>
      <c r="W1303" s="3" t="s">
        <v>1</v>
      </c>
    </row>
    <row r="1304" spans="5:23" hidden="1" x14ac:dyDescent="0.25">
      <c r="E1304" t="s">
        <v>8607</v>
      </c>
      <c r="F1304" s="1" t="s">
        <v>8616</v>
      </c>
      <c r="G1304" t="s">
        <v>1</v>
      </c>
      <c r="H1304" t="s">
        <v>0</v>
      </c>
      <c r="I1304" t="s">
        <v>8165</v>
      </c>
      <c r="J1304" t="s">
        <v>8164</v>
      </c>
      <c r="K1304">
        <v>13004</v>
      </c>
      <c r="L1304">
        <v>13004</v>
      </c>
      <c r="M1304" t="s">
        <v>8114</v>
      </c>
      <c r="N1304" t="s">
        <v>8115</v>
      </c>
      <c r="O1304" s="3">
        <v>0</v>
      </c>
      <c r="P1304" s="3">
        <v>0</v>
      </c>
      <c r="Q1304" s="3">
        <v>892.75</v>
      </c>
      <c r="R1304" s="3">
        <v>116.0575</v>
      </c>
      <c r="S1304" s="3">
        <v>0</v>
      </c>
      <c r="T1304" s="3">
        <v>0</v>
      </c>
      <c r="U1304" s="3">
        <v>1008.8075</v>
      </c>
      <c r="W1304" s="3" t="s">
        <v>1</v>
      </c>
    </row>
    <row r="1305" spans="5:23" hidden="1" x14ac:dyDescent="0.25">
      <c r="E1305" t="s">
        <v>8607</v>
      </c>
      <c r="F1305" s="1" t="s">
        <v>8616</v>
      </c>
      <c r="G1305" t="s">
        <v>1</v>
      </c>
      <c r="H1305" t="s">
        <v>0</v>
      </c>
      <c r="I1305" t="s">
        <v>8165</v>
      </c>
      <c r="J1305" t="s">
        <v>8164</v>
      </c>
      <c r="K1305">
        <v>13005</v>
      </c>
      <c r="L1305">
        <v>13005</v>
      </c>
      <c r="M1305" t="s">
        <v>8190</v>
      </c>
      <c r="N1305" t="s">
        <v>8191</v>
      </c>
      <c r="O1305" s="3">
        <v>0</v>
      </c>
      <c r="P1305" s="3">
        <v>0</v>
      </c>
      <c r="Q1305" s="3">
        <v>276.57</v>
      </c>
      <c r="R1305" s="3">
        <v>35.954099999999997</v>
      </c>
      <c r="S1305" s="3">
        <v>0</v>
      </c>
      <c r="T1305" s="3">
        <v>0</v>
      </c>
      <c r="U1305" s="3">
        <v>312.52409999999998</v>
      </c>
      <c r="W1305" s="3" t="s">
        <v>1</v>
      </c>
    </row>
    <row r="1306" spans="5:23" hidden="1" x14ac:dyDescent="0.25">
      <c r="E1306" t="s">
        <v>8607</v>
      </c>
      <c r="F1306" s="1" t="s">
        <v>8616</v>
      </c>
      <c r="G1306" t="s">
        <v>1</v>
      </c>
      <c r="H1306" t="s">
        <v>0</v>
      </c>
      <c r="I1306" t="s">
        <v>8165</v>
      </c>
      <c r="J1306" t="s">
        <v>8164</v>
      </c>
      <c r="K1306">
        <v>13006</v>
      </c>
      <c r="L1306">
        <v>13006</v>
      </c>
      <c r="M1306" t="s">
        <v>8176</v>
      </c>
      <c r="N1306" t="s">
        <v>8177</v>
      </c>
      <c r="O1306" s="3">
        <v>0</v>
      </c>
      <c r="P1306" s="3">
        <v>0</v>
      </c>
      <c r="Q1306" s="3">
        <v>27.81</v>
      </c>
      <c r="R1306" s="3">
        <v>3.6153</v>
      </c>
      <c r="S1306" s="3">
        <v>0</v>
      </c>
      <c r="T1306" s="3">
        <v>0</v>
      </c>
      <c r="U1306" s="3">
        <v>31.4253</v>
      </c>
      <c r="W1306" s="3" t="s">
        <v>1</v>
      </c>
    </row>
    <row r="1307" spans="5:23" hidden="1" x14ac:dyDescent="0.25">
      <c r="E1307" t="s">
        <v>8607</v>
      </c>
      <c r="F1307" s="1" t="s">
        <v>8616</v>
      </c>
      <c r="G1307" t="s">
        <v>1</v>
      </c>
      <c r="H1307" t="s">
        <v>0</v>
      </c>
      <c r="I1307" t="s">
        <v>8165</v>
      </c>
      <c r="J1307" t="s">
        <v>8164</v>
      </c>
      <c r="K1307">
        <v>13007</v>
      </c>
      <c r="L1307">
        <v>13007</v>
      </c>
      <c r="M1307" t="s">
        <v>238</v>
      </c>
      <c r="N1307" t="s">
        <v>239</v>
      </c>
      <c r="O1307" s="3">
        <v>0</v>
      </c>
      <c r="P1307" s="3">
        <v>0</v>
      </c>
      <c r="Q1307" s="3">
        <v>110.11</v>
      </c>
      <c r="R1307" s="3">
        <v>14.314300000000001</v>
      </c>
      <c r="S1307" s="3">
        <v>0</v>
      </c>
      <c r="T1307" s="3">
        <v>0</v>
      </c>
      <c r="U1307" s="3">
        <v>124.4243</v>
      </c>
      <c r="W1307" s="3" t="s">
        <v>1</v>
      </c>
    </row>
    <row r="1308" spans="5:23" hidden="1" x14ac:dyDescent="0.25">
      <c r="E1308" t="s">
        <v>8607</v>
      </c>
      <c r="F1308" s="1" t="s">
        <v>8616</v>
      </c>
      <c r="G1308" t="s">
        <v>1</v>
      </c>
      <c r="H1308" t="s">
        <v>0</v>
      </c>
      <c r="I1308" t="s">
        <v>8165</v>
      </c>
      <c r="J1308" t="s">
        <v>8164</v>
      </c>
      <c r="K1308">
        <v>13008</v>
      </c>
      <c r="L1308">
        <v>13008</v>
      </c>
      <c r="M1308" t="s">
        <v>238</v>
      </c>
      <c r="N1308" t="s">
        <v>239</v>
      </c>
      <c r="O1308" s="3">
        <v>0</v>
      </c>
      <c r="P1308" s="3">
        <v>0</v>
      </c>
      <c r="Q1308" s="3">
        <v>77.430000000000007</v>
      </c>
      <c r="R1308" s="3">
        <v>10.065900000000001</v>
      </c>
      <c r="S1308" s="3">
        <v>0</v>
      </c>
      <c r="T1308" s="3">
        <v>0</v>
      </c>
      <c r="U1308" s="3">
        <v>87.495900000000006</v>
      </c>
      <c r="W1308" s="3" t="s">
        <v>1</v>
      </c>
    </row>
    <row r="1309" spans="5:23" hidden="1" x14ac:dyDescent="0.25">
      <c r="E1309" t="s">
        <v>8607</v>
      </c>
      <c r="F1309" s="1" t="s">
        <v>8627</v>
      </c>
      <c r="G1309" t="s">
        <v>1</v>
      </c>
      <c r="H1309" t="s">
        <v>8333</v>
      </c>
      <c r="I1309" t="s">
        <v>8334</v>
      </c>
      <c r="J1309" t="s">
        <v>8335</v>
      </c>
      <c r="K1309">
        <v>330</v>
      </c>
      <c r="L1309">
        <v>330</v>
      </c>
      <c r="N1309" t="s">
        <v>8219</v>
      </c>
      <c r="O1309" s="3">
        <v>0</v>
      </c>
      <c r="P1309" s="3">
        <v>0</v>
      </c>
      <c r="Q1309" s="3">
        <v>2.1</v>
      </c>
      <c r="R1309" s="3">
        <v>0.27300000000000002</v>
      </c>
      <c r="S1309" s="3">
        <v>0</v>
      </c>
      <c r="T1309" s="3">
        <v>0</v>
      </c>
      <c r="U1309" s="3">
        <v>2.3730000000000002</v>
      </c>
      <c r="V1309" s="3" t="s">
        <v>8636</v>
      </c>
      <c r="W1309" s="3" t="s">
        <v>1</v>
      </c>
    </row>
    <row r="1310" spans="5:23" hidden="1" x14ac:dyDescent="0.25">
      <c r="E1310" t="s">
        <v>8388</v>
      </c>
      <c r="F1310" s="1" t="s">
        <v>8389</v>
      </c>
      <c r="G1310" t="s">
        <v>1</v>
      </c>
      <c r="H1310" t="s">
        <v>8333</v>
      </c>
      <c r="I1310" t="s">
        <v>8334</v>
      </c>
      <c r="J1310" t="s">
        <v>8335</v>
      </c>
      <c r="K1310">
        <v>323</v>
      </c>
      <c r="L1310">
        <v>323</v>
      </c>
      <c r="M1310" t="s">
        <v>8209</v>
      </c>
      <c r="N1310" t="s">
        <v>8210</v>
      </c>
      <c r="O1310" s="3">
        <v>0</v>
      </c>
      <c r="P1310" s="3">
        <v>0</v>
      </c>
      <c r="Q1310" s="3">
        <v>53.1</v>
      </c>
      <c r="R1310" s="3">
        <v>6.9030000000000005</v>
      </c>
      <c r="S1310" s="3">
        <v>0</v>
      </c>
      <c r="T1310" s="3">
        <v>0</v>
      </c>
      <c r="U1310" s="3">
        <v>60.003</v>
      </c>
      <c r="V1310" s="3" t="s">
        <v>8046</v>
      </c>
      <c r="W1310" s="3" t="s">
        <v>1</v>
      </c>
    </row>
    <row r="1311" spans="5:23" hidden="1" x14ac:dyDescent="0.25">
      <c r="E1311" t="s">
        <v>8388</v>
      </c>
      <c r="F1311" s="1" t="s">
        <v>8520</v>
      </c>
      <c r="G1311" t="s">
        <v>1</v>
      </c>
      <c r="H1311" t="s">
        <v>8333</v>
      </c>
      <c r="I1311" t="s">
        <v>8334</v>
      </c>
      <c r="J1311" t="s">
        <v>8335</v>
      </c>
      <c r="K1311">
        <v>326</v>
      </c>
      <c r="L1311">
        <v>326</v>
      </c>
      <c r="M1311" t="s">
        <v>129</v>
      </c>
      <c r="N1311" t="s">
        <v>130</v>
      </c>
      <c r="O1311" s="3">
        <v>0</v>
      </c>
      <c r="P1311" s="3">
        <v>0</v>
      </c>
      <c r="Q1311" s="3">
        <v>10.119999999999999</v>
      </c>
      <c r="R1311" s="3">
        <v>1.3155999999999999</v>
      </c>
      <c r="S1311" s="3">
        <v>0</v>
      </c>
      <c r="T1311" s="3">
        <v>0</v>
      </c>
      <c r="U1311" s="3">
        <v>11.435599999999999</v>
      </c>
      <c r="V1311" s="3" t="s">
        <v>8046</v>
      </c>
      <c r="W1311" s="3" t="s">
        <v>1</v>
      </c>
    </row>
    <row r="1312" spans="5:23" hidden="1" x14ac:dyDescent="0.25">
      <c r="E1312" t="s">
        <v>8388</v>
      </c>
      <c r="F1312" s="1" t="s">
        <v>8520</v>
      </c>
      <c r="G1312" t="s">
        <v>1</v>
      </c>
      <c r="H1312" t="s">
        <v>8333</v>
      </c>
      <c r="I1312" t="s">
        <v>8334</v>
      </c>
      <c r="J1312" t="s">
        <v>8335</v>
      </c>
      <c r="K1312">
        <v>327</v>
      </c>
      <c r="L1312">
        <v>327</v>
      </c>
      <c r="M1312" t="s">
        <v>7852</v>
      </c>
      <c r="N1312" t="s">
        <v>7851</v>
      </c>
      <c r="O1312" s="3">
        <v>0</v>
      </c>
      <c r="P1312" s="3">
        <v>0</v>
      </c>
      <c r="Q1312" s="3">
        <v>0</v>
      </c>
      <c r="R1312" s="3">
        <v>0</v>
      </c>
      <c r="S1312" s="3">
        <v>0</v>
      </c>
      <c r="T1312" s="3">
        <v>0</v>
      </c>
      <c r="U1312" s="3">
        <v>0</v>
      </c>
      <c r="V1312" s="3" t="s">
        <v>8046</v>
      </c>
      <c r="W1312" s="3" t="s">
        <v>1</v>
      </c>
    </row>
    <row r="1313" spans="5:23" hidden="1" x14ac:dyDescent="0.25">
      <c r="E1313" t="s">
        <v>8388</v>
      </c>
      <c r="F1313" s="1" t="s">
        <v>8520</v>
      </c>
      <c r="G1313" t="s">
        <v>1</v>
      </c>
      <c r="H1313" t="s">
        <v>8333</v>
      </c>
      <c r="I1313" t="s">
        <v>8334</v>
      </c>
      <c r="J1313" t="s">
        <v>8335</v>
      </c>
      <c r="K1313">
        <v>328</v>
      </c>
      <c r="L1313">
        <v>328</v>
      </c>
      <c r="M1313" t="s">
        <v>129</v>
      </c>
      <c r="N1313" t="s">
        <v>130</v>
      </c>
      <c r="O1313" s="3">
        <v>0</v>
      </c>
      <c r="P1313" s="3">
        <v>0</v>
      </c>
      <c r="Q1313" s="3">
        <v>23.14</v>
      </c>
      <c r="R1313" s="3">
        <v>3.0082</v>
      </c>
      <c r="S1313" s="3">
        <v>0</v>
      </c>
      <c r="T1313" s="3">
        <v>0</v>
      </c>
      <c r="U1313" s="3">
        <v>26.148199999999999</v>
      </c>
      <c r="V1313" s="3" t="s">
        <v>8046</v>
      </c>
      <c r="W1313" s="3" t="s">
        <v>1</v>
      </c>
    </row>
    <row r="1314" spans="5:23" hidden="1" x14ac:dyDescent="0.25">
      <c r="E1314" t="s">
        <v>8388</v>
      </c>
      <c r="F1314" s="1" t="s">
        <v>8520</v>
      </c>
      <c r="G1314" t="s">
        <v>1</v>
      </c>
      <c r="H1314" t="s">
        <v>8333</v>
      </c>
      <c r="I1314" t="s">
        <v>8334</v>
      </c>
      <c r="J1314" t="s">
        <v>8335</v>
      </c>
      <c r="K1314">
        <v>329</v>
      </c>
      <c r="L1314">
        <v>329</v>
      </c>
      <c r="M1314" t="s">
        <v>129</v>
      </c>
      <c r="N1314" t="s">
        <v>130</v>
      </c>
      <c r="O1314" s="3">
        <v>0</v>
      </c>
      <c r="P1314" s="3">
        <v>0</v>
      </c>
      <c r="Q1314" s="3">
        <v>14.46</v>
      </c>
      <c r="R1314" s="3">
        <v>1.8798000000000001</v>
      </c>
      <c r="S1314" s="3">
        <v>0</v>
      </c>
      <c r="T1314" s="3">
        <v>0</v>
      </c>
      <c r="U1314" s="3">
        <v>16.3398</v>
      </c>
      <c r="V1314" s="3" t="s">
        <v>8046</v>
      </c>
      <c r="W1314" s="3" t="s">
        <v>1</v>
      </c>
    </row>
    <row r="1315" spans="5:23" hidden="1" x14ac:dyDescent="0.25">
      <c r="E1315" t="s">
        <v>8388</v>
      </c>
      <c r="F1315" s="1" t="s">
        <v>8578</v>
      </c>
      <c r="G1315" t="s">
        <v>1</v>
      </c>
      <c r="H1315" t="s">
        <v>0</v>
      </c>
      <c r="I1315" t="s">
        <v>8158</v>
      </c>
      <c r="J1315" t="s">
        <v>8159</v>
      </c>
      <c r="K1315">
        <v>119</v>
      </c>
      <c r="L1315">
        <v>119</v>
      </c>
      <c r="M1315" t="s">
        <v>242</v>
      </c>
      <c r="N1315" t="s">
        <v>243</v>
      </c>
      <c r="O1315" s="3">
        <v>0</v>
      </c>
      <c r="P1315" s="3">
        <v>0</v>
      </c>
      <c r="Q1315" s="3">
        <v>197.83</v>
      </c>
      <c r="R1315" s="3">
        <v>25.717900000000004</v>
      </c>
      <c r="S1315" s="3">
        <v>0</v>
      </c>
      <c r="T1315" s="3">
        <v>0</v>
      </c>
      <c r="U1315" s="3">
        <v>223.54790000000003</v>
      </c>
      <c r="V1315" s="3" t="s">
        <v>8046</v>
      </c>
      <c r="W1315" s="3" t="s">
        <v>1</v>
      </c>
    </row>
    <row r="1316" spans="5:23" hidden="1" x14ac:dyDescent="0.25">
      <c r="E1316" t="s">
        <v>8388</v>
      </c>
      <c r="F1316" s="1" t="s">
        <v>8577</v>
      </c>
      <c r="G1316" t="s">
        <v>1</v>
      </c>
      <c r="H1316" t="s">
        <v>0</v>
      </c>
      <c r="I1316" t="s">
        <v>8158</v>
      </c>
      <c r="J1316" t="s">
        <v>8159</v>
      </c>
      <c r="K1316">
        <v>120</v>
      </c>
      <c r="L1316">
        <v>120</v>
      </c>
      <c r="M1316" t="s">
        <v>242</v>
      </c>
      <c r="N1316" t="s">
        <v>243</v>
      </c>
      <c r="O1316" s="3">
        <v>0</v>
      </c>
      <c r="P1316" s="3">
        <v>0</v>
      </c>
      <c r="Q1316" s="3">
        <v>298.76</v>
      </c>
      <c r="R1316" s="3">
        <v>38.838799999999999</v>
      </c>
      <c r="S1316" s="3">
        <v>0</v>
      </c>
      <c r="T1316" s="3">
        <v>0</v>
      </c>
      <c r="U1316" s="3">
        <v>337.59879999999998</v>
      </c>
      <c r="V1316" s="3" t="s">
        <v>8046</v>
      </c>
      <c r="W1316" s="3" t="s">
        <v>1</v>
      </c>
    </row>
    <row r="1317" spans="5:23" hidden="1" x14ac:dyDescent="0.25">
      <c r="E1317" t="s">
        <v>8388</v>
      </c>
      <c r="F1317" s="1" t="s">
        <v>8577</v>
      </c>
      <c r="G1317" t="s">
        <v>1</v>
      </c>
      <c r="H1317" t="s">
        <v>0</v>
      </c>
      <c r="I1317" t="s">
        <v>8158</v>
      </c>
      <c r="J1317" t="s">
        <v>8159</v>
      </c>
      <c r="K1317">
        <v>121</v>
      </c>
      <c r="L1317">
        <v>121</v>
      </c>
      <c r="M1317" t="s">
        <v>8162</v>
      </c>
      <c r="N1317" t="s">
        <v>8163</v>
      </c>
      <c r="O1317" s="3">
        <v>0</v>
      </c>
      <c r="P1317" s="3">
        <v>0</v>
      </c>
      <c r="Q1317" s="3">
        <v>48.47</v>
      </c>
      <c r="R1317" s="3">
        <v>6.3010999999999999</v>
      </c>
      <c r="S1317" s="3">
        <v>0</v>
      </c>
      <c r="T1317" s="3">
        <v>0</v>
      </c>
      <c r="U1317" s="3">
        <v>54.771099999999997</v>
      </c>
      <c r="V1317" s="3" t="s">
        <v>8046</v>
      </c>
      <c r="W1317" s="3" t="s">
        <v>1</v>
      </c>
    </row>
    <row r="1318" spans="5:23" hidden="1" x14ac:dyDescent="0.25">
      <c r="E1318" t="s">
        <v>8388</v>
      </c>
      <c r="F1318" s="1" t="s">
        <v>8576</v>
      </c>
      <c r="G1318" t="s">
        <v>1</v>
      </c>
      <c r="H1318" t="s">
        <v>0</v>
      </c>
      <c r="I1318" t="s">
        <v>8158</v>
      </c>
      <c r="J1318" t="s">
        <v>8159</v>
      </c>
      <c r="K1318">
        <v>122</v>
      </c>
      <c r="L1318">
        <v>122</v>
      </c>
      <c r="M1318" t="s">
        <v>8162</v>
      </c>
      <c r="N1318" t="s">
        <v>8163</v>
      </c>
      <c r="O1318" s="3">
        <v>0</v>
      </c>
      <c r="P1318" s="3">
        <v>0</v>
      </c>
      <c r="Q1318" s="3">
        <v>62.68</v>
      </c>
      <c r="R1318" s="3">
        <v>8.1484000000000005</v>
      </c>
      <c r="S1318" s="3">
        <v>0</v>
      </c>
      <c r="T1318" s="3">
        <v>0</v>
      </c>
      <c r="U1318" s="3">
        <v>70.828400000000002</v>
      </c>
      <c r="V1318" s="3" t="s">
        <v>8046</v>
      </c>
      <c r="W1318" s="3" t="s">
        <v>1</v>
      </c>
    </row>
    <row r="1319" spans="5:23" hidden="1" x14ac:dyDescent="0.25">
      <c r="E1319" t="s">
        <v>8388</v>
      </c>
      <c r="F1319" s="1" t="s">
        <v>8389</v>
      </c>
      <c r="G1319" t="s">
        <v>1</v>
      </c>
      <c r="H1319" t="s">
        <v>0</v>
      </c>
      <c r="I1319" t="s">
        <v>8165</v>
      </c>
      <c r="J1319" t="s">
        <v>8164</v>
      </c>
      <c r="K1319">
        <v>12300</v>
      </c>
      <c r="L1319">
        <v>12300</v>
      </c>
      <c r="M1319" t="s">
        <v>1062</v>
      </c>
      <c r="N1319" t="s">
        <v>1063</v>
      </c>
      <c r="O1319" s="3">
        <v>0</v>
      </c>
      <c r="P1319" s="3">
        <v>0</v>
      </c>
      <c r="Q1319" s="3">
        <v>68.19</v>
      </c>
      <c r="R1319" s="3">
        <v>8.8646999999999991</v>
      </c>
      <c r="S1319" s="3">
        <v>0</v>
      </c>
      <c r="T1319" s="3">
        <v>0</v>
      </c>
      <c r="U1319" s="3">
        <v>77.054699999999997</v>
      </c>
      <c r="V1319" s="3" t="s">
        <v>8046</v>
      </c>
      <c r="W1319" s="3" t="s">
        <v>1</v>
      </c>
    </row>
    <row r="1320" spans="5:23" hidden="1" x14ac:dyDescent="0.25">
      <c r="E1320" t="s">
        <v>8388</v>
      </c>
      <c r="F1320" s="1" t="s">
        <v>8389</v>
      </c>
      <c r="G1320" t="s">
        <v>1</v>
      </c>
      <c r="H1320" t="s">
        <v>0</v>
      </c>
      <c r="I1320" t="s">
        <v>8165</v>
      </c>
      <c r="J1320" t="s">
        <v>8164</v>
      </c>
      <c r="K1320">
        <v>12301</v>
      </c>
      <c r="L1320">
        <v>12301</v>
      </c>
      <c r="M1320" t="s">
        <v>8170</v>
      </c>
      <c r="N1320" t="s">
        <v>8171</v>
      </c>
      <c r="O1320" s="3">
        <v>0</v>
      </c>
      <c r="P1320" s="3">
        <v>0</v>
      </c>
      <c r="Q1320" s="3">
        <v>4.13</v>
      </c>
      <c r="R1320" s="3">
        <v>0.53690000000000004</v>
      </c>
      <c r="S1320" s="3">
        <v>0</v>
      </c>
      <c r="T1320" s="3">
        <v>0</v>
      </c>
      <c r="U1320" s="3">
        <v>4.6669</v>
      </c>
      <c r="V1320" s="3" t="s">
        <v>8046</v>
      </c>
      <c r="W1320" s="3" t="s">
        <v>1</v>
      </c>
    </row>
    <row r="1321" spans="5:23" hidden="1" x14ac:dyDescent="0.25">
      <c r="E1321" t="s">
        <v>8388</v>
      </c>
      <c r="F1321" s="1" t="s">
        <v>8389</v>
      </c>
      <c r="G1321" t="s">
        <v>1</v>
      </c>
      <c r="H1321" t="s">
        <v>0</v>
      </c>
      <c r="I1321" t="s">
        <v>8165</v>
      </c>
      <c r="J1321" t="s">
        <v>8164</v>
      </c>
      <c r="K1321">
        <v>12302</v>
      </c>
      <c r="L1321">
        <v>12302</v>
      </c>
      <c r="M1321" t="s">
        <v>8213</v>
      </c>
      <c r="N1321" t="s">
        <v>8181</v>
      </c>
      <c r="O1321" s="3">
        <v>0</v>
      </c>
      <c r="P1321" s="3">
        <v>0</v>
      </c>
      <c r="Q1321" s="3">
        <v>8.9600000000000009</v>
      </c>
      <c r="R1321" s="3">
        <v>1.1648000000000001</v>
      </c>
      <c r="S1321" s="3">
        <v>0</v>
      </c>
      <c r="T1321" s="3">
        <v>0</v>
      </c>
      <c r="U1321" s="3">
        <v>10.1248</v>
      </c>
      <c r="V1321" s="3" t="s">
        <v>8046</v>
      </c>
      <c r="W1321" s="3" t="s">
        <v>1</v>
      </c>
    </row>
    <row r="1322" spans="5:23" hidden="1" x14ac:dyDescent="0.25">
      <c r="E1322" t="s">
        <v>8388</v>
      </c>
      <c r="F1322" s="1" t="s">
        <v>8389</v>
      </c>
      <c r="G1322" t="s">
        <v>1</v>
      </c>
      <c r="H1322" t="s">
        <v>0</v>
      </c>
      <c r="I1322" t="s">
        <v>8165</v>
      </c>
      <c r="J1322" t="s">
        <v>8164</v>
      </c>
      <c r="K1322">
        <v>12303</v>
      </c>
      <c r="L1322">
        <v>12303</v>
      </c>
      <c r="M1322" t="s">
        <v>8188</v>
      </c>
      <c r="N1322" t="s">
        <v>8189</v>
      </c>
      <c r="O1322" s="3">
        <v>0</v>
      </c>
      <c r="P1322" s="3">
        <v>0</v>
      </c>
      <c r="Q1322" s="3">
        <v>824.74</v>
      </c>
      <c r="R1322" s="3">
        <v>107.2162</v>
      </c>
      <c r="S1322" s="3">
        <v>0</v>
      </c>
      <c r="T1322" s="3">
        <v>0</v>
      </c>
      <c r="U1322" s="3">
        <v>931.95619999999997</v>
      </c>
      <c r="V1322" s="3" t="s">
        <v>8046</v>
      </c>
      <c r="W1322" s="3" t="s">
        <v>1</v>
      </c>
    </row>
    <row r="1323" spans="5:23" hidden="1" x14ac:dyDescent="0.25">
      <c r="E1323" t="s">
        <v>8388</v>
      </c>
      <c r="F1323" s="1" t="s">
        <v>8389</v>
      </c>
      <c r="G1323" t="s">
        <v>1</v>
      </c>
      <c r="H1323" t="s">
        <v>0</v>
      </c>
      <c r="I1323" t="s">
        <v>8165</v>
      </c>
      <c r="J1323" t="s">
        <v>8164</v>
      </c>
      <c r="K1323">
        <v>12304</v>
      </c>
      <c r="L1323">
        <v>12304</v>
      </c>
      <c r="M1323" t="s">
        <v>8269</v>
      </c>
      <c r="N1323" t="s">
        <v>8270</v>
      </c>
      <c r="O1323" s="3">
        <v>0</v>
      </c>
      <c r="P1323" s="3">
        <v>0</v>
      </c>
      <c r="Q1323" s="3">
        <v>30</v>
      </c>
      <c r="R1323" s="3">
        <v>3.9000000000000004</v>
      </c>
      <c r="S1323" s="3">
        <v>0</v>
      </c>
      <c r="T1323" s="3">
        <v>0</v>
      </c>
      <c r="U1323" s="3">
        <v>33.9</v>
      </c>
      <c r="V1323" s="3" t="s">
        <v>8046</v>
      </c>
      <c r="W1323" s="3" t="s">
        <v>1</v>
      </c>
    </row>
    <row r="1324" spans="5:23" hidden="1" x14ac:dyDescent="0.25">
      <c r="E1324" t="s">
        <v>8388</v>
      </c>
      <c r="F1324" s="1" t="s">
        <v>8389</v>
      </c>
      <c r="G1324" t="s">
        <v>1</v>
      </c>
      <c r="H1324" t="s">
        <v>0</v>
      </c>
      <c r="I1324" t="s">
        <v>8165</v>
      </c>
      <c r="J1324" t="s">
        <v>8164</v>
      </c>
      <c r="K1324">
        <v>12305</v>
      </c>
      <c r="L1324">
        <v>12305</v>
      </c>
      <c r="M1324" t="s">
        <v>8283</v>
      </c>
      <c r="N1324" t="s">
        <v>8284</v>
      </c>
      <c r="O1324" s="3">
        <v>0</v>
      </c>
      <c r="P1324" s="3">
        <v>0</v>
      </c>
      <c r="Q1324" s="3">
        <v>486.73</v>
      </c>
      <c r="R1324" s="3">
        <v>63.274900000000002</v>
      </c>
      <c r="S1324" s="3">
        <v>0</v>
      </c>
      <c r="T1324" s="3">
        <v>0</v>
      </c>
      <c r="U1324" s="3">
        <v>550.00490000000002</v>
      </c>
      <c r="V1324" s="3" t="s">
        <v>8046</v>
      </c>
      <c r="W1324" s="3" t="s">
        <v>1</v>
      </c>
    </row>
    <row r="1325" spans="5:23" hidden="1" x14ac:dyDescent="0.25">
      <c r="E1325" t="s">
        <v>8388</v>
      </c>
      <c r="F1325" s="1" t="s">
        <v>8389</v>
      </c>
      <c r="G1325" t="s">
        <v>1</v>
      </c>
      <c r="H1325" t="s">
        <v>0</v>
      </c>
      <c r="I1325" t="s">
        <v>8165</v>
      </c>
      <c r="J1325" t="s">
        <v>8164</v>
      </c>
      <c r="K1325">
        <v>12306</v>
      </c>
      <c r="L1325">
        <v>12306</v>
      </c>
      <c r="M1325" t="s">
        <v>8255</v>
      </c>
      <c r="N1325" t="s">
        <v>8256</v>
      </c>
      <c r="O1325" s="3">
        <v>0</v>
      </c>
      <c r="P1325" s="3">
        <v>0</v>
      </c>
      <c r="Q1325" s="3">
        <v>276</v>
      </c>
      <c r="R1325" s="3">
        <v>35.880000000000003</v>
      </c>
      <c r="S1325" s="3">
        <v>0</v>
      </c>
      <c r="T1325" s="3">
        <v>0</v>
      </c>
      <c r="U1325" s="3">
        <v>311.88</v>
      </c>
      <c r="V1325" s="3" t="s">
        <v>8046</v>
      </c>
      <c r="W1325" s="3" t="s">
        <v>1</v>
      </c>
    </row>
    <row r="1326" spans="5:23" hidden="1" x14ac:dyDescent="0.25">
      <c r="E1326" t="s">
        <v>8388</v>
      </c>
      <c r="F1326" s="1" t="s">
        <v>8389</v>
      </c>
      <c r="G1326" t="s">
        <v>1</v>
      </c>
      <c r="H1326" t="s">
        <v>0</v>
      </c>
      <c r="I1326" t="s">
        <v>8165</v>
      </c>
      <c r="J1326" t="s">
        <v>8164</v>
      </c>
      <c r="K1326">
        <v>12307</v>
      </c>
      <c r="L1326">
        <v>12307</v>
      </c>
      <c r="M1326" t="s">
        <v>8259</v>
      </c>
      <c r="N1326" t="s">
        <v>8260</v>
      </c>
      <c r="O1326" s="3">
        <v>0</v>
      </c>
      <c r="P1326" s="3">
        <v>0</v>
      </c>
      <c r="Q1326" s="3">
        <v>40.76</v>
      </c>
      <c r="R1326" s="3">
        <v>5.2988</v>
      </c>
      <c r="S1326" s="3">
        <v>0</v>
      </c>
      <c r="T1326" s="3">
        <v>0</v>
      </c>
      <c r="U1326" s="3">
        <v>46.058799999999998</v>
      </c>
      <c r="V1326" s="3" t="s">
        <v>8046</v>
      </c>
      <c r="W1326" s="3" t="s">
        <v>1</v>
      </c>
    </row>
    <row r="1327" spans="5:23" hidden="1" x14ac:dyDescent="0.25">
      <c r="E1327" t="s">
        <v>8388</v>
      </c>
      <c r="F1327" s="1" t="s">
        <v>8389</v>
      </c>
      <c r="G1327" t="s">
        <v>1</v>
      </c>
      <c r="H1327" t="s">
        <v>0</v>
      </c>
      <c r="I1327" t="s">
        <v>8165</v>
      </c>
      <c r="J1327" t="s">
        <v>8164</v>
      </c>
      <c r="K1327">
        <v>12309</v>
      </c>
      <c r="L1327">
        <v>12309</v>
      </c>
      <c r="M1327" t="s">
        <v>8209</v>
      </c>
      <c r="N1327" t="s">
        <v>8210</v>
      </c>
      <c r="O1327" s="3">
        <v>0</v>
      </c>
      <c r="P1327" s="3">
        <v>0</v>
      </c>
      <c r="Q1327" s="3">
        <v>340</v>
      </c>
      <c r="R1327" s="3">
        <v>44.2</v>
      </c>
      <c r="S1327" s="3">
        <v>0</v>
      </c>
      <c r="T1327" s="3">
        <v>0</v>
      </c>
      <c r="U1327" s="3">
        <v>384.2</v>
      </c>
      <c r="V1327" s="3" t="s">
        <v>8046</v>
      </c>
      <c r="W1327" s="3" t="s">
        <v>1</v>
      </c>
    </row>
    <row r="1328" spans="5:23" hidden="1" x14ac:dyDescent="0.25">
      <c r="E1328" t="s">
        <v>8388</v>
      </c>
      <c r="F1328" s="1" t="s">
        <v>8389</v>
      </c>
      <c r="G1328" t="s">
        <v>1</v>
      </c>
      <c r="H1328" t="s">
        <v>0</v>
      </c>
      <c r="I1328" t="s">
        <v>8165</v>
      </c>
      <c r="J1328" t="s">
        <v>8164</v>
      </c>
      <c r="K1328">
        <v>12315</v>
      </c>
      <c r="L1328">
        <v>12315</v>
      </c>
      <c r="M1328" t="s">
        <v>8279</v>
      </c>
      <c r="N1328" t="s">
        <v>8280</v>
      </c>
      <c r="O1328" s="3">
        <v>0</v>
      </c>
      <c r="P1328" s="3">
        <v>0</v>
      </c>
      <c r="Q1328" s="3">
        <v>288.89</v>
      </c>
      <c r="R1328" s="3">
        <v>37.555700000000002</v>
      </c>
      <c r="S1328" s="3">
        <v>0</v>
      </c>
      <c r="T1328" s="3">
        <v>0</v>
      </c>
      <c r="U1328" s="3">
        <v>326.44569999999999</v>
      </c>
      <c r="V1328" s="3" t="s">
        <v>8046</v>
      </c>
      <c r="W1328" s="3" t="s">
        <v>1</v>
      </c>
    </row>
    <row r="1329" spans="5:23" hidden="1" x14ac:dyDescent="0.25">
      <c r="E1329" t="s">
        <v>8388</v>
      </c>
      <c r="F1329" s="34" t="s">
        <v>8389</v>
      </c>
      <c r="G1329" t="s">
        <v>1</v>
      </c>
      <c r="H1329" t="s">
        <v>0</v>
      </c>
      <c r="I1329" t="s">
        <v>8165</v>
      </c>
      <c r="J1329" t="s">
        <v>8164</v>
      </c>
      <c r="K1329">
        <v>12559</v>
      </c>
      <c r="L1329">
        <v>12559</v>
      </c>
      <c r="M1329" t="s">
        <v>8259</v>
      </c>
      <c r="N1329" t="s">
        <v>8260</v>
      </c>
      <c r="O1329" s="3">
        <v>0</v>
      </c>
      <c r="P1329" s="3">
        <v>0</v>
      </c>
      <c r="Q1329" s="3">
        <v>31.2</v>
      </c>
      <c r="R1329" s="3">
        <v>4.056</v>
      </c>
      <c r="S1329" s="3">
        <v>0</v>
      </c>
      <c r="T1329" s="3">
        <v>0</v>
      </c>
      <c r="U1329" s="3">
        <v>35.256</v>
      </c>
      <c r="V1329" s="3" t="s">
        <v>8046</v>
      </c>
      <c r="W1329" s="3" t="s">
        <v>1</v>
      </c>
    </row>
    <row r="1330" spans="5:23" hidden="1" x14ac:dyDescent="0.25">
      <c r="E1330" t="s">
        <v>8388</v>
      </c>
      <c r="F1330" s="34" t="s">
        <v>8389</v>
      </c>
      <c r="G1330" t="s">
        <v>1</v>
      </c>
      <c r="H1330" t="s">
        <v>0</v>
      </c>
      <c r="I1330" t="s">
        <v>8165</v>
      </c>
      <c r="J1330" t="s">
        <v>8164</v>
      </c>
      <c r="K1330">
        <v>12560</v>
      </c>
      <c r="L1330">
        <v>12560</v>
      </c>
      <c r="M1330" t="s">
        <v>8547</v>
      </c>
      <c r="N1330" t="s">
        <v>8548</v>
      </c>
      <c r="O1330" s="3">
        <v>0</v>
      </c>
      <c r="P1330" s="3">
        <v>0</v>
      </c>
      <c r="Q1330" s="3">
        <v>36.9</v>
      </c>
      <c r="R1330" s="3">
        <v>4.7969999999999997</v>
      </c>
      <c r="S1330" s="3">
        <v>0</v>
      </c>
      <c r="T1330" s="3">
        <v>0</v>
      </c>
      <c r="U1330" s="3">
        <v>41.696999999999996</v>
      </c>
      <c r="V1330" s="3" t="s">
        <v>8046</v>
      </c>
      <c r="W1330" s="3" t="s">
        <v>1</v>
      </c>
    </row>
    <row r="1331" spans="5:23" hidden="1" x14ac:dyDescent="0.25">
      <c r="E1331" t="s">
        <v>8388</v>
      </c>
      <c r="F1331" s="34" t="s">
        <v>8389</v>
      </c>
      <c r="G1331" t="s">
        <v>1</v>
      </c>
      <c r="H1331" t="s">
        <v>0</v>
      </c>
      <c r="I1331" t="s">
        <v>8165</v>
      </c>
      <c r="J1331" t="s">
        <v>8164</v>
      </c>
      <c r="K1331">
        <v>12561</v>
      </c>
      <c r="L1331">
        <v>12561</v>
      </c>
      <c r="M1331" t="s">
        <v>8209</v>
      </c>
      <c r="N1331" t="s">
        <v>8210</v>
      </c>
      <c r="O1331" s="3">
        <v>0</v>
      </c>
      <c r="P1331" s="3">
        <v>0</v>
      </c>
      <c r="Q1331" s="3">
        <v>76.5</v>
      </c>
      <c r="R1331" s="3">
        <v>9.9450000000000003</v>
      </c>
      <c r="S1331" s="3">
        <v>0</v>
      </c>
      <c r="T1331" s="3">
        <v>0</v>
      </c>
      <c r="U1331" s="3">
        <v>86.444999999999993</v>
      </c>
      <c r="V1331" s="3" t="s">
        <v>8046</v>
      </c>
      <c r="W1331" s="3" t="s">
        <v>1</v>
      </c>
    </row>
    <row r="1332" spans="5:23" hidden="1" x14ac:dyDescent="0.25">
      <c r="E1332" t="s">
        <v>8388</v>
      </c>
      <c r="F1332" s="34" t="s">
        <v>8389</v>
      </c>
      <c r="G1332" t="s">
        <v>1</v>
      </c>
      <c r="H1332" t="s">
        <v>0</v>
      </c>
      <c r="I1332" t="s">
        <v>8165</v>
      </c>
      <c r="J1332" t="s">
        <v>8164</v>
      </c>
      <c r="K1332">
        <v>12562</v>
      </c>
      <c r="L1332">
        <v>12562</v>
      </c>
      <c r="M1332" t="s">
        <v>8255</v>
      </c>
      <c r="N1332" t="s">
        <v>8256</v>
      </c>
      <c r="O1332" s="3">
        <v>0</v>
      </c>
      <c r="P1332" s="3">
        <v>0</v>
      </c>
      <c r="Q1332" s="3">
        <v>240</v>
      </c>
      <c r="R1332" s="3">
        <v>31.200000000000003</v>
      </c>
      <c r="S1332" s="3">
        <v>0</v>
      </c>
      <c r="T1332" s="3">
        <v>0</v>
      </c>
      <c r="U1332" s="3">
        <v>271.2</v>
      </c>
      <c r="V1332" s="3" t="s">
        <v>8046</v>
      </c>
      <c r="W1332" s="3" t="s">
        <v>1</v>
      </c>
    </row>
    <row r="1333" spans="5:23" hidden="1" x14ac:dyDescent="0.25">
      <c r="E1333" t="s">
        <v>8388</v>
      </c>
      <c r="F1333" s="34" t="s">
        <v>8389</v>
      </c>
      <c r="G1333" t="s">
        <v>1</v>
      </c>
      <c r="H1333" t="s">
        <v>0</v>
      </c>
      <c r="I1333" t="s">
        <v>8165</v>
      </c>
      <c r="J1333" t="s">
        <v>8164</v>
      </c>
      <c r="K1333">
        <v>12563</v>
      </c>
      <c r="L1333">
        <v>12563</v>
      </c>
      <c r="M1333" t="s">
        <v>8226</v>
      </c>
      <c r="N1333" t="s">
        <v>8227</v>
      </c>
      <c r="O1333" s="3">
        <v>0</v>
      </c>
      <c r="P1333" s="3">
        <v>0</v>
      </c>
      <c r="Q1333" s="3">
        <v>120</v>
      </c>
      <c r="R1333" s="3">
        <v>15.600000000000001</v>
      </c>
      <c r="S1333" s="3">
        <v>0</v>
      </c>
      <c r="T1333" s="3">
        <v>0</v>
      </c>
      <c r="U1333" s="3">
        <v>135.6</v>
      </c>
      <c r="V1333" s="3" t="s">
        <v>8046</v>
      </c>
      <c r="W1333" s="3" t="s">
        <v>1</v>
      </c>
    </row>
    <row r="1334" spans="5:23" hidden="1" x14ac:dyDescent="0.25">
      <c r="E1334" t="s">
        <v>8388</v>
      </c>
      <c r="F1334" s="34" t="s">
        <v>8389</v>
      </c>
      <c r="G1334" t="s">
        <v>1</v>
      </c>
      <c r="H1334" t="s">
        <v>0</v>
      </c>
      <c r="I1334" t="s">
        <v>8165</v>
      </c>
      <c r="J1334" t="s">
        <v>8164</v>
      </c>
      <c r="K1334">
        <v>12564</v>
      </c>
      <c r="L1334">
        <v>12564</v>
      </c>
      <c r="M1334" t="s">
        <v>8160</v>
      </c>
      <c r="N1334" t="s">
        <v>8161</v>
      </c>
      <c r="O1334" s="3">
        <v>0</v>
      </c>
      <c r="P1334" s="3">
        <v>0</v>
      </c>
      <c r="Q1334" s="3">
        <v>92.91</v>
      </c>
      <c r="R1334" s="3">
        <v>12.0783</v>
      </c>
      <c r="S1334" s="3">
        <v>0</v>
      </c>
      <c r="T1334" s="3">
        <v>0</v>
      </c>
      <c r="U1334" s="3">
        <v>104.9883</v>
      </c>
      <c r="V1334" s="3" t="s">
        <v>8046</v>
      </c>
      <c r="W1334" s="3" t="s">
        <v>1</v>
      </c>
    </row>
    <row r="1335" spans="5:23" hidden="1" x14ac:dyDescent="0.25">
      <c r="E1335" t="s">
        <v>8388</v>
      </c>
      <c r="F1335" s="34" t="s">
        <v>8389</v>
      </c>
      <c r="G1335" t="s">
        <v>1</v>
      </c>
      <c r="H1335" t="s">
        <v>0</v>
      </c>
      <c r="I1335" t="s">
        <v>8165</v>
      </c>
      <c r="J1335" t="s">
        <v>8164</v>
      </c>
      <c r="K1335">
        <v>12565</v>
      </c>
      <c r="L1335">
        <v>12565</v>
      </c>
      <c r="M1335" t="s">
        <v>238</v>
      </c>
      <c r="N1335" t="s">
        <v>239</v>
      </c>
      <c r="O1335" s="3">
        <v>0</v>
      </c>
      <c r="P1335" s="3">
        <v>0</v>
      </c>
      <c r="Q1335" s="3">
        <v>297.39</v>
      </c>
      <c r="R1335" s="3">
        <v>38.660699999999999</v>
      </c>
      <c r="S1335" s="3">
        <v>0</v>
      </c>
      <c r="T1335" s="3">
        <v>0</v>
      </c>
      <c r="U1335" s="3">
        <v>336.05070000000001</v>
      </c>
      <c r="V1335" s="3" t="s">
        <v>8046</v>
      </c>
      <c r="W1335" s="3" t="s">
        <v>1</v>
      </c>
    </row>
    <row r="1336" spans="5:23" hidden="1" x14ac:dyDescent="0.25">
      <c r="E1336" t="s">
        <v>8388</v>
      </c>
      <c r="F1336" s="34" t="s">
        <v>8389</v>
      </c>
      <c r="G1336" t="s">
        <v>1</v>
      </c>
      <c r="H1336" t="s">
        <v>0</v>
      </c>
      <c r="I1336" t="s">
        <v>8165</v>
      </c>
      <c r="J1336" t="s">
        <v>8164</v>
      </c>
      <c r="K1336">
        <v>12566</v>
      </c>
      <c r="L1336">
        <v>12566</v>
      </c>
      <c r="M1336" t="s">
        <v>7926</v>
      </c>
      <c r="N1336" t="s">
        <v>7927</v>
      </c>
      <c r="O1336" s="3">
        <v>0</v>
      </c>
      <c r="P1336" s="3">
        <v>0</v>
      </c>
      <c r="Q1336" s="3">
        <v>152.91999999999999</v>
      </c>
      <c r="R1336" s="3">
        <v>19.8796</v>
      </c>
      <c r="S1336" s="3">
        <v>0</v>
      </c>
      <c r="T1336" s="3">
        <v>0</v>
      </c>
      <c r="U1336" s="3">
        <v>172.7996</v>
      </c>
      <c r="V1336" s="3" t="s">
        <v>8046</v>
      </c>
      <c r="W1336" s="3" t="s">
        <v>1</v>
      </c>
    </row>
    <row r="1337" spans="5:23" hidden="1" x14ac:dyDescent="0.25">
      <c r="E1337" t="s">
        <v>8388</v>
      </c>
      <c r="F1337" s="34" t="s">
        <v>8389</v>
      </c>
      <c r="G1337" t="s">
        <v>1</v>
      </c>
      <c r="H1337" t="s">
        <v>0</v>
      </c>
      <c r="I1337" t="s">
        <v>8165</v>
      </c>
      <c r="J1337" t="s">
        <v>8164</v>
      </c>
      <c r="K1337">
        <v>12567</v>
      </c>
      <c r="L1337">
        <v>12567</v>
      </c>
      <c r="M1337" t="s">
        <v>7926</v>
      </c>
      <c r="N1337" t="s">
        <v>7927</v>
      </c>
      <c r="O1337" s="3">
        <v>0</v>
      </c>
      <c r="P1337" s="3">
        <v>0</v>
      </c>
      <c r="Q1337" s="3">
        <v>154.87</v>
      </c>
      <c r="R1337" s="3">
        <v>20.133100000000002</v>
      </c>
      <c r="S1337" s="3">
        <v>0</v>
      </c>
      <c r="T1337" s="3">
        <v>0</v>
      </c>
      <c r="U1337" s="3">
        <v>175.00310000000002</v>
      </c>
      <c r="V1337" s="3" t="s">
        <v>8046</v>
      </c>
      <c r="W1337" s="3" t="s">
        <v>1</v>
      </c>
    </row>
    <row r="1338" spans="5:23" hidden="1" x14ac:dyDescent="0.25">
      <c r="E1338" t="s">
        <v>8388</v>
      </c>
      <c r="F1338" s="34" t="s">
        <v>8389</v>
      </c>
      <c r="G1338" t="s">
        <v>1</v>
      </c>
      <c r="H1338" t="s">
        <v>0</v>
      </c>
      <c r="I1338" t="s">
        <v>8165</v>
      </c>
      <c r="J1338" t="s">
        <v>8164</v>
      </c>
      <c r="K1338">
        <v>12568</v>
      </c>
      <c r="L1338">
        <v>12568</v>
      </c>
      <c r="M1338" t="s">
        <v>7926</v>
      </c>
      <c r="N1338" t="s">
        <v>7927</v>
      </c>
      <c r="O1338" s="3">
        <v>0</v>
      </c>
      <c r="P1338" s="3">
        <v>0</v>
      </c>
      <c r="Q1338" s="3">
        <v>52</v>
      </c>
      <c r="R1338" s="3">
        <v>6.76</v>
      </c>
      <c r="S1338" s="3">
        <v>0</v>
      </c>
      <c r="T1338" s="3">
        <v>0</v>
      </c>
      <c r="U1338" s="3">
        <v>58.76</v>
      </c>
      <c r="V1338" s="3" t="s">
        <v>8046</v>
      </c>
      <c r="W1338" s="3" t="s">
        <v>1</v>
      </c>
    </row>
    <row r="1339" spans="5:23" hidden="1" x14ac:dyDescent="0.25">
      <c r="E1339" t="s">
        <v>8388</v>
      </c>
      <c r="F1339" s="1" t="s">
        <v>8539</v>
      </c>
      <c r="G1339" t="s">
        <v>1</v>
      </c>
      <c r="H1339" t="s">
        <v>0</v>
      </c>
      <c r="I1339" t="s">
        <v>8165</v>
      </c>
      <c r="J1339" t="s">
        <v>8164</v>
      </c>
      <c r="K1339">
        <v>12569</v>
      </c>
      <c r="L1339">
        <v>12569</v>
      </c>
      <c r="M1339" t="s">
        <v>7852</v>
      </c>
      <c r="N1339" t="s">
        <v>7851</v>
      </c>
      <c r="O1339" s="3">
        <v>0</v>
      </c>
      <c r="P1339" s="3">
        <v>0</v>
      </c>
      <c r="Q1339" s="3">
        <v>0</v>
      </c>
      <c r="R1339" s="3">
        <v>0</v>
      </c>
      <c r="S1339" s="3">
        <v>0</v>
      </c>
      <c r="T1339" s="3">
        <v>0</v>
      </c>
      <c r="U1339" s="3">
        <v>0</v>
      </c>
      <c r="V1339" s="3" t="s">
        <v>8046</v>
      </c>
      <c r="W1339" s="3" t="s">
        <v>1</v>
      </c>
    </row>
    <row r="1340" spans="5:23" hidden="1" x14ac:dyDescent="0.25">
      <c r="E1340" t="s">
        <v>8388</v>
      </c>
      <c r="F1340" s="1" t="s">
        <v>8539</v>
      </c>
      <c r="G1340" t="s">
        <v>1</v>
      </c>
      <c r="H1340" t="s">
        <v>0</v>
      </c>
      <c r="I1340" t="s">
        <v>8165</v>
      </c>
      <c r="J1340" t="s">
        <v>8164</v>
      </c>
      <c r="K1340">
        <v>12570</v>
      </c>
      <c r="L1340">
        <v>12570</v>
      </c>
      <c r="M1340" t="s">
        <v>2994</v>
      </c>
      <c r="N1340" t="s">
        <v>2995</v>
      </c>
      <c r="O1340" s="3">
        <v>0</v>
      </c>
      <c r="P1340" s="3">
        <v>0</v>
      </c>
      <c r="Q1340" s="3">
        <v>41.77</v>
      </c>
      <c r="R1340" s="3">
        <v>5.4301000000000004</v>
      </c>
      <c r="S1340" s="3">
        <v>0</v>
      </c>
      <c r="T1340" s="3">
        <v>0</v>
      </c>
      <c r="U1340" s="3">
        <v>47.200100000000006</v>
      </c>
      <c r="V1340" s="3" t="s">
        <v>8046</v>
      </c>
      <c r="W1340" s="3" t="s">
        <v>1</v>
      </c>
    </row>
    <row r="1341" spans="5:23" hidden="1" x14ac:dyDescent="0.25">
      <c r="E1341" t="s">
        <v>8388</v>
      </c>
      <c r="F1341" s="1" t="s">
        <v>8539</v>
      </c>
      <c r="G1341" t="s">
        <v>1</v>
      </c>
      <c r="H1341" t="s">
        <v>0</v>
      </c>
      <c r="I1341" t="s">
        <v>8165</v>
      </c>
      <c r="J1341" t="s">
        <v>8164</v>
      </c>
      <c r="K1341">
        <v>12571</v>
      </c>
      <c r="L1341">
        <v>12571</v>
      </c>
      <c r="M1341" t="s">
        <v>7852</v>
      </c>
      <c r="N1341" t="s">
        <v>7851</v>
      </c>
      <c r="O1341" s="3">
        <v>0</v>
      </c>
      <c r="P1341" s="3">
        <v>0</v>
      </c>
      <c r="Q1341" s="3">
        <v>0</v>
      </c>
      <c r="R1341" s="3">
        <v>0</v>
      </c>
      <c r="S1341" s="3">
        <v>0</v>
      </c>
      <c r="T1341" s="3">
        <v>0</v>
      </c>
      <c r="U1341" s="3">
        <v>0</v>
      </c>
      <c r="V1341" s="3" t="s">
        <v>8046</v>
      </c>
      <c r="W1341" s="3" t="s">
        <v>1</v>
      </c>
    </row>
    <row r="1342" spans="5:23" hidden="1" x14ac:dyDescent="0.25">
      <c r="E1342" t="s">
        <v>8388</v>
      </c>
      <c r="F1342" s="1" t="s">
        <v>8539</v>
      </c>
      <c r="G1342" t="s">
        <v>1</v>
      </c>
      <c r="H1342" t="s">
        <v>0</v>
      </c>
      <c r="I1342" t="s">
        <v>8165</v>
      </c>
      <c r="J1342" t="s">
        <v>8164</v>
      </c>
      <c r="K1342">
        <v>12572</v>
      </c>
      <c r="L1342">
        <v>12572</v>
      </c>
      <c r="M1342" t="s">
        <v>2994</v>
      </c>
      <c r="N1342" t="s">
        <v>2995</v>
      </c>
      <c r="O1342" s="3">
        <v>0</v>
      </c>
      <c r="P1342" s="3">
        <v>0</v>
      </c>
      <c r="Q1342" s="3">
        <v>18</v>
      </c>
      <c r="R1342" s="3">
        <v>2.34</v>
      </c>
      <c r="S1342" s="3">
        <v>0</v>
      </c>
      <c r="T1342" s="3">
        <v>0</v>
      </c>
      <c r="U1342" s="3">
        <v>20.34</v>
      </c>
      <c r="V1342" s="3" t="s">
        <v>8046</v>
      </c>
      <c r="W1342" s="3" t="s">
        <v>1</v>
      </c>
    </row>
    <row r="1343" spans="5:23" hidden="1" x14ac:dyDescent="0.25">
      <c r="E1343" t="s">
        <v>8388</v>
      </c>
      <c r="F1343" s="1" t="s">
        <v>8539</v>
      </c>
      <c r="G1343" t="s">
        <v>1</v>
      </c>
      <c r="H1343" t="s">
        <v>0</v>
      </c>
      <c r="I1343" t="s">
        <v>8165</v>
      </c>
      <c r="J1343" t="s">
        <v>8164</v>
      </c>
      <c r="K1343">
        <v>12573</v>
      </c>
      <c r="L1343">
        <v>12573</v>
      </c>
      <c r="M1343" t="s">
        <v>2994</v>
      </c>
      <c r="N1343" t="s">
        <v>2995</v>
      </c>
      <c r="O1343" s="3">
        <v>0</v>
      </c>
      <c r="P1343" s="3">
        <v>0</v>
      </c>
      <c r="Q1343" s="3">
        <v>194.11</v>
      </c>
      <c r="R1343" s="3">
        <v>25.234300000000001</v>
      </c>
      <c r="S1343" s="3">
        <v>0</v>
      </c>
      <c r="T1343" s="3">
        <v>0</v>
      </c>
      <c r="U1343" s="3">
        <v>219.3443</v>
      </c>
      <c r="V1343" s="3" t="s">
        <v>8046</v>
      </c>
      <c r="W1343" s="3" t="s">
        <v>1</v>
      </c>
    </row>
    <row r="1344" spans="5:23" hidden="1" x14ac:dyDescent="0.25">
      <c r="E1344" t="s">
        <v>8388</v>
      </c>
      <c r="F1344" s="1" t="s">
        <v>8539</v>
      </c>
      <c r="G1344" t="s">
        <v>1</v>
      </c>
      <c r="H1344" t="s">
        <v>0</v>
      </c>
      <c r="I1344" t="s">
        <v>8165</v>
      </c>
      <c r="J1344" t="s">
        <v>8164</v>
      </c>
      <c r="K1344">
        <v>12574</v>
      </c>
      <c r="L1344">
        <v>12574</v>
      </c>
      <c r="M1344" t="s">
        <v>7852</v>
      </c>
      <c r="N1344" t="s">
        <v>7851</v>
      </c>
      <c r="O1344" s="3">
        <v>0</v>
      </c>
      <c r="P1344" s="3">
        <v>0</v>
      </c>
      <c r="Q1344" s="3">
        <v>0</v>
      </c>
      <c r="R1344" s="3">
        <v>0</v>
      </c>
      <c r="S1344" s="3">
        <v>0</v>
      </c>
      <c r="T1344" s="3">
        <v>0</v>
      </c>
      <c r="U1344" s="3">
        <v>0</v>
      </c>
      <c r="V1344" s="3" t="s">
        <v>8046</v>
      </c>
      <c r="W1344" s="3" t="s">
        <v>1</v>
      </c>
    </row>
    <row r="1345" spans="5:23" hidden="1" x14ac:dyDescent="0.25">
      <c r="E1345" t="s">
        <v>8388</v>
      </c>
      <c r="F1345" s="1" t="s">
        <v>8539</v>
      </c>
      <c r="G1345" t="s">
        <v>1</v>
      </c>
      <c r="H1345" t="s">
        <v>0</v>
      </c>
      <c r="I1345" t="s">
        <v>8165</v>
      </c>
      <c r="J1345" t="s">
        <v>8164</v>
      </c>
      <c r="K1345">
        <v>12575</v>
      </c>
      <c r="L1345">
        <v>12575</v>
      </c>
      <c r="M1345" t="s">
        <v>8255</v>
      </c>
      <c r="N1345" t="s">
        <v>8256</v>
      </c>
      <c r="O1345" s="3">
        <v>0</v>
      </c>
      <c r="P1345" s="3">
        <v>0</v>
      </c>
      <c r="Q1345" s="3">
        <v>276</v>
      </c>
      <c r="R1345" s="3">
        <v>35.880000000000003</v>
      </c>
      <c r="S1345" s="3">
        <v>0</v>
      </c>
      <c r="T1345" s="3">
        <v>0</v>
      </c>
      <c r="U1345" s="3">
        <v>311.88</v>
      </c>
      <c r="V1345" s="3" t="s">
        <v>8046</v>
      </c>
      <c r="W1345" s="3" t="s">
        <v>1</v>
      </c>
    </row>
    <row r="1346" spans="5:23" hidden="1" x14ac:dyDescent="0.25">
      <c r="E1346" t="s">
        <v>8388</v>
      </c>
      <c r="F1346" s="1" t="s">
        <v>8539</v>
      </c>
      <c r="G1346" t="s">
        <v>1</v>
      </c>
      <c r="H1346" t="s">
        <v>0</v>
      </c>
      <c r="I1346" t="s">
        <v>8165</v>
      </c>
      <c r="J1346" t="s">
        <v>8164</v>
      </c>
      <c r="K1346">
        <v>12576</v>
      </c>
      <c r="L1346">
        <v>12576</v>
      </c>
      <c r="M1346" t="s">
        <v>164</v>
      </c>
      <c r="N1346" t="s">
        <v>165</v>
      </c>
      <c r="O1346" s="3">
        <v>0</v>
      </c>
      <c r="P1346" s="3">
        <v>0</v>
      </c>
      <c r="Q1346" s="3">
        <v>42.48</v>
      </c>
      <c r="R1346" s="3">
        <v>5.5224000000000002</v>
      </c>
      <c r="S1346" s="3">
        <v>0</v>
      </c>
      <c r="T1346" s="3">
        <v>0</v>
      </c>
      <c r="U1346" s="3">
        <v>48.002399999999994</v>
      </c>
      <c r="V1346" s="3" t="s">
        <v>8046</v>
      </c>
      <c r="W1346" s="3" t="s">
        <v>1</v>
      </c>
    </row>
    <row r="1347" spans="5:23" hidden="1" x14ac:dyDescent="0.25">
      <c r="E1347" t="s">
        <v>8388</v>
      </c>
      <c r="F1347" s="1" t="s">
        <v>8539</v>
      </c>
      <c r="G1347" t="s">
        <v>1</v>
      </c>
      <c r="H1347" t="s">
        <v>0</v>
      </c>
      <c r="I1347" t="s">
        <v>8165</v>
      </c>
      <c r="J1347" t="s">
        <v>8164</v>
      </c>
      <c r="K1347">
        <v>12577</v>
      </c>
      <c r="L1347">
        <v>12577</v>
      </c>
      <c r="M1347" t="s">
        <v>7852</v>
      </c>
      <c r="N1347" t="s">
        <v>7851</v>
      </c>
      <c r="O1347" s="3">
        <v>0</v>
      </c>
      <c r="P1347" s="3">
        <v>0</v>
      </c>
      <c r="Q1347" s="3">
        <v>0</v>
      </c>
      <c r="R1347" s="3">
        <v>0</v>
      </c>
      <c r="S1347" s="3">
        <v>0</v>
      </c>
      <c r="T1347" s="3">
        <v>0</v>
      </c>
      <c r="U1347" s="3">
        <v>0</v>
      </c>
      <c r="V1347" s="3" t="s">
        <v>8046</v>
      </c>
      <c r="W1347" s="3" t="s">
        <v>1</v>
      </c>
    </row>
    <row r="1348" spans="5:23" hidden="1" x14ac:dyDescent="0.25">
      <c r="E1348" t="s">
        <v>8388</v>
      </c>
      <c r="F1348" s="1" t="s">
        <v>8539</v>
      </c>
      <c r="G1348" t="s">
        <v>1</v>
      </c>
      <c r="H1348" t="s">
        <v>0</v>
      </c>
      <c r="I1348" t="s">
        <v>8165</v>
      </c>
      <c r="J1348" t="s">
        <v>8164</v>
      </c>
      <c r="K1348">
        <v>12578</v>
      </c>
      <c r="L1348">
        <v>12578</v>
      </c>
      <c r="M1348" t="s">
        <v>8428</v>
      </c>
      <c r="N1348" t="s">
        <v>8429</v>
      </c>
      <c r="O1348" s="3">
        <v>0</v>
      </c>
      <c r="P1348" s="3">
        <v>0</v>
      </c>
      <c r="Q1348" s="3">
        <v>131.04</v>
      </c>
      <c r="R1348" s="3">
        <v>17.0352</v>
      </c>
      <c r="S1348" s="3">
        <v>0</v>
      </c>
      <c r="T1348" s="3">
        <v>0</v>
      </c>
      <c r="U1348" s="3">
        <v>148.0752</v>
      </c>
      <c r="V1348" s="3" t="s">
        <v>8046</v>
      </c>
      <c r="W1348" s="3" t="s">
        <v>1</v>
      </c>
    </row>
    <row r="1349" spans="5:23" hidden="1" x14ac:dyDescent="0.25">
      <c r="E1349" t="s">
        <v>8388</v>
      </c>
      <c r="F1349" s="1" t="s">
        <v>8539</v>
      </c>
      <c r="G1349" t="s">
        <v>1</v>
      </c>
      <c r="H1349" t="s">
        <v>0</v>
      </c>
      <c r="I1349" t="s">
        <v>8165</v>
      </c>
      <c r="J1349" t="s">
        <v>8164</v>
      </c>
      <c r="K1349">
        <v>12579</v>
      </c>
      <c r="L1349">
        <v>12579</v>
      </c>
      <c r="M1349" t="s">
        <v>8188</v>
      </c>
      <c r="N1349" t="s">
        <v>8189</v>
      </c>
      <c r="O1349" s="3">
        <v>0</v>
      </c>
      <c r="P1349" s="3">
        <v>0</v>
      </c>
      <c r="Q1349" s="3">
        <v>1142.8800000000001</v>
      </c>
      <c r="R1349" s="3">
        <v>148.57440000000003</v>
      </c>
      <c r="S1349" s="3">
        <v>0</v>
      </c>
      <c r="T1349" s="3">
        <v>0</v>
      </c>
      <c r="U1349" s="3">
        <v>1291.4544000000001</v>
      </c>
      <c r="V1349" s="3" t="s">
        <v>8046</v>
      </c>
      <c r="W1349" s="3" t="s">
        <v>1</v>
      </c>
    </row>
    <row r="1350" spans="5:23" hidden="1" x14ac:dyDescent="0.25">
      <c r="E1350" t="s">
        <v>8388</v>
      </c>
      <c r="F1350" s="1" t="s">
        <v>8575</v>
      </c>
      <c r="G1350" t="s">
        <v>1</v>
      </c>
      <c r="H1350" t="s">
        <v>0</v>
      </c>
      <c r="I1350" t="s">
        <v>8165</v>
      </c>
      <c r="J1350" t="s">
        <v>8164</v>
      </c>
      <c r="K1350">
        <v>12580</v>
      </c>
      <c r="L1350">
        <v>12580</v>
      </c>
      <c r="M1350" t="s">
        <v>8541</v>
      </c>
      <c r="N1350" t="s">
        <v>8542</v>
      </c>
      <c r="O1350" s="3">
        <v>0</v>
      </c>
      <c r="P1350" s="3">
        <v>0</v>
      </c>
      <c r="Q1350" s="3">
        <v>63.76</v>
      </c>
      <c r="R1350" s="3">
        <v>8.2888000000000002</v>
      </c>
      <c r="S1350" s="3">
        <v>0</v>
      </c>
      <c r="T1350" s="3">
        <v>0</v>
      </c>
      <c r="U1350" s="3">
        <v>72.0488</v>
      </c>
      <c r="V1350" s="3" t="s">
        <v>8046</v>
      </c>
      <c r="W1350" s="3" t="s">
        <v>1</v>
      </c>
    </row>
    <row r="1351" spans="5:23" hidden="1" x14ac:dyDescent="0.25">
      <c r="E1351" t="s">
        <v>8388</v>
      </c>
      <c r="F1351" s="1" t="s">
        <v>8575</v>
      </c>
      <c r="G1351" t="s">
        <v>1</v>
      </c>
      <c r="H1351" t="s">
        <v>0</v>
      </c>
      <c r="I1351" t="s">
        <v>8165</v>
      </c>
      <c r="J1351" t="s">
        <v>8164</v>
      </c>
      <c r="K1351">
        <v>12581</v>
      </c>
      <c r="L1351">
        <v>12581</v>
      </c>
      <c r="M1351" t="s">
        <v>8561</v>
      </c>
      <c r="N1351" t="s">
        <v>8562</v>
      </c>
      <c r="O1351" s="3">
        <v>0</v>
      </c>
      <c r="P1351" s="3">
        <v>0</v>
      </c>
      <c r="Q1351" s="3">
        <v>141.6</v>
      </c>
      <c r="R1351" s="3">
        <v>18.408000000000001</v>
      </c>
      <c r="S1351" s="3">
        <v>0</v>
      </c>
      <c r="T1351" s="3">
        <v>0</v>
      </c>
      <c r="U1351" s="3">
        <v>160.00799999999998</v>
      </c>
      <c r="V1351" s="3" t="s">
        <v>8046</v>
      </c>
      <c r="W1351" s="3" t="s">
        <v>1</v>
      </c>
    </row>
    <row r="1352" spans="5:23" hidden="1" x14ac:dyDescent="0.25">
      <c r="E1352" t="s">
        <v>8388</v>
      </c>
      <c r="F1352" s="1" t="s">
        <v>8575</v>
      </c>
      <c r="G1352" t="s">
        <v>1</v>
      </c>
      <c r="H1352" t="s">
        <v>0</v>
      </c>
      <c r="I1352" t="s">
        <v>8165</v>
      </c>
      <c r="J1352" t="s">
        <v>8164</v>
      </c>
      <c r="K1352">
        <v>12582</v>
      </c>
      <c r="L1352">
        <v>12582</v>
      </c>
      <c r="M1352" t="s">
        <v>8561</v>
      </c>
      <c r="N1352" t="s">
        <v>8562</v>
      </c>
      <c r="O1352" s="3">
        <v>0</v>
      </c>
      <c r="P1352" s="3">
        <v>0</v>
      </c>
      <c r="Q1352" s="3">
        <v>61.5</v>
      </c>
      <c r="R1352" s="3">
        <v>7.9950000000000001</v>
      </c>
      <c r="S1352" s="3">
        <v>0</v>
      </c>
      <c r="T1352" s="3">
        <v>0</v>
      </c>
      <c r="U1352" s="3">
        <v>69.495000000000005</v>
      </c>
      <c r="V1352" s="3" t="s">
        <v>8046</v>
      </c>
      <c r="W1352" s="3" t="s">
        <v>1</v>
      </c>
    </row>
    <row r="1353" spans="5:23" hidden="1" x14ac:dyDescent="0.25">
      <c r="E1353" t="s">
        <v>8388</v>
      </c>
      <c r="F1353" s="1" t="s">
        <v>8575</v>
      </c>
      <c r="G1353" t="s">
        <v>1</v>
      </c>
      <c r="H1353" t="s">
        <v>0</v>
      </c>
      <c r="I1353" t="s">
        <v>8165</v>
      </c>
      <c r="J1353" t="s">
        <v>8164</v>
      </c>
      <c r="K1353">
        <v>12583</v>
      </c>
      <c r="L1353">
        <v>12583</v>
      </c>
      <c r="M1353" t="s">
        <v>8228</v>
      </c>
      <c r="N1353" t="s">
        <v>8229</v>
      </c>
      <c r="O1353" s="3">
        <v>0</v>
      </c>
      <c r="P1353" s="3">
        <v>0</v>
      </c>
      <c r="Q1353" s="3">
        <v>38.64</v>
      </c>
      <c r="R1353" s="3">
        <v>5.0232000000000001</v>
      </c>
      <c r="S1353" s="3">
        <v>0</v>
      </c>
      <c r="T1353" s="3">
        <v>0</v>
      </c>
      <c r="U1353" s="3">
        <v>43.663200000000003</v>
      </c>
      <c r="V1353" s="3" t="s">
        <v>8046</v>
      </c>
      <c r="W1353" s="3" t="s">
        <v>1</v>
      </c>
    </row>
    <row r="1354" spans="5:23" hidden="1" x14ac:dyDescent="0.25">
      <c r="E1354" t="s">
        <v>8388</v>
      </c>
      <c r="F1354" s="1" t="s">
        <v>8575</v>
      </c>
      <c r="G1354" t="s">
        <v>1</v>
      </c>
      <c r="H1354" t="s">
        <v>0</v>
      </c>
      <c r="I1354" t="s">
        <v>8165</v>
      </c>
      <c r="J1354" t="s">
        <v>8164</v>
      </c>
      <c r="K1354">
        <v>12584</v>
      </c>
      <c r="L1354">
        <v>12584</v>
      </c>
      <c r="M1354" t="s">
        <v>8188</v>
      </c>
      <c r="N1354" t="s">
        <v>8189</v>
      </c>
      <c r="O1354" s="3">
        <v>0</v>
      </c>
      <c r="P1354" s="3">
        <v>0</v>
      </c>
      <c r="Q1354" s="3">
        <v>2378</v>
      </c>
      <c r="R1354" s="3">
        <v>309.14</v>
      </c>
      <c r="S1354" s="3">
        <v>0</v>
      </c>
      <c r="T1354" s="3">
        <v>0</v>
      </c>
      <c r="U1354" s="3">
        <v>2687.14</v>
      </c>
      <c r="V1354" s="3" t="s">
        <v>8046</v>
      </c>
      <c r="W1354" s="3" t="s">
        <v>1</v>
      </c>
    </row>
    <row r="1355" spans="5:23" hidden="1" x14ac:dyDescent="0.25">
      <c r="E1355" t="s">
        <v>8388</v>
      </c>
      <c r="F1355" s="1" t="s">
        <v>8575</v>
      </c>
      <c r="G1355" t="s">
        <v>1</v>
      </c>
      <c r="H1355" t="s">
        <v>0</v>
      </c>
      <c r="I1355" t="s">
        <v>8165</v>
      </c>
      <c r="J1355" t="s">
        <v>8164</v>
      </c>
      <c r="K1355">
        <v>12585</v>
      </c>
      <c r="L1355">
        <v>12585</v>
      </c>
      <c r="M1355" t="s">
        <v>8188</v>
      </c>
      <c r="N1355" t="s">
        <v>8189</v>
      </c>
      <c r="O1355" s="3">
        <v>0</v>
      </c>
      <c r="P1355" s="3">
        <v>0</v>
      </c>
      <c r="Q1355" s="3">
        <v>385.48</v>
      </c>
      <c r="R1355" s="3">
        <v>50.112400000000001</v>
      </c>
      <c r="S1355" s="3">
        <v>0</v>
      </c>
      <c r="T1355" s="3">
        <v>0</v>
      </c>
      <c r="U1355" s="3">
        <v>435.5924</v>
      </c>
      <c r="V1355" s="3" t="s">
        <v>8046</v>
      </c>
      <c r="W1355" s="3" t="s">
        <v>1</v>
      </c>
    </row>
    <row r="1356" spans="5:23" hidden="1" x14ac:dyDescent="0.25">
      <c r="E1356" t="s">
        <v>8388</v>
      </c>
      <c r="F1356" s="1" t="s">
        <v>8575</v>
      </c>
      <c r="G1356" t="s">
        <v>1</v>
      </c>
      <c r="H1356" t="s">
        <v>0</v>
      </c>
      <c r="I1356" t="s">
        <v>8165</v>
      </c>
      <c r="J1356" t="s">
        <v>8164</v>
      </c>
      <c r="K1356">
        <v>12586</v>
      </c>
      <c r="L1356">
        <v>12586</v>
      </c>
      <c r="M1356" t="s">
        <v>8209</v>
      </c>
      <c r="N1356" t="s">
        <v>8210</v>
      </c>
      <c r="O1356" s="3">
        <v>0</v>
      </c>
      <c r="P1356" s="3">
        <v>0</v>
      </c>
      <c r="Q1356" s="3">
        <v>39.81</v>
      </c>
      <c r="R1356" s="3">
        <v>5.1753000000000009</v>
      </c>
      <c r="S1356" s="3">
        <v>0</v>
      </c>
      <c r="T1356" s="3">
        <v>0</v>
      </c>
      <c r="U1356" s="3">
        <v>44.985300000000002</v>
      </c>
      <c r="V1356" s="3" t="s">
        <v>8046</v>
      </c>
      <c r="W1356" s="3" t="s">
        <v>1</v>
      </c>
    </row>
    <row r="1357" spans="5:23" hidden="1" x14ac:dyDescent="0.25">
      <c r="E1357" t="s">
        <v>8388</v>
      </c>
      <c r="F1357" s="1" t="s">
        <v>8575</v>
      </c>
      <c r="G1357" t="s">
        <v>1</v>
      </c>
      <c r="H1357" t="s">
        <v>0</v>
      </c>
      <c r="I1357" t="s">
        <v>8165</v>
      </c>
      <c r="J1357" t="s">
        <v>8164</v>
      </c>
      <c r="K1357">
        <v>12587</v>
      </c>
      <c r="L1357">
        <v>12587</v>
      </c>
      <c r="M1357" t="s">
        <v>8209</v>
      </c>
      <c r="N1357" t="s">
        <v>8210</v>
      </c>
      <c r="O1357" s="3">
        <v>0</v>
      </c>
      <c r="P1357" s="3">
        <v>0</v>
      </c>
      <c r="Q1357" s="3">
        <v>2747.5</v>
      </c>
      <c r="R1357" s="3">
        <v>357.17500000000001</v>
      </c>
      <c r="S1357" s="3">
        <v>0</v>
      </c>
      <c r="T1357" s="3">
        <v>0</v>
      </c>
      <c r="U1357" s="3">
        <v>3104.6750000000002</v>
      </c>
      <c r="V1357" s="3" t="s">
        <v>8046</v>
      </c>
      <c r="W1357" s="3" t="s">
        <v>1</v>
      </c>
    </row>
    <row r="1358" spans="5:23" hidden="1" x14ac:dyDescent="0.25">
      <c r="E1358" t="s">
        <v>8388</v>
      </c>
      <c r="F1358" s="1" t="s">
        <v>8575</v>
      </c>
      <c r="G1358" t="s">
        <v>1</v>
      </c>
      <c r="H1358" t="s">
        <v>0</v>
      </c>
      <c r="I1358" t="s">
        <v>8165</v>
      </c>
      <c r="J1358" t="s">
        <v>8164</v>
      </c>
      <c r="K1358">
        <v>12589</v>
      </c>
      <c r="L1358">
        <v>12589</v>
      </c>
      <c r="M1358" t="s">
        <v>7852</v>
      </c>
      <c r="N1358" t="s">
        <v>7851</v>
      </c>
      <c r="O1358" s="3">
        <v>0</v>
      </c>
      <c r="P1358" s="3">
        <v>0</v>
      </c>
      <c r="Q1358" s="3">
        <v>0</v>
      </c>
      <c r="R1358" s="3">
        <v>0</v>
      </c>
      <c r="S1358" s="3">
        <v>0</v>
      </c>
      <c r="T1358" s="3">
        <v>0</v>
      </c>
      <c r="U1358" s="3">
        <v>0</v>
      </c>
      <c r="V1358" s="3" t="s">
        <v>8046</v>
      </c>
      <c r="W1358" s="3" t="s">
        <v>1</v>
      </c>
    </row>
    <row r="1359" spans="5:23" hidden="1" x14ac:dyDescent="0.25">
      <c r="E1359" t="s">
        <v>8388</v>
      </c>
      <c r="F1359" s="1" t="s">
        <v>8575</v>
      </c>
      <c r="G1359" t="s">
        <v>1</v>
      </c>
      <c r="H1359" t="s">
        <v>0</v>
      </c>
      <c r="I1359" t="s">
        <v>8165</v>
      </c>
      <c r="J1359" t="s">
        <v>8164</v>
      </c>
      <c r="K1359">
        <v>12590</v>
      </c>
      <c r="L1359">
        <v>12590</v>
      </c>
      <c r="M1359" t="s">
        <v>7852</v>
      </c>
      <c r="N1359" t="s">
        <v>7851</v>
      </c>
      <c r="O1359" s="3">
        <v>0</v>
      </c>
      <c r="P1359" s="3">
        <v>0</v>
      </c>
      <c r="Q1359" s="3">
        <v>0</v>
      </c>
      <c r="R1359" s="3">
        <v>0</v>
      </c>
      <c r="S1359" s="3">
        <v>0</v>
      </c>
      <c r="T1359" s="3">
        <v>0</v>
      </c>
      <c r="U1359" s="3">
        <v>0</v>
      </c>
      <c r="V1359" s="3" t="s">
        <v>8046</v>
      </c>
      <c r="W1359" s="3" t="s">
        <v>1</v>
      </c>
    </row>
    <row r="1360" spans="5:23" hidden="1" x14ac:dyDescent="0.25">
      <c r="E1360" t="s">
        <v>8388</v>
      </c>
      <c r="F1360" s="1" t="s">
        <v>8525</v>
      </c>
      <c r="G1360" t="s">
        <v>1</v>
      </c>
      <c r="H1360" t="s">
        <v>0</v>
      </c>
      <c r="I1360" t="s">
        <v>8165</v>
      </c>
      <c r="J1360" t="s">
        <v>8164</v>
      </c>
      <c r="K1360">
        <v>12591</v>
      </c>
      <c r="L1360">
        <v>12591</v>
      </c>
      <c r="M1360" t="s">
        <v>8222</v>
      </c>
      <c r="N1360" t="s">
        <v>8223</v>
      </c>
      <c r="O1360" s="3">
        <v>0</v>
      </c>
      <c r="P1360" s="3">
        <v>0</v>
      </c>
      <c r="Q1360" s="3">
        <v>250</v>
      </c>
      <c r="R1360" s="3">
        <v>32.5</v>
      </c>
      <c r="S1360" s="3">
        <v>0</v>
      </c>
      <c r="T1360" s="3">
        <v>0</v>
      </c>
      <c r="U1360" s="3">
        <v>282.5</v>
      </c>
      <c r="V1360" s="3" t="s">
        <v>8046</v>
      </c>
      <c r="W1360" s="3" t="s">
        <v>1</v>
      </c>
    </row>
    <row r="1361" spans="5:23" hidden="1" x14ac:dyDescent="0.25">
      <c r="E1361" t="s">
        <v>8388</v>
      </c>
      <c r="F1361" s="1" t="s">
        <v>8525</v>
      </c>
      <c r="G1361" t="s">
        <v>1</v>
      </c>
      <c r="H1361" t="s">
        <v>0</v>
      </c>
      <c r="I1361" t="s">
        <v>8165</v>
      </c>
      <c r="J1361" t="s">
        <v>8164</v>
      </c>
      <c r="K1361">
        <v>12592</v>
      </c>
      <c r="L1361">
        <v>12592</v>
      </c>
      <c r="M1361" t="s">
        <v>7852</v>
      </c>
      <c r="N1361" t="s">
        <v>7851</v>
      </c>
      <c r="O1361" s="3">
        <v>0</v>
      </c>
      <c r="P1361" s="3">
        <v>0</v>
      </c>
      <c r="Q1361" s="3">
        <v>0</v>
      </c>
      <c r="R1361" s="3">
        <v>0</v>
      </c>
      <c r="S1361" s="3">
        <v>0</v>
      </c>
      <c r="T1361" s="3">
        <v>0</v>
      </c>
      <c r="U1361" s="3">
        <v>0</v>
      </c>
      <c r="V1361" s="3" t="s">
        <v>8046</v>
      </c>
      <c r="W1361" s="3" t="s">
        <v>1</v>
      </c>
    </row>
    <row r="1362" spans="5:23" hidden="1" x14ac:dyDescent="0.25">
      <c r="E1362" t="s">
        <v>8388</v>
      </c>
      <c r="F1362" s="1" t="s">
        <v>8525</v>
      </c>
      <c r="G1362" t="s">
        <v>1</v>
      </c>
      <c r="H1362" t="s">
        <v>0</v>
      </c>
      <c r="I1362" t="s">
        <v>8165</v>
      </c>
      <c r="J1362" t="s">
        <v>8164</v>
      </c>
      <c r="K1362">
        <v>12593</v>
      </c>
      <c r="L1362">
        <v>12593</v>
      </c>
      <c r="M1362" t="s">
        <v>8220</v>
      </c>
      <c r="N1362" t="s">
        <v>8221</v>
      </c>
      <c r="O1362" s="3">
        <v>0</v>
      </c>
      <c r="P1362" s="3">
        <v>0</v>
      </c>
      <c r="Q1362" s="3">
        <v>13.5</v>
      </c>
      <c r="R1362" s="3">
        <v>1.7550000000000001</v>
      </c>
      <c r="S1362" s="3">
        <v>0</v>
      </c>
      <c r="T1362" s="3">
        <v>0</v>
      </c>
      <c r="U1362" s="3">
        <v>15.255000000000001</v>
      </c>
      <c r="V1362" s="3" t="s">
        <v>8046</v>
      </c>
      <c r="W1362" s="3" t="s">
        <v>1</v>
      </c>
    </row>
    <row r="1363" spans="5:23" hidden="1" x14ac:dyDescent="0.25">
      <c r="E1363" t="s">
        <v>8388</v>
      </c>
      <c r="F1363" s="1" t="s">
        <v>8525</v>
      </c>
      <c r="G1363" t="s">
        <v>1</v>
      </c>
      <c r="H1363" t="s">
        <v>0</v>
      </c>
      <c r="I1363" t="s">
        <v>8165</v>
      </c>
      <c r="J1363" t="s">
        <v>8164</v>
      </c>
      <c r="K1363">
        <v>12594</v>
      </c>
      <c r="L1363">
        <v>12594</v>
      </c>
      <c r="M1363" t="s">
        <v>8573</v>
      </c>
      <c r="N1363" t="s">
        <v>8574</v>
      </c>
      <c r="O1363" s="3">
        <v>0</v>
      </c>
      <c r="P1363" s="3">
        <v>0</v>
      </c>
      <c r="Q1363" s="3">
        <v>71</v>
      </c>
      <c r="R1363" s="3">
        <v>9.23</v>
      </c>
      <c r="S1363" s="3">
        <v>0</v>
      </c>
      <c r="T1363" s="3">
        <v>0</v>
      </c>
      <c r="U1363" s="3">
        <v>80.23</v>
      </c>
      <c r="V1363" s="3" t="s">
        <v>8046</v>
      </c>
      <c r="W1363" s="3" t="s">
        <v>1</v>
      </c>
    </row>
    <row r="1364" spans="5:23" hidden="1" x14ac:dyDescent="0.25">
      <c r="E1364" t="s">
        <v>8388</v>
      </c>
      <c r="F1364" s="1" t="s">
        <v>8525</v>
      </c>
      <c r="G1364" t="s">
        <v>1</v>
      </c>
      <c r="H1364" t="s">
        <v>0</v>
      </c>
      <c r="I1364" t="s">
        <v>8165</v>
      </c>
      <c r="J1364" t="s">
        <v>8164</v>
      </c>
      <c r="K1364">
        <v>12595</v>
      </c>
      <c r="L1364">
        <v>12595</v>
      </c>
      <c r="M1364" t="s">
        <v>8573</v>
      </c>
      <c r="N1364" t="s">
        <v>8574</v>
      </c>
      <c r="O1364" s="3">
        <v>0</v>
      </c>
      <c r="P1364" s="3">
        <v>0</v>
      </c>
      <c r="Q1364" s="3">
        <v>32.76</v>
      </c>
      <c r="R1364" s="3">
        <v>4.2587999999999999</v>
      </c>
      <c r="S1364" s="3">
        <v>0</v>
      </c>
      <c r="T1364" s="3">
        <v>0</v>
      </c>
      <c r="U1364" s="3">
        <v>37.018799999999999</v>
      </c>
      <c r="V1364" s="3" t="s">
        <v>8046</v>
      </c>
      <c r="W1364" s="3" t="s">
        <v>1</v>
      </c>
    </row>
    <row r="1365" spans="5:23" hidden="1" x14ac:dyDescent="0.25">
      <c r="E1365" t="s">
        <v>8388</v>
      </c>
      <c r="F1365" s="1" t="s">
        <v>8525</v>
      </c>
      <c r="G1365" t="s">
        <v>1</v>
      </c>
      <c r="H1365" t="s">
        <v>0</v>
      </c>
      <c r="I1365" t="s">
        <v>8165</v>
      </c>
      <c r="J1365" t="s">
        <v>8164</v>
      </c>
      <c r="K1365">
        <v>12596</v>
      </c>
      <c r="L1365">
        <v>12596</v>
      </c>
      <c r="M1365" t="s">
        <v>7852</v>
      </c>
      <c r="N1365" t="s">
        <v>7851</v>
      </c>
      <c r="O1365" s="3">
        <v>0</v>
      </c>
      <c r="P1365" s="3">
        <v>0</v>
      </c>
      <c r="Q1365" s="3">
        <v>0</v>
      </c>
      <c r="R1365" s="3">
        <v>0</v>
      </c>
      <c r="S1365" s="3">
        <v>0</v>
      </c>
      <c r="T1365" s="3">
        <v>0</v>
      </c>
      <c r="U1365" s="3">
        <v>0</v>
      </c>
      <c r="V1365" s="3" t="s">
        <v>8046</v>
      </c>
      <c r="W1365" s="3" t="s">
        <v>1</v>
      </c>
    </row>
    <row r="1366" spans="5:23" hidden="1" x14ac:dyDescent="0.25">
      <c r="E1366" t="s">
        <v>8388</v>
      </c>
      <c r="F1366" s="1" t="s">
        <v>8525</v>
      </c>
      <c r="G1366" t="s">
        <v>1</v>
      </c>
      <c r="H1366" t="s">
        <v>0</v>
      </c>
      <c r="I1366" t="s">
        <v>8165</v>
      </c>
      <c r="J1366" t="s">
        <v>8164</v>
      </c>
      <c r="K1366">
        <v>12597</v>
      </c>
      <c r="L1366">
        <v>12597</v>
      </c>
      <c r="M1366" t="s">
        <v>8234</v>
      </c>
      <c r="N1366" t="s">
        <v>8235</v>
      </c>
      <c r="O1366" s="3">
        <v>0</v>
      </c>
      <c r="P1366" s="3">
        <v>0</v>
      </c>
      <c r="Q1366" s="3">
        <v>660.16</v>
      </c>
      <c r="R1366" s="3">
        <v>85.820800000000006</v>
      </c>
      <c r="S1366" s="3">
        <v>0</v>
      </c>
      <c r="T1366" s="3">
        <v>0</v>
      </c>
      <c r="U1366" s="3">
        <v>745.98079999999993</v>
      </c>
      <c r="V1366" s="3" t="s">
        <v>8046</v>
      </c>
      <c r="W1366" s="3" t="s">
        <v>1</v>
      </c>
    </row>
    <row r="1367" spans="5:23" hidden="1" x14ac:dyDescent="0.25">
      <c r="E1367" t="s">
        <v>8388</v>
      </c>
      <c r="F1367" s="1" t="s">
        <v>8525</v>
      </c>
      <c r="G1367" t="s">
        <v>1</v>
      </c>
      <c r="H1367" t="s">
        <v>0</v>
      </c>
      <c r="I1367" t="s">
        <v>8165</v>
      </c>
      <c r="J1367" t="s">
        <v>8164</v>
      </c>
      <c r="K1367">
        <v>12598</v>
      </c>
      <c r="L1367">
        <v>12598</v>
      </c>
      <c r="M1367" t="s">
        <v>1705</v>
      </c>
      <c r="N1367" t="s">
        <v>1706</v>
      </c>
      <c r="O1367" s="3">
        <v>0</v>
      </c>
      <c r="P1367" s="3">
        <v>0</v>
      </c>
      <c r="Q1367" s="3">
        <v>17.82</v>
      </c>
      <c r="R1367" s="3">
        <v>2.3166000000000002</v>
      </c>
      <c r="S1367" s="3">
        <v>0</v>
      </c>
      <c r="T1367" s="3">
        <v>0</v>
      </c>
      <c r="U1367" s="3">
        <v>20.136600000000001</v>
      </c>
      <c r="V1367" s="3" t="s">
        <v>8046</v>
      </c>
      <c r="W1367" s="3" t="s">
        <v>1</v>
      </c>
    </row>
    <row r="1368" spans="5:23" hidden="1" x14ac:dyDescent="0.25">
      <c r="E1368" t="s">
        <v>8388</v>
      </c>
      <c r="F1368" s="1" t="s">
        <v>8525</v>
      </c>
      <c r="G1368" t="s">
        <v>1</v>
      </c>
      <c r="H1368" t="s">
        <v>0</v>
      </c>
      <c r="I1368" t="s">
        <v>8165</v>
      </c>
      <c r="J1368" t="s">
        <v>8164</v>
      </c>
      <c r="K1368">
        <v>12599</v>
      </c>
      <c r="L1368">
        <v>12599</v>
      </c>
      <c r="M1368" t="s">
        <v>1705</v>
      </c>
      <c r="N1368" t="s">
        <v>1706</v>
      </c>
      <c r="O1368" s="3">
        <v>0</v>
      </c>
      <c r="P1368" s="3">
        <v>0</v>
      </c>
      <c r="Q1368" s="3">
        <v>7.69</v>
      </c>
      <c r="R1368" s="3">
        <v>0.99970000000000003</v>
      </c>
      <c r="S1368" s="3">
        <v>0</v>
      </c>
      <c r="T1368" s="3">
        <v>0</v>
      </c>
      <c r="U1368" s="3">
        <v>8.6897000000000002</v>
      </c>
      <c r="V1368" s="3" t="s">
        <v>8046</v>
      </c>
      <c r="W1368" s="3" t="s">
        <v>1</v>
      </c>
    </row>
    <row r="1369" spans="5:23" hidden="1" x14ac:dyDescent="0.25">
      <c r="E1369" t="s">
        <v>8388</v>
      </c>
      <c r="F1369" s="1" t="s">
        <v>8525</v>
      </c>
      <c r="G1369" t="s">
        <v>1</v>
      </c>
      <c r="H1369" t="s">
        <v>0</v>
      </c>
      <c r="I1369" t="s">
        <v>8165</v>
      </c>
      <c r="J1369" t="s">
        <v>8164</v>
      </c>
      <c r="K1369">
        <v>12600</v>
      </c>
      <c r="L1369">
        <v>12600</v>
      </c>
      <c r="M1369" t="s">
        <v>8226</v>
      </c>
      <c r="N1369" t="s">
        <v>8227</v>
      </c>
      <c r="O1369" s="3">
        <v>0</v>
      </c>
      <c r="P1369" s="3">
        <v>0</v>
      </c>
      <c r="Q1369" s="3">
        <v>432.86</v>
      </c>
      <c r="R1369" s="3">
        <v>56.271800000000006</v>
      </c>
      <c r="S1369" s="3">
        <v>0</v>
      </c>
      <c r="T1369" s="3">
        <v>0</v>
      </c>
      <c r="U1369" s="3">
        <v>489.1318</v>
      </c>
      <c r="V1369" s="3" t="s">
        <v>8046</v>
      </c>
      <c r="W1369" s="3" t="s">
        <v>1</v>
      </c>
    </row>
    <row r="1370" spans="5:23" hidden="1" x14ac:dyDescent="0.25">
      <c r="E1370" t="s">
        <v>8388</v>
      </c>
      <c r="F1370" s="1" t="s">
        <v>8525</v>
      </c>
      <c r="G1370" t="s">
        <v>1</v>
      </c>
      <c r="H1370" t="s">
        <v>0</v>
      </c>
      <c r="I1370" t="s">
        <v>8165</v>
      </c>
      <c r="J1370" t="s">
        <v>8164</v>
      </c>
      <c r="K1370">
        <v>12601</v>
      </c>
      <c r="L1370">
        <v>12601</v>
      </c>
      <c r="M1370" t="s">
        <v>8283</v>
      </c>
      <c r="N1370" t="s">
        <v>8284</v>
      </c>
      <c r="O1370" s="3">
        <v>0</v>
      </c>
      <c r="P1370" s="3">
        <v>0</v>
      </c>
      <c r="Q1370" s="3">
        <v>486.73</v>
      </c>
      <c r="R1370" s="3">
        <v>63.274900000000002</v>
      </c>
      <c r="S1370" s="3">
        <v>0</v>
      </c>
      <c r="T1370" s="3">
        <v>0</v>
      </c>
      <c r="U1370" s="3">
        <v>550.00490000000002</v>
      </c>
      <c r="V1370" s="3" t="s">
        <v>8046</v>
      </c>
      <c r="W1370" s="3" t="s">
        <v>1</v>
      </c>
    </row>
    <row r="1371" spans="5:23" hidden="1" x14ac:dyDescent="0.25">
      <c r="E1371" t="s">
        <v>8388</v>
      </c>
      <c r="F1371" s="1" t="s">
        <v>8525</v>
      </c>
      <c r="G1371" t="s">
        <v>1</v>
      </c>
      <c r="H1371" t="s">
        <v>0</v>
      </c>
      <c r="I1371" t="s">
        <v>8165</v>
      </c>
      <c r="J1371" t="s">
        <v>8164</v>
      </c>
      <c r="K1371">
        <v>12602</v>
      </c>
      <c r="L1371">
        <v>12602</v>
      </c>
      <c r="M1371" t="s">
        <v>7852</v>
      </c>
      <c r="N1371" t="s">
        <v>7851</v>
      </c>
      <c r="O1371" s="3">
        <v>0</v>
      </c>
      <c r="P1371" s="3">
        <v>0</v>
      </c>
      <c r="Q1371" s="3">
        <v>0</v>
      </c>
      <c r="R1371" s="3">
        <v>0</v>
      </c>
      <c r="S1371" s="3">
        <v>0</v>
      </c>
      <c r="T1371" s="3">
        <v>0</v>
      </c>
      <c r="U1371" s="3">
        <v>0</v>
      </c>
      <c r="V1371" s="3" t="s">
        <v>8046</v>
      </c>
      <c r="W1371" s="3" t="s">
        <v>1</v>
      </c>
    </row>
    <row r="1372" spans="5:23" hidden="1" x14ac:dyDescent="0.25">
      <c r="E1372" t="s">
        <v>8388</v>
      </c>
      <c r="F1372" s="1" t="s">
        <v>8525</v>
      </c>
      <c r="G1372" t="s">
        <v>1</v>
      </c>
      <c r="H1372" t="s">
        <v>0</v>
      </c>
      <c r="I1372" t="s">
        <v>8165</v>
      </c>
      <c r="J1372" t="s">
        <v>8164</v>
      </c>
      <c r="K1372">
        <v>12603</v>
      </c>
      <c r="L1372">
        <v>12603</v>
      </c>
      <c r="M1372" t="s">
        <v>8190</v>
      </c>
      <c r="N1372" t="s">
        <v>8191</v>
      </c>
      <c r="O1372" s="3">
        <v>0</v>
      </c>
      <c r="P1372" s="3">
        <v>0</v>
      </c>
      <c r="Q1372" s="3">
        <v>276.57</v>
      </c>
      <c r="R1372" s="3">
        <v>35.954099999999997</v>
      </c>
      <c r="S1372" s="3">
        <v>0</v>
      </c>
      <c r="T1372" s="3">
        <v>0</v>
      </c>
      <c r="U1372" s="3">
        <v>312.52409999999998</v>
      </c>
      <c r="V1372" s="3" t="s">
        <v>8046</v>
      </c>
      <c r="W1372" s="3" t="s">
        <v>1</v>
      </c>
    </row>
    <row r="1373" spans="5:23" hidden="1" x14ac:dyDescent="0.25">
      <c r="E1373" t="s">
        <v>8388</v>
      </c>
      <c r="F1373" s="1" t="s">
        <v>8525</v>
      </c>
      <c r="G1373" t="s">
        <v>1</v>
      </c>
      <c r="H1373" t="s">
        <v>0</v>
      </c>
      <c r="I1373" t="s">
        <v>8165</v>
      </c>
      <c r="J1373" t="s">
        <v>8164</v>
      </c>
      <c r="K1373">
        <v>12604</v>
      </c>
      <c r="L1373">
        <v>12604</v>
      </c>
      <c r="M1373" t="s">
        <v>1062</v>
      </c>
      <c r="N1373" t="s">
        <v>1063</v>
      </c>
      <c r="O1373" s="3">
        <v>0</v>
      </c>
      <c r="P1373" s="3">
        <v>0</v>
      </c>
      <c r="Q1373" s="3">
        <v>115.6</v>
      </c>
      <c r="R1373" s="3">
        <v>15.028</v>
      </c>
      <c r="S1373" s="3">
        <v>0</v>
      </c>
      <c r="T1373" s="3">
        <v>0</v>
      </c>
      <c r="U1373" s="3">
        <v>130.62799999999999</v>
      </c>
      <c r="V1373" s="3" t="s">
        <v>8046</v>
      </c>
      <c r="W1373" s="3" t="s">
        <v>1</v>
      </c>
    </row>
    <row r="1374" spans="5:23" hidden="1" x14ac:dyDescent="0.25">
      <c r="E1374" t="s">
        <v>8388</v>
      </c>
      <c r="F1374" s="1" t="s">
        <v>8525</v>
      </c>
      <c r="G1374" t="s">
        <v>1</v>
      </c>
      <c r="H1374" t="s">
        <v>0</v>
      </c>
      <c r="I1374" t="s">
        <v>8165</v>
      </c>
      <c r="J1374" t="s">
        <v>8164</v>
      </c>
      <c r="K1374">
        <v>12605</v>
      </c>
      <c r="L1374">
        <v>12605</v>
      </c>
      <c r="M1374" t="s">
        <v>734</v>
      </c>
      <c r="N1374" t="s">
        <v>735</v>
      </c>
      <c r="O1374" s="3">
        <v>0</v>
      </c>
      <c r="P1374" s="3">
        <v>0</v>
      </c>
      <c r="Q1374" s="3">
        <v>669.02</v>
      </c>
      <c r="R1374" s="3">
        <v>86.9726</v>
      </c>
      <c r="S1374" s="3">
        <v>0</v>
      </c>
      <c r="T1374" s="3">
        <v>0</v>
      </c>
      <c r="U1374" s="3">
        <v>755.99260000000004</v>
      </c>
      <c r="V1374" s="3" t="s">
        <v>8046</v>
      </c>
      <c r="W1374" s="3" t="s">
        <v>1</v>
      </c>
    </row>
    <row r="1375" spans="5:23" hidden="1" x14ac:dyDescent="0.25">
      <c r="E1375" t="s">
        <v>8388</v>
      </c>
      <c r="F1375" s="1" t="s">
        <v>8525</v>
      </c>
      <c r="G1375" t="s">
        <v>1</v>
      </c>
      <c r="H1375" t="s">
        <v>0</v>
      </c>
      <c r="I1375" t="s">
        <v>8165</v>
      </c>
      <c r="J1375" t="s">
        <v>8164</v>
      </c>
      <c r="K1375">
        <v>12606</v>
      </c>
      <c r="L1375">
        <v>12606</v>
      </c>
      <c r="M1375" t="s">
        <v>8433</v>
      </c>
      <c r="N1375" t="s">
        <v>8434</v>
      </c>
      <c r="O1375" s="3">
        <v>0</v>
      </c>
      <c r="P1375" s="3">
        <v>0</v>
      </c>
      <c r="Q1375" s="3">
        <v>316.75</v>
      </c>
      <c r="R1375" s="3">
        <v>41.177500000000002</v>
      </c>
      <c r="S1375" s="3">
        <v>0</v>
      </c>
      <c r="T1375" s="3">
        <v>0</v>
      </c>
      <c r="U1375" s="3">
        <v>357.92750000000001</v>
      </c>
      <c r="V1375" s="3" t="s">
        <v>8046</v>
      </c>
      <c r="W1375" s="3" t="s">
        <v>1</v>
      </c>
    </row>
    <row r="1376" spans="5:23" hidden="1" x14ac:dyDescent="0.25">
      <c r="E1376" t="s">
        <v>8388</v>
      </c>
      <c r="F1376" s="1" t="s">
        <v>8525</v>
      </c>
      <c r="G1376" t="s">
        <v>1</v>
      </c>
      <c r="H1376" t="s">
        <v>0</v>
      </c>
      <c r="I1376" t="s">
        <v>8165</v>
      </c>
      <c r="J1376" t="s">
        <v>8164</v>
      </c>
      <c r="K1376">
        <v>12607</v>
      </c>
      <c r="L1376">
        <v>12607</v>
      </c>
      <c r="M1376" t="s">
        <v>8433</v>
      </c>
      <c r="N1376" t="s">
        <v>8434</v>
      </c>
      <c r="O1376" s="3">
        <v>0</v>
      </c>
      <c r="P1376" s="3">
        <v>0</v>
      </c>
      <c r="Q1376" s="3">
        <v>741.5</v>
      </c>
      <c r="R1376" s="3">
        <v>96.39500000000001</v>
      </c>
      <c r="S1376" s="3">
        <v>0</v>
      </c>
      <c r="T1376" s="3">
        <v>0</v>
      </c>
      <c r="U1376" s="3">
        <v>837.89499999999998</v>
      </c>
      <c r="V1376" s="3" t="s">
        <v>8046</v>
      </c>
      <c r="W1376" s="3" t="s">
        <v>1</v>
      </c>
    </row>
    <row r="1377" spans="5:23" hidden="1" x14ac:dyDescent="0.25">
      <c r="E1377" t="s">
        <v>8388</v>
      </c>
      <c r="F1377" s="1" t="s">
        <v>8525</v>
      </c>
      <c r="G1377" t="s">
        <v>1</v>
      </c>
      <c r="H1377" t="s">
        <v>0</v>
      </c>
      <c r="I1377" t="s">
        <v>8165</v>
      </c>
      <c r="J1377" t="s">
        <v>8164</v>
      </c>
      <c r="K1377">
        <v>12608</v>
      </c>
      <c r="L1377">
        <v>12608</v>
      </c>
      <c r="M1377" t="s">
        <v>107</v>
      </c>
      <c r="N1377" t="s">
        <v>108</v>
      </c>
      <c r="O1377" s="3">
        <v>0</v>
      </c>
      <c r="P1377" s="3">
        <v>0</v>
      </c>
      <c r="Q1377" s="3">
        <v>169.91</v>
      </c>
      <c r="R1377" s="3">
        <v>22.0883</v>
      </c>
      <c r="S1377" s="3">
        <v>0</v>
      </c>
      <c r="T1377" s="3">
        <v>0</v>
      </c>
      <c r="U1377" s="3">
        <v>191.9983</v>
      </c>
      <c r="V1377" s="3" t="s">
        <v>8046</v>
      </c>
      <c r="W1377" s="3" t="s">
        <v>1</v>
      </c>
    </row>
    <row r="1378" spans="5:23" hidden="1" x14ac:dyDescent="0.25">
      <c r="E1378" t="s">
        <v>8388</v>
      </c>
      <c r="F1378" s="1" t="s">
        <v>8525</v>
      </c>
      <c r="G1378" t="s">
        <v>1</v>
      </c>
      <c r="H1378" t="s">
        <v>0</v>
      </c>
      <c r="I1378" t="s">
        <v>8165</v>
      </c>
      <c r="J1378" t="s">
        <v>8164</v>
      </c>
      <c r="K1378">
        <v>12609</v>
      </c>
      <c r="L1378">
        <v>12609</v>
      </c>
      <c r="M1378" t="s">
        <v>238</v>
      </c>
      <c r="N1378" t="s">
        <v>239</v>
      </c>
      <c r="O1378" s="3">
        <v>0</v>
      </c>
      <c r="P1378" s="3">
        <v>0</v>
      </c>
      <c r="Q1378" s="3">
        <v>182.96</v>
      </c>
      <c r="R1378" s="3">
        <v>23.784800000000001</v>
      </c>
      <c r="S1378" s="3">
        <v>0</v>
      </c>
      <c r="T1378" s="3">
        <v>0</v>
      </c>
      <c r="U1378" s="3">
        <v>206.7448</v>
      </c>
      <c r="V1378" s="3" t="s">
        <v>8046</v>
      </c>
      <c r="W1378" s="3" t="s">
        <v>1</v>
      </c>
    </row>
    <row r="1379" spans="5:23" hidden="1" x14ac:dyDescent="0.25">
      <c r="E1379" t="s">
        <v>8388</v>
      </c>
      <c r="F1379" s="1" t="s">
        <v>8524</v>
      </c>
      <c r="G1379" t="s">
        <v>1</v>
      </c>
      <c r="H1379" t="s">
        <v>0</v>
      </c>
      <c r="I1379" t="s">
        <v>8165</v>
      </c>
      <c r="J1379" t="s">
        <v>8164</v>
      </c>
      <c r="K1379">
        <v>12610</v>
      </c>
      <c r="L1379">
        <v>12610</v>
      </c>
      <c r="M1379" t="s">
        <v>1062</v>
      </c>
      <c r="N1379" t="s">
        <v>1063</v>
      </c>
      <c r="O1379" s="3">
        <v>0</v>
      </c>
      <c r="P1379" s="3">
        <v>0</v>
      </c>
      <c r="Q1379" s="3">
        <v>549.16</v>
      </c>
      <c r="R1379" s="3">
        <v>71.390799999999999</v>
      </c>
      <c r="S1379" s="3">
        <v>0</v>
      </c>
      <c r="T1379" s="3">
        <v>0</v>
      </c>
      <c r="U1379" s="3">
        <v>620.55079999999998</v>
      </c>
      <c r="V1379" s="3" t="s">
        <v>8046</v>
      </c>
      <c r="W1379" s="3" t="s">
        <v>1</v>
      </c>
    </row>
    <row r="1380" spans="5:23" hidden="1" x14ac:dyDescent="0.25">
      <c r="E1380" t="s">
        <v>8388</v>
      </c>
      <c r="F1380" s="1" t="s">
        <v>8524</v>
      </c>
      <c r="G1380" t="s">
        <v>1</v>
      </c>
      <c r="H1380" t="s">
        <v>0</v>
      </c>
      <c r="I1380" t="s">
        <v>8165</v>
      </c>
      <c r="J1380" t="s">
        <v>8164</v>
      </c>
      <c r="K1380">
        <v>12611</v>
      </c>
      <c r="L1380">
        <v>12611</v>
      </c>
      <c r="M1380" t="s">
        <v>1062</v>
      </c>
      <c r="N1380" t="s">
        <v>1063</v>
      </c>
      <c r="O1380" s="3">
        <v>0</v>
      </c>
      <c r="P1380" s="3">
        <v>0</v>
      </c>
      <c r="Q1380" s="3">
        <v>77.52</v>
      </c>
      <c r="R1380" s="3">
        <v>10.0776</v>
      </c>
      <c r="S1380" s="3">
        <v>0</v>
      </c>
      <c r="T1380" s="3">
        <v>0</v>
      </c>
      <c r="U1380" s="3">
        <v>87.5976</v>
      </c>
      <c r="V1380" s="3" t="s">
        <v>8046</v>
      </c>
      <c r="W1380" s="3" t="s">
        <v>1</v>
      </c>
    </row>
    <row r="1381" spans="5:23" hidden="1" x14ac:dyDescent="0.25">
      <c r="E1381" t="s">
        <v>8388</v>
      </c>
      <c r="F1381" s="1" t="s">
        <v>8524</v>
      </c>
      <c r="G1381" t="s">
        <v>1</v>
      </c>
      <c r="H1381" t="s">
        <v>0</v>
      </c>
      <c r="I1381" t="s">
        <v>8165</v>
      </c>
      <c r="J1381" t="s">
        <v>8164</v>
      </c>
      <c r="K1381">
        <v>12612</v>
      </c>
      <c r="L1381">
        <v>12612</v>
      </c>
      <c r="M1381" t="s">
        <v>1062</v>
      </c>
      <c r="N1381" t="s">
        <v>1063</v>
      </c>
      <c r="O1381" s="3">
        <v>0</v>
      </c>
      <c r="P1381" s="3">
        <v>0</v>
      </c>
      <c r="Q1381" s="3">
        <v>107.5</v>
      </c>
      <c r="R1381" s="3">
        <v>13.975</v>
      </c>
      <c r="S1381" s="3">
        <v>0</v>
      </c>
      <c r="T1381" s="3">
        <v>0</v>
      </c>
      <c r="U1381" s="3">
        <v>121.47499999999999</v>
      </c>
      <c r="V1381" s="3" t="s">
        <v>8046</v>
      </c>
      <c r="W1381" s="3" t="s">
        <v>1</v>
      </c>
    </row>
    <row r="1382" spans="5:23" hidden="1" x14ac:dyDescent="0.25">
      <c r="E1382" t="s">
        <v>8388</v>
      </c>
      <c r="F1382" s="1" t="s">
        <v>8523</v>
      </c>
      <c r="G1382" t="s">
        <v>1</v>
      </c>
      <c r="H1382" t="s">
        <v>0</v>
      </c>
      <c r="I1382" t="s">
        <v>8165</v>
      </c>
      <c r="J1382" t="s">
        <v>8164</v>
      </c>
      <c r="K1382">
        <v>12613</v>
      </c>
      <c r="L1382">
        <v>12613</v>
      </c>
      <c r="M1382" t="s">
        <v>7869</v>
      </c>
      <c r="N1382" t="s">
        <v>7870</v>
      </c>
      <c r="O1382" s="3">
        <v>0</v>
      </c>
      <c r="P1382" s="3">
        <v>0</v>
      </c>
      <c r="Q1382" s="3">
        <v>250</v>
      </c>
      <c r="R1382" s="3">
        <v>32.5</v>
      </c>
      <c r="S1382" s="3">
        <v>0</v>
      </c>
      <c r="T1382" s="3">
        <v>0</v>
      </c>
      <c r="U1382" s="3">
        <v>282.5</v>
      </c>
      <c r="V1382" s="3" t="s">
        <v>8046</v>
      </c>
      <c r="W1382" s="3" t="s">
        <v>1</v>
      </c>
    </row>
    <row r="1383" spans="5:23" hidden="1" x14ac:dyDescent="0.25">
      <c r="E1383" t="s">
        <v>8388</v>
      </c>
      <c r="F1383" s="1" t="s">
        <v>8523</v>
      </c>
      <c r="G1383" t="s">
        <v>1</v>
      </c>
      <c r="H1383" t="s">
        <v>0</v>
      </c>
      <c r="I1383" t="s">
        <v>8165</v>
      </c>
      <c r="J1383" t="s">
        <v>8164</v>
      </c>
      <c r="K1383">
        <v>12614</v>
      </c>
      <c r="L1383">
        <v>12614</v>
      </c>
      <c r="M1383" t="s">
        <v>7983</v>
      </c>
      <c r="N1383" t="s">
        <v>7984</v>
      </c>
      <c r="O1383" s="3">
        <v>0</v>
      </c>
      <c r="P1383" s="3">
        <v>0</v>
      </c>
      <c r="Q1383" s="3">
        <v>426</v>
      </c>
      <c r="R1383" s="3">
        <v>55.38</v>
      </c>
      <c r="S1383" s="3">
        <v>0</v>
      </c>
      <c r="T1383" s="3">
        <v>0</v>
      </c>
      <c r="U1383" s="3">
        <v>481.38</v>
      </c>
      <c r="V1383" s="3" t="s">
        <v>8046</v>
      </c>
      <c r="W1383" s="3" t="s">
        <v>1</v>
      </c>
    </row>
    <row r="1384" spans="5:23" hidden="1" x14ac:dyDescent="0.25">
      <c r="E1384" t="s">
        <v>8388</v>
      </c>
      <c r="F1384" s="1" t="s">
        <v>8523</v>
      </c>
      <c r="G1384" t="s">
        <v>1</v>
      </c>
      <c r="H1384" t="s">
        <v>0</v>
      </c>
      <c r="I1384" t="s">
        <v>8165</v>
      </c>
      <c r="J1384" t="s">
        <v>8164</v>
      </c>
      <c r="K1384">
        <v>12615</v>
      </c>
      <c r="L1384">
        <v>12615</v>
      </c>
      <c r="M1384" t="s">
        <v>8295</v>
      </c>
      <c r="N1384" t="s">
        <v>935</v>
      </c>
      <c r="O1384" s="3">
        <v>0</v>
      </c>
      <c r="P1384" s="3">
        <v>0</v>
      </c>
      <c r="Q1384" s="3">
        <v>20</v>
      </c>
      <c r="R1384" s="3">
        <v>2.6</v>
      </c>
      <c r="S1384" s="3">
        <v>0</v>
      </c>
      <c r="T1384" s="3">
        <v>0</v>
      </c>
      <c r="U1384" s="3">
        <v>22.6</v>
      </c>
      <c r="V1384" s="3" t="s">
        <v>8046</v>
      </c>
      <c r="W1384" s="3" t="s">
        <v>1</v>
      </c>
    </row>
    <row r="1385" spans="5:23" hidden="1" x14ac:dyDescent="0.25">
      <c r="E1385" t="s">
        <v>8388</v>
      </c>
      <c r="F1385" s="1" t="s">
        <v>8523</v>
      </c>
      <c r="G1385" t="s">
        <v>1</v>
      </c>
      <c r="H1385" t="s">
        <v>0</v>
      </c>
      <c r="I1385" t="s">
        <v>8165</v>
      </c>
      <c r="J1385" t="s">
        <v>8164</v>
      </c>
      <c r="K1385">
        <v>12616</v>
      </c>
      <c r="L1385">
        <v>12616</v>
      </c>
      <c r="M1385" t="s">
        <v>8255</v>
      </c>
      <c r="N1385" t="s">
        <v>8256</v>
      </c>
      <c r="O1385" s="3">
        <v>0</v>
      </c>
      <c r="P1385" s="3">
        <v>0</v>
      </c>
      <c r="Q1385" s="3">
        <v>345</v>
      </c>
      <c r="R1385" s="3">
        <v>44.85</v>
      </c>
      <c r="S1385" s="3">
        <v>0</v>
      </c>
      <c r="T1385" s="3">
        <v>0</v>
      </c>
      <c r="U1385" s="3">
        <v>389.85</v>
      </c>
      <c r="V1385" s="3" t="s">
        <v>8046</v>
      </c>
      <c r="W1385" s="3" t="s">
        <v>1</v>
      </c>
    </row>
    <row r="1386" spans="5:23" hidden="1" x14ac:dyDescent="0.25">
      <c r="E1386" t="s">
        <v>8388</v>
      </c>
      <c r="F1386" s="1" t="s">
        <v>8523</v>
      </c>
      <c r="G1386" t="s">
        <v>1</v>
      </c>
      <c r="H1386" t="s">
        <v>0</v>
      </c>
      <c r="I1386" t="s">
        <v>8165</v>
      </c>
      <c r="J1386" t="s">
        <v>8164</v>
      </c>
      <c r="K1386">
        <v>12617</v>
      </c>
      <c r="L1386">
        <v>12617</v>
      </c>
      <c r="M1386" t="s">
        <v>8166</v>
      </c>
      <c r="N1386" t="s">
        <v>8167</v>
      </c>
      <c r="O1386" s="3">
        <v>0</v>
      </c>
      <c r="P1386" s="3">
        <v>0</v>
      </c>
      <c r="Q1386" s="3">
        <v>680.8</v>
      </c>
      <c r="R1386" s="3">
        <v>88.503999999999991</v>
      </c>
      <c r="S1386" s="3">
        <v>0</v>
      </c>
      <c r="T1386" s="3">
        <v>0</v>
      </c>
      <c r="U1386" s="3">
        <v>769.30399999999997</v>
      </c>
      <c r="V1386" s="3" t="s">
        <v>8046</v>
      </c>
      <c r="W1386" s="3" t="s">
        <v>1</v>
      </c>
    </row>
    <row r="1387" spans="5:23" hidden="1" x14ac:dyDescent="0.25">
      <c r="E1387" t="s">
        <v>8388</v>
      </c>
      <c r="F1387" s="1" t="s">
        <v>8523</v>
      </c>
      <c r="G1387" t="s">
        <v>1</v>
      </c>
      <c r="H1387" t="s">
        <v>0</v>
      </c>
      <c r="I1387" t="s">
        <v>8165</v>
      </c>
      <c r="J1387" t="s">
        <v>8164</v>
      </c>
      <c r="K1387">
        <v>12618</v>
      </c>
      <c r="L1387">
        <v>12618</v>
      </c>
      <c r="M1387" t="s">
        <v>8399</v>
      </c>
      <c r="N1387" t="s">
        <v>8400</v>
      </c>
      <c r="O1387" s="3">
        <v>0</v>
      </c>
      <c r="P1387" s="3">
        <v>0</v>
      </c>
      <c r="Q1387" s="3">
        <v>66.849999999999994</v>
      </c>
      <c r="R1387" s="3">
        <v>8.6905000000000001</v>
      </c>
      <c r="S1387" s="3">
        <v>0</v>
      </c>
      <c r="T1387" s="3">
        <v>0</v>
      </c>
      <c r="U1387" s="3">
        <v>75.540499999999994</v>
      </c>
      <c r="V1387" s="3" t="s">
        <v>8046</v>
      </c>
      <c r="W1387" s="3" t="s">
        <v>1</v>
      </c>
    </row>
    <row r="1388" spans="5:23" hidden="1" x14ac:dyDescent="0.25">
      <c r="E1388" t="s">
        <v>8388</v>
      </c>
      <c r="F1388" s="1" t="s">
        <v>8523</v>
      </c>
      <c r="G1388" t="s">
        <v>1</v>
      </c>
      <c r="H1388" t="s">
        <v>0</v>
      </c>
      <c r="I1388" t="s">
        <v>8165</v>
      </c>
      <c r="J1388" t="s">
        <v>8164</v>
      </c>
      <c r="K1388">
        <v>12619</v>
      </c>
      <c r="L1388">
        <v>12619</v>
      </c>
      <c r="M1388" t="s">
        <v>1062</v>
      </c>
      <c r="N1388" t="s">
        <v>1063</v>
      </c>
      <c r="O1388" s="3">
        <v>0</v>
      </c>
      <c r="P1388" s="3">
        <v>0</v>
      </c>
      <c r="Q1388" s="3">
        <v>236.11</v>
      </c>
      <c r="R1388" s="3">
        <v>30.694300000000002</v>
      </c>
      <c r="S1388" s="3">
        <v>0</v>
      </c>
      <c r="T1388" s="3">
        <v>0</v>
      </c>
      <c r="U1388" s="3">
        <v>266.80430000000001</v>
      </c>
      <c r="V1388" s="3" t="s">
        <v>8046</v>
      </c>
      <c r="W1388" s="3" t="s">
        <v>1</v>
      </c>
    </row>
    <row r="1389" spans="5:23" hidden="1" x14ac:dyDescent="0.25">
      <c r="E1389" t="s">
        <v>8388</v>
      </c>
      <c r="F1389" s="1" t="s">
        <v>8523</v>
      </c>
      <c r="G1389" t="s">
        <v>1</v>
      </c>
      <c r="H1389" t="s">
        <v>0</v>
      </c>
      <c r="I1389" t="s">
        <v>8165</v>
      </c>
      <c r="J1389" t="s">
        <v>8164</v>
      </c>
      <c r="K1389">
        <v>12620</v>
      </c>
      <c r="L1389">
        <v>12620</v>
      </c>
      <c r="M1389" t="s">
        <v>1062</v>
      </c>
      <c r="N1389" t="s">
        <v>1063</v>
      </c>
      <c r="O1389" s="3">
        <v>0</v>
      </c>
      <c r="P1389" s="3">
        <v>0</v>
      </c>
      <c r="Q1389" s="3">
        <v>18</v>
      </c>
      <c r="R1389" s="3">
        <v>2.34</v>
      </c>
      <c r="S1389" s="3">
        <v>0</v>
      </c>
      <c r="T1389" s="3">
        <v>0</v>
      </c>
      <c r="U1389" s="3">
        <v>20.34</v>
      </c>
      <c r="V1389" s="3" t="s">
        <v>8046</v>
      </c>
      <c r="W1389" s="3" t="s">
        <v>1</v>
      </c>
    </row>
    <row r="1390" spans="5:23" hidden="1" x14ac:dyDescent="0.25">
      <c r="E1390" t="s">
        <v>8388</v>
      </c>
      <c r="F1390" s="1" t="s">
        <v>8523</v>
      </c>
      <c r="G1390" t="s">
        <v>1</v>
      </c>
      <c r="H1390" t="s">
        <v>0</v>
      </c>
      <c r="I1390" t="s">
        <v>8165</v>
      </c>
      <c r="J1390" t="s">
        <v>8164</v>
      </c>
      <c r="K1390">
        <v>12621</v>
      </c>
      <c r="L1390">
        <v>12621</v>
      </c>
      <c r="M1390" t="s">
        <v>7852</v>
      </c>
      <c r="N1390" t="s">
        <v>7851</v>
      </c>
      <c r="O1390" s="3">
        <v>0</v>
      </c>
      <c r="P1390" s="3">
        <v>0</v>
      </c>
      <c r="Q1390" s="3">
        <v>0</v>
      </c>
      <c r="R1390" s="3">
        <v>0</v>
      </c>
      <c r="S1390" s="3">
        <v>0</v>
      </c>
      <c r="T1390" s="3">
        <v>0</v>
      </c>
      <c r="U1390" s="3">
        <v>0</v>
      </c>
      <c r="V1390" s="3" t="s">
        <v>8046</v>
      </c>
      <c r="W1390" s="3" t="s">
        <v>1</v>
      </c>
    </row>
    <row r="1391" spans="5:23" hidden="1" x14ac:dyDescent="0.25">
      <c r="E1391" t="s">
        <v>8388</v>
      </c>
      <c r="F1391" s="1" t="s">
        <v>8523</v>
      </c>
      <c r="G1391" t="s">
        <v>1</v>
      </c>
      <c r="H1391" t="s">
        <v>0</v>
      </c>
      <c r="I1391" t="s">
        <v>8165</v>
      </c>
      <c r="J1391" t="s">
        <v>8164</v>
      </c>
      <c r="K1391">
        <v>12622</v>
      </c>
      <c r="L1391">
        <v>12622</v>
      </c>
      <c r="M1391" t="s">
        <v>8328</v>
      </c>
      <c r="N1391" t="s">
        <v>8294</v>
      </c>
      <c r="O1391" s="3">
        <v>0</v>
      </c>
      <c r="P1391" s="3">
        <v>0</v>
      </c>
      <c r="Q1391" s="3">
        <v>1190</v>
      </c>
      <c r="R1391" s="3">
        <v>154.70000000000002</v>
      </c>
      <c r="S1391" s="3">
        <v>0</v>
      </c>
      <c r="T1391" s="3">
        <v>0</v>
      </c>
      <c r="U1391" s="3">
        <v>1344.7</v>
      </c>
      <c r="V1391" s="3" t="s">
        <v>8046</v>
      </c>
      <c r="W1391" s="3" t="s">
        <v>1</v>
      </c>
    </row>
    <row r="1392" spans="5:23" hidden="1" x14ac:dyDescent="0.25">
      <c r="E1392" t="s">
        <v>8388</v>
      </c>
      <c r="F1392" s="1" t="s">
        <v>8523</v>
      </c>
      <c r="G1392" t="s">
        <v>1</v>
      </c>
      <c r="H1392" t="s">
        <v>0</v>
      </c>
      <c r="I1392" t="s">
        <v>8165</v>
      </c>
      <c r="J1392" t="s">
        <v>8164</v>
      </c>
      <c r="K1392">
        <v>12623</v>
      </c>
      <c r="L1392">
        <v>12623</v>
      </c>
      <c r="M1392" t="s">
        <v>7852</v>
      </c>
      <c r="N1392" t="s">
        <v>7851</v>
      </c>
      <c r="O1392" s="3">
        <v>0</v>
      </c>
      <c r="P1392" s="3">
        <v>0</v>
      </c>
      <c r="Q1392" s="3">
        <v>0</v>
      </c>
      <c r="R1392" s="3">
        <v>0</v>
      </c>
      <c r="S1392" s="3">
        <v>0</v>
      </c>
      <c r="T1392" s="3">
        <v>0</v>
      </c>
      <c r="U1392" s="3">
        <v>0</v>
      </c>
      <c r="V1392" s="3" t="s">
        <v>8046</v>
      </c>
      <c r="W1392" s="3" t="s">
        <v>1</v>
      </c>
    </row>
    <row r="1393" spans="5:23" hidden="1" x14ac:dyDescent="0.25">
      <c r="E1393" t="s">
        <v>8388</v>
      </c>
      <c r="F1393" s="1" t="s">
        <v>8523</v>
      </c>
      <c r="G1393" t="s">
        <v>1</v>
      </c>
      <c r="H1393" t="s">
        <v>0</v>
      </c>
      <c r="I1393" t="s">
        <v>8165</v>
      </c>
      <c r="J1393" t="s">
        <v>8164</v>
      </c>
      <c r="K1393">
        <v>12624</v>
      </c>
      <c r="L1393">
        <v>12624</v>
      </c>
      <c r="M1393" t="s">
        <v>7852</v>
      </c>
      <c r="N1393" t="s">
        <v>7851</v>
      </c>
      <c r="O1393" s="3">
        <v>0</v>
      </c>
      <c r="P1393" s="3">
        <v>0</v>
      </c>
      <c r="Q1393" s="3">
        <v>0</v>
      </c>
      <c r="R1393" s="3">
        <v>0</v>
      </c>
      <c r="S1393" s="3">
        <v>0</v>
      </c>
      <c r="T1393" s="3">
        <v>0</v>
      </c>
      <c r="U1393" s="3">
        <v>0</v>
      </c>
      <c r="V1393" s="3" t="s">
        <v>8046</v>
      </c>
      <c r="W1393" s="3" t="s">
        <v>1</v>
      </c>
    </row>
    <row r="1394" spans="5:23" hidden="1" x14ac:dyDescent="0.25">
      <c r="E1394" t="s">
        <v>8388</v>
      </c>
      <c r="F1394" s="1" t="s">
        <v>8523</v>
      </c>
      <c r="G1394" t="s">
        <v>1</v>
      </c>
      <c r="H1394" t="s">
        <v>0</v>
      </c>
      <c r="I1394" t="s">
        <v>8165</v>
      </c>
      <c r="J1394" t="s">
        <v>8164</v>
      </c>
      <c r="K1394">
        <v>12625</v>
      </c>
      <c r="L1394">
        <v>12625</v>
      </c>
      <c r="M1394" t="s">
        <v>807</v>
      </c>
      <c r="N1394" t="s">
        <v>808</v>
      </c>
      <c r="O1394" s="3">
        <v>0</v>
      </c>
      <c r="P1394" s="3">
        <v>0</v>
      </c>
      <c r="Q1394" s="3">
        <v>56.88</v>
      </c>
      <c r="R1394" s="3">
        <v>7.394400000000001</v>
      </c>
      <c r="S1394" s="3">
        <v>0</v>
      </c>
      <c r="T1394" s="3">
        <v>0</v>
      </c>
      <c r="U1394" s="3">
        <v>64.2744</v>
      </c>
      <c r="V1394" s="3" t="s">
        <v>8046</v>
      </c>
      <c r="W1394" s="3" t="s">
        <v>1</v>
      </c>
    </row>
    <row r="1395" spans="5:23" hidden="1" x14ac:dyDescent="0.25">
      <c r="E1395" t="s">
        <v>8388</v>
      </c>
      <c r="F1395" s="1" t="s">
        <v>8523</v>
      </c>
      <c r="G1395" t="s">
        <v>1</v>
      </c>
      <c r="H1395" t="s">
        <v>0</v>
      </c>
      <c r="I1395" t="s">
        <v>8165</v>
      </c>
      <c r="J1395" t="s">
        <v>8164</v>
      </c>
      <c r="K1395">
        <v>12626</v>
      </c>
      <c r="L1395">
        <v>12626</v>
      </c>
      <c r="M1395" t="s">
        <v>807</v>
      </c>
      <c r="N1395" t="s">
        <v>808</v>
      </c>
      <c r="O1395" s="3">
        <v>0</v>
      </c>
      <c r="P1395" s="3">
        <v>0</v>
      </c>
      <c r="Q1395" s="3">
        <v>70.8</v>
      </c>
      <c r="R1395" s="3">
        <v>9.2040000000000006</v>
      </c>
      <c r="S1395" s="3">
        <v>0</v>
      </c>
      <c r="T1395" s="3">
        <v>0</v>
      </c>
      <c r="U1395" s="3">
        <v>80.003999999999991</v>
      </c>
      <c r="V1395" s="3" t="s">
        <v>8046</v>
      </c>
      <c r="W1395" s="3" t="s">
        <v>1</v>
      </c>
    </row>
    <row r="1396" spans="5:23" hidden="1" x14ac:dyDescent="0.25">
      <c r="E1396" t="s">
        <v>8388</v>
      </c>
      <c r="F1396" s="1" t="s">
        <v>8523</v>
      </c>
      <c r="G1396" t="s">
        <v>1</v>
      </c>
      <c r="H1396" t="s">
        <v>0</v>
      </c>
      <c r="I1396" t="s">
        <v>8165</v>
      </c>
      <c r="J1396" t="s">
        <v>8164</v>
      </c>
      <c r="K1396">
        <v>12627</v>
      </c>
      <c r="L1396">
        <v>12627</v>
      </c>
      <c r="M1396" t="s">
        <v>807</v>
      </c>
      <c r="N1396" t="s">
        <v>808</v>
      </c>
      <c r="O1396" s="3">
        <v>0</v>
      </c>
      <c r="P1396" s="3">
        <v>0</v>
      </c>
      <c r="Q1396" s="3">
        <v>944.5</v>
      </c>
      <c r="R1396" s="3">
        <v>122.78500000000001</v>
      </c>
      <c r="S1396" s="3">
        <v>0</v>
      </c>
      <c r="T1396" s="3">
        <v>0</v>
      </c>
      <c r="U1396" s="3">
        <v>1067.2850000000001</v>
      </c>
      <c r="V1396" s="3" t="s">
        <v>8046</v>
      </c>
      <c r="W1396" s="3" t="s">
        <v>1</v>
      </c>
    </row>
    <row r="1397" spans="5:23" hidden="1" x14ac:dyDescent="0.25">
      <c r="E1397" t="s">
        <v>8388</v>
      </c>
      <c r="F1397" s="1" t="s">
        <v>8523</v>
      </c>
      <c r="G1397" t="s">
        <v>1</v>
      </c>
      <c r="H1397" t="s">
        <v>0</v>
      </c>
      <c r="I1397" t="s">
        <v>8165</v>
      </c>
      <c r="J1397" t="s">
        <v>8164</v>
      </c>
      <c r="K1397">
        <v>12628</v>
      </c>
      <c r="L1397">
        <v>12628</v>
      </c>
      <c r="M1397" t="s">
        <v>8160</v>
      </c>
      <c r="N1397" t="s">
        <v>8161</v>
      </c>
      <c r="O1397" s="3">
        <v>0</v>
      </c>
      <c r="P1397" s="3">
        <v>0</v>
      </c>
      <c r="Q1397" s="3">
        <v>22.12</v>
      </c>
      <c r="R1397" s="3">
        <v>2.8756000000000004</v>
      </c>
      <c r="S1397" s="3">
        <v>0</v>
      </c>
      <c r="T1397" s="3">
        <v>0</v>
      </c>
      <c r="U1397" s="3">
        <v>24.995600000000003</v>
      </c>
      <c r="V1397" s="3" t="s">
        <v>8046</v>
      </c>
      <c r="W1397" s="3" t="s">
        <v>1</v>
      </c>
    </row>
    <row r="1398" spans="5:23" hidden="1" x14ac:dyDescent="0.25">
      <c r="E1398" t="s">
        <v>8388</v>
      </c>
      <c r="F1398" s="1" t="s">
        <v>8523</v>
      </c>
      <c r="G1398" t="s">
        <v>1</v>
      </c>
      <c r="H1398" t="s">
        <v>0</v>
      </c>
      <c r="I1398" t="s">
        <v>8165</v>
      </c>
      <c r="J1398" t="s">
        <v>8164</v>
      </c>
      <c r="K1398">
        <v>12629</v>
      </c>
      <c r="L1398">
        <v>12629</v>
      </c>
      <c r="M1398" t="s">
        <v>238</v>
      </c>
      <c r="N1398" t="s">
        <v>239</v>
      </c>
      <c r="O1398" s="3">
        <v>0</v>
      </c>
      <c r="P1398" s="3">
        <v>0</v>
      </c>
      <c r="Q1398" s="3">
        <v>129.94999999999999</v>
      </c>
      <c r="R1398" s="3">
        <v>16.8935</v>
      </c>
      <c r="S1398" s="3">
        <v>0</v>
      </c>
      <c r="T1398" s="3">
        <v>0</v>
      </c>
      <c r="U1398" s="3">
        <v>146.84349999999998</v>
      </c>
      <c r="V1398" s="3" t="s">
        <v>8046</v>
      </c>
      <c r="W1398" s="3" t="s">
        <v>1</v>
      </c>
    </row>
    <row r="1399" spans="5:23" hidden="1" x14ac:dyDescent="0.25">
      <c r="E1399" t="s">
        <v>8388</v>
      </c>
      <c r="F1399" s="1" t="s">
        <v>8523</v>
      </c>
      <c r="G1399" t="s">
        <v>1</v>
      </c>
      <c r="H1399" t="s">
        <v>0</v>
      </c>
      <c r="I1399" t="s">
        <v>8165</v>
      </c>
      <c r="J1399" t="s">
        <v>8164</v>
      </c>
      <c r="K1399">
        <v>12630</v>
      </c>
      <c r="L1399">
        <v>12630</v>
      </c>
      <c r="M1399" t="s">
        <v>238</v>
      </c>
      <c r="N1399" t="s">
        <v>239</v>
      </c>
      <c r="O1399" s="3">
        <v>0</v>
      </c>
      <c r="P1399" s="3">
        <v>0</v>
      </c>
      <c r="Q1399" s="3">
        <v>108</v>
      </c>
      <c r="R1399" s="3">
        <v>14.040000000000001</v>
      </c>
      <c r="S1399" s="3">
        <v>0</v>
      </c>
      <c r="T1399" s="3">
        <v>0</v>
      </c>
      <c r="U1399" s="3">
        <v>122.04</v>
      </c>
      <c r="V1399" s="3" t="s">
        <v>8046</v>
      </c>
      <c r="W1399" s="3" t="s">
        <v>1</v>
      </c>
    </row>
    <row r="1400" spans="5:23" hidden="1" x14ac:dyDescent="0.25">
      <c r="E1400" t="s">
        <v>8388</v>
      </c>
      <c r="F1400" s="1" t="s">
        <v>8523</v>
      </c>
      <c r="G1400" t="s">
        <v>1</v>
      </c>
      <c r="H1400" t="s">
        <v>0</v>
      </c>
      <c r="I1400" t="s">
        <v>8165</v>
      </c>
      <c r="J1400" t="s">
        <v>8164</v>
      </c>
      <c r="K1400">
        <v>12631</v>
      </c>
      <c r="L1400">
        <v>12631</v>
      </c>
      <c r="M1400" t="s">
        <v>8306</v>
      </c>
      <c r="N1400" t="s">
        <v>8307</v>
      </c>
      <c r="O1400" s="3">
        <v>0</v>
      </c>
      <c r="P1400" s="3">
        <v>0</v>
      </c>
      <c r="Q1400" s="3">
        <v>49.56</v>
      </c>
      <c r="R1400" s="3">
        <v>6.4428000000000001</v>
      </c>
      <c r="S1400" s="3">
        <v>0</v>
      </c>
      <c r="T1400" s="3">
        <v>0</v>
      </c>
      <c r="U1400" s="3">
        <v>56.002800000000001</v>
      </c>
      <c r="V1400" s="3" t="s">
        <v>8046</v>
      </c>
      <c r="W1400" s="3" t="s">
        <v>1</v>
      </c>
    </row>
    <row r="1401" spans="5:23" hidden="1" x14ac:dyDescent="0.25">
      <c r="E1401" t="s">
        <v>8388</v>
      </c>
      <c r="F1401" s="1" t="s">
        <v>8537</v>
      </c>
      <c r="G1401" t="s">
        <v>1</v>
      </c>
      <c r="H1401" t="s">
        <v>0</v>
      </c>
      <c r="I1401" t="s">
        <v>8165</v>
      </c>
      <c r="J1401" t="s">
        <v>8164</v>
      </c>
      <c r="K1401">
        <v>12632</v>
      </c>
      <c r="L1401">
        <v>12632</v>
      </c>
      <c r="M1401" t="s">
        <v>115</v>
      </c>
      <c r="N1401" t="s">
        <v>116</v>
      </c>
      <c r="O1401" s="3">
        <v>0</v>
      </c>
      <c r="P1401" s="3">
        <v>0</v>
      </c>
      <c r="Q1401" s="3">
        <v>873.28</v>
      </c>
      <c r="R1401" s="3">
        <v>113.5264</v>
      </c>
      <c r="S1401" s="3">
        <v>0</v>
      </c>
      <c r="T1401" s="3">
        <v>0</v>
      </c>
      <c r="U1401" s="3">
        <v>986.80639999999994</v>
      </c>
      <c r="V1401" s="3" t="s">
        <v>8046</v>
      </c>
      <c r="W1401" s="3" t="s">
        <v>1</v>
      </c>
    </row>
    <row r="1402" spans="5:23" hidden="1" x14ac:dyDescent="0.25">
      <c r="E1402" t="s">
        <v>8388</v>
      </c>
      <c r="F1402" s="1" t="s">
        <v>8537</v>
      </c>
      <c r="G1402" t="s">
        <v>1</v>
      </c>
      <c r="H1402" t="s">
        <v>0</v>
      </c>
      <c r="I1402" t="s">
        <v>8165</v>
      </c>
      <c r="J1402" t="s">
        <v>8164</v>
      </c>
      <c r="K1402">
        <v>12633</v>
      </c>
      <c r="L1402">
        <v>12633</v>
      </c>
      <c r="M1402" t="s">
        <v>8571</v>
      </c>
      <c r="N1402" t="s">
        <v>8572</v>
      </c>
      <c r="O1402" s="3">
        <v>0</v>
      </c>
      <c r="P1402" s="3">
        <v>0</v>
      </c>
      <c r="Q1402" s="3">
        <v>433.63</v>
      </c>
      <c r="R1402" s="3">
        <v>56.371900000000004</v>
      </c>
      <c r="S1402" s="3">
        <v>0</v>
      </c>
      <c r="T1402" s="3">
        <v>0</v>
      </c>
      <c r="U1402" s="3">
        <v>490.00189999999998</v>
      </c>
      <c r="V1402" s="3" t="s">
        <v>8046</v>
      </c>
      <c r="W1402" s="3" t="s">
        <v>1</v>
      </c>
    </row>
    <row r="1403" spans="5:23" hidden="1" x14ac:dyDescent="0.25">
      <c r="E1403" t="s">
        <v>8388</v>
      </c>
      <c r="F1403" s="1" t="s">
        <v>8537</v>
      </c>
      <c r="G1403" t="s">
        <v>1</v>
      </c>
      <c r="H1403" t="s">
        <v>0</v>
      </c>
      <c r="I1403" t="s">
        <v>8165</v>
      </c>
      <c r="J1403" t="s">
        <v>8164</v>
      </c>
      <c r="K1403">
        <v>12634</v>
      </c>
      <c r="L1403">
        <v>12634</v>
      </c>
      <c r="M1403" t="s">
        <v>8569</v>
      </c>
      <c r="N1403" t="s">
        <v>8570</v>
      </c>
      <c r="O1403" s="3">
        <v>0</v>
      </c>
      <c r="P1403" s="3">
        <v>0</v>
      </c>
      <c r="Q1403" s="3">
        <v>153.75</v>
      </c>
      <c r="R1403" s="3">
        <v>19.987500000000001</v>
      </c>
      <c r="S1403" s="3">
        <v>0</v>
      </c>
      <c r="T1403" s="3">
        <v>0</v>
      </c>
      <c r="U1403" s="3">
        <v>173.73750000000001</v>
      </c>
      <c r="V1403" s="3" t="s">
        <v>8046</v>
      </c>
      <c r="W1403" s="3" t="s">
        <v>1</v>
      </c>
    </row>
    <row r="1404" spans="5:23" hidden="1" x14ac:dyDescent="0.25">
      <c r="E1404" t="s">
        <v>8388</v>
      </c>
      <c r="F1404" s="1" t="s">
        <v>8537</v>
      </c>
      <c r="G1404" t="s">
        <v>1</v>
      </c>
      <c r="H1404" t="s">
        <v>0</v>
      </c>
      <c r="I1404" t="s">
        <v>8165</v>
      </c>
      <c r="J1404" t="s">
        <v>8164</v>
      </c>
      <c r="K1404">
        <v>12635</v>
      </c>
      <c r="L1404">
        <v>12635</v>
      </c>
      <c r="M1404" t="s">
        <v>8546</v>
      </c>
      <c r="N1404" t="s">
        <v>1351</v>
      </c>
      <c r="O1404" s="3">
        <v>0</v>
      </c>
      <c r="P1404" s="3">
        <v>0</v>
      </c>
      <c r="Q1404" s="3">
        <v>407.78</v>
      </c>
      <c r="R1404" s="3">
        <v>53.011399999999995</v>
      </c>
      <c r="S1404" s="3">
        <v>0</v>
      </c>
      <c r="T1404" s="3">
        <v>0</v>
      </c>
      <c r="U1404" s="3">
        <v>460.79139999999995</v>
      </c>
      <c r="V1404" s="3" t="s">
        <v>8046</v>
      </c>
      <c r="W1404" s="3" t="s">
        <v>1</v>
      </c>
    </row>
    <row r="1405" spans="5:23" hidden="1" x14ac:dyDescent="0.25">
      <c r="E1405" t="s">
        <v>8388</v>
      </c>
      <c r="F1405" s="1" t="s">
        <v>8537</v>
      </c>
      <c r="G1405" t="s">
        <v>1</v>
      </c>
      <c r="H1405" t="s">
        <v>0</v>
      </c>
      <c r="I1405" t="s">
        <v>8165</v>
      </c>
      <c r="J1405" t="s">
        <v>8164</v>
      </c>
      <c r="K1405">
        <v>12636</v>
      </c>
      <c r="L1405">
        <v>12636</v>
      </c>
      <c r="M1405" t="s">
        <v>8243</v>
      </c>
      <c r="N1405" t="s">
        <v>8244</v>
      </c>
      <c r="O1405" s="3">
        <v>0</v>
      </c>
      <c r="P1405" s="3">
        <v>0</v>
      </c>
      <c r="Q1405" s="3">
        <v>17.329999999999998</v>
      </c>
      <c r="R1405" s="3">
        <v>2.2528999999999999</v>
      </c>
      <c r="S1405" s="3">
        <v>0</v>
      </c>
      <c r="T1405" s="3">
        <v>0</v>
      </c>
      <c r="U1405" s="3">
        <v>19.582899999999999</v>
      </c>
      <c r="V1405" s="3" t="s">
        <v>8046</v>
      </c>
      <c r="W1405" s="3" t="s">
        <v>1</v>
      </c>
    </row>
    <row r="1406" spans="5:23" hidden="1" x14ac:dyDescent="0.25">
      <c r="E1406" t="s">
        <v>8388</v>
      </c>
      <c r="F1406" s="1" t="s">
        <v>8537</v>
      </c>
      <c r="G1406" t="s">
        <v>1</v>
      </c>
      <c r="H1406" t="s">
        <v>0</v>
      </c>
      <c r="I1406" t="s">
        <v>8165</v>
      </c>
      <c r="J1406" t="s">
        <v>8164</v>
      </c>
      <c r="K1406">
        <v>12637</v>
      </c>
      <c r="L1406">
        <v>12637</v>
      </c>
      <c r="M1406" t="s">
        <v>1273</v>
      </c>
      <c r="N1406" t="s">
        <v>1274</v>
      </c>
      <c r="O1406" s="3">
        <v>0</v>
      </c>
      <c r="P1406" s="3">
        <v>0</v>
      </c>
      <c r="Q1406" s="3">
        <v>427.44</v>
      </c>
      <c r="R1406" s="3">
        <v>55.5672</v>
      </c>
      <c r="S1406" s="3">
        <v>0</v>
      </c>
      <c r="T1406" s="3">
        <v>0</v>
      </c>
      <c r="U1406" s="3">
        <v>483.00720000000001</v>
      </c>
      <c r="V1406" s="3" t="s">
        <v>8046</v>
      </c>
      <c r="W1406" s="3" t="s">
        <v>1</v>
      </c>
    </row>
    <row r="1407" spans="5:23" hidden="1" x14ac:dyDescent="0.25">
      <c r="E1407" t="s">
        <v>8388</v>
      </c>
      <c r="F1407" s="1" t="s">
        <v>8537</v>
      </c>
      <c r="G1407" t="s">
        <v>1</v>
      </c>
      <c r="H1407" t="s">
        <v>0</v>
      </c>
      <c r="I1407" t="s">
        <v>8165</v>
      </c>
      <c r="J1407" t="s">
        <v>8164</v>
      </c>
      <c r="K1407">
        <v>12638</v>
      </c>
      <c r="L1407">
        <v>12638</v>
      </c>
      <c r="M1407" t="s">
        <v>8326</v>
      </c>
      <c r="N1407" t="s">
        <v>8327</v>
      </c>
      <c r="O1407" s="3">
        <v>0</v>
      </c>
      <c r="P1407" s="3">
        <v>0</v>
      </c>
      <c r="Q1407" s="3">
        <v>74.06</v>
      </c>
      <c r="R1407" s="3">
        <v>9.6278000000000006</v>
      </c>
      <c r="S1407" s="3">
        <v>0</v>
      </c>
      <c r="T1407" s="3">
        <v>0</v>
      </c>
      <c r="U1407" s="3">
        <v>83.68780000000001</v>
      </c>
      <c r="V1407" s="3" t="s">
        <v>8046</v>
      </c>
      <c r="W1407" s="3" t="s">
        <v>1</v>
      </c>
    </row>
    <row r="1408" spans="5:23" hidden="1" x14ac:dyDescent="0.25">
      <c r="E1408" t="s">
        <v>8388</v>
      </c>
      <c r="F1408" s="1" t="s">
        <v>8537</v>
      </c>
      <c r="G1408" t="s">
        <v>1</v>
      </c>
      <c r="H1408" t="s">
        <v>0</v>
      </c>
      <c r="I1408" t="s">
        <v>8165</v>
      </c>
      <c r="J1408" t="s">
        <v>8164</v>
      </c>
      <c r="K1408">
        <v>12639</v>
      </c>
      <c r="L1408">
        <v>12639</v>
      </c>
      <c r="M1408" t="s">
        <v>8326</v>
      </c>
      <c r="N1408" t="s">
        <v>8327</v>
      </c>
      <c r="O1408" s="3">
        <v>0</v>
      </c>
      <c r="P1408" s="3">
        <v>0</v>
      </c>
      <c r="Q1408" s="3">
        <v>46.08</v>
      </c>
      <c r="R1408" s="3">
        <v>5.9904000000000002</v>
      </c>
      <c r="S1408" s="3">
        <v>0</v>
      </c>
      <c r="T1408" s="3">
        <v>0</v>
      </c>
      <c r="U1408" s="3">
        <v>52.070399999999999</v>
      </c>
      <c r="V1408" s="3" t="s">
        <v>8046</v>
      </c>
      <c r="W1408" s="3" t="s">
        <v>1</v>
      </c>
    </row>
    <row r="1409" spans="5:23" hidden="1" x14ac:dyDescent="0.25">
      <c r="E1409" t="s">
        <v>8388</v>
      </c>
      <c r="F1409" s="1" t="s">
        <v>8522</v>
      </c>
      <c r="G1409" t="s">
        <v>1</v>
      </c>
      <c r="H1409" t="s">
        <v>0</v>
      </c>
      <c r="I1409" t="s">
        <v>8165</v>
      </c>
      <c r="J1409" t="s">
        <v>8164</v>
      </c>
      <c r="K1409">
        <v>12640</v>
      </c>
      <c r="L1409">
        <v>12640</v>
      </c>
      <c r="M1409" t="s">
        <v>8228</v>
      </c>
      <c r="N1409" t="s">
        <v>8229</v>
      </c>
      <c r="O1409" s="3">
        <v>0</v>
      </c>
      <c r="P1409" s="3">
        <v>0</v>
      </c>
      <c r="Q1409" s="3">
        <v>52.83</v>
      </c>
      <c r="R1409" s="3">
        <v>6.8678999999999997</v>
      </c>
      <c r="S1409" s="3">
        <v>0</v>
      </c>
      <c r="T1409" s="3">
        <v>0</v>
      </c>
      <c r="U1409" s="3">
        <v>59.697899999999997</v>
      </c>
      <c r="V1409" s="3" t="s">
        <v>8046</v>
      </c>
      <c r="W1409" s="3" t="s">
        <v>1</v>
      </c>
    </row>
    <row r="1410" spans="5:23" hidden="1" x14ac:dyDescent="0.25">
      <c r="E1410" t="s">
        <v>8388</v>
      </c>
      <c r="F1410" s="1" t="s">
        <v>8522</v>
      </c>
      <c r="G1410" t="s">
        <v>1</v>
      </c>
      <c r="H1410" t="s">
        <v>0</v>
      </c>
      <c r="I1410" t="s">
        <v>8165</v>
      </c>
      <c r="J1410" t="s">
        <v>8164</v>
      </c>
      <c r="K1410">
        <v>12641</v>
      </c>
      <c r="L1410">
        <v>12641</v>
      </c>
      <c r="M1410" t="s">
        <v>8214</v>
      </c>
      <c r="N1410" t="s">
        <v>8215</v>
      </c>
      <c r="O1410" s="3">
        <v>0</v>
      </c>
      <c r="P1410" s="3">
        <v>0</v>
      </c>
      <c r="Q1410" s="3">
        <v>29</v>
      </c>
      <c r="R1410" s="3">
        <v>3.77</v>
      </c>
      <c r="S1410" s="3">
        <v>0</v>
      </c>
      <c r="T1410" s="3">
        <v>0</v>
      </c>
      <c r="U1410" s="3">
        <v>32.770000000000003</v>
      </c>
      <c r="V1410" s="3" t="s">
        <v>8046</v>
      </c>
      <c r="W1410" s="3" t="s">
        <v>1</v>
      </c>
    </row>
    <row r="1411" spans="5:23" hidden="1" x14ac:dyDescent="0.25">
      <c r="E1411" t="s">
        <v>8388</v>
      </c>
      <c r="F1411" s="1" t="s">
        <v>8522</v>
      </c>
      <c r="G1411" t="s">
        <v>1</v>
      </c>
      <c r="H1411" t="s">
        <v>0</v>
      </c>
      <c r="I1411" t="s">
        <v>8165</v>
      </c>
      <c r="J1411" t="s">
        <v>8164</v>
      </c>
      <c r="K1411">
        <v>12642</v>
      </c>
      <c r="L1411">
        <v>12642</v>
      </c>
      <c r="M1411" t="s">
        <v>8214</v>
      </c>
      <c r="N1411" t="s">
        <v>8215</v>
      </c>
      <c r="O1411" s="3">
        <v>0</v>
      </c>
      <c r="P1411" s="3">
        <v>0</v>
      </c>
      <c r="Q1411" s="3">
        <v>79.7</v>
      </c>
      <c r="R1411" s="3">
        <v>10.361000000000001</v>
      </c>
      <c r="S1411" s="3">
        <v>0</v>
      </c>
      <c r="T1411" s="3">
        <v>0</v>
      </c>
      <c r="U1411" s="3">
        <v>90.061000000000007</v>
      </c>
      <c r="V1411" s="3" t="s">
        <v>8046</v>
      </c>
      <c r="W1411" s="3" t="s">
        <v>1</v>
      </c>
    </row>
    <row r="1412" spans="5:23" hidden="1" x14ac:dyDescent="0.25">
      <c r="E1412" t="s">
        <v>8388</v>
      </c>
      <c r="F1412" s="1" t="s">
        <v>8522</v>
      </c>
      <c r="G1412" t="s">
        <v>1</v>
      </c>
      <c r="H1412" t="s">
        <v>0</v>
      </c>
      <c r="I1412" t="s">
        <v>8165</v>
      </c>
      <c r="J1412" t="s">
        <v>8164</v>
      </c>
      <c r="K1412">
        <v>12643</v>
      </c>
      <c r="L1412">
        <v>12643</v>
      </c>
      <c r="M1412" t="s">
        <v>1062</v>
      </c>
      <c r="N1412" t="s">
        <v>1063</v>
      </c>
      <c r="O1412" s="3">
        <v>0</v>
      </c>
      <c r="P1412" s="3">
        <v>0</v>
      </c>
      <c r="Q1412" s="3">
        <v>27</v>
      </c>
      <c r="R1412" s="3">
        <v>3.5100000000000002</v>
      </c>
      <c r="S1412" s="3">
        <v>0</v>
      </c>
      <c r="T1412" s="3">
        <v>0</v>
      </c>
      <c r="U1412" s="3">
        <v>30.51</v>
      </c>
      <c r="V1412" s="3" t="s">
        <v>8046</v>
      </c>
      <c r="W1412" s="3" t="s">
        <v>1</v>
      </c>
    </row>
    <row r="1413" spans="5:23" hidden="1" x14ac:dyDescent="0.25">
      <c r="E1413" t="s">
        <v>8388</v>
      </c>
      <c r="F1413" s="1" t="s">
        <v>8536</v>
      </c>
      <c r="G1413" t="s">
        <v>1</v>
      </c>
      <c r="H1413" t="s">
        <v>0</v>
      </c>
      <c r="I1413" t="s">
        <v>8165</v>
      </c>
      <c r="J1413" t="s">
        <v>8164</v>
      </c>
      <c r="K1413">
        <v>12644</v>
      </c>
      <c r="L1413">
        <v>12644</v>
      </c>
      <c r="M1413" t="s">
        <v>1062</v>
      </c>
      <c r="N1413" t="s">
        <v>1063</v>
      </c>
      <c r="O1413" s="3">
        <v>0</v>
      </c>
      <c r="P1413" s="3">
        <v>0</v>
      </c>
      <c r="Q1413" s="3">
        <v>271.8</v>
      </c>
      <c r="R1413" s="3">
        <v>35.334000000000003</v>
      </c>
      <c r="S1413" s="3">
        <v>0</v>
      </c>
      <c r="T1413" s="3">
        <v>0</v>
      </c>
      <c r="U1413" s="3">
        <v>307.13400000000001</v>
      </c>
      <c r="V1413" s="3" t="s">
        <v>8046</v>
      </c>
      <c r="W1413" s="3" t="s">
        <v>1</v>
      </c>
    </row>
    <row r="1414" spans="5:23" hidden="1" x14ac:dyDescent="0.25">
      <c r="E1414" t="s">
        <v>8388</v>
      </c>
      <c r="F1414" s="1" t="s">
        <v>8536</v>
      </c>
      <c r="G1414" t="s">
        <v>1</v>
      </c>
      <c r="H1414" t="s">
        <v>0</v>
      </c>
      <c r="I1414" t="s">
        <v>8165</v>
      </c>
      <c r="J1414" t="s">
        <v>8164</v>
      </c>
      <c r="K1414">
        <v>12645</v>
      </c>
      <c r="L1414">
        <v>12645</v>
      </c>
      <c r="M1414" t="s">
        <v>2154</v>
      </c>
      <c r="N1414" t="s">
        <v>2155</v>
      </c>
      <c r="O1414" s="3">
        <v>0</v>
      </c>
      <c r="P1414" s="3">
        <v>0</v>
      </c>
      <c r="Q1414" s="3">
        <v>308</v>
      </c>
      <c r="R1414" s="3">
        <v>40.04</v>
      </c>
      <c r="S1414" s="3">
        <v>0</v>
      </c>
      <c r="T1414" s="3">
        <v>0</v>
      </c>
      <c r="U1414" s="3">
        <v>348.04</v>
      </c>
      <c r="V1414" s="3" t="s">
        <v>8046</v>
      </c>
      <c r="W1414" s="3" t="s">
        <v>1</v>
      </c>
    </row>
    <row r="1415" spans="5:23" hidden="1" x14ac:dyDescent="0.25">
      <c r="E1415" t="s">
        <v>8388</v>
      </c>
      <c r="F1415" s="1" t="s">
        <v>8536</v>
      </c>
      <c r="G1415" t="s">
        <v>1</v>
      </c>
      <c r="H1415" t="s">
        <v>0</v>
      </c>
      <c r="I1415" t="s">
        <v>8165</v>
      </c>
      <c r="J1415" t="s">
        <v>8164</v>
      </c>
      <c r="K1415">
        <v>12646</v>
      </c>
      <c r="L1415">
        <v>12646</v>
      </c>
      <c r="M1415" t="s">
        <v>8209</v>
      </c>
      <c r="N1415" t="s">
        <v>8210</v>
      </c>
      <c r="O1415" s="3">
        <v>0</v>
      </c>
      <c r="P1415" s="3">
        <v>0</v>
      </c>
      <c r="Q1415" s="3">
        <v>3037.5</v>
      </c>
      <c r="R1415" s="3">
        <v>394.875</v>
      </c>
      <c r="S1415" s="3">
        <v>0</v>
      </c>
      <c r="T1415" s="3">
        <v>0</v>
      </c>
      <c r="U1415" s="3">
        <v>3432.375</v>
      </c>
      <c r="V1415" s="3" t="s">
        <v>8046</v>
      </c>
      <c r="W1415" s="3" t="s">
        <v>1</v>
      </c>
    </row>
    <row r="1416" spans="5:23" hidden="1" x14ac:dyDescent="0.25">
      <c r="E1416" t="s">
        <v>8388</v>
      </c>
      <c r="F1416" s="1" t="s">
        <v>8536</v>
      </c>
      <c r="G1416" t="s">
        <v>1</v>
      </c>
      <c r="H1416" t="s">
        <v>0</v>
      </c>
      <c r="I1416" t="s">
        <v>8165</v>
      </c>
      <c r="J1416" t="s">
        <v>8164</v>
      </c>
      <c r="K1416">
        <v>12647</v>
      </c>
      <c r="L1416">
        <v>12647</v>
      </c>
      <c r="M1416" t="s">
        <v>897</v>
      </c>
      <c r="N1416" t="s">
        <v>898</v>
      </c>
      <c r="O1416" s="3">
        <v>0</v>
      </c>
      <c r="P1416" s="3">
        <v>0</v>
      </c>
      <c r="Q1416" s="3">
        <v>236.48</v>
      </c>
      <c r="R1416" s="3">
        <v>30.7424</v>
      </c>
      <c r="S1416" s="3">
        <v>0</v>
      </c>
      <c r="T1416" s="3">
        <v>0</v>
      </c>
      <c r="U1416" s="3">
        <v>267.22239999999999</v>
      </c>
      <c r="V1416" s="3" t="s">
        <v>8046</v>
      </c>
      <c r="W1416" s="3" t="s">
        <v>1</v>
      </c>
    </row>
    <row r="1417" spans="5:23" hidden="1" x14ac:dyDescent="0.25">
      <c r="E1417" t="s">
        <v>8388</v>
      </c>
      <c r="F1417" s="1" t="s">
        <v>8536</v>
      </c>
      <c r="G1417" t="s">
        <v>1</v>
      </c>
      <c r="H1417" t="s">
        <v>0</v>
      </c>
      <c r="I1417" t="s">
        <v>8165</v>
      </c>
      <c r="J1417" t="s">
        <v>8164</v>
      </c>
      <c r="K1417">
        <v>12648</v>
      </c>
      <c r="L1417">
        <v>12648</v>
      </c>
      <c r="M1417" t="s">
        <v>8567</v>
      </c>
      <c r="N1417" t="s">
        <v>8568</v>
      </c>
      <c r="O1417" s="3">
        <v>0</v>
      </c>
      <c r="P1417" s="3">
        <v>0</v>
      </c>
      <c r="Q1417" s="3">
        <v>152.32</v>
      </c>
      <c r="R1417" s="3">
        <v>19.801600000000001</v>
      </c>
      <c r="S1417" s="3">
        <v>0</v>
      </c>
      <c r="T1417" s="3">
        <v>0</v>
      </c>
      <c r="U1417" s="3">
        <v>172.1216</v>
      </c>
      <c r="V1417" s="3" t="s">
        <v>8046</v>
      </c>
      <c r="W1417" s="3" t="s">
        <v>1</v>
      </c>
    </row>
    <row r="1418" spans="5:23" hidden="1" x14ac:dyDescent="0.25">
      <c r="E1418" t="s">
        <v>8388</v>
      </c>
      <c r="F1418" s="1" t="s">
        <v>8536</v>
      </c>
      <c r="G1418" t="s">
        <v>1</v>
      </c>
      <c r="H1418" t="s">
        <v>0</v>
      </c>
      <c r="I1418" t="s">
        <v>8165</v>
      </c>
      <c r="J1418" t="s">
        <v>8164</v>
      </c>
      <c r="K1418">
        <v>12649</v>
      </c>
      <c r="L1418">
        <v>12649</v>
      </c>
      <c r="M1418" t="s">
        <v>8224</v>
      </c>
      <c r="N1418" t="s">
        <v>8225</v>
      </c>
      <c r="O1418" s="3">
        <v>0</v>
      </c>
      <c r="P1418" s="3">
        <v>0</v>
      </c>
      <c r="Q1418" s="3">
        <v>265.31</v>
      </c>
      <c r="R1418" s="3">
        <v>34.490300000000005</v>
      </c>
      <c r="S1418" s="3">
        <v>0</v>
      </c>
      <c r="T1418" s="3">
        <v>0</v>
      </c>
      <c r="U1418" s="3">
        <v>299.80029999999999</v>
      </c>
      <c r="V1418" s="3" t="s">
        <v>8046</v>
      </c>
      <c r="W1418" s="3" t="s">
        <v>1</v>
      </c>
    </row>
    <row r="1419" spans="5:23" hidden="1" x14ac:dyDescent="0.25">
      <c r="E1419" t="s">
        <v>8388</v>
      </c>
      <c r="F1419" s="1" t="s">
        <v>8536</v>
      </c>
      <c r="G1419" t="s">
        <v>1</v>
      </c>
      <c r="H1419" t="s">
        <v>0</v>
      </c>
      <c r="I1419" t="s">
        <v>8165</v>
      </c>
      <c r="J1419" t="s">
        <v>8164</v>
      </c>
      <c r="K1419">
        <v>12650</v>
      </c>
      <c r="L1419">
        <v>12650</v>
      </c>
      <c r="M1419" t="s">
        <v>7852</v>
      </c>
      <c r="N1419" t="s">
        <v>7851</v>
      </c>
      <c r="O1419" s="3">
        <v>0</v>
      </c>
      <c r="P1419" s="3">
        <v>0</v>
      </c>
      <c r="Q1419" s="3">
        <v>0</v>
      </c>
      <c r="R1419" s="3">
        <v>0</v>
      </c>
      <c r="S1419" s="3">
        <v>0</v>
      </c>
      <c r="T1419" s="3">
        <v>0</v>
      </c>
      <c r="U1419" s="3">
        <v>0</v>
      </c>
      <c r="V1419" s="3" t="s">
        <v>8046</v>
      </c>
      <c r="W1419" s="3" t="s">
        <v>1</v>
      </c>
    </row>
    <row r="1420" spans="5:23" hidden="1" x14ac:dyDescent="0.25">
      <c r="E1420" t="s">
        <v>8388</v>
      </c>
      <c r="F1420" s="1" t="s">
        <v>8536</v>
      </c>
      <c r="G1420" t="s">
        <v>1</v>
      </c>
      <c r="H1420" t="s">
        <v>0</v>
      </c>
      <c r="I1420" t="s">
        <v>8165</v>
      </c>
      <c r="J1420" t="s">
        <v>8164</v>
      </c>
      <c r="K1420">
        <v>12651</v>
      </c>
      <c r="L1420">
        <v>12651</v>
      </c>
      <c r="M1420" t="s">
        <v>8540</v>
      </c>
      <c r="N1420" t="s">
        <v>1165</v>
      </c>
      <c r="O1420" s="3">
        <v>0</v>
      </c>
      <c r="P1420" s="3">
        <v>0</v>
      </c>
      <c r="Q1420" s="3">
        <v>13.5</v>
      </c>
      <c r="R1420" s="3">
        <v>1.7550000000000001</v>
      </c>
      <c r="S1420" s="3">
        <v>0</v>
      </c>
      <c r="T1420" s="3">
        <v>0</v>
      </c>
      <c r="U1420" s="3">
        <v>15.255000000000001</v>
      </c>
      <c r="V1420" s="3" t="s">
        <v>8046</v>
      </c>
      <c r="W1420" s="3" t="s">
        <v>1</v>
      </c>
    </row>
    <row r="1421" spans="5:23" hidden="1" x14ac:dyDescent="0.25">
      <c r="E1421" t="s">
        <v>8388</v>
      </c>
      <c r="F1421" s="1" t="s">
        <v>8536</v>
      </c>
      <c r="G1421" t="s">
        <v>1</v>
      </c>
      <c r="H1421" t="s">
        <v>0</v>
      </c>
      <c r="I1421" t="s">
        <v>8165</v>
      </c>
      <c r="J1421" t="s">
        <v>8164</v>
      </c>
      <c r="K1421">
        <v>12652</v>
      </c>
      <c r="L1421">
        <v>12652</v>
      </c>
      <c r="M1421" t="s">
        <v>8565</v>
      </c>
      <c r="N1421" t="s">
        <v>8566</v>
      </c>
      <c r="O1421" s="3">
        <v>0</v>
      </c>
      <c r="P1421" s="3">
        <v>0</v>
      </c>
      <c r="Q1421" s="3">
        <v>66.680000000000007</v>
      </c>
      <c r="R1421" s="3">
        <v>8.6684000000000019</v>
      </c>
      <c r="S1421" s="3">
        <v>0</v>
      </c>
      <c r="T1421" s="3">
        <v>0</v>
      </c>
      <c r="U1421" s="3">
        <v>75.348400000000012</v>
      </c>
      <c r="V1421" s="3" t="s">
        <v>8046</v>
      </c>
      <c r="W1421" s="3" t="s">
        <v>1</v>
      </c>
    </row>
    <row r="1422" spans="5:23" hidden="1" x14ac:dyDescent="0.25">
      <c r="E1422" t="s">
        <v>8388</v>
      </c>
      <c r="F1422" s="1" t="s">
        <v>8536</v>
      </c>
      <c r="G1422" t="s">
        <v>1</v>
      </c>
      <c r="H1422" t="s">
        <v>0</v>
      </c>
      <c r="I1422" t="s">
        <v>8165</v>
      </c>
      <c r="J1422" t="s">
        <v>8164</v>
      </c>
      <c r="K1422">
        <v>12653</v>
      </c>
      <c r="L1422">
        <v>12653</v>
      </c>
      <c r="M1422" t="s">
        <v>8404</v>
      </c>
      <c r="N1422" t="s">
        <v>8405</v>
      </c>
      <c r="O1422" s="3">
        <v>0</v>
      </c>
      <c r="P1422" s="3">
        <v>0</v>
      </c>
      <c r="Q1422" s="3">
        <v>8.1</v>
      </c>
      <c r="R1422" s="3">
        <v>1.0529999999999999</v>
      </c>
      <c r="S1422" s="3">
        <v>0</v>
      </c>
      <c r="T1422" s="3">
        <v>0</v>
      </c>
      <c r="U1422" s="3">
        <v>9.1529999999999987</v>
      </c>
      <c r="V1422" s="3" t="s">
        <v>8046</v>
      </c>
      <c r="W1422" s="3" t="s">
        <v>1</v>
      </c>
    </row>
    <row r="1423" spans="5:23" hidden="1" x14ac:dyDescent="0.25">
      <c r="E1423" t="s">
        <v>8388</v>
      </c>
      <c r="F1423" s="1" t="s">
        <v>8536</v>
      </c>
      <c r="G1423" t="s">
        <v>1</v>
      </c>
      <c r="H1423" t="s">
        <v>0</v>
      </c>
      <c r="I1423" t="s">
        <v>8165</v>
      </c>
      <c r="J1423" t="s">
        <v>8164</v>
      </c>
      <c r="K1423">
        <v>12654</v>
      </c>
      <c r="L1423">
        <v>12654</v>
      </c>
      <c r="M1423" t="s">
        <v>8404</v>
      </c>
      <c r="N1423" t="s">
        <v>8405</v>
      </c>
      <c r="O1423" s="3">
        <v>0</v>
      </c>
      <c r="P1423" s="3">
        <v>0</v>
      </c>
      <c r="Q1423" s="3">
        <v>22.1</v>
      </c>
      <c r="R1423" s="3">
        <v>2.8730000000000002</v>
      </c>
      <c r="S1423" s="3">
        <v>0</v>
      </c>
      <c r="T1423" s="3">
        <v>0</v>
      </c>
      <c r="U1423" s="3">
        <v>24.973000000000003</v>
      </c>
      <c r="V1423" s="3" t="s">
        <v>8046</v>
      </c>
      <c r="W1423" s="3" t="s">
        <v>1</v>
      </c>
    </row>
    <row r="1424" spans="5:23" hidden="1" x14ac:dyDescent="0.25">
      <c r="E1424" t="s">
        <v>8388</v>
      </c>
      <c r="F1424" s="1" t="s">
        <v>8536</v>
      </c>
      <c r="G1424" t="s">
        <v>1</v>
      </c>
      <c r="H1424" t="s">
        <v>0</v>
      </c>
      <c r="I1424" t="s">
        <v>8165</v>
      </c>
      <c r="J1424" t="s">
        <v>8164</v>
      </c>
      <c r="K1424">
        <v>12655</v>
      </c>
      <c r="L1424">
        <v>12655</v>
      </c>
      <c r="M1424" t="s">
        <v>8478</v>
      </c>
      <c r="N1424" t="s">
        <v>803</v>
      </c>
      <c r="O1424" s="3">
        <v>0</v>
      </c>
      <c r="P1424" s="3">
        <v>0</v>
      </c>
      <c r="Q1424" s="3">
        <v>38.76</v>
      </c>
      <c r="R1424" s="3">
        <v>5.0388000000000002</v>
      </c>
      <c r="S1424" s="3">
        <v>0</v>
      </c>
      <c r="T1424" s="3">
        <v>0</v>
      </c>
      <c r="U1424" s="3">
        <v>43.7988</v>
      </c>
      <c r="V1424" s="3" t="s">
        <v>8046</v>
      </c>
      <c r="W1424" s="3" t="s">
        <v>1</v>
      </c>
    </row>
    <row r="1425" spans="5:23" hidden="1" x14ac:dyDescent="0.25">
      <c r="E1425" t="s">
        <v>8388</v>
      </c>
      <c r="F1425" s="1" t="s">
        <v>8536</v>
      </c>
      <c r="G1425" t="s">
        <v>1</v>
      </c>
      <c r="H1425" t="s">
        <v>0</v>
      </c>
      <c r="I1425" t="s">
        <v>8165</v>
      </c>
      <c r="J1425" t="s">
        <v>8164</v>
      </c>
      <c r="K1425">
        <v>12656</v>
      </c>
      <c r="L1425">
        <v>12656</v>
      </c>
      <c r="M1425" t="s">
        <v>8478</v>
      </c>
      <c r="N1425" t="s">
        <v>803</v>
      </c>
      <c r="O1425" s="3">
        <v>0</v>
      </c>
      <c r="P1425" s="3">
        <v>0</v>
      </c>
      <c r="Q1425" s="3">
        <v>30</v>
      </c>
      <c r="R1425" s="3">
        <v>3.9000000000000004</v>
      </c>
      <c r="S1425" s="3">
        <v>0</v>
      </c>
      <c r="T1425" s="3">
        <v>0</v>
      </c>
      <c r="U1425" s="3">
        <v>33.9</v>
      </c>
      <c r="V1425" s="3" t="s">
        <v>8046</v>
      </c>
      <c r="W1425" s="3" t="s">
        <v>1</v>
      </c>
    </row>
    <row r="1426" spans="5:23" hidden="1" x14ac:dyDescent="0.25">
      <c r="E1426" t="s">
        <v>8388</v>
      </c>
      <c r="F1426" s="1" t="s">
        <v>8536</v>
      </c>
      <c r="G1426" t="s">
        <v>1</v>
      </c>
      <c r="H1426" t="s">
        <v>0</v>
      </c>
      <c r="I1426" t="s">
        <v>8165</v>
      </c>
      <c r="J1426" t="s">
        <v>8164</v>
      </c>
      <c r="K1426">
        <v>12657</v>
      </c>
      <c r="L1426">
        <v>12657</v>
      </c>
      <c r="M1426" t="s">
        <v>184</v>
      </c>
      <c r="N1426" t="s">
        <v>185</v>
      </c>
      <c r="O1426" s="3">
        <v>0</v>
      </c>
      <c r="P1426" s="3">
        <v>0</v>
      </c>
      <c r="Q1426" s="3">
        <v>100</v>
      </c>
      <c r="R1426" s="3">
        <v>13</v>
      </c>
      <c r="S1426" s="3">
        <v>0</v>
      </c>
      <c r="T1426" s="3">
        <v>0</v>
      </c>
      <c r="U1426" s="3">
        <v>113</v>
      </c>
      <c r="V1426" s="3" t="s">
        <v>8046</v>
      </c>
      <c r="W1426" s="3" t="s">
        <v>1</v>
      </c>
    </row>
    <row r="1427" spans="5:23" hidden="1" x14ac:dyDescent="0.25">
      <c r="E1427" t="s">
        <v>8388</v>
      </c>
      <c r="F1427" s="1" t="s">
        <v>8536</v>
      </c>
      <c r="G1427" t="s">
        <v>1</v>
      </c>
      <c r="H1427" t="s">
        <v>0</v>
      </c>
      <c r="I1427" t="s">
        <v>8165</v>
      </c>
      <c r="J1427" t="s">
        <v>8164</v>
      </c>
      <c r="K1427">
        <v>12658</v>
      </c>
      <c r="L1427">
        <v>12658</v>
      </c>
      <c r="M1427" t="s">
        <v>8188</v>
      </c>
      <c r="N1427" t="s">
        <v>8189</v>
      </c>
      <c r="O1427" s="3">
        <v>0</v>
      </c>
      <c r="P1427" s="3">
        <v>0</v>
      </c>
      <c r="Q1427" s="3">
        <v>103.5</v>
      </c>
      <c r="R1427" s="3">
        <v>13.455</v>
      </c>
      <c r="S1427" s="3">
        <v>0</v>
      </c>
      <c r="T1427" s="3">
        <v>0</v>
      </c>
      <c r="U1427" s="3">
        <v>116.955</v>
      </c>
      <c r="V1427" s="3" t="s">
        <v>8046</v>
      </c>
      <c r="W1427" s="3" t="s">
        <v>1</v>
      </c>
    </row>
    <row r="1428" spans="5:23" hidden="1" x14ac:dyDescent="0.25">
      <c r="E1428" t="s">
        <v>8388</v>
      </c>
      <c r="F1428" s="1" t="s">
        <v>8536</v>
      </c>
      <c r="G1428" t="s">
        <v>1</v>
      </c>
      <c r="H1428" t="s">
        <v>0</v>
      </c>
      <c r="I1428" t="s">
        <v>8165</v>
      </c>
      <c r="J1428" t="s">
        <v>8164</v>
      </c>
      <c r="K1428">
        <v>12659</v>
      </c>
      <c r="L1428">
        <v>12659</v>
      </c>
      <c r="M1428" t="s">
        <v>8190</v>
      </c>
      <c r="N1428" t="s">
        <v>8191</v>
      </c>
      <c r="O1428" s="3">
        <v>0</v>
      </c>
      <c r="P1428" s="3">
        <v>0</v>
      </c>
      <c r="Q1428" s="3">
        <v>185.84</v>
      </c>
      <c r="R1428" s="3">
        <v>24.159200000000002</v>
      </c>
      <c r="S1428" s="3">
        <v>0</v>
      </c>
      <c r="T1428" s="3">
        <v>0</v>
      </c>
      <c r="U1428" s="3">
        <v>209.9992</v>
      </c>
      <c r="V1428" s="3" t="s">
        <v>8046</v>
      </c>
      <c r="W1428" s="3" t="s">
        <v>1</v>
      </c>
    </row>
    <row r="1429" spans="5:23" hidden="1" x14ac:dyDescent="0.25">
      <c r="E1429" t="s">
        <v>8388</v>
      </c>
      <c r="F1429" s="1" t="s">
        <v>8536</v>
      </c>
      <c r="G1429" t="s">
        <v>1</v>
      </c>
      <c r="H1429" t="s">
        <v>0</v>
      </c>
      <c r="I1429" t="s">
        <v>8165</v>
      </c>
      <c r="J1429" t="s">
        <v>8164</v>
      </c>
      <c r="K1429">
        <v>12660</v>
      </c>
      <c r="L1429">
        <v>12660</v>
      </c>
      <c r="M1429" t="s">
        <v>8404</v>
      </c>
      <c r="N1429" t="s">
        <v>8405</v>
      </c>
      <c r="O1429" s="3">
        <v>0</v>
      </c>
      <c r="P1429" s="3">
        <v>0</v>
      </c>
      <c r="Q1429" s="3">
        <v>8.89</v>
      </c>
      <c r="R1429" s="3">
        <v>1.1557000000000002</v>
      </c>
      <c r="S1429" s="3">
        <v>0</v>
      </c>
      <c r="T1429" s="3">
        <v>0</v>
      </c>
      <c r="U1429" s="3">
        <v>10.0457</v>
      </c>
      <c r="V1429" s="3" t="s">
        <v>8046</v>
      </c>
      <c r="W1429" s="3" t="s">
        <v>1</v>
      </c>
    </row>
    <row r="1430" spans="5:23" hidden="1" x14ac:dyDescent="0.25">
      <c r="E1430" t="s">
        <v>8388</v>
      </c>
      <c r="F1430" s="1" t="s">
        <v>8536</v>
      </c>
      <c r="G1430" t="s">
        <v>1</v>
      </c>
      <c r="H1430" t="s">
        <v>0</v>
      </c>
      <c r="I1430" t="s">
        <v>8165</v>
      </c>
      <c r="J1430" t="s">
        <v>8164</v>
      </c>
      <c r="K1430">
        <v>12661</v>
      </c>
      <c r="L1430">
        <v>12661</v>
      </c>
      <c r="M1430" t="s">
        <v>8188</v>
      </c>
      <c r="N1430" t="s">
        <v>8189</v>
      </c>
      <c r="O1430" s="3">
        <v>0</v>
      </c>
      <c r="P1430" s="3">
        <v>0</v>
      </c>
      <c r="Q1430" s="3">
        <v>757.3</v>
      </c>
      <c r="R1430" s="3">
        <v>98.448999999999998</v>
      </c>
      <c r="S1430" s="3">
        <v>0</v>
      </c>
      <c r="T1430" s="3">
        <v>0</v>
      </c>
      <c r="U1430" s="3">
        <v>855.74899999999991</v>
      </c>
      <c r="V1430" s="3" t="s">
        <v>8046</v>
      </c>
      <c r="W1430" s="3" t="s">
        <v>1</v>
      </c>
    </row>
    <row r="1431" spans="5:23" hidden="1" x14ac:dyDescent="0.25">
      <c r="E1431" t="s">
        <v>8388</v>
      </c>
      <c r="F1431" s="1" t="s">
        <v>8536</v>
      </c>
      <c r="G1431" t="s">
        <v>1</v>
      </c>
      <c r="H1431" t="s">
        <v>0</v>
      </c>
      <c r="I1431" t="s">
        <v>8165</v>
      </c>
      <c r="J1431" t="s">
        <v>8164</v>
      </c>
      <c r="K1431">
        <v>12662</v>
      </c>
      <c r="L1431">
        <v>12662</v>
      </c>
      <c r="M1431" t="s">
        <v>238</v>
      </c>
      <c r="N1431" t="s">
        <v>239</v>
      </c>
      <c r="O1431" s="3">
        <v>0</v>
      </c>
      <c r="P1431" s="3">
        <v>0</v>
      </c>
      <c r="Q1431" s="3">
        <v>95.3</v>
      </c>
      <c r="R1431" s="3">
        <v>12.388999999999999</v>
      </c>
      <c r="S1431" s="3">
        <v>0</v>
      </c>
      <c r="T1431" s="3">
        <v>0</v>
      </c>
      <c r="U1431" s="3">
        <v>107.68899999999999</v>
      </c>
      <c r="V1431" s="3" t="s">
        <v>8046</v>
      </c>
      <c r="W1431" s="3" t="s">
        <v>1</v>
      </c>
    </row>
    <row r="1432" spans="5:23" hidden="1" x14ac:dyDescent="0.25">
      <c r="E1432" t="s">
        <v>8388</v>
      </c>
      <c r="F1432" s="1" t="s">
        <v>8535</v>
      </c>
      <c r="G1432" t="s">
        <v>1</v>
      </c>
      <c r="H1432" t="s">
        <v>0</v>
      </c>
      <c r="I1432" t="s">
        <v>8165</v>
      </c>
      <c r="J1432" t="s">
        <v>8164</v>
      </c>
      <c r="K1432">
        <v>12663</v>
      </c>
      <c r="L1432">
        <v>12663</v>
      </c>
      <c r="M1432" t="s">
        <v>8563</v>
      </c>
      <c r="N1432" t="s">
        <v>8564</v>
      </c>
      <c r="O1432" s="3">
        <v>0</v>
      </c>
      <c r="P1432" s="3">
        <v>0</v>
      </c>
      <c r="Q1432" s="3">
        <v>9.42</v>
      </c>
      <c r="R1432" s="3">
        <v>1.2246000000000001</v>
      </c>
      <c r="S1432" s="3">
        <v>0</v>
      </c>
      <c r="T1432" s="3">
        <v>0</v>
      </c>
      <c r="U1432" s="3">
        <v>10.644600000000001</v>
      </c>
      <c r="V1432" s="3" t="s">
        <v>8046</v>
      </c>
      <c r="W1432" s="3" t="s">
        <v>1</v>
      </c>
    </row>
    <row r="1433" spans="5:23" hidden="1" x14ac:dyDescent="0.25">
      <c r="E1433" t="s">
        <v>8388</v>
      </c>
      <c r="F1433" s="1" t="s">
        <v>8535</v>
      </c>
      <c r="G1433" t="s">
        <v>1</v>
      </c>
      <c r="H1433" t="s">
        <v>0</v>
      </c>
      <c r="I1433" t="s">
        <v>8165</v>
      </c>
      <c r="J1433" t="s">
        <v>8164</v>
      </c>
      <c r="K1433">
        <v>12664</v>
      </c>
      <c r="L1433">
        <v>12664</v>
      </c>
      <c r="M1433" t="s">
        <v>7852</v>
      </c>
      <c r="N1433" t="s">
        <v>7851</v>
      </c>
      <c r="O1433" s="3">
        <v>0</v>
      </c>
      <c r="P1433" s="3">
        <v>0</v>
      </c>
      <c r="Q1433" s="3">
        <v>0</v>
      </c>
      <c r="R1433" s="3">
        <v>0</v>
      </c>
      <c r="S1433" s="3">
        <v>0</v>
      </c>
      <c r="T1433" s="3">
        <v>0</v>
      </c>
      <c r="U1433" s="3">
        <v>0</v>
      </c>
      <c r="V1433" s="3" t="s">
        <v>8046</v>
      </c>
      <c r="W1433" s="3" t="s">
        <v>1</v>
      </c>
    </row>
    <row r="1434" spans="5:23" hidden="1" x14ac:dyDescent="0.25">
      <c r="E1434" t="s">
        <v>8388</v>
      </c>
      <c r="F1434" s="1" t="s">
        <v>8535</v>
      </c>
      <c r="G1434" t="s">
        <v>1</v>
      </c>
      <c r="H1434" t="s">
        <v>0</v>
      </c>
      <c r="I1434" t="s">
        <v>8165</v>
      </c>
      <c r="J1434" t="s">
        <v>8164</v>
      </c>
      <c r="K1434">
        <v>12665</v>
      </c>
      <c r="L1434">
        <v>12665</v>
      </c>
      <c r="M1434" t="s">
        <v>242</v>
      </c>
      <c r="N1434" t="s">
        <v>243</v>
      </c>
      <c r="O1434" s="3">
        <v>0</v>
      </c>
      <c r="P1434" s="3">
        <v>0</v>
      </c>
      <c r="Q1434" s="3">
        <v>79.2</v>
      </c>
      <c r="R1434" s="3">
        <v>10.296000000000001</v>
      </c>
      <c r="S1434" s="3">
        <v>0</v>
      </c>
      <c r="T1434" s="3">
        <v>0</v>
      </c>
      <c r="U1434" s="3">
        <v>89.496000000000009</v>
      </c>
      <c r="V1434" s="3" t="s">
        <v>8046</v>
      </c>
      <c r="W1434" s="3" t="s">
        <v>1</v>
      </c>
    </row>
    <row r="1435" spans="5:23" hidden="1" x14ac:dyDescent="0.25">
      <c r="E1435" t="s">
        <v>8388</v>
      </c>
      <c r="F1435" s="1" t="s">
        <v>8535</v>
      </c>
      <c r="G1435" t="s">
        <v>1</v>
      </c>
      <c r="H1435" t="s">
        <v>0</v>
      </c>
      <c r="I1435" t="s">
        <v>8165</v>
      </c>
      <c r="J1435" t="s">
        <v>8164</v>
      </c>
      <c r="K1435">
        <v>12666</v>
      </c>
      <c r="L1435">
        <v>12666</v>
      </c>
      <c r="M1435" t="s">
        <v>242</v>
      </c>
      <c r="N1435" t="s">
        <v>243</v>
      </c>
      <c r="O1435" s="3">
        <v>0</v>
      </c>
      <c r="P1435" s="3">
        <v>0</v>
      </c>
      <c r="Q1435" s="3">
        <v>197.8</v>
      </c>
      <c r="R1435" s="3">
        <v>25.714000000000002</v>
      </c>
      <c r="S1435" s="3">
        <v>0</v>
      </c>
      <c r="T1435" s="3">
        <v>0</v>
      </c>
      <c r="U1435" s="3">
        <v>223.51400000000001</v>
      </c>
      <c r="V1435" s="3" t="s">
        <v>8046</v>
      </c>
      <c r="W1435" s="3" t="s">
        <v>1</v>
      </c>
    </row>
    <row r="1436" spans="5:23" hidden="1" x14ac:dyDescent="0.25">
      <c r="E1436" t="s">
        <v>8388</v>
      </c>
      <c r="F1436" s="1" t="s">
        <v>8535</v>
      </c>
      <c r="G1436" t="s">
        <v>1</v>
      </c>
      <c r="H1436" t="s">
        <v>0</v>
      </c>
      <c r="I1436" t="s">
        <v>8165</v>
      </c>
      <c r="J1436" t="s">
        <v>8164</v>
      </c>
      <c r="K1436">
        <v>12667</v>
      </c>
      <c r="L1436">
        <v>12667</v>
      </c>
      <c r="M1436" t="s">
        <v>8241</v>
      </c>
      <c r="N1436" t="s">
        <v>8242</v>
      </c>
      <c r="O1436" s="3">
        <v>0</v>
      </c>
      <c r="P1436" s="3">
        <v>0</v>
      </c>
      <c r="Q1436" s="3">
        <v>388.5</v>
      </c>
      <c r="R1436" s="3">
        <v>50.505000000000003</v>
      </c>
      <c r="S1436" s="3">
        <v>0</v>
      </c>
      <c r="T1436" s="3">
        <v>0</v>
      </c>
      <c r="U1436" s="3">
        <v>439.005</v>
      </c>
      <c r="V1436" s="3" t="s">
        <v>8046</v>
      </c>
      <c r="W1436" s="3" t="s">
        <v>1</v>
      </c>
    </row>
    <row r="1437" spans="5:23" hidden="1" x14ac:dyDescent="0.25">
      <c r="E1437" t="s">
        <v>8388</v>
      </c>
      <c r="F1437" s="1" t="s">
        <v>8535</v>
      </c>
      <c r="G1437" t="s">
        <v>1</v>
      </c>
      <c r="H1437" t="s">
        <v>0</v>
      </c>
      <c r="I1437" t="s">
        <v>8165</v>
      </c>
      <c r="J1437" t="s">
        <v>8164</v>
      </c>
      <c r="K1437">
        <v>12668</v>
      </c>
      <c r="L1437">
        <v>12668</v>
      </c>
      <c r="M1437" t="s">
        <v>8209</v>
      </c>
      <c r="N1437" t="s">
        <v>8210</v>
      </c>
      <c r="O1437" s="3">
        <v>0</v>
      </c>
      <c r="P1437" s="3">
        <v>0</v>
      </c>
      <c r="Q1437" s="3">
        <v>1679.82</v>
      </c>
      <c r="R1437" s="3">
        <v>218.3766</v>
      </c>
      <c r="S1437" s="3">
        <v>0</v>
      </c>
      <c r="T1437" s="3">
        <v>0</v>
      </c>
      <c r="U1437" s="3">
        <v>1898.1966</v>
      </c>
      <c r="V1437" s="3" t="s">
        <v>8046</v>
      </c>
      <c r="W1437" s="3" t="s">
        <v>1</v>
      </c>
    </row>
    <row r="1438" spans="5:23" hidden="1" x14ac:dyDescent="0.25">
      <c r="E1438" t="s">
        <v>8388</v>
      </c>
      <c r="F1438" s="1" t="s">
        <v>8535</v>
      </c>
      <c r="G1438" t="s">
        <v>1</v>
      </c>
      <c r="H1438" t="s">
        <v>0</v>
      </c>
      <c r="I1438" t="s">
        <v>8165</v>
      </c>
      <c r="J1438" t="s">
        <v>8164</v>
      </c>
      <c r="K1438">
        <v>12669</v>
      </c>
      <c r="L1438">
        <v>12669</v>
      </c>
      <c r="M1438" t="s">
        <v>7852</v>
      </c>
      <c r="N1438" t="s">
        <v>7851</v>
      </c>
      <c r="O1438" s="3">
        <v>0</v>
      </c>
      <c r="P1438" s="3">
        <v>0</v>
      </c>
      <c r="Q1438" s="3">
        <v>0</v>
      </c>
      <c r="R1438" s="3">
        <v>0</v>
      </c>
      <c r="S1438" s="3">
        <v>0</v>
      </c>
      <c r="T1438" s="3">
        <v>0</v>
      </c>
      <c r="U1438" s="3">
        <v>0</v>
      </c>
      <c r="V1438" s="3" t="s">
        <v>8046</v>
      </c>
      <c r="W1438" s="3" t="s">
        <v>1</v>
      </c>
    </row>
    <row r="1439" spans="5:23" hidden="1" x14ac:dyDescent="0.25">
      <c r="E1439" t="s">
        <v>8388</v>
      </c>
      <c r="F1439" s="1" t="s">
        <v>8535</v>
      </c>
      <c r="G1439" t="s">
        <v>1</v>
      </c>
      <c r="H1439" t="s">
        <v>0</v>
      </c>
      <c r="I1439" t="s">
        <v>8165</v>
      </c>
      <c r="J1439" t="s">
        <v>8164</v>
      </c>
      <c r="K1439">
        <v>12670</v>
      </c>
      <c r="L1439">
        <v>12670</v>
      </c>
      <c r="M1439" t="s">
        <v>8226</v>
      </c>
      <c r="N1439" t="s">
        <v>8227</v>
      </c>
      <c r="O1439" s="3">
        <v>0</v>
      </c>
      <c r="P1439" s="3">
        <v>0</v>
      </c>
      <c r="Q1439" s="3">
        <v>39.450000000000003</v>
      </c>
      <c r="R1439" s="3">
        <v>5.1285000000000007</v>
      </c>
      <c r="S1439" s="3">
        <v>0</v>
      </c>
      <c r="T1439" s="3">
        <v>0</v>
      </c>
      <c r="U1439" s="3">
        <v>44.578500000000005</v>
      </c>
      <c r="V1439" s="3" t="s">
        <v>8046</v>
      </c>
      <c r="W1439" s="3" t="s">
        <v>1</v>
      </c>
    </row>
    <row r="1440" spans="5:23" hidden="1" x14ac:dyDescent="0.25">
      <c r="E1440" t="s">
        <v>8388</v>
      </c>
      <c r="F1440" s="1" t="s">
        <v>8535</v>
      </c>
      <c r="G1440" t="s">
        <v>1</v>
      </c>
      <c r="H1440" t="s">
        <v>0</v>
      </c>
      <c r="I1440" t="s">
        <v>8165</v>
      </c>
      <c r="J1440" t="s">
        <v>8164</v>
      </c>
      <c r="K1440">
        <v>12671</v>
      </c>
      <c r="L1440">
        <v>12671</v>
      </c>
      <c r="M1440" t="s">
        <v>8174</v>
      </c>
      <c r="N1440" t="s">
        <v>8175</v>
      </c>
      <c r="O1440" s="3">
        <v>0</v>
      </c>
      <c r="P1440" s="3">
        <v>0</v>
      </c>
      <c r="Q1440" s="3">
        <v>216</v>
      </c>
      <c r="R1440" s="3">
        <v>28.080000000000002</v>
      </c>
      <c r="S1440" s="3">
        <v>0</v>
      </c>
      <c r="T1440" s="3">
        <v>0</v>
      </c>
      <c r="U1440" s="3">
        <v>244.08</v>
      </c>
      <c r="V1440" s="3" t="s">
        <v>8046</v>
      </c>
      <c r="W1440" s="3" t="s">
        <v>1</v>
      </c>
    </row>
    <row r="1441" spans="5:23" hidden="1" x14ac:dyDescent="0.25">
      <c r="E1441" t="s">
        <v>8388</v>
      </c>
      <c r="F1441" s="1" t="s">
        <v>8535</v>
      </c>
      <c r="G1441" t="s">
        <v>1</v>
      </c>
      <c r="H1441" t="s">
        <v>0</v>
      </c>
      <c r="I1441" t="s">
        <v>8165</v>
      </c>
      <c r="J1441" t="s">
        <v>8164</v>
      </c>
      <c r="K1441">
        <v>12672</v>
      </c>
      <c r="L1441">
        <v>12672</v>
      </c>
      <c r="M1441" t="s">
        <v>8174</v>
      </c>
      <c r="N1441" t="s">
        <v>8175</v>
      </c>
      <c r="O1441" s="3">
        <v>0</v>
      </c>
      <c r="P1441" s="3">
        <v>0</v>
      </c>
      <c r="Q1441" s="3">
        <v>6</v>
      </c>
      <c r="R1441" s="3">
        <v>0.78</v>
      </c>
      <c r="S1441" s="3">
        <v>0</v>
      </c>
      <c r="T1441" s="3">
        <v>0</v>
      </c>
      <c r="U1441" s="3">
        <v>6.78</v>
      </c>
      <c r="V1441" s="3" t="s">
        <v>8046</v>
      </c>
      <c r="W1441" s="3" t="s">
        <v>1</v>
      </c>
    </row>
    <row r="1442" spans="5:23" hidden="1" x14ac:dyDescent="0.25">
      <c r="E1442" t="s">
        <v>8388</v>
      </c>
      <c r="F1442" s="1" t="s">
        <v>8535</v>
      </c>
      <c r="G1442" t="s">
        <v>1</v>
      </c>
      <c r="H1442" t="s">
        <v>0</v>
      </c>
      <c r="I1442" t="s">
        <v>8165</v>
      </c>
      <c r="J1442" t="s">
        <v>8164</v>
      </c>
      <c r="K1442">
        <v>12673</v>
      </c>
      <c r="L1442">
        <v>12673</v>
      </c>
      <c r="M1442" t="s">
        <v>8259</v>
      </c>
      <c r="N1442" t="s">
        <v>8260</v>
      </c>
      <c r="O1442" s="3">
        <v>0</v>
      </c>
      <c r="P1442" s="3">
        <v>0</v>
      </c>
      <c r="Q1442" s="3">
        <v>18</v>
      </c>
      <c r="R1442" s="3">
        <v>2.34</v>
      </c>
      <c r="S1442" s="3">
        <v>0</v>
      </c>
      <c r="T1442" s="3">
        <v>0</v>
      </c>
      <c r="U1442" s="3">
        <v>20.34</v>
      </c>
      <c r="V1442" s="3" t="s">
        <v>8046</v>
      </c>
      <c r="W1442" s="3" t="s">
        <v>1</v>
      </c>
    </row>
    <row r="1443" spans="5:23" hidden="1" x14ac:dyDescent="0.25">
      <c r="E1443" t="s">
        <v>8388</v>
      </c>
      <c r="F1443" s="1" t="s">
        <v>8535</v>
      </c>
      <c r="G1443" t="s">
        <v>1</v>
      </c>
      <c r="H1443" t="s">
        <v>0</v>
      </c>
      <c r="I1443" t="s">
        <v>8165</v>
      </c>
      <c r="J1443" t="s">
        <v>8164</v>
      </c>
      <c r="K1443">
        <v>12674</v>
      </c>
      <c r="L1443">
        <v>12674</v>
      </c>
      <c r="M1443" t="s">
        <v>8213</v>
      </c>
      <c r="N1443" t="s">
        <v>8181</v>
      </c>
      <c r="O1443" s="3">
        <v>0</v>
      </c>
      <c r="P1443" s="3">
        <v>0</v>
      </c>
      <c r="Q1443" s="3">
        <v>33.64</v>
      </c>
      <c r="R1443" s="3">
        <v>4.3732000000000006</v>
      </c>
      <c r="S1443" s="3">
        <v>0</v>
      </c>
      <c r="T1443" s="3">
        <v>0</v>
      </c>
      <c r="U1443" s="3">
        <v>38.013199999999998</v>
      </c>
      <c r="V1443" s="3" t="s">
        <v>8046</v>
      </c>
      <c r="W1443" s="3" t="s">
        <v>1</v>
      </c>
    </row>
    <row r="1444" spans="5:23" hidden="1" x14ac:dyDescent="0.25">
      <c r="E1444" t="s">
        <v>8388</v>
      </c>
      <c r="F1444" s="1" t="s">
        <v>8535</v>
      </c>
      <c r="G1444" t="s">
        <v>1</v>
      </c>
      <c r="H1444" t="s">
        <v>0</v>
      </c>
      <c r="I1444" t="s">
        <v>8165</v>
      </c>
      <c r="J1444" t="s">
        <v>8164</v>
      </c>
      <c r="K1444">
        <v>12675</v>
      </c>
      <c r="L1444">
        <v>12675</v>
      </c>
      <c r="M1444" t="s">
        <v>8226</v>
      </c>
      <c r="N1444" t="s">
        <v>8227</v>
      </c>
      <c r="O1444" s="3">
        <v>0</v>
      </c>
      <c r="P1444" s="3">
        <v>0</v>
      </c>
      <c r="Q1444" s="3">
        <v>139.13</v>
      </c>
      <c r="R1444" s="3">
        <v>18.0869</v>
      </c>
      <c r="S1444" s="3">
        <v>0</v>
      </c>
      <c r="T1444" s="3">
        <v>0</v>
      </c>
      <c r="U1444" s="3">
        <v>157.21690000000001</v>
      </c>
      <c r="V1444" s="3" t="s">
        <v>8046</v>
      </c>
      <c r="W1444" s="3" t="s">
        <v>1</v>
      </c>
    </row>
    <row r="1445" spans="5:23" hidden="1" x14ac:dyDescent="0.25">
      <c r="E1445" t="s">
        <v>8388</v>
      </c>
      <c r="F1445" s="1" t="s">
        <v>8535</v>
      </c>
      <c r="G1445" t="s">
        <v>1</v>
      </c>
      <c r="H1445" t="s">
        <v>0</v>
      </c>
      <c r="I1445" t="s">
        <v>8165</v>
      </c>
      <c r="J1445" t="s">
        <v>8164</v>
      </c>
      <c r="K1445">
        <v>12676</v>
      </c>
      <c r="L1445">
        <v>12676</v>
      </c>
      <c r="M1445" t="s">
        <v>8226</v>
      </c>
      <c r="N1445" t="s">
        <v>8227</v>
      </c>
      <c r="O1445" s="3">
        <v>0</v>
      </c>
      <c r="P1445" s="3">
        <v>0</v>
      </c>
      <c r="Q1445" s="3">
        <v>88.7</v>
      </c>
      <c r="R1445" s="3">
        <v>11.531000000000001</v>
      </c>
      <c r="S1445" s="3">
        <v>0</v>
      </c>
      <c r="T1445" s="3">
        <v>0</v>
      </c>
      <c r="U1445" s="3">
        <v>100.23100000000001</v>
      </c>
      <c r="V1445" s="3" t="s">
        <v>8046</v>
      </c>
      <c r="W1445" s="3" t="s">
        <v>1</v>
      </c>
    </row>
    <row r="1446" spans="5:23" hidden="1" x14ac:dyDescent="0.25">
      <c r="E1446" t="s">
        <v>8388</v>
      </c>
      <c r="F1446" s="1" t="s">
        <v>8535</v>
      </c>
      <c r="G1446" t="s">
        <v>1</v>
      </c>
      <c r="H1446" t="s">
        <v>0</v>
      </c>
      <c r="I1446" t="s">
        <v>8165</v>
      </c>
      <c r="J1446" t="s">
        <v>8164</v>
      </c>
      <c r="K1446">
        <v>12677</v>
      </c>
      <c r="L1446">
        <v>12677</v>
      </c>
      <c r="M1446" t="s">
        <v>7852</v>
      </c>
      <c r="N1446" t="s">
        <v>7851</v>
      </c>
      <c r="O1446" s="3">
        <v>0</v>
      </c>
      <c r="P1446" s="3">
        <v>0</v>
      </c>
      <c r="Q1446" s="3">
        <v>0</v>
      </c>
      <c r="R1446" s="3">
        <v>0</v>
      </c>
      <c r="S1446" s="3">
        <v>0</v>
      </c>
      <c r="T1446" s="3">
        <v>0</v>
      </c>
      <c r="U1446" s="3">
        <v>0</v>
      </c>
      <c r="V1446" s="3" t="s">
        <v>8046</v>
      </c>
      <c r="W1446" s="3" t="s">
        <v>1</v>
      </c>
    </row>
    <row r="1447" spans="5:23" hidden="1" x14ac:dyDescent="0.25">
      <c r="E1447" t="s">
        <v>8388</v>
      </c>
      <c r="F1447" s="1" t="s">
        <v>8535</v>
      </c>
      <c r="G1447" t="s">
        <v>1</v>
      </c>
      <c r="H1447" t="s">
        <v>0</v>
      </c>
      <c r="I1447" t="s">
        <v>8165</v>
      </c>
      <c r="J1447" t="s">
        <v>8164</v>
      </c>
      <c r="K1447">
        <v>12678</v>
      </c>
      <c r="L1447">
        <v>12678</v>
      </c>
      <c r="M1447" t="s">
        <v>5339</v>
      </c>
      <c r="N1447" t="s">
        <v>5340</v>
      </c>
      <c r="O1447" s="3">
        <v>0</v>
      </c>
      <c r="P1447" s="3">
        <v>0</v>
      </c>
      <c r="Q1447" s="3">
        <v>284.60000000000002</v>
      </c>
      <c r="R1447" s="3">
        <v>36.998000000000005</v>
      </c>
      <c r="S1447" s="3">
        <v>0</v>
      </c>
      <c r="T1447" s="3">
        <v>0</v>
      </c>
      <c r="U1447" s="3">
        <v>321.59800000000001</v>
      </c>
      <c r="V1447" s="3" t="s">
        <v>8046</v>
      </c>
      <c r="W1447" s="3" t="s">
        <v>1</v>
      </c>
    </row>
    <row r="1448" spans="5:23" hidden="1" x14ac:dyDescent="0.25">
      <c r="E1448" t="s">
        <v>8388</v>
      </c>
      <c r="F1448" s="1" t="s">
        <v>8535</v>
      </c>
      <c r="G1448" t="s">
        <v>1</v>
      </c>
      <c r="H1448" t="s">
        <v>0</v>
      </c>
      <c r="I1448" t="s">
        <v>8165</v>
      </c>
      <c r="J1448" t="s">
        <v>8164</v>
      </c>
      <c r="K1448">
        <v>12679</v>
      </c>
      <c r="L1448">
        <v>12679</v>
      </c>
      <c r="M1448" t="s">
        <v>1062</v>
      </c>
      <c r="N1448" t="s">
        <v>1063</v>
      </c>
      <c r="O1448" s="3">
        <v>0</v>
      </c>
      <c r="P1448" s="3">
        <v>0</v>
      </c>
      <c r="Q1448" s="3">
        <v>50.3</v>
      </c>
      <c r="R1448" s="3">
        <v>6.5389999999999997</v>
      </c>
      <c r="S1448" s="3">
        <v>0</v>
      </c>
      <c r="T1448" s="3">
        <v>0</v>
      </c>
      <c r="U1448" s="3">
        <v>56.838999999999999</v>
      </c>
      <c r="V1448" s="3" t="s">
        <v>8046</v>
      </c>
      <c r="W1448" s="3" t="s">
        <v>1</v>
      </c>
    </row>
    <row r="1449" spans="5:23" hidden="1" x14ac:dyDescent="0.25">
      <c r="E1449" t="s">
        <v>8388</v>
      </c>
      <c r="F1449" s="1" t="s">
        <v>8535</v>
      </c>
      <c r="G1449" t="s">
        <v>1</v>
      </c>
      <c r="H1449" t="s">
        <v>0</v>
      </c>
      <c r="I1449" t="s">
        <v>8165</v>
      </c>
      <c r="J1449" t="s">
        <v>8164</v>
      </c>
      <c r="K1449">
        <v>12680</v>
      </c>
      <c r="L1449">
        <v>12680</v>
      </c>
      <c r="M1449" t="s">
        <v>1062</v>
      </c>
      <c r="N1449" t="s">
        <v>1063</v>
      </c>
      <c r="O1449" s="3">
        <v>0</v>
      </c>
      <c r="P1449" s="3">
        <v>0</v>
      </c>
      <c r="Q1449" s="3">
        <v>1543.58</v>
      </c>
      <c r="R1449" s="3">
        <v>200.66540000000001</v>
      </c>
      <c r="S1449" s="3">
        <v>0</v>
      </c>
      <c r="T1449" s="3">
        <v>0</v>
      </c>
      <c r="U1449" s="3">
        <v>1744.2454</v>
      </c>
      <c r="V1449" s="3" t="s">
        <v>8046</v>
      </c>
      <c r="W1449" s="3" t="s">
        <v>1</v>
      </c>
    </row>
    <row r="1450" spans="5:23" hidden="1" x14ac:dyDescent="0.25">
      <c r="E1450" t="s">
        <v>8388</v>
      </c>
      <c r="F1450" s="1" t="s">
        <v>8535</v>
      </c>
      <c r="G1450" t="s">
        <v>1</v>
      </c>
      <c r="H1450" t="s">
        <v>0</v>
      </c>
      <c r="I1450" t="s">
        <v>8165</v>
      </c>
      <c r="J1450" t="s">
        <v>8164</v>
      </c>
      <c r="K1450">
        <v>12681</v>
      </c>
      <c r="L1450">
        <v>12681</v>
      </c>
      <c r="M1450" t="s">
        <v>238</v>
      </c>
      <c r="N1450" t="s">
        <v>239</v>
      </c>
      <c r="O1450" s="3">
        <v>0</v>
      </c>
      <c r="P1450" s="3">
        <v>0</v>
      </c>
      <c r="Q1450" s="3">
        <v>275.5</v>
      </c>
      <c r="R1450" s="3">
        <v>35.814999999999998</v>
      </c>
      <c r="S1450" s="3">
        <v>0</v>
      </c>
      <c r="T1450" s="3">
        <v>0</v>
      </c>
      <c r="U1450" s="3">
        <v>311.315</v>
      </c>
      <c r="V1450" s="3" t="s">
        <v>8046</v>
      </c>
      <c r="W1450" s="3" t="s">
        <v>1</v>
      </c>
    </row>
    <row r="1451" spans="5:23" hidden="1" x14ac:dyDescent="0.25">
      <c r="E1451" t="s">
        <v>8388</v>
      </c>
      <c r="F1451" s="1" t="s">
        <v>8535</v>
      </c>
      <c r="G1451" t="s">
        <v>1</v>
      </c>
      <c r="H1451" t="s">
        <v>0</v>
      </c>
      <c r="I1451" t="s">
        <v>8165</v>
      </c>
      <c r="J1451" t="s">
        <v>8164</v>
      </c>
      <c r="K1451">
        <v>12682</v>
      </c>
      <c r="L1451">
        <v>12682</v>
      </c>
      <c r="M1451" t="s">
        <v>8456</v>
      </c>
      <c r="N1451" t="s">
        <v>8457</v>
      </c>
      <c r="O1451" s="3">
        <v>0</v>
      </c>
      <c r="P1451" s="3">
        <v>0</v>
      </c>
      <c r="Q1451" s="3">
        <v>184.5</v>
      </c>
      <c r="R1451" s="3">
        <v>23.984999999999999</v>
      </c>
      <c r="S1451" s="3">
        <v>0</v>
      </c>
      <c r="T1451" s="3">
        <v>0</v>
      </c>
      <c r="U1451" s="3">
        <v>208.48500000000001</v>
      </c>
      <c r="V1451" s="3" t="s">
        <v>8046</v>
      </c>
      <c r="W1451" s="3" t="s">
        <v>1</v>
      </c>
    </row>
    <row r="1452" spans="5:23" hidden="1" x14ac:dyDescent="0.25">
      <c r="E1452" t="s">
        <v>8388</v>
      </c>
      <c r="F1452" s="1" t="s">
        <v>8521</v>
      </c>
      <c r="G1452" t="s">
        <v>1</v>
      </c>
      <c r="H1452" t="s">
        <v>0</v>
      </c>
      <c r="I1452" t="s">
        <v>8165</v>
      </c>
      <c r="J1452" t="s">
        <v>8164</v>
      </c>
      <c r="K1452">
        <v>12683</v>
      </c>
      <c r="L1452">
        <v>12683</v>
      </c>
      <c r="M1452" t="s">
        <v>7869</v>
      </c>
      <c r="N1452" t="s">
        <v>7870</v>
      </c>
      <c r="O1452" s="3">
        <v>0</v>
      </c>
      <c r="P1452" s="3">
        <v>0</v>
      </c>
      <c r="Q1452" s="3">
        <v>376.2</v>
      </c>
      <c r="R1452" s="3">
        <v>48.905999999999999</v>
      </c>
      <c r="S1452" s="3">
        <v>0</v>
      </c>
      <c r="T1452" s="3">
        <v>0</v>
      </c>
      <c r="U1452" s="3">
        <v>425.10599999999999</v>
      </c>
      <c r="V1452" s="3" t="s">
        <v>8046</v>
      </c>
      <c r="W1452" s="3" t="s">
        <v>1</v>
      </c>
    </row>
    <row r="1453" spans="5:23" hidden="1" x14ac:dyDescent="0.25">
      <c r="E1453" t="s">
        <v>8388</v>
      </c>
      <c r="F1453" s="1" t="s">
        <v>8521</v>
      </c>
      <c r="G1453" t="s">
        <v>1</v>
      </c>
      <c r="H1453" t="s">
        <v>0</v>
      </c>
      <c r="I1453" t="s">
        <v>8165</v>
      </c>
      <c r="J1453" t="s">
        <v>8164</v>
      </c>
      <c r="K1453">
        <v>12684</v>
      </c>
      <c r="L1453">
        <v>12684</v>
      </c>
      <c r="M1453" t="s">
        <v>7869</v>
      </c>
      <c r="N1453" t="s">
        <v>7870</v>
      </c>
      <c r="O1453" s="3">
        <v>0</v>
      </c>
      <c r="P1453" s="3">
        <v>0</v>
      </c>
      <c r="Q1453" s="3">
        <v>139.86000000000001</v>
      </c>
      <c r="R1453" s="3">
        <v>18.181800000000003</v>
      </c>
      <c r="S1453" s="3">
        <v>0</v>
      </c>
      <c r="T1453" s="3">
        <v>0</v>
      </c>
      <c r="U1453" s="3">
        <v>158.04180000000002</v>
      </c>
      <c r="V1453" s="3" t="s">
        <v>8046</v>
      </c>
      <c r="W1453" s="3" t="s">
        <v>1</v>
      </c>
    </row>
    <row r="1454" spans="5:23" hidden="1" x14ac:dyDescent="0.25">
      <c r="E1454" t="s">
        <v>8388</v>
      </c>
      <c r="F1454" s="1" t="s">
        <v>8521</v>
      </c>
      <c r="G1454" t="s">
        <v>1</v>
      </c>
      <c r="H1454" t="s">
        <v>0</v>
      </c>
      <c r="I1454" t="s">
        <v>8165</v>
      </c>
      <c r="J1454" t="s">
        <v>8164</v>
      </c>
      <c r="K1454">
        <v>12685</v>
      </c>
      <c r="L1454">
        <v>12685</v>
      </c>
      <c r="M1454" t="s">
        <v>8308</v>
      </c>
      <c r="N1454" t="s">
        <v>8309</v>
      </c>
      <c r="O1454" s="3">
        <v>0</v>
      </c>
      <c r="P1454" s="3">
        <v>0</v>
      </c>
      <c r="Q1454" s="3">
        <v>255.6</v>
      </c>
      <c r="R1454" s="3">
        <v>33.228000000000002</v>
      </c>
      <c r="S1454" s="3">
        <v>0</v>
      </c>
      <c r="T1454" s="3">
        <v>0</v>
      </c>
      <c r="U1454" s="3">
        <v>288.82799999999997</v>
      </c>
      <c r="V1454" s="3" t="s">
        <v>8046</v>
      </c>
      <c r="W1454" s="3" t="s">
        <v>1</v>
      </c>
    </row>
    <row r="1455" spans="5:23" hidden="1" x14ac:dyDescent="0.25">
      <c r="E1455" t="s">
        <v>8388</v>
      </c>
      <c r="F1455" s="1" t="s">
        <v>8521</v>
      </c>
      <c r="G1455" t="s">
        <v>1</v>
      </c>
      <c r="H1455" t="s">
        <v>0</v>
      </c>
      <c r="I1455" t="s">
        <v>8165</v>
      </c>
      <c r="J1455" t="s">
        <v>8164</v>
      </c>
      <c r="K1455">
        <v>12686</v>
      </c>
      <c r="L1455">
        <v>12686</v>
      </c>
      <c r="M1455" t="s">
        <v>8277</v>
      </c>
      <c r="N1455" t="s">
        <v>8278</v>
      </c>
      <c r="O1455" s="3">
        <v>0</v>
      </c>
      <c r="P1455" s="3">
        <v>0</v>
      </c>
      <c r="Q1455" s="3">
        <v>146.69999999999999</v>
      </c>
      <c r="R1455" s="3">
        <v>19.070999999999998</v>
      </c>
      <c r="S1455" s="3">
        <v>0</v>
      </c>
      <c r="T1455" s="3">
        <v>0</v>
      </c>
      <c r="U1455" s="3">
        <v>165.77099999999999</v>
      </c>
      <c r="V1455" s="3" t="s">
        <v>8046</v>
      </c>
      <c r="W1455" s="3" t="s">
        <v>1</v>
      </c>
    </row>
    <row r="1456" spans="5:23" hidden="1" x14ac:dyDescent="0.25">
      <c r="E1456" t="s">
        <v>8388</v>
      </c>
      <c r="F1456" s="1" t="s">
        <v>8518</v>
      </c>
      <c r="G1456" t="s">
        <v>1</v>
      </c>
      <c r="H1456" t="s">
        <v>0</v>
      </c>
      <c r="I1456" t="s">
        <v>8165</v>
      </c>
      <c r="J1456" t="s">
        <v>8164</v>
      </c>
      <c r="K1456">
        <v>12687</v>
      </c>
      <c r="L1456">
        <v>12687</v>
      </c>
      <c r="M1456" t="s">
        <v>8243</v>
      </c>
      <c r="N1456" t="s">
        <v>8244</v>
      </c>
      <c r="O1456" s="3">
        <v>0</v>
      </c>
      <c r="P1456" s="3">
        <v>0</v>
      </c>
      <c r="Q1456" s="3">
        <v>28.9</v>
      </c>
      <c r="R1456" s="3">
        <v>3.7570000000000001</v>
      </c>
      <c r="S1456" s="3">
        <v>0</v>
      </c>
      <c r="T1456" s="3">
        <v>0</v>
      </c>
      <c r="U1456" s="3">
        <v>32.656999999999996</v>
      </c>
      <c r="V1456" s="3" t="s">
        <v>8046</v>
      </c>
      <c r="W1456" s="3" t="s">
        <v>1</v>
      </c>
    </row>
    <row r="1457" spans="5:23" hidden="1" x14ac:dyDescent="0.25">
      <c r="E1457" t="s">
        <v>8388</v>
      </c>
      <c r="F1457" s="1" t="s">
        <v>8518</v>
      </c>
      <c r="G1457" t="s">
        <v>1</v>
      </c>
      <c r="H1457" t="s">
        <v>0</v>
      </c>
      <c r="I1457" t="s">
        <v>8165</v>
      </c>
      <c r="J1457" t="s">
        <v>8164</v>
      </c>
      <c r="K1457">
        <v>12688</v>
      </c>
      <c r="L1457">
        <v>12688</v>
      </c>
      <c r="M1457" t="s">
        <v>8243</v>
      </c>
      <c r="N1457" t="s">
        <v>8244</v>
      </c>
      <c r="O1457" s="3">
        <v>0</v>
      </c>
      <c r="P1457" s="3">
        <v>0</v>
      </c>
      <c r="Q1457" s="3">
        <v>21.42</v>
      </c>
      <c r="R1457" s="3">
        <v>2.7846000000000002</v>
      </c>
      <c r="S1457" s="3">
        <v>0</v>
      </c>
      <c r="T1457" s="3">
        <v>0</v>
      </c>
      <c r="U1457" s="3">
        <v>24.204600000000003</v>
      </c>
      <c r="V1457" s="3" t="s">
        <v>8046</v>
      </c>
      <c r="W1457" s="3" t="s">
        <v>1</v>
      </c>
    </row>
    <row r="1458" spans="5:23" hidden="1" x14ac:dyDescent="0.25">
      <c r="E1458" t="s">
        <v>8388</v>
      </c>
      <c r="F1458" s="1" t="s">
        <v>8518</v>
      </c>
      <c r="G1458" t="s">
        <v>1</v>
      </c>
      <c r="H1458" t="s">
        <v>0</v>
      </c>
      <c r="I1458" t="s">
        <v>8165</v>
      </c>
      <c r="J1458" t="s">
        <v>8164</v>
      </c>
      <c r="K1458">
        <v>12689</v>
      </c>
      <c r="L1458">
        <v>12689</v>
      </c>
      <c r="M1458" t="s">
        <v>8224</v>
      </c>
      <c r="N1458" t="s">
        <v>8225</v>
      </c>
      <c r="O1458" s="3">
        <v>0</v>
      </c>
      <c r="P1458" s="3">
        <v>0</v>
      </c>
      <c r="Q1458" s="3">
        <v>290.81</v>
      </c>
      <c r="R1458" s="3">
        <v>37.805300000000003</v>
      </c>
      <c r="S1458" s="3">
        <v>0</v>
      </c>
      <c r="T1458" s="3">
        <v>0</v>
      </c>
      <c r="U1458" s="3">
        <v>328.61529999999999</v>
      </c>
      <c r="V1458" s="3" t="s">
        <v>8046</v>
      </c>
      <c r="W1458" s="3" t="s">
        <v>1</v>
      </c>
    </row>
    <row r="1459" spans="5:23" hidden="1" x14ac:dyDescent="0.25">
      <c r="E1459" t="s">
        <v>8388</v>
      </c>
      <c r="F1459" s="1" t="s">
        <v>8518</v>
      </c>
      <c r="G1459" t="s">
        <v>1</v>
      </c>
      <c r="H1459" t="s">
        <v>0</v>
      </c>
      <c r="I1459" t="s">
        <v>8165</v>
      </c>
      <c r="J1459" t="s">
        <v>8164</v>
      </c>
      <c r="K1459">
        <v>12690</v>
      </c>
      <c r="L1459">
        <v>12690</v>
      </c>
      <c r="M1459" t="s">
        <v>8213</v>
      </c>
      <c r="N1459" t="s">
        <v>8181</v>
      </c>
      <c r="O1459" s="3">
        <v>0</v>
      </c>
      <c r="P1459" s="3">
        <v>0</v>
      </c>
      <c r="Q1459" s="3">
        <v>15.41</v>
      </c>
      <c r="R1459" s="3">
        <v>2.0033000000000003</v>
      </c>
      <c r="S1459" s="3">
        <v>0</v>
      </c>
      <c r="T1459" s="3">
        <v>0</v>
      </c>
      <c r="U1459" s="3">
        <v>17.4133</v>
      </c>
      <c r="V1459" s="3" t="s">
        <v>8046</v>
      </c>
      <c r="W1459" s="3" t="s">
        <v>1</v>
      </c>
    </row>
    <row r="1460" spans="5:23" hidden="1" x14ac:dyDescent="0.25">
      <c r="E1460" t="s">
        <v>8388</v>
      </c>
      <c r="F1460" s="1" t="s">
        <v>8518</v>
      </c>
      <c r="G1460" t="s">
        <v>1</v>
      </c>
      <c r="H1460" t="s">
        <v>0</v>
      </c>
      <c r="I1460" t="s">
        <v>8165</v>
      </c>
      <c r="J1460" t="s">
        <v>8164</v>
      </c>
      <c r="K1460">
        <v>12691</v>
      </c>
      <c r="L1460">
        <v>12691</v>
      </c>
      <c r="M1460" t="s">
        <v>238</v>
      </c>
      <c r="N1460" t="s">
        <v>239</v>
      </c>
      <c r="O1460" s="3">
        <v>0</v>
      </c>
      <c r="P1460" s="3">
        <v>0</v>
      </c>
      <c r="Q1460" s="3">
        <v>110.42</v>
      </c>
      <c r="R1460" s="3">
        <v>14.354600000000001</v>
      </c>
      <c r="S1460" s="3">
        <v>0</v>
      </c>
      <c r="T1460" s="3">
        <v>0</v>
      </c>
      <c r="U1460" s="3">
        <v>124.77460000000001</v>
      </c>
      <c r="V1460" s="3" t="s">
        <v>8046</v>
      </c>
      <c r="W1460" s="3" t="s">
        <v>1</v>
      </c>
    </row>
    <row r="1461" spans="5:23" hidden="1" x14ac:dyDescent="0.25">
      <c r="E1461" t="s">
        <v>8388</v>
      </c>
      <c r="F1461" s="1" t="s">
        <v>8518</v>
      </c>
      <c r="G1461" t="s">
        <v>1</v>
      </c>
      <c r="H1461" t="s">
        <v>0</v>
      </c>
      <c r="I1461" t="s">
        <v>8165</v>
      </c>
      <c r="J1461" t="s">
        <v>8164</v>
      </c>
      <c r="K1461">
        <v>12692</v>
      </c>
      <c r="L1461">
        <v>12692</v>
      </c>
      <c r="M1461" t="s">
        <v>8391</v>
      </c>
      <c r="N1461" t="s">
        <v>8392</v>
      </c>
      <c r="O1461" s="3">
        <v>0</v>
      </c>
      <c r="P1461" s="3">
        <v>0</v>
      </c>
      <c r="Q1461" s="3">
        <v>12</v>
      </c>
      <c r="R1461" s="3">
        <v>1.56</v>
      </c>
      <c r="S1461" s="3">
        <v>0</v>
      </c>
      <c r="T1461" s="3">
        <v>0</v>
      </c>
      <c r="U1461" s="3">
        <v>13.56</v>
      </c>
      <c r="V1461" s="3" t="s">
        <v>8046</v>
      </c>
      <c r="W1461" s="3" t="s">
        <v>1</v>
      </c>
    </row>
    <row r="1462" spans="5:23" hidden="1" x14ac:dyDescent="0.25">
      <c r="E1462" t="s">
        <v>8388</v>
      </c>
      <c r="F1462" s="1" t="s">
        <v>8518</v>
      </c>
      <c r="G1462" t="s">
        <v>1</v>
      </c>
      <c r="H1462" t="s">
        <v>0</v>
      </c>
      <c r="I1462" t="s">
        <v>8165</v>
      </c>
      <c r="J1462" t="s">
        <v>8164</v>
      </c>
      <c r="K1462">
        <v>12693</v>
      </c>
      <c r="L1462">
        <v>12693</v>
      </c>
      <c r="M1462" t="s">
        <v>8391</v>
      </c>
      <c r="N1462" t="s">
        <v>8392</v>
      </c>
      <c r="O1462" s="3">
        <v>0</v>
      </c>
      <c r="P1462" s="3">
        <v>0</v>
      </c>
      <c r="Q1462" s="3">
        <v>123.01</v>
      </c>
      <c r="R1462" s="3">
        <v>15.991300000000001</v>
      </c>
      <c r="S1462" s="3">
        <v>0</v>
      </c>
      <c r="T1462" s="3">
        <v>0</v>
      </c>
      <c r="U1462" s="3">
        <v>139.00130000000001</v>
      </c>
      <c r="V1462" s="3" t="s">
        <v>8046</v>
      </c>
      <c r="W1462" s="3" t="s">
        <v>1</v>
      </c>
    </row>
    <row r="1463" spans="5:23" hidden="1" x14ac:dyDescent="0.25">
      <c r="E1463" t="s">
        <v>8388</v>
      </c>
      <c r="F1463" s="1" t="s">
        <v>8518</v>
      </c>
      <c r="G1463" t="s">
        <v>1</v>
      </c>
      <c r="H1463" t="s">
        <v>0</v>
      </c>
      <c r="I1463" t="s">
        <v>8165</v>
      </c>
      <c r="J1463" t="s">
        <v>8164</v>
      </c>
      <c r="K1463">
        <v>12694</v>
      </c>
      <c r="L1463">
        <v>12694</v>
      </c>
      <c r="M1463" t="s">
        <v>3271</v>
      </c>
      <c r="N1463" t="s">
        <v>3272</v>
      </c>
      <c r="O1463" s="3">
        <v>0</v>
      </c>
      <c r="P1463" s="3">
        <v>0</v>
      </c>
      <c r="Q1463" s="3">
        <v>226</v>
      </c>
      <c r="R1463" s="3">
        <v>29.380000000000003</v>
      </c>
      <c r="S1463" s="3">
        <v>0</v>
      </c>
      <c r="T1463" s="3">
        <v>0</v>
      </c>
      <c r="U1463" s="3">
        <v>255.38</v>
      </c>
      <c r="V1463" s="3" t="s">
        <v>8046</v>
      </c>
      <c r="W1463" s="3" t="s">
        <v>1</v>
      </c>
    </row>
    <row r="1464" spans="5:23" hidden="1" x14ac:dyDescent="0.25">
      <c r="E1464" t="s">
        <v>8388</v>
      </c>
      <c r="F1464" s="1" t="s">
        <v>8518</v>
      </c>
      <c r="G1464" t="s">
        <v>1</v>
      </c>
      <c r="H1464" t="s">
        <v>0</v>
      </c>
      <c r="I1464" t="s">
        <v>8165</v>
      </c>
      <c r="J1464" t="s">
        <v>8164</v>
      </c>
      <c r="K1464">
        <v>12695</v>
      </c>
      <c r="L1464">
        <v>12695</v>
      </c>
      <c r="M1464" t="s">
        <v>8255</v>
      </c>
      <c r="N1464" t="s">
        <v>8256</v>
      </c>
      <c r="O1464" s="3">
        <v>0</v>
      </c>
      <c r="P1464" s="3">
        <v>0</v>
      </c>
      <c r="Q1464" s="3">
        <v>386.4</v>
      </c>
      <c r="R1464" s="3">
        <v>50.231999999999999</v>
      </c>
      <c r="S1464" s="3">
        <v>0</v>
      </c>
      <c r="T1464" s="3">
        <v>0</v>
      </c>
      <c r="U1464" s="3">
        <v>436.63199999999995</v>
      </c>
      <c r="V1464" s="3" t="s">
        <v>8046</v>
      </c>
      <c r="W1464" s="3" t="s">
        <v>1</v>
      </c>
    </row>
    <row r="1465" spans="5:23" hidden="1" x14ac:dyDescent="0.25">
      <c r="E1465" t="s">
        <v>8388</v>
      </c>
      <c r="F1465" s="1" t="s">
        <v>8518</v>
      </c>
      <c r="G1465" t="s">
        <v>1</v>
      </c>
      <c r="H1465" t="s">
        <v>0</v>
      </c>
      <c r="I1465" t="s">
        <v>8165</v>
      </c>
      <c r="J1465" t="s">
        <v>8164</v>
      </c>
      <c r="K1465">
        <v>12696</v>
      </c>
      <c r="L1465">
        <v>12696</v>
      </c>
      <c r="M1465" t="s">
        <v>8174</v>
      </c>
      <c r="N1465" t="s">
        <v>8175</v>
      </c>
      <c r="O1465" s="3">
        <v>0</v>
      </c>
      <c r="P1465" s="3">
        <v>0</v>
      </c>
      <c r="Q1465" s="3">
        <v>144</v>
      </c>
      <c r="R1465" s="3">
        <v>18.72</v>
      </c>
      <c r="S1465" s="3">
        <v>0</v>
      </c>
      <c r="T1465" s="3">
        <v>0</v>
      </c>
      <c r="U1465" s="3">
        <v>162.72</v>
      </c>
      <c r="V1465" s="3" t="s">
        <v>8046</v>
      </c>
      <c r="W1465" s="3" t="s">
        <v>1</v>
      </c>
    </row>
    <row r="1466" spans="5:23" hidden="1" x14ac:dyDescent="0.25">
      <c r="E1466" t="s">
        <v>8388</v>
      </c>
      <c r="F1466" s="1" t="s">
        <v>8518</v>
      </c>
      <c r="G1466" t="s">
        <v>1</v>
      </c>
      <c r="H1466" t="s">
        <v>0</v>
      </c>
      <c r="I1466" t="s">
        <v>8165</v>
      </c>
      <c r="J1466" t="s">
        <v>8164</v>
      </c>
      <c r="K1466">
        <v>12697</v>
      </c>
      <c r="L1466">
        <v>12697</v>
      </c>
      <c r="M1466" t="s">
        <v>8279</v>
      </c>
      <c r="N1466" t="s">
        <v>8280</v>
      </c>
      <c r="O1466" s="3">
        <v>0</v>
      </c>
      <c r="P1466" s="3">
        <v>0</v>
      </c>
      <c r="Q1466" s="3">
        <v>44.25</v>
      </c>
      <c r="R1466" s="3">
        <v>5.7525000000000004</v>
      </c>
      <c r="S1466" s="3">
        <v>0</v>
      </c>
      <c r="T1466" s="3">
        <v>0</v>
      </c>
      <c r="U1466" s="3">
        <v>50.002499999999998</v>
      </c>
      <c r="V1466" s="3" t="s">
        <v>8046</v>
      </c>
      <c r="W1466" s="3" t="s">
        <v>1</v>
      </c>
    </row>
    <row r="1467" spans="5:23" hidden="1" x14ac:dyDescent="0.25">
      <c r="E1467" t="s">
        <v>8388</v>
      </c>
      <c r="F1467" s="1" t="s">
        <v>8518</v>
      </c>
      <c r="G1467" t="s">
        <v>1</v>
      </c>
      <c r="H1467" t="s">
        <v>0</v>
      </c>
      <c r="I1467" t="s">
        <v>8165</v>
      </c>
      <c r="J1467" t="s">
        <v>8164</v>
      </c>
      <c r="K1467">
        <v>12698</v>
      </c>
      <c r="L1467">
        <v>12698</v>
      </c>
      <c r="M1467" t="s">
        <v>8279</v>
      </c>
      <c r="N1467" t="s">
        <v>8280</v>
      </c>
      <c r="O1467" s="3">
        <v>0</v>
      </c>
      <c r="P1467" s="3">
        <v>0</v>
      </c>
      <c r="Q1467" s="3">
        <v>111.34</v>
      </c>
      <c r="R1467" s="3">
        <v>14.474200000000002</v>
      </c>
      <c r="S1467" s="3">
        <v>0</v>
      </c>
      <c r="T1467" s="3">
        <v>0</v>
      </c>
      <c r="U1467" s="3">
        <v>125.8142</v>
      </c>
      <c r="V1467" s="3" t="s">
        <v>8046</v>
      </c>
      <c r="W1467" s="3" t="s">
        <v>1</v>
      </c>
    </row>
    <row r="1468" spans="5:23" hidden="1" x14ac:dyDescent="0.25">
      <c r="E1468" t="s">
        <v>8388</v>
      </c>
      <c r="F1468" s="1" t="s">
        <v>8518</v>
      </c>
      <c r="G1468" t="s">
        <v>1</v>
      </c>
      <c r="H1468" t="s">
        <v>0</v>
      </c>
      <c r="I1468" t="s">
        <v>8165</v>
      </c>
      <c r="J1468" t="s">
        <v>8164</v>
      </c>
      <c r="K1468">
        <v>12699</v>
      </c>
      <c r="L1468">
        <v>12699</v>
      </c>
      <c r="M1468" t="s">
        <v>7852</v>
      </c>
      <c r="N1468" t="s">
        <v>7851</v>
      </c>
      <c r="O1468" s="3">
        <v>0</v>
      </c>
      <c r="P1468" s="3">
        <v>0</v>
      </c>
      <c r="Q1468" s="3">
        <v>0</v>
      </c>
      <c r="R1468" s="3">
        <v>0</v>
      </c>
      <c r="S1468" s="3">
        <v>0</v>
      </c>
      <c r="T1468" s="3">
        <v>0</v>
      </c>
      <c r="U1468" s="3">
        <v>0</v>
      </c>
      <c r="V1468" s="3" t="s">
        <v>8046</v>
      </c>
      <c r="W1468" s="3" t="s">
        <v>1</v>
      </c>
    </row>
    <row r="1469" spans="5:23" hidden="1" x14ac:dyDescent="0.25">
      <c r="E1469" t="s">
        <v>8388</v>
      </c>
      <c r="F1469" s="1" t="s">
        <v>8518</v>
      </c>
      <c r="G1469" t="s">
        <v>1</v>
      </c>
      <c r="H1469" t="s">
        <v>0</v>
      </c>
      <c r="I1469" t="s">
        <v>8165</v>
      </c>
      <c r="J1469" t="s">
        <v>8164</v>
      </c>
      <c r="K1469">
        <v>12700</v>
      </c>
      <c r="L1469">
        <v>12700</v>
      </c>
      <c r="M1469" t="s">
        <v>8186</v>
      </c>
      <c r="N1469" t="s">
        <v>8187</v>
      </c>
      <c r="O1469" s="3">
        <v>0</v>
      </c>
      <c r="P1469" s="3">
        <v>0</v>
      </c>
      <c r="Q1469" s="3">
        <v>177.22</v>
      </c>
      <c r="R1469" s="3">
        <v>23.038600000000002</v>
      </c>
      <c r="S1469" s="3">
        <v>0</v>
      </c>
      <c r="T1469" s="3">
        <v>0</v>
      </c>
      <c r="U1469" s="3">
        <v>200.2586</v>
      </c>
      <c r="V1469" s="3" t="s">
        <v>8046</v>
      </c>
      <c r="W1469" s="3" t="s">
        <v>1</v>
      </c>
    </row>
    <row r="1470" spans="5:23" hidden="1" x14ac:dyDescent="0.25">
      <c r="E1470" t="s">
        <v>8388</v>
      </c>
      <c r="F1470" s="1" t="s">
        <v>8518</v>
      </c>
      <c r="G1470" t="s">
        <v>1</v>
      </c>
      <c r="H1470" t="s">
        <v>0</v>
      </c>
      <c r="I1470" t="s">
        <v>8165</v>
      </c>
      <c r="J1470" t="s">
        <v>8164</v>
      </c>
      <c r="K1470">
        <v>12701</v>
      </c>
      <c r="L1470">
        <v>12701</v>
      </c>
      <c r="M1470" t="s">
        <v>8561</v>
      </c>
      <c r="N1470" t="s">
        <v>8562</v>
      </c>
      <c r="O1470" s="3">
        <v>0</v>
      </c>
      <c r="P1470" s="3">
        <v>0</v>
      </c>
      <c r="Q1470" s="3">
        <v>61.5</v>
      </c>
      <c r="R1470" s="3">
        <v>7.9950000000000001</v>
      </c>
      <c r="S1470" s="3">
        <v>0</v>
      </c>
      <c r="T1470" s="3">
        <v>0</v>
      </c>
      <c r="U1470" s="3">
        <v>69.495000000000005</v>
      </c>
      <c r="V1470" s="3" t="s">
        <v>8046</v>
      </c>
      <c r="W1470" s="3" t="s">
        <v>1</v>
      </c>
    </row>
    <row r="1471" spans="5:23" hidden="1" x14ac:dyDescent="0.25">
      <c r="E1471" t="s">
        <v>8388</v>
      </c>
      <c r="F1471" s="1" t="s">
        <v>8534</v>
      </c>
      <c r="G1471" t="s">
        <v>1</v>
      </c>
      <c r="H1471" t="s">
        <v>0</v>
      </c>
      <c r="I1471" t="s">
        <v>8165</v>
      </c>
      <c r="J1471" t="s">
        <v>8164</v>
      </c>
      <c r="K1471">
        <v>12703</v>
      </c>
      <c r="L1471">
        <v>12703</v>
      </c>
      <c r="M1471" t="s">
        <v>8209</v>
      </c>
      <c r="N1471" t="s">
        <v>8210</v>
      </c>
      <c r="O1471" s="3">
        <v>0</v>
      </c>
      <c r="P1471" s="3">
        <v>0</v>
      </c>
      <c r="Q1471" s="3">
        <v>176.93</v>
      </c>
      <c r="R1471" s="3">
        <v>23.000900000000001</v>
      </c>
      <c r="S1471" s="3">
        <v>0</v>
      </c>
      <c r="T1471" s="3">
        <v>0</v>
      </c>
      <c r="U1471" s="3">
        <v>199.93090000000001</v>
      </c>
      <c r="V1471" s="3" t="s">
        <v>8046</v>
      </c>
      <c r="W1471" s="3" t="s">
        <v>1</v>
      </c>
    </row>
    <row r="1472" spans="5:23" hidden="1" x14ac:dyDescent="0.25">
      <c r="E1472" t="s">
        <v>8388</v>
      </c>
      <c r="F1472" s="1" t="s">
        <v>8534</v>
      </c>
      <c r="G1472" t="s">
        <v>1</v>
      </c>
      <c r="H1472" t="s">
        <v>0</v>
      </c>
      <c r="I1472" t="s">
        <v>8165</v>
      </c>
      <c r="J1472" t="s">
        <v>8164</v>
      </c>
      <c r="K1472">
        <v>12704</v>
      </c>
      <c r="L1472">
        <v>12704</v>
      </c>
      <c r="M1472" t="s">
        <v>164</v>
      </c>
      <c r="N1472" t="s">
        <v>165</v>
      </c>
      <c r="O1472" s="3">
        <v>0</v>
      </c>
      <c r="P1472" s="3">
        <v>0</v>
      </c>
      <c r="Q1472" s="3">
        <v>86</v>
      </c>
      <c r="R1472" s="3">
        <v>11.18</v>
      </c>
      <c r="S1472" s="3">
        <v>0</v>
      </c>
      <c r="T1472" s="3">
        <v>0</v>
      </c>
      <c r="U1472" s="3">
        <v>97.18</v>
      </c>
      <c r="V1472" s="3" t="s">
        <v>8046</v>
      </c>
      <c r="W1472" s="3" t="s">
        <v>1</v>
      </c>
    </row>
    <row r="1473" spans="5:23" hidden="1" x14ac:dyDescent="0.25">
      <c r="E1473" t="s">
        <v>8388</v>
      </c>
      <c r="F1473" s="1" t="s">
        <v>8534</v>
      </c>
      <c r="G1473" t="s">
        <v>1</v>
      </c>
      <c r="H1473" t="s">
        <v>0</v>
      </c>
      <c r="I1473" t="s">
        <v>8165</v>
      </c>
      <c r="J1473" t="s">
        <v>8164</v>
      </c>
      <c r="K1473">
        <v>12705</v>
      </c>
      <c r="L1473">
        <v>12705</v>
      </c>
      <c r="M1473" t="s">
        <v>7852</v>
      </c>
      <c r="N1473" t="s">
        <v>7851</v>
      </c>
      <c r="O1473" s="3">
        <v>0</v>
      </c>
      <c r="P1473" s="3">
        <v>0</v>
      </c>
      <c r="Q1473" s="3">
        <v>0</v>
      </c>
      <c r="R1473" s="3">
        <v>0</v>
      </c>
      <c r="S1473" s="3">
        <v>0</v>
      </c>
      <c r="T1473" s="3">
        <v>0</v>
      </c>
      <c r="U1473" s="3">
        <v>0</v>
      </c>
      <c r="V1473" s="3" t="s">
        <v>8046</v>
      </c>
      <c r="W1473" s="3" t="s">
        <v>1</v>
      </c>
    </row>
    <row r="1474" spans="5:23" hidden="1" x14ac:dyDescent="0.25">
      <c r="E1474" t="s">
        <v>8388</v>
      </c>
      <c r="F1474" s="1" t="s">
        <v>8534</v>
      </c>
      <c r="G1474" t="s">
        <v>1</v>
      </c>
      <c r="H1474" t="s">
        <v>0</v>
      </c>
      <c r="I1474" t="s">
        <v>8165</v>
      </c>
      <c r="J1474" t="s">
        <v>8164</v>
      </c>
      <c r="K1474">
        <v>12706</v>
      </c>
      <c r="L1474">
        <v>12706</v>
      </c>
      <c r="M1474" t="s">
        <v>5339</v>
      </c>
      <c r="N1474" t="s">
        <v>5340</v>
      </c>
      <c r="O1474" s="3">
        <v>0</v>
      </c>
      <c r="P1474" s="3">
        <v>0</v>
      </c>
      <c r="Q1474" s="3">
        <v>29.53</v>
      </c>
      <c r="R1474" s="3">
        <v>3.8389000000000002</v>
      </c>
      <c r="S1474" s="3">
        <v>0</v>
      </c>
      <c r="T1474" s="3">
        <v>0</v>
      </c>
      <c r="U1474" s="3">
        <v>33.368900000000004</v>
      </c>
      <c r="V1474" s="3" t="s">
        <v>8046</v>
      </c>
      <c r="W1474" s="3" t="s">
        <v>1</v>
      </c>
    </row>
    <row r="1475" spans="5:23" hidden="1" x14ac:dyDescent="0.25">
      <c r="E1475" t="s">
        <v>8388</v>
      </c>
      <c r="F1475" s="1" t="s">
        <v>8534</v>
      </c>
      <c r="G1475" t="s">
        <v>1</v>
      </c>
      <c r="H1475" t="s">
        <v>0</v>
      </c>
      <c r="I1475" t="s">
        <v>8165</v>
      </c>
      <c r="J1475" t="s">
        <v>8164</v>
      </c>
      <c r="K1475">
        <v>12707</v>
      </c>
      <c r="L1475">
        <v>12707</v>
      </c>
      <c r="M1475" t="s">
        <v>5339</v>
      </c>
      <c r="N1475" t="s">
        <v>5340</v>
      </c>
      <c r="O1475" s="3">
        <v>0</v>
      </c>
      <c r="P1475" s="3">
        <v>0</v>
      </c>
      <c r="Q1475" s="3">
        <v>12.5</v>
      </c>
      <c r="R1475" s="3">
        <v>1.625</v>
      </c>
      <c r="S1475" s="3">
        <v>0</v>
      </c>
      <c r="T1475" s="3">
        <v>0</v>
      </c>
      <c r="U1475" s="3">
        <v>14.125</v>
      </c>
      <c r="V1475" s="3" t="s">
        <v>8046</v>
      </c>
      <c r="W1475" s="3" t="s">
        <v>1</v>
      </c>
    </row>
    <row r="1476" spans="5:23" hidden="1" x14ac:dyDescent="0.25">
      <c r="E1476" t="s">
        <v>8388</v>
      </c>
      <c r="F1476" s="1" t="s">
        <v>8533</v>
      </c>
      <c r="G1476" t="s">
        <v>1</v>
      </c>
      <c r="H1476" t="s">
        <v>0</v>
      </c>
      <c r="I1476" t="s">
        <v>8165</v>
      </c>
      <c r="J1476" t="s">
        <v>8164</v>
      </c>
      <c r="K1476">
        <v>12708</v>
      </c>
      <c r="L1476">
        <v>12708</v>
      </c>
      <c r="M1476" t="s">
        <v>153</v>
      </c>
      <c r="N1476" t="s">
        <v>154</v>
      </c>
      <c r="O1476" s="3">
        <v>0</v>
      </c>
      <c r="P1476" s="3">
        <v>0</v>
      </c>
      <c r="Q1476" s="3">
        <v>103.24</v>
      </c>
      <c r="R1476" s="3">
        <v>13.421199999999999</v>
      </c>
      <c r="S1476" s="3">
        <v>0</v>
      </c>
      <c r="T1476" s="3">
        <v>0</v>
      </c>
      <c r="U1476" s="3">
        <v>116.66119999999999</v>
      </c>
      <c r="V1476" s="3" t="s">
        <v>8046</v>
      </c>
      <c r="W1476" s="3" t="s">
        <v>1</v>
      </c>
    </row>
    <row r="1477" spans="5:23" hidden="1" x14ac:dyDescent="0.25">
      <c r="E1477" t="s">
        <v>8388</v>
      </c>
      <c r="F1477" s="1" t="s">
        <v>8533</v>
      </c>
      <c r="G1477" t="s">
        <v>1</v>
      </c>
      <c r="H1477" t="s">
        <v>0</v>
      </c>
      <c r="I1477" t="s">
        <v>8165</v>
      </c>
      <c r="J1477" t="s">
        <v>8164</v>
      </c>
      <c r="K1477">
        <v>12709</v>
      </c>
      <c r="L1477">
        <v>12709</v>
      </c>
      <c r="M1477" t="s">
        <v>8178</v>
      </c>
      <c r="N1477" t="s">
        <v>8179</v>
      </c>
      <c r="O1477" s="3">
        <v>0</v>
      </c>
      <c r="P1477" s="3">
        <v>0</v>
      </c>
      <c r="Q1477" s="3">
        <v>318.8</v>
      </c>
      <c r="R1477" s="3">
        <v>41.444000000000003</v>
      </c>
      <c r="S1477" s="3">
        <v>0</v>
      </c>
      <c r="T1477" s="3">
        <v>0</v>
      </c>
      <c r="U1477" s="3">
        <v>360.24400000000003</v>
      </c>
      <c r="V1477" s="3" t="s">
        <v>8046</v>
      </c>
      <c r="W1477" s="3" t="s">
        <v>1</v>
      </c>
    </row>
    <row r="1478" spans="5:23" hidden="1" x14ac:dyDescent="0.25">
      <c r="E1478" t="s">
        <v>8388</v>
      </c>
      <c r="F1478" s="1" t="s">
        <v>8533</v>
      </c>
      <c r="G1478" t="s">
        <v>1</v>
      </c>
      <c r="H1478" t="s">
        <v>0</v>
      </c>
      <c r="I1478" t="s">
        <v>8165</v>
      </c>
      <c r="J1478" t="s">
        <v>8164</v>
      </c>
      <c r="K1478">
        <v>12710</v>
      </c>
      <c r="L1478">
        <v>12710</v>
      </c>
      <c r="M1478" t="s">
        <v>8559</v>
      </c>
      <c r="N1478" t="s">
        <v>8560</v>
      </c>
      <c r="O1478" s="3">
        <v>0</v>
      </c>
      <c r="P1478" s="3">
        <v>0</v>
      </c>
      <c r="Q1478" s="3">
        <v>30.75</v>
      </c>
      <c r="R1478" s="3">
        <v>3.9975000000000001</v>
      </c>
      <c r="S1478" s="3">
        <v>0</v>
      </c>
      <c r="T1478" s="3">
        <v>0</v>
      </c>
      <c r="U1478" s="3">
        <v>34.747500000000002</v>
      </c>
      <c r="V1478" s="3" t="s">
        <v>8046</v>
      </c>
      <c r="W1478" s="3" t="s">
        <v>1</v>
      </c>
    </row>
    <row r="1479" spans="5:23" hidden="1" x14ac:dyDescent="0.25">
      <c r="E1479" t="s">
        <v>8388</v>
      </c>
      <c r="F1479" s="1" t="s">
        <v>8533</v>
      </c>
      <c r="G1479" t="s">
        <v>1</v>
      </c>
      <c r="H1479" t="s">
        <v>0</v>
      </c>
      <c r="I1479" t="s">
        <v>8165</v>
      </c>
      <c r="J1479" t="s">
        <v>8164</v>
      </c>
      <c r="K1479">
        <v>12711</v>
      </c>
      <c r="L1479">
        <v>12711</v>
      </c>
      <c r="M1479" t="s">
        <v>8559</v>
      </c>
      <c r="N1479" t="s">
        <v>8560</v>
      </c>
      <c r="O1479" s="3">
        <v>0</v>
      </c>
      <c r="P1479" s="3">
        <v>0</v>
      </c>
      <c r="Q1479" s="3">
        <v>78.040000000000006</v>
      </c>
      <c r="R1479" s="3">
        <v>10.145200000000001</v>
      </c>
      <c r="S1479" s="3">
        <v>0</v>
      </c>
      <c r="T1479" s="3">
        <v>0</v>
      </c>
      <c r="U1479" s="3">
        <v>88.185200000000009</v>
      </c>
      <c r="V1479" s="3" t="s">
        <v>8046</v>
      </c>
      <c r="W1479" s="3" t="s">
        <v>1</v>
      </c>
    </row>
    <row r="1480" spans="5:23" hidden="1" x14ac:dyDescent="0.25">
      <c r="E1480" t="s">
        <v>8388</v>
      </c>
      <c r="F1480" s="1" t="s">
        <v>8533</v>
      </c>
      <c r="G1480" t="s">
        <v>1</v>
      </c>
      <c r="H1480" t="s">
        <v>0</v>
      </c>
      <c r="I1480" t="s">
        <v>8165</v>
      </c>
      <c r="J1480" t="s">
        <v>8164</v>
      </c>
      <c r="K1480">
        <v>12712</v>
      </c>
      <c r="L1480">
        <v>12712</v>
      </c>
      <c r="M1480" t="s">
        <v>8559</v>
      </c>
      <c r="N1480" t="s">
        <v>8560</v>
      </c>
      <c r="O1480" s="3">
        <v>0</v>
      </c>
      <c r="P1480" s="3">
        <v>0</v>
      </c>
      <c r="Q1480" s="3">
        <v>30.75</v>
      </c>
      <c r="R1480" s="3">
        <v>3.9975000000000001</v>
      </c>
      <c r="S1480" s="3">
        <v>0</v>
      </c>
      <c r="T1480" s="3">
        <v>0</v>
      </c>
      <c r="U1480" s="3">
        <v>34.747500000000002</v>
      </c>
      <c r="V1480" s="3" t="s">
        <v>8046</v>
      </c>
      <c r="W1480" s="3" t="s">
        <v>1</v>
      </c>
    </row>
    <row r="1481" spans="5:23" hidden="1" x14ac:dyDescent="0.25">
      <c r="E1481" t="s">
        <v>8388</v>
      </c>
      <c r="F1481" s="1" t="s">
        <v>8532</v>
      </c>
      <c r="G1481" t="s">
        <v>1</v>
      </c>
      <c r="H1481" t="s">
        <v>0</v>
      </c>
      <c r="I1481" t="s">
        <v>8165</v>
      </c>
      <c r="J1481" t="s">
        <v>8164</v>
      </c>
      <c r="K1481">
        <v>12713</v>
      </c>
      <c r="L1481">
        <v>12713</v>
      </c>
      <c r="M1481" t="s">
        <v>1062</v>
      </c>
      <c r="N1481" t="s">
        <v>1063</v>
      </c>
      <c r="O1481" s="3">
        <v>0</v>
      </c>
      <c r="P1481" s="3">
        <v>0</v>
      </c>
      <c r="Q1481" s="3">
        <v>125.5</v>
      </c>
      <c r="R1481" s="3">
        <v>16.315000000000001</v>
      </c>
      <c r="S1481" s="3">
        <v>0</v>
      </c>
      <c r="T1481" s="3">
        <v>0</v>
      </c>
      <c r="U1481" s="3">
        <v>141.815</v>
      </c>
      <c r="V1481" s="3" t="s">
        <v>8046</v>
      </c>
      <c r="W1481" s="3" t="s">
        <v>1</v>
      </c>
    </row>
    <row r="1482" spans="5:23" hidden="1" x14ac:dyDescent="0.25">
      <c r="E1482" t="s">
        <v>8388</v>
      </c>
      <c r="F1482" s="1" t="s">
        <v>8532</v>
      </c>
      <c r="G1482" t="s">
        <v>1</v>
      </c>
      <c r="H1482" t="s">
        <v>0</v>
      </c>
      <c r="I1482" t="s">
        <v>8165</v>
      </c>
      <c r="J1482" t="s">
        <v>8164</v>
      </c>
      <c r="K1482">
        <v>12714</v>
      </c>
      <c r="L1482">
        <v>12714</v>
      </c>
      <c r="M1482" t="s">
        <v>1062</v>
      </c>
      <c r="N1482" t="s">
        <v>1063</v>
      </c>
      <c r="O1482" s="3">
        <v>0</v>
      </c>
      <c r="P1482" s="3">
        <v>0</v>
      </c>
      <c r="Q1482" s="3">
        <v>50.5</v>
      </c>
      <c r="R1482" s="3">
        <v>6.5650000000000004</v>
      </c>
      <c r="S1482" s="3">
        <v>0</v>
      </c>
      <c r="T1482" s="3">
        <v>0</v>
      </c>
      <c r="U1482" s="3">
        <v>57.064999999999998</v>
      </c>
      <c r="V1482" s="3" t="s">
        <v>8046</v>
      </c>
      <c r="W1482" s="3" t="s">
        <v>1</v>
      </c>
    </row>
    <row r="1483" spans="5:23" hidden="1" x14ac:dyDescent="0.25">
      <c r="E1483" t="s">
        <v>8388</v>
      </c>
      <c r="F1483" s="1" t="s">
        <v>8532</v>
      </c>
      <c r="G1483" t="s">
        <v>1</v>
      </c>
      <c r="H1483" t="s">
        <v>0</v>
      </c>
      <c r="I1483" t="s">
        <v>8165</v>
      </c>
      <c r="J1483" t="s">
        <v>8164</v>
      </c>
      <c r="K1483">
        <v>12715</v>
      </c>
      <c r="L1483">
        <v>12715</v>
      </c>
      <c r="M1483" t="s">
        <v>8234</v>
      </c>
      <c r="N1483" t="s">
        <v>8235</v>
      </c>
      <c r="O1483" s="3">
        <v>0</v>
      </c>
      <c r="P1483" s="3">
        <v>0</v>
      </c>
      <c r="Q1483" s="3">
        <v>200.6</v>
      </c>
      <c r="R1483" s="3">
        <v>26.077999999999999</v>
      </c>
      <c r="S1483" s="3">
        <v>0</v>
      </c>
      <c r="T1483" s="3">
        <v>0</v>
      </c>
      <c r="U1483" s="3">
        <v>226.678</v>
      </c>
      <c r="V1483" s="3" t="s">
        <v>8046</v>
      </c>
      <c r="W1483" s="3" t="s">
        <v>1</v>
      </c>
    </row>
    <row r="1484" spans="5:23" hidden="1" x14ac:dyDescent="0.25">
      <c r="E1484" t="s">
        <v>8388</v>
      </c>
      <c r="F1484" s="1" t="s">
        <v>8532</v>
      </c>
      <c r="G1484" t="s">
        <v>1</v>
      </c>
      <c r="H1484" t="s">
        <v>0</v>
      </c>
      <c r="I1484" t="s">
        <v>8165</v>
      </c>
      <c r="J1484" t="s">
        <v>8164</v>
      </c>
      <c r="K1484">
        <v>12716</v>
      </c>
      <c r="L1484">
        <v>12716</v>
      </c>
      <c r="M1484" t="s">
        <v>8234</v>
      </c>
      <c r="N1484" t="s">
        <v>8235</v>
      </c>
      <c r="O1484" s="3">
        <v>0</v>
      </c>
      <c r="P1484" s="3">
        <v>0</v>
      </c>
      <c r="Q1484" s="3">
        <v>170.52</v>
      </c>
      <c r="R1484" s="3">
        <v>22.167600000000004</v>
      </c>
      <c r="S1484" s="3">
        <v>0</v>
      </c>
      <c r="T1484" s="3">
        <v>0</v>
      </c>
      <c r="U1484" s="3">
        <v>192.6876</v>
      </c>
      <c r="V1484" s="3" t="s">
        <v>8046</v>
      </c>
      <c r="W1484" s="3" t="s">
        <v>1</v>
      </c>
    </row>
    <row r="1485" spans="5:23" hidden="1" x14ac:dyDescent="0.25">
      <c r="E1485" t="s">
        <v>8388</v>
      </c>
      <c r="F1485" s="1" t="s">
        <v>8532</v>
      </c>
      <c r="G1485" t="s">
        <v>1</v>
      </c>
      <c r="H1485" t="s">
        <v>0</v>
      </c>
      <c r="I1485" t="s">
        <v>8165</v>
      </c>
      <c r="J1485" t="s">
        <v>8164</v>
      </c>
      <c r="K1485">
        <v>12717</v>
      </c>
      <c r="L1485">
        <v>12717</v>
      </c>
      <c r="M1485" t="s">
        <v>8557</v>
      </c>
      <c r="N1485" t="s">
        <v>8558</v>
      </c>
      <c r="O1485" s="3">
        <v>0</v>
      </c>
      <c r="P1485" s="3">
        <v>0</v>
      </c>
      <c r="Q1485" s="3">
        <v>279.43</v>
      </c>
      <c r="R1485" s="3">
        <v>36.325900000000004</v>
      </c>
      <c r="S1485" s="3">
        <v>0</v>
      </c>
      <c r="T1485" s="3">
        <v>0</v>
      </c>
      <c r="U1485" s="3">
        <v>315.7559</v>
      </c>
      <c r="V1485" s="3" t="s">
        <v>8046</v>
      </c>
      <c r="W1485" s="3" t="s">
        <v>1</v>
      </c>
    </row>
    <row r="1486" spans="5:23" hidden="1" x14ac:dyDescent="0.25">
      <c r="E1486" t="s">
        <v>8388</v>
      </c>
      <c r="F1486" s="1" t="s">
        <v>8530</v>
      </c>
      <c r="G1486" t="s">
        <v>1</v>
      </c>
      <c r="H1486" t="s">
        <v>0</v>
      </c>
      <c r="I1486" t="s">
        <v>8165</v>
      </c>
      <c r="J1486" t="s">
        <v>8164</v>
      </c>
      <c r="K1486">
        <v>12718</v>
      </c>
      <c r="L1486">
        <v>12718</v>
      </c>
      <c r="M1486" t="s">
        <v>8557</v>
      </c>
      <c r="N1486" t="s">
        <v>8558</v>
      </c>
      <c r="O1486" s="3">
        <v>0</v>
      </c>
      <c r="P1486" s="3">
        <v>0</v>
      </c>
      <c r="Q1486" s="3">
        <v>80.12</v>
      </c>
      <c r="R1486" s="3">
        <v>10.415600000000001</v>
      </c>
      <c r="S1486" s="3">
        <v>0</v>
      </c>
      <c r="T1486" s="3">
        <v>0</v>
      </c>
      <c r="U1486" s="3">
        <v>90.535600000000002</v>
      </c>
      <c r="V1486" s="3" t="s">
        <v>8046</v>
      </c>
      <c r="W1486" s="3" t="s">
        <v>1</v>
      </c>
    </row>
    <row r="1487" spans="5:23" hidden="1" x14ac:dyDescent="0.25">
      <c r="E1487" t="s">
        <v>8388</v>
      </c>
      <c r="F1487" s="1" t="s">
        <v>8530</v>
      </c>
      <c r="G1487" t="s">
        <v>1</v>
      </c>
      <c r="H1487" t="s">
        <v>0</v>
      </c>
      <c r="I1487" t="s">
        <v>8165</v>
      </c>
      <c r="J1487" t="s">
        <v>8164</v>
      </c>
      <c r="K1487">
        <v>12719</v>
      </c>
      <c r="L1487">
        <v>12719</v>
      </c>
      <c r="M1487" t="s">
        <v>8234</v>
      </c>
      <c r="N1487" t="s">
        <v>8235</v>
      </c>
      <c r="O1487" s="3">
        <v>0</v>
      </c>
      <c r="P1487" s="3">
        <v>0</v>
      </c>
      <c r="Q1487" s="3">
        <v>85.2</v>
      </c>
      <c r="R1487" s="3">
        <v>11.076000000000001</v>
      </c>
      <c r="S1487" s="3">
        <v>0</v>
      </c>
      <c r="T1487" s="3">
        <v>0</v>
      </c>
      <c r="U1487" s="3">
        <v>96.27600000000001</v>
      </c>
      <c r="V1487" s="3" t="s">
        <v>8046</v>
      </c>
      <c r="W1487" s="3" t="s">
        <v>1</v>
      </c>
    </row>
    <row r="1488" spans="5:23" hidden="1" x14ac:dyDescent="0.25">
      <c r="E1488" t="s">
        <v>8388</v>
      </c>
      <c r="F1488" s="1" t="s">
        <v>8530</v>
      </c>
      <c r="G1488" t="s">
        <v>1</v>
      </c>
      <c r="H1488" t="s">
        <v>0</v>
      </c>
      <c r="I1488" t="s">
        <v>8165</v>
      </c>
      <c r="J1488" t="s">
        <v>8164</v>
      </c>
      <c r="K1488">
        <v>12720</v>
      </c>
      <c r="L1488">
        <v>12720</v>
      </c>
      <c r="M1488" t="s">
        <v>8234</v>
      </c>
      <c r="N1488" t="s">
        <v>8235</v>
      </c>
      <c r="O1488" s="3">
        <v>0</v>
      </c>
      <c r="P1488" s="3">
        <v>0</v>
      </c>
      <c r="Q1488" s="3">
        <v>30.72</v>
      </c>
      <c r="R1488" s="3">
        <v>3.9935999999999998</v>
      </c>
      <c r="S1488" s="3">
        <v>0</v>
      </c>
      <c r="T1488" s="3">
        <v>0</v>
      </c>
      <c r="U1488" s="3">
        <v>34.7136</v>
      </c>
      <c r="V1488" s="3" t="s">
        <v>8046</v>
      </c>
      <c r="W1488" s="3" t="s">
        <v>1</v>
      </c>
    </row>
    <row r="1489" spans="5:23" hidden="1" x14ac:dyDescent="0.25">
      <c r="E1489" t="s">
        <v>8388</v>
      </c>
      <c r="F1489" s="1" t="s">
        <v>8530</v>
      </c>
      <c r="G1489" t="s">
        <v>1</v>
      </c>
      <c r="H1489" t="s">
        <v>0</v>
      </c>
      <c r="I1489" t="s">
        <v>8165</v>
      </c>
      <c r="J1489" t="s">
        <v>8164</v>
      </c>
      <c r="K1489">
        <v>12721</v>
      </c>
      <c r="L1489">
        <v>12721</v>
      </c>
      <c r="M1489" t="s">
        <v>8228</v>
      </c>
      <c r="N1489" t="s">
        <v>8229</v>
      </c>
      <c r="O1489" s="3">
        <v>0</v>
      </c>
      <c r="P1489" s="3">
        <v>0</v>
      </c>
      <c r="Q1489" s="3">
        <v>61.01</v>
      </c>
      <c r="R1489" s="3">
        <v>7.9313000000000002</v>
      </c>
      <c r="S1489" s="3">
        <v>0</v>
      </c>
      <c r="T1489" s="3">
        <v>0</v>
      </c>
      <c r="U1489" s="3">
        <v>68.941299999999998</v>
      </c>
      <c r="V1489" s="3" t="s">
        <v>8046</v>
      </c>
      <c r="W1489" s="3" t="s">
        <v>1</v>
      </c>
    </row>
    <row r="1490" spans="5:23" hidden="1" x14ac:dyDescent="0.25">
      <c r="E1490" t="s">
        <v>8388</v>
      </c>
      <c r="F1490" s="1" t="s">
        <v>8530</v>
      </c>
      <c r="G1490" t="s">
        <v>1</v>
      </c>
      <c r="H1490" t="s">
        <v>0</v>
      </c>
      <c r="I1490" t="s">
        <v>8165</v>
      </c>
      <c r="J1490" t="s">
        <v>8164</v>
      </c>
      <c r="K1490">
        <v>12722</v>
      </c>
      <c r="L1490">
        <v>12722</v>
      </c>
      <c r="M1490" t="s">
        <v>8228</v>
      </c>
      <c r="N1490" t="s">
        <v>8229</v>
      </c>
      <c r="O1490" s="3">
        <v>0</v>
      </c>
      <c r="P1490" s="3">
        <v>0</v>
      </c>
      <c r="Q1490" s="3">
        <v>16.5</v>
      </c>
      <c r="R1490" s="3">
        <v>2.145</v>
      </c>
      <c r="S1490" s="3">
        <v>0</v>
      </c>
      <c r="T1490" s="3">
        <v>0</v>
      </c>
      <c r="U1490" s="3">
        <v>18.645</v>
      </c>
      <c r="V1490" s="3" t="s">
        <v>8046</v>
      </c>
      <c r="W1490" s="3" t="s">
        <v>1</v>
      </c>
    </row>
    <row r="1491" spans="5:23" hidden="1" x14ac:dyDescent="0.25">
      <c r="E1491" t="s">
        <v>8388</v>
      </c>
      <c r="F1491" s="1" t="s">
        <v>8530</v>
      </c>
      <c r="G1491" t="s">
        <v>1</v>
      </c>
      <c r="H1491" t="s">
        <v>0</v>
      </c>
      <c r="I1491" t="s">
        <v>8165</v>
      </c>
      <c r="J1491" t="s">
        <v>8164</v>
      </c>
      <c r="K1491">
        <v>12723</v>
      </c>
      <c r="L1491">
        <v>12723</v>
      </c>
      <c r="M1491" t="s">
        <v>8166</v>
      </c>
      <c r="N1491" t="s">
        <v>8167</v>
      </c>
      <c r="O1491" s="3">
        <v>0</v>
      </c>
      <c r="P1491" s="3">
        <v>0</v>
      </c>
      <c r="Q1491" s="3">
        <v>932.24</v>
      </c>
      <c r="R1491" s="3">
        <v>121.19120000000001</v>
      </c>
      <c r="S1491" s="3">
        <v>0</v>
      </c>
      <c r="T1491" s="3">
        <v>0</v>
      </c>
      <c r="U1491" s="3">
        <v>1053.4312</v>
      </c>
      <c r="V1491" s="3" t="s">
        <v>8046</v>
      </c>
      <c r="W1491" s="3" t="s">
        <v>1</v>
      </c>
    </row>
    <row r="1492" spans="5:23" hidden="1" x14ac:dyDescent="0.25">
      <c r="E1492" t="s">
        <v>8388</v>
      </c>
      <c r="F1492" s="1" t="s">
        <v>8530</v>
      </c>
      <c r="G1492" t="s">
        <v>1</v>
      </c>
      <c r="H1492" t="s">
        <v>0</v>
      </c>
      <c r="I1492" t="s">
        <v>8165</v>
      </c>
      <c r="J1492" t="s">
        <v>8164</v>
      </c>
      <c r="K1492">
        <v>12724</v>
      </c>
      <c r="L1492">
        <v>12724</v>
      </c>
      <c r="M1492" t="s">
        <v>246</v>
      </c>
      <c r="N1492" t="s">
        <v>247</v>
      </c>
      <c r="O1492" s="3">
        <v>0</v>
      </c>
      <c r="P1492" s="3">
        <v>0</v>
      </c>
      <c r="Q1492" s="3">
        <v>849.56</v>
      </c>
      <c r="R1492" s="3">
        <v>110.44279999999999</v>
      </c>
      <c r="S1492" s="3">
        <v>0</v>
      </c>
      <c r="T1492" s="3">
        <v>0</v>
      </c>
      <c r="U1492" s="3">
        <v>960.00279999999998</v>
      </c>
      <c r="V1492" s="3" t="s">
        <v>8046</v>
      </c>
      <c r="W1492" s="3" t="s">
        <v>1</v>
      </c>
    </row>
    <row r="1493" spans="5:23" hidden="1" x14ac:dyDescent="0.25">
      <c r="E1493" t="s">
        <v>8388</v>
      </c>
      <c r="F1493" s="1" t="s">
        <v>8530</v>
      </c>
      <c r="G1493" t="s">
        <v>1</v>
      </c>
      <c r="H1493" t="s">
        <v>0</v>
      </c>
      <c r="I1493" t="s">
        <v>8165</v>
      </c>
      <c r="J1493" t="s">
        <v>8164</v>
      </c>
      <c r="K1493">
        <v>12725</v>
      </c>
      <c r="L1493">
        <v>12725</v>
      </c>
      <c r="M1493" t="s">
        <v>8279</v>
      </c>
      <c r="N1493" t="s">
        <v>8280</v>
      </c>
      <c r="O1493" s="3">
        <v>0</v>
      </c>
      <c r="P1493" s="3">
        <v>0</v>
      </c>
      <c r="Q1493" s="3">
        <v>218.81</v>
      </c>
      <c r="R1493" s="3">
        <v>28.4453</v>
      </c>
      <c r="S1493" s="3">
        <v>0</v>
      </c>
      <c r="T1493" s="3">
        <v>0</v>
      </c>
      <c r="U1493" s="3">
        <v>247.25530000000001</v>
      </c>
      <c r="V1493" s="3" t="s">
        <v>8046</v>
      </c>
      <c r="W1493" s="3" t="s">
        <v>1</v>
      </c>
    </row>
    <row r="1494" spans="5:23" hidden="1" x14ac:dyDescent="0.25">
      <c r="E1494" t="s">
        <v>8388</v>
      </c>
      <c r="F1494" s="1" t="s">
        <v>8530</v>
      </c>
      <c r="G1494" t="s">
        <v>1</v>
      </c>
      <c r="H1494" t="s">
        <v>0</v>
      </c>
      <c r="I1494" t="s">
        <v>8165</v>
      </c>
      <c r="J1494" t="s">
        <v>8164</v>
      </c>
      <c r="K1494">
        <v>12726</v>
      </c>
      <c r="L1494">
        <v>12726</v>
      </c>
      <c r="M1494" t="s">
        <v>7869</v>
      </c>
      <c r="N1494" t="s">
        <v>7870</v>
      </c>
      <c r="O1494" s="3">
        <v>0</v>
      </c>
      <c r="P1494" s="3">
        <v>0</v>
      </c>
      <c r="Q1494" s="3">
        <v>276.39999999999998</v>
      </c>
      <c r="R1494" s="3">
        <v>35.931999999999995</v>
      </c>
      <c r="S1494" s="3">
        <v>0</v>
      </c>
      <c r="T1494" s="3">
        <v>0</v>
      </c>
      <c r="U1494" s="3">
        <v>312.33199999999999</v>
      </c>
      <c r="V1494" s="3" t="s">
        <v>8046</v>
      </c>
      <c r="W1494" s="3" t="s">
        <v>1</v>
      </c>
    </row>
    <row r="1495" spans="5:23" hidden="1" x14ac:dyDescent="0.25">
      <c r="E1495" t="s">
        <v>8388</v>
      </c>
      <c r="F1495" s="1" t="s">
        <v>8530</v>
      </c>
      <c r="G1495" t="s">
        <v>1</v>
      </c>
      <c r="H1495" t="s">
        <v>0</v>
      </c>
      <c r="I1495" t="s">
        <v>8165</v>
      </c>
      <c r="J1495" t="s">
        <v>8164</v>
      </c>
      <c r="K1495">
        <v>12727</v>
      </c>
      <c r="L1495">
        <v>12727</v>
      </c>
      <c r="M1495" t="s">
        <v>238</v>
      </c>
      <c r="N1495" t="s">
        <v>239</v>
      </c>
      <c r="O1495" s="3">
        <v>0</v>
      </c>
      <c r="P1495" s="3">
        <v>0</v>
      </c>
      <c r="Q1495" s="3">
        <v>283.39999999999998</v>
      </c>
      <c r="R1495" s="3">
        <v>36.841999999999999</v>
      </c>
      <c r="S1495" s="3">
        <v>0</v>
      </c>
      <c r="T1495" s="3">
        <v>0</v>
      </c>
      <c r="U1495" s="3">
        <v>320.24199999999996</v>
      </c>
      <c r="V1495" s="3" t="s">
        <v>8046</v>
      </c>
      <c r="W1495" s="3" t="s">
        <v>1</v>
      </c>
    </row>
    <row r="1496" spans="5:23" hidden="1" x14ac:dyDescent="0.25">
      <c r="E1496" t="s">
        <v>8388</v>
      </c>
      <c r="F1496" s="1" t="s">
        <v>8530</v>
      </c>
      <c r="G1496" t="s">
        <v>1</v>
      </c>
      <c r="H1496" t="s">
        <v>0</v>
      </c>
      <c r="I1496" t="s">
        <v>8165</v>
      </c>
      <c r="J1496" t="s">
        <v>8164</v>
      </c>
      <c r="K1496">
        <v>12728</v>
      </c>
      <c r="L1496">
        <v>12728</v>
      </c>
      <c r="M1496" t="s">
        <v>238</v>
      </c>
      <c r="N1496" t="s">
        <v>239</v>
      </c>
      <c r="O1496" s="3">
        <v>0</v>
      </c>
      <c r="P1496" s="3">
        <v>0</v>
      </c>
      <c r="Q1496" s="3">
        <v>3.29</v>
      </c>
      <c r="R1496" s="3">
        <v>0.42770000000000002</v>
      </c>
      <c r="S1496" s="3">
        <v>0</v>
      </c>
      <c r="T1496" s="3">
        <v>0</v>
      </c>
      <c r="U1496" s="3">
        <v>3.7177000000000002</v>
      </c>
      <c r="V1496" s="3" t="s">
        <v>8046</v>
      </c>
      <c r="W1496" s="3" t="s">
        <v>1</v>
      </c>
    </row>
    <row r="1497" spans="5:23" hidden="1" x14ac:dyDescent="0.25">
      <c r="E1497" t="s">
        <v>8388</v>
      </c>
      <c r="F1497" s="1" t="s">
        <v>8530</v>
      </c>
      <c r="G1497" t="s">
        <v>1</v>
      </c>
      <c r="H1497" t="s">
        <v>0</v>
      </c>
      <c r="I1497" t="s">
        <v>8165</v>
      </c>
      <c r="J1497" t="s">
        <v>8164</v>
      </c>
      <c r="K1497">
        <v>12729</v>
      </c>
      <c r="L1497">
        <v>12729</v>
      </c>
      <c r="M1497" t="s">
        <v>436</v>
      </c>
      <c r="N1497" t="s">
        <v>437</v>
      </c>
      <c r="O1497" s="3">
        <v>0</v>
      </c>
      <c r="P1497" s="3">
        <v>0</v>
      </c>
      <c r="Q1497" s="3">
        <v>28.65</v>
      </c>
      <c r="R1497" s="3">
        <v>3.7244999999999999</v>
      </c>
      <c r="S1497" s="3">
        <v>0</v>
      </c>
      <c r="T1497" s="3">
        <v>0</v>
      </c>
      <c r="U1497" s="3">
        <v>32.374499999999998</v>
      </c>
      <c r="V1497" s="3" t="s">
        <v>8046</v>
      </c>
      <c r="W1497" s="3" t="s">
        <v>1</v>
      </c>
    </row>
    <row r="1498" spans="5:23" hidden="1" x14ac:dyDescent="0.25">
      <c r="E1498" t="s">
        <v>8388</v>
      </c>
      <c r="F1498" s="1" t="s">
        <v>8530</v>
      </c>
      <c r="G1498" t="s">
        <v>1</v>
      </c>
      <c r="H1498" t="s">
        <v>0</v>
      </c>
      <c r="I1498" t="s">
        <v>8165</v>
      </c>
      <c r="J1498" t="s">
        <v>8164</v>
      </c>
      <c r="K1498">
        <v>12730</v>
      </c>
      <c r="L1498">
        <v>12730</v>
      </c>
      <c r="M1498" t="s">
        <v>436</v>
      </c>
      <c r="N1498" t="s">
        <v>437</v>
      </c>
      <c r="O1498" s="3">
        <v>0</v>
      </c>
      <c r="P1498" s="3">
        <v>0</v>
      </c>
      <c r="Q1498" s="3">
        <v>24.3</v>
      </c>
      <c r="R1498" s="3">
        <v>3.1590000000000003</v>
      </c>
      <c r="S1498" s="3">
        <v>0</v>
      </c>
      <c r="T1498" s="3">
        <v>0</v>
      </c>
      <c r="U1498" s="3">
        <v>27.459</v>
      </c>
      <c r="V1498" s="3" t="s">
        <v>8046</v>
      </c>
      <c r="W1498" s="3" t="s">
        <v>1</v>
      </c>
    </row>
    <row r="1499" spans="5:23" hidden="1" x14ac:dyDescent="0.25">
      <c r="E1499" t="s">
        <v>8388</v>
      </c>
      <c r="F1499" s="1" t="s">
        <v>8530</v>
      </c>
      <c r="G1499" t="s">
        <v>1</v>
      </c>
      <c r="H1499" t="s">
        <v>0</v>
      </c>
      <c r="I1499" t="s">
        <v>8165</v>
      </c>
      <c r="J1499" t="s">
        <v>8164</v>
      </c>
      <c r="K1499">
        <v>12731</v>
      </c>
      <c r="L1499">
        <v>12731</v>
      </c>
      <c r="M1499" t="s">
        <v>436</v>
      </c>
      <c r="N1499" t="s">
        <v>437</v>
      </c>
      <c r="O1499" s="3">
        <v>0</v>
      </c>
      <c r="P1499" s="3">
        <v>0</v>
      </c>
      <c r="Q1499" s="3">
        <v>79.650000000000006</v>
      </c>
      <c r="R1499" s="3">
        <v>10.354500000000002</v>
      </c>
      <c r="S1499" s="3">
        <v>0</v>
      </c>
      <c r="T1499" s="3">
        <v>0</v>
      </c>
      <c r="U1499" s="3">
        <v>90.004500000000007</v>
      </c>
      <c r="V1499" s="3" t="s">
        <v>8046</v>
      </c>
      <c r="W1499" s="3" t="s">
        <v>1</v>
      </c>
    </row>
    <row r="1500" spans="5:23" hidden="1" x14ac:dyDescent="0.25">
      <c r="E1500" t="s">
        <v>8388</v>
      </c>
      <c r="F1500" s="1" t="s">
        <v>8530</v>
      </c>
      <c r="G1500" t="s">
        <v>1</v>
      </c>
      <c r="H1500" t="s">
        <v>0</v>
      </c>
      <c r="I1500" t="s">
        <v>8165</v>
      </c>
      <c r="J1500" t="s">
        <v>8164</v>
      </c>
      <c r="K1500">
        <v>12732</v>
      </c>
      <c r="L1500">
        <v>12732</v>
      </c>
      <c r="M1500" t="s">
        <v>8243</v>
      </c>
      <c r="N1500" t="s">
        <v>8244</v>
      </c>
      <c r="O1500" s="3">
        <v>0</v>
      </c>
      <c r="P1500" s="3">
        <v>0</v>
      </c>
      <c r="Q1500" s="3">
        <v>48.28</v>
      </c>
      <c r="R1500" s="3">
        <v>6.2764000000000006</v>
      </c>
      <c r="S1500" s="3">
        <v>0</v>
      </c>
      <c r="T1500" s="3">
        <v>0</v>
      </c>
      <c r="U1500" s="3">
        <v>54.556400000000004</v>
      </c>
      <c r="V1500" s="3" t="s">
        <v>8046</v>
      </c>
      <c r="W1500" s="3" t="s">
        <v>1</v>
      </c>
    </row>
    <row r="1501" spans="5:23" hidden="1" x14ac:dyDescent="0.25">
      <c r="E1501" t="s">
        <v>8388</v>
      </c>
      <c r="F1501" s="1" t="s">
        <v>8530</v>
      </c>
      <c r="G1501" t="s">
        <v>1</v>
      </c>
      <c r="H1501" t="s">
        <v>0</v>
      </c>
      <c r="I1501" t="s">
        <v>8165</v>
      </c>
      <c r="J1501" t="s">
        <v>8164</v>
      </c>
      <c r="K1501">
        <v>12733</v>
      </c>
      <c r="L1501">
        <v>12733</v>
      </c>
      <c r="M1501" t="s">
        <v>2154</v>
      </c>
      <c r="N1501" t="s">
        <v>2155</v>
      </c>
      <c r="O1501" s="3">
        <v>0</v>
      </c>
      <c r="P1501" s="3">
        <v>0</v>
      </c>
      <c r="Q1501" s="3">
        <v>952</v>
      </c>
      <c r="R1501" s="3">
        <v>123.76</v>
      </c>
      <c r="S1501" s="3">
        <v>0</v>
      </c>
      <c r="T1501" s="3">
        <v>0</v>
      </c>
      <c r="U1501" s="3">
        <v>1075.76</v>
      </c>
      <c r="V1501" s="3" t="s">
        <v>8046</v>
      </c>
      <c r="W1501" s="3" t="s">
        <v>1</v>
      </c>
    </row>
    <row r="1502" spans="5:23" hidden="1" x14ac:dyDescent="0.25">
      <c r="E1502" t="s">
        <v>8388</v>
      </c>
      <c r="F1502" s="1" t="s">
        <v>8530</v>
      </c>
      <c r="G1502" t="s">
        <v>1</v>
      </c>
      <c r="H1502" t="s">
        <v>0</v>
      </c>
      <c r="I1502" t="s">
        <v>8165</v>
      </c>
      <c r="J1502" t="s">
        <v>8164</v>
      </c>
      <c r="K1502">
        <v>12734</v>
      </c>
      <c r="L1502">
        <v>12734</v>
      </c>
      <c r="M1502" t="s">
        <v>1793</v>
      </c>
      <c r="N1502" t="s">
        <v>1794</v>
      </c>
      <c r="O1502" s="3">
        <v>0</v>
      </c>
      <c r="P1502" s="3">
        <v>0</v>
      </c>
      <c r="Q1502" s="3">
        <v>224</v>
      </c>
      <c r="R1502" s="3">
        <v>29.12</v>
      </c>
      <c r="S1502" s="3">
        <v>0</v>
      </c>
      <c r="T1502" s="3">
        <v>0</v>
      </c>
      <c r="U1502" s="3">
        <v>253.12</v>
      </c>
      <c r="V1502" s="3" t="s">
        <v>8046</v>
      </c>
      <c r="W1502" s="3" t="s">
        <v>1</v>
      </c>
    </row>
    <row r="1503" spans="5:23" hidden="1" x14ac:dyDescent="0.25">
      <c r="E1503" t="s">
        <v>8388</v>
      </c>
      <c r="F1503" s="1" t="s">
        <v>8530</v>
      </c>
      <c r="G1503" t="s">
        <v>1</v>
      </c>
      <c r="H1503" t="s">
        <v>0</v>
      </c>
      <c r="I1503" t="s">
        <v>8165</v>
      </c>
      <c r="J1503" t="s">
        <v>8164</v>
      </c>
      <c r="K1503">
        <v>12735</v>
      </c>
      <c r="L1503">
        <v>12735</v>
      </c>
      <c r="M1503" t="s">
        <v>8214</v>
      </c>
      <c r="N1503" t="s">
        <v>8215</v>
      </c>
      <c r="O1503" s="3">
        <v>0</v>
      </c>
      <c r="P1503" s="3">
        <v>0</v>
      </c>
      <c r="Q1503" s="3">
        <v>119.55</v>
      </c>
      <c r="R1503" s="3">
        <v>15.541500000000001</v>
      </c>
      <c r="S1503" s="3">
        <v>0</v>
      </c>
      <c r="T1503" s="3">
        <v>0</v>
      </c>
      <c r="U1503" s="3">
        <v>135.0915</v>
      </c>
      <c r="V1503" s="3" t="s">
        <v>8046</v>
      </c>
      <c r="W1503" s="3" t="s">
        <v>1</v>
      </c>
    </row>
    <row r="1504" spans="5:23" hidden="1" x14ac:dyDescent="0.25">
      <c r="E1504" t="s">
        <v>8388</v>
      </c>
      <c r="F1504" s="1" t="s">
        <v>8530</v>
      </c>
      <c r="G1504" t="s">
        <v>1</v>
      </c>
      <c r="H1504" t="s">
        <v>0</v>
      </c>
      <c r="I1504" t="s">
        <v>8165</v>
      </c>
      <c r="J1504" t="s">
        <v>8164</v>
      </c>
      <c r="K1504">
        <v>12736</v>
      </c>
      <c r="L1504">
        <v>12736</v>
      </c>
      <c r="M1504" t="s">
        <v>8302</v>
      </c>
      <c r="N1504" t="s">
        <v>8303</v>
      </c>
      <c r="O1504" s="3">
        <v>0</v>
      </c>
      <c r="P1504" s="3">
        <v>0</v>
      </c>
      <c r="Q1504" s="3">
        <v>154.5</v>
      </c>
      <c r="R1504" s="3">
        <v>20.085000000000001</v>
      </c>
      <c r="S1504" s="3">
        <v>0</v>
      </c>
      <c r="T1504" s="3">
        <v>0</v>
      </c>
      <c r="U1504" s="3">
        <v>174.58500000000001</v>
      </c>
      <c r="V1504" s="3" t="s">
        <v>8046</v>
      </c>
      <c r="W1504" s="3" t="s">
        <v>1</v>
      </c>
    </row>
    <row r="1505" spans="5:23" hidden="1" x14ac:dyDescent="0.25">
      <c r="E1505" t="s">
        <v>8388</v>
      </c>
      <c r="F1505" s="1" t="s">
        <v>8530</v>
      </c>
      <c r="G1505" t="s">
        <v>1</v>
      </c>
      <c r="H1505" t="s">
        <v>0</v>
      </c>
      <c r="I1505" t="s">
        <v>8165</v>
      </c>
      <c r="J1505" t="s">
        <v>8164</v>
      </c>
      <c r="K1505">
        <v>12737</v>
      </c>
      <c r="L1505">
        <v>12737</v>
      </c>
      <c r="M1505" t="s">
        <v>8249</v>
      </c>
      <c r="N1505" t="s">
        <v>8250</v>
      </c>
      <c r="O1505" s="3">
        <v>0</v>
      </c>
      <c r="P1505" s="3">
        <v>0</v>
      </c>
      <c r="Q1505" s="3">
        <v>52.92</v>
      </c>
      <c r="R1505" s="3">
        <v>6.8796000000000008</v>
      </c>
      <c r="S1505" s="3">
        <v>0</v>
      </c>
      <c r="T1505" s="3">
        <v>0</v>
      </c>
      <c r="U1505" s="3">
        <v>59.799600000000005</v>
      </c>
      <c r="V1505" s="3" t="s">
        <v>8046</v>
      </c>
      <c r="W1505" s="3" t="s">
        <v>1</v>
      </c>
    </row>
    <row r="1506" spans="5:23" hidden="1" x14ac:dyDescent="0.25">
      <c r="E1506" t="s">
        <v>8388</v>
      </c>
      <c r="F1506" s="1" t="s">
        <v>8530</v>
      </c>
      <c r="G1506" t="s">
        <v>1</v>
      </c>
      <c r="H1506" t="s">
        <v>0</v>
      </c>
      <c r="I1506" t="s">
        <v>8165</v>
      </c>
      <c r="J1506" t="s">
        <v>8164</v>
      </c>
      <c r="K1506">
        <v>12738</v>
      </c>
      <c r="L1506">
        <v>12738</v>
      </c>
      <c r="M1506" t="s">
        <v>807</v>
      </c>
      <c r="N1506" t="s">
        <v>808</v>
      </c>
      <c r="O1506" s="3">
        <v>0</v>
      </c>
      <c r="P1506" s="3">
        <v>0</v>
      </c>
      <c r="Q1506" s="3">
        <v>36.880000000000003</v>
      </c>
      <c r="R1506" s="3">
        <v>4.7944000000000004</v>
      </c>
      <c r="S1506" s="3">
        <v>0</v>
      </c>
      <c r="T1506" s="3">
        <v>0</v>
      </c>
      <c r="U1506" s="3">
        <v>41.674400000000006</v>
      </c>
      <c r="V1506" s="3" t="s">
        <v>8046</v>
      </c>
      <c r="W1506" s="3" t="s">
        <v>1</v>
      </c>
    </row>
    <row r="1507" spans="5:23" hidden="1" x14ac:dyDescent="0.25">
      <c r="E1507" t="s">
        <v>8388</v>
      </c>
      <c r="F1507" s="1" t="s">
        <v>8530</v>
      </c>
      <c r="G1507" t="s">
        <v>1</v>
      </c>
      <c r="H1507" t="s">
        <v>0</v>
      </c>
      <c r="I1507" t="s">
        <v>8165</v>
      </c>
      <c r="J1507" t="s">
        <v>8164</v>
      </c>
      <c r="K1507">
        <v>12739</v>
      </c>
      <c r="L1507">
        <v>12739</v>
      </c>
      <c r="M1507" t="s">
        <v>807</v>
      </c>
      <c r="N1507" t="s">
        <v>808</v>
      </c>
      <c r="O1507" s="3">
        <v>0</v>
      </c>
      <c r="P1507" s="3">
        <v>0</v>
      </c>
      <c r="Q1507" s="3">
        <v>121</v>
      </c>
      <c r="R1507" s="3">
        <v>15.73</v>
      </c>
      <c r="S1507" s="3">
        <v>0</v>
      </c>
      <c r="T1507" s="3">
        <v>0</v>
      </c>
      <c r="U1507" s="3">
        <v>136.72999999999999</v>
      </c>
      <c r="V1507" s="3" t="s">
        <v>8046</v>
      </c>
      <c r="W1507" s="3" t="s">
        <v>1</v>
      </c>
    </row>
    <row r="1508" spans="5:23" hidden="1" x14ac:dyDescent="0.25">
      <c r="E1508" t="s">
        <v>8388</v>
      </c>
      <c r="F1508" s="1" t="s">
        <v>8530</v>
      </c>
      <c r="G1508" t="s">
        <v>1</v>
      </c>
      <c r="H1508" t="s">
        <v>0</v>
      </c>
      <c r="I1508" t="s">
        <v>8165</v>
      </c>
      <c r="J1508" t="s">
        <v>8164</v>
      </c>
      <c r="K1508">
        <v>12740</v>
      </c>
      <c r="L1508">
        <v>12740</v>
      </c>
      <c r="M1508" t="s">
        <v>8555</v>
      </c>
      <c r="N1508" t="s">
        <v>8556</v>
      </c>
      <c r="O1508" s="3">
        <v>0</v>
      </c>
      <c r="P1508" s="3">
        <v>0</v>
      </c>
      <c r="Q1508" s="3">
        <v>66.5</v>
      </c>
      <c r="R1508" s="3">
        <v>8.6449999999999996</v>
      </c>
      <c r="S1508" s="3">
        <v>0</v>
      </c>
      <c r="T1508" s="3">
        <v>0</v>
      </c>
      <c r="U1508" s="3">
        <v>75.144999999999996</v>
      </c>
      <c r="V1508" s="3" t="s">
        <v>8046</v>
      </c>
      <c r="W1508" s="3" t="s">
        <v>1</v>
      </c>
    </row>
    <row r="1509" spans="5:23" hidden="1" x14ac:dyDescent="0.25">
      <c r="E1509" t="s">
        <v>8388</v>
      </c>
      <c r="F1509" s="1" t="s">
        <v>8530</v>
      </c>
      <c r="G1509" t="s">
        <v>1</v>
      </c>
      <c r="H1509" t="s">
        <v>0</v>
      </c>
      <c r="I1509" t="s">
        <v>8165</v>
      </c>
      <c r="J1509" t="s">
        <v>8164</v>
      </c>
      <c r="K1509">
        <v>12741</v>
      </c>
      <c r="L1509">
        <v>12741</v>
      </c>
      <c r="M1509" t="s">
        <v>8555</v>
      </c>
      <c r="N1509" t="s">
        <v>8556</v>
      </c>
      <c r="O1509" s="3">
        <v>0</v>
      </c>
      <c r="P1509" s="3">
        <v>0</v>
      </c>
      <c r="Q1509" s="3">
        <v>153.75</v>
      </c>
      <c r="R1509" s="3">
        <v>19.987500000000001</v>
      </c>
      <c r="S1509" s="3">
        <v>0</v>
      </c>
      <c r="T1509" s="3">
        <v>0</v>
      </c>
      <c r="U1509" s="3">
        <v>173.73750000000001</v>
      </c>
      <c r="V1509" s="3" t="s">
        <v>8046</v>
      </c>
      <c r="W1509" s="3" t="s">
        <v>1</v>
      </c>
    </row>
    <row r="1510" spans="5:23" hidden="1" x14ac:dyDescent="0.25">
      <c r="E1510" t="s">
        <v>8388</v>
      </c>
      <c r="F1510" s="1" t="s">
        <v>8530</v>
      </c>
      <c r="G1510" t="s">
        <v>1</v>
      </c>
      <c r="H1510" t="s">
        <v>0</v>
      </c>
      <c r="I1510" t="s">
        <v>8165</v>
      </c>
      <c r="J1510" t="s">
        <v>8164</v>
      </c>
      <c r="K1510">
        <v>12742</v>
      </c>
      <c r="L1510">
        <v>12742</v>
      </c>
      <c r="M1510" t="s">
        <v>8245</v>
      </c>
      <c r="N1510" t="s">
        <v>8246</v>
      </c>
      <c r="O1510" s="3">
        <v>0</v>
      </c>
      <c r="P1510" s="3">
        <v>0</v>
      </c>
      <c r="Q1510" s="3">
        <v>740.5</v>
      </c>
      <c r="R1510" s="3">
        <v>96.265000000000001</v>
      </c>
      <c r="S1510" s="3">
        <v>0</v>
      </c>
      <c r="T1510" s="3">
        <v>0</v>
      </c>
      <c r="U1510" s="3">
        <v>836.76499999999999</v>
      </c>
      <c r="V1510" s="3" t="s">
        <v>8046</v>
      </c>
      <c r="W1510" s="3" t="s">
        <v>1</v>
      </c>
    </row>
    <row r="1511" spans="5:23" hidden="1" x14ac:dyDescent="0.25">
      <c r="E1511" t="s">
        <v>8388</v>
      </c>
      <c r="F1511" s="1" t="s">
        <v>8530</v>
      </c>
      <c r="G1511" t="s">
        <v>1</v>
      </c>
      <c r="H1511" t="s">
        <v>0</v>
      </c>
      <c r="I1511" t="s">
        <v>8165</v>
      </c>
      <c r="J1511" t="s">
        <v>8164</v>
      </c>
      <c r="K1511">
        <v>12743</v>
      </c>
      <c r="L1511">
        <v>12743</v>
      </c>
      <c r="M1511" t="s">
        <v>8553</v>
      </c>
      <c r="N1511" t="s">
        <v>8554</v>
      </c>
      <c r="O1511" s="3">
        <v>0</v>
      </c>
      <c r="P1511" s="3">
        <v>0</v>
      </c>
      <c r="Q1511" s="3">
        <v>18.05</v>
      </c>
      <c r="R1511" s="3">
        <v>2.3465000000000003</v>
      </c>
      <c r="S1511" s="3">
        <v>0</v>
      </c>
      <c r="T1511" s="3">
        <v>0</v>
      </c>
      <c r="U1511" s="3">
        <v>20.3965</v>
      </c>
      <c r="V1511" s="3" t="s">
        <v>8046</v>
      </c>
      <c r="W1511" s="3" t="s">
        <v>1</v>
      </c>
    </row>
    <row r="1512" spans="5:23" hidden="1" x14ac:dyDescent="0.25">
      <c r="E1512" t="s">
        <v>8388</v>
      </c>
      <c r="F1512" s="1" t="s">
        <v>8530</v>
      </c>
      <c r="G1512" t="s">
        <v>1</v>
      </c>
      <c r="H1512" t="s">
        <v>0</v>
      </c>
      <c r="I1512" t="s">
        <v>8165</v>
      </c>
      <c r="J1512" t="s">
        <v>8164</v>
      </c>
      <c r="K1512">
        <v>12744</v>
      </c>
      <c r="L1512">
        <v>12744</v>
      </c>
      <c r="M1512" t="s">
        <v>8226</v>
      </c>
      <c r="N1512" t="s">
        <v>8227</v>
      </c>
      <c r="O1512" s="3">
        <v>0</v>
      </c>
      <c r="P1512" s="3">
        <v>0</v>
      </c>
      <c r="Q1512" s="3">
        <v>42.8</v>
      </c>
      <c r="R1512" s="3">
        <v>5.5640000000000001</v>
      </c>
      <c r="S1512" s="3">
        <v>0</v>
      </c>
      <c r="T1512" s="3">
        <v>0</v>
      </c>
      <c r="U1512" s="3">
        <v>48.363999999999997</v>
      </c>
      <c r="V1512" s="3" t="s">
        <v>8046</v>
      </c>
      <c r="W1512" s="3" t="s">
        <v>1</v>
      </c>
    </row>
    <row r="1513" spans="5:23" hidden="1" x14ac:dyDescent="0.25">
      <c r="E1513" t="s">
        <v>8388</v>
      </c>
      <c r="F1513" s="1" t="s">
        <v>8529</v>
      </c>
      <c r="G1513" t="s">
        <v>1</v>
      </c>
      <c r="H1513" t="s">
        <v>0</v>
      </c>
      <c r="I1513" t="s">
        <v>8165</v>
      </c>
      <c r="J1513" t="s">
        <v>8164</v>
      </c>
      <c r="K1513">
        <v>12745</v>
      </c>
      <c r="L1513">
        <v>12745</v>
      </c>
      <c r="M1513" t="s">
        <v>8226</v>
      </c>
      <c r="N1513" t="s">
        <v>8227</v>
      </c>
      <c r="O1513" s="3">
        <v>0</v>
      </c>
      <c r="P1513" s="3">
        <v>0</v>
      </c>
      <c r="Q1513" s="3">
        <v>260.44</v>
      </c>
      <c r="R1513" s="3">
        <v>33.857199999999999</v>
      </c>
      <c r="S1513" s="3">
        <v>0</v>
      </c>
      <c r="T1513" s="3">
        <v>0</v>
      </c>
      <c r="U1513" s="3">
        <v>294.29719999999998</v>
      </c>
      <c r="V1513" s="3" t="s">
        <v>8046</v>
      </c>
      <c r="W1513" s="3" t="s">
        <v>1</v>
      </c>
    </row>
    <row r="1514" spans="5:23" hidden="1" x14ac:dyDescent="0.25">
      <c r="E1514" t="s">
        <v>8388</v>
      </c>
      <c r="F1514" s="1" t="s">
        <v>8529</v>
      </c>
      <c r="G1514" t="s">
        <v>1</v>
      </c>
      <c r="H1514" t="s">
        <v>0</v>
      </c>
      <c r="I1514" t="s">
        <v>8165</v>
      </c>
      <c r="J1514" t="s">
        <v>8164</v>
      </c>
      <c r="K1514">
        <v>12746</v>
      </c>
      <c r="L1514">
        <v>12746</v>
      </c>
      <c r="M1514" t="s">
        <v>8226</v>
      </c>
      <c r="N1514" t="s">
        <v>8227</v>
      </c>
      <c r="O1514" s="3">
        <v>0</v>
      </c>
      <c r="P1514" s="3">
        <v>0</v>
      </c>
      <c r="Q1514" s="3">
        <v>145.11000000000001</v>
      </c>
      <c r="R1514" s="3">
        <v>18.864300000000004</v>
      </c>
      <c r="S1514" s="3">
        <v>0</v>
      </c>
      <c r="T1514" s="3">
        <v>0</v>
      </c>
      <c r="U1514" s="3">
        <v>163.97430000000003</v>
      </c>
      <c r="V1514" s="3" t="s">
        <v>8046</v>
      </c>
      <c r="W1514" s="3" t="s">
        <v>1</v>
      </c>
    </row>
    <row r="1515" spans="5:23" hidden="1" x14ac:dyDescent="0.25">
      <c r="E1515" t="s">
        <v>8388</v>
      </c>
      <c r="F1515" s="1" t="s">
        <v>8529</v>
      </c>
      <c r="G1515" t="s">
        <v>1</v>
      </c>
      <c r="H1515" t="s">
        <v>0</v>
      </c>
      <c r="I1515" t="s">
        <v>8165</v>
      </c>
      <c r="J1515" t="s">
        <v>8164</v>
      </c>
      <c r="K1515">
        <v>12747</v>
      </c>
      <c r="L1515">
        <v>12747</v>
      </c>
      <c r="M1515" t="s">
        <v>8259</v>
      </c>
      <c r="N1515" t="s">
        <v>8260</v>
      </c>
      <c r="O1515" s="3">
        <v>0</v>
      </c>
      <c r="P1515" s="3">
        <v>0</v>
      </c>
      <c r="Q1515" s="3">
        <v>39.92</v>
      </c>
      <c r="R1515" s="3">
        <v>5.1896000000000004</v>
      </c>
      <c r="S1515" s="3">
        <v>0</v>
      </c>
      <c r="T1515" s="3">
        <v>0</v>
      </c>
      <c r="U1515" s="3">
        <v>45.1096</v>
      </c>
      <c r="V1515" s="3" t="s">
        <v>8046</v>
      </c>
      <c r="W1515" s="3" t="s">
        <v>1</v>
      </c>
    </row>
    <row r="1516" spans="5:23" hidden="1" x14ac:dyDescent="0.25">
      <c r="E1516" t="s">
        <v>8388</v>
      </c>
      <c r="F1516" s="1" t="s">
        <v>8529</v>
      </c>
      <c r="G1516" t="s">
        <v>1</v>
      </c>
      <c r="H1516" t="s">
        <v>0</v>
      </c>
      <c r="I1516" t="s">
        <v>8165</v>
      </c>
      <c r="J1516" t="s">
        <v>8164</v>
      </c>
      <c r="K1516">
        <v>12748</v>
      </c>
      <c r="L1516">
        <v>12748</v>
      </c>
      <c r="M1516" t="s">
        <v>8190</v>
      </c>
      <c r="N1516" t="s">
        <v>8191</v>
      </c>
      <c r="O1516" s="3">
        <v>0</v>
      </c>
      <c r="P1516" s="3">
        <v>0</v>
      </c>
      <c r="Q1516" s="3">
        <v>185.84</v>
      </c>
      <c r="R1516" s="3">
        <v>24.159200000000002</v>
      </c>
      <c r="S1516" s="3">
        <v>0</v>
      </c>
      <c r="T1516" s="3">
        <v>0</v>
      </c>
      <c r="U1516" s="3">
        <v>209.9992</v>
      </c>
      <c r="V1516" s="3" t="s">
        <v>8046</v>
      </c>
      <c r="W1516" s="3" t="s">
        <v>1</v>
      </c>
    </row>
    <row r="1517" spans="5:23" hidden="1" x14ac:dyDescent="0.25">
      <c r="E1517" t="s">
        <v>8388</v>
      </c>
      <c r="F1517" s="1" t="s">
        <v>8529</v>
      </c>
      <c r="G1517" t="s">
        <v>1</v>
      </c>
      <c r="H1517" t="s">
        <v>0</v>
      </c>
      <c r="I1517" t="s">
        <v>8165</v>
      </c>
      <c r="J1517" t="s">
        <v>8164</v>
      </c>
      <c r="K1517">
        <v>12749</v>
      </c>
      <c r="L1517">
        <v>12749</v>
      </c>
      <c r="M1517" t="s">
        <v>734</v>
      </c>
      <c r="N1517" t="s">
        <v>735</v>
      </c>
      <c r="O1517" s="3">
        <v>0</v>
      </c>
      <c r="P1517" s="3">
        <v>0</v>
      </c>
      <c r="Q1517" s="3">
        <v>630.79</v>
      </c>
      <c r="R1517" s="3">
        <v>82.002700000000004</v>
      </c>
      <c r="S1517" s="3">
        <v>0</v>
      </c>
      <c r="T1517" s="3">
        <v>0</v>
      </c>
      <c r="U1517" s="3">
        <v>712.79269999999997</v>
      </c>
      <c r="V1517" s="3" t="s">
        <v>8046</v>
      </c>
      <c r="W1517" s="3" t="s">
        <v>1</v>
      </c>
    </row>
    <row r="1518" spans="5:23" hidden="1" x14ac:dyDescent="0.25">
      <c r="E1518" t="s">
        <v>8388</v>
      </c>
      <c r="F1518" s="1" t="s">
        <v>8529</v>
      </c>
      <c r="G1518" t="s">
        <v>1</v>
      </c>
      <c r="H1518" t="s">
        <v>0</v>
      </c>
      <c r="I1518" t="s">
        <v>8165</v>
      </c>
      <c r="J1518" t="s">
        <v>8164</v>
      </c>
      <c r="K1518">
        <v>12750</v>
      </c>
      <c r="L1518">
        <v>12750</v>
      </c>
      <c r="M1518" t="s">
        <v>440</v>
      </c>
      <c r="N1518" t="s">
        <v>441</v>
      </c>
      <c r="O1518" s="3">
        <v>0</v>
      </c>
      <c r="P1518" s="3">
        <v>0</v>
      </c>
      <c r="Q1518" s="3">
        <v>92.88</v>
      </c>
      <c r="R1518" s="3">
        <v>12.074400000000001</v>
      </c>
      <c r="S1518" s="3">
        <v>0</v>
      </c>
      <c r="T1518" s="3">
        <v>0</v>
      </c>
      <c r="U1518" s="3">
        <v>104.95439999999999</v>
      </c>
      <c r="V1518" s="3" t="s">
        <v>8046</v>
      </c>
      <c r="W1518" s="3" t="s">
        <v>1</v>
      </c>
    </row>
    <row r="1519" spans="5:23" hidden="1" x14ac:dyDescent="0.25">
      <c r="E1519" t="s">
        <v>8388</v>
      </c>
      <c r="F1519" s="1" t="s">
        <v>8529</v>
      </c>
      <c r="G1519" t="s">
        <v>1</v>
      </c>
      <c r="H1519" t="s">
        <v>0</v>
      </c>
      <c r="I1519" t="s">
        <v>8165</v>
      </c>
      <c r="J1519" t="s">
        <v>8164</v>
      </c>
      <c r="K1519">
        <v>12751</v>
      </c>
      <c r="L1519">
        <v>12751</v>
      </c>
      <c r="M1519" t="s">
        <v>8285</v>
      </c>
      <c r="N1519" t="s">
        <v>8286</v>
      </c>
      <c r="O1519" s="3">
        <v>0</v>
      </c>
      <c r="P1519" s="3">
        <v>0</v>
      </c>
      <c r="Q1519" s="3">
        <v>13.5</v>
      </c>
      <c r="R1519" s="3">
        <v>1.7550000000000001</v>
      </c>
      <c r="S1519" s="3">
        <v>0</v>
      </c>
      <c r="T1519" s="3">
        <v>0</v>
      </c>
      <c r="U1519" s="3">
        <v>15.255000000000001</v>
      </c>
      <c r="V1519" s="3" t="s">
        <v>8046</v>
      </c>
      <c r="W1519" s="3" t="s">
        <v>1</v>
      </c>
    </row>
    <row r="1520" spans="5:23" hidden="1" x14ac:dyDescent="0.25">
      <c r="E1520" t="s">
        <v>8388</v>
      </c>
      <c r="F1520" s="1" t="s">
        <v>8529</v>
      </c>
      <c r="G1520" t="s">
        <v>1</v>
      </c>
      <c r="H1520" t="s">
        <v>0</v>
      </c>
      <c r="I1520" t="s">
        <v>8165</v>
      </c>
      <c r="J1520" t="s">
        <v>8164</v>
      </c>
      <c r="K1520">
        <v>12752</v>
      </c>
      <c r="L1520">
        <v>12752</v>
      </c>
      <c r="M1520" t="s">
        <v>8285</v>
      </c>
      <c r="N1520" t="s">
        <v>8286</v>
      </c>
      <c r="O1520" s="3">
        <v>0</v>
      </c>
      <c r="P1520" s="3">
        <v>0</v>
      </c>
      <c r="Q1520" s="3">
        <v>32.5</v>
      </c>
      <c r="R1520" s="3">
        <v>4.2250000000000005</v>
      </c>
      <c r="S1520" s="3">
        <v>0</v>
      </c>
      <c r="T1520" s="3">
        <v>0</v>
      </c>
      <c r="U1520" s="3">
        <v>36.725000000000001</v>
      </c>
      <c r="V1520" s="3" t="s">
        <v>8046</v>
      </c>
      <c r="W1520" s="3" t="s">
        <v>1</v>
      </c>
    </row>
    <row r="1521" spans="5:23" hidden="1" x14ac:dyDescent="0.25">
      <c r="E1521" t="s">
        <v>8388</v>
      </c>
      <c r="F1521" s="1" t="s">
        <v>8529</v>
      </c>
      <c r="G1521" t="s">
        <v>1</v>
      </c>
      <c r="H1521" t="s">
        <v>0</v>
      </c>
      <c r="I1521" t="s">
        <v>8165</v>
      </c>
      <c r="J1521" t="s">
        <v>8164</v>
      </c>
      <c r="K1521">
        <v>12753</v>
      </c>
      <c r="L1521">
        <v>12753</v>
      </c>
      <c r="M1521" t="s">
        <v>7852</v>
      </c>
      <c r="N1521" t="s">
        <v>7851</v>
      </c>
      <c r="O1521" s="3">
        <v>0</v>
      </c>
      <c r="P1521" s="3">
        <v>0</v>
      </c>
      <c r="Q1521" s="3">
        <v>0</v>
      </c>
      <c r="R1521" s="3">
        <v>0</v>
      </c>
      <c r="S1521" s="3">
        <v>0</v>
      </c>
      <c r="T1521" s="3">
        <v>0</v>
      </c>
      <c r="U1521" s="3">
        <v>0</v>
      </c>
      <c r="V1521" s="3" t="s">
        <v>8046</v>
      </c>
      <c r="W1521" s="3" t="s">
        <v>1</v>
      </c>
    </row>
    <row r="1522" spans="5:23" hidden="1" x14ac:dyDescent="0.25">
      <c r="E1522" t="s">
        <v>8388</v>
      </c>
      <c r="F1522" s="1" t="s">
        <v>8529</v>
      </c>
      <c r="G1522" t="s">
        <v>1</v>
      </c>
      <c r="H1522" t="s">
        <v>0</v>
      </c>
      <c r="I1522" t="s">
        <v>8165</v>
      </c>
      <c r="J1522" t="s">
        <v>8164</v>
      </c>
      <c r="K1522">
        <v>12754</v>
      </c>
      <c r="L1522">
        <v>12754</v>
      </c>
      <c r="M1522" t="s">
        <v>8551</v>
      </c>
      <c r="N1522" t="s">
        <v>8552</v>
      </c>
      <c r="O1522" s="3">
        <v>0</v>
      </c>
      <c r="P1522" s="3">
        <v>0</v>
      </c>
      <c r="Q1522" s="3">
        <v>9.9</v>
      </c>
      <c r="R1522" s="3">
        <v>1.2870000000000001</v>
      </c>
      <c r="S1522" s="3">
        <v>0</v>
      </c>
      <c r="T1522" s="3">
        <v>0</v>
      </c>
      <c r="U1522" s="3">
        <v>11.187000000000001</v>
      </c>
      <c r="V1522" s="3" t="s">
        <v>8046</v>
      </c>
      <c r="W1522" s="3" t="s">
        <v>1</v>
      </c>
    </row>
    <row r="1523" spans="5:23" hidden="1" x14ac:dyDescent="0.25">
      <c r="E1523" t="s">
        <v>8388</v>
      </c>
      <c r="F1523" s="1" t="s">
        <v>8519</v>
      </c>
      <c r="G1523" t="s">
        <v>1</v>
      </c>
      <c r="H1523" t="s">
        <v>0</v>
      </c>
      <c r="I1523" t="s">
        <v>8165</v>
      </c>
      <c r="J1523" t="s">
        <v>8164</v>
      </c>
      <c r="K1523">
        <v>12755</v>
      </c>
      <c r="L1523">
        <v>12755</v>
      </c>
      <c r="M1523" t="s">
        <v>8551</v>
      </c>
      <c r="N1523" t="s">
        <v>8552</v>
      </c>
      <c r="O1523" s="3">
        <v>0</v>
      </c>
      <c r="P1523" s="3">
        <v>0</v>
      </c>
      <c r="Q1523" s="3">
        <v>12.3</v>
      </c>
      <c r="R1523" s="3">
        <v>1.5990000000000002</v>
      </c>
      <c r="S1523" s="3">
        <v>0</v>
      </c>
      <c r="T1523" s="3">
        <v>0</v>
      </c>
      <c r="U1523" s="3">
        <v>13.899000000000001</v>
      </c>
      <c r="V1523" s="3" t="s">
        <v>8046</v>
      </c>
      <c r="W1523" s="3" t="s">
        <v>1</v>
      </c>
    </row>
    <row r="1524" spans="5:23" hidden="1" x14ac:dyDescent="0.25">
      <c r="E1524" t="s">
        <v>8388</v>
      </c>
      <c r="F1524" s="1" t="s">
        <v>8519</v>
      </c>
      <c r="G1524" t="s">
        <v>1</v>
      </c>
      <c r="H1524" t="s">
        <v>0</v>
      </c>
      <c r="I1524" t="s">
        <v>8165</v>
      </c>
      <c r="J1524" t="s">
        <v>8164</v>
      </c>
      <c r="K1524">
        <v>12756</v>
      </c>
      <c r="L1524">
        <v>12756</v>
      </c>
      <c r="M1524" t="s">
        <v>238</v>
      </c>
      <c r="N1524" t="s">
        <v>239</v>
      </c>
      <c r="O1524" s="3">
        <v>0</v>
      </c>
      <c r="P1524" s="3">
        <v>0</v>
      </c>
      <c r="Q1524" s="3">
        <v>187.73</v>
      </c>
      <c r="R1524" s="3">
        <v>24.404899999999998</v>
      </c>
      <c r="S1524" s="3">
        <v>0</v>
      </c>
      <c r="T1524" s="3">
        <v>0</v>
      </c>
      <c r="U1524" s="3">
        <v>212.13489999999999</v>
      </c>
      <c r="V1524" s="3" t="s">
        <v>8046</v>
      </c>
      <c r="W1524" s="3" t="s">
        <v>1</v>
      </c>
    </row>
    <row r="1525" spans="5:23" hidden="1" x14ac:dyDescent="0.25">
      <c r="E1525" t="s">
        <v>8388</v>
      </c>
      <c r="F1525" s="1" t="s">
        <v>8519</v>
      </c>
      <c r="G1525" t="s">
        <v>1</v>
      </c>
      <c r="H1525" t="s">
        <v>0</v>
      </c>
      <c r="I1525" t="s">
        <v>8165</v>
      </c>
      <c r="J1525" t="s">
        <v>8164</v>
      </c>
      <c r="K1525">
        <v>12757</v>
      </c>
      <c r="L1525">
        <v>12757</v>
      </c>
      <c r="M1525" t="s">
        <v>115</v>
      </c>
      <c r="N1525" t="s">
        <v>116</v>
      </c>
      <c r="O1525" s="3">
        <v>0</v>
      </c>
      <c r="P1525" s="3">
        <v>0</v>
      </c>
      <c r="Q1525" s="3">
        <v>1448.48</v>
      </c>
      <c r="R1525" s="3">
        <v>188.30240000000001</v>
      </c>
      <c r="S1525" s="3">
        <v>0</v>
      </c>
      <c r="T1525" s="3">
        <v>0</v>
      </c>
      <c r="U1525" s="3">
        <v>1636.7824000000001</v>
      </c>
      <c r="V1525" s="3" t="s">
        <v>8046</v>
      </c>
      <c r="W1525" s="3" t="s">
        <v>1</v>
      </c>
    </row>
    <row r="1526" spans="5:23" hidden="1" x14ac:dyDescent="0.25">
      <c r="E1526" t="s">
        <v>8388</v>
      </c>
      <c r="F1526" s="1" t="s">
        <v>8519</v>
      </c>
      <c r="G1526" t="s">
        <v>1</v>
      </c>
      <c r="H1526" t="s">
        <v>0</v>
      </c>
      <c r="I1526" t="s">
        <v>8165</v>
      </c>
      <c r="J1526" t="s">
        <v>8164</v>
      </c>
      <c r="K1526">
        <v>12758</v>
      </c>
      <c r="L1526">
        <v>12758</v>
      </c>
      <c r="M1526" t="s">
        <v>8170</v>
      </c>
      <c r="N1526" t="s">
        <v>8171</v>
      </c>
      <c r="O1526" s="3">
        <v>0</v>
      </c>
      <c r="P1526" s="3">
        <v>0</v>
      </c>
      <c r="Q1526" s="3">
        <v>238.33</v>
      </c>
      <c r="R1526" s="3">
        <v>30.982900000000004</v>
      </c>
      <c r="S1526" s="3">
        <v>0</v>
      </c>
      <c r="T1526" s="3">
        <v>0</v>
      </c>
      <c r="U1526" s="3">
        <v>269.31290000000001</v>
      </c>
      <c r="V1526" s="3" t="s">
        <v>8046</v>
      </c>
      <c r="W1526" s="3" t="s">
        <v>1</v>
      </c>
    </row>
    <row r="1527" spans="5:23" hidden="1" x14ac:dyDescent="0.25">
      <c r="E1527" t="s">
        <v>8388</v>
      </c>
      <c r="F1527" s="1" t="s">
        <v>8519</v>
      </c>
      <c r="G1527" t="s">
        <v>1</v>
      </c>
      <c r="H1527" t="s">
        <v>0</v>
      </c>
      <c r="I1527" t="s">
        <v>8165</v>
      </c>
      <c r="J1527" t="s">
        <v>8164</v>
      </c>
      <c r="K1527">
        <v>12759</v>
      </c>
      <c r="L1527">
        <v>12759</v>
      </c>
      <c r="M1527" t="s">
        <v>8239</v>
      </c>
      <c r="N1527" t="s">
        <v>8240</v>
      </c>
      <c r="O1527" s="3">
        <v>0</v>
      </c>
      <c r="P1527" s="3">
        <v>0</v>
      </c>
      <c r="Q1527" s="3">
        <v>115.7</v>
      </c>
      <c r="R1527" s="3">
        <v>15.041</v>
      </c>
      <c r="S1527" s="3">
        <v>0</v>
      </c>
      <c r="T1527" s="3">
        <v>0</v>
      </c>
      <c r="U1527" s="3">
        <v>130.74100000000001</v>
      </c>
      <c r="V1527" s="3" t="s">
        <v>8046</v>
      </c>
      <c r="W1527" s="3" t="s">
        <v>1</v>
      </c>
    </row>
    <row r="1528" spans="5:23" hidden="1" x14ac:dyDescent="0.25">
      <c r="E1528" t="s">
        <v>8388</v>
      </c>
      <c r="F1528" s="1" t="s">
        <v>8519</v>
      </c>
      <c r="G1528" t="s">
        <v>1</v>
      </c>
      <c r="H1528" t="s">
        <v>0</v>
      </c>
      <c r="I1528" t="s">
        <v>8165</v>
      </c>
      <c r="J1528" t="s">
        <v>8164</v>
      </c>
      <c r="K1528">
        <v>12760</v>
      </c>
      <c r="L1528">
        <v>12760</v>
      </c>
      <c r="M1528" t="s">
        <v>7983</v>
      </c>
      <c r="N1528" t="s">
        <v>7984</v>
      </c>
      <c r="O1528" s="3">
        <v>0</v>
      </c>
      <c r="P1528" s="3">
        <v>0</v>
      </c>
      <c r="Q1528" s="3">
        <v>532</v>
      </c>
      <c r="R1528" s="3">
        <v>69.16</v>
      </c>
      <c r="S1528" s="3">
        <v>0</v>
      </c>
      <c r="T1528" s="3">
        <v>0</v>
      </c>
      <c r="U1528" s="3">
        <v>601.16</v>
      </c>
      <c r="V1528" s="3" t="s">
        <v>8046</v>
      </c>
      <c r="W1528" s="3" t="s">
        <v>1</v>
      </c>
    </row>
    <row r="1529" spans="5:23" hidden="1" x14ac:dyDescent="0.25">
      <c r="E1529" t="s">
        <v>8388</v>
      </c>
      <c r="F1529" s="1" t="s">
        <v>8519</v>
      </c>
      <c r="G1529" t="s">
        <v>1</v>
      </c>
      <c r="H1529" t="s">
        <v>0</v>
      </c>
      <c r="I1529" t="s">
        <v>8165</v>
      </c>
      <c r="J1529" t="s">
        <v>8164</v>
      </c>
      <c r="K1529">
        <v>12761</v>
      </c>
      <c r="L1529">
        <v>12761</v>
      </c>
      <c r="M1529" t="s">
        <v>7869</v>
      </c>
      <c r="N1529" t="s">
        <v>7870</v>
      </c>
      <c r="O1529" s="3">
        <v>0</v>
      </c>
      <c r="P1529" s="3">
        <v>0</v>
      </c>
      <c r="Q1529" s="3">
        <v>105.3</v>
      </c>
      <c r="R1529" s="3">
        <v>13.689</v>
      </c>
      <c r="S1529" s="3">
        <v>0</v>
      </c>
      <c r="T1529" s="3">
        <v>0</v>
      </c>
      <c r="U1529" s="3">
        <v>118.989</v>
      </c>
      <c r="V1529" s="3" t="s">
        <v>8046</v>
      </c>
      <c r="W1529" s="3" t="s">
        <v>1</v>
      </c>
    </row>
    <row r="1530" spans="5:23" hidden="1" x14ac:dyDescent="0.25">
      <c r="E1530" t="s">
        <v>8388</v>
      </c>
      <c r="F1530" s="1" t="s">
        <v>8519</v>
      </c>
      <c r="G1530" t="s">
        <v>1</v>
      </c>
      <c r="H1530" t="s">
        <v>0</v>
      </c>
      <c r="I1530" t="s">
        <v>8165</v>
      </c>
      <c r="J1530" t="s">
        <v>8164</v>
      </c>
      <c r="K1530">
        <v>12762</v>
      </c>
      <c r="L1530">
        <v>12762</v>
      </c>
      <c r="M1530" t="s">
        <v>7869</v>
      </c>
      <c r="N1530" t="s">
        <v>7870</v>
      </c>
      <c r="O1530" s="3">
        <v>0</v>
      </c>
      <c r="P1530" s="3">
        <v>0</v>
      </c>
      <c r="Q1530" s="3">
        <v>120</v>
      </c>
      <c r="R1530" s="3">
        <v>15.600000000000001</v>
      </c>
      <c r="S1530" s="3">
        <v>0</v>
      </c>
      <c r="T1530" s="3">
        <v>0</v>
      </c>
      <c r="U1530" s="3">
        <v>135.6</v>
      </c>
      <c r="V1530" s="3" t="s">
        <v>8046</v>
      </c>
      <c r="W1530" s="3" t="s">
        <v>1</v>
      </c>
    </row>
    <row r="1531" spans="5:23" hidden="1" x14ac:dyDescent="0.25">
      <c r="E1531" t="s">
        <v>8388</v>
      </c>
      <c r="F1531" s="1" t="s">
        <v>8519</v>
      </c>
      <c r="G1531" t="s">
        <v>1</v>
      </c>
      <c r="H1531" t="s">
        <v>0</v>
      </c>
      <c r="I1531" t="s">
        <v>8165</v>
      </c>
      <c r="J1531" t="s">
        <v>8164</v>
      </c>
      <c r="K1531">
        <v>12763</v>
      </c>
      <c r="L1531">
        <v>12763</v>
      </c>
      <c r="M1531" t="s">
        <v>8232</v>
      </c>
      <c r="N1531" t="s">
        <v>8233</v>
      </c>
      <c r="O1531" s="3">
        <v>0</v>
      </c>
      <c r="P1531" s="3">
        <v>0</v>
      </c>
      <c r="Q1531" s="3">
        <v>60</v>
      </c>
      <c r="R1531" s="3">
        <v>7.8000000000000007</v>
      </c>
      <c r="S1531" s="3">
        <v>0</v>
      </c>
      <c r="T1531" s="3">
        <v>0</v>
      </c>
      <c r="U1531" s="3">
        <v>67.8</v>
      </c>
      <c r="V1531" s="3" t="s">
        <v>8046</v>
      </c>
      <c r="W1531" s="3" t="s">
        <v>1</v>
      </c>
    </row>
    <row r="1532" spans="5:23" hidden="1" x14ac:dyDescent="0.25">
      <c r="E1532" t="s">
        <v>8388</v>
      </c>
      <c r="F1532" s="1" t="s">
        <v>8519</v>
      </c>
      <c r="G1532" t="s">
        <v>1</v>
      </c>
      <c r="H1532" t="s">
        <v>0</v>
      </c>
      <c r="I1532" t="s">
        <v>8165</v>
      </c>
      <c r="J1532" t="s">
        <v>8164</v>
      </c>
      <c r="K1532">
        <v>12764</v>
      </c>
      <c r="L1532">
        <v>12764</v>
      </c>
      <c r="M1532" t="s">
        <v>8306</v>
      </c>
      <c r="N1532" t="s">
        <v>8307</v>
      </c>
      <c r="O1532" s="3">
        <v>0</v>
      </c>
      <c r="P1532" s="3">
        <v>0</v>
      </c>
      <c r="Q1532" s="3">
        <v>8.57</v>
      </c>
      <c r="R1532" s="3">
        <v>1.1141000000000001</v>
      </c>
      <c r="S1532" s="3">
        <v>0</v>
      </c>
      <c r="T1532" s="3">
        <v>0</v>
      </c>
      <c r="U1532" s="3">
        <v>9.6841000000000008</v>
      </c>
      <c r="V1532" s="3" t="s">
        <v>8046</v>
      </c>
      <c r="W1532" s="3" t="s">
        <v>1</v>
      </c>
    </row>
    <row r="1533" spans="5:23" hidden="1" x14ac:dyDescent="0.25">
      <c r="E1533" t="s">
        <v>8388</v>
      </c>
      <c r="F1533" s="1" t="s">
        <v>8519</v>
      </c>
      <c r="G1533" t="s">
        <v>1</v>
      </c>
      <c r="H1533" t="s">
        <v>0</v>
      </c>
      <c r="I1533" t="s">
        <v>8165</v>
      </c>
      <c r="J1533" t="s">
        <v>8164</v>
      </c>
      <c r="K1533">
        <v>12765</v>
      </c>
      <c r="L1533">
        <v>12765</v>
      </c>
      <c r="M1533" t="s">
        <v>8188</v>
      </c>
      <c r="N1533" t="s">
        <v>8189</v>
      </c>
      <c r="O1533" s="3">
        <v>0</v>
      </c>
      <c r="P1533" s="3">
        <v>0</v>
      </c>
      <c r="Q1533" s="3">
        <v>216</v>
      </c>
      <c r="R1533" s="3">
        <v>28.080000000000002</v>
      </c>
      <c r="S1533" s="3">
        <v>0</v>
      </c>
      <c r="T1533" s="3">
        <v>0</v>
      </c>
      <c r="U1533" s="3">
        <v>244.08</v>
      </c>
      <c r="V1533" s="3" t="s">
        <v>8046</v>
      </c>
      <c r="W1533" s="3" t="s">
        <v>1</v>
      </c>
    </row>
    <row r="1534" spans="5:23" hidden="1" x14ac:dyDescent="0.25">
      <c r="E1534" t="s">
        <v>8388</v>
      </c>
      <c r="F1534" s="1" t="s">
        <v>8519</v>
      </c>
      <c r="G1534" t="s">
        <v>1</v>
      </c>
      <c r="H1534" t="s">
        <v>0</v>
      </c>
      <c r="I1534" t="s">
        <v>8165</v>
      </c>
      <c r="J1534" t="s">
        <v>8164</v>
      </c>
      <c r="K1534">
        <v>12766</v>
      </c>
      <c r="L1534">
        <v>12766</v>
      </c>
      <c r="M1534" t="s">
        <v>8209</v>
      </c>
      <c r="N1534" t="s">
        <v>8210</v>
      </c>
      <c r="O1534" s="3">
        <v>0</v>
      </c>
      <c r="P1534" s="3">
        <v>0</v>
      </c>
      <c r="Q1534" s="3">
        <v>21.03</v>
      </c>
      <c r="R1534" s="3">
        <v>2.7339000000000002</v>
      </c>
      <c r="S1534" s="3">
        <v>0</v>
      </c>
      <c r="T1534" s="3">
        <v>0</v>
      </c>
      <c r="U1534" s="3">
        <v>23.7639</v>
      </c>
      <c r="V1534" s="3" t="s">
        <v>8046</v>
      </c>
      <c r="W1534" s="3" t="s">
        <v>1</v>
      </c>
    </row>
    <row r="1535" spans="5:23" hidden="1" x14ac:dyDescent="0.25">
      <c r="E1535" t="s">
        <v>8388</v>
      </c>
      <c r="F1535" s="1" t="s">
        <v>8519</v>
      </c>
      <c r="G1535" t="s">
        <v>1</v>
      </c>
      <c r="H1535" t="s">
        <v>0</v>
      </c>
      <c r="I1535" t="s">
        <v>8165</v>
      </c>
      <c r="J1535" t="s">
        <v>8164</v>
      </c>
      <c r="K1535">
        <v>12767</v>
      </c>
      <c r="L1535">
        <v>12767</v>
      </c>
      <c r="M1535" t="s">
        <v>8209</v>
      </c>
      <c r="N1535" t="s">
        <v>8210</v>
      </c>
      <c r="O1535" s="3">
        <v>0</v>
      </c>
      <c r="P1535" s="3">
        <v>0</v>
      </c>
      <c r="Q1535" s="3">
        <v>3135.6</v>
      </c>
      <c r="R1535" s="3">
        <v>407.62799999999999</v>
      </c>
      <c r="S1535" s="3">
        <v>0</v>
      </c>
      <c r="T1535" s="3">
        <v>0</v>
      </c>
      <c r="U1535" s="3">
        <v>3543.2280000000001</v>
      </c>
      <c r="V1535" s="3" t="s">
        <v>8046</v>
      </c>
      <c r="W1535" s="3" t="s">
        <v>1</v>
      </c>
    </row>
    <row r="1536" spans="5:23" hidden="1" x14ac:dyDescent="0.25">
      <c r="E1536" t="s">
        <v>8388</v>
      </c>
      <c r="F1536" s="1" t="s">
        <v>8519</v>
      </c>
      <c r="G1536" t="s">
        <v>1</v>
      </c>
      <c r="H1536" t="s">
        <v>0</v>
      </c>
      <c r="I1536" t="s">
        <v>8165</v>
      </c>
      <c r="J1536" t="s">
        <v>8164</v>
      </c>
      <c r="K1536">
        <v>12768</v>
      </c>
      <c r="L1536">
        <v>12768</v>
      </c>
      <c r="M1536" t="s">
        <v>8310</v>
      </c>
      <c r="N1536" t="s">
        <v>8311</v>
      </c>
      <c r="O1536" s="3">
        <v>0</v>
      </c>
      <c r="P1536" s="3">
        <v>0</v>
      </c>
      <c r="Q1536" s="3">
        <v>77.430000000000007</v>
      </c>
      <c r="R1536" s="3">
        <v>10.065900000000001</v>
      </c>
      <c r="S1536" s="3">
        <v>0</v>
      </c>
      <c r="T1536" s="3">
        <v>0</v>
      </c>
      <c r="U1536" s="3">
        <v>87.495900000000006</v>
      </c>
      <c r="V1536" s="3" t="s">
        <v>8046</v>
      </c>
      <c r="W1536" s="3" t="s">
        <v>1</v>
      </c>
    </row>
    <row r="1537" spans="5:23" hidden="1" x14ac:dyDescent="0.25">
      <c r="E1537" t="s">
        <v>8388</v>
      </c>
      <c r="F1537" s="1" t="s">
        <v>8528</v>
      </c>
      <c r="G1537" t="s">
        <v>1</v>
      </c>
      <c r="H1537" t="s">
        <v>0</v>
      </c>
      <c r="I1537" t="s">
        <v>8165</v>
      </c>
      <c r="J1537" t="s">
        <v>8164</v>
      </c>
      <c r="K1537">
        <v>12769</v>
      </c>
      <c r="L1537">
        <v>12769</v>
      </c>
      <c r="M1537" t="s">
        <v>8549</v>
      </c>
      <c r="N1537" t="s">
        <v>8550</v>
      </c>
      <c r="O1537" s="3">
        <v>0</v>
      </c>
      <c r="P1537" s="3">
        <v>0</v>
      </c>
      <c r="Q1537" s="3">
        <v>110.88</v>
      </c>
      <c r="R1537" s="3">
        <v>14.414400000000001</v>
      </c>
      <c r="S1537" s="3">
        <v>0</v>
      </c>
      <c r="T1537" s="3">
        <v>0</v>
      </c>
      <c r="U1537" s="3">
        <v>125.2944</v>
      </c>
      <c r="V1537" s="3" t="s">
        <v>8046</v>
      </c>
      <c r="W1537" s="3" t="s">
        <v>1</v>
      </c>
    </row>
    <row r="1538" spans="5:23" hidden="1" x14ac:dyDescent="0.25">
      <c r="E1538" t="s">
        <v>8388</v>
      </c>
      <c r="F1538" s="1" t="s">
        <v>8528</v>
      </c>
      <c r="G1538" t="s">
        <v>1</v>
      </c>
      <c r="H1538" t="s">
        <v>0</v>
      </c>
      <c r="I1538" t="s">
        <v>8165</v>
      </c>
      <c r="J1538" t="s">
        <v>8164</v>
      </c>
      <c r="K1538">
        <v>12770</v>
      </c>
      <c r="L1538">
        <v>12770</v>
      </c>
      <c r="M1538" t="s">
        <v>125</v>
      </c>
      <c r="N1538" t="s">
        <v>126</v>
      </c>
      <c r="O1538" s="3">
        <v>0</v>
      </c>
      <c r="P1538" s="3">
        <v>0</v>
      </c>
      <c r="Q1538" s="3">
        <v>28.12</v>
      </c>
      <c r="R1538" s="3">
        <v>3.6556000000000002</v>
      </c>
      <c r="S1538" s="3">
        <v>0</v>
      </c>
      <c r="T1538" s="3">
        <v>0</v>
      </c>
      <c r="U1538" s="3">
        <v>31.775600000000001</v>
      </c>
      <c r="V1538" s="3" t="s">
        <v>8046</v>
      </c>
      <c r="W1538" s="3" t="s">
        <v>1</v>
      </c>
    </row>
    <row r="1539" spans="5:23" hidden="1" x14ac:dyDescent="0.25">
      <c r="E1539" t="s">
        <v>8388</v>
      </c>
      <c r="F1539" s="1" t="s">
        <v>8528</v>
      </c>
      <c r="G1539" t="s">
        <v>1</v>
      </c>
      <c r="H1539" t="s">
        <v>0</v>
      </c>
      <c r="I1539" t="s">
        <v>8165</v>
      </c>
      <c r="J1539" t="s">
        <v>8164</v>
      </c>
      <c r="K1539">
        <v>12771</v>
      </c>
      <c r="L1539">
        <v>12771</v>
      </c>
      <c r="M1539" t="s">
        <v>125</v>
      </c>
      <c r="N1539" t="s">
        <v>126</v>
      </c>
      <c r="O1539" s="3">
        <v>0</v>
      </c>
      <c r="P1539" s="3">
        <v>0</v>
      </c>
      <c r="Q1539" s="3">
        <v>75.900000000000006</v>
      </c>
      <c r="R1539" s="3">
        <v>9.8670000000000009</v>
      </c>
      <c r="S1539" s="3">
        <v>0</v>
      </c>
      <c r="T1539" s="3">
        <v>0</v>
      </c>
      <c r="U1539" s="3">
        <v>85.76700000000001</v>
      </c>
      <c r="V1539" s="3" t="s">
        <v>8046</v>
      </c>
      <c r="W1539" s="3" t="s">
        <v>1</v>
      </c>
    </row>
    <row r="1540" spans="5:23" hidden="1" x14ac:dyDescent="0.25">
      <c r="E1540" t="s">
        <v>8388</v>
      </c>
      <c r="F1540" s="1" t="s">
        <v>8528</v>
      </c>
      <c r="G1540" t="s">
        <v>1</v>
      </c>
      <c r="H1540" t="s">
        <v>0</v>
      </c>
      <c r="I1540" t="s">
        <v>8165</v>
      </c>
      <c r="J1540" t="s">
        <v>8164</v>
      </c>
      <c r="K1540">
        <v>12772</v>
      </c>
      <c r="L1540">
        <v>12772</v>
      </c>
      <c r="M1540" t="s">
        <v>125</v>
      </c>
      <c r="N1540" t="s">
        <v>126</v>
      </c>
      <c r="O1540" s="3">
        <v>0</v>
      </c>
      <c r="P1540" s="3">
        <v>0</v>
      </c>
      <c r="Q1540" s="3">
        <v>11.8</v>
      </c>
      <c r="R1540" s="3">
        <v>1.5340000000000003</v>
      </c>
      <c r="S1540" s="3">
        <v>0</v>
      </c>
      <c r="T1540" s="3">
        <v>0</v>
      </c>
      <c r="U1540" s="3">
        <v>13.334000000000001</v>
      </c>
      <c r="V1540" s="3" t="s">
        <v>8046</v>
      </c>
      <c r="W1540" s="3" t="s">
        <v>1</v>
      </c>
    </row>
    <row r="1541" spans="5:23" hidden="1" x14ac:dyDescent="0.25">
      <c r="E1541" t="s">
        <v>8388</v>
      </c>
      <c r="F1541" s="1" t="s">
        <v>8528</v>
      </c>
      <c r="G1541" t="s">
        <v>1</v>
      </c>
      <c r="H1541" t="s">
        <v>0</v>
      </c>
      <c r="I1541" t="s">
        <v>8165</v>
      </c>
      <c r="J1541" t="s">
        <v>8164</v>
      </c>
      <c r="K1541">
        <v>12773</v>
      </c>
      <c r="L1541">
        <v>12773</v>
      </c>
      <c r="M1541" t="s">
        <v>8114</v>
      </c>
      <c r="N1541" t="s">
        <v>8115</v>
      </c>
      <c r="O1541" s="3">
        <v>0</v>
      </c>
      <c r="P1541" s="3">
        <v>0</v>
      </c>
      <c r="Q1541" s="3">
        <v>1172.53</v>
      </c>
      <c r="R1541" s="3">
        <v>152.4289</v>
      </c>
      <c r="S1541" s="3">
        <v>0</v>
      </c>
      <c r="T1541" s="3">
        <v>0</v>
      </c>
      <c r="U1541" s="3">
        <v>1324.9589000000001</v>
      </c>
      <c r="V1541" s="3" t="s">
        <v>8046</v>
      </c>
      <c r="W1541" s="3" t="s">
        <v>1</v>
      </c>
    </row>
    <row r="1542" spans="5:23" hidden="1" x14ac:dyDescent="0.25">
      <c r="E1542" t="s">
        <v>8388</v>
      </c>
      <c r="F1542" s="1" t="s">
        <v>8528</v>
      </c>
      <c r="G1542" t="s">
        <v>1</v>
      </c>
      <c r="H1542" t="s">
        <v>0</v>
      </c>
      <c r="I1542" t="s">
        <v>8165</v>
      </c>
      <c r="J1542" t="s">
        <v>8164</v>
      </c>
      <c r="K1542">
        <v>12774</v>
      </c>
      <c r="L1542">
        <v>12774</v>
      </c>
      <c r="M1542" t="s">
        <v>807</v>
      </c>
      <c r="N1542" t="s">
        <v>808</v>
      </c>
      <c r="O1542" s="3">
        <v>0</v>
      </c>
      <c r="P1542" s="3">
        <v>0</v>
      </c>
      <c r="Q1542" s="3">
        <v>502</v>
      </c>
      <c r="R1542" s="3">
        <v>65.260000000000005</v>
      </c>
      <c r="S1542" s="3">
        <v>0</v>
      </c>
      <c r="T1542" s="3">
        <v>0</v>
      </c>
      <c r="U1542" s="3">
        <v>567.26</v>
      </c>
      <c r="V1542" s="3" t="s">
        <v>8046</v>
      </c>
      <c r="W1542" s="3" t="s">
        <v>1</v>
      </c>
    </row>
    <row r="1543" spans="5:23" hidden="1" x14ac:dyDescent="0.25">
      <c r="E1543" t="s">
        <v>8388</v>
      </c>
      <c r="F1543" s="1" t="s">
        <v>8528</v>
      </c>
      <c r="G1543" t="s">
        <v>1</v>
      </c>
      <c r="H1543" t="s">
        <v>0</v>
      </c>
      <c r="I1543" t="s">
        <v>8165</v>
      </c>
      <c r="J1543" t="s">
        <v>8164</v>
      </c>
      <c r="K1543">
        <v>12775</v>
      </c>
      <c r="L1543">
        <v>12775</v>
      </c>
      <c r="M1543" t="s">
        <v>115</v>
      </c>
      <c r="N1543" t="s">
        <v>116</v>
      </c>
      <c r="O1543" s="3">
        <v>0</v>
      </c>
      <c r="P1543" s="3">
        <v>0</v>
      </c>
      <c r="Q1543" s="3">
        <v>1820.59</v>
      </c>
      <c r="R1543" s="3">
        <v>236.67670000000001</v>
      </c>
      <c r="S1543" s="3">
        <v>0</v>
      </c>
      <c r="T1543" s="3">
        <v>0</v>
      </c>
      <c r="U1543" s="3">
        <v>2057.2667000000001</v>
      </c>
      <c r="V1543" s="3" t="s">
        <v>8046</v>
      </c>
      <c r="W1543" s="3" t="s">
        <v>1</v>
      </c>
    </row>
    <row r="1544" spans="5:23" hidden="1" x14ac:dyDescent="0.25">
      <c r="E1544" t="s">
        <v>8388</v>
      </c>
      <c r="F1544" s="1" t="s">
        <v>8528</v>
      </c>
      <c r="G1544" t="s">
        <v>1</v>
      </c>
      <c r="H1544" t="s">
        <v>0</v>
      </c>
      <c r="I1544" t="s">
        <v>8165</v>
      </c>
      <c r="J1544" t="s">
        <v>8164</v>
      </c>
      <c r="K1544">
        <v>12776</v>
      </c>
      <c r="L1544">
        <v>12776</v>
      </c>
      <c r="M1544" t="s">
        <v>8243</v>
      </c>
      <c r="N1544" t="s">
        <v>8244</v>
      </c>
      <c r="O1544" s="3">
        <v>0</v>
      </c>
      <c r="P1544" s="3">
        <v>0</v>
      </c>
      <c r="Q1544" s="3">
        <v>27.88</v>
      </c>
      <c r="R1544" s="3">
        <v>3.6244000000000001</v>
      </c>
      <c r="S1544" s="3">
        <v>0</v>
      </c>
      <c r="T1544" s="3">
        <v>0</v>
      </c>
      <c r="U1544" s="3">
        <v>31.5044</v>
      </c>
      <c r="V1544" s="3" t="s">
        <v>8046</v>
      </c>
      <c r="W1544" s="3" t="s">
        <v>1</v>
      </c>
    </row>
    <row r="1545" spans="5:23" hidden="1" x14ac:dyDescent="0.25">
      <c r="E1545" t="s">
        <v>8388</v>
      </c>
      <c r="F1545" s="1" t="s">
        <v>8528</v>
      </c>
      <c r="G1545" t="s">
        <v>1</v>
      </c>
      <c r="H1545" t="s">
        <v>0</v>
      </c>
      <c r="I1545" t="s">
        <v>8165</v>
      </c>
      <c r="J1545" t="s">
        <v>8164</v>
      </c>
      <c r="K1545">
        <v>12777</v>
      </c>
      <c r="L1545">
        <v>12777</v>
      </c>
      <c r="M1545" t="s">
        <v>8196</v>
      </c>
      <c r="N1545" t="s">
        <v>8197</v>
      </c>
      <c r="O1545" s="3">
        <v>0</v>
      </c>
      <c r="P1545" s="3">
        <v>0</v>
      </c>
      <c r="Q1545" s="3">
        <v>504.43</v>
      </c>
      <c r="R1545" s="3">
        <v>65.575900000000004</v>
      </c>
      <c r="S1545" s="3">
        <v>0</v>
      </c>
      <c r="T1545" s="3">
        <v>0</v>
      </c>
      <c r="U1545" s="3">
        <v>570.0059</v>
      </c>
      <c r="V1545" s="3" t="s">
        <v>8046</v>
      </c>
      <c r="W1545" s="3" t="s">
        <v>1</v>
      </c>
    </row>
    <row r="1546" spans="5:23" hidden="1" x14ac:dyDescent="0.25">
      <c r="E1546" t="s">
        <v>8388</v>
      </c>
      <c r="F1546" s="1" t="s">
        <v>8528</v>
      </c>
      <c r="G1546" t="s">
        <v>1</v>
      </c>
      <c r="H1546" t="s">
        <v>0</v>
      </c>
      <c r="I1546" t="s">
        <v>8165</v>
      </c>
      <c r="J1546" t="s">
        <v>8164</v>
      </c>
      <c r="K1546">
        <v>12778</v>
      </c>
      <c r="L1546">
        <v>12778</v>
      </c>
      <c r="M1546" t="s">
        <v>8196</v>
      </c>
      <c r="N1546" t="s">
        <v>8197</v>
      </c>
      <c r="O1546" s="3">
        <v>0</v>
      </c>
      <c r="P1546" s="3">
        <v>0</v>
      </c>
      <c r="Q1546" s="3">
        <v>109.1</v>
      </c>
      <c r="R1546" s="3">
        <v>14.183</v>
      </c>
      <c r="S1546" s="3">
        <v>0</v>
      </c>
      <c r="T1546" s="3">
        <v>0</v>
      </c>
      <c r="U1546" s="3">
        <v>123.28299999999999</v>
      </c>
      <c r="V1546" s="3" t="s">
        <v>8046</v>
      </c>
      <c r="W1546" s="3" t="s">
        <v>1</v>
      </c>
    </row>
    <row r="1547" spans="5:23" hidden="1" x14ac:dyDescent="0.25">
      <c r="E1547" t="s">
        <v>8388</v>
      </c>
      <c r="F1547" s="1" t="s">
        <v>8528</v>
      </c>
      <c r="G1547" t="s">
        <v>1</v>
      </c>
      <c r="H1547" t="s">
        <v>0</v>
      </c>
      <c r="I1547" t="s">
        <v>8165</v>
      </c>
      <c r="J1547" t="s">
        <v>8164</v>
      </c>
      <c r="K1547">
        <v>12779</v>
      </c>
      <c r="L1547">
        <v>12779</v>
      </c>
      <c r="M1547" t="s">
        <v>7852</v>
      </c>
      <c r="N1547" t="s">
        <v>7851</v>
      </c>
      <c r="O1547" s="3">
        <v>0</v>
      </c>
      <c r="P1547" s="3">
        <v>0</v>
      </c>
      <c r="Q1547" s="3">
        <v>0</v>
      </c>
      <c r="R1547" s="3">
        <v>0</v>
      </c>
      <c r="S1547" s="3">
        <v>0</v>
      </c>
      <c r="T1547" s="3">
        <v>0</v>
      </c>
      <c r="U1547" s="3">
        <v>0</v>
      </c>
      <c r="V1547" s="3" t="s">
        <v>8046</v>
      </c>
      <c r="W1547" s="3" t="s">
        <v>1</v>
      </c>
    </row>
    <row r="1548" spans="5:23" hidden="1" x14ac:dyDescent="0.25">
      <c r="E1548" t="s">
        <v>8388</v>
      </c>
      <c r="F1548" s="1" t="s">
        <v>8543</v>
      </c>
      <c r="G1548" t="s">
        <v>1</v>
      </c>
      <c r="H1548" t="s">
        <v>0</v>
      </c>
      <c r="I1548" t="s">
        <v>8165</v>
      </c>
      <c r="J1548" t="s">
        <v>8164</v>
      </c>
      <c r="K1548">
        <v>12780</v>
      </c>
      <c r="L1548">
        <v>12780</v>
      </c>
      <c r="M1548" t="s">
        <v>8547</v>
      </c>
      <c r="N1548" t="s">
        <v>8548</v>
      </c>
      <c r="O1548" s="3">
        <v>0</v>
      </c>
      <c r="P1548" s="3">
        <v>0</v>
      </c>
      <c r="Q1548" s="3">
        <v>36.9</v>
      </c>
      <c r="R1548" s="3">
        <v>4.7969999999999997</v>
      </c>
      <c r="S1548" s="3">
        <v>0</v>
      </c>
      <c r="T1548" s="3">
        <v>0</v>
      </c>
      <c r="U1548" s="3">
        <v>41.696999999999996</v>
      </c>
      <c r="V1548" s="3" t="s">
        <v>8046</v>
      </c>
      <c r="W1548" s="3" t="s">
        <v>1</v>
      </c>
    </row>
    <row r="1549" spans="5:23" hidden="1" x14ac:dyDescent="0.25">
      <c r="E1549" t="s">
        <v>8388</v>
      </c>
      <c r="F1549" s="1" t="s">
        <v>8543</v>
      </c>
      <c r="G1549" t="s">
        <v>1</v>
      </c>
      <c r="H1549" t="s">
        <v>0</v>
      </c>
      <c r="I1549" t="s">
        <v>8165</v>
      </c>
      <c r="J1549" t="s">
        <v>8164</v>
      </c>
      <c r="K1549">
        <v>12781</v>
      </c>
      <c r="L1549">
        <v>12781</v>
      </c>
      <c r="M1549" t="s">
        <v>8226</v>
      </c>
      <c r="N1549" t="s">
        <v>8227</v>
      </c>
      <c r="O1549" s="3">
        <v>0</v>
      </c>
      <c r="P1549" s="3">
        <v>0</v>
      </c>
      <c r="Q1549" s="3">
        <v>210</v>
      </c>
      <c r="R1549" s="3">
        <v>27.3</v>
      </c>
      <c r="S1549" s="3">
        <v>0</v>
      </c>
      <c r="T1549" s="3">
        <v>0</v>
      </c>
      <c r="U1549" s="3">
        <v>237.3</v>
      </c>
      <c r="V1549" s="3" t="s">
        <v>8046</v>
      </c>
      <c r="W1549" s="3" t="s">
        <v>1</v>
      </c>
    </row>
    <row r="1550" spans="5:23" hidden="1" x14ac:dyDescent="0.25">
      <c r="E1550" t="s">
        <v>8388</v>
      </c>
      <c r="F1550" s="1" t="s">
        <v>8543</v>
      </c>
      <c r="G1550" t="s">
        <v>1</v>
      </c>
      <c r="H1550" t="s">
        <v>0</v>
      </c>
      <c r="I1550" t="s">
        <v>8165</v>
      </c>
      <c r="J1550" t="s">
        <v>8164</v>
      </c>
      <c r="K1550">
        <v>12782</v>
      </c>
      <c r="L1550">
        <v>12782</v>
      </c>
      <c r="M1550" t="s">
        <v>8114</v>
      </c>
      <c r="N1550" t="s">
        <v>8115</v>
      </c>
      <c r="O1550" s="3">
        <v>0</v>
      </c>
      <c r="P1550" s="3">
        <v>0</v>
      </c>
      <c r="Q1550" s="3">
        <v>703.4</v>
      </c>
      <c r="R1550" s="3">
        <v>91.442000000000007</v>
      </c>
      <c r="S1550" s="3">
        <v>0</v>
      </c>
      <c r="T1550" s="3">
        <v>0</v>
      </c>
      <c r="U1550" s="3">
        <v>794.84199999999998</v>
      </c>
      <c r="V1550" s="3" t="s">
        <v>8046</v>
      </c>
      <c r="W1550" s="3" t="s">
        <v>1</v>
      </c>
    </row>
    <row r="1551" spans="5:23" hidden="1" x14ac:dyDescent="0.25">
      <c r="E1551" t="s">
        <v>8388</v>
      </c>
      <c r="F1551" s="1" t="s">
        <v>8543</v>
      </c>
      <c r="G1551" t="s">
        <v>1</v>
      </c>
      <c r="H1551" t="s">
        <v>0</v>
      </c>
      <c r="I1551" t="s">
        <v>8165</v>
      </c>
      <c r="J1551" t="s">
        <v>8164</v>
      </c>
      <c r="K1551">
        <v>12783</v>
      </c>
      <c r="L1551">
        <v>12783</v>
      </c>
      <c r="M1551" t="s">
        <v>436</v>
      </c>
      <c r="N1551" t="s">
        <v>437</v>
      </c>
      <c r="O1551" s="3">
        <v>0</v>
      </c>
      <c r="P1551" s="3">
        <v>0</v>
      </c>
      <c r="Q1551" s="3">
        <v>22.69</v>
      </c>
      <c r="R1551" s="3">
        <v>2.9497000000000004</v>
      </c>
      <c r="S1551" s="3">
        <v>0</v>
      </c>
      <c r="T1551" s="3">
        <v>0</v>
      </c>
      <c r="U1551" s="3">
        <v>25.639700000000001</v>
      </c>
      <c r="V1551" s="3" t="s">
        <v>8046</v>
      </c>
      <c r="W1551" s="3" t="s">
        <v>1</v>
      </c>
    </row>
    <row r="1552" spans="5:23" hidden="1" x14ac:dyDescent="0.25">
      <c r="E1552" t="s">
        <v>8388</v>
      </c>
      <c r="F1552" s="1" t="s">
        <v>8543</v>
      </c>
      <c r="G1552" t="s">
        <v>1</v>
      </c>
      <c r="H1552" t="s">
        <v>0</v>
      </c>
      <c r="I1552" t="s">
        <v>8165</v>
      </c>
      <c r="J1552" t="s">
        <v>8164</v>
      </c>
      <c r="K1552">
        <v>12784</v>
      </c>
      <c r="L1552">
        <v>12784</v>
      </c>
      <c r="M1552" t="s">
        <v>436</v>
      </c>
      <c r="N1552" t="s">
        <v>437</v>
      </c>
      <c r="O1552" s="3">
        <v>0</v>
      </c>
      <c r="P1552" s="3">
        <v>0</v>
      </c>
      <c r="Q1552" s="3">
        <v>57.12</v>
      </c>
      <c r="R1552" s="3">
        <v>7.4256000000000002</v>
      </c>
      <c r="S1552" s="3">
        <v>0</v>
      </c>
      <c r="T1552" s="3">
        <v>0</v>
      </c>
      <c r="U1552" s="3">
        <v>64.545599999999993</v>
      </c>
      <c r="V1552" s="3" t="s">
        <v>8046</v>
      </c>
      <c r="W1552" s="3" t="s">
        <v>1</v>
      </c>
    </row>
    <row r="1553" spans="5:23" hidden="1" x14ac:dyDescent="0.25">
      <c r="E1553" t="s">
        <v>8388</v>
      </c>
      <c r="F1553" s="1" t="s">
        <v>8543</v>
      </c>
      <c r="G1553" t="s">
        <v>1</v>
      </c>
      <c r="H1553" t="s">
        <v>0</v>
      </c>
      <c r="I1553" t="s">
        <v>8165</v>
      </c>
      <c r="J1553" t="s">
        <v>8164</v>
      </c>
      <c r="K1553">
        <v>12785</v>
      </c>
      <c r="L1553">
        <v>12785</v>
      </c>
      <c r="M1553" t="s">
        <v>436</v>
      </c>
      <c r="N1553" t="s">
        <v>437</v>
      </c>
      <c r="O1553" s="3">
        <v>0</v>
      </c>
      <c r="P1553" s="3">
        <v>0</v>
      </c>
      <c r="Q1553" s="3">
        <v>16</v>
      </c>
      <c r="R1553" s="3">
        <v>2.08</v>
      </c>
      <c r="S1553" s="3">
        <v>0</v>
      </c>
      <c r="T1553" s="3">
        <v>0</v>
      </c>
      <c r="U1553" s="3">
        <v>18.079999999999998</v>
      </c>
      <c r="V1553" s="3" t="s">
        <v>8046</v>
      </c>
      <c r="W1553" s="3" t="s">
        <v>1</v>
      </c>
    </row>
    <row r="1554" spans="5:23" hidden="1" x14ac:dyDescent="0.25">
      <c r="E1554" t="s">
        <v>8388</v>
      </c>
      <c r="F1554" s="1" t="s">
        <v>8543</v>
      </c>
      <c r="G1554" t="s">
        <v>1</v>
      </c>
      <c r="H1554" t="s">
        <v>0</v>
      </c>
      <c r="I1554" t="s">
        <v>8165</v>
      </c>
      <c r="J1554" t="s">
        <v>8164</v>
      </c>
      <c r="K1554">
        <v>12786</v>
      </c>
      <c r="L1554">
        <v>12786</v>
      </c>
      <c r="M1554" t="s">
        <v>8546</v>
      </c>
      <c r="N1554" t="s">
        <v>1351</v>
      </c>
      <c r="O1554" s="3">
        <v>0</v>
      </c>
      <c r="P1554" s="3">
        <v>0</v>
      </c>
      <c r="Q1554" s="3">
        <v>668</v>
      </c>
      <c r="R1554" s="3">
        <v>86.84</v>
      </c>
      <c r="S1554" s="3">
        <v>0</v>
      </c>
      <c r="T1554" s="3">
        <v>0</v>
      </c>
      <c r="U1554" s="3">
        <v>754.84</v>
      </c>
      <c r="V1554" s="3" t="s">
        <v>8046</v>
      </c>
      <c r="W1554" s="3" t="s">
        <v>1</v>
      </c>
    </row>
    <row r="1555" spans="5:23" hidden="1" x14ac:dyDescent="0.25">
      <c r="E1555" t="s">
        <v>8388</v>
      </c>
      <c r="F1555" s="1" t="s">
        <v>8543</v>
      </c>
      <c r="G1555" t="s">
        <v>1</v>
      </c>
      <c r="H1555" t="s">
        <v>0</v>
      </c>
      <c r="I1555" t="s">
        <v>8165</v>
      </c>
      <c r="J1555" t="s">
        <v>8164</v>
      </c>
      <c r="K1555">
        <v>12787</v>
      </c>
      <c r="L1555">
        <v>12787</v>
      </c>
      <c r="M1555" t="s">
        <v>8544</v>
      </c>
      <c r="N1555" t="s">
        <v>8545</v>
      </c>
      <c r="O1555" s="3">
        <v>0</v>
      </c>
      <c r="P1555" s="3">
        <v>0</v>
      </c>
      <c r="Q1555" s="3">
        <v>925.89</v>
      </c>
      <c r="R1555" s="3">
        <v>120.3657</v>
      </c>
      <c r="S1555" s="3">
        <v>0</v>
      </c>
      <c r="T1555" s="3">
        <v>0</v>
      </c>
      <c r="U1555" s="3">
        <v>1046.2556999999999</v>
      </c>
      <c r="V1555" s="3" t="s">
        <v>8046</v>
      </c>
      <c r="W1555" s="3" t="s">
        <v>1</v>
      </c>
    </row>
    <row r="1556" spans="5:23" hidden="1" x14ac:dyDescent="0.25">
      <c r="E1556" t="s">
        <v>8388</v>
      </c>
      <c r="F1556" s="1" t="s">
        <v>8543</v>
      </c>
      <c r="G1556" t="s">
        <v>1</v>
      </c>
      <c r="H1556" t="s">
        <v>0</v>
      </c>
      <c r="I1556" t="s">
        <v>8165</v>
      </c>
      <c r="J1556" t="s">
        <v>8164</v>
      </c>
      <c r="K1556">
        <v>12788</v>
      </c>
      <c r="L1556">
        <v>12788</v>
      </c>
      <c r="M1556" t="s">
        <v>8295</v>
      </c>
      <c r="N1556" t="s">
        <v>935</v>
      </c>
      <c r="O1556" s="3">
        <v>0</v>
      </c>
      <c r="P1556" s="3">
        <v>0</v>
      </c>
      <c r="Q1556" s="3">
        <v>20</v>
      </c>
      <c r="R1556" s="3">
        <v>2.6</v>
      </c>
      <c r="S1556" s="3">
        <v>0</v>
      </c>
      <c r="T1556" s="3">
        <v>0</v>
      </c>
      <c r="U1556" s="3">
        <v>22.6</v>
      </c>
      <c r="V1556" s="3" t="s">
        <v>8046</v>
      </c>
      <c r="W1556" s="3" t="s">
        <v>1</v>
      </c>
    </row>
    <row r="1557" spans="5:23" hidden="1" x14ac:dyDescent="0.25">
      <c r="E1557" t="s">
        <v>8388</v>
      </c>
      <c r="F1557" s="1" t="s">
        <v>8543</v>
      </c>
      <c r="G1557" t="s">
        <v>1</v>
      </c>
      <c r="H1557" t="s">
        <v>0</v>
      </c>
      <c r="I1557" t="s">
        <v>8165</v>
      </c>
      <c r="J1557" t="s">
        <v>8164</v>
      </c>
      <c r="K1557">
        <v>12789</v>
      </c>
      <c r="L1557">
        <v>12789</v>
      </c>
      <c r="M1557" t="s">
        <v>164</v>
      </c>
      <c r="N1557" t="s">
        <v>165</v>
      </c>
      <c r="O1557" s="3">
        <v>0</v>
      </c>
      <c r="P1557" s="3">
        <v>0</v>
      </c>
      <c r="Q1557" s="3">
        <v>156.08000000000001</v>
      </c>
      <c r="R1557" s="3">
        <v>20.290400000000002</v>
      </c>
      <c r="S1557" s="3">
        <v>0</v>
      </c>
      <c r="T1557" s="3">
        <v>0</v>
      </c>
      <c r="U1557" s="3">
        <v>176.37040000000002</v>
      </c>
      <c r="V1557" s="3" t="s">
        <v>8046</v>
      </c>
      <c r="W1557" s="3" t="s">
        <v>1</v>
      </c>
    </row>
    <row r="1558" spans="5:23" hidden="1" x14ac:dyDescent="0.25">
      <c r="E1558" t="s">
        <v>8388</v>
      </c>
      <c r="F1558" s="1" t="s">
        <v>8543</v>
      </c>
      <c r="G1558" t="s">
        <v>1</v>
      </c>
      <c r="H1558" t="s">
        <v>0</v>
      </c>
      <c r="I1558" t="s">
        <v>8165</v>
      </c>
      <c r="J1558" t="s">
        <v>8164</v>
      </c>
      <c r="K1558">
        <v>12790</v>
      </c>
      <c r="L1558">
        <v>12790</v>
      </c>
      <c r="M1558" t="s">
        <v>8279</v>
      </c>
      <c r="N1558" t="s">
        <v>8280</v>
      </c>
      <c r="O1558" s="3">
        <v>0</v>
      </c>
      <c r="P1558" s="3">
        <v>0</v>
      </c>
      <c r="Q1558" s="3">
        <v>148.38</v>
      </c>
      <c r="R1558" s="3">
        <v>19.289400000000001</v>
      </c>
      <c r="S1558" s="3">
        <v>0</v>
      </c>
      <c r="T1558" s="3">
        <v>0</v>
      </c>
      <c r="U1558" s="3">
        <v>167.6694</v>
      </c>
      <c r="V1558" s="3" t="s">
        <v>8046</v>
      </c>
      <c r="W1558" s="3" t="s">
        <v>1</v>
      </c>
    </row>
    <row r="1559" spans="5:23" hidden="1" x14ac:dyDescent="0.25">
      <c r="E1559" t="s">
        <v>8388</v>
      </c>
      <c r="F1559" s="1" t="s">
        <v>8527</v>
      </c>
      <c r="G1559" t="s">
        <v>1</v>
      </c>
      <c r="H1559" t="s">
        <v>0</v>
      </c>
      <c r="I1559" t="s">
        <v>8165</v>
      </c>
      <c r="J1559" t="s">
        <v>8164</v>
      </c>
      <c r="K1559">
        <v>12791</v>
      </c>
      <c r="L1559">
        <v>12791</v>
      </c>
      <c r="M1559" t="s">
        <v>8186</v>
      </c>
      <c r="N1559" t="s">
        <v>8187</v>
      </c>
      <c r="O1559" s="3">
        <v>0</v>
      </c>
      <c r="P1559" s="3">
        <v>0</v>
      </c>
      <c r="Q1559" s="3">
        <v>219</v>
      </c>
      <c r="R1559" s="3">
        <v>28.470000000000002</v>
      </c>
      <c r="S1559" s="3">
        <v>0</v>
      </c>
      <c r="T1559" s="3">
        <v>0</v>
      </c>
      <c r="U1559" s="3">
        <v>247.47</v>
      </c>
      <c r="V1559" s="3" t="s">
        <v>8046</v>
      </c>
      <c r="W1559" s="3" t="s">
        <v>1</v>
      </c>
    </row>
    <row r="1560" spans="5:23" hidden="1" x14ac:dyDescent="0.25">
      <c r="E1560" t="s">
        <v>8388</v>
      </c>
      <c r="F1560" s="1" t="s">
        <v>8527</v>
      </c>
      <c r="G1560" t="s">
        <v>1</v>
      </c>
      <c r="H1560" t="s">
        <v>0</v>
      </c>
      <c r="I1560" t="s">
        <v>8165</v>
      </c>
      <c r="J1560" t="s">
        <v>8164</v>
      </c>
      <c r="K1560">
        <v>12792</v>
      </c>
      <c r="L1560">
        <v>12792</v>
      </c>
      <c r="M1560" t="s">
        <v>8255</v>
      </c>
      <c r="N1560" t="s">
        <v>8256</v>
      </c>
      <c r="O1560" s="3">
        <v>0</v>
      </c>
      <c r="P1560" s="3">
        <v>0</v>
      </c>
      <c r="Q1560" s="3">
        <v>690</v>
      </c>
      <c r="R1560" s="3">
        <v>89.7</v>
      </c>
      <c r="S1560" s="3">
        <v>0</v>
      </c>
      <c r="T1560" s="3">
        <v>0</v>
      </c>
      <c r="U1560" s="3">
        <v>779.7</v>
      </c>
      <c r="V1560" s="3" t="s">
        <v>8046</v>
      </c>
      <c r="W1560" s="3" t="s">
        <v>1</v>
      </c>
    </row>
    <row r="1561" spans="5:23" hidden="1" x14ac:dyDescent="0.25">
      <c r="E1561" t="s">
        <v>8388</v>
      </c>
      <c r="F1561" s="1" t="s">
        <v>8527</v>
      </c>
      <c r="G1561" t="s">
        <v>1</v>
      </c>
      <c r="H1561" t="s">
        <v>0</v>
      </c>
      <c r="I1561" t="s">
        <v>8165</v>
      </c>
      <c r="J1561" t="s">
        <v>8164</v>
      </c>
      <c r="K1561">
        <v>12793</v>
      </c>
      <c r="L1561">
        <v>12793</v>
      </c>
      <c r="M1561" t="s">
        <v>7852</v>
      </c>
      <c r="N1561" t="s">
        <v>7851</v>
      </c>
      <c r="O1561" s="3">
        <v>0</v>
      </c>
      <c r="P1561" s="3">
        <v>0</v>
      </c>
      <c r="Q1561" s="3">
        <v>0</v>
      </c>
      <c r="R1561" s="3">
        <v>0</v>
      </c>
      <c r="S1561" s="3">
        <v>0</v>
      </c>
      <c r="T1561" s="3">
        <v>0</v>
      </c>
      <c r="U1561" s="3">
        <v>0</v>
      </c>
      <c r="V1561" s="3" t="s">
        <v>8046</v>
      </c>
      <c r="W1561" s="3" t="s">
        <v>1</v>
      </c>
    </row>
    <row r="1562" spans="5:23" hidden="1" x14ac:dyDescent="0.25">
      <c r="E1562" t="s">
        <v>8388</v>
      </c>
      <c r="F1562" s="1" t="s">
        <v>8527</v>
      </c>
      <c r="G1562" t="s">
        <v>1</v>
      </c>
      <c r="H1562" t="s">
        <v>0</v>
      </c>
      <c r="I1562" t="s">
        <v>8165</v>
      </c>
      <c r="J1562" t="s">
        <v>8164</v>
      </c>
      <c r="K1562">
        <v>12794</v>
      </c>
      <c r="L1562">
        <v>12794</v>
      </c>
      <c r="M1562" t="s">
        <v>8476</v>
      </c>
      <c r="N1562" t="s">
        <v>8477</v>
      </c>
      <c r="O1562" s="3">
        <v>0</v>
      </c>
      <c r="P1562" s="3">
        <v>0</v>
      </c>
      <c r="Q1562" s="3">
        <v>61.5</v>
      </c>
      <c r="R1562" s="3">
        <v>7.9950000000000001</v>
      </c>
      <c r="S1562" s="3">
        <v>0</v>
      </c>
      <c r="T1562" s="3">
        <v>0</v>
      </c>
      <c r="U1562" s="3">
        <v>69.495000000000005</v>
      </c>
      <c r="V1562" s="3" t="s">
        <v>8046</v>
      </c>
      <c r="W1562" s="3" t="s">
        <v>1</v>
      </c>
    </row>
    <row r="1563" spans="5:23" hidden="1" x14ac:dyDescent="0.25">
      <c r="E1563" t="s">
        <v>8388</v>
      </c>
      <c r="F1563" s="1" t="s">
        <v>8527</v>
      </c>
      <c r="G1563" t="s">
        <v>1</v>
      </c>
      <c r="H1563" t="s">
        <v>0</v>
      </c>
      <c r="I1563" t="s">
        <v>8165</v>
      </c>
      <c r="J1563" t="s">
        <v>8164</v>
      </c>
      <c r="K1563">
        <v>12795</v>
      </c>
      <c r="L1563">
        <v>12795</v>
      </c>
      <c r="M1563" t="s">
        <v>8541</v>
      </c>
      <c r="N1563" t="s">
        <v>8542</v>
      </c>
      <c r="O1563" s="3">
        <v>0</v>
      </c>
      <c r="P1563" s="3">
        <v>0</v>
      </c>
      <c r="Q1563" s="3">
        <v>79.7</v>
      </c>
      <c r="R1563" s="3">
        <v>10.361000000000001</v>
      </c>
      <c r="S1563" s="3">
        <v>0</v>
      </c>
      <c r="T1563" s="3">
        <v>0</v>
      </c>
      <c r="U1563" s="3">
        <v>90.061000000000007</v>
      </c>
      <c r="V1563" s="3" t="s">
        <v>8046</v>
      </c>
      <c r="W1563" s="3" t="s">
        <v>1</v>
      </c>
    </row>
    <row r="1564" spans="5:23" hidden="1" x14ac:dyDescent="0.25">
      <c r="E1564" t="s">
        <v>8388</v>
      </c>
      <c r="F1564" s="1" t="s">
        <v>8527</v>
      </c>
      <c r="G1564" t="s">
        <v>1</v>
      </c>
      <c r="H1564" t="s">
        <v>0</v>
      </c>
      <c r="I1564" t="s">
        <v>8165</v>
      </c>
      <c r="J1564" t="s">
        <v>8164</v>
      </c>
      <c r="K1564">
        <v>12796</v>
      </c>
      <c r="L1564">
        <v>12796</v>
      </c>
      <c r="M1564" t="s">
        <v>8245</v>
      </c>
      <c r="N1564" t="s">
        <v>8246</v>
      </c>
      <c r="O1564" s="3">
        <v>0</v>
      </c>
      <c r="P1564" s="3">
        <v>0</v>
      </c>
      <c r="Q1564" s="3">
        <v>25.8</v>
      </c>
      <c r="R1564" s="3">
        <v>3.3540000000000001</v>
      </c>
      <c r="S1564" s="3">
        <v>0</v>
      </c>
      <c r="T1564" s="3">
        <v>0</v>
      </c>
      <c r="U1564" s="3">
        <v>29.154</v>
      </c>
      <c r="V1564" s="3" t="s">
        <v>8046</v>
      </c>
      <c r="W1564" s="3" t="s">
        <v>1</v>
      </c>
    </row>
    <row r="1565" spans="5:23" hidden="1" x14ac:dyDescent="0.25">
      <c r="E1565" t="s">
        <v>8388</v>
      </c>
      <c r="F1565" s="1" t="s">
        <v>8527</v>
      </c>
      <c r="G1565" t="s">
        <v>1</v>
      </c>
      <c r="H1565" t="s">
        <v>0</v>
      </c>
      <c r="I1565" t="s">
        <v>8165</v>
      </c>
      <c r="J1565" t="s">
        <v>8164</v>
      </c>
      <c r="K1565">
        <v>12797</v>
      </c>
      <c r="L1565">
        <v>12797</v>
      </c>
      <c r="M1565" t="s">
        <v>8540</v>
      </c>
      <c r="N1565" t="s">
        <v>1165</v>
      </c>
      <c r="O1565" s="3">
        <v>0</v>
      </c>
      <c r="P1565" s="3">
        <v>0</v>
      </c>
      <c r="Q1565" s="3">
        <v>68.599999999999994</v>
      </c>
      <c r="R1565" s="3">
        <v>8.9179999999999993</v>
      </c>
      <c r="S1565" s="3">
        <v>0</v>
      </c>
      <c r="T1565" s="3">
        <v>0</v>
      </c>
      <c r="U1565" s="3">
        <v>77.518000000000001</v>
      </c>
      <c r="V1565" s="3" t="s">
        <v>8046</v>
      </c>
      <c r="W1565" s="3" t="s">
        <v>1</v>
      </c>
    </row>
    <row r="1566" spans="5:23" hidden="1" x14ac:dyDescent="0.25">
      <c r="E1566" t="s">
        <v>8388</v>
      </c>
      <c r="F1566" s="1" t="s">
        <v>8527</v>
      </c>
      <c r="G1566" t="s">
        <v>1</v>
      </c>
      <c r="H1566" t="s">
        <v>0</v>
      </c>
      <c r="I1566" t="s">
        <v>8165</v>
      </c>
      <c r="J1566" t="s">
        <v>8164</v>
      </c>
      <c r="K1566">
        <v>12798</v>
      </c>
      <c r="L1566">
        <v>12798</v>
      </c>
      <c r="M1566" t="s">
        <v>8540</v>
      </c>
      <c r="N1566" t="s">
        <v>1165</v>
      </c>
      <c r="O1566" s="3">
        <v>0</v>
      </c>
      <c r="P1566" s="3">
        <v>0</v>
      </c>
      <c r="Q1566" s="3">
        <v>49.8</v>
      </c>
      <c r="R1566" s="3">
        <v>6.4740000000000002</v>
      </c>
      <c r="S1566" s="3">
        <v>0</v>
      </c>
      <c r="T1566" s="3">
        <v>0</v>
      </c>
      <c r="U1566" s="3">
        <v>56.274000000000001</v>
      </c>
      <c r="V1566" s="3" t="s">
        <v>8046</v>
      </c>
      <c r="W1566" s="3" t="s">
        <v>1</v>
      </c>
    </row>
    <row r="1567" spans="5:23" hidden="1" x14ac:dyDescent="0.25">
      <c r="E1567" t="s">
        <v>8387</v>
      </c>
      <c r="F1567" s="1" t="s">
        <v>8450</v>
      </c>
      <c r="G1567" t="s">
        <v>1</v>
      </c>
      <c r="H1567" t="s">
        <v>0</v>
      </c>
      <c r="I1567" t="s">
        <v>8158</v>
      </c>
      <c r="J1567" t="s">
        <v>8159</v>
      </c>
      <c r="K1567">
        <v>115</v>
      </c>
      <c r="L1567">
        <v>115</v>
      </c>
      <c r="M1567" t="s">
        <v>8259</v>
      </c>
      <c r="N1567" t="s">
        <v>8260</v>
      </c>
      <c r="O1567" s="3">
        <v>0</v>
      </c>
      <c r="P1567" s="3">
        <v>0</v>
      </c>
      <c r="Q1567" s="3">
        <v>50.85</v>
      </c>
      <c r="R1567" s="3">
        <v>6.6105</v>
      </c>
      <c r="S1567" s="3">
        <v>0</v>
      </c>
      <c r="T1567" s="3">
        <v>0</v>
      </c>
      <c r="U1567" s="3">
        <v>57.460500000000003</v>
      </c>
      <c r="V1567" s="3" t="s">
        <v>8046</v>
      </c>
      <c r="W1567" s="3" t="s">
        <v>1</v>
      </c>
    </row>
    <row r="1568" spans="5:23" hidden="1" x14ac:dyDescent="0.25">
      <c r="E1568" t="s">
        <v>8387</v>
      </c>
      <c r="F1568" s="1" t="s">
        <v>8430</v>
      </c>
      <c r="G1568" t="s">
        <v>1</v>
      </c>
      <c r="H1568" t="s">
        <v>0</v>
      </c>
      <c r="I1568" t="s">
        <v>8158</v>
      </c>
      <c r="J1568" t="s">
        <v>8159</v>
      </c>
      <c r="K1568">
        <v>116</v>
      </c>
      <c r="L1568">
        <v>116</v>
      </c>
      <c r="M1568" t="s">
        <v>8431</v>
      </c>
      <c r="N1568" t="s">
        <v>8432</v>
      </c>
      <c r="O1568" s="3">
        <v>0</v>
      </c>
      <c r="P1568" s="3">
        <v>0</v>
      </c>
      <c r="Q1568" s="3">
        <v>18.8</v>
      </c>
      <c r="R1568" s="3">
        <v>2.4440000000000004</v>
      </c>
      <c r="S1568" s="3">
        <v>0</v>
      </c>
      <c r="T1568" s="3">
        <v>0</v>
      </c>
      <c r="U1568" s="3">
        <v>21.244</v>
      </c>
      <c r="V1568" s="3" t="s">
        <v>8046</v>
      </c>
      <c r="W1568" s="3" t="s">
        <v>1</v>
      </c>
    </row>
    <row r="1569" spans="5:23" hidden="1" x14ac:dyDescent="0.25">
      <c r="E1569" t="s">
        <v>8387</v>
      </c>
      <c r="F1569" s="1" t="s">
        <v>8484</v>
      </c>
      <c r="G1569" t="s">
        <v>1</v>
      </c>
      <c r="H1569" t="s">
        <v>0</v>
      </c>
      <c r="I1569" t="s">
        <v>8158</v>
      </c>
      <c r="J1569" t="s">
        <v>8159</v>
      </c>
      <c r="K1569">
        <v>117</v>
      </c>
      <c r="L1569">
        <v>117</v>
      </c>
      <c r="M1569" t="s">
        <v>8482</v>
      </c>
      <c r="N1569" t="s">
        <v>8483</v>
      </c>
      <c r="O1569" s="3">
        <v>0</v>
      </c>
      <c r="P1569" s="3">
        <v>0</v>
      </c>
      <c r="Q1569" s="3">
        <v>44.6</v>
      </c>
      <c r="R1569" s="3">
        <v>5.798</v>
      </c>
      <c r="S1569" s="3">
        <v>0</v>
      </c>
      <c r="T1569" s="3">
        <v>0</v>
      </c>
      <c r="U1569" s="3">
        <v>50.398000000000003</v>
      </c>
      <c r="V1569" s="3" t="s">
        <v>8046</v>
      </c>
      <c r="W1569" s="3" t="s">
        <v>1</v>
      </c>
    </row>
    <row r="1570" spans="5:23" hidden="1" x14ac:dyDescent="0.25">
      <c r="E1570" t="s">
        <v>8387</v>
      </c>
      <c r="F1570" s="34" t="s">
        <v>8390</v>
      </c>
      <c r="G1570" t="s">
        <v>1</v>
      </c>
      <c r="H1570" t="s">
        <v>0</v>
      </c>
      <c r="I1570" t="s">
        <v>8158</v>
      </c>
      <c r="J1570" t="s">
        <v>8159</v>
      </c>
      <c r="K1570">
        <v>118</v>
      </c>
      <c r="L1570">
        <v>118</v>
      </c>
      <c r="M1570" t="s">
        <v>8482</v>
      </c>
      <c r="N1570" t="s">
        <v>8483</v>
      </c>
      <c r="O1570" s="3">
        <v>0</v>
      </c>
      <c r="P1570" s="3">
        <v>0</v>
      </c>
      <c r="Q1570" s="3">
        <v>76.459999999999994</v>
      </c>
      <c r="R1570" s="3">
        <v>9.9398</v>
      </c>
      <c r="S1570" s="3">
        <v>0</v>
      </c>
      <c r="T1570" s="3">
        <v>0</v>
      </c>
      <c r="U1570" s="3">
        <v>86.399799999999999</v>
      </c>
      <c r="V1570" s="3" t="s">
        <v>8046</v>
      </c>
      <c r="W1570" s="3" t="s">
        <v>1</v>
      </c>
    </row>
    <row r="1571" spans="5:23" hidden="1" x14ac:dyDescent="0.25">
      <c r="E1571" t="s">
        <v>8387</v>
      </c>
      <c r="F1571" s="1" t="s">
        <v>8479</v>
      </c>
      <c r="G1571" t="s">
        <v>1</v>
      </c>
      <c r="H1571" t="s">
        <v>0</v>
      </c>
      <c r="I1571" t="s">
        <v>8165</v>
      </c>
      <c r="J1571" t="s">
        <v>8164</v>
      </c>
      <c r="K1571">
        <v>12308</v>
      </c>
      <c r="L1571">
        <v>12308</v>
      </c>
      <c r="M1571" t="s">
        <v>8207</v>
      </c>
      <c r="N1571" t="s">
        <v>8208</v>
      </c>
      <c r="O1571" s="3">
        <v>0</v>
      </c>
      <c r="P1571" s="3">
        <v>0</v>
      </c>
      <c r="Q1571" s="3">
        <v>24.3</v>
      </c>
      <c r="R1571" s="3">
        <v>3.1590000000000003</v>
      </c>
      <c r="S1571" s="3">
        <v>0</v>
      </c>
      <c r="T1571" s="3">
        <v>0</v>
      </c>
      <c r="U1571" s="3">
        <v>27.459</v>
      </c>
      <c r="V1571" s="3" t="s">
        <v>8046</v>
      </c>
      <c r="W1571" s="3" t="s">
        <v>1</v>
      </c>
    </row>
    <row r="1572" spans="5:23" hidden="1" x14ac:dyDescent="0.25">
      <c r="E1572" t="s">
        <v>8387</v>
      </c>
      <c r="F1572" s="1" t="s">
        <v>8479</v>
      </c>
      <c r="G1572" t="s">
        <v>1</v>
      </c>
      <c r="H1572" t="s">
        <v>0</v>
      </c>
      <c r="I1572" t="s">
        <v>8165</v>
      </c>
      <c r="J1572" t="s">
        <v>8164</v>
      </c>
      <c r="K1572">
        <v>12310</v>
      </c>
      <c r="L1572">
        <v>12310</v>
      </c>
      <c r="M1572" t="s">
        <v>8480</v>
      </c>
      <c r="N1572" t="s">
        <v>8481</v>
      </c>
      <c r="O1572" s="3">
        <v>0</v>
      </c>
      <c r="P1572" s="3">
        <v>0</v>
      </c>
      <c r="Q1572" s="3">
        <v>33.659999999999997</v>
      </c>
      <c r="R1572" s="3">
        <v>4.3757999999999999</v>
      </c>
      <c r="S1572" s="3">
        <v>0</v>
      </c>
      <c r="T1572" s="3">
        <v>0</v>
      </c>
      <c r="U1572" s="3">
        <v>38.035799999999995</v>
      </c>
      <c r="V1572" s="3" t="s">
        <v>8046</v>
      </c>
      <c r="W1572" s="3" t="s">
        <v>1</v>
      </c>
    </row>
    <row r="1573" spans="5:23" hidden="1" x14ac:dyDescent="0.25">
      <c r="E1573" t="s">
        <v>8387</v>
      </c>
      <c r="F1573" s="1" t="s">
        <v>8479</v>
      </c>
      <c r="G1573" t="s">
        <v>1</v>
      </c>
      <c r="H1573" t="s">
        <v>0</v>
      </c>
      <c r="I1573" t="s">
        <v>8165</v>
      </c>
      <c r="J1573" t="s">
        <v>8164</v>
      </c>
      <c r="K1573">
        <v>12311</v>
      </c>
      <c r="L1573">
        <v>12311</v>
      </c>
      <c r="M1573" t="s">
        <v>8480</v>
      </c>
      <c r="N1573" t="s">
        <v>8481</v>
      </c>
      <c r="O1573" s="3">
        <v>0</v>
      </c>
      <c r="P1573" s="3">
        <v>0</v>
      </c>
      <c r="Q1573" s="3">
        <v>12.32</v>
      </c>
      <c r="R1573" s="3">
        <v>1.6016000000000001</v>
      </c>
      <c r="S1573" s="3">
        <v>0</v>
      </c>
      <c r="T1573" s="3">
        <v>0</v>
      </c>
      <c r="U1573" s="3">
        <v>13.9216</v>
      </c>
      <c r="V1573" s="3" t="s">
        <v>8046</v>
      </c>
      <c r="W1573" s="3" t="s">
        <v>1</v>
      </c>
    </row>
    <row r="1574" spans="5:23" hidden="1" x14ac:dyDescent="0.25">
      <c r="E1574" t="s">
        <v>8387</v>
      </c>
      <c r="F1574" s="1" t="s">
        <v>8479</v>
      </c>
      <c r="G1574" t="s">
        <v>1</v>
      </c>
      <c r="H1574" t="s">
        <v>0</v>
      </c>
      <c r="I1574" t="s">
        <v>8165</v>
      </c>
      <c r="J1574" t="s">
        <v>8164</v>
      </c>
      <c r="K1574">
        <v>12312</v>
      </c>
      <c r="L1574">
        <v>12312</v>
      </c>
      <c r="M1574" t="s">
        <v>8480</v>
      </c>
      <c r="N1574" t="s">
        <v>8481</v>
      </c>
      <c r="O1574" s="3">
        <v>0</v>
      </c>
      <c r="P1574" s="3">
        <v>0</v>
      </c>
      <c r="Q1574" s="3">
        <v>12.32</v>
      </c>
      <c r="R1574" s="3">
        <v>1.6016000000000001</v>
      </c>
      <c r="S1574" s="3">
        <v>0</v>
      </c>
      <c r="T1574" s="3">
        <v>0</v>
      </c>
      <c r="U1574" s="3">
        <v>13.9216</v>
      </c>
      <c r="V1574" s="3" t="s">
        <v>8046</v>
      </c>
      <c r="W1574" s="3" t="s">
        <v>1</v>
      </c>
    </row>
    <row r="1575" spans="5:23" hidden="1" x14ac:dyDescent="0.25">
      <c r="E1575" t="s">
        <v>8387</v>
      </c>
      <c r="F1575" s="1" t="s">
        <v>8479</v>
      </c>
      <c r="G1575" t="s">
        <v>1</v>
      </c>
      <c r="H1575" t="s">
        <v>0</v>
      </c>
      <c r="I1575" t="s">
        <v>8165</v>
      </c>
      <c r="J1575" t="s">
        <v>8164</v>
      </c>
      <c r="K1575">
        <v>12313</v>
      </c>
      <c r="L1575">
        <v>12313</v>
      </c>
      <c r="M1575" t="s">
        <v>7869</v>
      </c>
      <c r="N1575" t="s">
        <v>7870</v>
      </c>
      <c r="O1575" s="3">
        <v>0</v>
      </c>
      <c r="P1575" s="3">
        <v>0</v>
      </c>
      <c r="Q1575" s="3">
        <v>325</v>
      </c>
      <c r="R1575" s="3">
        <v>42.25</v>
      </c>
      <c r="S1575" s="3">
        <v>0</v>
      </c>
      <c r="T1575" s="3">
        <v>0</v>
      </c>
      <c r="U1575" s="3">
        <v>367.25</v>
      </c>
      <c r="V1575" s="3" t="s">
        <v>8046</v>
      </c>
      <c r="W1575" s="3" t="s">
        <v>1</v>
      </c>
    </row>
    <row r="1576" spans="5:23" hidden="1" x14ac:dyDescent="0.25">
      <c r="E1576" t="s">
        <v>8387</v>
      </c>
      <c r="F1576" s="1" t="s">
        <v>8479</v>
      </c>
      <c r="G1576" t="s">
        <v>1</v>
      </c>
      <c r="H1576" t="s">
        <v>0</v>
      </c>
      <c r="I1576" t="s">
        <v>8165</v>
      </c>
      <c r="J1576" t="s">
        <v>8164</v>
      </c>
      <c r="K1576">
        <v>12314</v>
      </c>
      <c r="L1576">
        <v>12314</v>
      </c>
      <c r="M1576" t="s">
        <v>115</v>
      </c>
      <c r="N1576" t="s">
        <v>116</v>
      </c>
      <c r="O1576" s="3">
        <v>0</v>
      </c>
      <c r="P1576" s="3">
        <v>0</v>
      </c>
      <c r="Q1576" s="3">
        <v>418.92</v>
      </c>
      <c r="R1576" s="3">
        <v>54.459600000000002</v>
      </c>
      <c r="S1576" s="3">
        <v>0</v>
      </c>
      <c r="T1576" s="3">
        <v>0</v>
      </c>
      <c r="U1576" s="3">
        <v>473.37960000000004</v>
      </c>
      <c r="V1576" s="3" t="s">
        <v>8046</v>
      </c>
      <c r="W1576" s="3" t="s">
        <v>1</v>
      </c>
    </row>
    <row r="1577" spans="5:23" hidden="1" x14ac:dyDescent="0.25">
      <c r="E1577" t="s">
        <v>8387</v>
      </c>
      <c r="F1577" s="1" t="s">
        <v>8479</v>
      </c>
      <c r="G1577" t="s">
        <v>1</v>
      </c>
      <c r="H1577" t="s">
        <v>0</v>
      </c>
      <c r="I1577" t="s">
        <v>8165</v>
      </c>
      <c r="J1577" t="s">
        <v>8164</v>
      </c>
      <c r="K1577">
        <v>12316</v>
      </c>
      <c r="L1577">
        <v>12316</v>
      </c>
      <c r="M1577" t="s">
        <v>8209</v>
      </c>
      <c r="N1577" t="s">
        <v>8210</v>
      </c>
      <c r="O1577" s="3">
        <v>0</v>
      </c>
      <c r="P1577" s="3">
        <v>0</v>
      </c>
      <c r="Q1577" s="3">
        <v>432.32</v>
      </c>
      <c r="R1577" s="3">
        <v>56.201599999999999</v>
      </c>
      <c r="S1577" s="3">
        <v>0</v>
      </c>
      <c r="T1577" s="3">
        <v>0</v>
      </c>
      <c r="U1577" s="3">
        <v>488.52159999999998</v>
      </c>
      <c r="V1577" s="3" t="s">
        <v>8046</v>
      </c>
      <c r="W1577" s="3" t="s">
        <v>1</v>
      </c>
    </row>
    <row r="1578" spans="5:23" hidden="1" x14ac:dyDescent="0.25">
      <c r="E1578" t="s">
        <v>8387</v>
      </c>
      <c r="F1578" s="1" t="s">
        <v>8479</v>
      </c>
      <c r="G1578" t="s">
        <v>1</v>
      </c>
      <c r="H1578" t="s">
        <v>0</v>
      </c>
      <c r="I1578" t="s">
        <v>8165</v>
      </c>
      <c r="J1578" t="s">
        <v>8164</v>
      </c>
      <c r="K1578">
        <v>12317</v>
      </c>
      <c r="L1578">
        <v>12317</v>
      </c>
      <c r="M1578" t="s">
        <v>7852</v>
      </c>
      <c r="N1578" t="s">
        <v>7851</v>
      </c>
      <c r="O1578" s="3">
        <v>0</v>
      </c>
      <c r="P1578" s="3">
        <v>0</v>
      </c>
      <c r="Q1578" s="3">
        <v>0</v>
      </c>
      <c r="R1578" s="3">
        <v>0</v>
      </c>
      <c r="S1578" s="3">
        <v>0</v>
      </c>
      <c r="T1578" s="3">
        <v>0</v>
      </c>
      <c r="U1578" s="3">
        <v>0</v>
      </c>
      <c r="V1578" s="3" t="s">
        <v>8046</v>
      </c>
      <c r="W1578" s="3" t="s">
        <v>1</v>
      </c>
    </row>
    <row r="1579" spans="5:23" hidden="1" x14ac:dyDescent="0.25">
      <c r="E1579" t="s">
        <v>8387</v>
      </c>
      <c r="F1579" s="1" t="s">
        <v>8471</v>
      </c>
      <c r="G1579" t="s">
        <v>1</v>
      </c>
      <c r="H1579" t="s">
        <v>0</v>
      </c>
      <c r="I1579" t="s">
        <v>8165</v>
      </c>
      <c r="J1579" t="s">
        <v>8164</v>
      </c>
      <c r="K1579">
        <v>12318</v>
      </c>
      <c r="L1579">
        <v>12318</v>
      </c>
      <c r="M1579" t="s">
        <v>238</v>
      </c>
      <c r="N1579" t="s">
        <v>239</v>
      </c>
      <c r="O1579" s="3">
        <v>0</v>
      </c>
      <c r="P1579" s="3">
        <v>0</v>
      </c>
      <c r="Q1579" s="3">
        <v>111.66</v>
      </c>
      <c r="R1579" s="3">
        <v>14.5158</v>
      </c>
      <c r="S1579" s="3">
        <v>0</v>
      </c>
      <c r="T1579" s="3">
        <v>0</v>
      </c>
      <c r="U1579" s="3">
        <v>126.1758</v>
      </c>
      <c r="V1579" s="3" t="s">
        <v>8046</v>
      </c>
      <c r="W1579" s="3" t="s">
        <v>1</v>
      </c>
    </row>
    <row r="1580" spans="5:23" hidden="1" x14ac:dyDescent="0.25">
      <c r="E1580" t="s">
        <v>8387</v>
      </c>
      <c r="F1580" s="1" t="s">
        <v>8471</v>
      </c>
      <c r="G1580" t="s">
        <v>1</v>
      </c>
      <c r="H1580" t="s">
        <v>0</v>
      </c>
      <c r="I1580" t="s">
        <v>8165</v>
      </c>
      <c r="J1580" t="s">
        <v>8164</v>
      </c>
      <c r="K1580">
        <v>12319</v>
      </c>
      <c r="L1580">
        <v>12319</v>
      </c>
      <c r="M1580" t="s">
        <v>436</v>
      </c>
      <c r="N1580" t="s">
        <v>437</v>
      </c>
      <c r="O1580" s="3">
        <v>0</v>
      </c>
      <c r="P1580" s="3">
        <v>0</v>
      </c>
      <c r="Q1580" s="3">
        <v>16.57</v>
      </c>
      <c r="R1580" s="3">
        <v>2.1541000000000001</v>
      </c>
      <c r="S1580" s="3">
        <v>0</v>
      </c>
      <c r="T1580" s="3">
        <v>0</v>
      </c>
      <c r="U1580" s="3">
        <v>18.7241</v>
      </c>
      <c r="V1580" s="3" t="s">
        <v>8046</v>
      </c>
      <c r="W1580" s="3" t="s">
        <v>1</v>
      </c>
    </row>
    <row r="1581" spans="5:23" hidden="1" x14ac:dyDescent="0.25">
      <c r="E1581" t="s">
        <v>8387</v>
      </c>
      <c r="F1581" s="1" t="s">
        <v>8471</v>
      </c>
      <c r="G1581" t="s">
        <v>1</v>
      </c>
      <c r="H1581" t="s">
        <v>0</v>
      </c>
      <c r="I1581" t="s">
        <v>8165</v>
      </c>
      <c r="J1581" t="s">
        <v>8164</v>
      </c>
      <c r="K1581">
        <v>12320</v>
      </c>
      <c r="L1581">
        <v>12320</v>
      </c>
      <c r="M1581" t="s">
        <v>8220</v>
      </c>
      <c r="N1581" t="s">
        <v>8221</v>
      </c>
      <c r="O1581" s="3">
        <v>0</v>
      </c>
      <c r="P1581" s="3">
        <v>0</v>
      </c>
      <c r="Q1581" s="3">
        <v>130</v>
      </c>
      <c r="R1581" s="3">
        <v>16.900000000000002</v>
      </c>
      <c r="S1581" s="3">
        <v>0</v>
      </c>
      <c r="T1581" s="3">
        <v>0</v>
      </c>
      <c r="U1581" s="3">
        <v>146.9</v>
      </c>
      <c r="V1581" s="3" t="s">
        <v>8046</v>
      </c>
      <c r="W1581" s="3" t="s">
        <v>1</v>
      </c>
    </row>
    <row r="1582" spans="5:23" hidden="1" x14ac:dyDescent="0.25">
      <c r="E1582" t="s">
        <v>8387</v>
      </c>
      <c r="F1582" s="1" t="s">
        <v>8471</v>
      </c>
      <c r="G1582" t="s">
        <v>1</v>
      </c>
      <c r="H1582" t="s">
        <v>0</v>
      </c>
      <c r="I1582" t="s">
        <v>8165</v>
      </c>
      <c r="J1582" t="s">
        <v>8164</v>
      </c>
      <c r="K1582">
        <v>12321</v>
      </c>
      <c r="L1582">
        <v>12321</v>
      </c>
      <c r="M1582" t="s">
        <v>8222</v>
      </c>
      <c r="N1582" t="s">
        <v>8223</v>
      </c>
      <c r="O1582" s="3">
        <v>0</v>
      </c>
      <c r="P1582" s="3">
        <v>0</v>
      </c>
      <c r="Q1582" s="3">
        <v>250</v>
      </c>
      <c r="R1582" s="3">
        <v>32.5</v>
      </c>
      <c r="S1582" s="3">
        <v>0</v>
      </c>
      <c r="T1582" s="3">
        <v>0</v>
      </c>
      <c r="U1582" s="3">
        <v>282.5</v>
      </c>
      <c r="V1582" s="3" t="s">
        <v>8046</v>
      </c>
      <c r="W1582" s="3" t="s">
        <v>1</v>
      </c>
    </row>
    <row r="1583" spans="5:23" hidden="1" x14ac:dyDescent="0.25">
      <c r="E1583" t="s">
        <v>8387</v>
      </c>
      <c r="F1583" s="1" t="s">
        <v>8471</v>
      </c>
      <c r="G1583" t="s">
        <v>1</v>
      </c>
      <c r="H1583" t="s">
        <v>0</v>
      </c>
      <c r="I1583" t="s">
        <v>8165</v>
      </c>
      <c r="J1583" t="s">
        <v>8164</v>
      </c>
      <c r="K1583">
        <v>12322</v>
      </c>
      <c r="L1583">
        <v>12322</v>
      </c>
      <c r="M1583" t="s">
        <v>8416</v>
      </c>
      <c r="N1583" t="s">
        <v>8417</v>
      </c>
      <c r="O1583" s="3">
        <v>0</v>
      </c>
      <c r="P1583" s="3">
        <v>0</v>
      </c>
      <c r="Q1583" s="3">
        <v>88.48</v>
      </c>
      <c r="R1583" s="3">
        <v>11.502400000000002</v>
      </c>
      <c r="S1583" s="3">
        <v>0</v>
      </c>
      <c r="T1583" s="3">
        <v>0</v>
      </c>
      <c r="U1583" s="3">
        <v>99.982400000000013</v>
      </c>
      <c r="V1583" s="3" t="s">
        <v>8046</v>
      </c>
      <c r="W1583" s="3" t="s">
        <v>1</v>
      </c>
    </row>
    <row r="1584" spans="5:23" hidden="1" x14ac:dyDescent="0.25">
      <c r="E1584" t="s">
        <v>8387</v>
      </c>
      <c r="F1584" s="1" t="s">
        <v>8471</v>
      </c>
      <c r="G1584" t="s">
        <v>1</v>
      </c>
      <c r="H1584" t="s">
        <v>0</v>
      </c>
      <c r="I1584" t="s">
        <v>8165</v>
      </c>
      <c r="J1584" t="s">
        <v>8164</v>
      </c>
      <c r="K1584">
        <v>12323</v>
      </c>
      <c r="L1584">
        <v>12323</v>
      </c>
      <c r="M1584" t="s">
        <v>8194</v>
      </c>
      <c r="N1584" t="s">
        <v>8195</v>
      </c>
      <c r="O1584" s="3">
        <v>0</v>
      </c>
      <c r="P1584" s="3">
        <v>0</v>
      </c>
      <c r="Q1584" s="3">
        <v>105.6</v>
      </c>
      <c r="R1584" s="3">
        <v>13.728</v>
      </c>
      <c r="S1584" s="3">
        <v>0</v>
      </c>
      <c r="T1584" s="3">
        <v>0</v>
      </c>
      <c r="U1584" s="3">
        <v>119.32799999999999</v>
      </c>
      <c r="V1584" s="3" t="s">
        <v>8046</v>
      </c>
      <c r="W1584" s="3" t="s">
        <v>1</v>
      </c>
    </row>
    <row r="1585" spans="5:23" hidden="1" x14ac:dyDescent="0.25">
      <c r="E1585" t="s">
        <v>8387</v>
      </c>
      <c r="F1585" s="1" t="s">
        <v>8471</v>
      </c>
      <c r="G1585" t="s">
        <v>1</v>
      </c>
      <c r="H1585" t="s">
        <v>0</v>
      </c>
      <c r="I1585" t="s">
        <v>8165</v>
      </c>
      <c r="J1585" t="s">
        <v>8164</v>
      </c>
      <c r="K1585">
        <v>12324</v>
      </c>
      <c r="L1585">
        <v>12324</v>
      </c>
      <c r="M1585" t="s">
        <v>1062</v>
      </c>
      <c r="N1585" t="s">
        <v>1063</v>
      </c>
      <c r="O1585" s="3">
        <v>0</v>
      </c>
      <c r="P1585" s="3">
        <v>0</v>
      </c>
      <c r="Q1585" s="3">
        <v>152.21</v>
      </c>
      <c r="R1585" s="3">
        <v>19.787300000000002</v>
      </c>
      <c r="S1585" s="3">
        <v>0</v>
      </c>
      <c r="T1585" s="3">
        <v>0</v>
      </c>
      <c r="U1585" s="3">
        <v>171.9973</v>
      </c>
      <c r="V1585" s="3" t="s">
        <v>8046</v>
      </c>
      <c r="W1585" s="3" t="s">
        <v>1</v>
      </c>
    </row>
    <row r="1586" spans="5:23" hidden="1" x14ac:dyDescent="0.25">
      <c r="E1586" t="s">
        <v>8387</v>
      </c>
      <c r="F1586" s="1" t="s">
        <v>8471</v>
      </c>
      <c r="G1586" t="s">
        <v>1</v>
      </c>
      <c r="H1586" t="s">
        <v>0</v>
      </c>
      <c r="I1586" t="s">
        <v>8165</v>
      </c>
      <c r="J1586" t="s">
        <v>8164</v>
      </c>
      <c r="K1586">
        <v>12325</v>
      </c>
      <c r="L1586">
        <v>12325</v>
      </c>
      <c r="M1586" t="s">
        <v>8478</v>
      </c>
      <c r="N1586" t="s">
        <v>803</v>
      </c>
      <c r="O1586" s="3">
        <v>0</v>
      </c>
      <c r="P1586" s="3">
        <v>0</v>
      </c>
      <c r="Q1586" s="3">
        <v>53.1</v>
      </c>
      <c r="R1586" s="3">
        <v>6.9030000000000005</v>
      </c>
      <c r="S1586" s="3">
        <v>0</v>
      </c>
      <c r="T1586" s="3">
        <v>0</v>
      </c>
      <c r="U1586" s="3">
        <v>60.003</v>
      </c>
      <c r="V1586" s="3" t="s">
        <v>8046</v>
      </c>
      <c r="W1586" s="3" t="s">
        <v>1</v>
      </c>
    </row>
    <row r="1587" spans="5:23" hidden="1" x14ac:dyDescent="0.25">
      <c r="E1587" t="s">
        <v>8387</v>
      </c>
      <c r="F1587" s="1" t="s">
        <v>8471</v>
      </c>
      <c r="G1587" t="s">
        <v>1</v>
      </c>
      <c r="H1587" t="s">
        <v>0</v>
      </c>
      <c r="I1587" t="s">
        <v>8165</v>
      </c>
      <c r="J1587" t="s">
        <v>8164</v>
      </c>
      <c r="K1587">
        <v>12326</v>
      </c>
      <c r="L1587">
        <v>12326</v>
      </c>
      <c r="M1587" t="s">
        <v>8476</v>
      </c>
      <c r="N1587" t="s">
        <v>8477</v>
      </c>
      <c r="O1587" s="3">
        <v>0</v>
      </c>
      <c r="P1587" s="3">
        <v>0</v>
      </c>
      <c r="Q1587" s="3">
        <v>61.5</v>
      </c>
      <c r="R1587" s="3">
        <v>7.9950000000000001</v>
      </c>
      <c r="S1587" s="3">
        <v>0</v>
      </c>
      <c r="T1587" s="3">
        <v>0</v>
      </c>
      <c r="U1587" s="3">
        <v>69.495000000000005</v>
      </c>
      <c r="V1587" s="3" t="s">
        <v>8046</v>
      </c>
      <c r="W1587" s="3" t="s">
        <v>1</v>
      </c>
    </row>
    <row r="1588" spans="5:23" hidden="1" x14ac:dyDescent="0.25">
      <c r="E1588" t="s">
        <v>8387</v>
      </c>
      <c r="F1588" s="1" t="s">
        <v>8471</v>
      </c>
      <c r="G1588" t="s">
        <v>1</v>
      </c>
      <c r="H1588" t="s">
        <v>0</v>
      </c>
      <c r="I1588" t="s">
        <v>8165</v>
      </c>
      <c r="J1588" t="s">
        <v>8164</v>
      </c>
      <c r="K1588">
        <v>12327</v>
      </c>
      <c r="L1588">
        <v>12327</v>
      </c>
      <c r="M1588" t="s">
        <v>8232</v>
      </c>
      <c r="N1588" t="s">
        <v>8233</v>
      </c>
      <c r="O1588" s="3">
        <v>0</v>
      </c>
      <c r="P1588" s="3">
        <v>0</v>
      </c>
      <c r="Q1588" s="3">
        <v>506.46</v>
      </c>
      <c r="R1588" s="3">
        <v>65.839799999999997</v>
      </c>
      <c r="S1588" s="3">
        <v>0</v>
      </c>
      <c r="T1588" s="3">
        <v>0</v>
      </c>
      <c r="U1588" s="3">
        <v>572.2998</v>
      </c>
      <c r="V1588" s="3" t="s">
        <v>8046</v>
      </c>
      <c r="W1588" s="3" t="s">
        <v>1</v>
      </c>
    </row>
    <row r="1589" spans="5:23" hidden="1" x14ac:dyDescent="0.25">
      <c r="E1589" t="s">
        <v>8387</v>
      </c>
      <c r="F1589" s="1" t="s">
        <v>8471</v>
      </c>
      <c r="G1589" t="s">
        <v>1</v>
      </c>
      <c r="H1589" t="s">
        <v>0</v>
      </c>
      <c r="I1589" t="s">
        <v>8165</v>
      </c>
      <c r="J1589" t="s">
        <v>8164</v>
      </c>
      <c r="K1589">
        <v>12328</v>
      </c>
      <c r="L1589">
        <v>12328</v>
      </c>
      <c r="M1589" t="s">
        <v>8302</v>
      </c>
      <c r="N1589" t="s">
        <v>8303</v>
      </c>
      <c r="O1589" s="3">
        <v>0</v>
      </c>
      <c r="P1589" s="3">
        <v>0</v>
      </c>
      <c r="Q1589" s="3">
        <v>154.5</v>
      </c>
      <c r="R1589" s="3">
        <v>20.085000000000001</v>
      </c>
      <c r="S1589" s="3">
        <v>0</v>
      </c>
      <c r="T1589" s="3">
        <v>0</v>
      </c>
      <c r="U1589" s="3">
        <v>174.58500000000001</v>
      </c>
      <c r="V1589" s="3" t="s">
        <v>8046</v>
      </c>
      <c r="W1589" s="3" t="s">
        <v>1</v>
      </c>
    </row>
    <row r="1590" spans="5:23" hidden="1" x14ac:dyDescent="0.25">
      <c r="E1590" t="s">
        <v>8387</v>
      </c>
      <c r="F1590" s="1" t="s">
        <v>8471</v>
      </c>
      <c r="G1590" t="s">
        <v>1</v>
      </c>
      <c r="H1590" t="s">
        <v>0</v>
      </c>
      <c r="I1590" t="s">
        <v>8165</v>
      </c>
      <c r="J1590" t="s">
        <v>8164</v>
      </c>
      <c r="K1590">
        <v>12329</v>
      </c>
      <c r="L1590">
        <v>12329</v>
      </c>
      <c r="M1590" t="s">
        <v>7852</v>
      </c>
      <c r="N1590" t="s">
        <v>7851</v>
      </c>
      <c r="O1590" s="3">
        <v>0</v>
      </c>
      <c r="P1590" s="3">
        <v>0</v>
      </c>
      <c r="Q1590" s="3">
        <v>0</v>
      </c>
      <c r="R1590" s="3">
        <v>0</v>
      </c>
      <c r="S1590" s="3">
        <v>0</v>
      </c>
      <c r="T1590" s="3">
        <v>0</v>
      </c>
      <c r="U1590" s="3">
        <v>0</v>
      </c>
      <c r="V1590" s="3" t="s">
        <v>8046</v>
      </c>
      <c r="W1590" s="3" t="s">
        <v>1</v>
      </c>
    </row>
    <row r="1591" spans="5:23" hidden="1" x14ac:dyDescent="0.25">
      <c r="E1591" t="s">
        <v>8387</v>
      </c>
      <c r="F1591" s="1" t="s">
        <v>8471</v>
      </c>
      <c r="G1591" t="s">
        <v>1</v>
      </c>
      <c r="H1591" t="s">
        <v>0</v>
      </c>
      <c r="I1591" t="s">
        <v>8165</v>
      </c>
      <c r="J1591" t="s">
        <v>8164</v>
      </c>
      <c r="K1591">
        <v>12330</v>
      </c>
      <c r="L1591">
        <v>12330</v>
      </c>
      <c r="M1591" t="s">
        <v>8474</v>
      </c>
      <c r="N1591" t="s">
        <v>8475</v>
      </c>
      <c r="O1591" s="3">
        <v>0</v>
      </c>
      <c r="P1591" s="3">
        <v>0</v>
      </c>
      <c r="Q1591" s="3">
        <v>193.25</v>
      </c>
      <c r="R1591" s="3">
        <v>25.122500000000002</v>
      </c>
      <c r="S1591" s="3">
        <v>0</v>
      </c>
      <c r="T1591" s="3">
        <v>0</v>
      </c>
      <c r="U1591" s="3">
        <v>218.3725</v>
      </c>
      <c r="V1591" s="3" t="s">
        <v>8046</v>
      </c>
      <c r="W1591" s="3" t="s">
        <v>1</v>
      </c>
    </row>
    <row r="1592" spans="5:23" hidden="1" x14ac:dyDescent="0.25">
      <c r="E1592" t="s">
        <v>8387</v>
      </c>
      <c r="F1592" s="1" t="s">
        <v>8471</v>
      </c>
      <c r="G1592" t="s">
        <v>1</v>
      </c>
      <c r="H1592" t="s">
        <v>0</v>
      </c>
      <c r="I1592" t="s">
        <v>8165</v>
      </c>
      <c r="J1592" t="s">
        <v>8164</v>
      </c>
      <c r="K1592">
        <v>12331</v>
      </c>
      <c r="L1592">
        <v>12331</v>
      </c>
      <c r="M1592" t="s">
        <v>8289</v>
      </c>
      <c r="N1592" t="s">
        <v>8290</v>
      </c>
      <c r="O1592" s="3">
        <v>0</v>
      </c>
      <c r="P1592" s="3">
        <v>0</v>
      </c>
      <c r="Q1592" s="3">
        <v>234.25</v>
      </c>
      <c r="R1592" s="3">
        <v>30.452500000000001</v>
      </c>
      <c r="S1592" s="3">
        <v>0</v>
      </c>
      <c r="T1592" s="3">
        <v>0</v>
      </c>
      <c r="U1592" s="3">
        <v>264.70249999999999</v>
      </c>
      <c r="V1592" s="3" t="s">
        <v>8046</v>
      </c>
      <c r="W1592" s="3" t="s">
        <v>1</v>
      </c>
    </row>
    <row r="1593" spans="5:23" hidden="1" x14ac:dyDescent="0.25">
      <c r="E1593" t="s">
        <v>8387</v>
      </c>
      <c r="F1593" s="1" t="s">
        <v>8471</v>
      </c>
      <c r="G1593" t="s">
        <v>1</v>
      </c>
      <c r="H1593" t="s">
        <v>0</v>
      </c>
      <c r="I1593" t="s">
        <v>8165</v>
      </c>
      <c r="J1593" t="s">
        <v>8164</v>
      </c>
      <c r="K1593">
        <v>12332</v>
      </c>
      <c r="L1593">
        <v>12332</v>
      </c>
      <c r="M1593" t="s">
        <v>8289</v>
      </c>
      <c r="N1593" t="s">
        <v>8290</v>
      </c>
      <c r="O1593" s="3">
        <v>0</v>
      </c>
      <c r="P1593" s="3">
        <v>0</v>
      </c>
      <c r="Q1593" s="3">
        <v>92.12</v>
      </c>
      <c r="R1593" s="3">
        <v>11.975600000000002</v>
      </c>
      <c r="S1593" s="3">
        <v>0</v>
      </c>
      <c r="T1593" s="3">
        <v>0</v>
      </c>
      <c r="U1593" s="3">
        <v>104.0956</v>
      </c>
      <c r="V1593" s="3" t="s">
        <v>8046</v>
      </c>
      <c r="W1593" s="3" t="s">
        <v>1</v>
      </c>
    </row>
    <row r="1594" spans="5:23" hidden="1" x14ac:dyDescent="0.25">
      <c r="E1594" t="s">
        <v>8387</v>
      </c>
      <c r="F1594" s="1" t="s">
        <v>8471</v>
      </c>
      <c r="G1594" t="s">
        <v>1</v>
      </c>
      <c r="H1594" t="s">
        <v>0</v>
      </c>
      <c r="I1594" t="s">
        <v>8165</v>
      </c>
      <c r="J1594" t="s">
        <v>8164</v>
      </c>
      <c r="K1594">
        <v>12333</v>
      </c>
      <c r="L1594">
        <v>12333</v>
      </c>
      <c r="M1594" t="s">
        <v>8472</v>
      </c>
      <c r="N1594" t="s">
        <v>8473</v>
      </c>
      <c r="O1594" s="3">
        <v>0</v>
      </c>
      <c r="P1594" s="3">
        <v>0</v>
      </c>
      <c r="Q1594" s="3">
        <v>214.25</v>
      </c>
      <c r="R1594" s="3">
        <v>27.852500000000003</v>
      </c>
      <c r="S1594" s="3">
        <v>0</v>
      </c>
      <c r="T1594" s="3">
        <v>0</v>
      </c>
      <c r="U1594" s="3">
        <v>242.10249999999999</v>
      </c>
      <c r="V1594" s="3" t="s">
        <v>8046</v>
      </c>
      <c r="W1594" s="3" t="s">
        <v>1</v>
      </c>
    </row>
    <row r="1595" spans="5:23" hidden="1" x14ac:dyDescent="0.25">
      <c r="E1595" t="s">
        <v>8387</v>
      </c>
      <c r="F1595" s="1" t="s">
        <v>8466</v>
      </c>
      <c r="G1595" t="s">
        <v>1</v>
      </c>
      <c r="H1595" t="s">
        <v>0</v>
      </c>
      <c r="I1595" t="s">
        <v>8165</v>
      </c>
      <c r="J1595" t="s">
        <v>8164</v>
      </c>
      <c r="K1595">
        <v>12334</v>
      </c>
      <c r="L1595">
        <v>12334</v>
      </c>
      <c r="M1595" t="s">
        <v>8469</v>
      </c>
      <c r="N1595" t="s">
        <v>8470</v>
      </c>
      <c r="O1595" s="3">
        <v>0</v>
      </c>
      <c r="P1595" s="3">
        <v>0</v>
      </c>
      <c r="Q1595" s="3">
        <v>184.89</v>
      </c>
      <c r="R1595" s="3">
        <v>24.035699999999999</v>
      </c>
      <c r="S1595" s="3">
        <v>0</v>
      </c>
      <c r="T1595" s="3">
        <v>0</v>
      </c>
      <c r="U1595" s="3">
        <v>208.92569999999998</v>
      </c>
      <c r="V1595" s="3" t="s">
        <v>8046</v>
      </c>
      <c r="W1595" s="3" t="s">
        <v>1</v>
      </c>
    </row>
    <row r="1596" spans="5:23" hidden="1" x14ac:dyDescent="0.25">
      <c r="E1596" t="s">
        <v>8387</v>
      </c>
      <c r="F1596" s="1" t="s">
        <v>8466</v>
      </c>
      <c r="G1596" t="s">
        <v>1</v>
      </c>
      <c r="H1596" t="s">
        <v>0</v>
      </c>
      <c r="I1596" t="s">
        <v>8165</v>
      </c>
      <c r="J1596" t="s">
        <v>8164</v>
      </c>
      <c r="K1596">
        <v>12335</v>
      </c>
      <c r="L1596">
        <v>12335</v>
      </c>
      <c r="M1596" t="s">
        <v>8255</v>
      </c>
      <c r="N1596" t="s">
        <v>8256</v>
      </c>
      <c r="O1596" s="3">
        <v>0</v>
      </c>
      <c r="P1596" s="3">
        <v>0</v>
      </c>
      <c r="Q1596" s="3">
        <v>605.55999999999995</v>
      </c>
      <c r="R1596" s="3">
        <v>78.722799999999992</v>
      </c>
      <c r="S1596" s="3">
        <v>0</v>
      </c>
      <c r="T1596" s="3">
        <v>0</v>
      </c>
      <c r="U1596" s="3">
        <v>684.28279999999995</v>
      </c>
      <c r="V1596" s="3" t="s">
        <v>8046</v>
      </c>
      <c r="W1596" s="3" t="s">
        <v>1</v>
      </c>
    </row>
    <row r="1597" spans="5:23" hidden="1" x14ac:dyDescent="0.25">
      <c r="E1597" t="s">
        <v>8387</v>
      </c>
      <c r="F1597" s="1" t="s">
        <v>8466</v>
      </c>
      <c r="G1597" t="s">
        <v>1</v>
      </c>
      <c r="H1597" t="s">
        <v>0</v>
      </c>
      <c r="I1597" t="s">
        <v>8165</v>
      </c>
      <c r="J1597" t="s">
        <v>8164</v>
      </c>
      <c r="K1597">
        <v>12336</v>
      </c>
      <c r="L1597">
        <v>12336</v>
      </c>
      <c r="M1597" t="s">
        <v>8407</v>
      </c>
      <c r="N1597" t="s">
        <v>8408</v>
      </c>
      <c r="O1597" s="3">
        <v>0</v>
      </c>
      <c r="P1597" s="3">
        <v>0</v>
      </c>
      <c r="Q1597" s="3">
        <v>61.5</v>
      </c>
      <c r="R1597" s="3">
        <v>7.9950000000000001</v>
      </c>
      <c r="S1597" s="3">
        <v>0</v>
      </c>
      <c r="T1597" s="3">
        <v>0</v>
      </c>
      <c r="U1597" s="3">
        <v>69.495000000000005</v>
      </c>
      <c r="V1597" s="3" t="s">
        <v>8046</v>
      </c>
      <c r="W1597" s="3" t="s">
        <v>1</v>
      </c>
    </row>
    <row r="1598" spans="5:23" hidden="1" x14ac:dyDescent="0.25">
      <c r="E1598" t="s">
        <v>8387</v>
      </c>
      <c r="F1598" s="1" t="s">
        <v>8466</v>
      </c>
      <c r="G1598" t="s">
        <v>1</v>
      </c>
      <c r="H1598" t="s">
        <v>0</v>
      </c>
      <c r="I1598" t="s">
        <v>8165</v>
      </c>
      <c r="J1598" t="s">
        <v>8164</v>
      </c>
      <c r="K1598">
        <v>12337</v>
      </c>
      <c r="L1598">
        <v>12337</v>
      </c>
      <c r="M1598" t="s">
        <v>436</v>
      </c>
      <c r="N1598" t="s">
        <v>437</v>
      </c>
      <c r="O1598" s="3">
        <v>0</v>
      </c>
      <c r="P1598" s="3">
        <v>0</v>
      </c>
      <c r="Q1598" s="3">
        <v>36</v>
      </c>
      <c r="R1598" s="3">
        <v>4.68</v>
      </c>
      <c r="S1598" s="3">
        <v>0</v>
      </c>
      <c r="T1598" s="3">
        <v>0</v>
      </c>
      <c r="U1598" s="3">
        <v>40.68</v>
      </c>
      <c r="V1598" s="3" t="s">
        <v>8046</v>
      </c>
      <c r="W1598" s="3" t="s">
        <v>1</v>
      </c>
    </row>
    <row r="1599" spans="5:23" hidden="1" x14ac:dyDescent="0.25">
      <c r="E1599" t="s">
        <v>8387</v>
      </c>
      <c r="F1599" s="1" t="s">
        <v>8466</v>
      </c>
      <c r="G1599" t="s">
        <v>1</v>
      </c>
      <c r="H1599" t="s">
        <v>0</v>
      </c>
      <c r="I1599" t="s">
        <v>8165</v>
      </c>
      <c r="J1599" t="s">
        <v>8164</v>
      </c>
      <c r="K1599">
        <v>12338</v>
      </c>
      <c r="L1599">
        <v>12338</v>
      </c>
      <c r="M1599" t="s">
        <v>7852</v>
      </c>
      <c r="N1599" t="s">
        <v>7851</v>
      </c>
      <c r="O1599" s="3">
        <v>0</v>
      </c>
      <c r="P1599" s="3">
        <v>0</v>
      </c>
      <c r="Q1599" s="3">
        <v>0</v>
      </c>
      <c r="R1599" s="3">
        <v>0</v>
      </c>
      <c r="S1599" s="3">
        <v>0</v>
      </c>
      <c r="T1599" s="3">
        <v>0</v>
      </c>
      <c r="U1599" s="3">
        <v>0</v>
      </c>
      <c r="V1599" s="3" t="s">
        <v>8046</v>
      </c>
      <c r="W1599" s="3" t="s">
        <v>1</v>
      </c>
    </row>
    <row r="1600" spans="5:23" hidden="1" x14ac:dyDescent="0.25">
      <c r="E1600" t="s">
        <v>8387</v>
      </c>
      <c r="F1600" s="1" t="s">
        <v>8466</v>
      </c>
      <c r="G1600" t="s">
        <v>1</v>
      </c>
      <c r="H1600" t="s">
        <v>0</v>
      </c>
      <c r="I1600" t="s">
        <v>8165</v>
      </c>
      <c r="J1600" t="s">
        <v>8164</v>
      </c>
      <c r="K1600">
        <v>12339</v>
      </c>
      <c r="L1600">
        <v>12339</v>
      </c>
      <c r="M1600" t="s">
        <v>436</v>
      </c>
      <c r="N1600" t="s">
        <v>437</v>
      </c>
      <c r="O1600" s="3">
        <v>0</v>
      </c>
      <c r="P1600" s="3">
        <v>0</v>
      </c>
      <c r="Q1600" s="3">
        <v>26.88</v>
      </c>
      <c r="R1600" s="3">
        <v>3.4944000000000002</v>
      </c>
      <c r="S1600" s="3">
        <v>0</v>
      </c>
      <c r="T1600" s="3">
        <v>0</v>
      </c>
      <c r="U1600" s="3">
        <v>30.374399999999998</v>
      </c>
      <c r="V1600" s="3" t="s">
        <v>8046</v>
      </c>
      <c r="W1600" s="3" t="s">
        <v>1</v>
      </c>
    </row>
    <row r="1601" spans="5:23" hidden="1" x14ac:dyDescent="0.25">
      <c r="E1601" t="s">
        <v>8387</v>
      </c>
      <c r="F1601" s="1" t="s">
        <v>8466</v>
      </c>
      <c r="G1601" t="s">
        <v>1</v>
      </c>
      <c r="H1601" t="s">
        <v>0</v>
      </c>
      <c r="I1601" t="s">
        <v>8165</v>
      </c>
      <c r="J1601" t="s">
        <v>8164</v>
      </c>
      <c r="K1601">
        <v>12340</v>
      </c>
      <c r="L1601">
        <v>12340</v>
      </c>
      <c r="M1601" t="s">
        <v>8467</v>
      </c>
      <c r="N1601" t="s">
        <v>8468</v>
      </c>
      <c r="O1601" s="3">
        <v>0</v>
      </c>
      <c r="P1601" s="3">
        <v>0</v>
      </c>
      <c r="Q1601" s="3">
        <v>311.95999999999998</v>
      </c>
      <c r="R1601" s="3">
        <v>40.5548</v>
      </c>
      <c r="S1601" s="3">
        <v>0</v>
      </c>
      <c r="T1601" s="3">
        <v>0</v>
      </c>
      <c r="U1601" s="3">
        <v>352.51479999999998</v>
      </c>
      <c r="V1601" s="3" t="s">
        <v>8046</v>
      </c>
      <c r="W1601" s="3" t="s">
        <v>1</v>
      </c>
    </row>
    <row r="1602" spans="5:23" hidden="1" x14ac:dyDescent="0.25">
      <c r="E1602" t="s">
        <v>8387</v>
      </c>
      <c r="F1602" s="1" t="s">
        <v>8466</v>
      </c>
      <c r="G1602" t="s">
        <v>1</v>
      </c>
      <c r="H1602" t="s">
        <v>0</v>
      </c>
      <c r="I1602" t="s">
        <v>8165</v>
      </c>
      <c r="J1602" t="s">
        <v>8164</v>
      </c>
      <c r="K1602">
        <v>12341</v>
      </c>
      <c r="L1602">
        <v>12341</v>
      </c>
      <c r="M1602" t="s">
        <v>8214</v>
      </c>
      <c r="N1602" t="s">
        <v>8215</v>
      </c>
      <c r="O1602" s="3">
        <v>0</v>
      </c>
      <c r="P1602" s="3">
        <v>0</v>
      </c>
      <c r="Q1602" s="3">
        <v>79.7</v>
      </c>
      <c r="R1602" s="3">
        <v>10.361000000000001</v>
      </c>
      <c r="S1602" s="3">
        <v>0</v>
      </c>
      <c r="T1602" s="3">
        <v>0</v>
      </c>
      <c r="U1602" s="3">
        <v>90.061000000000007</v>
      </c>
      <c r="V1602" s="3" t="s">
        <v>8046</v>
      </c>
      <c r="W1602" s="3" t="s">
        <v>1</v>
      </c>
    </row>
    <row r="1603" spans="5:23" hidden="1" x14ac:dyDescent="0.25">
      <c r="E1603" t="s">
        <v>8387</v>
      </c>
      <c r="F1603" s="1" t="s">
        <v>8466</v>
      </c>
      <c r="G1603" t="s">
        <v>1</v>
      </c>
      <c r="H1603" t="s">
        <v>0</v>
      </c>
      <c r="I1603" t="s">
        <v>8165</v>
      </c>
      <c r="J1603" t="s">
        <v>8164</v>
      </c>
      <c r="K1603">
        <v>12342</v>
      </c>
      <c r="L1603">
        <v>12342</v>
      </c>
      <c r="M1603" t="s">
        <v>8190</v>
      </c>
      <c r="N1603" t="s">
        <v>8191</v>
      </c>
      <c r="O1603" s="3">
        <v>0</v>
      </c>
      <c r="P1603" s="3">
        <v>0</v>
      </c>
      <c r="Q1603" s="3">
        <v>276.57</v>
      </c>
      <c r="R1603" s="3">
        <v>35.954099999999997</v>
      </c>
      <c r="S1603" s="3">
        <v>0</v>
      </c>
      <c r="T1603" s="3">
        <v>0</v>
      </c>
      <c r="U1603" s="3">
        <v>312.52409999999998</v>
      </c>
      <c r="V1603" s="3" t="s">
        <v>8046</v>
      </c>
      <c r="W1603" s="3" t="s">
        <v>1</v>
      </c>
    </row>
    <row r="1604" spans="5:23" hidden="1" x14ac:dyDescent="0.25">
      <c r="E1604" t="s">
        <v>8387</v>
      </c>
      <c r="F1604" s="1" t="s">
        <v>8466</v>
      </c>
      <c r="G1604" t="s">
        <v>1</v>
      </c>
      <c r="H1604" t="s">
        <v>0</v>
      </c>
      <c r="I1604" t="s">
        <v>8165</v>
      </c>
      <c r="J1604" t="s">
        <v>8164</v>
      </c>
      <c r="K1604">
        <v>12343</v>
      </c>
      <c r="L1604">
        <v>12343</v>
      </c>
      <c r="M1604" t="s">
        <v>3271</v>
      </c>
      <c r="N1604" t="s">
        <v>3272</v>
      </c>
      <c r="O1604" s="3">
        <v>0</v>
      </c>
      <c r="P1604" s="3">
        <v>0</v>
      </c>
      <c r="Q1604" s="3">
        <v>530.88</v>
      </c>
      <c r="R1604" s="3">
        <v>69.014399999999995</v>
      </c>
      <c r="S1604" s="3">
        <v>0</v>
      </c>
      <c r="T1604" s="3">
        <v>0</v>
      </c>
      <c r="U1604" s="3">
        <v>599.89440000000002</v>
      </c>
      <c r="V1604" s="3" t="s">
        <v>8046</v>
      </c>
      <c r="W1604" s="3" t="s">
        <v>1</v>
      </c>
    </row>
    <row r="1605" spans="5:23" hidden="1" x14ac:dyDescent="0.25">
      <c r="E1605" t="s">
        <v>8387</v>
      </c>
      <c r="F1605" s="1" t="s">
        <v>8466</v>
      </c>
      <c r="G1605" t="s">
        <v>1</v>
      </c>
      <c r="H1605" t="s">
        <v>0</v>
      </c>
      <c r="I1605" t="s">
        <v>8165</v>
      </c>
      <c r="J1605" t="s">
        <v>8164</v>
      </c>
      <c r="K1605">
        <v>12344</v>
      </c>
      <c r="L1605">
        <v>12344</v>
      </c>
      <c r="M1605" t="s">
        <v>238</v>
      </c>
      <c r="N1605" t="s">
        <v>239</v>
      </c>
      <c r="O1605" s="3">
        <v>0</v>
      </c>
      <c r="P1605" s="3">
        <v>0</v>
      </c>
      <c r="Q1605" s="3">
        <v>313.66000000000003</v>
      </c>
      <c r="R1605" s="3">
        <v>40.775800000000004</v>
      </c>
      <c r="S1605" s="3">
        <v>0</v>
      </c>
      <c r="T1605" s="3">
        <v>0</v>
      </c>
      <c r="U1605" s="3">
        <v>354.43580000000003</v>
      </c>
      <c r="V1605" s="3" t="s">
        <v>8046</v>
      </c>
      <c r="W1605" s="3" t="s">
        <v>1</v>
      </c>
    </row>
    <row r="1606" spans="5:23" hidden="1" x14ac:dyDescent="0.25">
      <c r="E1606" t="s">
        <v>8387</v>
      </c>
      <c r="F1606" s="1" t="s">
        <v>8466</v>
      </c>
      <c r="G1606" t="s">
        <v>1</v>
      </c>
      <c r="H1606" t="s">
        <v>0</v>
      </c>
      <c r="I1606" t="s">
        <v>8165</v>
      </c>
      <c r="J1606" t="s">
        <v>8164</v>
      </c>
      <c r="K1606">
        <v>12345</v>
      </c>
      <c r="L1606">
        <v>12345</v>
      </c>
      <c r="M1606" t="s">
        <v>238</v>
      </c>
      <c r="N1606" t="s">
        <v>239</v>
      </c>
      <c r="O1606" s="3">
        <v>0</v>
      </c>
      <c r="P1606" s="3">
        <v>0</v>
      </c>
      <c r="Q1606" s="3">
        <v>188.16</v>
      </c>
      <c r="R1606" s="3">
        <v>24.460799999999999</v>
      </c>
      <c r="S1606" s="3">
        <v>0</v>
      </c>
      <c r="T1606" s="3">
        <v>0</v>
      </c>
      <c r="U1606" s="3">
        <v>212.6208</v>
      </c>
      <c r="V1606" s="3" t="s">
        <v>8046</v>
      </c>
      <c r="W1606" s="3" t="s">
        <v>1</v>
      </c>
    </row>
    <row r="1607" spans="5:23" hidden="1" x14ac:dyDescent="0.25">
      <c r="E1607" t="s">
        <v>8387</v>
      </c>
      <c r="F1607" s="1" t="s">
        <v>8465</v>
      </c>
      <c r="G1607" t="s">
        <v>1</v>
      </c>
      <c r="H1607" t="s">
        <v>0</v>
      </c>
      <c r="I1607" t="s">
        <v>8165</v>
      </c>
      <c r="J1607" t="s">
        <v>8164</v>
      </c>
      <c r="K1607">
        <v>12346</v>
      </c>
      <c r="L1607">
        <v>12346</v>
      </c>
      <c r="M1607" t="s">
        <v>8186</v>
      </c>
      <c r="N1607" t="s">
        <v>8187</v>
      </c>
      <c r="O1607" s="3">
        <v>0</v>
      </c>
      <c r="P1607" s="3">
        <v>0</v>
      </c>
      <c r="Q1607" s="3">
        <v>538.91999999999996</v>
      </c>
      <c r="R1607" s="3">
        <v>70.059600000000003</v>
      </c>
      <c r="S1607" s="3">
        <v>0</v>
      </c>
      <c r="T1607" s="3">
        <v>0</v>
      </c>
      <c r="U1607" s="3">
        <v>608.9796</v>
      </c>
      <c r="V1607" s="3" t="s">
        <v>8046</v>
      </c>
      <c r="W1607" s="3" t="s">
        <v>1</v>
      </c>
    </row>
    <row r="1608" spans="5:23" hidden="1" x14ac:dyDescent="0.25">
      <c r="E1608" t="s">
        <v>8387</v>
      </c>
      <c r="F1608" s="1" t="s">
        <v>8465</v>
      </c>
      <c r="G1608" t="s">
        <v>1</v>
      </c>
      <c r="H1608" t="s">
        <v>0</v>
      </c>
      <c r="I1608" t="s">
        <v>8165</v>
      </c>
      <c r="J1608" t="s">
        <v>8164</v>
      </c>
      <c r="K1608">
        <v>12347</v>
      </c>
      <c r="L1608">
        <v>12347</v>
      </c>
      <c r="M1608" t="s">
        <v>8236</v>
      </c>
      <c r="N1608" t="s">
        <v>8237</v>
      </c>
      <c r="O1608" s="3">
        <v>0</v>
      </c>
      <c r="P1608" s="3">
        <v>0</v>
      </c>
      <c r="Q1608" s="3">
        <v>339.94</v>
      </c>
      <c r="R1608" s="3">
        <v>44.1922</v>
      </c>
      <c r="S1608" s="3">
        <v>0</v>
      </c>
      <c r="T1608" s="3">
        <v>0</v>
      </c>
      <c r="U1608" s="3">
        <v>384.13220000000001</v>
      </c>
      <c r="V1608" s="3" t="s">
        <v>8046</v>
      </c>
      <c r="W1608" s="3" t="s">
        <v>1</v>
      </c>
    </row>
    <row r="1609" spans="5:23" hidden="1" x14ac:dyDescent="0.25">
      <c r="E1609" t="s">
        <v>8387</v>
      </c>
      <c r="F1609" s="1" t="s">
        <v>8465</v>
      </c>
      <c r="G1609" t="s">
        <v>1</v>
      </c>
      <c r="H1609" t="s">
        <v>0</v>
      </c>
      <c r="I1609" t="s">
        <v>8165</v>
      </c>
      <c r="J1609" t="s">
        <v>8164</v>
      </c>
      <c r="K1609">
        <v>12348</v>
      </c>
      <c r="L1609">
        <v>12348</v>
      </c>
      <c r="M1609" t="s">
        <v>8316</v>
      </c>
      <c r="N1609" t="s">
        <v>8317</v>
      </c>
      <c r="O1609" s="3">
        <v>0</v>
      </c>
      <c r="P1609" s="3">
        <v>0</v>
      </c>
      <c r="Q1609" s="3">
        <v>265.5</v>
      </c>
      <c r="R1609" s="3">
        <v>34.515000000000001</v>
      </c>
      <c r="S1609" s="3">
        <v>0</v>
      </c>
      <c r="T1609" s="3">
        <v>0</v>
      </c>
      <c r="U1609" s="3">
        <v>300.01499999999999</v>
      </c>
      <c r="V1609" s="3" t="s">
        <v>8046</v>
      </c>
      <c r="W1609" s="3" t="s">
        <v>1</v>
      </c>
    </row>
    <row r="1610" spans="5:23" hidden="1" x14ac:dyDescent="0.25">
      <c r="E1610" t="s">
        <v>8387</v>
      </c>
      <c r="F1610" s="1" t="s">
        <v>8465</v>
      </c>
      <c r="G1610" t="s">
        <v>1</v>
      </c>
      <c r="H1610" t="s">
        <v>0</v>
      </c>
      <c r="I1610" t="s">
        <v>8165</v>
      </c>
      <c r="J1610" t="s">
        <v>8164</v>
      </c>
      <c r="K1610">
        <v>12349</v>
      </c>
      <c r="L1610">
        <v>12349</v>
      </c>
      <c r="M1610" t="s">
        <v>8234</v>
      </c>
      <c r="N1610" t="s">
        <v>8235</v>
      </c>
      <c r="O1610" s="3">
        <v>0</v>
      </c>
      <c r="P1610" s="3">
        <v>0</v>
      </c>
      <c r="Q1610" s="3">
        <v>500.28</v>
      </c>
      <c r="R1610" s="3">
        <v>65.0364</v>
      </c>
      <c r="S1610" s="3">
        <v>0</v>
      </c>
      <c r="T1610" s="3">
        <v>0</v>
      </c>
      <c r="U1610" s="3">
        <v>565.31639999999993</v>
      </c>
      <c r="V1610" s="3" t="s">
        <v>8046</v>
      </c>
      <c r="W1610" s="3" t="s">
        <v>1</v>
      </c>
    </row>
    <row r="1611" spans="5:23" hidden="1" x14ac:dyDescent="0.25">
      <c r="E1611" t="s">
        <v>8387</v>
      </c>
      <c r="F1611" s="1" t="s">
        <v>8464</v>
      </c>
      <c r="G1611" t="s">
        <v>1</v>
      </c>
      <c r="H1611" t="s">
        <v>0</v>
      </c>
      <c r="I1611" t="s">
        <v>8165</v>
      </c>
      <c r="J1611" t="s">
        <v>8164</v>
      </c>
      <c r="K1611">
        <v>12350</v>
      </c>
      <c r="L1611">
        <v>12350</v>
      </c>
      <c r="M1611" t="s">
        <v>1062</v>
      </c>
      <c r="N1611" t="s">
        <v>1063</v>
      </c>
      <c r="O1611" s="3">
        <v>0</v>
      </c>
      <c r="P1611" s="3">
        <v>0</v>
      </c>
      <c r="Q1611" s="3">
        <v>456.64</v>
      </c>
      <c r="R1611" s="3">
        <v>59.363199999999999</v>
      </c>
      <c r="S1611" s="3">
        <v>0</v>
      </c>
      <c r="T1611" s="3">
        <v>0</v>
      </c>
      <c r="U1611" s="3">
        <v>516.00319999999999</v>
      </c>
      <c r="V1611" s="3" t="s">
        <v>8046</v>
      </c>
      <c r="W1611" s="3" t="s">
        <v>1</v>
      </c>
    </row>
    <row r="1612" spans="5:23" hidden="1" x14ac:dyDescent="0.25">
      <c r="E1612" t="s">
        <v>8387</v>
      </c>
      <c r="F1612" s="1" t="s">
        <v>8464</v>
      </c>
      <c r="G1612" t="s">
        <v>1</v>
      </c>
      <c r="H1612" t="s">
        <v>0</v>
      </c>
      <c r="I1612" t="s">
        <v>8165</v>
      </c>
      <c r="J1612" t="s">
        <v>8164</v>
      </c>
      <c r="K1612">
        <v>12351</v>
      </c>
      <c r="L1612">
        <v>12351</v>
      </c>
      <c r="M1612" t="s">
        <v>8209</v>
      </c>
      <c r="N1612" t="s">
        <v>8210</v>
      </c>
      <c r="O1612" s="3">
        <v>0</v>
      </c>
      <c r="P1612" s="3">
        <v>0</v>
      </c>
      <c r="Q1612" s="3">
        <v>1252.5</v>
      </c>
      <c r="R1612" s="3">
        <v>162.82500000000002</v>
      </c>
      <c r="S1612" s="3">
        <v>0</v>
      </c>
      <c r="T1612" s="3">
        <v>0</v>
      </c>
      <c r="U1612" s="3">
        <v>1415.325</v>
      </c>
      <c r="V1612" s="3" t="s">
        <v>8046</v>
      </c>
      <c r="W1612" s="3" t="s">
        <v>1</v>
      </c>
    </row>
    <row r="1613" spans="5:23" hidden="1" x14ac:dyDescent="0.25">
      <c r="E1613" t="s">
        <v>8387</v>
      </c>
      <c r="F1613" s="1" t="s">
        <v>8464</v>
      </c>
      <c r="G1613" t="s">
        <v>1</v>
      </c>
      <c r="H1613" t="s">
        <v>0</v>
      </c>
      <c r="I1613" t="s">
        <v>8165</v>
      </c>
      <c r="J1613" t="s">
        <v>8164</v>
      </c>
      <c r="K1613">
        <v>12352</v>
      </c>
      <c r="L1613">
        <v>12352</v>
      </c>
      <c r="M1613" t="s">
        <v>129</v>
      </c>
      <c r="N1613" t="s">
        <v>130</v>
      </c>
      <c r="O1613" s="3">
        <v>0</v>
      </c>
      <c r="P1613" s="3">
        <v>0</v>
      </c>
      <c r="Q1613" s="3">
        <v>375.26</v>
      </c>
      <c r="R1613" s="3">
        <v>48.783799999999999</v>
      </c>
      <c r="S1613" s="3">
        <v>0</v>
      </c>
      <c r="T1613" s="3">
        <v>0</v>
      </c>
      <c r="U1613" s="3">
        <v>424.04379999999998</v>
      </c>
      <c r="V1613" s="3" t="s">
        <v>8046</v>
      </c>
      <c r="W1613" s="3" t="s">
        <v>1</v>
      </c>
    </row>
    <row r="1614" spans="5:23" hidden="1" x14ac:dyDescent="0.25">
      <c r="E1614" t="s">
        <v>8387</v>
      </c>
      <c r="F1614" s="1" t="s">
        <v>8464</v>
      </c>
      <c r="G1614" t="s">
        <v>1</v>
      </c>
      <c r="H1614" t="s">
        <v>0</v>
      </c>
      <c r="I1614" t="s">
        <v>8165</v>
      </c>
      <c r="J1614" t="s">
        <v>8164</v>
      </c>
      <c r="K1614">
        <v>12353</v>
      </c>
      <c r="L1614">
        <v>12353</v>
      </c>
      <c r="M1614" t="s">
        <v>8209</v>
      </c>
      <c r="N1614" t="s">
        <v>8210</v>
      </c>
      <c r="O1614" s="3">
        <v>0</v>
      </c>
      <c r="P1614" s="3">
        <v>0</v>
      </c>
      <c r="Q1614" s="3">
        <v>159.30000000000001</v>
      </c>
      <c r="R1614" s="3">
        <v>20.709000000000003</v>
      </c>
      <c r="S1614" s="3">
        <v>0</v>
      </c>
      <c r="T1614" s="3">
        <v>0</v>
      </c>
      <c r="U1614" s="3">
        <v>180.00900000000001</v>
      </c>
      <c r="V1614" s="3" t="s">
        <v>8046</v>
      </c>
      <c r="W1614" s="3" t="s">
        <v>1</v>
      </c>
    </row>
    <row r="1615" spans="5:23" hidden="1" x14ac:dyDescent="0.25">
      <c r="E1615" t="s">
        <v>8387</v>
      </c>
      <c r="F1615" s="1" t="s">
        <v>8464</v>
      </c>
      <c r="G1615" t="s">
        <v>1</v>
      </c>
      <c r="H1615" t="s">
        <v>0</v>
      </c>
      <c r="I1615" t="s">
        <v>8165</v>
      </c>
      <c r="J1615" t="s">
        <v>8164</v>
      </c>
      <c r="K1615">
        <v>12354</v>
      </c>
      <c r="L1615">
        <v>12354</v>
      </c>
      <c r="M1615" t="s">
        <v>1062</v>
      </c>
      <c r="N1615" t="s">
        <v>1063</v>
      </c>
      <c r="O1615" s="3">
        <v>0</v>
      </c>
      <c r="P1615" s="3">
        <v>0</v>
      </c>
      <c r="Q1615" s="3">
        <v>69.02</v>
      </c>
      <c r="R1615" s="3">
        <v>8.9725999999999999</v>
      </c>
      <c r="S1615" s="3">
        <v>0</v>
      </c>
      <c r="T1615" s="3">
        <v>0</v>
      </c>
      <c r="U1615" s="3">
        <v>77.992599999999996</v>
      </c>
      <c r="V1615" s="3" t="s">
        <v>8046</v>
      </c>
      <c r="W1615" s="3" t="s">
        <v>1</v>
      </c>
    </row>
    <row r="1616" spans="5:23" hidden="1" x14ac:dyDescent="0.25">
      <c r="E1616" t="s">
        <v>8387</v>
      </c>
      <c r="F1616" s="1" t="s">
        <v>8464</v>
      </c>
      <c r="G1616" t="s">
        <v>1</v>
      </c>
      <c r="H1616" t="s">
        <v>0</v>
      </c>
      <c r="I1616" t="s">
        <v>8165</v>
      </c>
      <c r="J1616" t="s">
        <v>8164</v>
      </c>
      <c r="K1616">
        <v>12355</v>
      </c>
      <c r="L1616">
        <v>12355</v>
      </c>
      <c r="M1616" t="s">
        <v>8296</v>
      </c>
      <c r="N1616" t="s">
        <v>8297</v>
      </c>
      <c r="O1616" s="3">
        <v>0</v>
      </c>
      <c r="P1616" s="3">
        <v>0</v>
      </c>
      <c r="Q1616" s="3">
        <v>24.34</v>
      </c>
      <c r="R1616" s="3">
        <v>3.1642000000000001</v>
      </c>
      <c r="S1616" s="3">
        <v>0</v>
      </c>
      <c r="T1616" s="3">
        <v>0</v>
      </c>
      <c r="U1616" s="3">
        <v>27.504200000000001</v>
      </c>
      <c r="V1616" s="3" t="s">
        <v>8046</v>
      </c>
      <c r="W1616" s="3" t="s">
        <v>1</v>
      </c>
    </row>
    <row r="1617" spans="5:23" hidden="1" x14ac:dyDescent="0.25">
      <c r="E1617" t="s">
        <v>8387</v>
      </c>
      <c r="F1617" s="1" t="s">
        <v>8464</v>
      </c>
      <c r="G1617" t="s">
        <v>1</v>
      </c>
      <c r="H1617" t="s">
        <v>0</v>
      </c>
      <c r="I1617" t="s">
        <v>8165</v>
      </c>
      <c r="J1617" t="s">
        <v>8164</v>
      </c>
      <c r="K1617">
        <v>12356</v>
      </c>
      <c r="L1617">
        <v>12356</v>
      </c>
      <c r="M1617" t="s">
        <v>8207</v>
      </c>
      <c r="N1617" t="s">
        <v>8208</v>
      </c>
      <c r="O1617" s="3">
        <v>0</v>
      </c>
      <c r="P1617" s="3">
        <v>0</v>
      </c>
      <c r="Q1617" s="3">
        <v>141.30000000000001</v>
      </c>
      <c r="R1617" s="3">
        <v>18.369000000000003</v>
      </c>
      <c r="S1617" s="3">
        <v>0</v>
      </c>
      <c r="T1617" s="3">
        <v>0</v>
      </c>
      <c r="U1617" s="3">
        <v>159.66900000000001</v>
      </c>
      <c r="V1617" s="3" t="s">
        <v>8046</v>
      </c>
      <c r="W1617" s="3" t="s">
        <v>1</v>
      </c>
    </row>
    <row r="1618" spans="5:23" hidden="1" x14ac:dyDescent="0.25">
      <c r="E1618" t="s">
        <v>8387</v>
      </c>
      <c r="F1618" s="1" t="s">
        <v>8464</v>
      </c>
      <c r="G1618" t="s">
        <v>1</v>
      </c>
      <c r="H1618" t="s">
        <v>0</v>
      </c>
      <c r="I1618" t="s">
        <v>8165</v>
      </c>
      <c r="J1618" t="s">
        <v>8164</v>
      </c>
      <c r="K1618">
        <v>12357</v>
      </c>
      <c r="L1618">
        <v>12357</v>
      </c>
      <c r="M1618" t="s">
        <v>1423</v>
      </c>
      <c r="N1618" t="s">
        <v>1424</v>
      </c>
      <c r="O1618" s="3">
        <v>0</v>
      </c>
      <c r="P1618" s="3">
        <v>0</v>
      </c>
      <c r="Q1618" s="3">
        <v>61.98</v>
      </c>
      <c r="R1618" s="3">
        <v>8.0573999999999995</v>
      </c>
      <c r="S1618" s="3">
        <v>0</v>
      </c>
      <c r="T1618" s="3">
        <v>0</v>
      </c>
      <c r="U1618" s="3">
        <v>70.037399999999991</v>
      </c>
      <c r="V1618" s="3" t="s">
        <v>8046</v>
      </c>
      <c r="W1618" s="3" t="s">
        <v>1</v>
      </c>
    </row>
    <row r="1619" spans="5:23" hidden="1" x14ac:dyDescent="0.25">
      <c r="E1619" t="s">
        <v>8387</v>
      </c>
      <c r="F1619" s="1" t="s">
        <v>8455</v>
      </c>
      <c r="G1619" t="s">
        <v>1</v>
      </c>
      <c r="H1619" t="s">
        <v>0</v>
      </c>
      <c r="I1619" t="s">
        <v>8165</v>
      </c>
      <c r="J1619" t="s">
        <v>8164</v>
      </c>
      <c r="K1619">
        <v>12358</v>
      </c>
      <c r="L1619">
        <v>12358</v>
      </c>
      <c r="M1619" t="s">
        <v>8462</v>
      </c>
      <c r="N1619" t="s">
        <v>8463</v>
      </c>
      <c r="O1619" s="3">
        <v>0</v>
      </c>
      <c r="P1619" s="3">
        <v>0</v>
      </c>
      <c r="Q1619" s="3">
        <v>123</v>
      </c>
      <c r="R1619" s="3">
        <v>15.99</v>
      </c>
      <c r="S1619" s="3">
        <v>0</v>
      </c>
      <c r="T1619" s="3">
        <v>0</v>
      </c>
      <c r="U1619" s="3">
        <v>138.99</v>
      </c>
      <c r="V1619" s="3" t="s">
        <v>8046</v>
      </c>
      <c r="W1619" s="3" t="s">
        <v>1</v>
      </c>
    </row>
    <row r="1620" spans="5:23" hidden="1" x14ac:dyDescent="0.25">
      <c r="E1620" t="s">
        <v>8387</v>
      </c>
      <c r="F1620" s="1" t="s">
        <v>8455</v>
      </c>
      <c r="G1620" t="s">
        <v>1</v>
      </c>
      <c r="H1620" t="s">
        <v>0</v>
      </c>
      <c r="I1620" t="s">
        <v>8165</v>
      </c>
      <c r="J1620" t="s">
        <v>8164</v>
      </c>
      <c r="K1620">
        <v>12359</v>
      </c>
      <c r="L1620">
        <v>12359</v>
      </c>
      <c r="M1620" t="s">
        <v>8166</v>
      </c>
      <c r="N1620" t="s">
        <v>8167</v>
      </c>
      <c r="O1620" s="3">
        <v>0</v>
      </c>
      <c r="P1620" s="3">
        <v>0</v>
      </c>
      <c r="Q1620" s="3">
        <v>585.17999999999995</v>
      </c>
      <c r="R1620" s="3">
        <v>76.073399999999992</v>
      </c>
      <c r="S1620" s="3">
        <v>0</v>
      </c>
      <c r="T1620" s="3">
        <v>0</v>
      </c>
      <c r="U1620" s="3">
        <v>661.25339999999994</v>
      </c>
      <c r="V1620" s="3" t="s">
        <v>8046</v>
      </c>
      <c r="W1620" s="3" t="s">
        <v>1</v>
      </c>
    </row>
    <row r="1621" spans="5:23" hidden="1" x14ac:dyDescent="0.25">
      <c r="E1621" t="s">
        <v>8387</v>
      </c>
      <c r="F1621" s="1" t="s">
        <v>8455</v>
      </c>
      <c r="G1621" t="s">
        <v>1</v>
      </c>
      <c r="H1621" t="s">
        <v>0</v>
      </c>
      <c r="I1621" t="s">
        <v>8165</v>
      </c>
      <c r="J1621" t="s">
        <v>8164</v>
      </c>
      <c r="K1621">
        <v>12360</v>
      </c>
      <c r="L1621">
        <v>12360</v>
      </c>
      <c r="M1621" t="s">
        <v>8234</v>
      </c>
      <c r="N1621" t="s">
        <v>8235</v>
      </c>
      <c r="O1621" s="3">
        <v>0</v>
      </c>
      <c r="P1621" s="3">
        <v>0</v>
      </c>
      <c r="Q1621" s="3">
        <v>245.36</v>
      </c>
      <c r="R1621" s="3">
        <v>31.896800000000002</v>
      </c>
      <c r="S1621" s="3">
        <v>0</v>
      </c>
      <c r="T1621" s="3">
        <v>0</v>
      </c>
      <c r="U1621" s="3">
        <v>277.2568</v>
      </c>
      <c r="V1621" s="3" t="s">
        <v>8046</v>
      </c>
      <c r="W1621" s="3" t="s">
        <v>1</v>
      </c>
    </row>
    <row r="1622" spans="5:23" hidden="1" x14ac:dyDescent="0.25">
      <c r="E1622" t="s">
        <v>8387</v>
      </c>
      <c r="F1622" s="1" t="s">
        <v>8455</v>
      </c>
      <c r="G1622" t="s">
        <v>1</v>
      </c>
      <c r="H1622" t="s">
        <v>0</v>
      </c>
      <c r="I1622" t="s">
        <v>8165</v>
      </c>
      <c r="J1622" t="s">
        <v>8164</v>
      </c>
      <c r="K1622">
        <v>12361</v>
      </c>
      <c r="L1622">
        <v>12361</v>
      </c>
      <c r="M1622" t="s">
        <v>115</v>
      </c>
      <c r="N1622" t="s">
        <v>116</v>
      </c>
      <c r="O1622" s="3">
        <v>0</v>
      </c>
      <c r="P1622" s="3">
        <v>0</v>
      </c>
      <c r="Q1622" s="3">
        <v>379.2</v>
      </c>
      <c r="R1622" s="3">
        <v>49.295999999999999</v>
      </c>
      <c r="S1622" s="3">
        <v>0</v>
      </c>
      <c r="T1622" s="3">
        <v>0</v>
      </c>
      <c r="U1622" s="3">
        <v>428.49599999999998</v>
      </c>
      <c r="V1622" s="3" t="s">
        <v>8046</v>
      </c>
      <c r="W1622" s="3" t="s">
        <v>1</v>
      </c>
    </row>
    <row r="1623" spans="5:23" hidden="1" x14ac:dyDescent="0.25">
      <c r="E1623" t="s">
        <v>8387</v>
      </c>
      <c r="F1623" s="1" t="s">
        <v>8455</v>
      </c>
      <c r="G1623" t="s">
        <v>1</v>
      </c>
      <c r="H1623" t="s">
        <v>0</v>
      </c>
      <c r="I1623" t="s">
        <v>8165</v>
      </c>
      <c r="J1623" t="s">
        <v>8164</v>
      </c>
      <c r="K1623">
        <v>12362</v>
      </c>
      <c r="L1623">
        <v>12362</v>
      </c>
      <c r="M1623" t="s">
        <v>7852</v>
      </c>
      <c r="N1623" t="s">
        <v>7851</v>
      </c>
      <c r="O1623" s="3">
        <v>0</v>
      </c>
      <c r="P1623" s="3">
        <v>0</v>
      </c>
      <c r="Q1623" s="3">
        <v>0</v>
      </c>
      <c r="R1623" s="3">
        <v>0</v>
      </c>
      <c r="S1623" s="3">
        <v>0</v>
      </c>
      <c r="T1623" s="3">
        <v>0</v>
      </c>
      <c r="U1623" s="3">
        <v>0</v>
      </c>
      <c r="V1623" s="3" t="s">
        <v>8046</v>
      </c>
      <c r="W1623" s="3" t="s">
        <v>1</v>
      </c>
    </row>
    <row r="1624" spans="5:23" hidden="1" x14ac:dyDescent="0.25">
      <c r="E1624" t="s">
        <v>8387</v>
      </c>
      <c r="F1624" s="1" t="s">
        <v>8455</v>
      </c>
      <c r="G1624" t="s">
        <v>1</v>
      </c>
      <c r="H1624" t="s">
        <v>0</v>
      </c>
      <c r="I1624" t="s">
        <v>8165</v>
      </c>
      <c r="J1624" t="s">
        <v>8164</v>
      </c>
      <c r="K1624">
        <v>12363</v>
      </c>
      <c r="L1624">
        <v>12363</v>
      </c>
      <c r="M1624" t="s">
        <v>8168</v>
      </c>
      <c r="N1624" t="s">
        <v>8169</v>
      </c>
      <c r="O1624" s="3">
        <v>0</v>
      </c>
      <c r="P1624" s="3">
        <v>0</v>
      </c>
      <c r="Q1624" s="3">
        <v>163.56</v>
      </c>
      <c r="R1624" s="3">
        <v>21.262800000000002</v>
      </c>
      <c r="S1624" s="3">
        <v>0</v>
      </c>
      <c r="T1624" s="3">
        <v>0</v>
      </c>
      <c r="U1624" s="3">
        <v>184.8228</v>
      </c>
      <c r="V1624" s="3" t="s">
        <v>8046</v>
      </c>
      <c r="W1624" s="3" t="s">
        <v>1</v>
      </c>
    </row>
    <row r="1625" spans="5:23" hidden="1" x14ac:dyDescent="0.25">
      <c r="E1625" t="s">
        <v>8387</v>
      </c>
      <c r="F1625" s="1" t="s">
        <v>8455</v>
      </c>
      <c r="G1625" t="s">
        <v>1</v>
      </c>
      <c r="H1625" t="s">
        <v>0</v>
      </c>
      <c r="I1625" t="s">
        <v>8165</v>
      </c>
      <c r="J1625" t="s">
        <v>8164</v>
      </c>
      <c r="K1625">
        <v>12364</v>
      </c>
      <c r="L1625">
        <v>12364</v>
      </c>
      <c r="M1625" t="s">
        <v>8460</v>
      </c>
      <c r="N1625" t="s">
        <v>8461</v>
      </c>
      <c r="O1625" s="3">
        <v>0</v>
      </c>
      <c r="P1625" s="3">
        <v>0</v>
      </c>
      <c r="Q1625" s="3">
        <v>51</v>
      </c>
      <c r="R1625" s="3">
        <v>6.63</v>
      </c>
      <c r="S1625" s="3">
        <v>0</v>
      </c>
      <c r="T1625" s="3">
        <v>0</v>
      </c>
      <c r="U1625" s="3">
        <v>57.63</v>
      </c>
      <c r="V1625" s="3" t="s">
        <v>8046</v>
      </c>
      <c r="W1625" s="3" t="s">
        <v>1</v>
      </c>
    </row>
    <row r="1626" spans="5:23" hidden="1" x14ac:dyDescent="0.25">
      <c r="E1626" t="s">
        <v>8387</v>
      </c>
      <c r="F1626" s="1" t="s">
        <v>8455</v>
      </c>
      <c r="G1626" t="s">
        <v>1</v>
      </c>
      <c r="H1626" t="s">
        <v>0</v>
      </c>
      <c r="I1626" t="s">
        <v>8165</v>
      </c>
      <c r="J1626" t="s">
        <v>8164</v>
      </c>
      <c r="K1626">
        <v>12365</v>
      </c>
      <c r="L1626">
        <v>12365</v>
      </c>
      <c r="M1626" t="s">
        <v>8326</v>
      </c>
      <c r="N1626" t="s">
        <v>8327</v>
      </c>
      <c r="O1626" s="3">
        <v>0</v>
      </c>
      <c r="P1626" s="3">
        <v>0</v>
      </c>
      <c r="Q1626" s="3">
        <v>46.47</v>
      </c>
      <c r="R1626" s="3">
        <v>6.0411000000000001</v>
      </c>
      <c r="S1626" s="3">
        <v>0</v>
      </c>
      <c r="T1626" s="3">
        <v>0</v>
      </c>
      <c r="U1626" s="3">
        <v>52.511099999999999</v>
      </c>
      <c r="V1626" s="3" t="s">
        <v>8046</v>
      </c>
      <c r="W1626" s="3" t="s">
        <v>1</v>
      </c>
    </row>
    <row r="1627" spans="5:23" hidden="1" x14ac:dyDescent="0.25">
      <c r="E1627" t="s">
        <v>8387</v>
      </c>
      <c r="F1627" s="1" t="s">
        <v>8455</v>
      </c>
      <c r="G1627" t="s">
        <v>1</v>
      </c>
      <c r="H1627" t="s">
        <v>0</v>
      </c>
      <c r="I1627" t="s">
        <v>8165</v>
      </c>
      <c r="J1627" t="s">
        <v>8164</v>
      </c>
      <c r="K1627">
        <v>12366</v>
      </c>
      <c r="L1627">
        <v>12366</v>
      </c>
      <c r="M1627" t="s">
        <v>8326</v>
      </c>
      <c r="N1627" t="s">
        <v>8327</v>
      </c>
      <c r="O1627" s="3">
        <v>0</v>
      </c>
      <c r="P1627" s="3">
        <v>0</v>
      </c>
      <c r="Q1627" s="3">
        <v>27.38</v>
      </c>
      <c r="R1627" s="3">
        <v>3.5594000000000001</v>
      </c>
      <c r="S1627" s="3">
        <v>0</v>
      </c>
      <c r="T1627" s="3">
        <v>0</v>
      </c>
      <c r="U1627" s="3">
        <v>30.939399999999999</v>
      </c>
      <c r="V1627" s="3" t="s">
        <v>8046</v>
      </c>
      <c r="W1627" s="3" t="s">
        <v>1</v>
      </c>
    </row>
    <row r="1628" spans="5:23" hidden="1" x14ac:dyDescent="0.25">
      <c r="E1628" t="s">
        <v>8387</v>
      </c>
      <c r="F1628" s="1" t="s">
        <v>8455</v>
      </c>
      <c r="G1628" t="s">
        <v>1</v>
      </c>
      <c r="H1628" t="s">
        <v>0</v>
      </c>
      <c r="I1628" t="s">
        <v>8165</v>
      </c>
      <c r="J1628" t="s">
        <v>8164</v>
      </c>
      <c r="K1628">
        <v>12367</v>
      </c>
      <c r="L1628">
        <v>12367</v>
      </c>
      <c r="M1628" t="s">
        <v>8458</v>
      </c>
      <c r="N1628" t="s">
        <v>8459</v>
      </c>
      <c r="O1628" s="3">
        <v>0</v>
      </c>
      <c r="P1628" s="3">
        <v>0</v>
      </c>
      <c r="Q1628" s="3">
        <v>123</v>
      </c>
      <c r="R1628" s="3">
        <v>15.99</v>
      </c>
      <c r="S1628" s="3">
        <v>0</v>
      </c>
      <c r="T1628" s="3">
        <v>0</v>
      </c>
      <c r="U1628" s="3">
        <v>138.99</v>
      </c>
      <c r="V1628" s="3" t="s">
        <v>8046</v>
      </c>
      <c r="W1628" s="3" t="s">
        <v>1</v>
      </c>
    </row>
    <row r="1629" spans="5:23" hidden="1" x14ac:dyDescent="0.25">
      <c r="E1629" t="s">
        <v>8387</v>
      </c>
      <c r="F1629" s="1" t="s">
        <v>8455</v>
      </c>
      <c r="G1629" t="s">
        <v>1</v>
      </c>
      <c r="H1629" t="s">
        <v>0</v>
      </c>
      <c r="I1629" t="s">
        <v>8165</v>
      </c>
      <c r="J1629" t="s">
        <v>8164</v>
      </c>
      <c r="K1629">
        <v>12368</v>
      </c>
      <c r="L1629">
        <v>12368</v>
      </c>
      <c r="M1629" t="s">
        <v>7852</v>
      </c>
      <c r="N1629" t="s">
        <v>7851</v>
      </c>
      <c r="O1629" s="3">
        <v>0</v>
      </c>
      <c r="P1629" s="3">
        <v>0</v>
      </c>
      <c r="Q1629" s="3">
        <v>0</v>
      </c>
      <c r="R1629" s="3">
        <v>0</v>
      </c>
      <c r="S1629" s="3">
        <v>0</v>
      </c>
      <c r="T1629" s="3">
        <v>0</v>
      </c>
      <c r="U1629" s="3">
        <v>0</v>
      </c>
      <c r="V1629" s="3" t="s">
        <v>8046</v>
      </c>
      <c r="W1629" s="3" t="s">
        <v>1</v>
      </c>
    </row>
    <row r="1630" spans="5:23" hidden="1" x14ac:dyDescent="0.25">
      <c r="E1630" t="s">
        <v>8387</v>
      </c>
      <c r="F1630" s="1" t="s">
        <v>8455</v>
      </c>
      <c r="G1630" t="s">
        <v>1</v>
      </c>
      <c r="H1630" t="s">
        <v>0</v>
      </c>
      <c r="I1630" t="s">
        <v>8165</v>
      </c>
      <c r="J1630" t="s">
        <v>8164</v>
      </c>
      <c r="K1630">
        <v>12369</v>
      </c>
      <c r="L1630">
        <v>12369</v>
      </c>
      <c r="M1630" t="s">
        <v>7869</v>
      </c>
      <c r="N1630" t="s">
        <v>7870</v>
      </c>
      <c r="O1630" s="3">
        <v>0</v>
      </c>
      <c r="P1630" s="3">
        <v>0</v>
      </c>
      <c r="Q1630" s="3">
        <v>229.96</v>
      </c>
      <c r="R1630" s="3">
        <v>29.894800000000004</v>
      </c>
      <c r="S1630" s="3">
        <v>0</v>
      </c>
      <c r="T1630" s="3">
        <v>0</v>
      </c>
      <c r="U1630" s="3">
        <v>259.85480000000001</v>
      </c>
      <c r="V1630" s="3" t="s">
        <v>8046</v>
      </c>
      <c r="W1630" s="3" t="s">
        <v>1</v>
      </c>
    </row>
    <row r="1631" spans="5:23" hidden="1" x14ac:dyDescent="0.25">
      <c r="E1631" t="s">
        <v>8387</v>
      </c>
      <c r="F1631" s="1" t="s">
        <v>8455</v>
      </c>
      <c r="G1631" t="s">
        <v>1</v>
      </c>
      <c r="H1631" t="s">
        <v>0</v>
      </c>
      <c r="I1631" t="s">
        <v>8165</v>
      </c>
      <c r="J1631" t="s">
        <v>8164</v>
      </c>
      <c r="K1631">
        <v>12370</v>
      </c>
      <c r="L1631">
        <v>12370</v>
      </c>
      <c r="M1631" t="s">
        <v>8456</v>
      </c>
      <c r="N1631" t="s">
        <v>8457</v>
      </c>
      <c r="O1631" s="3">
        <v>0</v>
      </c>
      <c r="P1631" s="3">
        <v>0</v>
      </c>
      <c r="Q1631" s="3">
        <v>130.65</v>
      </c>
      <c r="R1631" s="3">
        <v>16.984500000000001</v>
      </c>
      <c r="S1631" s="3">
        <v>0</v>
      </c>
      <c r="T1631" s="3">
        <v>0</v>
      </c>
      <c r="U1631" s="3">
        <v>147.6345</v>
      </c>
      <c r="V1631" s="3" t="s">
        <v>8046</v>
      </c>
      <c r="W1631" s="3" t="s">
        <v>1</v>
      </c>
    </row>
    <row r="1632" spans="5:23" hidden="1" x14ac:dyDescent="0.25">
      <c r="E1632" t="s">
        <v>8387</v>
      </c>
      <c r="F1632" s="1" t="s">
        <v>8455</v>
      </c>
      <c r="G1632" t="s">
        <v>1</v>
      </c>
      <c r="H1632" t="s">
        <v>0</v>
      </c>
      <c r="I1632" t="s">
        <v>8165</v>
      </c>
      <c r="J1632" t="s">
        <v>8164</v>
      </c>
      <c r="K1632">
        <v>12371</v>
      </c>
      <c r="L1632">
        <v>12371</v>
      </c>
      <c r="M1632" t="s">
        <v>8456</v>
      </c>
      <c r="N1632" t="s">
        <v>8457</v>
      </c>
      <c r="O1632" s="3">
        <v>0</v>
      </c>
      <c r="P1632" s="3">
        <v>0</v>
      </c>
      <c r="Q1632" s="3">
        <v>92.25</v>
      </c>
      <c r="R1632" s="3">
        <v>11.9925</v>
      </c>
      <c r="S1632" s="3">
        <v>0</v>
      </c>
      <c r="T1632" s="3">
        <v>0</v>
      </c>
      <c r="U1632" s="3">
        <v>104.24250000000001</v>
      </c>
      <c r="V1632" s="3" t="s">
        <v>8046</v>
      </c>
      <c r="W1632" s="3" t="s">
        <v>1</v>
      </c>
    </row>
    <row r="1633" spans="5:23" hidden="1" x14ac:dyDescent="0.25">
      <c r="E1633" t="s">
        <v>8387</v>
      </c>
      <c r="F1633" s="1" t="s">
        <v>8455</v>
      </c>
      <c r="G1633" t="s">
        <v>1</v>
      </c>
      <c r="H1633" t="s">
        <v>0</v>
      </c>
      <c r="I1633" t="s">
        <v>8165</v>
      </c>
      <c r="J1633" t="s">
        <v>8164</v>
      </c>
      <c r="K1633">
        <v>12372</v>
      </c>
      <c r="L1633">
        <v>12372</v>
      </c>
      <c r="M1633" t="s">
        <v>8226</v>
      </c>
      <c r="N1633" t="s">
        <v>8227</v>
      </c>
      <c r="O1633" s="3">
        <v>0</v>
      </c>
      <c r="P1633" s="3">
        <v>0</v>
      </c>
      <c r="Q1633" s="3">
        <v>189.23</v>
      </c>
      <c r="R1633" s="3">
        <v>24.599899999999998</v>
      </c>
      <c r="S1633" s="3">
        <v>0</v>
      </c>
      <c r="T1633" s="3">
        <v>0</v>
      </c>
      <c r="U1633" s="3">
        <v>213.82989999999998</v>
      </c>
      <c r="V1633" s="3" t="s">
        <v>8046</v>
      </c>
      <c r="W1633" s="3" t="s">
        <v>1</v>
      </c>
    </row>
    <row r="1634" spans="5:23" hidden="1" x14ac:dyDescent="0.25">
      <c r="E1634" t="s">
        <v>8387</v>
      </c>
      <c r="F1634" s="1" t="s">
        <v>8455</v>
      </c>
      <c r="G1634" t="s">
        <v>1</v>
      </c>
      <c r="H1634" t="s">
        <v>0</v>
      </c>
      <c r="I1634" t="s">
        <v>8165</v>
      </c>
      <c r="J1634" t="s">
        <v>8164</v>
      </c>
      <c r="K1634">
        <v>12373</v>
      </c>
      <c r="L1634">
        <v>12373</v>
      </c>
      <c r="M1634" t="s">
        <v>8226</v>
      </c>
      <c r="N1634" t="s">
        <v>8227</v>
      </c>
      <c r="O1634" s="3">
        <v>0</v>
      </c>
      <c r="P1634" s="3">
        <v>0</v>
      </c>
      <c r="Q1634" s="3">
        <v>28.44</v>
      </c>
      <c r="R1634" s="3">
        <v>3.6972000000000005</v>
      </c>
      <c r="S1634" s="3">
        <v>0</v>
      </c>
      <c r="T1634" s="3">
        <v>0</v>
      </c>
      <c r="U1634" s="3">
        <v>32.1372</v>
      </c>
      <c r="V1634" s="3" t="s">
        <v>8046</v>
      </c>
      <c r="W1634" s="3" t="s">
        <v>1</v>
      </c>
    </row>
    <row r="1635" spans="5:23" hidden="1" x14ac:dyDescent="0.25">
      <c r="E1635" t="s">
        <v>8387</v>
      </c>
      <c r="F1635" s="1" t="s">
        <v>8455</v>
      </c>
      <c r="G1635" t="s">
        <v>1</v>
      </c>
      <c r="H1635" t="s">
        <v>0</v>
      </c>
      <c r="I1635" t="s">
        <v>8165</v>
      </c>
      <c r="J1635" t="s">
        <v>8164</v>
      </c>
      <c r="K1635">
        <v>12374</v>
      </c>
      <c r="L1635">
        <v>12374</v>
      </c>
      <c r="M1635" t="s">
        <v>8247</v>
      </c>
      <c r="N1635" t="s">
        <v>8248</v>
      </c>
      <c r="O1635" s="3">
        <v>0</v>
      </c>
      <c r="P1635" s="3">
        <v>0</v>
      </c>
      <c r="Q1635" s="3">
        <v>11.5</v>
      </c>
      <c r="R1635" s="3">
        <v>1.4950000000000001</v>
      </c>
      <c r="S1635" s="3">
        <v>0</v>
      </c>
      <c r="T1635" s="3">
        <v>0</v>
      </c>
      <c r="U1635" s="3">
        <v>12.995000000000001</v>
      </c>
      <c r="V1635" s="3" t="s">
        <v>8046</v>
      </c>
      <c r="W1635" s="3" t="s">
        <v>1</v>
      </c>
    </row>
    <row r="1636" spans="5:23" hidden="1" x14ac:dyDescent="0.25">
      <c r="E1636" t="s">
        <v>8387</v>
      </c>
      <c r="F1636" s="1" t="s">
        <v>8455</v>
      </c>
      <c r="G1636" t="s">
        <v>1</v>
      </c>
      <c r="H1636" t="s">
        <v>0</v>
      </c>
      <c r="I1636" t="s">
        <v>8165</v>
      </c>
      <c r="J1636" t="s">
        <v>8164</v>
      </c>
      <c r="K1636">
        <v>12375</v>
      </c>
      <c r="L1636">
        <v>12375</v>
      </c>
      <c r="M1636" t="s">
        <v>238</v>
      </c>
      <c r="N1636" t="s">
        <v>239</v>
      </c>
      <c r="O1636" s="3">
        <v>0</v>
      </c>
      <c r="P1636" s="3">
        <v>0</v>
      </c>
      <c r="Q1636" s="3">
        <v>279.98</v>
      </c>
      <c r="R1636" s="3">
        <v>36.397400000000005</v>
      </c>
      <c r="S1636" s="3">
        <v>0</v>
      </c>
      <c r="T1636" s="3">
        <v>0</v>
      </c>
      <c r="U1636" s="3">
        <v>316.37740000000002</v>
      </c>
      <c r="V1636" s="3" t="s">
        <v>8046</v>
      </c>
      <c r="W1636" s="3" t="s">
        <v>1</v>
      </c>
    </row>
    <row r="1637" spans="5:23" hidden="1" x14ac:dyDescent="0.25">
      <c r="E1637" t="s">
        <v>8387</v>
      </c>
      <c r="F1637" s="1" t="s">
        <v>8450</v>
      </c>
      <c r="G1637" t="s">
        <v>1</v>
      </c>
      <c r="H1637" t="s">
        <v>0</v>
      </c>
      <c r="I1637" t="s">
        <v>8165</v>
      </c>
      <c r="J1637" t="s">
        <v>8164</v>
      </c>
      <c r="K1637">
        <v>12376</v>
      </c>
      <c r="L1637">
        <v>12376</v>
      </c>
      <c r="M1637" t="s">
        <v>238</v>
      </c>
      <c r="N1637" t="s">
        <v>239</v>
      </c>
      <c r="O1637" s="3">
        <v>0</v>
      </c>
      <c r="P1637" s="3">
        <v>0</v>
      </c>
      <c r="Q1637" s="3">
        <v>65.680000000000007</v>
      </c>
      <c r="R1637" s="3">
        <v>8.5384000000000011</v>
      </c>
      <c r="S1637" s="3">
        <v>0</v>
      </c>
      <c r="T1637" s="3">
        <v>0</v>
      </c>
      <c r="U1637" s="3">
        <v>74.218400000000003</v>
      </c>
      <c r="V1637" s="3" t="s">
        <v>8046</v>
      </c>
      <c r="W1637" s="3" t="s">
        <v>1</v>
      </c>
    </row>
    <row r="1638" spans="5:23" hidden="1" x14ac:dyDescent="0.25">
      <c r="E1638" t="s">
        <v>8387</v>
      </c>
      <c r="F1638" s="1" t="s">
        <v>8450</v>
      </c>
      <c r="G1638" t="s">
        <v>1</v>
      </c>
      <c r="H1638" t="s">
        <v>0</v>
      </c>
      <c r="I1638" t="s">
        <v>8165</v>
      </c>
      <c r="J1638" t="s">
        <v>8164</v>
      </c>
      <c r="K1638">
        <v>12377</v>
      </c>
      <c r="L1638">
        <v>12377</v>
      </c>
      <c r="M1638" t="s">
        <v>8234</v>
      </c>
      <c r="N1638" t="s">
        <v>8235</v>
      </c>
      <c r="O1638" s="3">
        <v>0</v>
      </c>
      <c r="P1638" s="3">
        <v>0</v>
      </c>
      <c r="Q1638" s="3">
        <v>147.61000000000001</v>
      </c>
      <c r="R1638" s="3">
        <v>19.189300000000003</v>
      </c>
      <c r="S1638" s="3">
        <v>0</v>
      </c>
      <c r="T1638" s="3">
        <v>0</v>
      </c>
      <c r="U1638" s="3">
        <v>166.79930000000002</v>
      </c>
      <c r="V1638" s="3" t="s">
        <v>8046</v>
      </c>
      <c r="W1638" s="3" t="s">
        <v>1</v>
      </c>
    </row>
    <row r="1639" spans="5:23" hidden="1" x14ac:dyDescent="0.25">
      <c r="E1639" t="s">
        <v>8387</v>
      </c>
      <c r="F1639" s="1" t="s">
        <v>8450</v>
      </c>
      <c r="G1639" t="s">
        <v>1</v>
      </c>
      <c r="H1639" t="s">
        <v>0</v>
      </c>
      <c r="I1639" t="s">
        <v>8165</v>
      </c>
      <c r="J1639" t="s">
        <v>8164</v>
      </c>
      <c r="K1639">
        <v>12378</v>
      </c>
      <c r="L1639">
        <v>12378</v>
      </c>
      <c r="M1639" t="s">
        <v>7852</v>
      </c>
      <c r="N1639" t="s">
        <v>7851</v>
      </c>
      <c r="O1639" s="3">
        <v>0</v>
      </c>
      <c r="P1639" s="3">
        <v>0</v>
      </c>
      <c r="Q1639" s="3">
        <v>0</v>
      </c>
      <c r="R1639" s="3">
        <v>0</v>
      </c>
      <c r="S1639" s="3">
        <v>0</v>
      </c>
      <c r="T1639" s="3">
        <v>0</v>
      </c>
      <c r="U1639" s="3">
        <v>0</v>
      </c>
      <c r="V1639" s="3" t="s">
        <v>8046</v>
      </c>
      <c r="W1639" s="3" t="s">
        <v>1</v>
      </c>
    </row>
    <row r="1640" spans="5:23" hidden="1" x14ac:dyDescent="0.25">
      <c r="E1640" t="s">
        <v>8387</v>
      </c>
      <c r="F1640" s="1" t="s">
        <v>8450</v>
      </c>
      <c r="G1640" t="s">
        <v>1</v>
      </c>
      <c r="H1640" t="s">
        <v>0</v>
      </c>
      <c r="I1640" t="s">
        <v>8165</v>
      </c>
      <c r="J1640" t="s">
        <v>8164</v>
      </c>
      <c r="K1640">
        <v>12379</v>
      </c>
      <c r="L1640">
        <v>12379</v>
      </c>
      <c r="M1640" t="s">
        <v>8453</v>
      </c>
      <c r="N1640" t="s">
        <v>8454</v>
      </c>
      <c r="O1640" s="3">
        <v>0</v>
      </c>
      <c r="P1640" s="3">
        <v>0</v>
      </c>
      <c r="Q1640" s="3">
        <v>29</v>
      </c>
      <c r="R1640" s="3">
        <v>3.77</v>
      </c>
      <c r="S1640" s="3">
        <v>0</v>
      </c>
      <c r="T1640" s="3">
        <v>0</v>
      </c>
      <c r="U1640" s="3">
        <v>32.770000000000003</v>
      </c>
      <c r="V1640" s="3" t="s">
        <v>8046</v>
      </c>
      <c r="W1640" s="3" t="s">
        <v>1</v>
      </c>
    </row>
    <row r="1641" spans="5:23" hidden="1" x14ac:dyDescent="0.25">
      <c r="E1641" t="s">
        <v>8387</v>
      </c>
      <c r="F1641" s="1" t="s">
        <v>8450</v>
      </c>
      <c r="G1641" t="s">
        <v>1</v>
      </c>
      <c r="H1641" t="s">
        <v>0</v>
      </c>
      <c r="I1641" t="s">
        <v>8165</v>
      </c>
      <c r="J1641" t="s">
        <v>8164</v>
      </c>
      <c r="K1641">
        <v>12380</v>
      </c>
      <c r="L1641">
        <v>12380</v>
      </c>
      <c r="M1641" t="s">
        <v>7852</v>
      </c>
      <c r="N1641" t="s">
        <v>7851</v>
      </c>
      <c r="O1641" s="3">
        <v>0</v>
      </c>
      <c r="P1641" s="3">
        <v>0</v>
      </c>
      <c r="Q1641" s="3">
        <v>0</v>
      </c>
      <c r="R1641" s="3">
        <v>0</v>
      </c>
      <c r="S1641" s="3">
        <v>0</v>
      </c>
      <c r="T1641" s="3">
        <v>0</v>
      </c>
      <c r="U1641" s="3">
        <v>0</v>
      </c>
      <c r="V1641" s="3" t="s">
        <v>8046</v>
      </c>
      <c r="W1641" s="3" t="s">
        <v>1</v>
      </c>
    </row>
    <row r="1642" spans="5:23" hidden="1" x14ac:dyDescent="0.25">
      <c r="E1642" t="s">
        <v>8387</v>
      </c>
      <c r="F1642" s="1" t="s">
        <v>8450</v>
      </c>
      <c r="G1642" t="s">
        <v>1</v>
      </c>
      <c r="H1642" t="s">
        <v>0</v>
      </c>
      <c r="I1642" t="s">
        <v>8165</v>
      </c>
      <c r="J1642" t="s">
        <v>8164</v>
      </c>
      <c r="K1642">
        <v>12381</v>
      </c>
      <c r="L1642">
        <v>12381</v>
      </c>
      <c r="M1642" t="s">
        <v>8306</v>
      </c>
      <c r="N1642" t="s">
        <v>8307</v>
      </c>
      <c r="O1642" s="3">
        <v>0</v>
      </c>
      <c r="P1642" s="3">
        <v>0</v>
      </c>
      <c r="Q1642" s="3">
        <v>53.1</v>
      </c>
      <c r="R1642" s="3">
        <v>6.9030000000000005</v>
      </c>
      <c r="S1642" s="3">
        <v>0</v>
      </c>
      <c r="T1642" s="3">
        <v>0</v>
      </c>
      <c r="U1642" s="3">
        <v>60.003</v>
      </c>
      <c r="V1642" s="3" t="s">
        <v>8046</v>
      </c>
      <c r="W1642" s="3" t="s">
        <v>1</v>
      </c>
    </row>
    <row r="1643" spans="5:23" hidden="1" x14ac:dyDescent="0.25">
      <c r="E1643" t="s">
        <v>8387</v>
      </c>
      <c r="F1643" s="1" t="s">
        <v>8450</v>
      </c>
      <c r="G1643" t="s">
        <v>1</v>
      </c>
      <c r="H1643" t="s">
        <v>0</v>
      </c>
      <c r="I1643" t="s">
        <v>8165</v>
      </c>
      <c r="J1643" t="s">
        <v>8164</v>
      </c>
      <c r="K1643">
        <v>12382</v>
      </c>
      <c r="L1643">
        <v>12382</v>
      </c>
      <c r="M1643" t="s">
        <v>8241</v>
      </c>
      <c r="N1643" t="s">
        <v>8242</v>
      </c>
      <c r="O1643" s="3">
        <v>0</v>
      </c>
      <c r="P1643" s="3">
        <v>0</v>
      </c>
      <c r="Q1643" s="3">
        <v>388.5</v>
      </c>
      <c r="R1643" s="3">
        <v>50.505000000000003</v>
      </c>
      <c r="S1643" s="3">
        <v>0</v>
      </c>
      <c r="T1643" s="3">
        <v>0</v>
      </c>
      <c r="U1643" s="3">
        <v>439.005</v>
      </c>
      <c r="V1643" s="3" t="s">
        <v>8046</v>
      </c>
      <c r="W1643" s="3" t="s">
        <v>1</v>
      </c>
    </row>
    <row r="1644" spans="5:23" hidden="1" x14ac:dyDescent="0.25">
      <c r="E1644" t="s">
        <v>8387</v>
      </c>
      <c r="F1644" s="1" t="s">
        <v>8450</v>
      </c>
      <c r="G1644" t="s">
        <v>1</v>
      </c>
      <c r="H1644" t="s">
        <v>0</v>
      </c>
      <c r="I1644" t="s">
        <v>8165</v>
      </c>
      <c r="J1644" t="s">
        <v>8164</v>
      </c>
      <c r="K1644">
        <v>12383</v>
      </c>
      <c r="L1644">
        <v>12383</v>
      </c>
      <c r="M1644" t="s">
        <v>1062</v>
      </c>
      <c r="N1644" t="s">
        <v>1063</v>
      </c>
      <c r="O1644" s="3">
        <v>0</v>
      </c>
      <c r="P1644" s="3">
        <v>0</v>
      </c>
      <c r="Q1644" s="3">
        <v>266.43</v>
      </c>
      <c r="R1644" s="3">
        <v>34.635899999999999</v>
      </c>
      <c r="S1644" s="3">
        <v>0</v>
      </c>
      <c r="T1644" s="3">
        <v>0</v>
      </c>
      <c r="U1644" s="3">
        <v>301.0659</v>
      </c>
      <c r="V1644" s="3" t="s">
        <v>8046</v>
      </c>
      <c r="W1644" s="3" t="s">
        <v>1</v>
      </c>
    </row>
    <row r="1645" spans="5:23" hidden="1" x14ac:dyDescent="0.25">
      <c r="E1645" t="s">
        <v>8387</v>
      </c>
      <c r="F1645" s="1" t="s">
        <v>8450</v>
      </c>
      <c r="G1645" t="s">
        <v>1</v>
      </c>
      <c r="H1645" t="s">
        <v>0</v>
      </c>
      <c r="I1645" t="s">
        <v>8165</v>
      </c>
      <c r="J1645" t="s">
        <v>8164</v>
      </c>
      <c r="K1645">
        <v>12384</v>
      </c>
      <c r="L1645">
        <v>12384</v>
      </c>
      <c r="M1645" t="s">
        <v>5329</v>
      </c>
      <c r="N1645" t="s">
        <v>5330</v>
      </c>
      <c r="O1645" s="3">
        <v>0</v>
      </c>
      <c r="P1645" s="3">
        <v>0</v>
      </c>
      <c r="Q1645" s="3">
        <v>207.82</v>
      </c>
      <c r="R1645" s="3">
        <v>27.0166</v>
      </c>
      <c r="S1645" s="3">
        <v>0</v>
      </c>
      <c r="T1645" s="3">
        <v>0</v>
      </c>
      <c r="U1645" s="3">
        <v>234.8366</v>
      </c>
      <c r="V1645" s="3" t="s">
        <v>8046</v>
      </c>
      <c r="W1645" s="3" t="s">
        <v>1</v>
      </c>
    </row>
    <row r="1646" spans="5:23" hidden="1" x14ac:dyDescent="0.25">
      <c r="E1646" t="s">
        <v>8387</v>
      </c>
      <c r="F1646" s="1" t="s">
        <v>8450</v>
      </c>
      <c r="G1646" t="s">
        <v>1</v>
      </c>
      <c r="H1646" t="s">
        <v>0</v>
      </c>
      <c r="I1646" t="s">
        <v>8165</v>
      </c>
      <c r="J1646" t="s">
        <v>8164</v>
      </c>
      <c r="K1646">
        <v>12385</v>
      </c>
      <c r="L1646">
        <v>12385</v>
      </c>
      <c r="M1646" t="s">
        <v>1062</v>
      </c>
      <c r="N1646" t="s">
        <v>1063</v>
      </c>
      <c r="O1646" s="3">
        <v>0</v>
      </c>
      <c r="P1646" s="3">
        <v>0</v>
      </c>
      <c r="Q1646" s="3">
        <v>11.06</v>
      </c>
      <c r="R1646" s="3">
        <v>1.4378000000000002</v>
      </c>
      <c r="S1646" s="3">
        <v>0</v>
      </c>
      <c r="T1646" s="3">
        <v>0</v>
      </c>
      <c r="U1646" s="3">
        <v>12.497800000000002</v>
      </c>
      <c r="V1646" s="3" t="s">
        <v>8046</v>
      </c>
      <c r="W1646" s="3" t="s">
        <v>1</v>
      </c>
    </row>
    <row r="1647" spans="5:23" hidden="1" x14ac:dyDescent="0.25">
      <c r="E1647" t="s">
        <v>8387</v>
      </c>
      <c r="F1647" s="1" t="s">
        <v>8450</v>
      </c>
      <c r="G1647" t="s">
        <v>1</v>
      </c>
      <c r="H1647" t="s">
        <v>0</v>
      </c>
      <c r="I1647" t="s">
        <v>8165</v>
      </c>
      <c r="J1647" t="s">
        <v>8164</v>
      </c>
      <c r="K1647">
        <v>12386</v>
      </c>
      <c r="L1647">
        <v>12386</v>
      </c>
      <c r="M1647" t="s">
        <v>7852</v>
      </c>
      <c r="N1647" t="s">
        <v>7851</v>
      </c>
      <c r="O1647" s="3">
        <v>0</v>
      </c>
      <c r="P1647" s="3">
        <v>0</v>
      </c>
      <c r="Q1647" s="3">
        <v>0</v>
      </c>
      <c r="R1647" s="3">
        <v>0</v>
      </c>
      <c r="S1647" s="3">
        <v>0</v>
      </c>
      <c r="T1647" s="3">
        <v>0</v>
      </c>
      <c r="U1647" s="3">
        <v>0</v>
      </c>
      <c r="V1647" s="3" t="s">
        <v>8046</v>
      </c>
      <c r="W1647" s="3" t="s">
        <v>1</v>
      </c>
    </row>
    <row r="1648" spans="5:23" hidden="1" x14ac:dyDescent="0.25">
      <c r="E1648" t="s">
        <v>8387</v>
      </c>
      <c r="F1648" s="1" t="s">
        <v>8450</v>
      </c>
      <c r="G1648" t="s">
        <v>1</v>
      </c>
      <c r="H1648" t="s">
        <v>0</v>
      </c>
      <c r="I1648" t="s">
        <v>8165</v>
      </c>
      <c r="J1648" t="s">
        <v>8164</v>
      </c>
      <c r="K1648">
        <v>12387</v>
      </c>
      <c r="L1648">
        <v>12387</v>
      </c>
      <c r="M1648" t="s">
        <v>7852</v>
      </c>
      <c r="N1648" t="s">
        <v>7851</v>
      </c>
      <c r="O1648" s="3">
        <v>0</v>
      </c>
      <c r="P1648" s="3">
        <v>0</v>
      </c>
      <c r="Q1648" s="3">
        <v>0</v>
      </c>
      <c r="R1648" s="3">
        <v>0</v>
      </c>
      <c r="S1648" s="3">
        <v>0</v>
      </c>
      <c r="T1648" s="3">
        <v>0</v>
      </c>
      <c r="U1648" s="3">
        <v>0</v>
      </c>
      <c r="V1648" s="3" t="s">
        <v>8046</v>
      </c>
      <c r="W1648" s="3" t="s">
        <v>1</v>
      </c>
    </row>
    <row r="1649" spans="5:23" hidden="1" x14ac:dyDescent="0.25">
      <c r="E1649" t="s">
        <v>8387</v>
      </c>
      <c r="F1649" s="1" t="s">
        <v>8450</v>
      </c>
      <c r="G1649" t="s">
        <v>1</v>
      </c>
      <c r="H1649" t="s">
        <v>0</v>
      </c>
      <c r="I1649" t="s">
        <v>8165</v>
      </c>
      <c r="J1649" t="s">
        <v>8164</v>
      </c>
      <c r="K1649">
        <v>12388</v>
      </c>
      <c r="L1649">
        <v>12388</v>
      </c>
      <c r="M1649" t="s">
        <v>107</v>
      </c>
      <c r="N1649" t="s">
        <v>108</v>
      </c>
      <c r="O1649" s="3">
        <v>0</v>
      </c>
      <c r="P1649" s="3">
        <v>0</v>
      </c>
      <c r="Q1649" s="3">
        <v>448.23</v>
      </c>
      <c r="R1649" s="3">
        <v>58.269900000000007</v>
      </c>
      <c r="S1649" s="3">
        <v>0</v>
      </c>
      <c r="T1649" s="3">
        <v>0</v>
      </c>
      <c r="U1649" s="3">
        <v>506.49990000000003</v>
      </c>
      <c r="V1649" s="3" t="s">
        <v>8046</v>
      </c>
      <c r="W1649" s="3" t="s">
        <v>1</v>
      </c>
    </row>
    <row r="1650" spans="5:23" hidden="1" x14ac:dyDescent="0.25">
      <c r="E1650" t="s">
        <v>8387</v>
      </c>
      <c r="F1650" s="1" t="s">
        <v>8450</v>
      </c>
      <c r="G1650" t="s">
        <v>1</v>
      </c>
      <c r="H1650" t="s">
        <v>0</v>
      </c>
      <c r="I1650" t="s">
        <v>8165</v>
      </c>
      <c r="J1650" t="s">
        <v>8164</v>
      </c>
      <c r="K1650">
        <v>12389</v>
      </c>
      <c r="L1650">
        <v>12389</v>
      </c>
      <c r="M1650" t="s">
        <v>8114</v>
      </c>
      <c r="N1650" t="s">
        <v>8115</v>
      </c>
      <c r="O1650" s="3">
        <v>0</v>
      </c>
      <c r="P1650" s="3">
        <v>0</v>
      </c>
      <c r="Q1650" s="3">
        <v>170</v>
      </c>
      <c r="R1650" s="3">
        <v>22.1</v>
      </c>
      <c r="S1650" s="3">
        <v>0</v>
      </c>
      <c r="T1650" s="3">
        <v>0</v>
      </c>
      <c r="U1650" s="3">
        <v>192.1</v>
      </c>
      <c r="V1650" s="3" t="s">
        <v>8046</v>
      </c>
      <c r="W1650" s="3" t="s">
        <v>1</v>
      </c>
    </row>
    <row r="1651" spans="5:23" hidden="1" x14ac:dyDescent="0.25">
      <c r="E1651" t="s">
        <v>8387</v>
      </c>
      <c r="F1651" s="1" t="s">
        <v>8450</v>
      </c>
      <c r="G1651" t="s">
        <v>1</v>
      </c>
      <c r="H1651" t="s">
        <v>0</v>
      </c>
      <c r="I1651" t="s">
        <v>8165</v>
      </c>
      <c r="J1651" t="s">
        <v>8164</v>
      </c>
      <c r="K1651">
        <v>12390</v>
      </c>
      <c r="L1651">
        <v>12390</v>
      </c>
      <c r="M1651" t="s">
        <v>8451</v>
      </c>
      <c r="N1651" t="s">
        <v>8452</v>
      </c>
      <c r="O1651" s="3">
        <v>0</v>
      </c>
      <c r="P1651" s="3">
        <v>0</v>
      </c>
      <c r="Q1651" s="3">
        <v>56.8</v>
      </c>
      <c r="R1651" s="3">
        <v>7.3839999999999995</v>
      </c>
      <c r="S1651" s="3">
        <v>0</v>
      </c>
      <c r="T1651" s="3">
        <v>0</v>
      </c>
      <c r="U1651" s="3">
        <v>64.183999999999997</v>
      </c>
      <c r="V1651" s="3" t="s">
        <v>8046</v>
      </c>
      <c r="W1651" s="3" t="s">
        <v>1</v>
      </c>
    </row>
    <row r="1652" spans="5:23" hidden="1" x14ac:dyDescent="0.25">
      <c r="E1652" t="s">
        <v>8387</v>
      </c>
      <c r="F1652" s="1" t="s">
        <v>8447</v>
      </c>
      <c r="G1652" t="s">
        <v>1</v>
      </c>
      <c r="H1652" t="s">
        <v>0</v>
      </c>
      <c r="I1652" t="s">
        <v>8165</v>
      </c>
      <c r="J1652" t="s">
        <v>8164</v>
      </c>
      <c r="K1652">
        <v>12391</v>
      </c>
      <c r="L1652">
        <v>12391</v>
      </c>
      <c r="M1652" t="s">
        <v>8218</v>
      </c>
      <c r="N1652" t="s">
        <v>8219</v>
      </c>
      <c r="O1652" s="3">
        <v>0</v>
      </c>
      <c r="P1652" s="3">
        <v>0</v>
      </c>
      <c r="Q1652" s="3">
        <v>58</v>
      </c>
      <c r="R1652" s="3">
        <v>7.54</v>
      </c>
      <c r="S1652" s="3">
        <v>0</v>
      </c>
      <c r="T1652" s="3">
        <v>0</v>
      </c>
      <c r="U1652" s="3">
        <v>65.540000000000006</v>
      </c>
      <c r="V1652" s="3" t="s">
        <v>8046</v>
      </c>
      <c r="W1652" s="3" t="s">
        <v>1</v>
      </c>
    </row>
    <row r="1653" spans="5:23" hidden="1" x14ac:dyDescent="0.25">
      <c r="E1653" t="s">
        <v>8387</v>
      </c>
      <c r="F1653" s="1" t="s">
        <v>8447</v>
      </c>
      <c r="G1653" t="s">
        <v>1</v>
      </c>
      <c r="H1653" t="s">
        <v>0</v>
      </c>
      <c r="I1653" t="s">
        <v>8165</v>
      </c>
      <c r="J1653" t="s">
        <v>8164</v>
      </c>
      <c r="K1653">
        <v>12392</v>
      </c>
      <c r="L1653">
        <v>12392</v>
      </c>
      <c r="M1653" t="s">
        <v>8255</v>
      </c>
      <c r="N1653" t="s">
        <v>8256</v>
      </c>
      <c r="O1653" s="3">
        <v>0</v>
      </c>
      <c r="P1653" s="3">
        <v>0</v>
      </c>
      <c r="Q1653" s="3">
        <v>78.760000000000005</v>
      </c>
      <c r="R1653" s="3">
        <v>10.238800000000001</v>
      </c>
      <c r="S1653" s="3">
        <v>0</v>
      </c>
      <c r="T1653" s="3">
        <v>0</v>
      </c>
      <c r="U1653" s="3">
        <v>88.998800000000003</v>
      </c>
      <c r="V1653" s="3" t="s">
        <v>8046</v>
      </c>
      <c r="W1653" s="3" t="s">
        <v>1</v>
      </c>
    </row>
    <row r="1654" spans="5:23" hidden="1" x14ac:dyDescent="0.25">
      <c r="E1654" t="s">
        <v>8387</v>
      </c>
      <c r="F1654" s="1" t="s">
        <v>8447</v>
      </c>
      <c r="G1654" t="s">
        <v>1</v>
      </c>
      <c r="H1654" t="s">
        <v>0</v>
      </c>
      <c r="I1654" t="s">
        <v>8165</v>
      </c>
      <c r="J1654" t="s">
        <v>8164</v>
      </c>
      <c r="K1654">
        <v>12393</v>
      </c>
      <c r="L1654">
        <v>12393</v>
      </c>
      <c r="M1654" t="s">
        <v>8249</v>
      </c>
      <c r="N1654" t="s">
        <v>8250</v>
      </c>
      <c r="O1654" s="3">
        <v>0</v>
      </c>
      <c r="P1654" s="3">
        <v>0</v>
      </c>
      <c r="Q1654" s="3">
        <v>163.30000000000001</v>
      </c>
      <c r="R1654" s="3">
        <v>21.229000000000003</v>
      </c>
      <c r="S1654" s="3">
        <v>0</v>
      </c>
      <c r="T1654" s="3">
        <v>0</v>
      </c>
      <c r="U1654" s="3">
        <v>184.52900000000002</v>
      </c>
      <c r="V1654" s="3" t="s">
        <v>8046</v>
      </c>
      <c r="W1654" s="3" t="s">
        <v>1</v>
      </c>
    </row>
    <row r="1655" spans="5:23" hidden="1" x14ac:dyDescent="0.25">
      <c r="E1655" t="s">
        <v>8387</v>
      </c>
      <c r="F1655" s="1" t="s">
        <v>8447</v>
      </c>
      <c r="G1655" t="s">
        <v>1</v>
      </c>
      <c r="H1655" t="s">
        <v>0</v>
      </c>
      <c r="I1655" t="s">
        <v>8165</v>
      </c>
      <c r="J1655" t="s">
        <v>8164</v>
      </c>
      <c r="K1655">
        <v>12394</v>
      </c>
      <c r="L1655">
        <v>12394</v>
      </c>
      <c r="M1655" t="s">
        <v>7852</v>
      </c>
      <c r="N1655" t="s">
        <v>7851</v>
      </c>
      <c r="O1655" s="3">
        <v>0</v>
      </c>
      <c r="P1655" s="3">
        <v>0</v>
      </c>
      <c r="Q1655" s="3">
        <v>0</v>
      </c>
      <c r="R1655" s="3">
        <v>0</v>
      </c>
      <c r="S1655" s="3">
        <v>0</v>
      </c>
      <c r="T1655" s="3">
        <v>0</v>
      </c>
      <c r="U1655" s="3">
        <v>0</v>
      </c>
      <c r="V1655" s="3" t="s">
        <v>8046</v>
      </c>
      <c r="W1655" s="3" t="s">
        <v>1</v>
      </c>
    </row>
    <row r="1656" spans="5:23" hidden="1" x14ac:dyDescent="0.25">
      <c r="E1656" t="s">
        <v>8387</v>
      </c>
      <c r="F1656" s="1" t="s">
        <v>8447</v>
      </c>
      <c r="G1656" t="s">
        <v>1</v>
      </c>
      <c r="H1656" t="s">
        <v>0</v>
      </c>
      <c r="I1656" t="s">
        <v>8165</v>
      </c>
      <c r="J1656" t="s">
        <v>8164</v>
      </c>
      <c r="K1656">
        <v>12395</v>
      </c>
      <c r="L1656">
        <v>12395</v>
      </c>
      <c r="M1656" t="s">
        <v>1273</v>
      </c>
      <c r="N1656" t="s">
        <v>1274</v>
      </c>
      <c r="O1656" s="3">
        <v>0</v>
      </c>
      <c r="P1656" s="3">
        <v>0</v>
      </c>
      <c r="Q1656" s="3">
        <v>427.96</v>
      </c>
      <c r="R1656" s="3">
        <v>55.634799999999998</v>
      </c>
      <c r="S1656" s="3">
        <v>0</v>
      </c>
      <c r="T1656" s="3">
        <v>0</v>
      </c>
      <c r="U1656" s="3">
        <v>483.59479999999996</v>
      </c>
      <c r="V1656" s="3" t="s">
        <v>8046</v>
      </c>
      <c r="W1656" s="3" t="s">
        <v>1</v>
      </c>
    </row>
    <row r="1657" spans="5:23" hidden="1" x14ac:dyDescent="0.25">
      <c r="E1657" t="s">
        <v>8387</v>
      </c>
      <c r="F1657" s="1" t="s">
        <v>8447</v>
      </c>
      <c r="G1657" t="s">
        <v>1</v>
      </c>
      <c r="H1657" t="s">
        <v>0</v>
      </c>
      <c r="I1657" t="s">
        <v>8165</v>
      </c>
      <c r="J1657" t="s">
        <v>8164</v>
      </c>
      <c r="K1657">
        <v>12396</v>
      </c>
      <c r="L1657">
        <v>12396</v>
      </c>
      <c r="M1657" t="s">
        <v>8306</v>
      </c>
      <c r="N1657" t="s">
        <v>8307</v>
      </c>
      <c r="O1657" s="3">
        <v>0</v>
      </c>
      <c r="P1657" s="3">
        <v>0</v>
      </c>
      <c r="Q1657" s="3">
        <v>6.64</v>
      </c>
      <c r="R1657" s="3">
        <v>0.86319999999999997</v>
      </c>
      <c r="S1657" s="3">
        <v>0</v>
      </c>
      <c r="T1657" s="3">
        <v>0</v>
      </c>
      <c r="U1657" s="3">
        <v>7.5031999999999996</v>
      </c>
      <c r="V1657" s="3" t="s">
        <v>8046</v>
      </c>
      <c r="W1657" s="3" t="s">
        <v>1</v>
      </c>
    </row>
    <row r="1658" spans="5:23" hidden="1" x14ac:dyDescent="0.25">
      <c r="E1658" t="s">
        <v>8387</v>
      </c>
      <c r="F1658" s="1" t="s">
        <v>8447</v>
      </c>
      <c r="G1658" t="s">
        <v>1</v>
      </c>
      <c r="H1658" t="s">
        <v>0</v>
      </c>
      <c r="I1658" t="s">
        <v>8165</v>
      </c>
      <c r="J1658" t="s">
        <v>8164</v>
      </c>
      <c r="K1658">
        <v>12397</v>
      </c>
      <c r="L1658">
        <v>12397</v>
      </c>
      <c r="M1658" t="s">
        <v>8209</v>
      </c>
      <c r="N1658" t="s">
        <v>8210</v>
      </c>
      <c r="O1658" s="3">
        <v>0</v>
      </c>
      <c r="P1658" s="3">
        <v>0</v>
      </c>
      <c r="Q1658" s="3">
        <v>506.36</v>
      </c>
      <c r="R1658" s="3">
        <v>65.826800000000006</v>
      </c>
      <c r="S1658" s="3">
        <v>0</v>
      </c>
      <c r="T1658" s="3">
        <v>0</v>
      </c>
      <c r="U1658" s="3">
        <v>572.18680000000006</v>
      </c>
      <c r="V1658" s="3" t="s">
        <v>8046</v>
      </c>
      <c r="W1658" s="3" t="s">
        <v>1</v>
      </c>
    </row>
    <row r="1659" spans="5:23" hidden="1" x14ac:dyDescent="0.25">
      <c r="E1659" t="s">
        <v>8387</v>
      </c>
      <c r="F1659" s="1" t="s">
        <v>8447</v>
      </c>
      <c r="G1659" t="s">
        <v>1</v>
      </c>
      <c r="H1659" t="s">
        <v>0</v>
      </c>
      <c r="I1659" t="s">
        <v>8165</v>
      </c>
      <c r="J1659" t="s">
        <v>8164</v>
      </c>
      <c r="K1659">
        <v>12398</v>
      </c>
      <c r="L1659">
        <v>12398</v>
      </c>
      <c r="M1659" t="s">
        <v>8114</v>
      </c>
      <c r="N1659" t="s">
        <v>8115</v>
      </c>
      <c r="O1659" s="3">
        <v>0</v>
      </c>
      <c r="P1659" s="3">
        <v>0</v>
      </c>
      <c r="Q1659" s="3">
        <v>170</v>
      </c>
      <c r="R1659" s="3">
        <v>22.1</v>
      </c>
      <c r="S1659" s="3">
        <v>0</v>
      </c>
      <c r="T1659" s="3">
        <v>0</v>
      </c>
      <c r="U1659" s="3">
        <v>192.1</v>
      </c>
      <c r="V1659" s="3" t="s">
        <v>8046</v>
      </c>
      <c r="W1659" s="3" t="s">
        <v>1</v>
      </c>
    </row>
    <row r="1660" spans="5:23" hidden="1" x14ac:dyDescent="0.25">
      <c r="E1660" t="s">
        <v>8387</v>
      </c>
      <c r="F1660" s="1" t="s">
        <v>8447</v>
      </c>
      <c r="G1660" t="s">
        <v>1</v>
      </c>
      <c r="H1660" t="s">
        <v>0</v>
      </c>
      <c r="I1660" t="s">
        <v>8165</v>
      </c>
      <c r="J1660" t="s">
        <v>8164</v>
      </c>
      <c r="K1660">
        <v>12399</v>
      </c>
      <c r="L1660">
        <v>12399</v>
      </c>
      <c r="M1660" t="s">
        <v>8114</v>
      </c>
      <c r="N1660" t="s">
        <v>8115</v>
      </c>
      <c r="O1660" s="3">
        <v>0</v>
      </c>
      <c r="P1660" s="3">
        <v>0</v>
      </c>
      <c r="Q1660" s="3">
        <v>65.52</v>
      </c>
      <c r="R1660" s="3">
        <v>8.5175999999999998</v>
      </c>
      <c r="S1660" s="3">
        <v>0</v>
      </c>
      <c r="T1660" s="3">
        <v>0</v>
      </c>
      <c r="U1660" s="3">
        <v>74.037599999999998</v>
      </c>
      <c r="V1660" s="3" t="s">
        <v>8046</v>
      </c>
      <c r="W1660" s="3" t="s">
        <v>1</v>
      </c>
    </row>
    <row r="1661" spans="5:23" hidden="1" x14ac:dyDescent="0.25">
      <c r="E1661" t="s">
        <v>8387</v>
      </c>
      <c r="F1661" s="1" t="s">
        <v>8447</v>
      </c>
      <c r="G1661" t="s">
        <v>1</v>
      </c>
      <c r="H1661" t="s">
        <v>0</v>
      </c>
      <c r="I1661" t="s">
        <v>8165</v>
      </c>
      <c r="J1661" t="s">
        <v>8164</v>
      </c>
      <c r="K1661">
        <v>12400</v>
      </c>
      <c r="L1661">
        <v>12400</v>
      </c>
      <c r="M1661" t="s">
        <v>8188</v>
      </c>
      <c r="N1661" t="s">
        <v>8189</v>
      </c>
      <c r="O1661" s="3">
        <v>0</v>
      </c>
      <c r="P1661" s="3">
        <v>0</v>
      </c>
      <c r="Q1661" s="3">
        <v>181.18</v>
      </c>
      <c r="R1661" s="3">
        <v>23.553400000000003</v>
      </c>
      <c r="S1661" s="3">
        <v>0</v>
      </c>
      <c r="T1661" s="3">
        <v>0</v>
      </c>
      <c r="U1661" s="3">
        <v>204.73340000000002</v>
      </c>
      <c r="V1661" s="3" t="s">
        <v>8046</v>
      </c>
      <c r="W1661" s="3" t="s">
        <v>1</v>
      </c>
    </row>
    <row r="1662" spans="5:23" hidden="1" x14ac:dyDescent="0.25">
      <c r="E1662" t="s">
        <v>8387</v>
      </c>
      <c r="F1662" s="1" t="s">
        <v>8447</v>
      </c>
      <c r="G1662" t="s">
        <v>1</v>
      </c>
      <c r="H1662" t="s">
        <v>0</v>
      </c>
      <c r="I1662" t="s">
        <v>8165</v>
      </c>
      <c r="J1662" t="s">
        <v>8164</v>
      </c>
      <c r="K1662">
        <v>12402</v>
      </c>
      <c r="L1662">
        <v>12402</v>
      </c>
      <c r="M1662" t="s">
        <v>8245</v>
      </c>
      <c r="N1662" t="s">
        <v>8246</v>
      </c>
      <c r="O1662" s="3">
        <v>0</v>
      </c>
      <c r="P1662" s="3">
        <v>0</v>
      </c>
      <c r="Q1662" s="3">
        <v>740.5</v>
      </c>
      <c r="R1662" s="3">
        <v>96.265000000000001</v>
      </c>
      <c r="S1662" s="3">
        <v>0</v>
      </c>
      <c r="T1662" s="3">
        <v>0</v>
      </c>
      <c r="U1662" s="3">
        <v>836.76499999999999</v>
      </c>
      <c r="V1662" s="3" t="s">
        <v>8046</v>
      </c>
      <c r="W1662" s="3" t="s">
        <v>1</v>
      </c>
    </row>
    <row r="1663" spans="5:23" hidden="1" x14ac:dyDescent="0.25">
      <c r="E1663" t="s">
        <v>8387</v>
      </c>
      <c r="F1663" s="1" t="s">
        <v>8447</v>
      </c>
      <c r="G1663" t="s">
        <v>1</v>
      </c>
      <c r="H1663" t="s">
        <v>0</v>
      </c>
      <c r="I1663" t="s">
        <v>8165</v>
      </c>
      <c r="J1663" t="s">
        <v>8164</v>
      </c>
      <c r="K1663">
        <v>12401</v>
      </c>
      <c r="L1663">
        <v>12401</v>
      </c>
      <c r="M1663" t="s">
        <v>8448</v>
      </c>
      <c r="N1663" t="s">
        <v>8449</v>
      </c>
      <c r="O1663" s="3">
        <v>0</v>
      </c>
      <c r="P1663" s="3">
        <v>0</v>
      </c>
      <c r="Q1663" s="3">
        <v>852.84</v>
      </c>
      <c r="R1663" s="3">
        <v>110.86920000000001</v>
      </c>
      <c r="S1663" s="3">
        <v>0</v>
      </c>
      <c r="T1663" s="3">
        <v>0</v>
      </c>
      <c r="U1663" s="3">
        <v>963.70920000000001</v>
      </c>
      <c r="V1663" s="3" t="s">
        <v>8046</v>
      </c>
      <c r="W1663" s="3" t="s">
        <v>1</v>
      </c>
    </row>
    <row r="1664" spans="5:23" hidden="1" x14ac:dyDescent="0.25">
      <c r="E1664" t="s">
        <v>8387</v>
      </c>
      <c r="F1664" s="1" t="s">
        <v>8447</v>
      </c>
      <c r="G1664" t="s">
        <v>1</v>
      </c>
      <c r="H1664" t="s">
        <v>0</v>
      </c>
      <c r="I1664" t="s">
        <v>8165</v>
      </c>
      <c r="J1664" t="s">
        <v>8164</v>
      </c>
      <c r="K1664">
        <v>12403</v>
      </c>
      <c r="L1664">
        <v>12403</v>
      </c>
      <c r="M1664" t="s">
        <v>8228</v>
      </c>
      <c r="N1664" t="s">
        <v>8229</v>
      </c>
      <c r="O1664" s="3">
        <v>0</v>
      </c>
      <c r="P1664" s="3">
        <v>0</v>
      </c>
      <c r="Q1664" s="3">
        <v>273.35000000000002</v>
      </c>
      <c r="R1664" s="3">
        <v>35.535500000000006</v>
      </c>
      <c r="S1664" s="3">
        <v>0</v>
      </c>
      <c r="T1664" s="3">
        <v>0</v>
      </c>
      <c r="U1664" s="3">
        <v>308.88550000000004</v>
      </c>
      <c r="V1664" s="3" t="s">
        <v>8046</v>
      </c>
      <c r="W1664" s="3" t="s">
        <v>1</v>
      </c>
    </row>
    <row r="1665" spans="5:23" hidden="1" x14ac:dyDescent="0.25">
      <c r="E1665" t="s">
        <v>8387</v>
      </c>
      <c r="F1665" s="1" t="s">
        <v>8447</v>
      </c>
      <c r="G1665" t="s">
        <v>1</v>
      </c>
      <c r="H1665" t="s">
        <v>0</v>
      </c>
      <c r="I1665" t="s">
        <v>8165</v>
      </c>
      <c r="J1665" t="s">
        <v>8164</v>
      </c>
      <c r="K1665">
        <v>12404</v>
      </c>
      <c r="L1665">
        <v>12404</v>
      </c>
      <c r="M1665" t="s">
        <v>4266</v>
      </c>
      <c r="N1665" t="s">
        <v>4267</v>
      </c>
      <c r="O1665" s="3">
        <v>0</v>
      </c>
      <c r="P1665" s="3">
        <v>0</v>
      </c>
      <c r="Q1665" s="3">
        <v>726.55</v>
      </c>
      <c r="R1665" s="3">
        <v>94.451499999999996</v>
      </c>
      <c r="S1665" s="3">
        <v>0</v>
      </c>
      <c r="T1665" s="3">
        <v>0</v>
      </c>
      <c r="U1665" s="3">
        <v>821.00149999999996</v>
      </c>
      <c r="V1665" s="3" t="s">
        <v>8046</v>
      </c>
      <c r="W1665" s="3" t="s">
        <v>1</v>
      </c>
    </row>
    <row r="1666" spans="5:23" hidden="1" x14ac:dyDescent="0.25">
      <c r="E1666" t="s">
        <v>8387</v>
      </c>
      <c r="F1666" s="1" t="s">
        <v>8447</v>
      </c>
      <c r="G1666" t="s">
        <v>1</v>
      </c>
      <c r="H1666" t="s">
        <v>0</v>
      </c>
      <c r="I1666" t="s">
        <v>8165</v>
      </c>
      <c r="J1666" t="s">
        <v>8164</v>
      </c>
      <c r="K1666">
        <v>12405</v>
      </c>
      <c r="L1666">
        <v>12405</v>
      </c>
      <c r="M1666" t="s">
        <v>1223</v>
      </c>
      <c r="N1666" t="s">
        <v>1224</v>
      </c>
      <c r="O1666" s="3">
        <v>0</v>
      </c>
      <c r="P1666" s="3">
        <v>0</v>
      </c>
      <c r="Q1666" s="3">
        <v>64.83</v>
      </c>
      <c r="R1666" s="3">
        <v>8.4278999999999993</v>
      </c>
      <c r="S1666" s="3">
        <v>0</v>
      </c>
      <c r="T1666" s="3">
        <v>0</v>
      </c>
      <c r="U1666" s="3">
        <v>73.257899999999992</v>
      </c>
      <c r="V1666" s="3" t="s">
        <v>8046</v>
      </c>
      <c r="W1666" s="3" t="s">
        <v>1</v>
      </c>
    </row>
    <row r="1667" spans="5:23" hidden="1" x14ac:dyDescent="0.25">
      <c r="E1667" t="s">
        <v>8387</v>
      </c>
      <c r="F1667" s="1" t="s">
        <v>8447</v>
      </c>
      <c r="G1667" t="s">
        <v>1</v>
      </c>
      <c r="H1667" t="s">
        <v>0</v>
      </c>
      <c r="I1667" t="s">
        <v>8165</v>
      </c>
      <c r="J1667" t="s">
        <v>8164</v>
      </c>
      <c r="K1667">
        <v>12406</v>
      </c>
      <c r="L1667">
        <v>12406</v>
      </c>
      <c r="M1667" t="s">
        <v>1223</v>
      </c>
      <c r="N1667" t="s">
        <v>1224</v>
      </c>
      <c r="O1667" s="3">
        <v>0</v>
      </c>
      <c r="P1667" s="3">
        <v>0</v>
      </c>
      <c r="Q1667" s="3">
        <v>40</v>
      </c>
      <c r="R1667" s="3">
        <v>5.2</v>
      </c>
      <c r="S1667" s="3">
        <v>0</v>
      </c>
      <c r="T1667" s="3">
        <v>0</v>
      </c>
      <c r="U1667" s="3">
        <v>45.2</v>
      </c>
      <c r="V1667" s="3" t="s">
        <v>8046</v>
      </c>
      <c r="W1667" s="3" t="s">
        <v>1</v>
      </c>
    </row>
    <row r="1668" spans="5:23" hidden="1" x14ac:dyDescent="0.25">
      <c r="E1668" t="s">
        <v>8387</v>
      </c>
      <c r="F1668" s="1" t="s">
        <v>8444</v>
      </c>
      <c r="G1668" t="s">
        <v>1</v>
      </c>
      <c r="H1668" t="s">
        <v>0</v>
      </c>
      <c r="I1668" t="s">
        <v>8165</v>
      </c>
      <c r="J1668" t="s">
        <v>8164</v>
      </c>
      <c r="K1668">
        <v>12407</v>
      </c>
      <c r="L1668">
        <v>12407</v>
      </c>
      <c r="M1668" t="s">
        <v>8416</v>
      </c>
      <c r="N1668" t="s">
        <v>8417</v>
      </c>
      <c r="O1668" s="3">
        <v>0</v>
      </c>
      <c r="P1668" s="3">
        <v>0</v>
      </c>
      <c r="Q1668" s="3">
        <v>88.48</v>
      </c>
      <c r="R1668" s="3">
        <v>11.502400000000002</v>
      </c>
      <c r="S1668" s="3">
        <v>0</v>
      </c>
      <c r="T1668" s="3">
        <v>0</v>
      </c>
      <c r="U1668" s="3">
        <v>99.982400000000013</v>
      </c>
      <c r="V1668" s="3" t="s">
        <v>8046</v>
      </c>
      <c r="W1668" s="3" t="s">
        <v>1</v>
      </c>
    </row>
    <row r="1669" spans="5:23" hidden="1" x14ac:dyDescent="0.25">
      <c r="E1669" t="s">
        <v>8387</v>
      </c>
      <c r="F1669" s="1" t="s">
        <v>8444</v>
      </c>
      <c r="G1669" t="s">
        <v>1</v>
      </c>
      <c r="H1669" t="s">
        <v>0</v>
      </c>
      <c r="I1669" t="s">
        <v>8165</v>
      </c>
      <c r="J1669" t="s">
        <v>8164</v>
      </c>
      <c r="K1669">
        <v>12408</v>
      </c>
      <c r="L1669">
        <v>12408</v>
      </c>
      <c r="M1669" t="s">
        <v>8234</v>
      </c>
      <c r="N1669" t="s">
        <v>8235</v>
      </c>
      <c r="O1669" s="3">
        <v>0</v>
      </c>
      <c r="P1669" s="3">
        <v>0</v>
      </c>
      <c r="Q1669" s="3">
        <v>198.61</v>
      </c>
      <c r="R1669" s="3">
        <v>25.819300000000002</v>
      </c>
      <c r="S1669" s="3">
        <v>0</v>
      </c>
      <c r="T1669" s="3">
        <v>0</v>
      </c>
      <c r="U1669" s="3">
        <v>224.42930000000001</v>
      </c>
      <c r="V1669" s="3" t="s">
        <v>8046</v>
      </c>
      <c r="W1669" s="3" t="s">
        <v>1</v>
      </c>
    </row>
    <row r="1670" spans="5:23" hidden="1" x14ac:dyDescent="0.25">
      <c r="E1670" t="s">
        <v>8387</v>
      </c>
      <c r="F1670" s="1" t="s">
        <v>8444</v>
      </c>
      <c r="G1670" t="s">
        <v>1</v>
      </c>
      <c r="H1670" t="s">
        <v>0</v>
      </c>
      <c r="I1670" t="s">
        <v>8165</v>
      </c>
      <c r="J1670" t="s">
        <v>8164</v>
      </c>
      <c r="K1670">
        <v>12409</v>
      </c>
      <c r="L1670">
        <v>12409</v>
      </c>
      <c r="M1670" t="s">
        <v>8190</v>
      </c>
      <c r="N1670" t="s">
        <v>8191</v>
      </c>
      <c r="O1670" s="3">
        <v>0</v>
      </c>
      <c r="P1670" s="3">
        <v>0</v>
      </c>
      <c r="Q1670" s="3">
        <v>154.87</v>
      </c>
      <c r="R1670" s="3">
        <v>20.133100000000002</v>
      </c>
      <c r="S1670" s="3">
        <v>0</v>
      </c>
      <c r="T1670" s="3">
        <v>0</v>
      </c>
      <c r="U1670" s="3">
        <v>175.00310000000002</v>
      </c>
      <c r="V1670" s="3" t="s">
        <v>8046</v>
      </c>
      <c r="W1670" s="3" t="s">
        <v>1</v>
      </c>
    </row>
    <row r="1671" spans="5:23" hidden="1" x14ac:dyDescent="0.25">
      <c r="E1671" t="s">
        <v>8387</v>
      </c>
      <c r="F1671" s="1" t="s">
        <v>8444</v>
      </c>
      <c r="G1671" t="s">
        <v>1</v>
      </c>
      <c r="H1671" t="s">
        <v>0</v>
      </c>
      <c r="I1671" t="s">
        <v>8165</v>
      </c>
      <c r="J1671" t="s">
        <v>8164</v>
      </c>
      <c r="K1671">
        <v>12410</v>
      </c>
      <c r="L1671">
        <v>12410</v>
      </c>
      <c r="M1671" t="s">
        <v>125</v>
      </c>
      <c r="N1671" t="s">
        <v>126</v>
      </c>
      <c r="O1671" s="3">
        <v>0</v>
      </c>
      <c r="P1671" s="3">
        <v>0</v>
      </c>
      <c r="Q1671" s="3">
        <v>125</v>
      </c>
      <c r="R1671" s="3">
        <v>16.25</v>
      </c>
      <c r="S1671" s="3">
        <v>0</v>
      </c>
      <c r="T1671" s="3">
        <v>0</v>
      </c>
      <c r="U1671" s="3">
        <v>141.25</v>
      </c>
      <c r="V1671" s="3" t="s">
        <v>8046</v>
      </c>
      <c r="W1671" s="3" t="s">
        <v>1</v>
      </c>
    </row>
    <row r="1672" spans="5:23" hidden="1" x14ac:dyDescent="0.25">
      <c r="E1672" t="s">
        <v>8387</v>
      </c>
      <c r="F1672" s="1" t="s">
        <v>8444</v>
      </c>
      <c r="G1672" t="s">
        <v>1</v>
      </c>
      <c r="H1672" t="s">
        <v>0</v>
      </c>
      <c r="I1672" t="s">
        <v>8165</v>
      </c>
      <c r="J1672" t="s">
        <v>8164</v>
      </c>
      <c r="K1672">
        <v>12411</v>
      </c>
      <c r="L1672">
        <v>12411</v>
      </c>
      <c r="M1672" t="s">
        <v>7852</v>
      </c>
      <c r="N1672" t="s">
        <v>7851</v>
      </c>
      <c r="O1672" s="3">
        <v>0</v>
      </c>
      <c r="P1672" s="3">
        <v>0</v>
      </c>
      <c r="Q1672" s="3">
        <v>0</v>
      </c>
      <c r="R1672" s="3">
        <v>0</v>
      </c>
      <c r="S1672" s="3">
        <v>0</v>
      </c>
      <c r="T1672" s="3">
        <v>0</v>
      </c>
      <c r="U1672" s="3">
        <v>0</v>
      </c>
      <c r="V1672" s="3" t="s">
        <v>8046</v>
      </c>
      <c r="W1672" s="3" t="s">
        <v>1</v>
      </c>
    </row>
    <row r="1673" spans="5:23" hidden="1" x14ac:dyDescent="0.25">
      <c r="E1673" t="s">
        <v>8387</v>
      </c>
      <c r="F1673" s="1" t="s">
        <v>8444</v>
      </c>
      <c r="G1673" t="s">
        <v>1</v>
      </c>
      <c r="H1673" t="s">
        <v>0</v>
      </c>
      <c r="I1673" t="s">
        <v>8165</v>
      </c>
      <c r="J1673" t="s">
        <v>8164</v>
      </c>
      <c r="K1673">
        <v>12412</v>
      </c>
      <c r="L1673">
        <v>12412</v>
      </c>
      <c r="M1673" t="s">
        <v>8218</v>
      </c>
      <c r="N1673" t="s">
        <v>8219</v>
      </c>
      <c r="O1673" s="3">
        <v>0</v>
      </c>
      <c r="P1673" s="3">
        <v>0</v>
      </c>
      <c r="Q1673" s="3">
        <v>519.29999999999995</v>
      </c>
      <c r="R1673" s="3">
        <v>67.509</v>
      </c>
      <c r="S1673" s="3">
        <v>0</v>
      </c>
      <c r="T1673" s="3">
        <v>0</v>
      </c>
      <c r="U1673" s="3">
        <v>586.80899999999997</v>
      </c>
      <c r="V1673" s="3" t="s">
        <v>8046</v>
      </c>
      <c r="W1673" s="3" t="s">
        <v>1</v>
      </c>
    </row>
    <row r="1674" spans="5:23" hidden="1" x14ac:dyDescent="0.25">
      <c r="E1674" t="s">
        <v>8387</v>
      </c>
      <c r="F1674" s="1" t="s">
        <v>8444</v>
      </c>
      <c r="G1674" t="s">
        <v>1</v>
      </c>
      <c r="H1674" t="s">
        <v>0</v>
      </c>
      <c r="I1674" t="s">
        <v>8165</v>
      </c>
      <c r="J1674" t="s">
        <v>8164</v>
      </c>
      <c r="K1674">
        <v>12413</v>
      </c>
      <c r="L1674">
        <v>12413</v>
      </c>
      <c r="M1674" t="s">
        <v>807</v>
      </c>
      <c r="N1674" t="s">
        <v>808</v>
      </c>
      <c r="O1674" s="3">
        <v>0</v>
      </c>
      <c r="P1674" s="3">
        <v>0</v>
      </c>
      <c r="Q1674" s="3">
        <v>544.25</v>
      </c>
      <c r="R1674" s="3">
        <v>70.752499999999998</v>
      </c>
      <c r="S1674" s="3">
        <v>0</v>
      </c>
      <c r="T1674" s="3">
        <v>0</v>
      </c>
      <c r="U1674" s="3">
        <v>615.00250000000005</v>
      </c>
      <c r="V1674" s="3" t="s">
        <v>8046</v>
      </c>
      <c r="W1674" s="3" t="s">
        <v>1</v>
      </c>
    </row>
    <row r="1675" spans="5:23" hidden="1" x14ac:dyDescent="0.25">
      <c r="E1675" t="s">
        <v>8387</v>
      </c>
      <c r="F1675" s="1" t="s">
        <v>8444</v>
      </c>
      <c r="G1675" t="s">
        <v>1</v>
      </c>
      <c r="H1675" t="s">
        <v>0</v>
      </c>
      <c r="I1675" t="s">
        <v>8165</v>
      </c>
      <c r="J1675" t="s">
        <v>8164</v>
      </c>
      <c r="K1675">
        <v>12414</v>
      </c>
      <c r="L1675">
        <v>12414</v>
      </c>
      <c r="M1675" t="s">
        <v>8114</v>
      </c>
      <c r="N1675" t="s">
        <v>8115</v>
      </c>
      <c r="O1675" s="3">
        <v>0</v>
      </c>
      <c r="P1675" s="3">
        <v>0</v>
      </c>
      <c r="Q1675" s="3">
        <v>213</v>
      </c>
      <c r="R1675" s="3">
        <v>27.69</v>
      </c>
      <c r="S1675" s="3">
        <v>0</v>
      </c>
      <c r="T1675" s="3">
        <v>0</v>
      </c>
      <c r="U1675" s="3">
        <v>240.69</v>
      </c>
      <c r="V1675" s="3" t="s">
        <v>8046</v>
      </c>
      <c r="W1675" s="3" t="s">
        <v>1</v>
      </c>
    </row>
    <row r="1676" spans="5:23" hidden="1" x14ac:dyDescent="0.25">
      <c r="E1676" t="s">
        <v>8387</v>
      </c>
      <c r="F1676" s="1" t="s">
        <v>8444</v>
      </c>
      <c r="G1676" t="s">
        <v>1</v>
      </c>
      <c r="H1676" t="s">
        <v>0</v>
      </c>
      <c r="I1676" t="s">
        <v>8165</v>
      </c>
      <c r="J1676" t="s">
        <v>8164</v>
      </c>
      <c r="K1676">
        <v>12415</v>
      </c>
      <c r="L1676">
        <v>12415</v>
      </c>
      <c r="M1676" t="s">
        <v>8255</v>
      </c>
      <c r="N1676" t="s">
        <v>8256</v>
      </c>
      <c r="O1676" s="3">
        <v>0</v>
      </c>
      <c r="P1676" s="3">
        <v>0</v>
      </c>
      <c r="Q1676" s="3">
        <v>130.44</v>
      </c>
      <c r="R1676" s="3">
        <v>16.9572</v>
      </c>
      <c r="S1676" s="3">
        <v>0</v>
      </c>
      <c r="T1676" s="3">
        <v>0</v>
      </c>
      <c r="U1676" s="3">
        <v>147.3972</v>
      </c>
      <c r="V1676" s="3" t="s">
        <v>8046</v>
      </c>
      <c r="W1676" s="3" t="s">
        <v>1</v>
      </c>
    </row>
    <row r="1677" spans="5:23" hidden="1" x14ac:dyDescent="0.25">
      <c r="E1677" t="s">
        <v>8387</v>
      </c>
      <c r="F1677" s="1" t="s">
        <v>8444</v>
      </c>
      <c r="G1677" t="s">
        <v>1</v>
      </c>
      <c r="H1677" t="s">
        <v>0</v>
      </c>
      <c r="I1677" t="s">
        <v>8165</v>
      </c>
      <c r="J1677" t="s">
        <v>8164</v>
      </c>
      <c r="K1677">
        <v>12416</v>
      </c>
      <c r="L1677">
        <v>12416</v>
      </c>
      <c r="M1677" t="s">
        <v>8285</v>
      </c>
      <c r="N1677" t="s">
        <v>8286</v>
      </c>
      <c r="O1677" s="3">
        <v>0</v>
      </c>
      <c r="P1677" s="3">
        <v>0</v>
      </c>
      <c r="Q1677" s="3">
        <v>223.75</v>
      </c>
      <c r="R1677" s="3">
        <v>29.087500000000002</v>
      </c>
      <c r="S1677" s="3">
        <v>0</v>
      </c>
      <c r="T1677" s="3">
        <v>0</v>
      </c>
      <c r="U1677" s="3">
        <v>252.83750000000001</v>
      </c>
      <c r="V1677" s="3" t="s">
        <v>8046</v>
      </c>
      <c r="W1677" s="3" t="s">
        <v>1</v>
      </c>
    </row>
    <row r="1678" spans="5:23" hidden="1" x14ac:dyDescent="0.25">
      <c r="E1678" t="s">
        <v>8387</v>
      </c>
      <c r="F1678" s="1" t="s">
        <v>8444</v>
      </c>
      <c r="G1678" t="s">
        <v>1</v>
      </c>
      <c r="H1678" t="s">
        <v>0</v>
      </c>
      <c r="I1678" t="s">
        <v>8165</v>
      </c>
      <c r="J1678" t="s">
        <v>8164</v>
      </c>
      <c r="K1678">
        <v>12417</v>
      </c>
      <c r="L1678">
        <v>12417</v>
      </c>
      <c r="M1678" t="s">
        <v>8445</v>
      </c>
      <c r="N1678" t="s">
        <v>8446</v>
      </c>
      <c r="O1678" s="3">
        <v>0</v>
      </c>
      <c r="P1678" s="3">
        <v>0</v>
      </c>
      <c r="Q1678" s="3">
        <v>303</v>
      </c>
      <c r="R1678" s="3">
        <v>39.39</v>
      </c>
      <c r="S1678" s="3">
        <v>0</v>
      </c>
      <c r="T1678" s="3">
        <v>0</v>
      </c>
      <c r="U1678" s="3">
        <v>342.39</v>
      </c>
      <c r="V1678" s="3" t="s">
        <v>8046</v>
      </c>
      <c r="W1678" s="3" t="s">
        <v>1</v>
      </c>
    </row>
    <row r="1679" spans="5:23" hidden="1" x14ac:dyDescent="0.25">
      <c r="E1679" t="s">
        <v>8387</v>
      </c>
      <c r="F1679" s="1" t="s">
        <v>8443</v>
      </c>
      <c r="G1679" t="s">
        <v>1</v>
      </c>
      <c r="H1679" t="s">
        <v>0</v>
      </c>
      <c r="I1679" t="s">
        <v>8165</v>
      </c>
      <c r="J1679" t="s">
        <v>8164</v>
      </c>
      <c r="K1679">
        <v>12418</v>
      </c>
      <c r="L1679">
        <v>12418</v>
      </c>
      <c r="M1679" t="s">
        <v>8234</v>
      </c>
      <c r="N1679" t="s">
        <v>8235</v>
      </c>
      <c r="O1679" s="3">
        <v>0</v>
      </c>
      <c r="P1679" s="3">
        <v>0</v>
      </c>
      <c r="Q1679" s="3">
        <v>173.12</v>
      </c>
      <c r="R1679" s="3">
        <v>22.505600000000001</v>
      </c>
      <c r="S1679" s="3">
        <v>0</v>
      </c>
      <c r="T1679" s="3">
        <v>0</v>
      </c>
      <c r="U1679" s="3">
        <v>195.62560000000002</v>
      </c>
      <c r="V1679" s="3" t="s">
        <v>8046</v>
      </c>
      <c r="W1679" s="3" t="s">
        <v>1</v>
      </c>
    </row>
    <row r="1680" spans="5:23" hidden="1" x14ac:dyDescent="0.25">
      <c r="E1680" t="s">
        <v>8387</v>
      </c>
      <c r="F1680" s="1" t="s">
        <v>8440</v>
      </c>
      <c r="G1680" t="s">
        <v>1</v>
      </c>
      <c r="H1680" t="s">
        <v>0</v>
      </c>
      <c r="I1680" t="s">
        <v>8165</v>
      </c>
      <c r="J1680" t="s">
        <v>8164</v>
      </c>
      <c r="K1680">
        <v>12419</v>
      </c>
      <c r="L1680">
        <v>12419</v>
      </c>
      <c r="M1680" t="s">
        <v>7852</v>
      </c>
      <c r="N1680" t="s">
        <v>7851</v>
      </c>
      <c r="O1680" s="3">
        <v>0</v>
      </c>
      <c r="P1680" s="3">
        <v>0</v>
      </c>
      <c r="Q1680" s="3">
        <v>0</v>
      </c>
      <c r="R1680" s="3">
        <v>0</v>
      </c>
      <c r="S1680" s="3">
        <v>0</v>
      </c>
      <c r="T1680" s="3">
        <v>0</v>
      </c>
      <c r="U1680" s="3">
        <v>0</v>
      </c>
      <c r="V1680" s="3" t="s">
        <v>8046</v>
      </c>
      <c r="W1680" s="3" t="s">
        <v>1</v>
      </c>
    </row>
    <row r="1681" spans="5:23" hidden="1" x14ac:dyDescent="0.25">
      <c r="E1681" t="s">
        <v>8387</v>
      </c>
      <c r="F1681" s="1" t="s">
        <v>8440</v>
      </c>
      <c r="G1681" t="s">
        <v>1</v>
      </c>
      <c r="H1681" t="s">
        <v>0</v>
      </c>
      <c r="I1681" t="s">
        <v>8165</v>
      </c>
      <c r="J1681" t="s">
        <v>8164</v>
      </c>
      <c r="K1681">
        <v>12420</v>
      </c>
      <c r="L1681">
        <v>12420</v>
      </c>
      <c r="M1681" t="s">
        <v>7852</v>
      </c>
      <c r="N1681" t="s">
        <v>7851</v>
      </c>
      <c r="O1681" s="3">
        <v>0</v>
      </c>
      <c r="P1681" s="3">
        <v>0</v>
      </c>
      <c r="Q1681" s="3">
        <v>0</v>
      </c>
      <c r="R1681" s="3">
        <v>0</v>
      </c>
      <c r="S1681" s="3">
        <v>0</v>
      </c>
      <c r="T1681" s="3">
        <v>0</v>
      </c>
      <c r="U1681" s="3">
        <v>0</v>
      </c>
      <c r="V1681" s="3" t="s">
        <v>8046</v>
      </c>
      <c r="W1681" s="3" t="s">
        <v>1</v>
      </c>
    </row>
    <row r="1682" spans="5:23" hidden="1" x14ac:dyDescent="0.25">
      <c r="E1682" t="s">
        <v>8387</v>
      </c>
      <c r="F1682" s="1" t="s">
        <v>8440</v>
      </c>
      <c r="G1682" t="s">
        <v>1</v>
      </c>
      <c r="H1682" t="s">
        <v>0</v>
      </c>
      <c r="I1682" t="s">
        <v>8165</v>
      </c>
      <c r="J1682" t="s">
        <v>8164</v>
      </c>
      <c r="K1682">
        <v>12421</v>
      </c>
      <c r="L1682">
        <v>12421</v>
      </c>
      <c r="M1682" t="s">
        <v>1394</v>
      </c>
      <c r="N1682" t="s">
        <v>1395</v>
      </c>
      <c r="O1682" s="3">
        <v>0</v>
      </c>
      <c r="P1682" s="3">
        <v>0</v>
      </c>
      <c r="Q1682" s="3">
        <v>487.75</v>
      </c>
      <c r="R1682" s="3">
        <v>63.407499999999999</v>
      </c>
      <c r="S1682" s="3">
        <v>0</v>
      </c>
      <c r="T1682" s="3">
        <v>0</v>
      </c>
      <c r="U1682" s="3">
        <v>551.15750000000003</v>
      </c>
      <c r="V1682" s="3" t="s">
        <v>8046</v>
      </c>
      <c r="W1682" s="3" t="s">
        <v>1</v>
      </c>
    </row>
    <row r="1683" spans="5:23" hidden="1" x14ac:dyDescent="0.25">
      <c r="E1683" t="s">
        <v>8387</v>
      </c>
      <c r="F1683" s="1" t="s">
        <v>8440</v>
      </c>
      <c r="G1683" t="s">
        <v>1</v>
      </c>
      <c r="H1683" t="s">
        <v>0</v>
      </c>
      <c r="I1683" t="s">
        <v>8165</v>
      </c>
      <c r="J1683" t="s">
        <v>8164</v>
      </c>
      <c r="K1683">
        <v>12422</v>
      </c>
      <c r="L1683">
        <v>12422</v>
      </c>
      <c r="M1683" t="s">
        <v>7852</v>
      </c>
      <c r="N1683" t="s">
        <v>7851</v>
      </c>
      <c r="O1683" s="3">
        <v>0</v>
      </c>
      <c r="P1683" s="3">
        <v>0</v>
      </c>
      <c r="Q1683" s="3">
        <v>0</v>
      </c>
      <c r="R1683" s="3">
        <v>0</v>
      </c>
      <c r="S1683" s="3">
        <v>0</v>
      </c>
      <c r="T1683" s="3">
        <v>0</v>
      </c>
      <c r="U1683" s="3">
        <v>0</v>
      </c>
      <c r="V1683" s="3" t="s">
        <v>8046</v>
      </c>
      <c r="W1683" s="3" t="s">
        <v>1</v>
      </c>
    </row>
    <row r="1684" spans="5:23" hidden="1" x14ac:dyDescent="0.25">
      <c r="E1684" t="s">
        <v>8387</v>
      </c>
      <c r="F1684" s="1" t="s">
        <v>8440</v>
      </c>
      <c r="G1684" t="s">
        <v>1</v>
      </c>
      <c r="H1684" t="s">
        <v>0</v>
      </c>
      <c r="I1684" t="s">
        <v>8165</v>
      </c>
      <c r="J1684" t="s">
        <v>8164</v>
      </c>
      <c r="K1684">
        <v>12423</v>
      </c>
      <c r="L1684">
        <v>12423</v>
      </c>
      <c r="M1684" t="s">
        <v>8207</v>
      </c>
      <c r="N1684" t="s">
        <v>8208</v>
      </c>
      <c r="O1684" s="3">
        <v>0</v>
      </c>
      <c r="P1684" s="3">
        <v>0</v>
      </c>
      <c r="Q1684" s="3">
        <v>53.37</v>
      </c>
      <c r="R1684" s="3">
        <v>6.9380999999999995</v>
      </c>
      <c r="S1684" s="3">
        <v>0</v>
      </c>
      <c r="T1684" s="3">
        <v>0</v>
      </c>
      <c r="U1684" s="3">
        <v>60.308099999999996</v>
      </c>
      <c r="V1684" s="3" t="s">
        <v>8046</v>
      </c>
      <c r="W1684" s="3" t="s">
        <v>1</v>
      </c>
    </row>
    <row r="1685" spans="5:23" hidden="1" x14ac:dyDescent="0.25">
      <c r="E1685" t="s">
        <v>8387</v>
      </c>
      <c r="F1685" s="1" t="s">
        <v>8440</v>
      </c>
      <c r="G1685" t="s">
        <v>1</v>
      </c>
      <c r="H1685" t="s">
        <v>0</v>
      </c>
      <c r="I1685" t="s">
        <v>8165</v>
      </c>
      <c r="J1685" t="s">
        <v>8164</v>
      </c>
      <c r="K1685">
        <v>12424</v>
      </c>
      <c r="L1685">
        <v>12424</v>
      </c>
      <c r="M1685" t="s">
        <v>8188</v>
      </c>
      <c r="N1685" t="s">
        <v>8189</v>
      </c>
      <c r="O1685" s="3">
        <v>0</v>
      </c>
      <c r="P1685" s="3">
        <v>0</v>
      </c>
      <c r="Q1685" s="3">
        <v>986.3</v>
      </c>
      <c r="R1685" s="3">
        <v>128.21899999999999</v>
      </c>
      <c r="S1685" s="3">
        <v>0</v>
      </c>
      <c r="T1685" s="3">
        <v>0</v>
      </c>
      <c r="U1685" s="3">
        <v>1114.519</v>
      </c>
      <c r="V1685" s="3" t="s">
        <v>8046</v>
      </c>
      <c r="W1685" s="3" t="s">
        <v>1</v>
      </c>
    </row>
    <row r="1686" spans="5:23" hidden="1" x14ac:dyDescent="0.25">
      <c r="E1686" t="s">
        <v>8387</v>
      </c>
      <c r="F1686" s="1" t="s">
        <v>8440</v>
      </c>
      <c r="G1686" t="s">
        <v>1</v>
      </c>
      <c r="H1686" t="s">
        <v>0</v>
      </c>
      <c r="I1686" t="s">
        <v>8165</v>
      </c>
      <c r="J1686" t="s">
        <v>8164</v>
      </c>
      <c r="K1686">
        <v>12425</v>
      </c>
      <c r="L1686">
        <v>12425</v>
      </c>
      <c r="M1686" t="s">
        <v>8207</v>
      </c>
      <c r="N1686" t="s">
        <v>8208</v>
      </c>
      <c r="O1686" s="3">
        <v>0</v>
      </c>
      <c r="P1686" s="3">
        <v>0</v>
      </c>
      <c r="Q1686" s="3">
        <v>35.5</v>
      </c>
      <c r="R1686" s="3">
        <v>4.6150000000000002</v>
      </c>
      <c r="S1686" s="3">
        <v>0</v>
      </c>
      <c r="T1686" s="3">
        <v>0</v>
      </c>
      <c r="U1686" s="3">
        <v>40.115000000000002</v>
      </c>
      <c r="V1686" s="3" t="s">
        <v>8046</v>
      </c>
      <c r="W1686" s="3" t="s">
        <v>1</v>
      </c>
    </row>
    <row r="1687" spans="5:23" hidden="1" x14ac:dyDescent="0.25">
      <c r="E1687" t="s">
        <v>8387</v>
      </c>
      <c r="F1687" s="1" t="s">
        <v>8440</v>
      </c>
      <c r="G1687" t="s">
        <v>1</v>
      </c>
      <c r="H1687" t="s">
        <v>0</v>
      </c>
      <c r="I1687" t="s">
        <v>8165</v>
      </c>
      <c r="J1687" t="s">
        <v>8164</v>
      </c>
      <c r="K1687">
        <v>12426</v>
      </c>
      <c r="L1687">
        <v>12426</v>
      </c>
      <c r="M1687" t="s">
        <v>8203</v>
      </c>
      <c r="N1687" t="s">
        <v>8204</v>
      </c>
      <c r="O1687" s="3">
        <v>0</v>
      </c>
      <c r="P1687" s="3">
        <v>0</v>
      </c>
      <c r="Q1687" s="3">
        <v>26.55</v>
      </c>
      <c r="R1687" s="3">
        <v>3.4515000000000002</v>
      </c>
      <c r="S1687" s="3">
        <v>0</v>
      </c>
      <c r="T1687" s="3">
        <v>0</v>
      </c>
      <c r="U1687" s="3">
        <v>30.0015</v>
      </c>
      <c r="V1687" s="3" t="s">
        <v>8046</v>
      </c>
      <c r="W1687" s="3" t="s">
        <v>1</v>
      </c>
    </row>
    <row r="1688" spans="5:23" hidden="1" x14ac:dyDescent="0.25">
      <c r="E1688" t="s">
        <v>8387</v>
      </c>
      <c r="F1688" s="1" t="s">
        <v>8440</v>
      </c>
      <c r="G1688" t="s">
        <v>1</v>
      </c>
      <c r="H1688" t="s">
        <v>0</v>
      </c>
      <c r="I1688" t="s">
        <v>8165</v>
      </c>
      <c r="J1688" t="s">
        <v>8164</v>
      </c>
      <c r="K1688">
        <v>12427</v>
      </c>
      <c r="L1688">
        <v>12427</v>
      </c>
      <c r="M1688" t="s">
        <v>8255</v>
      </c>
      <c r="N1688" t="s">
        <v>8256</v>
      </c>
      <c r="O1688" s="3">
        <v>0</v>
      </c>
      <c r="P1688" s="3">
        <v>0</v>
      </c>
      <c r="Q1688" s="3">
        <v>122.88</v>
      </c>
      <c r="R1688" s="3">
        <v>15.974399999999999</v>
      </c>
      <c r="S1688" s="3">
        <v>0</v>
      </c>
      <c r="T1688" s="3">
        <v>0</v>
      </c>
      <c r="U1688" s="3">
        <v>138.8544</v>
      </c>
      <c r="V1688" s="3" t="s">
        <v>8046</v>
      </c>
      <c r="W1688" s="3" t="s">
        <v>1</v>
      </c>
    </row>
    <row r="1689" spans="5:23" hidden="1" x14ac:dyDescent="0.25">
      <c r="E1689" t="s">
        <v>8387</v>
      </c>
      <c r="F1689" s="1" t="s">
        <v>8440</v>
      </c>
      <c r="G1689" t="s">
        <v>1</v>
      </c>
      <c r="H1689" t="s">
        <v>0</v>
      </c>
      <c r="I1689" t="s">
        <v>8165</v>
      </c>
      <c r="J1689" t="s">
        <v>8164</v>
      </c>
      <c r="K1689">
        <v>12428</v>
      </c>
      <c r="L1689">
        <v>12428</v>
      </c>
      <c r="M1689" t="s">
        <v>8255</v>
      </c>
      <c r="N1689" t="s">
        <v>8256</v>
      </c>
      <c r="O1689" s="3">
        <v>0</v>
      </c>
      <c r="P1689" s="3">
        <v>0</v>
      </c>
      <c r="Q1689" s="3">
        <v>69</v>
      </c>
      <c r="R1689" s="3">
        <v>8.9700000000000006</v>
      </c>
      <c r="S1689" s="3">
        <v>0</v>
      </c>
      <c r="T1689" s="3">
        <v>0</v>
      </c>
      <c r="U1689" s="3">
        <v>77.97</v>
      </c>
      <c r="V1689" s="3" t="s">
        <v>8046</v>
      </c>
      <c r="W1689" s="3" t="s">
        <v>1</v>
      </c>
    </row>
    <row r="1690" spans="5:23" hidden="1" x14ac:dyDescent="0.25">
      <c r="E1690" t="s">
        <v>8387</v>
      </c>
      <c r="F1690" s="1" t="s">
        <v>8440</v>
      </c>
      <c r="G1690" t="s">
        <v>1</v>
      </c>
      <c r="H1690" t="s">
        <v>0</v>
      </c>
      <c r="I1690" t="s">
        <v>8165</v>
      </c>
      <c r="J1690" t="s">
        <v>8164</v>
      </c>
      <c r="K1690">
        <v>12429</v>
      </c>
      <c r="L1690">
        <v>12429</v>
      </c>
      <c r="M1690" t="s">
        <v>156</v>
      </c>
      <c r="N1690" t="s">
        <v>157</v>
      </c>
      <c r="O1690" s="3">
        <v>0</v>
      </c>
      <c r="P1690" s="3">
        <v>0</v>
      </c>
      <c r="Q1690" s="3">
        <v>350.67</v>
      </c>
      <c r="R1690" s="3">
        <v>45.587100000000007</v>
      </c>
      <c r="S1690" s="3">
        <v>0</v>
      </c>
      <c r="T1690" s="3">
        <v>0</v>
      </c>
      <c r="U1690" s="3">
        <v>396.25710000000004</v>
      </c>
      <c r="V1690" s="3" t="s">
        <v>8046</v>
      </c>
      <c r="W1690" s="3" t="s">
        <v>1</v>
      </c>
    </row>
    <row r="1691" spans="5:23" hidden="1" x14ac:dyDescent="0.25">
      <c r="E1691" t="s">
        <v>8387</v>
      </c>
      <c r="F1691" s="1" t="s">
        <v>8440</v>
      </c>
      <c r="G1691" t="s">
        <v>1</v>
      </c>
      <c r="H1691" t="s">
        <v>0</v>
      </c>
      <c r="I1691" t="s">
        <v>8165</v>
      </c>
      <c r="J1691" t="s">
        <v>8164</v>
      </c>
      <c r="K1691">
        <v>12430</v>
      </c>
      <c r="L1691">
        <v>12430</v>
      </c>
      <c r="M1691" t="s">
        <v>8441</v>
      </c>
      <c r="N1691" t="s">
        <v>8442</v>
      </c>
      <c r="O1691" s="3">
        <v>0</v>
      </c>
      <c r="P1691" s="3">
        <v>0</v>
      </c>
      <c r="Q1691" s="3">
        <v>59.5</v>
      </c>
      <c r="R1691" s="3">
        <v>7.7350000000000003</v>
      </c>
      <c r="S1691" s="3">
        <v>0</v>
      </c>
      <c r="T1691" s="3">
        <v>0</v>
      </c>
      <c r="U1691" s="3">
        <v>67.234999999999999</v>
      </c>
      <c r="V1691" s="3" t="s">
        <v>8046</v>
      </c>
      <c r="W1691" s="3" t="s">
        <v>1</v>
      </c>
    </row>
    <row r="1692" spans="5:23" hidden="1" x14ac:dyDescent="0.25">
      <c r="E1692" t="s">
        <v>8387</v>
      </c>
      <c r="F1692" s="1" t="s">
        <v>8440</v>
      </c>
      <c r="G1692" t="s">
        <v>1</v>
      </c>
      <c r="H1692" t="s">
        <v>0</v>
      </c>
      <c r="I1692" t="s">
        <v>8165</v>
      </c>
      <c r="J1692" t="s">
        <v>8164</v>
      </c>
      <c r="K1692">
        <v>12431</v>
      </c>
      <c r="L1692">
        <v>12431</v>
      </c>
      <c r="M1692" t="s">
        <v>440</v>
      </c>
      <c r="N1692" t="s">
        <v>441</v>
      </c>
      <c r="O1692" s="3">
        <v>0</v>
      </c>
      <c r="P1692" s="3">
        <v>0</v>
      </c>
      <c r="Q1692" s="3">
        <v>92.88</v>
      </c>
      <c r="R1692" s="3">
        <v>12.074400000000001</v>
      </c>
      <c r="S1692" s="3">
        <v>0</v>
      </c>
      <c r="T1692" s="3">
        <v>0</v>
      </c>
      <c r="U1692" s="3">
        <v>104.95439999999999</v>
      </c>
      <c r="V1692" s="3" t="s">
        <v>8046</v>
      </c>
      <c r="W1692" s="3" t="s">
        <v>1</v>
      </c>
    </row>
    <row r="1693" spans="5:23" hidden="1" x14ac:dyDescent="0.25">
      <c r="E1693" t="s">
        <v>8387</v>
      </c>
      <c r="F1693" s="1" t="s">
        <v>8440</v>
      </c>
      <c r="G1693" t="s">
        <v>1</v>
      </c>
      <c r="H1693" t="s">
        <v>0</v>
      </c>
      <c r="I1693" t="s">
        <v>8165</v>
      </c>
      <c r="J1693" t="s">
        <v>8164</v>
      </c>
      <c r="K1693">
        <v>12432</v>
      </c>
      <c r="L1693">
        <v>12432</v>
      </c>
      <c r="M1693" t="s">
        <v>8114</v>
      </c>
      <c r="N1693" t="s">
        <v>8115</v>
      </c>
      <c r="O1693" s="3">
        <v>0</v>
      </c>
      <c r="P1693" s="3">
        <v>0</v>
      </c>
      <c r="Q1693" s="3">
        <v>132</v>
      </c>
      <c r="R1693" s="3">
        <v>17.16</v>
      </c>
      <c r="S1693" s="3">
        <v>0</v>
      </c>
      <c r="T1693" s="3">
        <v>0</v>
      </c>
      <c r="U1693" s="3">
        <v>149.16</v>
      </c>
      <c r="V1693" s="3" t="s">
        <v>8046</v>
      </c>
      <c r="W1693" s="3" t="s">
        <v>1</v>
      </c>
    </row>
    <row r="1694" spans="5:23" hidden="1" x14ac:dyDescent="0.25">
      <c r="E1694" t="s">
        <v>8387</v>
      </c>
      <c r="F1694" s="1" t="s">
        <v>8440</v>
      </c>
      <c r="G1694" t="s">
        <v>1</v>
      </c>
      <c r="H1694" t="s">
        <v>0</v>
      </c>
      <c r="I1694" t="s">
        <v>8165</v>
      </c>
      <c r="J1694" t="s">
        <v>8164</v>
      </c>
      <c r="K1694">
        <v>12433</v>
      </c>
      <c r="L1694">
        <v>12433</v>
      </c>
      <c r="M1694" t="s">
        <v>8186</v>
      </c>
      <c r="N1694" t="s">
        <v>8187</v>
      </c>
      <c r="O1694" s="3">
        <v>0</v>
      </c>
      <c r="P1694" s="3">
        <v>0</v>
      </c>
      <c r="Q1694" s="3">
        <v>179.92</v>
      </c>
      <c r="R1694" s="3">
        <v>23.389599999999998</v>
      </c>
      <c r="S1694" s="3">
        <v>0</v>
      </c>
      <c r="T1694" s="3">
        <v>0</v>
      </c>
      <c r="U1694" s="3">
        <v>203.30959999999999</v>
      </c>
      <c r="V1694" s="3" t="s">
        <v>8046</v>
      </c>
      <c r="W1694" s="3" t="s">
        <v>1</v>
      </c>
    </row>
    <row r="1695" spans="5:23" hidden="1" x14ac:dyDescent="0.25">
      <c r="E1695" t="s">
        <v>8387</v>
      </c>
      <c r="F1695" s="1" t="s">
        <v>8440</v>
      </c>
      <c r="G1695" t="s">
        <v>1</v>
      </c>
      <c r="H1695" t="s">
        <v>0</v>
      </c>
      <c r="I1695" t="s">
        <v>8165</v>
      </c>
      <c r="J1695" t="s">
        <v>8164</v>
      </c>
      <c r="K1695">
        <v>12434</v>
      </c>
      <c r="L1695">
        <v>12434</v>
      </c>
      <c r="M1695" t="s">
        <v>214</v>
      </c>
      <c r="N1695" t="s">
        <v>215</v>
      </c>
      <c r="O1695" s="3">
        <v>0</v>
      </c>
      <c r="P1695" s="3">
        <v>0</v>
      </c>
      <c r="Q1695" s="3">
        <v>743.36</v>
      </c>
      <c r="R1695" s="3">
        <v>96.636800000000008</v>
      </c>
      <c r="S1695" s="3">
        <v>0</v>
      </c>
      <c r="T1695" s="3">
        <v>0</v>
      </c>
      <c r="U1695" s="3">
        <v>839.99680000000001</v>
      </c>
      <c r="V1695" s="3" t="s">
        <v>8046</v>
      </c>
      <c r="W1695" s="3" t="s">
        <v>1</v>
      </c>
    </row>
    <row r="1696" spans="5:23" hidden="1" x14ac:dyDescent="0.25">
      <c r="E1696" t="s">
        <v>8387</v>
      </c>
      <c r="F1696" s="1" t="s">
        <v>8440</v>
      </c>
      <c r="G1696" t="s">
        <v>1</v>
      </c>
      <c r="H1696" t="s">
        <v>0</v>
      </c>
      <c r="I1696" t="s">
        <v>8165</v>
      </c>
      <c r="J1696" t="s">
        <v>8164</v>
      </c>
      <c r="K1696">
        <v>12435</v>
      </c>
      <c r="L1696">
        <v>12435</v>
      </c>
      <c r="M1696" t="s">
        <v>8287</v>
      </c>
      <c r="N1696" t="s">
        <v>8288</v>
      </c>
      <c r="O1696" s="3">
        <v>0</v>
      </c>
      <c r="P1696" s="3">
        <v>0</v>
      </c>
      <c r="Q1696" s="3">
        <v>5.8</v>
      </c>
      <c r="R1696" s="3">
        <v>0.754</v>
      </c>
      <c r="S1696" s="3">
        <v>0</v>
      </c>
      <c r="T1696" s="3">
        <v>0</v>
      </c>
      <c r="U1696" s="3">
        <v>6.5540000000000003</v>
      </c>
      <c r="V1696" s="3" t="s">
        <v>8046</v>
      </c>
      <c r="W1696" s="3" t="s">
        <v>1</v>
      </c>
    </row>
    <row r="1697" spans="5:23" hidden="1" x14ac:dyDescent="0.25">
      <c r="E1697" t="s">
        <v>8387</v>
      </c>
      <c r="F1697" s="1" t="s">
        <v>8440</v>
      </c>
      <c r="G1697" t="s">
        <v>1</v>
      </c>
      <c r="H1697" t="s">
        <v>0</v>
      </c>
      <c r="I1697" t="s">
        <v>8165</v>
      </c>
      <c r="J1697" t="s">
        <v>8164</v>
      </c>
      <c r="K1697">
        <v>12436</v>
      </c>
      <c r="L1697">
        <v>12436</v>
      </c>
      <c r="M1697" t="s">
        <v>8259</v>
      </c>
      <c r="N1697" t="s">
        <v>8260</v>
      </c>
      <c r="O1697" s="3">
        <v>0</v>
      </c>
      <c r="P1697" s="3">
        <v>0</v>
      </c>
      <c r="Q1697" s="3">
        <v>43.67</v>
      </c>
      <c r="R1697" s="3">
        <v>5.6771000000000003</v>
      </c>
      <c r="S1697" s="3">
        <v>0</v>
      </c>
      <c r="T1697" s="3">
        <v>0</v>
      </c>
      <c r="U1697" s="3">
        <v>49.347100000000005</v>
      </c>
      <c r="V1697" s="3" t="s">
        <v>8046</v>
      </c>
      <c r="W1697" s="3" t="s">
        <v>1</v>
      </c>
    </row>
    <row r="1698" spans="5:23" hidden="1" x14ac:dyDescent="0.25">
      <c r="E1698" t="s">
        <v>8387</v>
      </c>
      <c r="F1698" s="1" t="s">
        <v>8440</v>
      </c>
      <c r="G1698" t="s">
        <v>1</v>
      </c>
      <c r="H1698" t="s">
        <v>0</v>
      </c>
      <c r="I1698" t="s">
        <v>8165</v>
      </c>
      <c r="J1698" t="s">
        <v>8164</v>
      </c>
      <c r="K1698">
        <v>12437</v>
      </c>
      <c r="L1698">
        <v>12437</v>
      </c>
      <c r="M1698" t="s">
        <v>214</v>
      </c>
      <c r="N1698" t="s">
        <v>215</v>
      </c>
      <c r="O1698" s="3">
        <v>0</v>
      </c>
      <c r="P1698" s="3">
        <v>0</v>
      </c>
      <c r="Q1698" s="3">
        <v>186</v>
      </c>
      <c r="R1698" s="3">
        <v>24.18</v>
      </c>
      <c r="S1698" s="3">
        <v>0</v>
      </c>
      <c r="T1698" s="3">
        <v>0</v>
      </c>
      <c r="U1698" s="3">
        <v>210.18</v>
      </c>
      <c r="V1698" s="3" t="s">
        <v>8046</v>
      </c>
      <c r="W1698" s="3" t="s">
        <v>1</v>
      </c>
    </row>
    <row r="1699" spans="5:23" hidden="1" x14ac:dyDescent="0.25">
      <c r="E1699" t="s">
        <v>8387</v>
      </c>
      <c r="F1699" s="1" t="s">
        <v>8435</v>
      </c>
      <c r="G1699" t="s">
        <v>1</v>
      </c>
      <c r="H1699" t="s">
        <v>0</v>
      </c>
      <c r="I1699" t="s">
        <v>8165</v>
      </c>
      <c r="J1699" t="s">
        <v>8164</v>
      </c>
      <c r="K1699">
        <v>12438</v>
      </c>
      <c r="L1699">
        <v>12438</v>
      </c>
      <c r="M1699" t="s">
        <v>8239</v>
      </c>
      <c r="N1699" t="s">
        <v>8240</v>
      </c>
      <c r="O1699" s="3">
        <v>0</v>
      </c>
      <c r="P1699" s="3">
        <v>0</v>
      </c>
      <c r="Q1699" s="3">
        <v>87.76</v>
      </c>
      <c r="R1699" s="3">
        <v>11.408800000000001</v>
      </c>
      <c r="S1699" s="3">
        <v>0</v>
      </c>
      <c r="T1699" s="3">
        <v>0</v>
      </c>
      <c r="U1699" s="3">
        <v>99.168800000000005</v>
      </c>
      <c r="V1699" s="3" t="s">
        <v>8046</v>
      </c>
      <c r="W1699" s="3" t="s">
        <v>1</v>
      </c>
    </row>
    <row r="1700" spans="5:23" hidden="1" x14ac:dyDescent="0.25">
      <c r="E1700" t="s">
        <v>8387</v>
      </c>
      <c r="F1700" s="1" t="s">
        <v>8435</v>
      </c>
      <c r="G1700" t="s">
        <v>1</v>
      </c>
      <c r="H1700" t="s">
        <v>0</v>
      </c>
      <c r="I1700" t="s">
        <v>8165</v>
      </c>
      <c r="J1700" t="s">
        <v>8164</v>
      </c>
      <c r="K1700">
        <v>12439</v>
      </c>
      <c r="L1700">
        <v>12439</v>
      </c>
      <c r="M1700" t="s">
        <v>8277</v>
      </c>
      <c r="N1700" t="s">
        <v>8278</v>
      </c>
      <c r="O1700" s="3">
        <v>0</v>
      </c>
      <c r="P1700" s="3">
        <v>0</v>
      </c>
      <c r="Q1700" s="3">
        <v>208.18</v>
      </c>
      <c r="R1700" s="3">
        <v>27.063400000000001</v>
      </c>
      <c r="S1700" s="3">
        <v>0</v>
      </c>
      <c r="T1700" s="3">
        <v>0</v>
      </c>
      <c r="U1700" s="3">
        <v>235.24340000000001</v>
      </c>
      <c r="V1700" s="3" t="s">
        <v>8046</v>
      </c>
      <c r="W1700" s="3" t="s">
        <v>1</v>
      </c>
    </row>
    <row r="1701" spans="5:23" hidden="1" x14ac:dyDescent="0.25">
      <c r="E1701" t="s">
        <v>8387</v>
      </c>
      <c r="F1701" s="1" t="s">
        <v>8435</v>
      </c>
      <c r="G1701" t="s">
        <v>1</v>
      </c>
      <c r="H1701" t="s">
        <v>0</v>
      </c>
      <c r="I1701" t="s">
        <v>8165</v>
      </c>
      <c r="J1701" t="s">
        <v>8164</v>
      </c>
      <c r="K1701">
        <v>12440</v>
      </c>
      <c r="L1701">
        <v>12440</v>
      </c>
      <c r="M1701" t="s">
        <v>3031</v>
      </c>
      <c r="N1701" t="s">
        <v>3032</v>
      </c>
      <c r="O1701" s="3">
        <v>0</v>
      </c>
      <c r="P1701" s="3">
        <v>0</v>
      </c>
      <c r="Q1701" s="3">
        <v>371.04</v>
      </c>
      <c r="R1701" s="3">
        <v>48.235200000000006</v>
      </c>
      <c r="S1701" s="3">
        <v>0</v>
      </c>
      <c r="T1701" s="3">
        <v>0</v>
      </c>
      <c r="U1701" s="3">
        <v>419.27520000000004</v>
      </c>
      <c r="V1701" s="3" t="s">
        <v>8046</v>
      </c>
      <c r="W1701" s="3" t="s">
        <v>1</v>
      </c>
    </row>
    <row r="1702" spans="5:23" hidden="1" x14ac:dyDescent="0.25">
      <c r="E1702" t="s">
        <v>8387</v>
      </c>
      <c r="F1702" s="1" t="s">
        <v>8435</v>
      </c>
      <c r="G1702" t="s">
        <v>1</v>
      </c>
      <c r="H1702" t="s">
        <v>0</v>
      </c>
      <c r="I1702" t="s">
        <v>8165</v>
      </c>
      <c r="J1702" t="s">
        <v>8164</v>
      </c>
      <c r="K1702">
        <v>12441</v>
      </c>
      <c r="L1702">
        <v>12441</v>
      </c>
      <c r="M1702" t="s">
        <v>1394</v>
      </c>
      <c r="N1702" t="s">
        <v>1395</v>
      </c>
      <c r="O1702" s="3">
        <v>0</v>
      </c>
      <c r="P1702" s="3">
        <v>0</v>
      </c>
      <c r="Q1702" s="3">
        <v>44.25</v>
      </c>
      <c r="R1702" s="3">
        <v>5.7525000000000004</v>
      </c>
      <c r="S1702" s="3">
        <v>0</v>
      </c>
      <c r="T1702" s="3">
        <v>0</v>
      </c>
      <c r="U1702" s="3">
        <v>50.002499999999998</v>
      </c>
      <c r="V1702" s="3" t="s">
        <v>8046</v>
      </c>
      <c r="W1702" s="3" t="s">
        <v>1</v>
      </c>
    </row>
    <row r="1703" spans="5:23" hidden="1" x14ac:dyDescent="0.25">
      <c r="E1703" t="s">
        <v>8387</v>
      </c>
      <c r="F1703" s="1" t="s">
        <v>8435</v>
      </c>
      <c r="G1703" t="s">
        <v>1</v>
      </c>
      <c r="H1703" t="s">
        <v>0</v>
      </c>
      <c r="I1703" t="s">
        <v>8165</v>
      </c>
      <c r="J1703" t="s">
        <v>8164</v>
      </c>
      <c r="K1703">
        <v>12442</v>
      </c>
      <c r="L1703">
        <v>12442</v>
      </c>
      <c r="M1703" t="s">
        <v>8424</v>
      </c>
      <c r="N1703" t="s">
        <v>8425</v>
      </c>
      <c r="O1703" s="3">
        <v>0</v>
      </c>
      <c r="P1703" s="3">
        <v>0</v>
      </c>
      <c r="Q1703" s="3">
        <v>85.32</v>
      </c>
      <c r="R1703" s="3">
        <v>11.0916</v>
      </c>
      <c r="S1703" s="3">
        <v>0</v>
      </c>
      <c r="T1703" s="3">
        <v>0</v>
      </c>
      <c r="U1703" s="3">
        <v>96.411599999999993</v>
      </c>
      <c r="V1703" s="3" t="s">
        <v>8046</v>
      </c>
      <c r="W1703" s="3" t="s">
        <v>1</v>
      </c>
    </row>
    <row r="1704" spans="5:23" hidden="1" x14ac:dyDescent="0.25">
      <c r="E1704" t="s">
        <v>8387</v>
      </c>
      <c r="F1704" s="1" t="s">
        <v>8435</v>
      </c>
      <c r="G1704" t="s">
        <v>1</v>
      </c>
      <c r="H1704" t="s">
        <v>0</v>
      </c>
      <c r="I1704" t="s">
        <v>8165</v>
      </c>
      <c r="J1704" t="s">
        <v>8164</v>
      </c>
      <c r="K1704">
        <v>12443</v>
      </c>
      <c r="L1704">
        <v>12443</v>
      </c>
      <c r="M1704" t="s">
        <v>8328</v>
      </c>
      <c r="N1704" t="s">
        <v>8294</v>
      </c>
      <c r="O1704" s="3">
        <v>0</v>
      </c>
      <c r="P1704" s="3">
        <v>0</v>
      </c>
      <c r="Q1704" s="3">
        <v>31.45</v>
      </c>
      <c r="R1704" s="3">
        <v>4.0884999999999998</v>
      </c>
      <c r="S1704" s="3">
        <v>0</v>
      </c>
      <c r="T1704" s="3">
        <v>0</v>
      </c>
      <c r="U1704" s="3">
        <v>35.538499999999999</v>
      </c>
      <c r="V1704" s="3" t="s">
        <v>8046</v>
      </c>
      <c r="W1704" s="3" t="s">
        <v>1</v>
      </c>
    </row>
    <row r="1705" spans="5:23" hidden="1" x14ac:dyDescent="0.25">
      <c r="E1705" t="s">
        <v>8387</v>
      </c>
      <c r="F1705" s="1" t="s">
        <v>8435</v>
      </c>
      <c r="G1705" t="s">
        <v>1</v>
      </c>
      <c r="H1705" t="s">
        <v>0</v>
      </c>
      <c r="I1705" t="s">
        <v>8165</v>
      </c>
      <c r="J1705" t="s">
        <v>8164</v>
      </c>
      <c r="K1705">
        <v>12444</v>
      </c>
      <c r="L1705">
        <v>12444</v>
      </c>
      <c r="M1705" t="s">
        <v>8328</v>
      </c>
      <c r="N1705" t="s">
        <v>8294</v>
      </c>
      <c r="O1705" s="3">
        <v>0</v>
      </c>
      <c r="P1705" s="3">
        <v>0</v>
      </c>
      <c r="Q1705" s="3">
        <v>53.1</v>
      </c>
      <c r="R1705" s="3">
        <v>6.9030000000000005</v>
      </c>
      <c r="S1705" s="3">
        <v>0</v>
      </c>
      <c r="T1705" s="3">
        <v>0</v>
      </c>
      <c r="U1705" s="3">
        <v>60.003</v>
      </c>
      <c r="V1705" s="3" t="s">
        <v>8046</v>
      </c>
      <c r="W1705" s="3" t="s">
        <v>1</v>
      </c>
    </row>
    <row r="1706" spans="5:23" hidden="1" x14ac:dyDescent="0.25">
      <c r="E1706" t="s">
        <v>8387</v>
      </c>
      <c r="F1706" s="1" t="s">
        <v>8435</v>
      </c>
      <c r="G1706" t="s">
        <v>1</v>
      </c>
      <c r="H1706" t="s">
        <v>0</v>
      </c>
      <c r="I1706" t="s">
        <v>8165</v>
      </c>
      <c r="J1706" t="s">
        <v>8164</v>
      </c>
      <c r="K1706">
        <v>12445</v>
      </c>
      <c r="L1706">
        <v>12445</v>
      </c>
      <c r="M1706" t="s">
        <v>8438</v>
      </c>
      <c r="N1706" t="s">
        <v>8439</v>
      </c>
      <c r="O1706" s="3">
        <v>0</v>
      </c>
      <c r="P1706" s="3">
        <v>0</v>
      </c>
      <c r="Q1706" s="3">
        <v>258</v>
      </c>
      <c r="R1706" s="3">
        <v>33.54</v>
      </c>
      <c r="S1706" s="3">
        <v>0</v>
      </c>
      <c r="T1706" s="3">
        <v>0</v>
      </c>
      <c r="U1706" s="3">
        <v>291.54000000000002</v>
      </c>
      <c r="V1706" s="3" t="s">
        <v>8046</v>
      </c>
      <c r="W1706" s="3" t="s">
        <v>1</v>
      </c>
    </row>
    <row r="1707" spans="5:23" hidden="1" x14ac:dyDescent="0.25">
      <c r="E1707" t="s">
        <v>8387</v>
      </c>
      <c r="F1707" s="1" t="s">
        <v>8435</v>
      </c>
      <c r="G1707" t="s">
        <v>1</v>
      </c>
      <c r="H1707" t="s">
        <v>0</v>
      </c>
      <c r="I1707" t="s">
        <v>8165</v>
      </c>
      <c r="J1707" t="s">
        <v>8164</v>
      </c>
      <c r="K1707">
        <v>12446</v>
      </c>
      <c r="L1707">
        <v>12446</v>
      </c>
      <c r="M1707" t="s">
        <v>8424</v>
      </c>
      <c r="N1707" t="s">
        <v>8425</v>
      </c>
      <c r="O1707" s="3">
        <v>0</v>
      </c>
      <c r="P1707" s="3">
        <v>0</v>
      </c>
      <c r="Q1707" s="3">
        <v>18</v>
      </c>
      <c r="R1707" s="3">
        <v>2.34</v>
      </c>
      <c r="S1707" s="3">
        <v>0</v>
      </c>
      <c r="T1707" s="3">
        <v>0</v>
      </c>
      <c r="U1707" s="3">
        <v>20.34</v>
      </c>
      <c r="V1707" s="3" t="s">
        <v>8046</v>
      </c>
      <c r="W1707" s="3" t="s">
        <v>1</v>
      </c>
    </row>
    <row r="1708" spans="5:23" hidden="1" x14ac:dyDescent="0.25">
      <c r="E1708" t="s">
        <v>8387</v>
      </c>
      <c r="F1708" s="1" t="s">
        <v>8435</v>
      </c>
      <c r="G1708" t="s">
        <v>1</v>
      </c>
      <c r="H1708" t="s">
        <v>0</v>
      </c>
      <c r="I1708" t="s">
        <v>8165</v>
      </c>
      <c r="J1708" t="s">
        <v>8164</v>
      </c>
      <c r="K1708">
        <v>12447</v>
      </c>
      <c r="L1708">
        <v>12447</v>
      </c>
      <c r="M1708" t="s">
        <v>7852</v>
      </c>
      <c r="N1708" t="s">
        <v>7851</v>
      </c>
      <c r="O1708" s="3">
        <v>0</v>
      </c>
      <c r="P1708" s="3">
        <v>0</v>
      </c>
      <c r="Q1708" s="3">
        <v>0</v>
      </c>
      <c r="R1708" s="3">
        <v>0</v>
      </c>
      <c r="S1708" s="3">
        <v>0</v>
      </c>
      <c r="T1708" s="3">
        <v>0</v>
      </c>
      <c r="U1708" s="3">
        <v>0</v>
      </c>
      <c r="V1708" s="3" t="s">
        <v>8046</v>
      </c>
      <c r="W1708" s="3" t="s">
        <v>1</v>
      </c>
    </row>
    <row r="1709" spans="5:23" hidden="1" x14ac:dyDescent="0.25">
      <c r="E1709" t="s">
        <v>8387</v>
      </c>
      <c r="F1709" s="1" t="s">
        <v>8435</v>
      </c>
      <c r="G1709" t="s">
        <v>1</v>
      </c>
      <c r="H1709" t="s">
        <v>0</v>
      </c>
      <c r="I1709" t="s">
        <v>8165</v>
      </c>
      <c r="J1709" t="s">
        <v>8164</v>
      </c>
      <c r="K1709">
        <v>12448</v>
      </c>
      <c r="L1709">
        <v>12448</v>
      </c>
      <c r="M1709" t="s">
        <v>220</v>
      </c>
      <c r="N1709" t="s">
        <v>221</v>
      </c>
      <c r="O1709" s="3">
        <v>0</v>
      </c>
      <c r="P1709" s="3">
        <v>0</v>
      </c>
      <c r="Q1709" s="3">
        <v>159.06</v>
      </c>
      <c r="R1709" s="3">
        <v>20.677800000000001</v>
      </c>
      <c r="S1709" s="3">
        <v>0</v>
      </c>
      <c r="T1709" s="3">
        <v>0</v>
      </c>
      <c r="U1709" s="3">
        <v>179.73779999999999</v>
      </c>
      <c r="V1709" s="3" t="s">
        <v>8046</v>
      </c>
      <c r="W1709" s="3" t="s">
        <v>1</v>
      </c>
    </row>
    <row r="1710" spans="5:23" hidden="1" x14ac:dyDescent="0.25">
      <c r="E1710" t="s">
        <v>8387</v>
      </c>
      <c r="F1710" s="1" t="s">
        <v>8435</v>
      </c>
      <c r="G1710" t="s">
        <v>1</v>
      </c>
      <c r="H1710" t="s">
        <v>0</v>
      </c>
      <c r="I1710" t="s">
        <v>8165</v>
      </c>
      <c r="J1710" t="s">
        <v>8164</v>
      </c>
      <c r="K1710">
        <v>12449</v>
      </c>
      <c r="L1710">
        <v>12449</v>
      </c>
      <c r="M1710" t="s">
        <v>8255</v>
      </c>
      <c r="N1710" t="s">
        <v>8256</v>
      </c>
      <c r="O1710" s="3">
        <v>0</v>
      </c>
      <c r="P1710" s="3">
        <v>0</v>
      </c>
      <c r="Q1710" s="3">
        <v>276</v>
      </c>
      <c r="R1710" s="3">
        <v>35.880000000000003</v>
      </c>
      <c r="S1710" s="3">
        <v>0</v>
      </c>
      <c r="T1710" s="3">
        <v>0</v>
      </c>
      <c r="U1710" s="3">
        <v>311.88</v>
      </c>
      <c r="V1710" s="3" t="s">
        <v>8046</v>
      </c>
      <c r="W1710" s="3" t="s">
        <v>1</v>
      </c>
    </row>
    <row r="1711" spans="5:23" hidden="1" x14ac:dyDescent="0.25">
      <c r="E1711" t="s">
        <v>8387</v>
      </c>
      <c r="F1711" s="1" t="s">
        <v>8435</v>
      </c>
      <c r="G1711" t="s">
        <v>1</v>
      </c>
      <c r="H1711" t="s">
        <v>0</v>
      </c>
      <c r="I1711" t="s">
        <v>8165</v>
      </c>
      <c r="J1711" t="s">
        <v>8164</v>
      </c>
      <c r="K1711">
        <v>12450</v>
      </c>
      <c r="L1711">
        <v>12450</v>
      </c>
      <c r="M1711" t="s">
        <v>238</v>
      </c>
      <c r="N1711" t="s">
        <v>239</v>
      </c>
      <c r="O1711" s="3">
        <v>0</v>
      </c>
      <c r="P1711" s="3">
        <v>0</v>
      </c>
      <c r="Q1711" s="3">
        <v>299.49</v>
      </c>
      <c r="R1711" s="3">
        <v>38.933700000000002</v>
      </c>
      <c r="S1711" s="3">
        <v>0</v>
      </c>
      <c r="T1711" s="3">
        <v>0</v>
      </c>
      <c r="U1711" s="3">
        <v>338.4237</v>
      </c>
      <c r="V1711" s="3" t="s">
        <v>8046</v>
      </c>
      <c r="W1711" s="3" t="s">
        <v>1</v>
      </c>
    </row>
    <row r="1712" spans="5:23" hidden="1" x14ac:dyDescent="0.25">
      <c r="E1712" t="s">
        <v>8387</v>
      </c>
      <c r="F1712" s="1" t="s">
        <v>8430</v>
      </c>
      <c r="G1712" t="s">
        <v>1</v>
      </c>
      <c r="H1712" t="s">
        <v>0</v>
      </c>
      <c r="I1712" t="s">
        <v>8165</v>
      </c>
      <c r="J1712" t="s">
        <v>8164</v>
      </c>
      <c r="K1712">
        <v>12451</v>
      </c>
      <c r="L1712">
        <v>12451</v>
      </c>
      <c r="M1712" t="s">
        <v>8224</v>
      </c>
      <c r="N1712" t="s">
        <v>8225</v>
      </c>
      <c r="O1712" s="3">
        <v>0</v>
      </c>
      <c r="P1712" s="3">
        <v>0</v>
      </c>
      <c r="Q1712" s="3">
        <v>153.94999999999999</v>
      </c>
      <c r="R1712" s="3">
        <v>20.013500000000001</v>
      </c>
      <c r="S1712" s="3">
        <v>0</v>
      </c>
      <c r="T1712" s="3">
        <v>0</v>
      </c>
      <c r="U1712" s="3">
        <v>173.96349999999998</v>
      </c>
      <c r="V1712" s="3" t="s">
        <v>8046</v>
      </c>
      <c r="W1712" s="3" t="s">
        <v>1</v>
      </c>
    </row>
    <row r="1713" spans="5:23" hidden="1" x14ac:dyDescent="0.25">
      <c r="E1713" t="s">
        <v>8387</v>
      </c>
      <c r="F1713" s="1" t="s">
        <v>8430</v>
      </c>
      <c r="G1713" t="s">
        <v>1</v>
      </c>
      <c r="H1713" t="s">
        <v>0</v>
      </c>
      <c r="I1713" t="s">
        <v>8165</v>
      </c>
      <c r="J1713" t="s">
        <v>8164</v>
      </c>
      <c r="K1713">
        <v>12452</v>
      </c>
      <c r="L1713">
        <v>12452</v>
      </c>
      <c r="M1713" t="s">
        <v>8241</v>
      </c>
      <c r="N1713" t="s">
        <v>8242</v>
      </c>
      <c r="O1713" s="3">
        <v>0</v>
      </c>
      <c r="P1713" s="3">
        <v>0</v>
      </c>
      <c r="Q1713" s="3">
        <v>11.9</v>
      </c>
      <c r="R1713" s="3">
        <v>1.5470000000000002</v>
      </c>
      <c r="S1713" s="3">
        <v>0</v>
      </c>
      <c r="T1713" s="3">
        <v>0</v>
      </c>
      <c r="U1713" s="3">
        <v>13.447000000000001</v>
      </c>
      <c r="V1713" s="3" t="s">
        <v>8046</v>
      </c>
      <c r="W1713" s="3" t="s">
        <v>1</v>
      </c>
    </row>
    <row r="1714" spans="5:23" hidden="1" x14ac:dyDescent="0.25">
      <c r="E1714" t="s">
        <v>8387</v>
      </c>
      <c r="F1714" s="1" t="s">
        <v>8430</v>
      </c>
      <c r="G1714" t="s">
        <v>1</v>
      </c>
      <c r="H1714" t="s">
        <v>0</v>
      </c>
      <c r="I1714" t="s">
        <v>8165</v>
      </c>
      <c r="J1714" t="s">
        <v>8164</v>
      </c>
      <c r="K1714">
        <v>12453</v>
      </c>
      <c r="L1714">
        <v>12453</v>
      </c>
      <c r="M1714" t="s">
        <v>8188</v>
      </c>
      <c r="N1714" t="s">
        <v>8189</v>
      </c>
      <c r="O1714" s="3">
        <v>0</v>
      </c>
      <c r="P1714" s="3">
        <v>0</v>
      </c>
      <c r="Q1714" s="3">
        <v>61.44</v>
      </c>
      <c r="R1714" s="3">
        <v>7.9871999999999996</v>
      </c>
      <c r="S1714" s="3">
        <v>0</v>
      </c>
      <c r="T1714" s="3">
        <v>0</v>
      </c>
      <c r="U1714" s="3">
        <v>69.427199999999999</v>
      </c>
      <c r="V1714" s="3" t="s">
        <v>8046</v>
      </c>
      <c r="W1714" s="3" t="s">
        <v>1</v>
      </c>
    </row>
    <row r="1715" spans="5:23" hidden="1" x14ac:dyDescent="0.25">
      <c r="E1715" t="s">
        <v>8387</v>
      </c>
      <c r="F1715" s="1" t="s">
        <v>8430</v>
      </c>
      <c r="G1715" t="s">
        <v>1</v>
      </c>
      <c r="H1715" t="s">
        <v>0</v>
      </c>
      <c r="I1715" t="s">
        <v>8165</v>
      </c>
      <c r="J1715" t="s">
        <v>8164</v>
      </c>
      <c r="K1715">
        <v>12454</v>
      </c>
      <c r="L1715">
        <v>12454</v>
      </c>
      <c r="M1715" t="s">
        <v>7852</v>
      </c>
      <c r="N1715" t="s">
        <v>7851</v>
      </c>
      <c r="O1715" s="3">
        <v>0</v>
      </c>
      <c r="P1715" s="3">
        <v>0</v>
      </c>
      <c r="Q1715" s="3">
        <v>0</v>
      </c>
      <c r="R1715" s="3">
        <v>0</v>
      </c>
      <c r="S1715" s="3">
        <v>0</v>
      </c>
      <c r="T1715" s="3">
        <v>0</v>
      </c>
      <c r="U1715" s="3">
        <v>0</v>
      </c>
      <c r="V1715" s="3" t="s">
        <v>8046</v>
      </c>
      <c r="W1715" s="3" t="s">
        <v>1</v>
      </c>
    </row>
    <row r="1716" spans="5:23" hidden="1" x14ac:dyDescent="0.25">
      <c r="E1716" t="s">
        <v>8387</v>
      </c>
      <c r="F1716" s="1" t="s">
        <v>8430</v>
      </c>
      <c r="G1716" t="s">
        <v>1</v>
      </c>
      <c r="H1716" t="s">
        <v>0</v>
      </c>
      <c r="I1716" t="s">
        <v>8165</v>
      </c>
      <c r="J1716" t="s">
        <v>8164</v>
      </c>
      <c r="K1716">
        <v>12455</v>
      </c>
      <c r="L1716">
        <v>12455</v>
      </c>
      <c r="M1716" t="s">
        <v>8433</v>
      </c>
      <c r="N1716" t="s">
        <v>8434</v>
      </c>
      <c r="O1716" s="3">
        <v>0</v>
      </c>
      <c r="P1716" s="3">
        <v>0</v>
      </c>
      <c r="Q1716" s="3">
        <v>234.72</v>
      </c>
      <c r="R1716" s="3">
        <v>30.5136</v>
      </c>
      <c r="S1716" s="3">
        <v>0</v>
      </c>
      <c r="T1716" s="3">
        <v>0</v>
      </c>
      <c r="U1716" s="3">
        <v>265.23360000000002</v>
      </c>
      <c r="V1716" s="3" t="s">
        <v>8046</v>
      </c>
      <c r="W1716" s="3" t="s">
        <v>1</v>
      </c>
    </row>
    <row r="1717" spans="5:23" hidden="1" x14ac:dyDescent="0.25">
      <c r="E1717" t="s">
        <v>8387</v>
      </c>
      <c r="F1717" s="1" t="s">
        <v>8430</v>
      </c>
      <c r="G1717" t="s">
        <v>1</v>
      </c>
      <c r="H1717" t="s">
        <v>0</v>
      </c>
      <c r="I1717" t="s">
        <v>8165</v>
      </c>
      <c r="J1717" t="s">
        <v>8164</v>
      </c>
      <c r="K1717">
        <v>12456</v>
      </c>
      <c r="L1717">
        <v>12456</v>
      </c>
      <c r="M1717" t="s">
        <v>8226</v>
      </c>
      <c r="N1717" t="s">
        <v>8227</v>
      </c>
      <c r="O1717" s="3">
        <v>0</v>
      </c>
      <c r="P1717" s="3">
        <v>0</v>
      </c>
      <c r="Q1717" s="3">
        <v>123.24</v>
      </c>
      <c r="R1717" s="3">
        <v>16.0212</v>
      </c>
      <c r="S1717" s="3">
        <v>0</v>
      </c>
      <c r="T1717" s="3">
        <v>0</v>
      </c>
      <c r="U1717" s="3">
        <v>139.2612</v>
      </c>
      <c r="V1717" s="3" t="s">
        <v>8046</v>
      </c>
      <c r="W1717" s="3" t="s">
        <v>1</v>
      </c>
    </row>
    <row r="1718" spans="5:23" hidden="1" x14ac:dyDescent="0.25">
      <c r="E1718" t="s">
        <v>8387</v>
      </c>
      <c r="F1718" s="1" t="s">
        <v>8430</v>
      </c>
      <c r="G1718" t="s">
        <v>1</v>
      </c>
      <c r="H1718" t="s">
        <v>0</v>
      </c>
      <c r="I1718" t="s">
        <v>8165</v>
      </c>
      <c r="J1718" t="s">
        <v>8164</v>
      </c>
      <c r="K1718">
        <v>12457</v>
      </c>
      <c r="L1718">
        <v>12457</v>
      </c>
      <c r="M1718" t="s">
        <v>8431</v>
      </c>
      <c r="N1718" t="s">
        <v>8432</v>
      </c>
      <c r="O1718" s="3">
        <v>0</v>
      </c>
      <c r="P1718" s="3">
        <v>0</v>
      </c>
      <c r="Q1718" s="3">
        <v>90.17</v>
      </c>
      <c r="R1718" s="3">
        <v>11.722100000000001</v>
      </c>
      <c r="S1718" s="3">
        <v>0</v>
      </c>
      <c r="T1718" s="3">
        <v>0</v>
      </c>
      <c r="U1718" s="3">
        <v>101.8921</v>
      </c>
      <c r="V1718" s="3" t="s">
        <v>8046</v>
      </c>
      <c r="W1718" s="3" t="s">
        <v>1</v>
      </c>
    </row>
    <row r="1719" spans="5:23" hidden="1" x14ac:dyDescent="0.25">
      <c r="E1719" t="s">
        <v>8387</v>
      </c>
      <c r="F1719" s="1" t="s">
        <v>8423</v>
      </c>
      <c r="G1719" t="s">
        <v>1</v>
      </c>
      <c r="H1719" t="s">
        <v>0</v>
      </c>
      <c r="I1719" t="s">
        <v>8165</v>
      </c>
      <c r="J1719" t="s">
        <v>8164</v>
      </c>
      <c r="K1719">
        <v>12458</v>
      </c>
      <c r="L1719">
        <v>12458</v>
      </c>
      <c r="M1719" t="s">
        <v>8428</v>
      </c>
      <c r="N1719" t="s">
        <v>8429</v>
      </c>
      <c r="O1719" s="3">
        <v>0</v>
      </c>
      <c r="P1719" s="3">
        <v>0</v>
      </c>
      <c r="Q1719" s="3">
        <v>232.25</v>
      </c>
      <c r="R1719" s="3">
        <v>30.192500000000003</v>
      </c>
      <c r="S1719" s="3">
        <v>0</v>
      </c>
      <c r="T1719" s="3">
        <v>0</v>
      </c>
      <c r="U1719" s="3">
        <v>262.4425</v>
      </c>
      <c r="V1719" s="3" t="s">
        <v>8046</v>
      </c>
      <c r="W1719" s="3" t="s">
        <v>1</v>
      </c>
    </row>
    <row r="1720" spans="5:23" hidden="1" x14ac:dyDescent="0.25">
      <c r="E1720" t="s">
        <v>8387</v>
      </c>
      <c r="F1720" s="1" t="s">
        <v>8423</v>
      </c>
      <c r="G1720" t="s">
        <v>1</v>
      </c>
      <c r="H1720" t="s">
        <v>0</v>
      </c>
      <c r="I1720" t="s">
        <v>8165</v>
      </c>
      <c r="J1720" t="s">
        <v>8164</v>
      </c>
      <c r="K1720">
        <v>12459</v>
      </c>
      <c r="L1720">
        <v>12459</v>
      </c>
      <c r="M1720" t="s">
        <v>8426</v>
      </c>
      <c r="N1720" t="s">
        <v>8427</v>
      </c>
      <c r="O1720" s="3">
        <v>0</v>
      </c>
      <c r="P1720" s="3">
        <v>0</v>
      </c>
      <c r="Q1720" s="3">
        <v>13.5</v>
      </c>
      <c r="R1720" s="3">
        <v>1.7550000000000001</v>
      </c>
      <c r="S1720" s="3">
        <v>0</v>
      </c>
      <c r="T1720" s="3">
        <v>0</v>
      </c>
      <c r="U1720" s="3">
        <v>15.255000000000001</v>
      </c>
      <c r="V1720" s="3" t="s">
        <v>8046</v>
      </c>
      <c r="W1720" s="3" t="s">
        <v>1</v>
      </c>
    </row>
    <row r="1721" spans="5:23" hidden="1" x14ac:dyDescent="0.25">
      <c r="E1721" t="s">
        <v>8387</v>
      </c>
      <c r="F1721" s="1" t="s">
        <v>8423</v>
      </c>
      <c r="G1721" t="s">
        <v>1</v>
      </c>
      <c r="H1721" t="s">
        <v>0</v>
      </c>
      <c r="I1721" t="s">
        <v>8165</v>
      </c>
      <c r="J1721" t="s">
        <v>8164</v>
      </c>
      <c r="K1721">
        <v>12460</v>
      </c>
      <c r="L1721">
        <v>12460</v>
      </c>
      <c r="M1721" t="s">
        <v>8426</v>
      </c>
      <c r="N1721" t="s">
        <v>8427</v>
      </c>
      <c r="O1721" s="3">
        <v>0</v>
      </c>
      <c r="P1721" s="3">
        <v>0</v>
      </c>
      <c r="Q1721" s="3">
        <v>35.049999999999997</v>
      </c>
      <c r="R1721" s="3">
        <v>4.5564999999999998</v>
      </c>
      <c r="S1721" s="3">
        <v>0</v>
      </c>
      <c r="T1721" s="3">
        <v>0</v>
      </c>
      <c r="U1721" s="3">
        <v>39.606499999999997</v>
      </c>
      <c r="V1721" s="3" t="s">
        <v>8046</v>
      </c>
      <c r="W1721" s="3" t="s">
        <v>1</v>
      </c>
    </row>
    <row r="1722" spans="5:23" hidden="1" x14ac:dyDescent="0.25">
      <c r="E1722" t="s">
        <v>8387</v>
      </c>
      <c r="F1722" s="1" t="s">
        <v>8423</v>
      </c>
      <c r="G1722" t="s">
        <v>1</v>
      </c>
      <c r="H1722" t="s">
        <v>0</v>
      </c>
      <c r="I1722" t="s">
        <v>8165</v>
      </c>
      <c r="J1722" t="s">
        <v>8164</v>
      </c>
      <c r="K1722">
        <v>12461</v>
      </c>
      <c r="L1722">
        <v>12461</v>
      </c>
      <c r="M1722" t="s">
        <v>7869</v>
      </c>
      <c r="N1722" t="s">
        <v>7870</v>
      </c>
      <c r="O1722" s="3">
        <v>0</v>
      </c>
      <c r="P1722" s="3">
        <v>0</v>
      </c>
      <c r="Q1722" s="3">
        <v>250</v>
      </c>
      <c r="R1722" s="3">
        <v>32.5</v>
      </c>
      <c r="S1722" s="3">
        <v>0</v>
      </c>
      <c r="T1722" s="3">
        <v>0</v>
      </c>
      <c r="U1722" s="3">
        <v>282.5</v>
      </c>
      <c r="V1722" s="3" t="s">
        <v>8046</v>
      </c>
      <c r="W1722" s="3" t="s">
        <v>1</v>
      </c>
    </row>
    <row r="1723" spans="5:23" hidden="1" x14ac:dyDescent="0.25">
      <c r="E1723" t="s">
        <v>8387</v>
      </c>
      <c r="F1723" s="1" t="s">
        <v>8423</v>
      </c>
      <c r="G1723" t="s">
        <v>1</v>
      </c>
      <c r="H1723" t="s">
        <v>0</v>
      </c>
      <c r="I1723" t="s">
        <v>8165</v>
      </c>
      <c r="J1723" t="s">
        <v>8164</v>
      </c>
      <c r="K1723">
        <v>12462</v>
      </c>
      <c r="L1723">
        <v>12462</v>
      </c>
      <c r="M1723" t="s">
        <v>8259</v>
      </c>
      <c r="N1723" t="s">
        <v>8260</v>
      </c>
      <c r="O1723" s="3">
        <v>0</v>
      </c>
      <c r="P1723" s="3">
        <v>0</v>
      </c>
      <c r="Q1723" s="3">
        <v>6</v>
      </c>
      <c r="R1723" s="3">
        <v>0.78</v>
      </c>
      <c r="S1723" s="3">
        <v>0</v>
      </c>
      <c r="T1723" s="3">
        <v>0</v>
      </c>
      <c r="U1723" s="3">
        <v>6.78</v>
      </c>
      <c r="V1723" s="3" t="s">
        <v>8046</v>
      </c>
      <c r="W1723" s="3" t="s">
        <v>1</v>
      </c>
    </row>
    <row r="1724" spans="5:23" hidden="1" x14ac:dyDescent="0.25">
      <c r="E1724" t="s">
        <v>8387</v>
      </c>
      <c r="F1724" s="1" t="s">
        <v>8423</v>
      </c>
      <c r="G1724" t="s">
        <v>1</v>
      </c>
      <c r="H1724" t="s">
        <v>0</v>
      </c>
      <c r="I1724" t="s">
        <v>8165</v>
      </c>
      <c r="J1724" t="s">
        <v>8164</v>
      </c>
      <c r="K1724">
        <v>12463</v>
      </c>
      <c r="L1724">
        <v>12463</v>
      </c>
      <c r="M1724" t="s">
        <v>8209</v>
      </c>
      <c r="N1724" t="s">
        <v>8210</v>
      </c>
      <c r="O1724" s="3">
        <v>0</v>
      </c>
      <c r="P1724" s="3">
        <v>0</v>
      </c>
      <c r="Q1724" s="3">
        <v>85.88</v>
      </c>
      <c r="R1724" s="3">
        <v>11.164400000000001</v>
      </c>
      <c r="S1724" s="3">
        <v>0</v>
      </c>
      <c r="T1724" s="3">
        <v>0</v>
      </c>
      <c r="U1724" s="3">
        <v>97.044399999999996</v>
      </c>
      <c r="V1724" s="3" t="s">
        <v>8046</v>
      </c>
      <c r="W1724" s="3" t="s">
        <v>1</v>
      </c>
    </row>
    <row r="1725" spans="5:23" hidden="1" x14ac:dyDescent="0.25">
      <c r="E1725" t="s">
        <v>8387</v>
      </c>
      <c r="F1725" s="1" t="s">
        <v>8423</v>
      </c>
      <c r="G1725" t="s">
        <v>1</v>
      </c>
      <c r="H1725" t="s">
        <v>0</v>
      </c>
      <c r="I1725" t="s">
        <v>8165</v>
      </c>
      <c r="J1725" t="s">
        <v>8164</v>
      </c>
      <c r="K1725">
        <v>12464</v>
      </c>
      <c r="L1725">
        <v>12464</v>
      </c>
      <c r="M1725" t="s">
        <v>8160</v>
      </c>
      <c r="N1725" t="s">
        <v>8161</v>
      </c>
      <c r="O1725" s="3">
        <v>0</v>
      </c>
      <c r="P1725" s="3">
        <v>0</v>
      </c>
      <c r="Q1725" s="3">
        <v>17.399999999999999</v>
      </c>
      <c r="R1725" s="3">
        <v>2.262</v>
      </c>
      <c r="S1725" s="3">
        <v>0</v>
      </c>
      <c r="T1725" s="3">
        <v>0</v>
      </c>
      <c r="U1725" s="3">
        <v>19.661999999999999</v>
      </c>
      <c r="V1725" s="3" t="s">
        <v>8046</v>
      </c>
      <c r="W1725" s="3" t="s">
        <v>1</v>
      </c>
    </row>
    <row r="1726" spans="5:23" hidden="1" x14ac:dyDescent="0.25">
      <c r="E1726" t="s">
        <v>8387</v>
      </c>
      <c r="F1726" s="1" t="s">
        <v>8423</v>
      </c>
      <c r="G1726" t="s">
        <v>1</v>
      </c>
      <c r="H1726" t="s">
        <v>0</v>
      </c>
      <c r="I1726" t="s">
        <v>8165</v>
      </c>
      <c r="J1726" t="s">
        <v>8164</v>
      </c>
      <c r="K1726">
        <v>12465</v>
      </c>
      <c r="L1726">
        <v>12465</v>
      </c>
      <c r="M1726" t="s">
        <v>7852</v>
      </c>
      <c r="N1726" t="s">
        <v>7851</v>
      </c>
      <c r="O1726" s="3">
        <v>0</v>
      </c>
      <c r="P1726" s="3">
        <v>0</v>
      </c>
      <c r="Q1726" s="3">
        <v>0</v>
      </c>
      <c r="R1726" s="3">
        <v>0</v>
      </c>
      <c r="S1726" s="3">
        <v>0</v>
      </c>
      <c r="T1726" s="3">
        <v>0</v>
      </c>
      <c r="U1726" s="3">
        <v>0</v>
      </c>
      <c r="V1726" s="3" t="s">
        <v>8046</v>
      </c>
      <c r="W1726" s="3" t="s">
        <v>1</v>
      </c>
    </row>
    <row r="1727" spans="5:23" hidden="1" x14ac:dyDescent="0.25">
      <c r="E1727" t="s">
        <v>8387</v>
      </c>
      <c r="F1727" s="1" t="s">
        <v>8423</v>
      </c>
      <c r="G1727" t="s">
        <v>1</v>
      </c>
      <c r="H1727" t="s">
        <v>0</v>
      </c>
      <c r="I1727" t="s">
        <v>8165</v>
      </c>
      <c r="J1727" t="s">
        <v>8164</v>
      </c>
      <c r="K1727">
        <v>12466</v>
      </c>
      <c r="L1727">
        <v>12466</v>
      </c>
      <c r="M1727" t="s">
        <v>8209</v>
      </c>
      <c r="N1727" t="s">
        <v>8210</v>
      </c>
      <c r="O1727" s="3">
        <v>0</v>
      </c>
      <c r="P1727" s="3">
        <v>0</v>
      </c>
      <c r="Q1727" s="3">
        <v>1150.95</v>
      </c>
      <c r="R1727" s="3">
        <v>149.62350000000001</v>
      </c>
      <c r="S1727" s="3">
        <v>0</v>
      </c>
      <c r="T1727" s="3">
        <v>0</v>
      </c>
      <c r="U1727" s="3">
        <v>1300.5735</v>
      </c>
      <c r="V1727" s="3" t="s">
        <v>8046</v>
      </c>
      <c r="W1727" s="3" t="s">
        <v>1</v>
      </c>
    </row>
    <row r="1728" spans="5:23" hidden="1" x14ac:dyDescent="0.25">
      <c r="E1728" t="s">
        <v>8387</v>
      </c>
      <c r="F1728" s="1" t="s">
        <v>8423</v>
      </c>
      <c r="G1728" t="s">
        <v>1</v>
      </c>
      <c r="H1728" t="s">
        <v>0</v>
      </c>
      <c r="I1728" t="s">
        <v>8165</v>
      </c>
      <c r="J1728" t="s">
        <v>8164</v>
      </c>
      <c r="K1728">
        <v>12467</v>
      </c>
      <c r="L1728">
        <v>12467</v>
      </c>
      <c r="M1728" t="s">
        <v>8424</v>
      </c>
      <c r="N1728" t="s">
        <v>8425</v>
      </c>
      <c r="O1728" s="3">
        <v>0</v>
      </c>
      <c r="P1728" s="3">
        <v>0</v>
      </c>
      <c r="Q1728" s="3">
        <v>85.32</v>
      </c>
      <c r="R1728" s="3">
        <v>11.0916</v>
      </c>
      <c r="S1728" s="3">
        <v>0</v>
      </c>
      <c r="T1728" s="3">
        <v>0</v>
      </c>
      <c r="U1728" s="3">
        <v>96.411599999999993</v>
      </c>
      <c r="V1728" s="3" t="s">
        <v>8046</v>
      </c>
      <c r="W1728" s="3" t="s">
        <v>1</v>
      </c>
    </row>
    <row r="1729" spans="5:23" hidden="1" x14ac:dyDescent="0.25">
      <c r="E1729" t="s">
        <v>8387</v>
      </c>
      <c r="F1729" s="1" t="s">
        <v>8420</v>
      </c>
      <c r="G1729" t="s">
        <v>1</v>
      </c>
      <c r="H1729" t="s">
        <v>0</v>
      </c>
      <c r="I1729" t="s">
        <v>8165</v>
      </c>
      <c r="J1729" t="s">
        <v>8164</v>
      </c>
      <c r="K1729">
        <v>12468</v>
      </c>
      <c r="L1729">
        <v>12468</v>
      </c>
      <c r="M1729" t="s">
        <v>1352</v>
      </c>
      <c r="N1729" t="s">
        <v>1353</v>
      </c>
      <c r="O1729" s="3">
        <v>0</v>
      </c>
      <c r="P1729" s="3">
        <v>0</v>
      </c>
      <c r="Q1729" s="3">
        <v>134.75</v>
      </c>
      <c r="R1729" s="3">
        <v>17.517500000000002</v>
      </c>
      <c r="S1729" s="3">
        <v>0</v>
      </c>
      <c r="T1729" s="3">
        <v>0</v>
      </c>
      <c r="U1729" s="3">
        <v>152.26750000000001</v>
      </c>
      <c r="V1729" s="3" t="s">
        <v>8046</v>
      </c>
      <c r="W1729" s="3" t="s">
        <v>1</v>
      </c>
    </row>
    <row r="1730" spans="5:23" hidden="1" x14ac:dyDescent="0.25">
      <c r="E1730" t="s">
        <v>8387</v>
      </c>
      <c r="F1730" s="1" t="s">
        <v>8420</v>
      </c>
      <c r="G1730" t="s">
        <v>1</v>
      </c>
      <c r="H1730" t="s">
        <v>0</v>
      </c>
      <c r="I1730" t="s">
        <v>8165</v>
      </c>
      <c r="J1730" t="s">
        <v>8164</v>
      </c>
      <c r="K1730">
        <v>12469</v>
      </c>
      <c r="L1730">
        <v>12469</v>
      </c>
      <c r="M1730" t="s">
        <v>8283</v>
      </c>
      <c r="N1730" t="s">
        <v>8284</v>
      </c>
      <c r="O1730" s="3">
        <v>0</v>
      </c>
      <c r="P1730" s="3">
        <v>0</v>
      </c>
      <c r="Q1730" s="3">
        <v>154.30000000000001</v>
      </c>
      <c r="R1730" s="3">
        <v>20.059000000000001</v>
      </c>
      <c r="S1730" s="3">
        <v>0</v>
      </c>
      <c r="T1730" s="3">
        <v>0</v>
      </c>
      <c r="U1730" s="3">
        <v>174.35900000000001</v>
      </c>
      <c r="V1730" s="3" t="s">
        <v>8046</v>
      </c>
      <c r="W1730" s="3" t="s">
        <v>1</v>
      </c>
    </row>
    <row r="1731" spans="5:23" hidden="1" x14ac:dyDescent="0.25">
      <c r="E1731" t="s">
        <v>8387</v>
      </c>
      <c r="F1731" s="1" t="s">
        <v>8420</v>
      </c>
      <c r="G1731" t="s">
        <v>1</v>
      </c>
      <c r="H1731" t="s">
        <v>0</v>
      </c>
      <c r="I1731" t="s">
        <v>8165</v>
      </c>
      <c r="J1731" t="s">
        <v>8164</v>
      </c>
      <c r="K1731">
        <v>12470</v>
      </c>
      <c r="L1731">
        <v>12470</v>
      </c>
      <c r="M1731" t="s">
        <v>8283</v>
      </c>
      <c r="N1731" t="s">
        <v>8284</v>
      </c>
      <c r="O1731" s="3">
        <v>0</v>
      </c>
      <c r="P1731" s="3">
        <v>0</v>
      </c>
      <c r="Q1731" s="3">
        <v>515.16999999999996</v>
      </c>
      <c r="R1731" s="3">
        <v>66.972099999999998</v>
      </c>
      <c r="S1731" s="3">
        <v>0</v>
      </c>
      <c r="T1731" s="3">
        <v>0</v>
      </c>
      <c r="U1731" s="3">
        <v>582.14209999999991</v>
      </c>
      <c r="V1731" s="3" t="s">
        <v>8046</v>
      </c>
      <c r="W1731" s="3" t="s">
        <v>1</v>
      </c>
    </row>
    <row r="1732" spans="5:23" hidden="1" x14ac:dyDescent="0.25">
      <c r="E1732" t="s">
        <v>8387</v>
      </c>
      <c r="F1732" s="1" t="s">
        <v>8420</v>
      </c>
      <c r="G1732" t="s">
        <v>1</v>
      </c>
      <c r="H1732" t="s">
        <v>0</v>
      </c>
      <c r="I1732" t="s">
        <v>8165</v>
      </c>
      <c r="J1732" t="s">
        <v>8164</v>
      </c>
      <c r="K1732">
        <v>12471</v>
      </c>
      <c r="L1732">
        <v>12471</v>
      </c>
      <c r="M1732" t="s">
        <v>1062</v>
      </c>
      <c r="N1732" t="s">
        <v>1063</v>
      </c>
      <c r="O1732" s="3">
        <v>0</v>
      </c>
      <c r="P1732" s="3">
        <v>0</v>
      </c>
      <c r="Q1732" s="3">
        <v>185.54</v>
      </c>
      <c r="R1732" s="3">
        <v>24.120200000000001</v>
      </c>
      <c r="S1732" s="3">
        <v>0</v>
      </c>
      <c r="T1732" s="3">
        <v>0</v>
      </c>
      <c r="U1732" s="3">
        <v>209.6602</v>
      </c>
      <c r="V1732" s="3" t="s">
        <v>8046</v>
      </c>
      <c r="W1732" s="3" t="s">
        <v>1</v>
      </c>
    </row>
    <row r="1733" spans="5:23" hidden="1" x14ac:dyDescent="0.25">
      <c r="E1733" t="s">
        <v>8387</v>
      </c>
      <c r="F1733" s="1" t="s">
        <v>8420</v>
      </c>
      <c r="G1733" t="s">
        <v>1</v>
      </c>
      <c r="H1733" t="s">
        <v>0</v>
      </c>
      <c r="I1733" t="s">
        <v>8165</v>
      </c>
      <c r="J1733" t="s">
        <v>8164</v>
      </c>
      <c r="K1733">
        <v>12472</v>
      </c>
      <c r="L1733">
        <v>12472</v>
      </c>
      <c r="M1733" t="s">
        <v>8418</v>
      </c>
      <c r="N1733" t="s">
        <v>8419</v>
      </c>
      <c r="O1733" s="3">
        <v>0</v>
      </c>
      <c r="P1733" s="3">
        <v>0</v>
      </c>
      <c r="Q1733" s="3">
        <v>1750.88</v>
      </c>
      <c r="R1733" s="3">
        <v>227.61440000000002</v>
      </c>
      <c r="S1733" s="3">
        <v>0</v>
      </c>
      <c r="T1733" s="3">
        <v>0</v>
      </c>
      <c r="U1733" s="3">
        <v>1978.4944</v>
      </c>
      <c r="V1733" s="3" t="s">
        <v>8046</v>
      </c>
      <c r="W1733" s="3" t="s">
        <v>1</v>
      </c>
    </row>
    <row r="1734" spans="5:23" hidden="1" x14ac:dyDescent="0.25">
      <c r="E1734" t="s">
        <v>8387</v>
      </c>
      <c r="F1734" s="1" t="s">
        <v>8420</v>
      </c>
      <c r="G1734" t="s">
        <v>1</v>
      </c>
      <c r="H1734" t="s">
        <v>0</v>
      </c>
      <c r="I1734" t="s">
        <v>8165</v>
      </c>
      <c r="J1734" t="s">
        <v>8164</v>
      </c>
      <c r="K1734">
        <v>12473</v>
      </c>
      <c r="L1734">
        <v>12473</v>
      </c>
      <c r="M1734" t="s">
        <v>8243</v>
      </c>
      <c r="N1734" t="s">
        <v>8244</v>
      </c>
      <c r="O1734" s="3">
        <v>0</v>
      </c>
      <c r="P1734" s="3">
        <v>0</v>
      </c>
      <c r="Q1734" s="3">
        <v>278.41000000000003</v>
      </c>
      <c r="R1734" s="3">
        <v>36.193300000000008</v>
      </c>
      <c r="S1734" s="3">
        <v>0</v>
      </c>
      <c r="T1734" s="3">
        <v>0</v>
      </c>
      <c r="U1734" s="3">
        <v>314.60330000000005</v>
      </c>
      <c r="V1734" s="3" t="s">
        <v>8046</v>
      </c>
      <c r="W1734" s="3" t="s">
        <v>1</v>
      </c>
    </row>
    <row r="1735" spans="5:23" hidden="1" x14ac:dyDescent="0.25">
      <c r="E1735" t="s">
        <v>8387</v>
      </c>
      <c r="F1735" s="1" t="s">
        <v>8420</v>
      </c>
      <c r="G1735" t="s">
        <v>1</v>
      </c>
      <c r="H1735" t="s">
        <v>0</v>
      </c>
      <c r="I1735" t="s">
        <v>8165</v>
      </c>
      <c r="J1735" t="s">
        <v>8164</v>
      </c>
      <c r="K1735">
        <v>12474</v>
      </c>
      <c r="L1735">
        <v>12474</v>
      </c>
      <c r="M1735" t="s">
        <v>8166</v>
      </c>
      <c r="N1735" t="s">
        <v>8167</v>
      </c>
      <c r="O1735" s="3">
        <v>0</v>
      </c>
      <c r="P1735" s="3">
        <v>0</v>
      </c>
      <c r="Q1735" s="3">
        <v>411.87</v>
      </c>
      <c r="R1735" s="3">
        <v>53.543100000000003</v>
      </c>
      <c r="S1735" s="3">
        <v>0</v>
      </c>
      <c r="T1735" s="3">
        <v>0</v>
      </c>
      <c r="U1735" s="3">
        <v>465.41309999999999</v>
      </c>
      <c r="V1735" s="3" t="s">
        <v>8046</v>
      </c>
      <c r="W1735" s="3" t="s">
        <v>1</v>
      </c>
    </row>
    <row r="1736" spans="5:23" hidden="1" x14ac:dyDescent="0.25">
      <c r="E1736" t="s">
        <v>8387</v>
      </c>
      <c r="F1736" s="1" t="s">
        <v>8420</v>
      </c>
      <c r="G1736" t="s">
        <v>1</v>
      </c>
      <c r="H1736" t="s">
        <v>0</v>
      </c>
      <c r="I1736" t="s">
        <v>8165</v>
      </c>
      <c r="J1736" t="s">
        <v>8164</v>
      </c>
      <c r="K1736">
        <v>12475</v>
      </c>
      <c r="L1736">
        <v>12475</v>
      </c>
      <c r="M1736" t="s">
        <v>115</v>
      </c>
      <c r="N1736" t="s">
        <v>116</v>
      </c>
      <c r="O1736" s="3">
        <v>0</v>
      </c>
      <c r="P1736" s="3">
        <v>0</v>
      </c>
      <c r="Q1736" s="3">
        <v>833.5</v>
      </c>
      <c r="R1736" s="3">
        <v>108.355</v>
      </c>
      <c r="S1736" s="3">
        <v>0</v>
      </c>
      <c r="T1736" s="3">
        <v>0</v>
      </c>
      <c r="U1736" s="3">
        <v>941.85500000000002</v>
      </c>
      <c r="V1736" s="3" t="s">
        <v>8046</v>
      </c>
      <c r="W1736" s="3" t="s">
        <v>1</v>
      </c>
    </row>
    <row r="1737" spans="5:23" hidden="1" x14ac:dyDescent="0.25">
      <c r="E1737" t="s">
        <v>8387</v>
      </c>
      <c r="F1737" s="1" t="s">
        <v>8420</v>
      </c>
      <c r="G1737" t="s">
        <v>1</v>
      </c>
      <c r="H1737" t="s">
        <v>0</v>
      </c>
      <c r="I1737" t="s">
        <v>8165</v>
      </c>
      <c r="J1737" t="s">
        <v>8164</v>
      </c>
      <c r="K1737">
        <v>12476</v>
      </c>
      <c r="L1737">
        <v>12476</v>
      </c>
      <c r="M1737" t="s">
        <v>8018</v>
      </c>
      <c r="N1737" t="s">
        <v>8019</v>
      </c>
      <c r="O1737" s="3">
        <v>0</v>
      </c>
      <c r="P1737" s="3">
        <v>0</v>
      </c>
      <c r="Q1737" s="3">
        <v>146.02000000000001</v>
      </c>
      <c r="R1737" s="3">
        <v>18.982600000000001</v>
      </c>
      <c r="S1737" s="3">
        <v>0</v>
      </c>
      <c r="T1737" s="3">
        <v>0</v>
      </c>
      <c r="U1737" s="3">
        <v>165.0026</v>
      </c>
      <c r="V1737" s="3" t="s">
        <v>8046</v>
      </c>
      <c r="W1737" s="3" t="s">
        <v>1</v>
      </c>
    </row>
    <row r="1738" spans="5:23" hidden="1" x14ac:dyDescent="0.25">
      <c r="E1738" t="s">
        <v>8387</v>
      </c>
      <c r="F1738" s="1" t="s">
        <v>8420</v>
      </c>
      <c r="G1738" t="s">
        <v>1</v>
      </c>
      <c r="H1738" t="s">
        <v>0</v>
      </c>
      <c r="I1738" t="s">
        <v>8165</v>
      </c>
      <c r="J1738" t="s">
        <v>8164</v>
      </c>
      <c r="K1738">
        <v>12477</v>
      </c>
      <c r="L1738">
        <v>12477</v>
      </c>
      <c r="M1738" t="s">
        <v>8209</v>
      </c>
      <c r="N1738" t="s">
        <v>8210</v>
      </c>
      <c r="O1738" s="3">
        <v>0</v>
      </c>
      <c r="P1738" s="3">
        <v>0</v>
      </c>
      <c r="Q1738" s="3">
        <v>125</v>
      </c>
      <c r="R1738" s="3">
        <v>16.25</v>
      </c>
      <c r="S1738" s="3">
        <v>0</v>
      </c>
      <c r="T1738" s="3">
        <v>0</v>
      </c>
      <c r="U1738" s="3">
        <v>141.25</v>
      </c>
      <c r="V1738" s="3" t="s">
        <v>8046</v>
      </c>
      <c r="W1738" s="3" t="s">
        <v>1</v>
      </c>
    </row>
    <row r="1739" spans="5:23" hidden="1" x14ac:dyDescent="0.25">
      <c r="E1739" t="s">
        <v>8387</v>
      </c>
      <c r="F1739" s="1" t="s">
        <v>8420</v>
      </c>
      <c r="G1739" t="s">
        <v>1</v>
      </c>
      <c r="H1739" t="s">
        <v>0</v>
      </c>
      <c r="I1739" t="s">
        <v>8165</v>
      </c>
      <c r="J1739" t="s">
        <v>8164</v>
      </c>
      <c r="K1739">
        <v>12478</v>
      </c>
      <c r="L1739">
        <v>12478</v>
      </c>
      <c r="M1739" t="s">
        <v>8391</v>
      </c>
      <c r="N1739" t="s">
        <v>8392</v>
      </c>
      <c r="O1739" s="3">
        <v>0</v>
      </c>
      <c r="P1739" s="3">
        <v>0</v>
      </c>
      <c r="Q1739" s="3">
        <v>123.01</v>
      </c>
      <c r="R1739" s="3">
        <v>15.991300000000001</v>
      </c>
      <c r="S1739" s="3">
        <v>0</v>
      </c>
      <c r="T1739" s="3">
        <v>0</v>
      </c>
      <c r="U1739" s="3">
        <v>139.00130000000001</v>
      </c>
      <c r="V1739" s="3" t="s">
        <v>8046</v>
      </c>
      <c r="W1739" s="3" t="s">
        <v>1</v>
      </c>
    </row>
    <row r="1740" spans="5:23" hidden="1" x14ac:dyDescent="0.25">
      <c r="E1740" t="s">
        <v>8387</v>
      </c>
      <c r="F1740" s="1" t="s">
        <v>8420</v>
      </c>
      <c r="G1740" t="s">
        <v>1</v>
      </c>
      <c r="H1740" t="s">
        <v>0</v>
      </c>
      <c r="I1740" t="s">
        <v>8165</v>
      </c>
      <c r="J1740" t="s">
        <v>8164</v>
      </c>
      <c r="K1740">
        <v>12479</v>
      </c>
      <c r="L1740">
        <v>12479</v>
      </c>
      <c r="M1740" t="s">
        <v>8421</v>
      </c>
      <c r="N1740" t="s">
        <v>8422</v>
      </c>
      <c r="O1740" s="3">
        <v>0</v>
      </c>
      <c r="P1740" s="3">
        <v>0</v>
      </c>
      <c r="Q1740" s="3">
        <v>61.5</v>
      </c>
      <c r="R1740" s="3">
        <v>7.9950000000000001</v>
      </c>
      <c r="S1740" s="3">
        <v>0</v>
      </c>
      <c r="T1740" s="3">
        <v>0</v>
      </c>
      <c r="U1740" s="3">
        <v>69.495000000000005</v>
      </c>
      <c r="V1740" s="3" t="s">
        <v>8046</v>
      </c>
      <c r="W1740" s="3" t="s">
        <v>1</v>
      </c>
    </row>
    <row r="1741" spans="5:23" hidden="1" x14ac:dyDescent="0.25">
      <c r="E1741" t="s">
        <v>8387</v>
      </c>
      <c r="F1741" s="1" t="s">
        <v>8420</v>
      </c>
      <c r="G1741" t="s">
        <v>1</v>
      </c>
      <c r="H1741" t="s">
        <v>0</v>
      </c>
      <c r="I1741" t="s">
        <v>8165</v>
      </c>
      <c r="J1741" t="s">
        <v>8164</v>
      </c>
      <c r="K1741">
        <v>12480</v>
      </c>
      <c r="L1741">
        <v>12480</v>
      </c>
      <c r="M1741" t="s">
        <v>8166</v>
      </c>
      <c r="N1741" t="s">
        <v>8167</v>
      </c>
      <c r="O1741" s="3">
        <v>0</v>
      </c>
      <c r="P1741" s="3">
        <v>0</v>
      </c>
      <c r="Q1741" s="3">
        <v>60.75</v>
      </c>
      <c r="R1741" s="3">
        <v>7.8975</v>
      </c>
      <c r="S1741" s="3">
        <v>0</v>
      </c>
      <c r="T1741" s="3">
        <v>0</v>
      </c>
      <c r="U1741" s="3">
        <v>68.647499999999994</v>
      </c>
      <c r="V1741" s="3" t="s">
        <v>8046</v>
      </c>
      <c r="W1741" s="3" t="s">
        <v>1</v>
      </c>
    </row>
    <row r="1742" spans="5:23" hidden="1" x14ac:dyDescent="0.25">
      <c r="E1742" t="s">
        <v>8387</v>
      </c>
      <c r="F1742" s="1" t="s">
        <v>8409</v>
      </c>
      <c r="G1742" t="s">
        <v>1</v>
      </c>
      <c r="H1742" t="s">
        <v>0</v>
      </c>
      <c r="I1742" t="s">
        <v>8165</v>
      </c>
      <c r="J1742" t="s">
        <v>8164</v>
      </c>
      <c r="K1742">
        <v>12481</v>
      </c>
      <c r="L1742">
        <v>12481</v>
      </c>
      <c r="M1742" t="s">
        <v>8418</v>
      </c>
      <c r="N1742" t="s">
        <v>8419</v>
      </c>
      <c r="O1742" s="3">
        <v>0</v>
      </c>
      <c r="P1742" s="3">
        <v>0</v>
      </c>
      <c r="Q1742" s="3">
        <v>18.75</v>
      </c>
      <c r="R1742" s="3">
        <v>2.4375</v>
      </c>
      <c r="S1742" s="3">
        <v>0</v>
      </c>
      <c r="T1742" s="3">
        <v>0</v>
      </c>
      <c r="U1742" s="3">
        <v>21.1875</v>
      </c>
      <c r="V1742" s="3" t="s">
        <v>8046</v>
      </c>
      <c r="W1742" s="3" t="s">
        <v>1</v>
      </c>
    </row>
    <row r="1743" spans="5:23" hidden="1" x14ac:dyDescent="0.25">
      <c r="E1743" t="s">
        <v>8387</v>
      </c>
      <c r="F1743" s="1" t="s">
        <v>8409</v>
      </c>
      <c r="G1743" t="s">
        <v>1</v>
      </c>
      <c r="H1743" t="s">
        <v>0</v>
      </c>
      <c r="I1743" t="s">
        <v>8165</v>
      </c>
      <c r="J1743" t="s">
        <v>8164</v>
      </c>
      <c r="K1743">
        <v>12482</v>
      </c>
      <c r="L1743">
        <v>12482</v>
      </c>
      <c r="M1743" t="s">
        <v>8416</v>
      </c>
      <c r="N1743" t="s">
        <v>8417</v>
      </c>
      <c r="O1743" s="3">
        <v>0</v>
      </c>
      <c r="P1743" s="3">
        <v>0</v>
      </c>
      <c r="Q1743" s="3">
        <v>267.76</v>
      </c>
      <c r="R1743" s="3">
        <v>34.808799999999998</v>
      </c>
      <c r="S1743" s="3">
        <v>0</v>
      </c>
      <c r="T1743" s="3">
        <v>0</v>
      </c>
      <c r="U1743" s="3">
        <v>302.56880000000001</v>
      </c>
      <c r="V1743" s="3" t="s">
        <v>8046</v>
      </c>
      <c r="W1743" s="3" t="s">
        <v>1</v>
      </c>
    </row>
    <row r="1744" spans="5:23" hidden="1" x14ac:dyDescent="0.25">
      <c r="E1744" t="s">
        <v>8387</v>
      </c>
      <c r="F1744" s="1" t="s">
        <v>8409</v>
      </c>
      <c r="G1744" t="s">
        <v>1</v>
      </c>
      <c r="H1744" t="s">
        <v>0</v>
      </c>
      <c r="I1744" t="s">
        <v>8165</v>
      </c>
      <c r="J1744" t="s">
        <v>8164</v>
      </c>
      <c r="K1744">
        <v>12483</v>
      </c>
      <c r="L1744">
        <v>12483</v>
      </c>
      <c r="M1744" t="s">
        <v>8224</v>
      </c>
      <c r="N1744" t="s">
        <v>8225</v>
      </c>
      <c r="O1744" s="3">
        <v>0</v>
      </c>
      <c r="P1744" s="3">
        <v>0</v>
      </c>
      <c r="Q1744" s="3">
        <v>336.57</v>
      </c>
      <c r="R1744" s="3">
        <v>43.754100000000001</v>
      </c>
      <c r="S1744" s="3">
        <v>0</v>
      </c>
      <c r="T1744" s="3">
        <v>0</v>
      </c>
      <c r="U1744" s="3">
        <v>380.32409999999999</v>
      </c>
      <c r="V1744" s="3" t="s">
        <v>8046</v>
      </c>
      <c r="W1744" s="3" t="s">
        <v>1</v>
      </c>
    </row>
    <row r="1745" spans="5:23" hidden="1" x14ac:dyDescent="0.25">
      <c r="E1745" t="s">
        <v>8387</v>
      </c>
      <c r="F1745" s="1" t="s">
        <v>8409</v>
      </c>
      <c r="G1745" t="s">
        <v>1</v>
      </c>
      <c r="H1745" t="s">
        <v>0</v>
      </c>
      <c r="I1745" t="s">
        <v>8165</v>
      </c>
      <c r="J1745" t="s">
        <v>8164</v>
      </c>
      <c r="K1745">
        <v>12484</v>
      </c>
      <c r="L1745">
        <v>12484</v>
      </c>
      <c r="M1745" t="s">
        <v>1062</v>
      </c>
      <c r="N1745" t="s">
        <v>1063</v>
      </c>
      <c r="O1745" s="3">
        <v>0</v>
      </c>
      <c r="P1745" s="3">
        <v>0</v>
      </c>
      <c r="Q1745" s="3">
        <v>47.67</v>
      </c>
      <c r="R1745" s="3">
        <v>6.1971000000000007</v>
      </c>
      <c r="S1745" s="3">
        <v>0</v>
      </c>
      <c r="T1745" s="3">
        <v>0</v>
      </c>
      <c r="U1745" s="3">
        <v>53.867100000000001</v>
      </c>
      <c r="V1745" s="3" t="s">
        <v>8046</v>
      </c>
      <c r="W1745" s="3" t="s">
        <v>1</v>
      </c>
    </row>
    <row r="1746" spans="5:23" hidden="1" x14ac:dyDescent="0.25">
      <c r="E1746" t="s">
        <v>8387</v>
      </c>
      <c r="F1746" s="1" t="s">
        <v>8409</v>
      </c>
      <c r="G1746" t="s">
        <v>1</v>
      </c>
      <c r="H1746" t="s">
        <v>0</v>
      </c>
      <c r="I1746" t="s">
        <v>8165</v>
      </c>
      <c r="J1746" t="s">
        <v>8164</v>
      </c>
      <c r="K1746">
        <v>12485</v>
      </c>
      <c r="L1746">
        <v>12485</v>
      </c>
      <c r="M1746" t="s">
        <v>1062</v>
      </c>
      <c r="N1746" t="s">
        <v>1063</v>
      </c>
      <c r="O1746" s="3">
        <v>0</v>
      </c>
      <c r="P1746" s="3">
        <v>0</v>
      </c>
      <c r="Q1746" s="3">
        <v>71</v>
      </c>
      <c r="R1746" s="3">
        <v>9.23</v>
      </c>
      <c r="S1746" s="3">
        <v>0</v>
      </c>
      <c r="T1746" s="3">
        <v>0</v>
      </c>
      <c r="U1746" s="3">
        <v>80.23</v>
      </c>
      <c r="V1746" s="3" t="s">
        <v>8046</v>
      </c>
      <c r="W1746" s="3" t="s">
        <v>1</v>
      </c>
    </row>
    <row r="1747" spans="5:23" hidden="1" x14ac:dyDescent="0.25">
      <c r="E1747" t="s">
        <v>8387</v>
      </c>
      <c r="F1747" s="1" t="s">
        <v>8409</v>
      </c>
      <c r="G1747" t="s">
        <v>1</v>
      </c>
      <c r="H1747" t="s">
        <v>0</v>
      </c>
      <c r="I1747" t="s">
        <v>8165</v>
      </c>
      <c r="J1747" t="s">
        <v>8164</v>
      </c>
      <c r="K1747">
        <v>12486</v>
      </c>
      <c r="L1747">
        <v>12486</v>
      </c>
      <c r="M1747" t="s">
        <v>8214</v>
      </c>
      <c r="N1747" t="s">
        <v>8215</v>
      </c>
      <c r="O1747" s="3">
        <v>0</v>
      </c>
      <c r="P1747" s="3">
        <v>0</v>
      </c>
      <c r="Q1747" s="3">
        <v>79.7</v>
      </c>
      <c r="R1747" s="3">
        <v>10.361000000000001</v>
      </c>
      <c r="S1747" s="3">
        <v>0</v>
      </c>
      <c r="T1747" s="3">
        <v>0</v>
      </c>
      <c r="U1747" s="3">
        <v>90.061000000000007</v>
      </c>
      <c r="V1747" s="3" t="s">
        <v>8046</v>
      </c>
      <c r="W1747" s="3" t="s">
        <v>1</v>
      </c>
    </row>
    <row r="1748" spans="5:23" hidden="1" x14ac:dyDescent="0.25">
      <c r="E1748" t="s">
        <v>8387</v>
      </c>
      <c r="F1748" s="1" t="s">
        <v>8409</v>
      </c>
      <c r="G1748" t="s">
        <v>1</v>
      </c>
      <c r="H1748" t="s">
        <v>0</v>
      </c>
      <c r="I1748" t="s">
        <v>8165</v>
      </c>
      <c r="J1748" t="s">
        <v>8164</v>
      </c>
      <c r="K1748">
        <v>12487</v>
      </c>
      <c r="L1748">
        <v>12487</v>
      </c>
      <c r="M1748" t="s">
        <v>8196</v>
      </c>
      <c r="N1748" t="s">
        <v>8197</v>
      </c>
      <c r="O1748" s="3">
        <v>0</v>
      </c>
      <c r="P1748" s="3">
        <v>0</v>
      </c>
      <c r="Q1748" s="3">
        <v>504.43</v>
      </c>
      <c r="R1748" s="3">
        <v>65.575900000000004</v>
      </c>
      <c r="S1748" s="3">
        <v>0</v>
      </c>
      <c r="T1748" s="3">
        <v>0</v>
      </c>
      <c r="U1748" s="3">
        <v>570.0059</v>
      </c>
      <c r="V1748" s="3" t="s">
        <v>8046</v>
      </c>
      <c r="W1748" s="3" t="s">
        <v>1</v>
      </c>
    </row>
    <row r="1749" spans="5:23" hidden="1" x14ac:dyDescent="0.25">
      <c r="E1749" t="s">
        <v>8387</v>
      </c>
      <c r="F1749" s="1" t="s">
        <v>8409</v>
      </c>
      <c r="G1749" t="s">
        <v>1</v>
      </c>
      <c r="H1749" t="s">
        <v>0</v>
      </c>
      <c r="I1749" t="s">
        <v>8165</v>
      </c>
      <c r="J1749" t="s">
        <v>8164</v>
      </c>
      <c r="K1749">
        <v>12488</v>
      </c>
      <c r="L1749">
        <v>12488</v>
      </c>
      <c r="M1749" t="s">
        <v>8194</v>
      </c>
      <c r="N1749" t="s">
        <v>8195</v>
      </c>
      <c r="O1749" s="3">
        <v>0</v>
      </c>
      <c r="P1749" s="3">
        <v>0</v>
      </c>
      <c r="Q1749" s="3">
        <v>126.11</v>
      </c>
      <c r="R1749" s="3">
        <v>16.394300000000001</v>
      </c>
      <c r="S1749" s="3">
        <v>0</v>
      </c>
      <c r="T1749" s="3">
        <v>0</v>
      </c>
      <c r="U1749" s="3">
        <v>142.5043</v>
      </c>
      <c r="V1749" s="3" t="s">
        <v>8046</v>
      </c>
      <c r="W1749" s="3" t="s">
        <v>1</v>
      </c>
    </row>
    <row r="1750" spans="5:23" hidden="1" x14ac:dyDescent="0.25">
      <c r="E1750" t="s">
        <v>8387</v>
      </c>
      <c r="F1750" s="1" t="s">
        <v>8409</v>
      </c>
      <c r="G1750" t="s">
        <v>1</v>
      </c>
      <c r="H1750" t="s">
        <v>0</v>
      </c>
      <c r="I1750" t="s">
        <v>8165</v>
      </c>
      <c r="J1750" t="s">
        <v>8164</v>
      </c>
      <c r="K1750">
        <v>12489</v>
      </c>
      <c r="L1750">
        <v>12489</v>
      </c>
      <c r="M1750" t="s">
        <v>8414</v>
      </c>
      <c r="N1750" t="s">
        <v>8415</v>
      </c>
      <c r="O1750" s="3">
        <v>0</v>
      </c>
      <c r="P1750" s="3">
        <v>0</v>
      </c>
      <c r="Q1750" s="3">
        <v>30.98</v>
      </c>
      <c r="R1750" s="3">
        <v>4.0274000000000001</v>
      </c>
      <c r="S1750" s="3">
        <v>0</v>
      </c>
      <c r="T1750" s="3">
        <v>0</v>
      </c>
      <c r="U1750" s="3">
        <v>35.007400000000004</v>
      </c>
      <c r="V1750" s="3" t="s">
        <v>8046</v>
      </c>
      <c r="W1750" s="3" t="s">
        <v>1</v>
      </c>
    </row>
    <row r="1751" spans="5:23" hidden="1" x14ac:dyDescent="0.25">
      <c r="E1751" t="s">
        <v>8387</v>
      </c>
      <c r="F1751" s="1" t="s">
        <v>8409</v>
      </c>
      <c r="G1751" t="s">
        <v>1</v>
      </c>
      <c r="H1751" t="s">
        <v>0</v>
      </c>
      <c r="I1751" t="s">
        <v>8165</v>
      </c>
      <c r="J1751" t="s">
        <v>8164</v>
      </c>
      <c r="K1751">
        <v>12490</v>
      </c>
      <c r="L1751">
        <v>12490</v>
      </c>
      <c r="M1751" t="s">
        <v>8287</v>
      </c>
      <c r="N1751" t="s">
        <v>8288</v>
      </c>
      <c r="O1751" s="3">
        <v>0</v>
      </c>
      <c r="P1751" s="3">
        <v>0</v>
      </c>
      <c r="Q1751" s="3">
        <v>6.32</v>
      </c>
      <c r="R1751" s="3">
        <v>0.82160000000000011</v>
      </c>
      <c r="S1751" s="3">
        <v>0</v>
      </c>
      <c r="T1751" s="3">
        <v>0</v>
      </c>
      <c r="U1751" s="3">
        <v>7.1416000000000004</v>
      </c>
      <c r="V1751" s="3" t="s">
        <v>8046</v>
      </c>
      <c r="W1751" s="3" t="s">
        <v>1</v>
      </c>
    </row>
    <row r="1752" spans="5:23" hidden="1" x14ac:dyDescent="0.25">
      <c r="E1752" t="s">
        <v>8387</v>
      </c>
      <c r="F1752" s="1" t="s">
        <v>8409</v>
      </c>
      <c r="G1752" t="s">
        <v>1</v>
      </c>
      <c r="H1752" t="s">
        <v>0</v>
      </c>
      <c r="I1752" t="s">
        <v>8165</v>
      </c>
      <c r="J1752" t="s">
        <v>8164</v>
      </c>
      <c r="K1752">
        <v>12491</v>
      </c>
      <c r="L1752">
        <v>12491</v>
      </c>
      <c r="M1752" t="s">
        <v>8306</v>
      </c>
      <c r="N1752" t="s">
        <v>8307</v>
      </c>
      <c r="O1752" s="3">
        <v>0</v>
      </c>
      <c r="P1752" s="3">
        <v>0</v>
      </c>
      <c r="Q1752" s="3">
        <v>81.73</v>
      </c>
      <c r="R1752" s="3">
        <v>10.6249</v>
      </c>
      <c r="S1752" s="3">
        <v>0</v>
      </c>
      <c r="T1752" s="3">
        <v>0</v>
      </c>
      <c r="U1752" s="3">
        <v>92.354900000000001</v>
      </c>
      <c r="V1752" s="3" t="s">
        <v>8046</v>
      </c>
      <c r="W1752" s="3" t="s">
        <v>1</v>
      </c>
    </row>
    <row r="1753" spans="5:23" hidden="1" x14ac:dyDescent="0.25">
      <c r="E1753" t="s">
        <v>8387</v>
      </c>
      <c r="F1753" s="1" t="s">
        <v>8409</v>
      </c>
      <c r="G1753" t="s">
        <v>1</v>
      </c>
      <c r="H1753" t="s">
        <v>0</v>
      </c>
      <c r="I1753" t="s">
        <v>8165</v>
      </c>
      <c r="J1753" t="s">
        <v>8164</v>
      </c>
      <c r="K1753">
        <v>12492</v>
      </c>
      <c r="L1753">
        <v>12492</v>
      </c>
      <c r="M1753" t="s">
        <v>7852</v>
      </c>
      <c r="N1753" t="s">
        <v>7851</v>
      </c>
      <c r="O1753" s="3">
        <v>0</v>
      </c>
      <c r="P1753" s="3">
        <v>0</v>
      </c>
      <c r="Q1753" s="3">
        <v>0</v>
      </c>
      <c r="R1753" s="3">
        <v>0</v>
      </c>
      <c r="S1753" s="3">
        <v>0</v>
      </c>
      <c r="T1753" s="3">
        <v>0</v>
      </c>
      <c r="U1753" s="3">
        <v>0</v>
      </c>
      <c r="V1753" s="3" t="s">
        <v>8046</v>
      </c>
      <c r="W1753" s="3" t="s">
        <v>1</v>
      </c>
    </row>
    <row r="1754" spans="5:23" hidden="1" x14ac:dyDescent="0.25">
      <c r="E1754" t="s">
        <v>8387</v>
      </c>
      <c r="F1754" s="1" t="s">
        <v>8409</v>
      </c>
      <c r="G1754" t="s">
        <v>1</v>
      </c>
      <c r="H1754" t="s">
        <v>0</v>
      </c>
      <c r="I1754" t="s">
        <v>8165</v>
      </c>
      <c r="J1754" t="s">
        <v>8164</v>
      </c>
      <c r="K1754">
        <v>12493</v>
      </c>
      <c r="L1754">
        <v>12493</v>
      </c>
      <c r="M1754" t="s">
        <v>8243</v>
      </c>
      <c r="N1754" t="s">
        <v>8244</v>
      </c>
      <c r="O1754" s="3">
        <v>0</v>
      </c>
      <c r="P1754" s="3">
        <v>0</v>
      </c>
      <c r="Q1754" s="3">
        <v>25.92</v>
      </c>
      <c r="R1754" s="3">
        <v>3.3696000000000002</v>
      </c>
      <c r="S1754" s="3">
        <v>0</v>
      </c>
      <c r="T1754" s="3">
        <v>0</v>
      </c>
      <c r="U1754" s="3">
        <v>29.2896</v>
      </c>
      <c r="V1754" s="3" t="s">
        <v>8046</v>
      </c>
      <c r="W1754" s="3" t="s">
        <v>1</v>
      </c>
    </row>
    <row r="1755" spans="5:23" hidden="1" x14ac:dyDescent="0.25">
      <c r="E1755" t="s">
        <v>8387</v>
      </c>
      <c r="F1755" s="1" t="s">
        <v>8409</v>
      </c>
      <c r="G1755" t="s">
        <v>1</v>
      </c>
      <c r="H1755" t="s">
        <v>0</v>
      </c>
      <c r="I1755" t="s">
        <v>8165</v>
      </c>
      <c r="J1755" t="s">
        <v>8164</v>
      </c>
      <c r="K1755">
        <v>12494</v>
      </c>
      <c r="L1755">
        <v>12494</v>
      </c>
      <c r="M1755" t="s">
        <v>8412</v>
      </c>
      <c r="N1755" t="s">
        <v>8413</v>
      </c>
      <c r="O1755" s="3">
        <v>0</v>
      </c>
      <c r="P1755" s="3">
        <v>0</v>
      </c>
      <c r="Q1755" s="3">
        <v>39.04</v>
      </c>
      <c r="R1755" s="3">
        <v>5.0751999999999997</v>
      </c>
      <c r="S1755" s="3">
        <v>0</v>
      </c>
      <c r="T1755" s="3">
        <v>0</v>
      </c>
      <c r="U1755" s="3">
        <v>44.115200000000002</v>
      </c>
      <c r="V1755" s="3" t="s">
        <v>8046</v>
      </c>
      <c r="W1755" s="3" t="s">
        <v>1</v>
      </c>
    </row>
    <row r="1756" spans="5:23" hidden="1" x14ac:dyDescent="0.25">
      <c r="E1756" t="s">
        <v>8387</v>
      </c>
      <c r="F1756" s="1" t="s">
        <v>8409</v>
      </c>
      <c r="G1756" t="s">
        <v>1</v>
      </c>
      <c r="H1756" t="s">
        <v>0</v>
      </c>
      <c r="I1756" t="s">
        <v>8165</v>
      </c>
      <c r="J1756" t="s">
        <v>8164</v>
      </c>
      <c r="K1756">
        <v>12495</v>
      </c>
      <c r="L1756">
        <v>12495</v>
      </c>
      <c r="M1756" t="s">
        <v>8410</v>
      </c>
      <c r="N1756" t="s">
        <v>8411</v>
      </c>
      <c r="O1756" s="3">
        <v>0</v>
      </c>
      <c r="P1756" s="3">
        <v>0</v>
      </c>
      <c r="Q1756" s="3">
        <v>130.25</v>
      </c>
      <c r="R1756" s="3">
        <v>16.932500000000001</v>
      </c>
      <c r="S1756" s="3">
        <v>0</v>
      </c>
      <c r="T1756" s="3">
        <v>0</v>
      </c>
      <c r="U1756" s="3">
        <v>147.1825</v>
      </c>
      <c r="V1756" s="3" t="s">
        <v>8046</v>
      </c>
      <c r="W1756" s="3" t="s">
        <v>1</v>
      </c>
    </row>
    <row r="1757" spans="5:23" hidden="1" x14ac:dyDescent="0.25">
      <c r="E1757" t="s">
        <v>8387</v>
      </c>
      <c r="F1757" s="1" t="s">
        <v>8409</v>
      </c>
      <c r="G1757" t="s">
        <v>1</v>
      </c>
      <c r="H1757" t="s">
        <v>0</v>
      </c>
      <c r="I1757" t="s">
        <v>8165</v>
      </c>
      <c r="J1757" t="s">
        <v>8164</v>
      </c>
      <c r="K1757">
        <v>12496</v>
      </c>
      <c r="L1757">
        <v>12496</v>
      </c>
      <c r="M1757" t="s">
        <v>8178</v>
      </c>
      <c r="N1757" t="s">
        <v>8179</v>
      </c>
      <c r="O1757" s="3">
        <v>0</v>
      </c>
      <c r="P1757" s="3">
        <v>0</v>
      </c>
      <c r="Q1757" s="3">
        <v>318.8</v>
      </c>
      <c r="R1757" s="3">
        <v>41.444000000000003</v>
      </c>
      <c r="S1757" s="3">
        <v>0</v>
      </c>
      <c r="T1757" s="3">
        <v>0</v>
      </c>
      <c r="U1757" s="3">
        <v>360.24400000000003</v>
      </c>
      <c r="V1757" s="3" t="s">
        <v>8046</v>
      </c>
      <c r="W1757" s="3" t="s">
        <v>1</v>
      </c>
    </row>
    <row r="1758" spans="5:23" hidden="1" x14ac:dyDescent="0.25">
      <c r="E1758" t="s">
        <v>8387</v>
      </c>
      <c r="F1758" s="1" t="s">
        <v>8409</v>
      </c>
      <c r="G1758" t="s">
        <v>1</v>
      </c>
      <c r="H1758" t="s">
        <v>0</v>
      </c>
      <c r="I1758" t="s">
        <v>8165</v>
      </c>
      <c r="J1758" t="s">
        <v>8164</v>
      </c>
      <c r="K1758">
        <v>12497</v>
      </c>
      <c r="L1758">
        <v>12497</v>
      </c>
      <c r="M1758" t="s">
        <v>807</v>
      </c>
      <c r="N1758" t="s">
        <v>808</v>
      </c>
      <c r="O1758" s="3">
        <v>0</v>
      </c>
      <c r="P1758" s="3">
        <v>0</v>
      </c>
      <c r="Q1758" s="3">
        <v>1070</v>
      </c>
      <c r="R1758" s="3">
        <v>139.1</v>
      </c>
      <c r="S1758" s="3">
        <v>0</v>
      </c>
      <c r="T1758" s="3">
        <v>0</v>
      </c>
      <c r="U1758" s="3">
        <v>1209.0999999999999</v>
      </c>
      <c r="V1758" s="3" t="s">
        <v>8046</v>
      </c>
      <c r="W1758" s="3" t="s">
        <v>1</v>
      </c>
    </row>
    <row r="1759" spans="5:23" hidden="1" x14ac:dyDescent="0.25">
      <c r="E1759" t="s">
        <v>8387</v>
      </c>
      <c r="F1759" s="1" t="s">
        <v>8406</v>
      </c>
      <c r="G1759" t="s">
        <v>1</v>
      </c>
      <c r="H1759" t="s">
        <v>0</v>
      </c>
      <c r="I1759" t="s">
        <v>8165</v>
      </c>
      <c r="J1759" t="s">
        <v>8164</v>
      </c>
      <c r="K1759">
        <v>12498</v>
      </c>
      <c r="L1759">
        <v>12498</v>
      </c>
      <c r="M1759" t="s">
        <v>8326</v>
      </c>
      <c r="N1759" t="s">
        <v>8327</v>
      </c>
      <c r="O1759" s="3">
        <v>0</v>
      </c>
      <c r="P1759" s="3">
        <v>0</v>
      </c>
      <c r="Q1759" s="3">
        <v>15</v>
      </c>
      <c r="R1759" s="3">
        <v>1.9500000000000002</v>
      </c>
      <c r="S1759" s="3">
        <v>0</v>
      </c>
      <c r="T1759" s="3">
        <v>0</v>
      </c>
      <c r="U1759" s="3">
        <v>16.95</v>
      </c>
      <c r="V1759" s="3" t="s">
        <v>8046</v>
      </c>
      <c r="W1759" s="3" t="s">
        <v>1</v>
      </c>
    </row>
    <row r="1760" spans="5:23" hidden="1" x14ac:dyDescent="0.25">
      <c r="E1760" t="s">
        <v>8387</v>
      </c>
      <c r="F1760" s="1" t="s">
        <v>8406</v>
      </c>
      <c r="G1760" t="s">
        <v>1</v>
      </c>
      <c r="H1760" t="s">
        <v>0</v>
      </c>
      <c r="I1760" t="s">
        <v>8165</v>
      </c>
      <c r="J1760" t="s">
        <v>8164</v>
      </c>
      <c r="K1760">
        <v>12499</v>
      </c>
      <c r="L1760">
        <v>12499</v>
      </c>
      <c r="M1760" t="s">
        <v>164</v>
      </c>
      <c r="N1760" t="s">
        <v>165</v>
      </c>
      <c r="O1760" s="3">
        <v>0</v>
      </c>
      <c r="P1760" s="3">
        <v>0</v>
      </c>
      <c r="Q1760" s="3">
        <v>175.32</v>
      </c>
      <c r="R1760" s="3">
        <v>22.791599999999999</v>
      </c>
      <c r="S1760" s="3">
        <v>0</v>
      </c>
      <c r="T1760" s="3">
        <v>0</v>
      </c>
      <c r="U1760" s="3">
        <v>198.11159999999998</v>
      </c>
      <c r="V1760" s="3" t="s">
        <v>8046</v>
      </c>
      <c r="W1760" s="3" t="s">
        <v>1</v>
      </c>
    </row>
    <row r="1761" spans="5:23" hidden="1" x14ac:dyDescent="0.25">
      <c r="E1761" t="s">
        <v>8387</v>
      </c>
      <c r="F1761" s="1" t="s">
        <v>8406</v>
      </c>
      <c r="G1761" t="s">
        <v>1</v>
      </c>
      <c r="H1761" t="s">
        <v>0</v>
      </c>
      <c r="I1761" t="s">
        <v>8165</v>
      </c>
      <c r="J1761" t="s">
        <v>8164</v>
      </c>
      <c r="K1761">
        <v>12500</v>
      </c>
      <c r="L1761">
        <v>12500</v>
      </c>
      <c r="M1761" t="s">
        <v>8279</v>
      </c>
      <c r="N1761" t="s">
        <v>8280</v>
      </c>
      <c r="O1761" s="3">
        <v>0</v>
      </c>
      <c r="P1761" s="3">
        <v>0</v>
      </c>
      <c r="Q1761" s="3">
        <v>200</v>
      </c>
      <c r="R1761" s="3">
        <v>26</v>
      </c>
      <c r="S1761" s="3">
        <v>0</v>
      </c>
      <c r="T1761" s="3">
        <v>0</v>
      </c>
      <c r="U1761" s="3">
        <v>226</v>
      </c>
      <c r="V1761" s="3" t="s">
        <v>8046</v>
      </c>
      <c r="W1761" s="3" t="s">
        <v>1</v>
      </c>
    </row>
    <row r="1762" spans="5:23" hidden="1" x14ac:dyDescent="0.25">
      <c r="E1762" t="s">
        <v>8387</v>
      </c>
      <c r="F1762" s="1" t="s">
        <v>8406</v>
      </c>
      <c r="G1762" t="s">
        <v>1</v>
      </c>
      <c r="H1762" t="s">
        <v>0</v>
      </c>
      <c r="I1762" t="s">
        <v>8165</v>
      </c>
      <c r="J1762" t="s">
        <v>8164</v>
      </c>
      <c r="K1762">
        <v>12501</v>
      </c>
      <c r="L1762">
        <v>12501</v>
      </c>
      <c r="M1762" t="s">
        <v>8228</v>
      </c>
      <c r="N1762" t="s">
        <v>8229</v>
      </c>
      <c r="O1762" s="3">
        <v>0</v>
      </c>
      <c r="P1762" s="3">
        <v>0</v>
      </c>
      <c r="Q1762" s="3">
        <v>29.73</v>
      </c>
      <c r="R1762" s="3">
        <v>3.8649</v>
      </c>
      <c r="S1762" s="3">
        <v>0</v>
      </c>
      <c r="T1762" s="3">
        <v>0</v>
      </c>
      <c r="U1762" s="3">
        <v>33.594900000000003</v>
      </c>
      <c r="V1762" s="3" t="s">
        <v>8046</v>
      </c>
      <c r="W1762" s="3" t="s">
        <v>1</v>
      </c>
    </row>
    <row r="1763" spans="5:23" hidden="1" x14ac:dyDescent="0.25">
      <c r="E1763" t="s">
        <v>8387</v>
      </c>
      <c r="F1763" s="1" t="s">
        <v>8406</v>
      </c>
      <c r="G1763" t="s">
        <v>1</v>
      </c>
      <c r="H1763" t="s">
        <v>0</v>
      </c>
      <c r="I1763" t="s">
        <v>8165</v>
      </c>
      <c r="J1763" t="s">
        <v>8164</v>
      </c>
      <c r="K1763">
        <v>12502</v>
      </c>
      <c r="L1763">
        <v>12502</v>
      </c>
      <c r="M1763" t="s">
        <v>8228</v>
      </c>
      <c r="N1763" t="s">
        <v>8229</v>
      </c>
      <c r="O1763" s="3">
        <v>0</v>
      </c>
      <c r="P1763" s="3">
        <v>0</v>
      </c>
      <c r="Q1763" s="3">
        <v>273.88</v>
      </c>
      <c r="R1763" s="3">
        <v>35.604399999999998</v>
      </c>
      <c r="S1763" s="3">
        <v>0</v>
      </c>
      <c r="T1763" s="3">
        <v>0</v>
      </c>
      <c r="U1763" s="3">
        <v>309.48439999999999</v>
      </c>
      <c r="V1763" s="3" t="s">
        <v>8046</v>
      </c>
      <c r="W1763" s="3" t="s">
        <v>1</v>
      </c>
    </row>
    <row r="1764" spans="5:23" hidden="1" x14ac:dyDescent="0.25">
      <c r="E1764" t="s">
        <v>8387</v>
      </c>
      <c r="F1764" s="1" t="s">
        <v>8406</v>
      </c>
      <c r="G1764" t="s">
        <v>1</v>
      </c>
      <c r="H1764" t="s">
        <v>0</v>
      </c>
      <c r="I1764" t="s">
        <v>8165</v>
      </c>
      <c r="J1764" t="s">
        <v>8164</v>
      </c>
      <c r="K1764">
        <v>12503</v>
      </c>
      <c r="L1764">
        <v>12503</v>
      </c>
      <c r="M1764" t="s">
        <v>436</v>
      </c>
      <c r="N1764" t="s">
        <v>437</v>
      </c>
      <c r="O1764" s="3">
        <v>0</v>
      </c>
      <c r="P1764" s="3">
        <v>0</v>
      </c>
      <c r="Q1764" s="3">
        <v>207.15</v>
      </c>
      <c r="R1764" s="3">
        <v>26.929500000000001</v>
      </c>
      <c r="S1764" s="3">
        <v>0</v>
      </c>
      <c r="T1764" s="3">
        <v>0</v>
      </c>
      <c r="U1764" s="3">
        <v>234.0795</v>
      </c>
      <c r="V1764" s="3" t="s">
        <v>8046</v>
      </c>
      <c r="W1764" s="3" t="s">
        <v>1</v>
      </c>
    </row>
    <row r="1765" spans="5:23" hidden="1" x14ac:dyDescent="0.25">
      <c r="E1765" t="s">
        <v>8387</v>
      </c>
      <c r="F1765" s="1" t="s">
        <v>8406</v>
      </c>
      <c r="G1765" t="s">
        <v>1</v>
      </c>
      <c r="H1765" t="s">
        <v>0</v>
      </c>
      <c r="I1765" t="s">
        <v>8165</v>
      </c>
      <c r="J1765" t="s">
        <v>8164</v>
      </c>
      <c r="K1765">
        <v>12504</v>
      </c>
      <c r="L1765">
        <v>12504</v>
      </c>
      <c r="M1765" t="s">
        <v>1423</v>
      </c>
      <c r="N1765" t="s">
        <v>1424</v>
      </c>
      <c r="O1765" s="3">
        <v>0</v>
      </c>
      <c r="P1765" s="3">
        <v>0</v>
      </c>
      <c r="Q1765" s="3">
        <v>44.72</v>
      </c>
      <c r="R1765" s="3">
        <v>5.8136000000000001</v>
      </c>
      <c r="S1765" s="3">
        <v>0</v>
      </c>
      <c r="T1765" s="3">
        <v>0</v>
      </c>
      <c r="U1765" s="3">
        <v>50.5336</v>
      </c>
      <c r="V1765" s="3" t="s">
        <v>8046</v>
      </c>
      <c r="W1765" s="3" t="s">
        <v>1</v>
      </c>
    </row>
    <row r="1766" spans="5:23" hidden="1" x14ac:dyDescent="0.25">
      <c r="E1766" t="s">
        <v>8387</v>
      </c>
      <c r="F1766" s="1" t="s">
        <v>8406</v>
      </c>
      <c r="G1766" t="s">
        <v>1</v>
      </c>
      <c r="H1766" t="s">
        <v>0</v>
      </c>
      <c r="I1766" t="s">
        <v>8165</v>
      </c>
      <c r="J1766" t="s">
        <v>8164</v>
      </c>
      <c r="K1766">
        <v>12505</v>
      </c>
      <c r="L1766">
        <v>12505</v>
      </c>
      <c r="M1766" t="s">
        <v>8213</v>
      </c>
      <c r="N1766" t="s">
        <v>8181</v>
      </c>
      <c r="O1766" s="3">
        <v>0</v>
      </c>
      <c r="P1766" s="3">
        <v>0</v>
      </c>
      <c r="Q1766" s="3">
        <v>28.46</v>
      </c>
      <c r="R1766" s="3">
        <v>3.6998000000000002</v>
      </c>
      <c r="S1766" s="3">
        <v>0</v>
      </c>
      <c r="T1766" s="3">
        <v>0</v>
      </c>
      <c r="U1766" s="3">
        <v>32.159800000000004</v>
      </c>
      <c r="V1766" s="3" t="s">
        <v>8046</v>
      </c>
      <c r="W1766" s="3" t="s">
        <v>1</v>
      </c>
    </row>
    <row r="1767" spans="5:23" hidden="1" x14ac:dyDescent="0.25">
      <c r="E1767" t="s">
        <v>8387</v>
      </c>
      <c r="F1767" s="1" t="s">
        <v>8406</v>
      </c>
      <c r="G1767" t="s">
        <v>1</v>
      </c>
      <c r="H1767" t="s">
        <v>0</v>
      </c>
      <c r="I1767" t="s">
        <v>8165</v>
      </c>
      <c r="J1767" t="s">
        <v>8164</v>
      </c>
      <c r="K1767">
        <v>12506</v>
      </c>
      <c r="L1767">
        <v>12506</v>
      </c>
      <c r="M1767" t="s">
        <v>8407</v>
      </c>
      <c r="N1767" t="s">
        <v>8408</v>
      </c>
      <c r="O1767" s="3">
        <v>0</v>
      </c>
      <c r="P1767" s="3">
        <v>0</v>
      </c>
      <c r="Q1767" s="3">
        <v>18.45</v>
      </c>
      <c r="R1767" s="3">
        <v>2.3984999999999999</v>
      </c>
      <c r="S1767" s="3">
        <v>0</v>
      </c>
      <c r="T1767" s="3">
        <v>0</v>
      </c>
      <c r="U1767" s="3">
        <v>20.848499999999998</v>
      </c>
      <c r="V1767" s="3" t="s">
        <v>8046</v>
      </c>
      <c r="W1767" s="3" t="s">
        <v>1</v>
      </c>
    </row>
    <row r="1768" spans="5:23" hidden="1" x14ac:dyDescent="0.25">
      <c r="E1768" t="s">
        <v>8387</v>
      </c>
      <c r="F1768" s="1" t="s">
        <v>8406</v>
      </c>
      <c r="G1768" t="s">
        <v>1</v>
      </c>
      <c r="H1768" t="s">
        <v>0</v>
      </c>
      <c r="I1768" t="s">
        <v>8165</v>
      </c>
      <c r="J1768" t="s">
        <v>8164</v>
      </c>
      <c r="K1768">
        <v>12507</v>
      </c>
      <c r="L1768">
        <v>12507</v>
      </c>
      <c r="M1768" t="s">
        <v>8310</v>
      </c>
      <c r="N1768" t="s">
        <v>8311</v>
      </c>
      <c r="O1768" s="3">
        <v>0</v>
      </c>
      <c r="P1768" s="3">
        <v>0</v>
      </c>
      <c r="Q1768" s="3">
        <v>77.430000000000007</v>
      </c>
      <c r="R1768" s="3">
        <v>10.065900000000001</v>
      </c>
      <c r="S1768" s="3">
        <v>0</v>
      </c>
      <c r="T1768" s="3">
        <v>0</v>
      </c>
      <c r="U1768" s="3">
        <v>87.495900000000006</v>
      </c>
      <c r="V1768" s="3" t="s">
        <v>8046</v>
      </c>
      <c r="W1768" s="3" t="s">
        <v>1</v>
      </c>
    </row>
    <row r="1769" spans="5:23" hidden="1" x14ac:dyDescent="0.25">
      <c r="E1769" t="s">
        <v>8387</v>
      </c>
      <c r="F1769" s="1" t="s">
        <v>8406</v>
      </c>
      <c r="G1769" t="s">
        <v>1</v>
      </c>
      <c r="H1769" t="s">
        <v>0</v>
      </c>
      <c r="I1769" t="s">
        <v>8165</v>
      </c>
      <c r="J1769" t="s">
        <v>8164</v>
      </c>
      <c r="K1769">
        <v>12508</v>
      </c>
      <c r="L1769">
        <v>12508</v>
      </c>
      <c r="M1769" t="s">
        <v>238</v>
      </c>
      <c r="N1769" t="s">
        <v>239</v>
      </c>
      <c r="O1769" s="3">
        <v>0</v>
      </c>
      <c r="P1769" s="3">
        <v>0</v>
      </c>
      <c r="Q1769" s="3">
        <v>1150.44</v>
      </c>
      <c r="R1769" s="3">
        <v>149.55720000000002</v>
      </c>
      <c r="S1769" s="3">
        <v>0</v>
      </c>
      <c r="T1769" s="3">
        <v>0</v>
      </c>
      <c r="U1769" s="3">
        <v>1299.9972</v>
      </c>
      <c r="V1769" s="3" t="s">
        <v>8046</v>
      </c>
      <c r="W1769" s="3" t="s">
        <v>1</v>
      </c>
    </row>
    <row r="1770" spans="5:23" hidden="1" x14ac:dyDescent="0.25">
      <c r="E1770" t="s">
        <v>8387</v>
      </c>
      <c r="F1770" s="1" t="s">
        <v>8406</v>
      </c>
      <c r="G1770" t="s">
        <v>1</v>
      </c>
      <c r="H1770" t="s">
        <v>0</v>
      </c>
      <c r="I1770" t="s">
        <v>8165</v>
      </c>
      <c r="J1770" t="s">
        <v>8164</v>
      </c>
      <c r="K1770">
        <v>12509</v>
      </c>
      <c r="L1770">
        <v>12509</v>
      </c>
      <c r="M1770" t="s">
        <v>238</v>
      </c>
      <c r="N1770" t="s">
        <v>239</v>
      </c>
      <c r="O1770" s="3">
        <v>0</v>
      </c>
      <c r="P1770" s="3">
        <v>0</v>
      </c>
      <c r="Q1770" s="3">
        <v>244.36</v>
      </c>
      <c r="R1770" s="3">
        <v>31.766800000000003</v>
      </c>
      <c r="S1770" s="3">
        <v>0</v>
      </c>
      <c r="T1770" s="3">
        <v>0</v>
      </c>
      <c r="U1770" s="3">
        <v>276.1268</v>
      </c>
      <c r="V1770" s="3" t="s">
        <v>8046</v>
      </c>
      <c r="W1770" s="3" t="s">
        <v>1</v>
      </c>
    </row>
    <row r="1771" spans="5:23" hidden="1" x14ac:dyDescent="0.25">
      <c r="E1771" t="s">
        <v>8387</v>
      </c>
      <c r="F1771" s="1" t="s">
        <v>8401</v>
      </c>
      <c r="G1771" t="s">
        <v>1</v>
      </c>
      <c r="H1771" t="s">
        <v>0</v>
      </c>
      <c r="I1771" t="s">
        <v>8165</v>
      </c>
      <c r="J1771" t="s">
        <v>8164</v>
      </c>
      <c r="K1771">
        <v>12510</v>
      </c>
      <c r="L1771">
        <v>12510</v>
      </c>
      <c r="M1771" t="s">
        <v>8209</v>
      </c>
      <c r="N1771" t="s">
        <v>8210</v>
      </c>
      <c r="O1771" s="3">
        <v>0</v>
      </c>
      <c r="P1771" s="3">
        <v>0</v>
      </c>
      <c r="Q1771" s="3">
        <v>173.6</v>
      </c>
      <c r="R1771" s="3">
        <v>22.568000000000001</v>
      </c>
      <c r="S1771" s="3">
        <v>0</v>
      </c>
      <c r="T1771" s="3">
        <v>0</v>
      </c>
      <c r="U1771" s="3">
        <v>196.16800000000001</v>
      </c>
      <c r="V1771" s="3" t="s">
        <v>8046</v>
      </c>
      <c r="W1771" s="3" t="s">
        <v>1</v>
      </c>
    </row>
    <row r="1772" spans="5:23" hidden="1" x14ac:dyDescent="0.25">
      <c r="E1772" t="s">
        <v>8387</v>
      </c>
      <c r="F1772" s="1" t="s">
        <v>8401</v>
      </c>
      <c r="G1772" t="s">
        <v>1</v>
      </c>
      <c r="H1772" t="s">
        <v>0</v>
      </c>
      <c r="I1772" t="s">
        <v>8165</v>
      </c>
      <c r="J1772" t="s">
        <v>8164</v>
      </c>
      <c r="K1772">
        <v>12511</v>
      </c>
      <c r="L1772">
        <v>12511</v>
      </c>
      <c r="M1772" t="s">
        <v>8209</v>
      </c>
      <c r="N1772" t="s">
        <v>8210</v>
      </c>
      <c r="O1772" s="3">
        <v>0</v>
      </c>
      <c r="P1772" s="3">
        <v>0</v>
      </c>
      <c r="Q1772" s="3">
        <v>259.60000000000002</v>
      </c>
      <c r="R1772" s="3">
        <v>33.748000000000005</v>
      </c>
      <c r="S1772" s="3">
        <v>0</v>
      </c>
      <c r="T1772" s="3">
        <v>0</v>
      </c>
      <c r="U1772" s="3">
        <v>293.34800000000001</v>
      </c>
      <c r="V1772" s="3" t="s">
        <v>8046</v>
      </c>
      <c r="W1772" s="3" t="s">
        <v>1</v>
      </c>
    </row>
    <row r="1773" spans="5:23" hidden="1" x14ac:dyDescent="0.25">
      <c r="E1773" t="s">
        <v>8387</v>
      </c>
      <c r="F1773" s="1" t="s">
        <v>8401</v>
      </c>
      <c r="G1773" t="s">
        <v>1</v>
      </c>
      <c r="H1773" t="s">
        <v>0</v>
      </c>
      <c r="I1773" t="s">
        <v>8165</v>
      </c>
      <c r="J1773" t="s">
        <v>8164</v>
      </c>
      <c r="K1773">
        <v>12512</v>
      </c>
      <c r="L1773">
        <v>12512</v>
      </c>
      <c r="M1773" t="s">
        <v>8243</v>
      </c>
      <c r="N1773" t="s">
        <v>8244</v>
      </c>
      <c r="O1773" s="3">
        <v>0</v>
      </c>
      <c r="P1773" s="3">
        <v>0</v>
      </c>
      <c r="Q1773" s="3">
        <v>40.799999999999997</v>
      </c>
      <c r="R1773" s="3">
        <v>5.3039999999999994</v>
      </c>
      <c r="S1773" s="3">
        <v>0</v>
      </c>
      <c r="T1773" s="3">
        <v>0</v>
      </c>
      <c r="U1773" s="3">
        <v>46.103999999999999</v>
      </c>
      <c r="V1773" s="3" t="s">
        <v>8046</v>
      </c>
      <c r="W1773" s="3" t="s">
        <v>1</v>
      </c>
    </row>
    <row r="1774" spans="5:23" hidden="1" x14ac:dyDescent="0.25">
      <c r="E1774" t="s">
        <v>8387</v>
      </c>
      <c r="F1774" s="1" t="s">
        <v>8401</v>
      </c>
      <c r="G1774" t="s">
        <v>1</v>
      </c>
      <c r="H1774" t="s">
        <v>0</v>
      </c>
      <c r="I1774" t="s">
        <v>8165</v>
      </c>
      <c r="J1774" t="s">
        <v>8164</v>
      </c>
      <c r="K1774">
        <v>12513</v>
      </c>
      <c r="L1774">
        <v>12513</v>
      </c>
      <c r="M1774" t="s">
        <v>8209</v>
      </c>
      <c r="N1774" t="s">
        <v>8210</v>
      </c>
      <c r="O1774" s="3">
        <v>0</v>
      </c>
      <c r="P1774" s="3">
        <v>0</v>
      </c>
      <c r="Q1774" s="3">
        <v>50</v>
      </c>
      <c r="R1774" s="3">
        <v>6.5</v>
      </c>
      <c r="S1774" s="3">
        <v>0</v>
      </c>
      <c r="T1774" s="3">
        <v>0</v>
      </c>
      <c r="U1774" s="3">
        <v>56.5</v>
      </c>
      <c r="V1774" s="3" t="s">
        <v>8046</v>
      </c>
      <c r="W1774" s="3" t="s">
        <v>1</v>
      </c>
    </row>
    <row r="1775" spans="5:23" hidden="1" x14ac:dyDescent="0.25">
      <c r="E1775" t="s">
        <v>8387</v>
      </c>
      <c r="F1775" s="1" t="s">
        <v>8401</v>
      </c>
      <c r="G1775" t="s">
        <v>1</v>
      </c>
      <c r="H1775" t="s">
        <v>0</v>
      </c>
      <c r="I1775" t="s">
        <v>8165</v>
      </c>
      <c r="J1775" t="s">
        <v>8164</v>
      </c>
      <c r="K1775">
        <v>12514</v>
      </c>
      <c r="L1775">
        <v>12514</v>
      </c>
      <c r="M1775" t="s">
        <v>8209</v>
      </c>
      <c r="N1775" t="s">
        <v>8210</v>
      </c>
      <c r="O1775" s="3">
        <v>0</v>
      </c>
      <c r="P1775" s="3">
        <v>0</v>
      </c>
      <c r="Q1775" s="3">
        <v>3000</v>
      </c>
      <c r="R1775" s="3">
        <v>390</v>
      </c>
      <c r="S1775" s="3">
        <v>0</v>
      </c>
      <c r="T1775" s="3">
        <v>0</v>
      </c>
      <c r="U1775" s="3">
        <v>3390</v>
      </c>
      <c r="V1775" s="3" t="s">
        <v>8046</v>
      </c>
      <c r="W1775" s="3" t="s">
        <v>1</v>
      </c>
    </row>
    <row r="1776" spans="5:23" hidden="1" x14ac:dyDescent="0.25">
      <c r="E1776" t="s">
        <v>8387</v>
      </c>
      <c r="F1776" s="1" t="s">
        <v>8401</v>
      </c>
      <c r="G1776" t="s">
        <v>1</v>
      </c>
      <c r="H1776" t="s">
        <v>0</v>
      </c>
      <c r="I1776" t="s">
        <v>8165</v>
      </c>
      <c r="J1776" t="s">
        <v>8164</v>
      </c>
      <c r="K1776">
        <v>12515</v>
      </c>
      <c r="L1776">
        <v>12515</v>
      </c>
      <c r="M1776" t="s">
        <v>125</v>
      </c>
      <c r="N1776" t="s">
        <v>126</v>
      </c>
      <c r="O1776" s="3">
        <v>0</v>
      </c>
      <c r="P1776" s="3">
        <v>0</v>
      </c>
      <c r="Q1776" s="3">
        <v>738.34</v>
      </c>
      <c r="R1776" s="3">
        <v>95.984200000000001</v>
      </c>
      <c r="S1776" s="3">
        <v>0</v>
      </c>
      <c r="T1776" s="3">
        <v>0</v>
      </c>
      <c r="U1776" s="3">
        <v>834.32420000000002</v>
      </c>
      <c r="V1776" s="3" t="s">
        <v>8046</v>
      </c>
      <c r="W1776" s="3" t="s">
        <v>1</v>
      </c>
    </row>
    <row r="1777" spans="5:23" hidden="1" x14ac:dyDescent="0.25">
      <c r="E1777" t="s">
        <v>8387</v>
      </c>
      <c r="F1777" s="1" t="s">
        <v>8401</v>
      </c>
      <c r="G1777" t="s">
        <v>1</v>
      </c>
      <c r="H1777" t="s">
        <v>0</v>
      </c>
      <c r="I1777" t="s">
        <v>8165</v>
      </c>
      <c r="J1777" t="s">
        <v>8164</v>
      </c>
      <c r="K1777">
        <v>12516</v>
      </c>
      <c r="L1777">
        <v>12516</v>
      </c>
      <c r="M1777" t="s">
        <v>115</v>
      </c>
      <c r="N1777" t="s">
        <v>116</v>
      </c>
      <c r="O1777" s="3">
        <v>0</v>
      </c>
      <c r="P1777" s="3">
        <v>0</v>
      </c>
      <c r="Q1777" s="3">
        <v>1216.8599999999999</v>
      </c>
      <c r="R1777" s="3">
        <v>158.1918</v>
      </c>
      <c r="S1777" s="3">
        <v>0</v>
      </c>
      <c r="T1777" s="3">
        <v>0</v>
      </c>
      <c r="U1777" s="3">
        <v>1375.0518</v>
      </c>
      <c r="V1777" s="3" t="s">
        <v>8046</v>
      </c>
      <c r="W1777" s="3" t="s">
        <v>1</v>
      </c>
    </row>
    <row r="1778" spans="5:23" hidden="1" x14ac:dyDescent="0.25">
      <c r="E1778" t="s">
        <v>8387</v>
      </c>
      <c r="F1778" s="1" t="s">
        <v>8401</v>
      </c>
      <c r="G1778" t="s">
        <v>1</v>
      </c>
      <c r="H1778" t="s">
        <v>0</v>
      </c>
      <c r="I1778" t="s">
        <v>8165</v>
      </c>
      <c r="J1778" t="s">
        <v>8164</v>
      </c>
      <c r="K1778">
        <v>12517</v>
      </c>
      <c r="L1778">
        <v>12517</v>
      </c>
      <c r="M1778" t="s">
        <v>8404</v>
      </c>
      <c r="N1778" t="s">
        <v>8405</v>
      </c>
      <c r="O1778" s="3">
        <v>0</v>
      </c>
      <c r="P1778" s="3">
        <v>0</v>
      </c>
      <c r="Q1778" s="3">
        <v>5.4</v>
      </c>
      <c r="R1778" s="3">
        <v>0.70200000000000007</v>
      </c>
      <c r="S1778" s="3">
        <v>0</v>
      </c>
      <c r="T1778" s="3">
        <v>0</v>
      </c>
      <c r="U1778" s="3">
        <v>6.1020000000000003</v>
      </c>
      <c r="V1778" s="3" t="s">
        <v>8046</v>
      </c>
      <c r="W1778" s="3" t="s">
        <v>1</v>
      </c>
    </row>
    <row r="1779" spans="5:23" hidden="1" x14ac:dyDescent="0.25">
      <c r="E1779" t="s">
        <v>8387</v>
      </c>
      <c r="F1779" s="1" t="s">
        <v>8401</v>
      </c>
      <c r="G1779" t="s">
        <v>1</v>
      </c>
      <c r="H1779" t="s">
        <v>0</v>
      </c>
      <c r="I1779" t="s">
        <v>8165</v>
      </c>
      <c r="J1779" t="s">
        <v>8164</v>
      </c>
      <c r="K1779">
        <v>12518</v>
      </c>
      <c r="L1779">
        <v>12518</v>
      </c>
      <c r="M1779" t="s">
        <v>1423</v>
      </c>
      <c r="N1779" t="s">
        <v>1424</v>
      </c>
      <c r="O1779" s="3">
        <v>0</v>
      </c>
      <c r="P1779" s="3">
        <v>0</v>
      </c>
      <c r="Q1779" s="3">
        <v>7.5</v>
      </c>
      <c r="R1779" s="3">
        <v>0.97500000000000009</v>
      </c>
      <c r="S1779" s="3">
        <v>0</v>
      </c>
      <c r="T1779" s="3">
        <v>0</v>
      </c>
      <c r="U1779" s="3">
        <v>8.4749999999999996</v>
      </c>
      <c r="V1779" s="3" t="s">
        <v>8046</v>
      </c>
      <c r="W1779" s="3" t="s">
        <v>1</v>
      </c>
    </row>
    <row r="1780" spans="5:23" hidden="1" x14ac:dyDescent="0.25">
      <c r="E1780" t="s">
        <v>8387</v>
      </c>
      <c r="F1780" s="1" t="s">
        <v>8401</v>
      </c>
      <c r="G1780" t="s">
        <v>1</v>
      </c>
      <c r="H1780" t="s">
        <v>0</v>
      </c>
      <c r="I1780" t="s">
        <v>8165</v>
      </c>
      <c r="J1780" t="s">
        <v>8164</v>
      </c>
      <c r="K1780">
        <v>12519</v>
      </c>
      <c r="L1780">
        <v>12519</v>
      </c>
      <c r="M1780" t="s">
        <v>153</v>
      </c>
      <c r="N1780" t="s">
        <v>154</v>
      </c>
      <c r="O1780" s="3">
        <v>0</v>
      </c>
      <c r="P1780" s="3">
        <v>0</v>
      </c>
      <c r="Q1780" s="3">
        <v>201.48</v>
      </c>
      <c r="R1780" s="3">
        <v>26.192399999999999</v>
      </c>
      <c r="S1780" s="3">
        <v>0</v>
      </c>
      <c r="T1780" s="3">
        <v>0</v>
      </c>
      <c r="U1780" s="3">
        <v>227.67239999999998</v>
      </c>
      <c r="V1780" s="3" t="s">
        <v>8046</v>
      </c>
      <c r="W1780" s="3" t="s">
        <v>1</v>
      </c>
    </row>
    <row r="1781" spans="5:23" hidden="1" x14ac:dyDescent="0.25">
      <c r="E1781" t="s">
        <v>8387</v>
      </c>
      <c r="F1781" s="1" t="s">
        <v>8401</v>
      </c>
      <c r="G1781" t="s">
        <v>1</v>
      </c>
      <c r="H1781" t="s">
        <v>0</v>
      </c>
      <c r="I1781" t="s">
        <v>8165</v>
      </c>
      <c r="J1781" t="s">
        <v>8164</v>
      </c>
      <c r="K1781">
        <v>12520</v>
      </c>
      <c r="L1781">
        <v>12520</v>
      </c>
      <c r="M1781" t="s">
        <v>436</v>
      </c>
      <c r="N1781" t="s">
        <v>437</v>
      </c>
      <c r="O1781" s="3">
        <v>0</v>
      </c>
      <c r="P1781" s="3">
        <v>0</v>
      </c>
      <c r="Q1781" s="3">
        <v>117.41</v>
      </c>
      <c r="R1781" s="3">
        <v>15.263299999999999</v>
      </c>
      <c r="S1781" s="3">
        <v>0</v>
      </c>
      <c r="T1781" s="3">
        <v>0</v>
      </c>
      <c r="U1781" s="3">
        <v>132.67329999999998</v>
      </c>
      <c r="V1781" s="3" t="s">
        <v>8046</v>
      </c>
      <c r="W1781" s="3" t="s">
        <v>1</v>
      </c>
    </row>
    <row r="1782" spans="5:23" hidden="1" x14ac:dyDescent="0.25">
      <c r="E1782" t="s">
        <v>8387</v>
      </c>
      <c r="F1782" s="1" t="s">
        <v>8401</v>
      </c>
      <c r="G1782" t="s">
        <v>1</v>
      </c>
      <c r="H1782" t="s">
        <v>0</v>
      </c>
      <c r="I1782" t="s">
        <v>8165</v>
      </c>
      <c r="J1782" t="s">
        <v>8164</v>
      </c>
      <c r="K1782">
        <v>12521</v>
      </c>
      <c r="L1782">
        <v>12521</v>
      </c>
      <c r="M1782" t="s">
        <v>8306</v>
      </c>
      <c r="N1782" t="s">
        <v>8307</v>
      </c>
      <c r="O1782" s="3">
        <v>0</v>
      </c>
      <c r="P1782" s="3">
        <v>0</v>
      </c>
      <c r="Q1782" s="3">
        <v>31.86</v>
      </c>
      <c r="R1782" s="3">
        <v>4.1417999999999999</v>
      </c>
      <c r="S1782" s="3">
        <v>0</v>
      </c>
      <c r="T1782" s="3">
        <v>0</v>
      </c>
      <c r="U1782" s="3">
        <v>36.001800000000003</v>
      </c>
      <c r="V1782" s="3" t="s">
        <v>8046</v>
      </c>
      <c r="W1782" s="3" t="s">
        <v>1</v>
      </c>
    </row>
    <row r="1783" spans="5:23" hidden="1" x14ac:dyDescent="0.25">
      <c r="E1783" t="s">
        <v>8387</v>
      </c>
      <c r="F1783" s="1" t="s">
        <v>8401</v>
      </c>
      <c r="G1783" t="s">
        <v>1</v>
      </c>
      <c r="H1783" t="s">
        <v>0</v>
      </c>
      <c r="I1783" t="s">
        <v>8165</v>
      </c>
      <c r="J1783" t="s">
        <v>8164</v>
      </c>
      <c r="K1783">
        <v>12522</v>
      </c>
      <c r="L1783">
        <v>12522</v>
      </c>
      <c r="M1783" t="s">
        <v>8255</v>
      </c>
      <c r="N1783" t="s">
        <v>8256</v>
      </c>
      <c r="O1783" s="3">
        <v>0</v>
      </c>
      <c r="P1783" s="3">
        <v>0</v>
      </c>
      <c r="Q1783" s="3">
        <v>276</v>
      </c>
      <c r="R1783" s="3">
        <v>35.880000000000003</v>
      </c>
      <c r="S1783" s="3">
        <v>0</v>
      </c>
      <c r="T1783" s="3">
        <v>0</v>
      </c>
      <c r="U1783" s="3">
        <v>311.88</v>
      </c>
      <c r="V1783" s="3" t="s">
        <v>8046</v>
      </c>
      <c r="W1783" s="3" t="s">
        <v>1</v>
      </c>
    </row>
    <row r="1784" spans="5:23" hidden="1" x14ac:dyDescent="0.25">
      <c r="E1784" t="s">
        <v>8387</v>
      </c>
      <c r="F1784" s="1" t="s">
        <v>8401</v>
      </c>
      <c r="G1784" t="s">
        <v>1</v>
      </c>
      <c r="H1784" t="s">
        <v>0</v>
      </c>
      <c r="I1784" t="s">
        <v>8165</v>
      </c>
      <c r="J1784" t="s">
        <v>8164</v>
      </c>
      <c r="K1784">
        <v>12523</v>
      </c>
      <c r="L1784">
        <v>12523</v>
      </c>
      <c r="M1784" t="s">
        <v>8402</v>
      </c>
      <c r="N1784" t="s">
        <v>8403</v>
      </c>
      <c r="O1784" s="3">
        <v>0</v>
      </c>
      <c r="P1784" s="3">
        <v>0</v>
      </c>
      <c r="Q1784" s="3">
        <v>153.75</v>
      </c>
      <c r="R1784" s="3">
        <v>19.987500000000001</v>
      </c>
      <c r="S1784" s="3">
        <v>0</v>
      </c>
      <c r="T1784" s="3">
        <v>0</v>
      </c>
      <c r="U1784" s="3">
        <v>173.73750000000001</v>
      </c>
      <c r="V1784" s="3" t="s">
        <v>8046</v>
      </c>
      <c r="W1784" s="3" t="s">
        <v>1</v>
      </c>
    </row>
    <row r="1785" spans="5:23" hidden="1" x14ac:dyDescent="0.25">
      <c r="E1785" t="s">
        <v>8387</v>
      </c>
      <c r="F1785" s="1" t="s">
        <v>8398</v>
      </c>
      <c r="G1785" t="s">
        <v>1</v>
      </c>
      <c r="H1785" t="s">
        <v>0</v>
      </c>
      <c r="I1785" t="s">
        <v>8165</v>
      </c>
      <c r="J1785" t="s">
        <v>8164</v>
      </c>
      <c r="K1785">
        <v>12524</v>
      </c>
      <c r="L1785">
        <v>12524</v>
      </c>
      <c r="M1785" t="s">
        <v>8224</v>
      </c>
      <c r="N1785" t="s">
        <v>8225</v>
      </c>
      <c r="O1785" s="3">
        <v>0</v>
      </c>
      <c r="P1785" s="3">
        <v>0</v>
      </c>
      <c r="Q1785" s="3">
        <v>120</v>
      </c>
      <c r="R1785" s="3">
        <v>15.600000000000001</v>
      </c>
      <c r="S1785" s="3">
        <v>0</v>
      </c>
      <c r="T1785" s="3">
        <v>0</v>
      </c>
      <c r="U1785" s="3">
        <v>135.6</v>
      </c>
      <c r="V1785" s="3" t="s">
        <v>8046</v>
      </c>
      <c r="W1785" s="3" t="s">
        <v>1</v>
      </c>
    </row>
    <row r="1786" spans="5:23" hidden="1" x14ac:dyDescent="0.25">
      <c r="E1786" t="s">
        <v>8387</v>
      </c>
      <c r="F1786" s="1" t="s">
        <v>8398</v>
      </c>
      <c r="G1786" t="s">
        <v>1</v>
      </c>
      <c r="H1786" t="s">
        <v>0</v>
      </c>
      <c r="I1786" t="s">
        <v>8165</v>
      </c>
      <c r="J1786" t="s">
        <v>8164</v>
      </c>
      <c r="K1786">
        <v>12525</v>
      </c>
      <c r="L1786">
        <v>12525</v>
      </c>
      <c r="M1786" t="s">
        <v>8243</v>
      </c>
      <c r="N1786" t="s">
        <v>8244</v>
      </c>
      <c r="O1786" s="3">
        <v>0</v>
      </c>
      <c r="P1786" s="3">
        <v>0</v>
      </c>
      <c r="Q1786" s="3">
        <v>37.69</v>
      </c>
      <c r="R1786" s="3">
        <v>4.8997000000000002</v>
      </c>
      <c r="S1786" s="3">
        <v>0</v>
      </c>
      <c r="T1786" s="3">
        <v>0</v>
      </c>
      <c r="U1786" s="3">
        <v>42.589700000000001</v>
      </c>
      <c r="V1786" s="3" t="s">
        <v>8046</v>
      </c>
      <c r="W1786" s="3" t="s">
        <v>1</v>
      </c>
    </row>
    <row r="1787" spans="5:23" hidden="1" x14ac:dyDescent="0.25">
      <c r="E1787" t="s">
        <v>8387</v>
      </c>
      <c r="F1787" s="1" t="s">
        <v>8398</v>
      </c>
      <c r="G1787" t="s">
        <v>1</v>
      </c>
      <c r="H1787" t="s">
        <v>0</v>
      </c>
      <c r="I1787" t="s">
        <v>8165</v>
      </c>
      <c r="J1787" t="s">
        <v>8164</v>
      </c>
      <c r="K1787">
        <v>12526</v>
      </c>
      <c r="L1787">
        <v>12526</v>
      </c>
      <c r="M1787" t="s">
        <v>8166</v>
      </c>
      <c r="N1787" t="s">
        <v>8167</v>
      </c>
      <c r="O1787" s="3">
        <v>0</v>
      </c>
      <c r="P1787" s="3">
        <v>0</v>
      </c>
      <c r="Q1787" s="3">
        <v>29</v>
      </c>
      <c r="R1787" s="3">
        <v>3.77</v>
      </c>
      <c r="S1787" s="3">
        <v>0</v>
      </c>
      <c r="T1787" s="3">
        <v>0</v>
      </c>
      <c r="U1787" s="3">
        <v>32.770000000000003</v>
      </c>
      <c r="V1787" s="3" t="s">
        <v>8046</v>
      </c>
      <c r="W1787" s="3" t="s">
        <v>1</v>
      </c>
    </row>
    <row r="1788" spans="5:23" hidden="1" x14ac:dyDescent="0.25">
      <c r="E1788" t="s">
        <v>8387</v>
      </c>
      <c r="F1788" s="1" t="s">
        <v>8398</v>
      </c>
      <c r="G1788" t="s">
        <v>1</v>
      </c>
      <c r="H1788" t="s">
        <v>0</v>
      </c>
      <c r="I1788" t="s">
        <v>8165</v>
      </c>
      <c r="J1788" t="s">
        <v>8164</v>
      </c>
      <c r="K1788">
        <v>12527</v>
      </c>
      <c r="L1788">
        <v>12527</v>
      </c>
      <c r="M1788" t="s">
        <v>8166</v>
      </c>
      <c r="N1788" t="s">
        <v>8167</v>
      </c>
      <c r="O1788" s="3">
        <v>0</v>
      </c>
      <c r="P1788" s="3">
        <v>0</v>
      </c>
      <c r="Q1788" s="3">
        <v>501.21</v>
      </c>
      <c r="R1788" s="3">
        <v>65.157300000000006</v>
      </c>
      <c r="S1788" s="3">
        <v>0</v>
      </c>
      <c r="T1788" s="3">
        <v>0</v>
      </c>
      <c r="U1788" s="3">
        <v>566.3673</v>
      </c>
      <c r="V1788" s="3" t="s">
        <v>8046</v>
      </c>
      <c r="W1788" s="3" t="s">
        <v>1</v>
      </c>
    </row>
    <row r="1789" spans="5:23" hidden="1" x14ac:dyDescent="0.25">
      <c r="E1789" t="s">
        <v>8387</v>
      </c>
      <c r="F1789" s="1" t="s">
        <v>8398</v>
      </c>
      <c r="G1789" t="s">
        <v>1</v>
      </c>
      <c r="H1789" t="s">
        <v>0</v>
      </c>
      <c r="I1789" t="s">
        <v>8165</v>
      </c>
      <c r="J1789" t="s">
        <v>8164</v>
      </c>
      <c r="K1789">
        <v>12528</v>
      </c>
      <c r="L1789">
        <v>12528</v>
      </c>
      <c r="M1789" t="s">
        <v>8166</v>
      </c>
      <c r="N1789" t="s">
        <v>8167</v>
      </c>
      <c r="O1789" s="3">
        <v>0</v>
      </c>
      <c r="P1789" s="3">
        <v>0</v>
      </c>
      <c r="Q1789" s="3">
        <v>244.63</v>
      </c>
      <c r="R1789" s="3">
        <v>31.8019</v>
      </c>
      <c r="S1789" s="3">
        <v>0</v>
      </c>
      <c r="T1789" s="3">
        <v>0</v>
      </c>
      <c r="U1789" s="3">
        <v>276.43189999999998</v>
      </c>
      <c r="V1789" s="3" t="s">
        <v>8046</v>
      </c>
      <c r="W1789" s="3" t="s">
        <v>1</v>
      </c>
    </row>
    <row r="1790" spans="5:23" hidden="1" x14ac:dyDescent="0.25">
      <c r="E1790" t="s">
        <v>8387</v>
      </c>
      <c r="F1790" s="1" t="s">
        <v>8398</v>
      </c>
      <c r="G1790" t="s">
        <v>1</v>
      </c>
      <c r="H1790" t="s">
        <v>0</v>
      </c>
      <c r="I1790" t="s">
        <v>8165</v>
      </c>
      <c r="J1790" t="s">
        <v>8164</v>
      </c>
      <c r="K1790">
        <v>12529</v>
      </c>
      <c r="L1790">
        <v>12529</v>
      </c>
      <c r="M1790" t="s">
        <v>8166</v>
      </c>
      <c r="N1790" t="s">
        <v>8167</v>
      </c>
      <c r="O1790" s="3">
        <v>0</v>
      </c>
      <c r="P1790" s="3">
        <v>0</v>
      </c>
      <c r="Q1790" s="3">
        <v>72.33</v>
      </c>
      <c r="R1790" s="3">
        <v>9.4029000000000007</v>
      </c>
      <c r="S1790" s="3">
        <v>0</v>
      </c>
      <c r="T1790" s="3">
        <v>0</v>
      </c>
      <c r="U1790" s="3">
        <v>81.732900000000001</v>
      </c>
      <c r="V1790" s="3" t="s">
        <v>8046</v>
      </c>
      <c r="W1790" s="3" t="s">
        <v>1</v>
      </c>
    </row>
    <row r="1791" spans="5:23" hidden="1" x14ac:dyDescent="0.25">
      <c r="E1791" t="s">
        <v>8387</v>
      </c>
      <c r="F1791" s="1" t="s">
        <v>8398</v>
      </c>
      <c r="G1791" t="s">
        <v>1</v>
      </c>
      <c r="H1791" t="s">
        <v>0</v>
      </c>
      <c r="I1791" t="s">
        <v>8165</v>
      </c>
      <c r="J1791" t="s">
        <v>8164</v>
      </c>
      <c r="K1791">
        <v>12530</v>
      </c>
      <c r="L1791">
        <v>12530</v>
      </c>
      <c r="M1791" t="s">
        <v>734</v>
      </c>
      <c r="N1791" t="s">
        <v>735</v>
      </c>
      <c r="O1791" s="3">
        <v>0</v>
      </c>
      <c r="P1791" s="3">
        <v>0</v>
      </c>
      <c r="Q1791" s="3">
        <v>496.98</v>
      </c>
      <c r="R1791" s="3">
        <v>64.607399999999998</v>
      </c>
      <c r="S1791" s="3">
        <v>0</v>
      </c>
      <c r="T1791" s="3">
        <v>0</v>
      </c>
      <c r="U1791" s="3">
        <v>561.5874</v>
      </c>
      <c r="V1791" s="3" t="s">
        <v>8046</v>
      </c>
      <c r="W1791" s="3" t="s">
        <v>1</v>
      </c>
    </row>
    <row r="1792" spans="5:23" hidden="1" x14ac:dyDescent="0.25">
      <c r="E1792" t="s">
        <v>8387</v>
      </c>
      <c r="F1792" s="1" t="s">
        <v>8398</v>
      </c>
      <c r="G1792" t="s">
        <v>1</v>
      </c>
      <c r="H1792" t="s">
        <v>0</v>
      </c>
      <c r="I1792" t="s">
        <v>8165</v>
      </c>
      <c r="J1792" t="s">
        <v>8164</v>
      </c>
      <c r="K1792">
        <v>12531</v>
      </c>
      <c r="L1792">
        <v>12531</v>
      </c>
      <c r="M1792" t="s">
        <v>8213</v>
      </c>
      <c r="N1792" t="s">
        <v>8181</v>
      </c>
      <c r="O1792" s="3">
        <v>0</v>
      </c>
      <c r="P1792" s="3">
        <v>0</v>
      </c>
      <c r="Q1792" s="3">
        <v>32.799999999999997</v>
      </c>
      <c r="R1792" s="3">
        <v>4.2639999999999993</v>
      </c>
      <c r="S1792" s="3">
        <v>0</v>
      </c>
      <c r="T1792" s="3">
        <v>0</v>
      </c>
      <c r="U1792" s="3">
        <v>37.063999999999993</v>
      </c>
      <c r="V1792" s="3" t="s">
        <v>8046</v>
      </c>
      <c r="W1792" s="3" t="s">
        <v>1</v>
      </c>
    </row>
    <row r="1793" spans="5:23" hidden="1" x14ac:dyDescent="0.25">
      <c r="E1793" t="s">
        <v>8387</v>
      </c>
      <c r="F1793" s="1" t="s">
        <v>8398</v>
      </c>
      <c r="G1793" t="s">
        <v>1</v>
      </c>
      <c r="H1793" t="s">
        <v>0</v>
      </c>
      <c r="I1793" t="s">
        <v>8165</v>
      </c>
      <c r="J1793" t="s">
        <v>8164</v>
      </c>
      <c r="K1793">
        <v>12532</v>
      </c>
      <c r="L1793">
        <v>12532</v>
      </c>
      <c r="M1793" t="s">
        <v>8160</v>
      </c>
      <c r="N1793" t="s">
        <v>8161</v>
      </c>
      <c r="O1793" s="3">
        <v>0</v>
      </c>
      <c r="P1793" s="3">
        <v>0</v>
      </c>
      <c r="Q1793" s="3">
        <v>65</v>
      </c>
      <c r="R1793" s="3">
        <v>8.4500000000000011</v>
      </c>
      <c r="S1793" s="3">
        <v>0</v>
      </c>
      <c r="T1793" s="3">
        <v>0</v>
      </c>
      <c r="U1793" s="3">
        <v>73.45</v>
      </c>
      <c r="V1793" s="3" t="s">
        <v>8046</v>
      </c>
      <c r="W1793" s="3" t="s">
        <v>1</v>
      </c>
    </row>
    <row r="1794" spans="5:23" hidden="1" x14ac:dyDescent="0.25">
      <c r="E1794" t="s">
        <v>8387</v>
      </c>
      <c r="F1794" s="1" t="s">
        <v>8398</v>
      </c>
      <c r="G1794" t="s">
        <v>1</v>
      </c>
      <c r="H1794" t="s">
        <v>0</v>
      </c>
      <c r="I1794" t="s">
        <v>8165</v>
      </c>
      <c r="J1794" t="s">
        <v>8164</v>
      </c>
      <c r="K1794">
        <v>12533</v>
      </c>
      <c r="L1794">
        <v>12533</v>
      </c>
      <c r="M1794" t="s">
        <v>8281</v>
      </c>
      <c r="N1794" t="s">
        <v>8282</v>
      </c>
      <c r="O1794" s="3">
        <v>0</v>
      </c>
      <c r="P1794" s="3">
        <v>0</v>
      </c>
      <c r="Q1794" s="3">
        <v>97.8</v>
      </c>
      <c r="R1794" s="3">
        <v>12.714</v>
      </c>
      <c r="S1794" s="3">
        <v>0</v>
      </c>
      <c r="T1794" s="3">
        <v>0</v>
      </c>
      <c r="U1794" s="3">
        <v>110.514</v>
      </c>
      <c r="V1794" s="3" t="s">
        <v>8046</v>
      </c>
      <c r="W1794" s="3" t="s">
        <v>1</v>
      </c>
    </row>
    <row r="1795" spans="5:23" hidden="1" x14ac:dyDescent="0.25">
      <c r="E1795" t="s">
        <v>8387</v>
      </c>
      <c r="F1795" s="1" t="s">
        <v>8398</v>
      </c>
      <c r="G1795" t="s">
        <v>1</v>
      </c>
      <c r="H1795" t="s">
        <v>0</v>
      </c>
      <c r="I1795" t="s">
        <v>8165</v>
      </c>
      <c r="J1795" t="s">
        <v>8164</v>
      </c>
      <c r="K1795">
        <v>12534</v>
      </c>
      <c r="L1795">
        <v>12534</v>
      </c>
      <c r="M1795" t="s">
        <v>8399</v>
      </c>
      <c r="N1795" t="s">
        <v>8400</v>
      </c>
      <c r="O1795" s="3">
        <v>0</v>
      </c>
      <c r="P1795" s="3">
        <v>0</v>
      </c>
      <c r="Q1795" s="3">
        <v>75</v>
      </c>
      <c r="R1795" s="3">
        <v>9.75</v>
      </c>
      <c r="S1795" s="3">
        <v>0</v>
      </c>
      <c r="T1795" s="3">
        <v>0</v>
      </c>
      <c r="U1795" s="3">
        <v>84.75</v>
      </c>
      <c r="V1795" s="3" t="s">
        <v>8046</v>
      </c>
      <c r="W1795" s="3" t="s">
        <v>1</v>
      </c>
    </row>
    <row r="1796" spans="5:23" hidden="1" x14ac:dyDescent="0.25">
      <c r="E1796" t="s">
        <v>8387</v>
      </c>
      <c r="F1796" s="1" t="s">
        <v>8398</v>
      </c>
      <c r="G1796" t="s">
        <v>1</v>
      </c>
      <c r="H1796" t="s">
        <v>0</v>
      </c>
      <c r="I1796" t="s">
        <v>8165</v>
      </c>
      <c r="J1796" t="s">
        <v>8164</v>
      </c>
      <c r="K1796">
        <v>12535</v>
      </c>
      <c r="L1796">
        <v>12535</v>
      </c>
      <c r="M1796" t="s">
        <v>7852</v>
      </c>
      <c r="N1796" t="s">
        <v>7851</v>
      </c>
      <c r="O1796" s="3">
        <v>0</v>
      </c>
      <c r="P1796" s="3">
        <v>0</v>
      </c>
      <c r="Q1796" s="3">
        <v>0</v>
      </c>
      <c r="R1796" s="3">
        <v>0</v>
      </c>
      <c r="S1796" s="3">
        <v>0</v>
      </c>
      <c r="T1796" s="3">
        <v>0</v>
      </c>
      <c r="U1796" s="3">
        <v>0</v>
      </c>
      <c r="V1796" s="3" t="s">
        <v>8046</v>
      </c>
      <c r="W1796" s="3" t="s">
        <v>1</v>
      </c>
    </row>
    <row r="1797" spans="5:23" hidden="1" x14ac:dyDescent="0.25">
      <c r="E1797" t="s">
        <v>8387</v>
      </c>
      <c r="F1797" s="1" t="s">
        <v>8395</v>
      </c>
      <c r="G1797" t="s">
        <v>1</v>
      </c>
      <c r="H1797" t="s">
        <v>0</v>
      </c>
      <c r="I1797" t="s">
        <v>8165</v>
      </c>
      <c r="J1797" t="s">
        <v>8164</v>
      </c>
      <c r="K1797">
        <v>12536</v>
      </c>
      <c r="L1797">
        <v>12536</v>
      </c>
      <c r="M1797" t="s">
        <v>1273</v>
      </c>
      <c r="N1797" t="s">
        <v>1274</v>
      </c>
      <c r="O1797" s="3">
        <v>0</v>
      </c>
      <c r="P1797" s="3">
        <v>0</v>
      </c>
      <c r="Q1797" s="3">
        <v>427.44</v>
      </c>
      <c r="R1797" s="3">
        <v>55.5672</v>
      </c>
      <c r="S1797" s="3">
        <v>0</v>
      </c>
      <c r="T1797" s="3">
        <v>0</v>
      </c>
      <c r="U1797" s="3">
        <v>483.00720000000001</v>
      </c>
      <c r="V1797" s="3" t="s">
        <v>8046</v>
      </c>
      <c r="W1797" s="3" t="s">
        <v>1</v>
      </c>
    </row>
    <row r="1798" spans="5:23" hidden="1" x14ac:dyDescent="0.25">
      <c r="E1798" t="s">
        <v>8387</v>
      </c>
      <c r="F1798" s="1" t="s">
        <v>8395</v>
      </c>
      <c r="G1798" t="s">
        <v>1</v>
      </c>
      <c r="H1798" t="s">
        <v>0</v>
      </c>
      <c r="I1798" t="s">
        <v>8165</v>
      </c>
      <c r="J1798" t="s">
        <v>8164</v>
      </c>
      <c r="K1798">
        <v>12537</v>
      </c>
      <c r="L1798">
        <v>12537</v>
      </c>
      <c r="M1798" t="s">
        <v>8396</v>
      </c>
      <c r="N1798" t="s">
        <v>8397</v>
      </c>
      <c r="O1798" s="3">
        <v>0</v>
      </c>
      <c r="P1798" s="3">
        <v>0</v>
      </c>
      <c r="Q1798" s="3">
        <v>195</v>
      </c>
      <c r="R1798" s="3">
        <v>25.35</v>
      </c>
      <c r="S1798" s="3">
        <v>0</v>
      </c>
      <c r="T1798" s="3">
        <v>0</v>
      </c>
      <c r="U1798" s="3">
        <v>220.35</v>
      </c>
      <c r="V1798" s="3" t="s">
        <v>8046</v>
      </c>
      <c r="W1798" s="3" t="s">
        <v>1</v>
      </c>
    </row>
    <row r="1799" spans="5:23" hidden="1" x14ac:dyDescent="0.25">
      <c r="E1799" t="s">
        <v>8387</v>
      </c>
      <c r="F1799" s="1" t="s">
        <v>8395</v>
      </c>
      <c r="G1799" t="s">
        <v>1</v>
      </c>
      <c r="H1799" t="s">
        <v>0</v>
      </c>
      <c r="I1799" t="s">
        <v>8165</v>
      </c>
      <c r="J1799" t="s">
        <v>8164</v>
      </c>
      <c r="K1799">
        <v>12538</v>
      </c>
      <c r="L1799">
        <v>12538</v>
      </c>
      <c r="M1799" t="s">
        <v>164</v>
      </c>
      <c r="N1799" t="s">
        <v>165</v>
      </c>
      <c r="O1799" s="3">
        <v>0</v>
      </c>
      <c r="P1799" s="3">
        <v>0</v>
      </c>
      <c r="Q1799" s="3">
        <v>67.5</v>
      </c>
      <c r="R1799" s="3">
        <v>8.7750000000000004</v>
      </c>
      <c r="S1799" s="3">
        <v>0</v>
      </c>
      <c r="T1799" s="3">
        <v>0</v>
      </c>
      <c r="U1799" s="3">
        <v>76.275000000000006</v>
      </c>
      <c r="V1799" s="3" t="s">
        <v>8046</v>
      </c>
      <c r="W1799" s="3" t="s">
        <v>1</v>
      </c>
    </row>
    <row r="1800" spans="5:23" hidden="1" x14ac:dyDescent="0.25">
      <c r="E1800" t="s">
        <v>8387</v>
      </c>
      <c r="F1800" s="1" t="s">
        <v>8395</v>
      </c>
      <c r="G1800" t="s">
        <v>1</v>
      </c>
      <c r="H1800" t="s">
        <v>0</v>
      </c>
      <c r="I1800" t="s">
        <v>8165</v>
      </c>
      <c r="J1800" t="s">
        <v>8164</v>
      </c>
      <c r="K1800">
        <v>12539</v>
      </c>
      <c r="L1800">
        <v>12539</v>
      </c>
      <c r="M1800" t="s">
        <v>8213</v>
      </c>
      <c r="N1800" t="s">
        <v>8181</v>
      </c>
      <c r="O1800" s="3">
        <v>0</v>
      </c>
      <c r="P1800" s="3">
        <v>0</v>
      </c>
      <c r="Q1800" s="3">
        <v>16.399999999999999</v>
      </c>
      <c r="R1800" s="3">
        <v>2.1319999999999997</v>
      </c>
      <c r="S1800" s="3">
        <v>0</v>
      </c>
      <c r="T1800" s="3">
        <v>0</v>
      </c>
      <c r="U1800" s="3">
        <v>18.531999999999996</v>
      </c>
      <c r="V1800" s="3" t="s">
        <v>8046</v>
      </c>
      <c r="W1800" s="3" t="s">
        <v>1</v>
      </c>
    </row>
    <row r="1801" spans="5:23" hidden="1" x14ac:dyDescent="0.25">
      <c r="E1801" t="s">
        <v>8387</v>
      </c>
      <c r="F1801" s="1" t="s">
        <v>8390</v>
      </c>
      <c r="G1801" t="s">
        <v>1</v>
      </c>
      <c r="H1801" t="s">
        <v>0</v>
      </c>
      <c r="I1801" t="s">
        <v>8165</v>
      </c>
      <c r="J1801" t="s">
        <v>8164</v>
      </c>
      <c r="K1801">
        <v>12540</v>
      </c>
      <c r="L1801">
        <v>12540</v>
      </c>
      <c r="M1801" t="s">
        <v>730</v>
      </c>
      <c r="N1801" t="s">
        <v>731</v>
      </c>
      <c r="O1801" s="3">
        <v>0</v>
      </c>
      <c r="P1801" s="3">
        <v>0</v>
      </c>
      <c r="Q1801" s="3">
        <v>130.9</v>
      </c>
      <c r="R1801" s="3">
        <v>17.017000000000003</v>
      </c>
      <c r="S1801" s="3">
        <v>0</v>
      </c>
      <c r="T1801" s="3">
        <v>0</v>
      </c>
      <c r="U1801" s="3">
        <v>147.917</v>
      </c>
      <c r="V1801" s="3" t="s">
        <v>8046</v>
      </c>
      <c r="W1801" s="3" t="s">
        <v>1</v>
      </c>
    </row>
    <row r="1802" spans="5:23" hidden="1" x14ac:dyDescent="0.25">
      <c r="E1802" t="s">
        <v>8387</v>
      </c>
      <c r="F1802" s="1" t="s">
        <v>8390</v>
      </c>
      <c r="G1802" t="s">
        <v>1</v>
      </c>
      <c r="H1802" t="s">
        <v>0</v>
      </c>
      <c r="I1802" t="s">
        <v>8165</v>
      </c>
      <c r="J1802" t="s">
        <v>8164</v>
      </c>
      <c r="K1802">
        <v>12541</v>
      </c>
      <c r="L1802">
        <v>12541</v>
      </c>
      <c r="M1802" t="s">
        <v>238</v>
      </c>
      <c r="N1802" t="s">
        <v>239</v>
      </c>
      <c r="O1802" s="3">
        <v>0</v>
      </c>
      <c r="P1802" s="3">
        <v>0</v>
      </c>
      <c r="Q1802" s="3">
        <v>307.36</v>
      </c>
      <c r="R1802" s="3">
        <v>39.956800000000001</v>
      </c>
      <c r="S1802" s="3">
        <v>0</v>
      </c>
      <c r="T1802" s="3">
        <v>0</v>
      </c>
      <c r="U1802" s="3">
        <v>347.3168</v>
      </c>
      <c r="V1802" s="3" t="s">
        <v>8046</v>
      </c>
      <c r="W1802" s="3" t="s">
        <v>1</v>
      </c>
    </row>
    <row r="1803" spans="5:23" hidden="1" x14ac:dyDescent="0.25">
      <c r="E1803" t="s">
        <v>8387</v>
      </c>
      <c r="F1803" s="1" t="s">
        <v>8390</v>
      </c>
      <c r="G1803" t="s">
        <v>1</v>
      </c>
      <c r="H1803" t="s">
        <v>0</v>
      </c>
      <c r="I1803" t="s">
        <v>8165</v>
      </c>
      <c r="J1803" t="s">
        <v>8164</v>
      </c>
      <c r="K1803">
        <v>12542</v>
      </c>
      <c r="L1803">
        <v>12542</v>
      </c>
      <c r="M1803" t="s">
        <v>1062</v>
      </c>
      <c r="N1803" t="s">
        <v>1063</v>
      </c>
      <c r="O1803" s="3">
        <v>0</v>
      </c>
      <c r="P1803" s="3">
        <v>0</v>
      </c>
      <c r="Q1803" s="3">
        <v>78.2</v>
      </c>
      <c r="R1803" s="3">
        <v>10.166</v>
      </c>
      <c r="S1803" s="3">
        <v>0</v>
      </c>
      <c r="T1803" s="3">
        <v>0</v>
      </c>
      <c r="U1803" s="3">
        <v>88.366</v>
      </c>
      <c r="V1803" s="3" t="s">
        <v>8046</v>
      </c>
      <c r="W1803" s="3" t="s">
        <v>1</v>
      </c>
    </row>
    <row r="1804" spans="5:23" hidden="1" x14ac:dyDescent="0.25">
      <c r="E1804" t="s">
        <v>8387</v>
      </c>
      <c r="F1804" s="1" t="s">
        <v>8390</v>
      </c>
      <c r="G1804" t="s">
        <v>1</v>
      </c>
      <c r="H1804" t="s">
        <v>0</v>
      </c>
      <c r="I1804" t="s">
        <v>8165</v>
      </c>
      <c r="J1804" t="s">
        <v>8164</v>
      </c>
      <c r="K1804">
        <v>12543</v>
      </c>
      <c r="L1804">
        <v>12543</v>
      </c>
      <c r="M1804" t="s">
        <v>8243</v>
      </c>
      <c r="N1804" t="s">
        <v>8244</v>
      </c>
      <c r="O1804" s="3">
        <v>0</v>
      </c>
      <c r="P1804" s="3">
        <v>0</v>
      </c>
      <c r="Q1804" s="3">
        <v>213.01</v>
      </c>
      <c r="R1804" s="3">
        <v>27.691299999999998</v>
      </c>
      <c r="S1804" s="3">
        <v>0</v>
      </c>
      <c r="T1804" s="3">
        <v>0</v>
      </c>
      <c r="U1804" s="3">
        <v>240.7013</v>
      </c>
      <c r="V1804" s="3" t="s">
        <v>8046</v>
      </c>
      <c r="W1804" s="3" t="s">
        <v>1</v>
      </c>
    </row>
    <row r="1805" spans="5:23" hidden="1" x14ac:dyDescent="0.25">
      <c r="E1805" t="s">
        <v>8387</v>
      </c>
      <c r="F1805" s="1" t="s">
        <v>8390</v>
      </c>
      <c r="G1805" t="s">
        <v>1</v>
      </c>
      <c r="H1805" t="s">
        <v>0</v>
      </c>
      <c r="I1805" t="s">
        <v>8165</v>
      </c>
      <c r="J1805" t="s">
        <v>8164</v>
      </c>
      <c r="K1805">
        <v>12544</v>
      </c>
      <c r="L1805">
        <v>12544</v>
      </c>
      <c r="M1805" t="s">
        <v>8393</v>
      </c>
      <c r="N1805" t="s">
        <v>8394</v>
      </c>
      <c r="O1805" s="3">
        <v>0</v>
      </c>
      <c r="P1805" s="3">
        <v>0</v>
      </c>
      <c r="Q1805" s="3">
        <v>148.68</v>
      </c>
      <c r="R1805" s="3">
        <v>19.328400000000002</v>
      </c>
      <c r="S1805" s="3">
        <v>0</v>
      </c>
      <c r="T1805" s="3">
        <v>0</v>
      </c>
      <c r="U1805" s="3">
        <v>168.00839999999999</v>
      </c>
      <c r="V1805" s="3" t="s">
        <v>8046</v>
      </c>
      <c r="W1805" s="3" t="s">
        <v>1</v>
      </c>
    </row>
    <row r="1806" spans="5:23" hidden="1" x14ac:dyDescent="0.25">
      <c r="E1806" t="s">
        <v>8387</v>
      </c>
      <c r="F1806" s="1" t="s">
        <v>8390</v>
      </c>
      <c r="G1806" t="s">
        <v>1</v>
      </c>
      <c r="H1806" t="s">
        <v>0</v>
      </c>
      <c r="I1806" t="s">
        <v>8165</v>
      </c>
      <c r="J1806" t="s">
        <v>8164</v>
      </c>
      <c r="K1806">
        <v>12545</v>
      </c>
      <c r="L1806">
        <v>12545</v>
      </c>
      <c r="M1806" t="s">
        <v>164</v>
      </c>
      <c r="N1806" t="s">
        <v>165</v>
      </c>
      <c r="O1806" s="3">
        <v>0</v>
      </c>
      <c r="P1806" s="3">
        <v>0</v>
      </c>
      <c r="Q1806" s="3">
        <v>27.22</v>
      </c>
      <c r="R1806" s="3">
        <v>3.5386000000000002</v>
      </c>
      <c r="S1806" s="3">
        <v>0</v>
      </c>
      <c r="T1806" s="3">
        <v>0</v>
      </c>
      <c r="U1806" s="3">
        <v>30.758599999999998</v>
      </c>
      <c r="V1806" s="3" t="s">
        <v>8046</v>
      </c>
      <c r="W1806" s="3" t="s">
        <v>1</v>
      </c>
    </row>
    <row r="1807" spans="5:23" hidden="1" x14ac:dyDescent="0.25">
      <c r="E1807" t="s">
        <v>8387</v>
      </c>
      <c r="F1807" s="1" t="s">
        <v>8390</v>
      </c>
      <c r="G1807" t="s">
        <v>1</v>
      </c>
      <c r="H1807" t="s">
        <v>0</v>
      </c>
      <c r="I1807" t="s">
        <v>8165</v>
      </c>
      <c r="J1807" t="s">
        <v>8164</v>
      </c>
      <c r="K1807">
        <v>12546</v>
      </c>
      <c r="L1807">
        <v>12546</v>
      </c>
      <c r="M1807" t="s">
        <v>1423</v>
      </c>
      <c r="N1807" t="s">
        <v>1424</v>
      </c>
      <c r="O1807" s="3">
        <v>0</v>
      </c>
      <c r="P1807" s="3">
        <v>0</v>
      </c>
      <c r="Q1807" s="3">
        <v>156.6</v>
      </c>
      <c r="R1807" s="3">
        <v>20.358000000000001</v>
      </c>
      <c r="S1807" s="3">
        <v>0</v>
      </c>
      <c r="T1807" s="3">
        <v>0</v>
      </c>
      <c r="U1807" s="3">
        <v>176.958</v>
      </c>
      <c r="V1807" s="3" t="s">
        <v>8046</v>
      </c>
      <c r="W1807" s="3" t="s">
        <v>1</v>
      </c>
    </row>
    <row r="1808" spans="5:23" hidden="1" x14ac:dyDescent="0.25">
      <c r="E1808" t="s">
        <v>8387</v>
      </c>
      <c r="F1808" s="1" t="s">
        <v>8390</v>
      </c>
      <c r="G1808" t="s">
        <v>1</v>
      </c>
      <c r="H1808" t="s">
        <v>0</v>
      </c>
      <c r="I1808" t="s">
        <v>8165</v>
      </c>
      <c r="J1808" t="s">
        <v>8164</v>
      </c>
      <c r="K1808">
        <v>12547</v>
      </c>
      <c r="L1808">
        <v>12547</v>
      </c>
      <c r="M1808" t="s">
        <v>1062</v>
      </c>
      <c r="N1808" t="s">
        <v>1063</v>
      </c>
      <c r="O1808" s="3">
        <v>0</v>
      </c>
      <c r="P1808" s="3">
        <v>0</v>
      </c>
      <c r="Q1808" s="3">
        <v>85.8</v>
      </c>
      <c r="R1808" s="3">
        <v>11.154</v>
      </c>
      <c r="S1808" s="3">
        <v>0</v>
      </c>
      <c r="T1808" s="3">
        <v>0</v>
      </c>
      <c r="U1808" s="3">
        <v>96.953999999999994</v>
      </c>
      <c r="V1808" s="3" t="s">
        <v>8046</v>
      </c>
      <c r="W1808" s="3" t="s">
        <v>1</v>
      </c>
    </row>
    <row r="1809" spans="5:23" hidden="1" x14ac:dyDescent="0.25">
      <c r="E1809" t="s">
        <v>8387</v>
      </c>
      <c r="F1809" s="1" t="s">
        <v>8390</v>
      </c>
      <c r="G1809" t="s">
        <v>1</v>
      </c>
      <c r="H1809" t="s">
        <v>0</v>
      </c>
      <c r="I1809" t="s">
        <v>8165</v>
      </c>
      <c r="J1809" t="s">
        <v>8164</v>
      </c>
      <c r="K1809">
        <v>12548</v>
      </c>
      <c r="L1809">
        <v>12548</v>
      </c>
      <c r="M1809" t="s">
        <v>8114</v>
      </c>
      <c r="N1809" t="s">
        <v>8115</v>
      </c>
      <c r="O1809" s="3">
        <v>0</v>
      </c>
      <c r="P1809" s="3">
        <v>0</v>
      </c>
      <c r="Q1809" s="3">
        <v>178.64</v>
      </c>
      <c r="R1809" s="3">
        <v>23.223199999999999</v>
      </c>
      <c r="S1809" s="3">
        <v>0</v>
      </c>
      <c r="T1809" s="3">
        <v>0</v>
      </c>
      <c r="U1809" s="3">
        <v>201.86319999999998</v>
      </c>
      <c r="V1809" s="3" t="s">
        <v>8046</v>
      </c>
      <c r="W1809" s="3" t="s">
        <v>1</v>
      </c>
    </row>
    <row r="1810" spans="5:23" hidden="1" x14ac:dyDescent="0.25">
      <c r="E1810" t="s">
        <v>8387</v>
      </c>
      <c r="F1810" s="1" t="s">
        <v>8390</v>
      </c>
      <c r="G1810" t="s">
        <v>1</v>
      </c>
      <c r="H1810" t="s">
        <v>0</v>
      </c>
      <c r="I1810" t="s">
        <v>8165</v>
      </c>
      <c r="J1810" t="s">
        <v>8164</v>
      </c>
      <c r="K1810">
        <v>12549</v>
      </c>
      <c r="L1810">
        <v>12549</v>
      </c>
      <c r="M1810" t="s">
        <v>214</v>
      </c>
      <c r="N1810" t="s">
        <v>215</v>
      </c>
      <c r="O1810" s="3">
        <v>0</v>
      </c>
      <c r="P1810" s="3">
        <v>0</v>
      </c>
      <c r="Q1810" s="3">
        <v>451.08</v>
      </c>
      <c r="R1810" s="3">
        <v>58.6404</v>
      </c>
      <c r="S1810" s="3">
        <v>0</v>
      </c>
      <c r="T1810" s="3">
        <v>0</v>
      </c>
      <c r="U1810" s="3">
        <v>509.72039999999998</v>
      </c>
      <c r="V1810" s="3" t="s">
        <v>8046</v>
      </c>
      <c r="W1810" s="3" t="s">
        <v>1</v>
      </c>
    </row>
    <row r="1811" spans="5:23" hidden="1" x14ac:dyDescent="0.25">
      <c r="E1811" t="s">
        <v>8387</v>
      </c>
      <c r="F1811" s="1" t="s">
        <v>8390</v>
      </c>
      <c r="G1811" t="s">
        <v>1</v>
      </c>
      <c r="H1811" t="s">
        <v>0</v>
      </c>
      <c r="I1811" t="s">
        <v>8165</v>
      </c>
      <c r="J1811" t="s">
        <v>8164</v>
      </c>
      <c r="K1811">
        <v>12550</v>
      </c>
      <c r="L1811">
        <v>12550</v>
      </c>
      <c r="M1811" t="s">
        <v>8391</v>
      </c>
      <c r="N1811" t="s">
        <v>8392</v>
      </c>
      <c r="O1811" s="3">
        <v>0</v>
      </c>
      <c r="P1811" s="3">
        <v>0</v>
      </c>
      <c r="Q1811" s="3">
        <v>123.01</v>
      </c>
      <c r="R1811" s="3">
        <v>15.991300000000001</v>
      </c>
      <c r="S1811" s="3">
        <v>0</v>
      </c>
      <c r="T1811" s="3">
        <v>0</v>
      </c>
      <c r="U1811" s="3">
        <v>139.00130000000001</v>
      </c>
      <c r="V1811" s="3" t="s">
        <v>8046</v>
      </c>
      <c r="W1811" s="3" t="s">
        <v>1</v>
      </c>
    </row>
    <row r="1812" spans="5:23" hidden="1" x14ac:dyDescent="0.25">
      <c r="E1812" t="s">
        <v>8387</v>
      </c>
      <c r="F1812" s="1" t="s">
        <v>8390</v>
      </c>
      <c r="G1812" t="s">
        <v>1</v>
      </c>
      <c r="H1812" t="s">
        <v>0</v>
      </c>
      <c r="I1812" t="s">
        <v>8165</v>
      </c>
      <c r="J1812" t="s">
        <v>8164</v>
      </c>
      <c r="K1812">
        <v>12551</v>
      </c>
      <c r="L1812">
        <v>12551</v>
      </c>
      <c r="M1812" t="s">
        <v>7852</v>
      </c>
      <c r="N1812" t="s">
        <v>7851</v>
      </c>
      <c r="O1812" s="3">
        <v>0</v>
      </c>
      <c r="P1812" s="3">
        <v>0</v>
      </c>
      <c r="Q1812" s="3">
        <v>0</v>
      </c>
      <c r="R1812" s="3">
        <v>0</v>
      </c>
      <c r="S1812" s="3">
        <v>0</v>
      </c>
      <c r="T1812" s="3">
        <v>0</v>
      </c>
      <c r="U1812" s="3">
        <v>0</v>
      </c>
      <c r="V1812" s="3" t="s">
        <v>8046</v>
      </c>
      <c r="W1812" s="3" t="s">
        <v>1</v>
      </c>
    </row>
    <row r="1813" spans="5:23" hidden="1" x14ac:dyDescent="0.25">
      <c r="E1813" t="s">
        <v>8387</v>
      </c>
      <c r="F1813" s="1" t="s">
        <v>8390</v>
      </c>
      <c r="G1813" t="s">
        <v>1</v>
      </c>
      <c r="H1813" t="s">
        <v>0</v>
      </c>
      <c r="I1813" t="s">
        <v>8165</v>
      </c>
      <c r="J1813" t="s">
        <v>8164</v>
      </c>
      <c r="K1813">
        <v>12552</v>
      </c>
      <c r="L1813">
        <v>12552</v>
      </c>
      <c r="M1813" t="s">
        <v>8306</v>
      </c>
      <c r="N1813" t="s">
        <v>8307</v>
      </c>
      <c r="O1813" s="3">
        <v>0</v>
      </c>
      <c r="P1813" s="3">
        <v>0</v>
      </c>
      <c r="Q1813" s="3">
        <v>46.33</v>
      </c>
      <c r="R1813" s="3">
        <v>6.0228999999999999</v>
      </c>
      <c r="S1813" s="3">
        <v>0</v>
      </c>
      <c r="T1813" s="3">
        <v>0</v>
      </c>
      <c r="U1813" s="3">
        <v>52.352899999999998</v>
      </c>
      <c r="V1813" s="3" t="s">
        <v>8046</v>
      </c>
      <c r="W1813" s="3" t="s">
        <v>1</v>
      </c>
    </row>
    <row r="1814" spans="5:23" hidden="1" x14ac:dyDescent="0.25">
      <c r="E1814" t="s">
        <v>8387</v>
      </c>
      <c r="F1814" s="1" t="s">
        <v>8390</v>
      </c>
      <c r="G1814" t="s">
        <v>1</v>
      </c>
      <c r="H1814" t="s">
        <v>0</v>
      </c>
      <c r="I1814" t="s">
        <v>8165</v>
      </c>
      <c r="J1814" t="s">
        <v>8164</v>
      </c>
      <c r="K1814">
        <v>12553</v>
      </c>
      <c r="L1814">
        <v>12553</v>
      </c>
      <c r="M1814" t="s">
        <v>8306</v>
      </c>
      <c r="N1814" t="s">
        <v>8307</v>
      </c>
      <c r="O1814" s="3">
        <v>0</v>
      </c>
      <c r="P1814" s="3">
        <v>0</v>
      </c>
      <c r="Q1814" s="3">
        <v>63.72</v>
      </c>
      <c r="R1814" s="3">
        <v>8.2835999999999999</v>
      </c>
      <c r="S1814" s="3">
        <v>0</v>
      </c>
      <c r="T1814" s="3">
        <v>0</v>
      </c>
      <c r="U1814" s="3">
        <v>72.003600000000006</v>
      </c>
      <c r="V1814" s="3" t="s">
        <v>8046</v>
      </c>
      <c r="W1814" s="3" t="s">
        <v>1</v>
      </c>
    </row>
    <row r="1815" spans="5:23" hidden="1" x14ac:dyDescent="0.25">
      <c r="E1815" t="s">
        <v>8387</v>
      </c>
      <c r="F1815" s="1" t="s">
        <v>8390</v>
      </c>
      <c r="G1815" t="s">
        <v>1</v>
      </c>
      <c r="H1815" t="s">
        <v>0</v>
      </c>
      <c r="I1815" t="s">
        <v>8165</v>
      </c>
      <c r="J1815" t="s">
        <v>8164</v>
      </c>
      <c r="K1815">
        <v>12554</v>
      </c>
      <c r="L1815">
        <v>12554</v>
      </c>
      <c r="M1815" t="s">
        <v>8322</v>
      </c>
      <c r="N1815" t="s">
        <v>8323</v>
      </c>
      <c r="O1815" s="3">
        <v>0</v>
      </c>
      <c r="P1815" s="3">
        <v>0</v>
      </c>
      <c r="Q1815" s="3">
        <v>174.99</v>
      </c>
      <c r="R1815" s="3">
        <v>22.748700000000003</v>
      </c>
      <c r="S1815" s="3">
        <v>0</v>
      </c>
      <c r="T1815" s="3">
        <v>0</v>
      </c>
      <c r="U1815" s="3">
        <v>197.73870000000002</v>
      </c>
      <c r="V1815" s="3" t="s">
        <v>8046</v>
      </c>
      <c r="W1815" s="3" t="s">
        <v>1</v>
      </c>
    </row>
    <row r="1816" spans="5:23" hidden="1" x14ac:dyDescent="0.25">
      <c r="E1816" t="s">
        <v>8387</v>
      </c>
      <c r="F1816" s="1" t="s">
        <v>8390</v>
      </c>
      <c r="G1816" t="s">
        <v>1</v>
      </c>
      <c r="H1816" t="s">
        <v>0</v>
      </c>
      <c r="I1816" t="s">
        <v>8165</v>
      </c>
      <c r="J1816" t="s">
        <v>8164</v>
      </c>
      <c r="K1816">
        <v>12555</v>
      </c>
      <c r="L1816">
        <v>12555</v>
      </c>
      <c r="M1816" t="s">
        <v>2154</v>
      </c>
      <c r="N1816" t="s">
        <v>2155</v>
      </c>
      <c r="O1816" s="3">
        <v>0</v>
      </c>
      <c r="P1816" s="3">
        <v>0</v>
      </c>
      <c r="Q1816" s="3">
        <v>5753.82</v>
      </c>
      <c r="R1816" s="3">
        <v>747.99659999999994</v>
      </c>
      <c r="S1816" s="3">
        <v>0</v>
      </c>
      <c r="T1816" s="3">
        <v>0</v>
      </c>
      <c r="U1816" s="3">
        <v>6501.8166000000001</v>
      </c>
      <c r="V1816" s="3" t="s">
        <v>8046</v>
      </c>
      <c r="W1816" s="3" t="s">
        <v>1</v>
      </c>
    </row>
    <row r="1817" spans="5:23" hidden="1" x14ac:dyDescent="0.25">
      <c r="E1817" t="s">
        <v>8387</v>
      </c>
      <c r="F1817" s="1" t="s">
        <v>8390</v>
      </c>
      <c r="G1817" t="s">
        <v>1</v>
      </c>
      <c r="H1817" t="s">
        <v>0</v>
      </c>
      <c r="I1817" t="s">
        <v>8165</v>
      </c>
      <c r="J1817" t="s">
        <v>8164</v>
      </c>
      <c r="K1817">
        <v>12556</v>
      </c>
      <c r="L1817">
        <v>12556</v>
      </c>
      <c r="M1817" t="s">
        <v>8277</v>
      </c>
      <c r="N1817" t="s">
        <v>8278</v>
      </c>
      <c r="O1817" s="3">
        <v>0</v>
      </c>
      <c r="P1817" s="3">
        <v>0</v>
      </c>
      <c r="Q1817" s="3">
        <v>32</v>
      </c>
      <c r="R1817" s="3">
        <v>4.16</v>
      </c>
      <c r="S1817" s="3">
        <v>0</v>
      </c>
      <c r="T1817" s="3">
        <v>0</v>
      </c>
      <c r="U1817" s="3">
        <v>36.159999999999997</v>
      </c>
      <c r="V1817" s="3" t="s">
        <v>8046</v>
      </c>
      <c r="W1817" s="3" t="s">
        <v>1</v>
      </c>
    </row>
    <row r="1818" spans="5:23" hidden="1" x14ac:dyDescent="0.25">
      <c r="E1818" t="s">
        <v>8387</v>
      </c>
      <c r="F1818" s="1" t="s">
        <v>8390</v>
      </c>
      <c r="G1818" t="s">
        <v>1</v>
      </c>
      <c r="H1818" t="s">
        <v>0</v>
      </c>
      <c r="I1818" t="s">
        <v>8165</v>
      </c>
      <c r="J1818" t="s">
        <v>8164</v>
      </c>
      <c r="K1818">
        <v>12557</v>
      </c>
      <c r="L1818">
        <v>12557</v>
      </c>
      <c r="M1818" t="s">
        <v>7852</v>
      </c>
      <c r="N1818" t="s">
        <v>7851</v>
      </c>
      <c r="O1818" s="3">
        <v>0</v>
      </c>
      <c r="P1818" s="3">
        <v>0</v>
      </c>
      <c r="Q1818" s="3">
        <v>0</v>
      </c>
      <c r="R1818" s="3">
        <v>0</v>
      </c>
      <c r="S1818" s="3">
        <v>0</v>
      </c>
      <c r="T1818" s="3">
        <v>0</v>
      </c>
      <c r="U1818" s="3">
        <v>0</v>
      </c>
      <c r="V1818" s="3" t="s">
        <v>8046</v>
      </c>
      <c r="W1818" s="3" t="s">
        <v>1</v>
      </c>
    </row>
    <row r="1819" spans="5:23" hidden="1" x14ac:dyDescent="0.25">
      <c r="E1819" t="s">
        <v>8388</v>
      </c>
      <c r="F1819" s="1" t="s">
        <v>8389</v>
      </c>
      <c r="G1819" t="s">
        <v>1</v>
      </c>
      <c r="H1819" t="s">
        <v>0</v>
      </c>
      <c r="I1819" t="s">
        <v>8165</v>
      </c>
      <c r="J1819" t="s">
        <v>8164</v>
      </c>
      <c r="K1819">
        <v>12558</v>
      </c>
      <c r="L1819">
        <v>12558</v>
      </c>
      <c r="M1819" t="s">
        <v>8224</v>
      </c>
      <c r="N1819" t="s">
        <v>8225</v>
      </c>
      <c r="O1819" s="3">
        <v>0</v>
      </c>
      <c r="P1819" s="3">
        <v>0</v>
      </c>
      <c r="Q1819" s="3">
        <v>38</v>
      </c>
      <c r="R1819" s="3">
        <v>4.9400000000000004</v>
      </c>
      <c r="S1819" s="3">
        <v>0</v>
      </c>
      <c r="T1819" s="3">
        <v>0</v>
      </c>
      <c r="U1819" s="3">
        <v>42.94</v>
      </c>
      <c r="V1819" s="3" t="s">
        <v>8046</v>
      </c>
      <c r="W1819" s="3" t="s">
        <v>1</v>
      </c>
    </row>
    <row r="1820" spans="5:23" hidden="1" x14ac:dyDescent="0.25">
      <c r="E1820" t="s">
        <v>8126</v>
      </c>
      <c r="F1820" s="1" t="s">
        <v>8145</v>
      </c>
      <c r="G1820" t="s">
        <v>1</v>
      </c>
      <c r="H1820" t="s">
        <v>8333</v>
      </c>
      <c r="I1820" t="s">
        <v>8334</v>
      </c>
      <c r="J1820" t="s">
        <v>8335</v>
      </c>
      <c r="K1820">
        <v>322</v>
      </c>
      <c r="L1820">
        <v>322</v>
      </c>
      <c r="M1820" t="s">
        <v>8172</v>
      </c>
      <c r="N1820" t="s">
        <v>8173</v>
      </c>
      <c r="O1820" s="3">
        <v>0</v>
      </c>
      <c r="P1820" s="3">
        <v>0</v>
      </c>
      <c r="Q1820" s="3">
        <v>9</v>
      </c>
      <c r="R1820" s="3">
        <v>1.17</v>
      </c>
      <c r="S1820" s="3">
        <v>0</v>
      </c>
      <c r="T1820" s="3">
        <v>0</v>
      </c>
      <c r="U1820" s="3">
        <v>10.17</v>
      </c>
      <c r="V1820" s="3" t="s">
        <v>8046</v>
      </c>
      <c r="W1820" s="3" t="s">
        <v>1</v>
      </c>
    </row>
    <row r="1821" spans="5:23" hidden="1" x14ac:dyDescent="0.25">
      <c r="E1821" t="s">
        <v>8126</v>
      </c>
      <c r="F1821" s="34" t="s">
        <v>8145</v>
      </c>
      <c r="G1821" t="s">
        <v>1</v>
      </c>
      <c r="H1821" t="s">
        <v>8333</v>
      </c>
      <c r="I1821" t="s">
        <v>8334</v>
      </c>
      <c r="J1821" t="s">
        <v>8335</v>
      </c>
      <c r="K1821">
        <v>321</v>
      </c>
      <c r="L1821">
        <v>321</v>
      </c>
      <c r="M1821" t="s">
        <v>1079</v>
      </c>
      <c r="N1821" t="s">
        <v>1080</v>
      </c>
      <c r="O1821" s="3">
        <v>0</v>
      </c>
      <c r="P1821" s="3">
        <v>0</v>
      </c>
      <c r="Q1821" s="3">
        <v>175.6</v>
      </c>
      <c r="R1821" s="3">
        <v>22.827999999999999</v>
      </c>
      <c r="S1821" s="3">
        <v>0</v>
      </c>
      <c r="T1821" s="3">
        <v>0</v>
      </c>
      <c r="U1821" s="3">
        <v>198.428</v>
      </c>
      <c r="V1821" s="3" t="s">
        <v>8046</v>
      </c>
      <c r="W1821" s="3" t="s">
        <v>1</v>
      </c>
    </row>
    <row r="1822" spans="5:23" hidden="1" x14ac:dyDescent="0.25">
      <c r="E1822" t="s">
        <v>8126</v>
      </c>
      <c r="F1822" s="1" t="s">
        <v>8139</v>
      </c>
      <c r="G1822" t="s">
        <v>1</v>
      </c>
      <c r="H1822" t="s">
        <v>8333</v>
      </c>
      <c r="I1822" t="s">
        <v>8334</v>
      </c>
      <c r="J1822" t="s">
        <v>8335</v>
      </c>
      <c r="K1822">
        <v>320</v>
      </c>
      <c r="L1822">
        <v>320</v>
      </c>
      <c r="M1822" s="33" t="s">
        <v>8336</v>
      </c>
      <c r="N1822" t="s">
        <v>8337</v>
      </c>
      <c r="O1822" s="3">
        <v>0</v>
      </c>
      <c r="P1822" s="3">
        <v>0</v>
      </c>
      <c r="Q1822" s="3">
        <v>33</v>
      </c>
      <c r="R1822" s="3">
        <v>4.29</v>
      </c>
      <c r="S1822" s="3">
        <v>0</v>
      </c>
      <c r="T1822" s="3">
        <v>0</v>
      </c>
      <c r="U1822" s="3">
        <v>37.29</v>
      </c>
      <c r="V1822" s="3" t="s">
        <v>8046</v>
      </c>
      <c r="W1822" s="3" t="s">
        <v>1</v>
      </c>
    </row>
    <row r="1823" spans="5:23" hidden="1" x14ac:dyDescent="0.25">
      <c r="E1823" t="s">
        <v>8126</v>
      </c>
      <c r="F1823" s="1" t="s">
        <v>8139</v>
      </c>
      <c r="G1823" t="s">
        <v>1</v>
      </c>
      <c r="H1823" t="s">
        <v>0</v>
      </c>
      <c r="I1823" t="s">
        <v>8165</v>
      </c>
      <c r="J1823" t="s">
        <v>8164</v>
      </c>
      <c r="K1823">
        <v>12007</v>
      </c>
      <c r="L1823">
        <v>12007</v>
      </c>
      <c r="M1823" t="s">
        <v>8331</v>
      </c>
      <c r="N1823" t="s">
        <v>8332</v>
      </c>
      <c r="O1823" s="3">
        <v>0</v>
      </c>
      <c r="P1823" s="3">
        <v>0</v>
      </c>
      <c r="Q1823" s="3">
        <v>61.97</v>
      </c>
      <c r="R1823" s="3">
        <v>8.0561000000000007</v>
      </c>
      <c r="S1823" s="3">
        <v>0</v>
      </c>
      <c r="T1823" s="3">
        <v>0</v>
      </c>
      <c r="U1823" s="3">
        <v>70.0261</v>
      </c>
      <c r="V1823" s="3" t="s">
        <v>8046</v>
      </c>
      <c r="W1823" s="3" t="s">
        <v>1</v>
      </c>
    </row>
    <row r="1824" spans="5:23" hidden="1" x14ac:dyDescent="0.25">
      <c r="E1824" t="s">
        <v>8126</v>
      </c>
      <c r="F1824" s="1" t="s">
        <v>8139</v>
      </c>
      <c r="G1824" t="s">
        <v>1</v>
      </c>
      <c r="H1824" t="s">
        <v>0</v>
      </c>
      <c r="I1824" t="s">
        <v>8165</v>
      </c>
      <c r="J1824" t="s">
        <v>8164</v>
      </c>
      <c r="K1824">
        <v>12008</v>
      </c>
      <c r="L1824">
        <v>12008</v>
      </c>
      <c r="M1824" t="s">
        <v>8209</v>
      </c>
      <c r="N1824" t="s">
        <v>8210</v>
      </c>
      <c r="O1824" s="3">
        <v>0</v>
      </c>
      <c r="P1824" s="3">
        <v>0</v>
      </c>
      <c r="Q1824" s="3">
        <v>70.09</v>
      </c>
      <c r="R1824" s="3">
        <v>9.1117000000000008</v>
      </c>
      <c r="S1824" s="3">
        <v>0</v>
      </c>
      <c r="T1824" s="3">
        <v>0</v>
      </c>
      <c r="U1824" s="3">
        <v>79.201700000000002</v>
      </c>
      <c r="V1824" s="3" t="s">
        <v>8046</v>
      </c>
      <c r="W1824" s="3" t="s">
        <v>1</v>
      </c>
    </row>
    <row r="1825" spans="5:23" hidden="1" x14ac:dyDescent="0.25">
      <c r="E1825" t="s">
        <v>8126</v>
      </c>
      <c r="F1825" s="1" t="s">
        <v>8139</v>
      </c>
      <c r="G1825" t="s">
        <v>1</v>
      </c>
      <c r="H1825" t="s">
        <v>0</v>
      </c>
      <c r="I1825" t="s">
        <v>8165</v>
      </c>
      <c r="J1825" t="s">
        <v>8164</v>
      </c>
      <c r="K1825">
        <v>12009</v>
      </c>
      <c r="L1825">
        <v>12009</v>
      </c>
      <c r="M1825" t="s">
        <v>153</v>
      </c>
      <c r="N1825" t="s">
        <v>154</v>
      </c>
      <c r="O1825" s="3">
        <v>0</v>
      </c>
      <c r="P1825" s="3">
        <v>0</v>
      </c>
      <c r="Q1825" s="3">
        <v>146.24</v>
      </c>
      <c r="R1825" s="3">
        <v>19.011200000000002</v>
      </c>
      <c r="S1825" s="3">
        <v>0</v>
      </c>
      <c r="T1825" s="3">
        <v>0</v>
      </c>
      <c r="U1825" s="3">
        <v>165.25120000000001</v>
      </c>
      <c r="V1825" s="3" t="s">
        <v>8046</v>
      </c>
      <c r="W1825" s="3" t="s">
        <v>1</v>
      </c>
    </row>
    <row r="1826" spans="5:23" hidden="1" x14ac:dyDescent="0.25">
      <c r="E1826" t="s">
        <v>8126</v>
      </c>
      <c r="F1826" s="1" t="s">
        <v>8139</v>
      </c>
      <c r="G1826" t="s">
        <v>1</v>
      </c>
      <c r="H1826" t="s">
        <v>0</v>
      </c>
      <c r="I1826" t="s">
        <v>8165</v>
      </c>
      <c r="J1826" t="s">
        <v>8164</v>
      </c>
      <c r="K1826">
        <v>12010</v>
      </c>
      <c r="L1826">
        <v>12010</v>
      </c>
      <c r="M1826" t="s">
        <v>8329</v>
      </c>
      <c r="N1826" t="s">
        <v>8330</v>
      </c>
      <c r="O1826" s="3">
        <v>0</v>
      </c>
      <c r="P1826" s="3">
        <v>0</v>
      </c>
      <c r="Q1826" s="3">
        <v>31</v>
      </c>
      <c r="R1826" s="3">
        <v>4.03</v>
      </c>
      <c r="S1826" s="3">
        <v>0</v>
      </c>
      <c r="T1826" s="3">
        <v>0</v>
      </c>
      <c r="U1826" s="3">
        <v>35.03</v>
      </c>
      <c r="V1826" s="3" t="s">
        <v>8046</v>
      </c>
      <c r="W1826" s="3" t="s">
        <v>1</v>
      </c>
    </row>
    <row r="1827" spans="5:23" hidden="1" x14ac:dyDescent="0.25">
      <c r="E1827" t="s">
        <v>8126</v>
      </c>
      <c r="F1827" s="1" t="s">
        <v>8139</v>
      </c>
      <c r="G1827" t="s">
        <v>1</v>
      </c>
      <c r="H1827" t="s">
        <v>0</v>
      </c>
      <c r="I1827" t="s">
        <v>8165</v>
      </c>
      <c r="J1827" t="s">
        <v>8164</v>
      </c>
      <c r="K1827">
        <v>12011</v>
      </c>
      <c r="L1827">
        <v>12011</v>
      </c>
      <c r="M1827" t="s">
        <v>1354</v>
      </c>
      <c r="N1827" t="s">
        <v>1355</v>
      </c>
      <c r="O1827" s="3">
        <v>0</v>
      </c>
      <c r="P1827" s="3">
        <v>0</v>
      </c>
      <c r="Q1827" s="3">
        <v>22.12</v>
      </c>
      <c r="R1827" s="3">
        <v>2.8756000000000004</v>
      </c>
      <c r="S1827" s="3">
        <v>0</v>
      </c>
      <c r="T1827" s="3">
        <v>0</v>
      </c>
      <c r="U1827" s="3">
        <v>24.995600000000003</v>
      </c>
      <c r="V1827" s="3" t="s">
        <v>8046</v>
      </c>
      <c r="W1827" s="3" t="s">
        <v>1</v>
      </c>
    </row>
    <row r="1828" spans="5:23" hidden="1" x14ac:dyDescent="0.25">
      <c r="E1828" t="s">
        <v>8126</v>
      </c>
      <c r="F1828" s="1" t="s">
        <v>8136</v>
      </c>
      <c r="G1828" t="s">
        <v>1</v>
      </c>
      <c r="H1828" t="s">
        <v>0</v>
      </c>
      <c r="I1828" t="s">
        <v>8165</v>
      </c>
      <c r="J1828" t="s">
        <v>8164</v>
      </c>
      <c r="K1828">
        <v>12012</v>
      </c>
      <c r="L1828">
        <v>12012</v>
      </c>
      <c r="M1828" t="s">
        <v>8207</v>
      </c>
      <c r="N1828" t="s">
        <v>8208</v>
      </c>
      <c r="O1828" s="3">
        <v>0</v>
      </c>
      <c r="P1828" s="3">
        <v>0</v>
      </c>
      <c r="Q1828" s="3">
        <v>54.16</v>
      </c>
      <c r="R1828" s="3">
        <v>7.0407999999999999</v>
      </c>
      <c r="S1828" s="3">
        <v>0</v>
      </c>
      <c r="T1828" s="3">
        <v>0</v>
      </c>
      <c r="U1828" s="3">
        <v>61.200799999999994</v>
      </c>
      <c r="V1828" s="3" t="s">
        <v>8046</v>
      </c>
      <c r="W1828" s="3" t="s">
        <v>1</v>
      </c>
    </row>
    <row r="1829" spans="5:23" hidden="1" x14ac:dyDescent="0.25">
      <c r="E1829" t="s">
        <v>8126</v>
      </c>
      <c r="F1829" s="1" t="s">
        <v>8136</v>
      </c>
      <c r="G1829" t="s">
        <v>1</v>
      </c>
      <c r="H1829" t="s">
        <v>0</v>
      </c>
      <c r="I1829" t="s">
        <v>8165</v>
      </c>
      <c r="J1829" t="s">
        <v>8164</v>
      </c>
      <c r="K1829">
        <v>12013</v>
      </c>
      <c r="L1829">
        <v>12013</v>
      </c>
      <c r="M1829" t="s">
        <v>8207</v>
      </c>
      <c r="N1829" t="s">
        <v>8208</v>
      </c>
      <c r="O1829" s="3">
        <v>0</v>
      </c>
      <c r="P1829" s="3">
        <v>0</v>
      </c>
      <c r="Q1829" s="3">
        <v>11.94</v>
      </c>
      <c r="R1829" s="3">
        <v>1.5522</v>
      </c>
      <c r="S1829" s="3">
        <v>0</v>
      </c>
      <c r="T1829" s="3">
        <v>0</v>
      </c>
      <c r="U1829" s="3">
        <v>13.4922</v>
      </c>
      <c r="V1829" s="3" t="s">
        <v>8046</v>
      </c>
      <c r="W1829" s="3" t="s">
        <v>1</v>
      </c>
    </row>
    <row r="1830" spans="5:23" hidden="1" x14ac:dyDescent="0.25">
      <c r="E1830" t="s">
        <v>8126</v>
      </c>
      <c r="F1830" s="1" t="s">
        <v>8136</v>
      </c>
      <c r="G1830" t="s">
        <v>1</v>
      </c>
      <c r="H1830" t="s">
        <v>0</v>
      </c>
      <c r="I1830" t="s">
        <v>8165</v>
      </c>
      <c r="J1830" t="s">
        <v>8164</v>
      </c>
      <c r="K1830">
        <v>12014</v>
      </c>
      <c r="L1830">
        <v>12014</v>
      </c>
      <c r="M1830" t="s">
        <v>8168</v>
      </c>
      <c r="N1830" t="s">
        <v>8169</v>
      </c>
      <c r="O1830" s="3">
        <v>0</v>
      </c>
      <c r="P1830" s="3">
        <v>0</v>
      </c>
      <c r="Q1830" s="3">
        <v>60.2</v>
      </c>
      <c r="R1830" s="3">
        <v>7.8260000000000005</v>
      </c>
      <c r="S1830" s="3">
        <v>0</v>
      </c>
      <c r="T1830" s="3">
        <v>0</v>
      </c>
      <c r="U1830" s="3">
        <v>68.02600000000001</v>
      </c>
      <c r="V1830" s="3" t="s">
        <v>8046</v>
      </c>
      <c r="W1830" s="3" t="s">
        <v>1</v>
      </c>
    </row>
    <row r="1831" spans="5:23" hidden="1" x14ac:dyDescent="0.25">
      <c r="E1831" t="s">
        <v>8126</v>
      </c>
      <c r="F1831" s="1" t="s">
        <v>8136</v>
      </c>
      <c r="G1831" t="s">
        <v>1</v>
      </c>
      <c r="H1831" t="s">
        <v>0</v>
      </c>
      <c r="I1831" t="s">
        <v>8165</v>
      </c>
      <c r="J1831" t="s">
        <v>8164</v>
      </c>
      <c r="K1831">
        <v>12015</v>
      </c>
      <c r="L1831">
        <v>12015</v>
      </c>
      <c r="M1831" t="s">
        <v>8186</v>
      </c>
      <c r="N1831" t="s">
        <v>8187</v>
      </c>
      <c r="O1831" s="3">
        <v>0</v>
      </c>
      <c r="P1831" s="3">
        <v>0</v>
      </c>
      <c r="Q1831" s="3">
        <v>451.3</v>
      </c>
      <c r="R1831" s="3">
        <v>58.669000000000004</v>
      </c>
      <c r="S1831" s="3">
        <v>0</v>
      </c>
      <c r="T1831" s="3">
        <v>0</v>
      </c>
      <c r="U1831" s="3">
        <v>509.96899999999999</v>
      </c>
      <c r="V1831" s="3" t="s">
        <v>8046</v>
      </c>
      <c r="W1831" s="3" t="s">
        <v>1</v>
      </c>
    </row>
    <row r="1832" spans="5:23" hidden="1" x14ac:dyDescent="0.25">
      <c r="E1832" t="s">
        <v>8126</v>
      </c>
      <c r="F1832" s="1" t="s">
        <v>8136</v>
      </c>
      <c r="G1832" t="s">
        <v>1</v>
      </c>
      <c r="H1832" t="s">
        <v>0</v>
      </c>
      <c r="I1832" t="s">
        <v>8165</v>
      </c>
      <c r="J1832" t="s">
        <v>8164</v>
      </c>
      <c r="K1832">
        <v>12016</v>
      </c>
      <c r="L1832">
        <v>12016</v>
      </c>
      <c r="M1832" t="s">
        <v>8328</v>
      </c>
      <c r="N1832" t="s">
        <v>8294</v>
      </c>
      <c r="O1832" s="3">
        <v>0</v>
      </c>
      <c r="P1832" s="3">
        <v>0</v>
      </c>
      <c r="Q1832" s="3">
        <v>44.5</v>
      </c>
      <c r="R1832" s="3">
        <v>5.7850000000000001</v>
      </c>
      <c r="S1832" s="3">
        <v>0</v>
      </c>
      <c r="T1832" s="3">
        <v>0</v>
      </c>
      <c r="U1832" s="3">
        <v>50.284999999999997</v>
      </c>
      <c r="V1832" s="3" t="s">
        <v>8046</v>
      </c>
      <c r="W1832" s="3" t="s">
        <v>1</v>
      </c>
    </row>
    <row r="1833" spans="5:23" hidden="1" x14ac:dyDescent="0.25">
      <c r="E1833" t="s">
        <v>8126</v>
      </c>
      <c r="F1833" s="1" t="s">
        <v>8136</v>
      </c>
      <c r="G1833" t="s">
        <v>1</v>
      </c>
      <c r="H1833" t="s">
        <v>0</v>
      </c>
      <c r="I1833" t="s">
        <v>8165</v>
      </c>
      <c r="J1833" t="s">
        <v>8164</v>
      </c>
      <c r="K1833">
        <v>12017</v>
      </c>
      <c r="L1833">
        <v>12017</v>
      </c>
      <c r="M1833" t="s">
        <v>8209</v>
      </c>
      <c r="N1833" t="s">
        <v>8210</v>
      </c>
      <c r="O1833" s="3">
        <v>0</v>
      </c>
      <c r="P1833" s="3">
        <v>0</v>
      </c>
      <c r="Q1833" s="3">
        <v>387.18</v>
      </c>
      <c r="R1833" s="3">
        <v>50.333400000000005</v>
      </c>
      <c r="S1833" s="3">
        <v>0</v>
      </c>
      <c r="T1833" s="3">
        <v>0</v>
      </c>
      <c r="U1833" s="3">
        <v>437.51339999999999</v>
      </c>
      <c r="V1833" s="3" t="s">
        <v>8046</v>
      </c>
      <c r="W1833" s="3" t="s">
        <v>1</v>
      </c>
    </row>
    <row r="1834" spans="5:23" hidden="1" x14ac:dyDescent="0.25">
      <c r="E1834" t="s">
        <v>8126</v>
      </c>
      <c r="F1834" s="1" t="s">
        <v>8136</v>
      </c>
      <c r="G1834" t="s">
        <v>1</v>
      </c>
      <c r="H1834" t="s">
        <v>0</v>
      </c>
      <c r="I1834" t="s">
        <v>8165</v>
      </c>
      <c r="J1834" t="s">
        <v>8164</v>
      </c>
      <c r="K1834">
        <v>12018</v>
      </c>
      <c r="L1834">
        <v>12018</v>
      </c>
      <c r="M1834" s="33" t="s">
        <v>8328</v>
      </c>
      <c r="N1834" t="s">
        <v>8294</v>
      </c>
      <c r="O1834" s="3">
        <v>0</v>
      </c>
      <c r="P1834" s="3">
        <v>0</v>
      </c>
      <c r="Q1834" s="3">
        <v>30</v>
      </c>
      <c r="R1834" s="3">
        <v>3.9000000000000004</v>
      </c>
      <c r="S1834" s="3">
        <v>0</v>
      </c>
      <c r="T1834" s="3">
        <v>0</v>
      </c>
      <c r="U1834" s="3">
        <v>33.9</v>
      </c>
      <c r="V1834" s="3" t="s">
        <v>8046</v>
      </c>
      <c r="W1834" s="3" t="s">
        <v>1</v>
      </c>
    </row>
    <row r="1835" spans="5:23" hidden="1" x14ac:dyDescent="0.25">
      <c r="E1835" t="s">
        <v>8126</v>
      </c>
      <c r="F1835" s="1" t="s">
        <v>8136</v>
      </c>
      <c r="G1835" t="s">
        <v>1</v>
      </c>
      <c r="H1835" t="s">
        <v>0</v>
      </c>
      <c r="I1835" t="s">
        <v>8165</v>
      </c>
      <c r="J1835" t="s">
        <v>8164</v>
      </c>
      <c r="K1835">
        <v>12019</v>
      </c>
      <c r="L1835">
        <v>12019</v>
      </c>
      <c r="M1835" t="s">
        <v>8326</v>
      </c>
      <c r="N1835" t="s">
        <v>8327</v>
      </c>
      <c r="O1835" s="3">
        <v>0</v>
      </c>
      <c r="P1835" s="3">
        <v>0</v>
      </c>
      <c r="Q1835" s="3">
        <v>111.6</v>
      </c>
      <c r="R1835" s="3">
        <v>14.507999999999999</v>
      </c>
      <c r="S1835" s="3">
        <v>0</v>
      </c>
      <c r="T1835" s="3">
        <v>0</v>
      </c>
      <c r="U1835" s="3">
        <v>126.10799999999999</v>
      </c>
      <c r="V1835" s="3" t="s">
        <v>8046</v>
      </c>
      <c r="W1835" s="3" t="s">
        <v>1</v>
      </c>
    </row>
    <row r="1836" spans="5:23" hidden="1" x14ac:dyDescent="0.25">
      <c r="E1836" t="s">
        <v>8126</v>
      </c>
      <c r="F1836" s="1" t="s">
        <v>8136</v>
      </c>
      <c r="G1836" t="s">
        <v>1</v>
      </c>
      <c r="H1836" t="s">
        <v>0</v>
      </c>
      <c r="I1836" t="s">
        <v>8165</v>
      </c>
      <c r="J1836" t="s">
        <v>8164</v>
      </c>
      <c r="K1836">
        <v>12020</v>
      </c>
      <c r="L1836">
        <v>12020</v>
      </c>
      <c r="M1836" t="s">
        <v>8218</v>
      </c>
      <c r="N1836" t="s">
        <v>8219</v>
      </c>
      <c r="O1836" s="3">
        <v>0</v>
      </c>
      <c r="P1836" s="3">
        <v>0</v>
      </c>
      <c r="Q1836" s="3">
        <v>80</v>
      </c>
      <c r="R1836" s="3">
        <v>10.4</v>
      </c>
      <c r="S1836" s="3">
        <v>0</v>
      </c>
      <c r="T1836" s="3">
        <v>0</v>
      </c>
      <c r="U1836" s="3">
        <v>90.4</v>
      </c>
      <c r="V1836" s="3" t="s">
        <v>8046</v>
      </c>
      <c r="W1836" s="3" t="s">
        <v>1</v>
      </c>
    </row>
    <row r="1837" spans="5:23" hidden="1" x14ac:dyDescent="0.25">
      <c r="E1837" t="s">
        <v>8126</v>
      </c>
      <c r="F1837" s="1" t="s">
        <v>8136</v>
      </c>
      <c r="G1837" t="s">
        <v>1</v>
      </c>
      <c r="H1837" t="s">
        <v>0</v>
      </c>
      <c r="I1837" t="s">
        <v>8165</v>
      </c>
      <c r="J1837" t="s">
        <v>8164</v>
      </c>
      <c r="K1837">
        <v>12021</v>
      </c>
      <c r="L1837">
        <v>12021</v>
      </c>
      <c r="M1837" t="s">
        <v>7852</v>
      </c>
      <c r="N1837" t="s">
        <v>7851</v>
      </c>
      <c r="O1837" s="3">
        <v>0</v>
      </c>
      <c r="P1837" s="3">
        <v>0</v>
      </c>
      <c r="Q1837" s="3">
        <v>0</v>
      </c>
      <c r="R1837" s="3">
        <v>0</v>
      </c>
      <c r="S1837" s="3">
        <v>0</v>
      </c>
      <c r="T1837" s="3">
        <v>0</v>
      </c>
      <c r="U1837" s="3">
        <v>0</v>
      </c>
      <c r="V1837" s="3" t="s">
        <v>8046</v>
      </c>
      <c r="W1837" s="3" t="s">
        <v>1</v>
      </c>
    </row>
    <row r="1838" spans="5:23" hidden="1" x14ac:dyDescent="0.25">
      <c r="E1838" t="s">
        <v>8126</v>
      </c>
      <c r="F1838" s="1" t="s">
        <v>8136</v>
      </c>
      <c r="G1838" t="s">
        <v>1</v>
      </c>
      <c r="H1838" t="s">
        <v>0</v>
      </c>
      <c r="I1838" t="s">
        <v>8165</v>
      </c>
      <c r="J1838" t="s">
        <v>8164</v>
      </c>
      <c r="K1838">
        <v>12022</v>
      </c>
      <c r="L1838">
        <v>12022</v>
      </c>
      <c r="M1838" t="s">
        <v>8186</v>
      </c>
      <c r="N1838" t="s">
        <v>8187</v>
      </c>
      <c r="O1838" s="3">
        <v>0</v>
      </c>
      <c r="P1838" s="3">
        <v>0</v>
      </c>
      <c r="Q1838" s="3">
        <v>250</v>
      </c>
      <c r="R1838" s="3">
        <v>32.5</v>
      </c>
      <c r="S1838" s="3">
        <v>0</v>
      </c>
      <c r="T1838" s="3">
        <v>0</v>
      </c>
      <c r="U1838" s="3">
        <v>282.5</v>
      </c>
      <c r="V1838" s="3" t="s">
        <v>8046</v>
      </c>
      <c r="W1838" s="3" t="s">
        <v>1</v>
      </c>
    </row>
    <row r="1839" spans="5:23" hidden="1" x14ac:dyDescent="0.25">
      <c r="E1839" t="s">
        <v>8126</v>
      </c>
      <c r="F1839" s="34" t="s">
        <v>8136</v>
      </c>
      <c r="G1839" t="s">
        <v>1</v>
      </c>
      <c r="H1839" t="s">
        <v>0</v>
      </c>
      <c r="I1839" t="s">
        <v>8165</v>
      </c>
      <c r="J1839" t="s">
        <v>8164</v>
      </c>
      <c r="K1839">
        <v>12023</v>
      </c>
      <c r="L1839">
        <v>12023</v>
      </c>
      <c r="M1839" t="s">
        <v>8324</v>
      </c>
      <c r="N1839" t="s">
        <v>8325</v>
      </c>
      <c r="O1839" s="3">
        <v>0</v>
      </c>
      <c r="P1839" s="3">
        <v>0</v>
      </c>
      <c r="Q1839" s="3">
        <v>8.6</v>
      </c>
      <c r="R1839" s="3">
        <v>1.1179999999999999</v>
      </c>
      <c r="S1839" s="3">
        <v>0</v>
      </c>
      <c r="T1839" s="3">
        <v>0</v>
      </c>
      <c r="U1839" s="3">
        <v>9.718</v>
      </c>
      <c r="V1839" s="3" t="s">
        <v>8046</v>
      </c>
      <c r="W1839" s="3" t="s">
        <v>1</v>
      </c>
    </row>
    <row r="1840" spans="5:23" hidden="1" x14ac:dyDescent="0.25">
      <c r="E1840" t="s">
        <v>8126</v>
      </c>
      <c r="F1840" s="34" t="s">
        <v>8136</v>
      </c>
      <c r="G1840" t="s">
        <v>1</v>
      </c>
      <c r="H1840" t="s">
        <v>0</v>
      </c>
      <c r="I1840" t="s">
        <v>8165</v>
      </c>
      <c r="J1840" t="s">
        <v>8164</v>
      </c>
      <c r="K1840">
        <v>12024</v>
      </c>
      <c r="L1840">
        <v>12024</v>
      </c>
      <c r="M1840" t="s">
        <v>8322</v>
      </c>
      <c r="N1840" t="s">
        <v>8323</v>
      </c>
      <c r="O1840" s="3">
        <v>0</v>
      </c>
      <c r="P1840" s="3">
        <v>0</v>
      </c>
      <c r="Q1840" s="3">
        <v>162.93</v>
      </c>
      <c r="R1840" s="3">
        <v>21.180900000000001</v>
      </c>
      <c r="S1840" s="3">
        <v>0</v>
      </c>
      <c r="T1840" s="3">
        <v>0</v>
      </c>
      <c r="U1840" s="3">
        <v>184.11090000000002</v>
      </c>
      <c r="V1840" s="3" t="s">
        <v>8046</v>
      </c>
      <c r="W1840" s="3" t="s">
        <v>1</v>
      </c>
    </row>
    <row r="1841" spans="5:23" hidden="1" x14ac:dyDescent="0.25">
      <c r="E1841" t="s">
        <v>8126</v>
      </c>
      <c r="F1841" s="34" t="s">
        <v>8136</v>
      </c>
      <c r="G1841" t="s">
        <v>1</v>
      </c>
      <c r="H1841" t="s">
        <v>0</v>
      </c>
      <c r="I1841" t="s">
        <v>8165</v>
      </c>
      <c r="J1841" t="s">
        <v>8164</v>
      </c>
      <c r="K1841">
        <v>12025</v>
      </c>
      <c r="L1841">
        <v>12025</v>
      </c>
      <c r="M1841" t="s">
        <v>1705</v>
      </c>
      <c r="N1841" t="s">
        <v>1706</v>
      </c>
      <c r="O1841" s="3">
        <v>0</v>
      </c>
      <c r="P1841" s="3">
        <v>0</v>
      </c>
      <c r="Q1841" s="3">
        <v>10.62</v>
      </c>
      <c r="R1841" s="3">
        <v>1.3806</v>
      </c>
      <c r="S1841" s="3">
        <v>0</v>
      </c>
      <c r="T1841" s="3">
        <v>0</v>
      </c>
      <c r="U1841" s="3">
        <v>12.000599999999999</v>
      </c>
      <c r="V1841" s="3" t="s">
        <v>8046</v>
      </c>
      <c r="W1841" s="3" t="s">
        <v>1</v>
      </c>
    </row>
    <row r="1842" spans="5:23" hidden="1" x14ac:dyDescent="0.25">
      <c r="E1842" s="58" t="s">
        <v>8126</v>
      </c>
      <c r="F1842" s="96" t="s">
        <v>8156</v>
      </c>
      <c r="G1842" s="58" t="s">
        <v>1</v>
      </c>
      <c r="H1842" s="58" t="s">
        <v>0</v>
      </c>
      <c r="I1842" s="58" t="s">
        <v>8165</v>
      </c>
      <c r="J1842" s="58" t="s">
        <v>8164</v>
      </c>
      <c r="K1842" s="58">
        <v>12026</v>
      </c>
      <c r="L1842" s="58">
        <v>12026</v>
      </c>
      <c r="M1842" s="58" t="s">
        <v>3271</v>
      </c>
      <c r="N1842" s="58" t="s">
        <v>3272</v>
      </c>
      <c r="O1842" s="59">
        <v>0</v>
      </c>
      <c r="P1842" s="59">
        <v>0</v>
      </c>
      <c r="Q1842" s="59">
        <v>453</v>
      </c>
      <c r="R1842" s="59">
        <v>58.89</v>
      </c>
      <c r="S1842" s="59">
        <v>0</v>
      </c>
      <c r="T1842" s="59">
        <v>0</v>
      </c>
      <c r="U1842" s="59">
        <v>511.89</v>
      </c>
      <c r="V1842" s="59" t="s">
        <v>8046</v>
      </c>
      <c r="W1842" s="59" t="s">
        <v>1</v>
      </c>
    </row>
    <row r="1843" spans="5:23" hidden="1" x14ac:dyDescent="0.25">
      <c r="E1843" s="56" t="s">
        <v>8126</v>
      </c>
      <c r="F1843" s="97" t="s">
        <v>8156</v>
      </c>
      <c r="G1843" s="56" t="s">
        <v>1</v>
      </c>
      <c r="H1843" s="56" t="s">
        <v>0</v>
      </c>
      <c r="I1843" s="56" t="s">
        <v>8165</v>
      </c>
      <c r="J1843" s="56" t="s">
        <v>8164</v>
      </c>
      <c r="K1843" s="56">
        <v>12027</v>
      </c>
      <c r="L1843" s="56">
        <v>12027</v>
      </c>
      <c r="M1843" s="56" t="s">
        <v>3271</v>
      </c>
      <c r="N1843" s="56" t="s">
        <v>3272</v>
      </c>
      <c r="O1843" s="57">
        <v>0</v>
      </c>
      <c r="P1843" s="57">
        <v>0</v>
      </c>
      <c r="Q1843" s="57">
        <v>138</v>
      </c>
      <c r="R1843" s="57">
        <v>17.940000000000001</v>
      </c>
      <c r="S1843" s="57">
        <v>0</v>
      </c>
      <c r="T1843" s="57">
        <v>0</v>
      </c>
      <c r="U1843" s="57">
        <v>155.94</v>
      </c>
      <c r="V1843" s="57" t="s">
        <v>8046</v>
      </c>
      <c r="W1843" s="57" t="s">
        <v>1</v>
      </c>
    </row>
    <row r="1844" spans="5:23" hidden="1" x14ac:dyDescent="0.25">
      <c r="E1844" t="s">
        <v>8126</v>
      </c>
      <c r="F1844" s="1" t="s">
        <v>8156</v>
      </c>
      <c r="G1844" t="s">
        <v>1</v>
      </c>
      <c r="H1844" t="s">
        <v>0</v>
      </c>
      <c r="I1844" t="s">
        <v>8165</v>
      </c>
      <c r="J1844" t="s">
        <v>8164</v>
      </c>
      <c r="K1844">
        <v>12028</v>
      </c>
      <c r="L1844">
        <v>12028</v>
      </c>
      <c r="M1844" t="s">
        <v>8176</v>
      </c>
      <c r="N1844" t="s">
        <v>8177</v>
      </c>
      <c r="O1844" s="3">
        <v>0</v>
      </c>
      <c r="P1844" s="3">
        <v>0</v>
      </c>
      <c r="Q1844" s="3">
        <v>24.39</v>
      </c>
      <c r="R1844" s="3">
        <v>3.1707000000000001</v>
      </c>
      <c r="S1844" s="3">
        <v>0</v>
      </c>
      <c r="T1844" s="3">
        <v>0</v>
      </c>
      <c r="U1844" s="3">
        <v>27.560700000000001</v>
      </c>
      <c r="V1844" s="3" t="s">
        <v>8046</v>
      </c>
      <c r="W1844" s="3" t="s">
        <v>1</v>
      </c>
    </row>
    <row r="1845" spans="5:23" hidden="1" x14ac:dyDescent="0.25">
      <c r="E1845" t="s">
        <v>8126</v>
      </c>
      <c r="F1845" s="1" t="s">
        <v>8156</v>
      </c>
      <c r="G1845" t="s">
        <v>1</v>
      </c>
      <c r="H1845" t="s">
        <v>0</v>
      </c>
      <c r="I1845" t="s">
        <v>8165</v>
      </c>
      <c r="J1845" t="s">
        <v>8164</v>
      </c>
      <c r="K1845">
        <v>12029</v>
      </c>
      <c r="L1845">
        <v>12029</v>
      </c>
      <c r="M1845" t="s">
        <v>8269</v>
      </c>
      <c r="N1845" t="s">
        <v>8270</v>
      </c>
      <c r="O1845" s="3">
        <v>0</v>
      </c>
      <c r="P1845" s="3">
        <v>0</v>
      </c>
      <c r="Q1845" s="3">
        <v>62.7</v>
      </c>
      <c r="R1845" s="3">
        <v>8.1509999999999998</v>
      </c>
      <c r="S1845" s="3">
        <v>0</v>
      </c>
      <c r="T1845" s="3">
        <v>0</v>
      </c>
      <c r="U1845" s="3">
        <v>70.850999999999999</v>
      </c>
      <c r="V1845" s="3" t="s">
        <v>8046</v>
      </c>
      <c r="W1845" s="3" t="s">
        <v>1</v>
      </c>
    </row>
    <row r="1846" spans="5:23" hidden="1" x14ac:dyDescent="0.25">
      <c r="E1846" t="s">
        <v>8126</v>
      </c>
      <c r="F1846" s="1" t="s">
        <v>8156</v>
      </c>
      <c r="G1846" t="s">
        <v>1</v>
      </c>
      <c r="H1846" t="s">
        <v>0</v>
      </c>
      <c r="I1846" t="s">
        <v>8165</v>
      </c>
      <c r="J1846" t="s">
        <v>8164</v>
      </c>
      <c r="K1846">
        <v>12030</v>
      </c>
      <c r="L1846">
        <v>12030</v>
      </c>
      <c r="M1846" t="s">
        <v>8241</v>
      </c>
      <c r="N1846" t="s">
        <v>8242</v>
      </c>
      <c r="O1846" s="3">
        <v>0</v>
      </c>
      <c r="P1846" s="3">
        <v>0</v>
      </c>
      <c r="Q1846" s="3">
        <v>233.1</v>
      </c>
      <c r="R1846" s="3">
        <v>30.303000000000001</v>
      </c>
      <c r="S1846" s="3">
        <v>0</v>
      </c>
      <c r="T1846" s="3">
        <v>0</v>
      </c>
      <c r="U1846" s="3">
        <v>263.40300000000002</v>
      </c>
      <c r="V1846" s="3" t="s">
        <v>8046</v>
      </c>
      <c r="W1846" s="3" t="s">
        <v>1</v>
      </c>
    </row>
    <row r="1847" spans="5:23" hidden="1" x14ac:dyDescent="0.25">
      <c r="E1847" t="s">
        <v>8126</v>
      </c>
      <c r="F1847" s="1" t="s">
        <v>8156</v>
      </c>
      <c r="G1847" t="s">
        <v>1</v>
      </c>
      <c r="H1847" t="s">
        <v>0</v>
      </c>
      <c r="I1847" t="s">
        <v>8165</v>
      </c>
      <c r="J1847" t="s">
        <v>8164</v>
      </c>
      <c r="K1847">
        <v>12031</v>
      </c>
      <c r="L1847">
        <v>12031</v>
      </c>
      <c r="M1847" t="s">
        <v>8300</v>
      </c>
      <c r="N1847" t="s">
        <v>8301</v>
      </c>
      <c r="O1847" s="3">
        <v>0</v>
      </c>
      <c r="P1847" s="3">
        <v>0</v>
      </c>
      <c r="Q1847" s="3">
        <v>95.25</v>
      </c>
      <c r="R1847" s="3">
        <v>12.3825</v>
      </c>
      <c r="S1847" s="3">
        <v>0</v>
      </c>
      <c r="T1847" s="3">
        <v>0</v>
      </c>
      <c r="U1847" s="3">
        <v>107.63249999999999</v>
      </c>
      <c r="V1847" s="3" t="s">
        <v>8046</v>
      </c>
      <c r="W1847" s="3" t="s">
        <v>1</v>
      </c>
    </row>
    <row r="1848" spans="5:23" hidden="1" x14ac:dyDescent="0.25">
      <c r="E1848" t="s">
        <v>8126</v>
      </c>
      <c r="F1848" s="1" t="s">
        <v>8156</v>
      </c>
      <c r="G1848" t="s">
        <v>1</v>
      </c>
      <c r="H1848" t="s">
        <v>0</v>
      </c>
      <c r="I1848" t="s">
        <v>8165</v>
      </c>
      <c r="J1848" t="s">
        <v>8164</v>
      </c>
      <c r="K1848">
        <v>12032</v>
      </c>
      <c r="L1848">
        <v>12032</v>
      </c>
      <c r="M1848" t="s">
        <v>8232</v>
      </c>
      <c r="N1848" t="s">
        <v>8233</v>
      </c>
      <c r="O1848" s="3">
        <v>0</v>
      </c>
      <c r="P1848" s="3">
        <v>0</v>
      </c>
      <c r="Q1848" s="3">
        <v>615.04</v>
      </c>
      <c r="R1848" s="3">
        <v>79.955200000000005</v>
      </c>
      <c r="S1848" s="3">
        <v>0</v>
      </c>
      <c r="T1848" s="3">
        <v>0</v>
      </c>
      <c r="U1848" s="3">
        <v>694.99519999999995</v>
      </c>
      <c r="V1848" s="3" t="s">
        <v>8046</v>
      </c>
      <c r="W1848" s="3" t="s">
        <v>1</v>
      </c>
    </row>
    <row r="1849" spans="5:23" hidden="1" x14ac:dyDescent="0.25">
      <c r="E1849" t="s">
        <v>8126</v>
      </c>
      <c r="F1849" s="1" t="s">
        <v>8156</v>
      </c>
      <c r="G1849" t="s">
        <v>1</v>
      </c>
      <c r="H1849" t="s">
        <v>0</v>
      </c>
      <c r="I1849" t="s">
        <v>8165</v>
      </c>
      <c r="J1849" t="s">
        <v>8164</v>
      </c>
      <c r="K1849">
        <v>12033</v>
      </c>
      <c r="L1849">
        <v>12033</v>
      </c>
      <c r="M1849" t="s">
        <v>8320</v>
      </c>
      <c r="N1849" t="s">
        <v>8321</v>
      </c>
      <c r="O1849" s="3">
        <v>0</v>
      </c>
      <c r="P1849" s="3">
        <v>0</v>
      </c>
      <c r="Q1849" s="3">
        <v>23.89</v>
      </c>
      <c r="R1849" s="3">
        <v>3.1057000000000001</v>
      </c>
      <c r="S1849" s="3">
        <v>0</v>
      </c>
      <c r="T1849" s="3">
        <v>0</v>
      </c>
      <c r="U1849" s="3">
        <v>26.995699999999999</v>
      </c>
      <c r="V1849" s="3" t="s">
        <v>8046</v>
      </c>
      <c r="W1849" s="3" t="s">
        <v>1</v>
      </c>
    </row>
    <row r="1850" spans="5:23" hidden="1" x14ac:dyDescent="0.25">
      <c r="E1850" t="s">
        <v>8126</v>
      </c>
      <c r="F1850" s="1" t="s">
        <v>8156</v>
      </c>
      <c r="G1850" t="s">
        <v>1</v>
      </c>
      <c r="H1850" t="s">
        <v>0</v>
      </c>
      <c r="I1850" t="s">
        <v>8165</v>
      </c>
      <c r="J1850" t="s">
        <v>8164</v>
      </c>
      <c r="K1850">
        <v>12034</v>
      </c>
      <c r="L1850">
        <v>12034</v>
      </c>
      <c r="M1850" t="s">
        <v>807</v>
      </c>
      <c r="N1850" t="s">
        <v>808</v>
      </c>
      <c r="O1850" s="3">
        <v>0</v>
      </c>
      <c r="P1850" s="3">
        <v>0</v>
      </c>
      <c r="Q1850" s="3">
        <v>90.27</v>
      </c>
      <c r="R1850" s="3">
        <v>11.735099999999999</v>
      </c>
      <c r="S1850" s="3">
        <v>0</v>
      </c>
      <c r="T1850" s="3">
        <v>0</v>
      </c>
      <c r="U1850" s="3">
        <v>102.0051</v>
      </c>
      <c r="V1850" s="3" t="s">
        <v>8046</v>
      </c>
      <c r="W1850" s="3" t="s">
        <v>1</v>
      </c>
    </row>
    <row r="1851" spans="5:23" hidden="1" x14ac:dyDescent="0.25">
      <c r="E1851" t="s">
        <v>8126</v>
      </c>
      <c r="F1851" s="1" t="s">
        <v>8156</v>
      </c>
      <c r="G1851" t="s">
        <v>1</v>
      </c>
      <c r="H1851" t="s">
        <v>0</v>
      </c>
      <c r="I1851" t="s">
        <v>8165</v>
      </c>
      <c r="J1851" t="s">
        <v>8164</v>
      </c>
      <c r="K1851">
        <v>12035</v>
      </c>
      <c r="L1851">
        <v>12035</v>
      </c>
      <c r="M1851" t="s">
        <v>8207</v>
      </c>
      <c r="N1851" t="s">
        <v>8208</v>
      </c>
      <c r="O1851" s="3">
        <v>0</v>
      </c>
      <c r="P1851" s="3">
        <v>0</v>
      </c>
      <c r="Q1851" s="3">
        <v>26.55</v>
      </c>
      <c r="R1851" s="3">
        <v>3.4515000000000002</v>
      </c>
      <c r="S1851" s="3">
        <v>0</v>
      </c>
      <c r="T1851" s="3">
        <v>0</v>
      </c>
      <c r="U1851" s="3">
        <v>30.0015</v>
      </c>
      <c r="V1851" s="3" t="s">
        <v>8046</v>
      </c>
      <c r="W1851" s="3" t="s">
        <v>1</v>
      </c>
    </row>
    <row r="1852" spans="5:23" hidden="1" x14ac:dyDescent="0.25">
      <c r="E1852" t="s">
        <v>8126</v>
      </c>
      <c r="F1852" s="1" t="s">
        <v>8156</v>
      </c>
      <c r="G1852" t="s">
        <v>1</v>
      </c>
      <c r="H1852" t="s">
        <v>0</v>
      </c>
      <c r="I1852" t="s">
        <v>8165</v>
      </c>
      <c r="J1852" t="s">
        <v>8164</v>
      </c>
      <c r="K1852">
        <v>12036</v>
      </c>
      <c r="L1852">
        <v>12036</v>
      </c>
      <c r="M1852" t="s">
        <v>8213</v>
      </c>
      <c r="N1852" t="s">
        <v>8181</v>
      </c>
      <c r="O1852" s="3">
        <v>0</v>
      </c>
      <c r="P1852" s="3">
        <v>0</v>
      </c>
      <c r="Q1852" s="3">
        <v>12.41</v>
      </c>
      <c r="R1852" s="3">
        <v>1.6133000000000002</v>
      </c>
      <c r="S1852" s="3">
        <v>0</v>
      </c>
      <c r="T1852" s="3">
        <v>0</v>
      </c>
      <c r="U1852" s="3">
        <v>14.023300000000001</v>
      </c>
      <c r="V1852" s="3" t="s">
        <v>8046</v>
      </c>
      <c r="W1852" s="3" t="s">
        <v>1</v>
      </c>
    </row>
    <row r="1853" spans="5:23" hidden="1" x14ac:dyDescent="0.25">
      <c r="E1853" t="s">
        <v>8126</v>
      </c>
      <c r="F1853" s="1" t="s">
        <v>8156</v>
      </c>
      <c r="G1853" t="s">
        <v>1</v>
      </c>
      <c r="H1853" t="s">
        <v>0</v>
      </c>
      <c r="I1853" t="s">
        <v>8165</v>
      </c>
      <c r="J1853" t="s">
        <v>8164</v>
      </c>
      <c r="K1853">
        <v>12037</v>
      </c>
      <c r="L1853">
        <v>12037</v>
      </c>
      <c r="M1853" t="s">
        <v>8318</v>
      </c>
      <c r="N1853" t="s">
        <v>8319</v>
      </c>
      <c r="O1853" s="3">
        <v>0</v>
      </c>
      <c r="P1853" s="3">
        <v>0</v>
      </c>
      <c r="Q1853" s="3">
        <v>52.56</v>
      </c>
      <c r="R1853" s="3">
        <v>6.8328000000000007</v>
      </c>
      <c r="S1853" s="3">
        <v>0</v>
      </c>
      <c r="T1853" s="3">
        <v>0</v>
      </c>
      <c r="U1853" s="3">
        <v>59.392800000000001</v>
      </c>
      <c r="V1853" s="3" t="s">
        <v>8046</v>
      </c>
      <c r="W1853" s="3" t="s">
        <v>1</v>
      </c>
    </row>
    <row r="1854" spans="5:23" hidden="1" x14ac:dyDescent="0.25">
      <c r="E1854" t="s">
        <v>8126</v>
      </c>
      <c r="F1854" s="1" t="s">
        <v>8155</v>
      </c>
      <c r="G1854" t="s">
        <v>1</v>
      </c>
      <c r="H1854" t="s">
        <v>0</v>
      </c>
      <c r="I1854" t="s">
        <v>8165</v>
      </c>
      <c r="J1854" t="s">
        <v>8164</v>
      </c>
      <c r="K1854">
        <v>12038</v>
      </c>
      <c r="L1854">
        <v>12038</v>
      </c>
      <c r="M1854" t="s">
        <v>8255</v>
      </c>
      <c r="N1854" t="s">
        <v>8256</v>
      </c>
      <c r="O1854" s="3">
        <v>0</v>
      </c>
      <c r="P1854" s="3">
        <v>0</v>
      </c>
      <c r="Q1854" s="3">
        <v>424.4</v>
      </c>
      <c r="R1854" s="3">
        <v>55.171999999999997</v>
      </c>
      <c r="S1854" s="3">
        <v>0</v>
      </c>
      <c r="T1854" s="3">
        <v>0</v>
      </c>
      <c r="U1854" s="3">
        <v>479.572</v>
      </c>
      <c r="V1854" s="3" t="s">
        <v>8046</v>
      </c>
      <c r="W1854" s="3" t="s">
        <v>1</v>
      </c>
    </row>
    <row r="1855" spans="5:23" hidden="1" x14ac:dyDescent="0.25">
      <c r="E1855" t="s">
        <v>8126</v>
      </c>
      <c r="F1855" s="1" t="s">
        <v>8155</v>
      </c>
      <c r="G1855" t="s">
        <v>1</v>
      </c>
      <c r="H1855" t="s">
        <v>0</v>
      </c>
      <c r="I1855" t="s">
        <v>8165</v>
      </c>
      <c r="J1855" t="s">
        <v>8164</v>
      </c>
      <c r="K1855">
        <v>12039</v>
      </c>
      <c r="L1855">
        <v>12039</v>
      </c>
      <c r="M1855" t="s">
        <v>8224</v>
      </c>
      <c r="N1855" t="s">
        <v>8225</v>
      </c>
      <c r="O1855" s="3">
        <v>0</v>
      </c>
      <c r="P1855" s="3">
        <v>0</v>
      </c>
      <c r="Q1855" s="3">
        <v>21.5</v>
      </c>
      <c r="R1855" s="3">
        <v>2.7949999999999999</v>
      </c>
      <c r="S1855" s="3">
        <v>0</v>
      </c>
      <c r="T1855" s="3">
        <v>0</v>
      </c>
      <c r="U1855" s="3">
        <v>24.295000000000002</v>
      </c>
      <c r="V1855" s="3" t="s">
        <v>8046</v>
      </c>
      <c r="W1855" s="3" t="s">
        <v>1</v>
      </c>
    </row>
    <row r="1856" spans="5:23" hidden="1" x14ac:dyDescent="0.25">
      <c r="E1856" t="s">
        <v>8126</v>
      </c>
      <c r="F1856" s="1" t="s">
        <v>8155</v>
      </c>
      <c r="G1856" t="s">
        <v>1</v>
      </c>
      <c r="H1856" t="s">
        <v>0</v>
      </c>
      <c r="I1856" t="s">
        <v>8165</v>
      </c>
      <c r="J1856" t="s">
        <v>8164</v>
      </c>
      <c r="K1856">
        <v>12040</v>
      </c>
      <c r="L1856">
        <v>12040</v>
      </c>
      <c r="M1856" t="s">
        <v>734</v>
      </c>
      <c r="N1856" t="s">
        <v>735</v>
      </c>
      <c r="O1856" s="3">
        <v>0</v>
      </c>
      <c r="P1856" s="3">
        <v>0</v>
      </c>
      <c r="Q1856" s="3">
        <v>577.72</v>
      </c>
      <c r="R1856" s="3">
        <v>75.1036</v>
      </c>
      <c r="S1856" s="3">
        <v>0</v>
      </c>
      <c r="T1856" s="3">
        <v>0</v>
      </c>
      <c r="U1856" s="3">
        <v>652.82360000000006</v>
      </c>
      <c r="V1856" s="3" t="s">
        <v>8046</v>
      </c>
      <c r="W1856" s="3" t="s">
        <v>1</v>
      </c>
    </row>
    <row r="1857" spans="5:23" hidden="1" x14ac:dyDescent="0.25">
      <c r="E1857" t="s">
        <v>8126</v>
      </c>
      <c r="F1857" s="1" t="s">
        <v>8155</v>
      </c>
      <c r="G1857" t="s">
        <v>1</v>
      </c>
      <c r="H1857" t="s">
        <v>0</v>
      </c>
      <c r="I1857" t="s">
        <v>8165</v>
      </c>
      <c r="J1857" t="s">
        <v>8164</v>
      </c>
      <c r="K1857">
        <v>12041</v>
      </c>
      <c r="L1857">
        <v>12041</v>
      </c>
      <c r="M1857" t="s">
        <v>1273</v>
      </c>
      <c r="N1857" t="s">
        <v>1274</v>
      </c>
      <c r="O1857" s="3">
        <v>0</v>
      </c>
      <c r="P1857" s="3">
        <v>0</v>
      </c>
      <c r="Q1857" s="3">
        <v>411.5</v>
      </c>
      <c r="R1857" s="3">
        <v>53.495000000000005</v>
      </c>
      <c r="S1857" s="3">
        <v>0</v>
      </c>
      <c r="T1857" s="3">
        <v>0</v>
      </c>
      <c r="U1857" s="3">
        <v>464.995</v>
      </c>
      <c r="V1857" s="3" t="s">
        <v>8046</v>
      </c>
      <c r="W1857" s="3" t="s">
        <v>1</v>
      </c>
    </row>
    <row r="1858" spans="5:23" hidden="1" x14ac:dyDescent="0.25">
      <c r="E1858" t="s">
        <v>8126</v>
      </c>
      <c r="F1858" s="1" t="s">
        <v>8155</v>
      </c>
      <c r="G1858" t="s">
        <v>1</v>
      </c>
      <c r="H1858" t="s">
        <v>0</v>
      </c>
      <c r="I1858" t="s">
        <v>8165</v>
      </c>
      <c r="J1858" t="s">
        <v>8164</v>
      </c>
      <c r="K1858">
        <v>12042</v>
      </c>
      <c r="L1858">
        <v>12042</v>
      </c>
      <c r="M1858" t="s">
        <v>8306</v>
      </c>
      <c r="N1858" t="s">
        <v>8307</v>
      </c>
      <c r="O1858" s="3">
        <v>0</v>
      </c>
      <c r="P1858" s="3">
        <v>0</v>
      </c>
      <c r="Q1858" s="3">
        <v>17.7</v>
      </c>
      <c r="R1858" s="3">
        <v>2.3010000000000002</v>
      </c>
      <c r="S1858" s="3">
        <v>0</v>
      </c>
      <c r="T1858" s="3">
        <v>0</v>
      </c>
      <c r="U1858" s="3">
        <v>20.000999999999998</v>
      </c>
      <c r="V1858" s="3" t="s">
        <v>8046</v>
      </c>
      <c r="W1858" s="3" t="s">
        <v>1</v>
      </c>
    </row>
    <row r="1859" spans="5:23" hidden="1" x14ac:dyDescent="0.25">
      <c r="E1859" t="s">
        <v>8126</v>
      </c>
      <c r="F1859" s="34" t="s">
        <v>8155</v>
      </c>
      <c r="G1859" t="s">
        <v>1</v>
      </c>
      <c r="H1859" t="s">
        <v>0</v>
      </c>
      <c r="I1859" t="s">
        <v>8165</v>
      </c>
      <c r="J1859" t="s">
        <v>8164</v>
      </c>
      <c r="K1859">
        <v>12043</v>
      </c>
      <c r="L1859">
        <v>12043</v>
      </c>
      <c r="M1859" t="s">
        <v>8287</v>
      </c>
      <c r="N1859" t="s">
        <v>8288</v>
      </c>
      <c r="O1859" s="3">
        <v>0</v>
      </c>
      <c r="P1859" s="3">
        <v>0</v>
      </c>
      <c r="Q1859" s="3">
        <v>35.5</v>
      </c>
      <c r="R1859" s="3">
        <v>4.6150000000000002</v>
      </c>
      <c r="S1859" s="3">
        <v>0</v>
      </c>
      <c r="T1859" s="3">
        <v>0</v>
      </c>
      <c r="U1859" s="3">
        <v>40.115000000000002</v>
      </c>
      <c r="V1859" s="3" t="s">
        <v>8046</v>
      </c>
      <c r="W1859" s="3" t="s">
        <v>1</v>
      </c>
    </row>
    <row r="1860" spans="5:23" hidden="1" x14ac:dyDescent="0.25">
      <c r="E1860" t="s">
        <v>8126</v>
      </c>
      <c r="F1860" s="34" t="s">
        <v>8155</v>
      </c>
      <c r="G1860" t="s">
        <v>1</v>
      </c>
      <c r="H1860" t="s">
        <v>0</v>
      </c>
      <c r="I1860" t="s">
        <v>8165</v>
      </c>
      <c r="J1860" t="s">
        <v>8164</v>
      </c>
      <c r="K1860">
        <v>12044</v>
      </c>
      <c r="L1860">
        <v>12044</v>
      </c>
      <c r="M1860" t="s">
        <v>7852</v>
      </c>
      <c r="N1860" t="s">
        <v>7851</v>
      </c>
      <c r="O1860" s="3">
        <v>0</v>
      </c>
      <c r="P1860" s="3">
        <v>0</v>
      </c>
      <c r="Q1860" s="3">
        <v>0</v>
      </c>
      <c r="R1860" s="3">
        <v>0</v>
      </c>
      <c r="S1860" s="3">
        <v>0</v>
      </c>
      <c r="T1860" s="3">
        <v>0</v>
      </c>
      <c r="U1860" s="3">
        <v>0</v>
      </c>
      <c r="V1860" s="3" t="s">
        <v>8046</v>
      </c>
      <c r="W1860" s="3" t="s">
        <v>1</v>
      </c>
    </row>
    <row r="1861" spans="5:23" s="58" customFormat="1" hidden="1" x14ac:dyDescent="0.25">
      <c r="E1861" t="s">
        <v>8126</v>
      </c>
      <c r="F1861" s="34" t="s">
        <v>8155</v>
      </c>
      <c r="G1861" t="s">
        <v>1</v>
      </c>
      <c r="H1861" t="s">
        <v>0</v>
      </c>
      <c r="I1861" t="s">
        <v>8165</v>
      </c>
      <c r="J1861" t="s">
        <v>8164</v>
      </c>
      <c r="K1861">
        <v>12045</v>
      </c>
      <c r="L1861">
        <v>12045</v>
      </c>
      <c r="M1861" t="s">
        <v>8178</v>
      </c>
      <c r="N1861" t="s">
        <v>8179</v>
      </c>
      <c r="O1861" s="3">
        <v>0</v>
      </c>
      <c r="P1861" s="3">
        <v>0</v>
      </c>
      <c r="Q1861" s="3">
        <v>318.8</v>
      </c>
      <c r="R1861" s="3">
        <v>41.444000000000003</v>
      </c>
      <c r="S1861" s="3">
        <v>0</v>
      </c>
      <c r="T1861" s="3">
        <v>0</v>
      </c>
      <c r="U1861" s="3">
        <v>360.24400000000003</v>
      </c>
      <c r="V1861" s="3" t="s">
        <v>8046</v>
      </c>
      <c r="W1861" s="3" t="s">
        <v>1</v>
      </c>
    </row>
    <row r="1862" spans="5:23" s="56" customFormat="1" hidden="1" x14ac:dyDescent="0.25">
      <c r="E1862" t="s">
        <v>8126</v>
      </c>
      <c r="F1862" s="1" t="s">
        <v>8135</v>
      </c>
      <c r="G1862" t="s">
        <v>1</v>
      </c>
      <c r="H1862" t="s">
        <v>0</v>
      </c>
      <c r="I1862" t="s">
        <v>8165</v>
      </c>
      <c r="J1862" t="s">
        <v>8164</v>
      </c>
      <c r="K1862">
        <v>12046</v>
      </c>
      <c r="L1862">
        <v>12046</v>
      </c>
      <c r="M1862" t="s">
        <v>8214</v>
      </c>
      <c r="N1862" t="s">
        <v>8215</v>
      </c>
      <c r="O1862" s="3">
        <v>0</v>
      </c>
      <c r="P1862" s="3">
        <v>0</v>
      </c>
      <c r="Q1862" s="3">
        <v>79.7</v>
      </c>
      <c r="R1862" s="3">
        <v>10.361000000000001</v>
      </c>
      <c r="S1862" s="3">
        <v>0</v>
      </c>
      <c r="T1862" s="3">
        <v>0</v>
      </c>
      <c r="U1862" s="3">
        <v>90.061000000000007</v>
      </c>
      <c r="V1862" s="3" t="s">
        <v>8046</v>
      </c>
      <c r="W1862" s="3" t="s">
        <v>1</v>
      </c>
    </row>
    <row r="1863" spans="5:23" hidden="1" x14ac:dyDescent="0.25">
      <c r="E1863" t="s">
        <v>8126</v>
      </c>
      <c r="F1863" s="1" t="s">
        <v>8135</v>
      </c>
      <c r="G1863" t="s">
        <v>1</v>
      </c>
      <c r="H1863" t="s">
        <v>0</v>
      </c>
      <c r="I1863" t="s">
        <v>8165</v>
      </c>
      <c r="J1863" t="s">
        <v>8164</v>
      </c>
      <c r="K1863">
        <v>12047</v>
      </c>
      <c r="L1863">
        <v>12047</v>
      </c>
      <c r="M1863" t="s">
        <v>8190</v>
      </c>
      <c r="N1863" t="s">
        <v>8191</v>
      </c>
      <c r="O1863" s="3">
        <v>0</v>
      </c>
      <c r="P1863" s="3">
        <v>0</v>
      </c>
      <c r="Q1863" s="3">
        <v>154.87</v>
      </c>
      <c r="R1863" s="3">
        <v>20.133100000000002</v>
      </c>
      <c r="S1863" s="3">
        <v>0</v>
      </c>
      <c r="T1863" s="3">
        <v>0</v>
      </c>
      <c r="U1863" s="3">
        <v>175.00310000000002</v>
      </c>
      <c r="V1863" s="3" t="s">
        <v>8046</v>
      </c>
      <c r="W1863" s="3" t="s">
        <v>1</v>
      </c>
    </row>
    <row r="1864" spans="5:23" hidden="1" x14ac:dyDescent="0.25">
      <c r="E1864" t="s">
        <v>8126</v>
      </c>
      <c r="F1864" s="1" t="s">
        <v>8135</v>
      </c>
      <c r="G1864" t="s">
        <v>1</v>
      </c>
      <c r="H1864" t="s">
        <v>0</v>
      </c>
      <c r="I1864" t="s">
        <v>8165</v>
      </c>
      <c r="J1864" t="s">
        <v>8164</v>
      </c>
      <c r="K1864">
        <v>12048</v>
      </c>
      <c r="L1864">
        <v>12048</v>
      </c>
      <c r="M1864" t="s">
        <v>8166</v>
      </c>
      <c r="N1864" t="s">
        <v>8167</v>
      </c>
      <c r="O1864" s="3">
        <v>0</v>
      </c>
      <c r="P1864" s="3">
        <v>0</v>
      </c>
      <c r="Q1864" s="3">
        <v>478.2</v>
      </c>
      <c r="R1864" s="3">
        <v>62.166000000000004</v>
      </c>
      <c r="S1864" s="3">
        <v>0</v>
      </c>
      <c r="T1864" s="3">
        <v>0</v>
      </c>
      <c r="U1864" s="3">
        <v>540.36599999999999</v>
      </c>
      <c r="V1864" s="3" t="s">
        <v>8046</v>
      </c>
      <c r="W1864" s="3" t="s">
        <v>1</v>
      </c>
    </row>
    <row r="1865" spans="5:23" hidden="1" x14ac:dyDescent="0.25">
      <c r="E1865" t="s">
        <v>8126</v>
      </c>
      <c r="F1865" s="1" t="s">
        <v>8135</v>
      </c>
      <c r="G1865" t="s">
        <v>1</v>
      </c>
      <c r="H1865" t="s">
        <v>0</v>
      </c>
      <c r="I1865" t="s">
        <v>8165</v>
      </c>
      <c r="J1865" t="s">
        <v>8164</v>
      </c>
      <c r="K1865">
        <v>12049</v>
      </c>
      <c r="L1865">
        <v>12049</v>
      </c>
      <c r="M1865" t="s">
        <v>8166</v>
      </c>
      <c r="N1865" t="s">
        <v>8167</v>
      </c>
      <c r="O1865" s="3">
        <v>0</v>
      </c>
      <c r="P1865" s="3">
        <v>0</v>
      </c>
      <c r="Q1865" s="3">
        <v>175.28</v>
      </c>
      <c r="R1865" s="3">
        <v>22.7864</v>
      </c>
      <c r="S1865" s="3">
        <v>0</v>
      </c>
      <c r="T1865" s="3">
        <v>0</v>
      </c>
      <c r="U1865" s="3">
        <v>198.06639999999999</v>
      </c>
      <c r="V1865" s="3" t="s">
        <v>8046</v>
      </c>
      <c r="W1865" s="3" t="s">
        <v>1</v>
      </c>
    </row>
    <row r="1866" spans="5:23" hidden="1" x14ac:dyDescent="0.25">
      <c r="E1866" t="s">
        <v>8126</v>
      </c>
      <c r="F1866" s="1" t="s">
        <v>8135</v>
      </c>
      <c r="G1866" t="s">
        <v>1</v>
      </c>
      <c r="H1866" t="s">
        <v>0</v>
      </c>
      <c r="I1866" t="s">
        <v>8165</v>
      </c>
      <c r="J1866" t="s">
        <v>8164</v>
      </c>
      <c r="K1866">
        <v>12050</v>
      </c>
      <c r="L1866">
        <v>12050</v>
      </c>
      <c r="M1866" t="s">
        <v>242</v>
      </c>
      <c r="N1866" t="s">
        <v>243</v>
      </c>
      <c r="O1866" s="3">
        <v>0</v>
      </c>
      <c r="P1866" s="3">
        <v>0</v>
      </c>
      <c r="Q1866" s="3">
        <v>96.88</v>
      </c>
      <c r="R1866" s="3">
        <v>12.5944</v>
      </c>
      <c r="S1866" s="3">
        <v>0</v>
      </c>
      <c r="T1866" s="3">
        <v>0</v>
      </c>
      <c r="U1866" s="3">
        <v>109.4744</v>
      </c>
      <c r="V1866" s="3" t="s">
        <v>8046</v>
      </c>
      <c r="W1866" s="3" t="s">
        <v>1</v>
      </c>
    </row>
    <row r="1867" spans="5:23" hidden="1" x14ac:dyDescent="0.25">
      <c r="E1867" t="s">
        <v>8126</v>
      </c>
      <c r="F1867" s="1" t="s">
        <v>8135</v>
      </c>
      <c r="G1867" t="s">
        <v>1</v>
      </c>
      <c r="H1867" t="s">
        <v>0</v>
      </c>
      <c r="I1867" t="s">
        <v>8165</v>
      </c>
      <c r="J1867" t="s">
        <v>8164</v>
      </c>
      <c r="K1867">
        <v>12051</v>
      </c>
      <c r="L1867">
        <v>12051</v>
      </c>
      <c r="M1867" t="s">
        <v>8316</v>
      </c>
      <c r="N1867" t="s">
        <v>8317</v>
      </c>
      <c r="O1867" s="3">
        <v>0</v>
      </c>
      <c r="P1867" s="3">
        <v>0</v>
      </c>
      <c r="Q1867" s="3">
        <v>88.5</v>
      </c>
      <c r="R1867" s="3">
        <v>11.505000000000001</v>
      </c>
      <c r="S1867" s="3">
        <v>0</v>
      </c>
      <c r="T1867" s="3">
        <v>0</v>
      </c>
      <c r="U1867" s="3">
        <v>100.005</v>
      </c>
      <c r="V1867" s="3" t="s">
        <v>8046</v>
      </c>
      <c r="W1867" s="3" t="s">
        <v>1</v>
      </c>
    </row>
    <row r="1868" spans="5:23" hidden="1" x14ac:dyDescent="0.25">
      <c r="E1868" t="s">
        <v>8126</v>
      </c>
      <c r="F1868" s="1" t="s">
        <v>8135</v>
      </c>
      <c r="G1868" t="s">
        <v>1</v>
      </c>
      <c r="H1868" t="s">
        <v>0</v>
      </c>
      <c r="I1868" t="s">
        <v>8165</v>
      </c>
      <c r="J1868" t="s">
        <v>8164</v>
      </c>
      <c r="K1868">
        <v>12052</v>
      </c>
      <c r="L1868">
        <v>12052</v>
      </c>
      <c r="M1868" t="s">
        <v>8186</v>
      </c>
      <c r="N1868" t="s">
        <v>8187</v>
      </c>
      <c r="O1868" s="3">
        <v>0</v>
      </c>
      <c r="P1868" s="3">
        <v>0</v>
      </c>
      <c r="Q1868" s="3">
        <v>67.900000000000006</v>
      </c>
      <c r="R1868" s="3">
        <v>8.8270000000000017</v>
      </c>
      <c r="S1868" s="3">
        <v>0</v>
      </c>
      <c r="T1868" s="3">
        <v>0</v>
      </c>
      <c r="U1868" s="3">
        <v>76.727000000000004</v>
      </c>
      <c r="V1868" s="3" t="s">
        <v>8046</v>
      </c>
      <c r="W1868" s="3" t="s">
        <v>1</v>
      </c>
    </row>
    <row r="1869" spans="5:23" hidden="1" x14ac:dyDescent="0.25">
      <c r="E1869" t="s">
        <v>8126</v>
      </c>
      <c r="F1869" s="1" t="s">
        <v>8135</v>
      </c>
      <c r="G1869" t="s">
        <v>1</v>
      </c>
      <c r="H1869" t="s">
        <v>0</v>
      </c>
      <c r="I1869" t="s">
        <v>8165</v>
      </c>
      <c r="J1869" t="s">
        <v>8164</v>
      </c>
      <c r="K1869">
        <v>12053</v>
      </c>
      <c r="L1869">
        <v>12053</v>
      </c>
      <c r="M1869" t="s">
        <v>8314</v>
      </c>
      <c r="N1869" t="s">
        <v>8315</v>
      </c>
      <c r="O1869" s="3">
        <v>0</v>
      </c>
      <c r="P1869" s="3">
        <v>0</v>
      </c>
      <c r="Q1869" s="3">
        <v>130.9</v>
      </c>
      <c r="R1869" s="3">
        <v>17.017000000000003</v>
      </c>
      <c r="S1869" s="3">
        <v>0</v>
      </c>
      <c r="T1869" s="3">
        <v>0</v>
      </c>
      <c r="U1869" s="3">
        <v>147.917</v>
      </c>
      <c r="V1869" s="3" t="s">
        <v>8046</v>
      </c>
      <c r="W1869" s="3" t="s">
        <v>1</v>
      </c>
    </row>
    <row r="1870" spans="5:23" hidden="1" x14ac:dyDescent="0.25">
      <c r="E1870" t="s">
        <v>8126</v>
      </c>
      <c r="F1870" s="34" t="s">
        <v>8135</v>
      </c>
      <c r="G1870" t="s">
        <v>1</v>
      </c>
      <c r="H1870" t="s">
        <v>0</v>
      </c>
      <c r="I1870" t="s">
        <v>8165</v>
      </c>
      <c r="J1870" t="s">
        <v>8164</v>
      </c>
      <c r="K1870">
        <v>12054</v>
      </c>
      <c r="L1870">
        <v>12054</v>
      </c>
      <c r="M1870" t="s">
        <v>7852</v>
      </c>
      <c r="N1870" t="s">
        <v>7851</v>
      </c>
      <c r="O1870" s="3">
        <v>0</v>
      </c>
      <c r="P1870" s="3">
        <v>0</v>
      </c>
      <c r="Q1870" s="3">
        <v>0</v>
      </c>
      <c r="R1870" s="3">
        <v>0</v>
      </c>
      <c r="S1870" s="3">
        <v>0</v>
      </c>
      <c r="T1870" s="3">
        <v>0</v>
      </c>
      <c r="U1870" s="3">
        <v>0</v>
      </c>
      <c r="V1870" s="3" t="s">
        <v>8046</v>
      </c>
      <c r="W1870" s="3" t="s">
        <v>1</v>
      </c>
    </row>
    <row r="1871" spans="5:23" hidden="1" x14ac:dyDescent="0.25">
      <c r="E1871" t="s">
        <v>8126</v>
      </c>
      <c r="F1871" s="34" t="s">
        <v>8135</v>
      </c>
      <c r="G1871" t="s">
        <v>1</v>
      </c>
      <c r="H1871" t="s">
        <v>0</v>
      </c>
      <c r="I1871" t="s">
        <v>8165</v>
      </c>
      <c r="J1871" t="s">
        <v>8164</v>
      </c>
      <c r="K1871">
        <v>12055</v>
      </c>
      <c r="L1871">
        <v>12055</v>
      </c>
      <c r="M1871" s="33" t="s">
        <v>8314</v>
      </c>
      <c r="N1871" t="s">
        <v>8315</v>
      </c>
      <c r="O1871" s="3">
        <v>0</v>
      </c>
      <c r="P1871" s="3">
        <v>0</v>
      </c>
      <c r="Q1871" s="3">
        <v>144</v>
      </c>
      <c r="R1871" s="3">
        <v>18.72</v>
      </c>
      <c r="S1871" s="3">
        <v>0</v>
      </c>
      <c r="T1871" s="3">
        <v>0</v>
      </c>
      <c r="U1871" s="3">
        <v>162.72</v>
      </c>
      <c r="V1871" s="3" t="s">
        <v>8046</v>
      </c>
      <c r="W1871" s="3" t="s">
        <v>1</v>
      </c>
    </row>
    <row r="1872" spans="5:23" hidden="1" x14ac:dyDescent="0.25">
      <c r="E1872" t="s">
        <v>8126</v>
      </c>
      <c r="F1872" s="1" t="s">
        <v>8140</v>
      </c>
      <c r="G1872" t="s">
        <v>1</v>
      </c>
      <c r="H1872" t="s">
        <v>0</v>
      </c>
      <c r="I1872" t="s">
        <v>8165</v>
      </c>
      <c r="J1872" t="s">
        <v>8164</v>
      </c>
      <c r="K1872">
        <v>12056</v>
      </c>
      <c r="L1872">
        <v>12056</v>
      </c>
      <c r="M1872" t="s">
        <v>7852</v>
      </c>
      <c r="N1872" t="s">
        <v>7851</v>
      </c>
      <c r="O1872" s="3">
        <v>0</v>
      </c>
      <c r="P1872" s="3">
        <v>0</v>
      </c>
      <c r="Q1872" s="3">
        <v>0</v>
      </c>
      <c r="R1872" s="3">
        <v>0</v>
      </c>
      <c r="S1872" s="3">
        <v>0</v>
      </c>
      <c r="T1872" s="3">
        <v>0</v>
      </c>
      <c r="U1872" s="3">
        <v>0</v>
      </c>
      <c r="V1872" s="3" t="s">
        <v>8046</v>
      </c>
      <c r="W1872" s="3" t="s">
        <v>1</v>
      </c>
    </row>
    <row r="1873" spans="5:23" hidden="1" x14ac:dyDescent="0.25">
      <c r="E1873" t="s">
        <v>8126</v>
      </c>
      <c r="F1873" s="1" t="s">
        <v>8140</v>
      </c>
      <c r="G1873" t="s">
        <v>1</v>
      </c>
      <c r="H1873" t="s">
        <v>0</v>
      </c>
      <c r="I1873" t="s">
        <v>8165</v>
      </c>
      <c r="J1873" t="s">
        <v>8164</v>
      </c>
      <c r="K1873">
        <v>12057</v>
      </c>
      <c r="L1873">
        <v>12057</v>
      </c>
      <c r="M1873" t="s">
        <v>8239</v>
      </c>
      <c r="N1873" t="s">
        <v>8240</v>
      </c>
      <c r="O1873" s="3">
        <v>0</v>
      </c>
      <c r="P1873" s="3">
        <v>0</v>
      </c>
      <c r="Q1873" s="3">
        <v>104.5</v>
      </c>
      <c r="R1873" s="3">
        <v>13.585000000000001</v>
      </c>
      <c r="S1873" s="3">
        <v>0</v>
      </c>
      <c r="T1873" s="3">
        <v>0</v>
      </c>
      <c r="U1873" s="3">
        <v>118.08500000000001</v>
      </c>
      <c r="V1873" s="3" t="s">
        <v>8046</v>
      </c>
      <c r="W1873" s="3" t="s">
        <v>1</v>
      </c>
    </row>
    <row r="1874" spans="5:23" hidden="1" x14ac:dyDescent="0.25">
      <c r="E1874" t="s">
        <v>8126</v>
      </c>
      <c r="F1874" s="1" t="s">
        <v>8140</v>
      </c>
      <c r="G1874" t="s">
        <v>1</v>
      </c>
      <c r="H1874" t="s">
        <v>0</v>
      </c>
      <c r="I1874" t="s">
        <v>8165</v>
      </c>
      <c r="J1874" t="s">
        <v>8164</v>
      </c>
      <c r="K1874">
        <v>12058</v>
      </c>
      <c r="L1874">
        <v>12058</v>
      </c>
      <c r="M1874" t="s">
        <v>8166</v>
      </c>
      <c r="N1874" t="s">
        <v>8167</v>
      </c>
      <c r="O1874" s="3">
        <v>0</v>
      </c>
      <c r="P1874" s="3">
        <v>0</v>
      </c>
      <c r="Q1874" s="3">
        <v>116.87</v>
      </c>
      <c r="R1874" s="3">
        <v>15.193100000000001</v>
      </c>
      <c r="S1874" s="3">
        <v>0</v>
      </c>
      <c r="T1874" s="3">
        <v>0</v>
      </c>
      <c r="U1874" s="3">
        <v>132.06310000000002</v>
      </c>
      <c r="V1874" s="3" t="s">
        <v>8046</v>
      </c>
      <c r="W1874" s="3" t="s">
        <v>1</v>
      </c>
    </row>
    <row r="1875" spans="5:23" hidden="1" x14ac:dyDescent="0.25">
      <c r="E1875" t="s">
        <v>8126</v>
      </c>
      <c r="F1875" s="1" t="s">
        <v>8140</v>
      </c>
      <c r="G1875" t="s">
        <v>1</v>
      </c>
      <c r="H1875" t="s">
        <v>0</v>
      </c>
      <c r="I1875" t="s">
        <v>8165</v>
      </c>
      <c r="J1875" t="s">
        <v>8164</v>
      </c>
      <c r="K1875">
        <v>12059</v>
      </c>
      <c r="L1875">
        <v>12059</v>
      </c>
      <c r="M1875" t="s">
        <v>8174</v>
      </c>
      <c r="N1875" t="s">
        <v>8175</v>
      </c>
      <c r="O1875" s="3">
        <v>0</v>
      </c>
      <c r="P1875" s="3">
        <v>0</v>
      </c>
      <c r="Q1875" s="3">
        <v>94.07</v>
      </c>
      <c r="R1875" s="3">
        <v>12.229099999999999</v>
      </c>
      <c r="S1875" s="3">
        <v>0</v>
      </c>
      <c r="T1875" s="3">
        <v>0</v>
      </c>
      <c r="U1875" s="3">
        <v>106.2991</v>
      </c>
      <c r="V1875" s="3" t="s">
        <v>8046</v>
      </c>
      <c r="W1875" s="3" t="s">
        <v>1</v>
      </c>
    </row>
    <row r="1876" spans="5:23" hidden="1" x14ac:dyDescent="0.25">
      <c r="E1876" t="s">
        <v>8126</v>
      </c>
      <c r="F1876" s="1" t="s">
        <v>8140</v>
      </c>
      <c r="G1876" t="s">
        <v>1</v>
      </c>
      <c r="H1876" t="s">
        <v>0</v>
      </c>
      <c r="I1876" t="s">
        <v>8165</v>
      </c>
      <c r="J1876" t="s">
        <v>8164</v>
      </c>
      <c r="K1876">
        <v>12060</v>
      </c>
      <c r="L1876">
        <v>12060</v>
      </c>
      <c r="M1876" t="s">
        <v>734</v>
      </c>
      <c r="N1876" t="s">
        <v>735</v>
      </c>
      <c r="O1876" s="3">
        <v>0</v>
      </c>
      <c r="P1876" s="3">
        <v>0</v>
      </c>
      <c r="Q1876" s="3">
        <v>423.4</v>
      </c>
      <c r="R1876" s="3">
        <v>55.042000000000002</v>
      </c>
      <c r="S1876" s="3">
        <v>0</v>
      </c>
      <c r="T1876" s="3">
        <v>0</v>
      </c>
      <c r="U1876" s="3">
        <v>478.44200000000001</v>
      </c>
      <c r="V1876" s="3" t="s">
        <v>8046</v>
      </c>
      <c r="W1876" s="3" t="s">
        <v>1</v>
      </c>
    </row>
    <row r="1877" spans="5:23" hidden="1" x14ac:dyDescent="0.25">
      <c r="E1877" t="s">
        <v>8126</v>
      </c>
      <c r="F1877" s="1" t="s">
        <v>8140</v>
      </c>
      <c r="G1877" t="s">
        <v>1</v>
      </c>
      <c r="H1877" t="s">
        <v>0</v>
      </c>
      <c r="I1877" t="s">
        <v>8165</v>
      </c>
      <c r="J1877" t="s">
        <v>8164</v>
      </c>
      <c r="K1877">
        <v>12061</v>
      </c>
      <c r="L1877">
        <v>12061</v>
      </c>
      <c r="M1877" t="s">
        <v>8184</v>
      </c>
      <c r="N1877" t="s">
        <v>8185</v>
      </c>
      <c r="O1877" s="3">
        <v>0</v>
      </c>
      <c r="P1877" s="3">
        <v>0</v>
      </c>
      <c r="Q1877" s="3">
        <v>408.52</v>
      </c>
      <c r="R1877" s="3">
        <v>53.107599999999998</v>
      </c>
      <c r="S1877" s="3">
        <v>0</v>
      </c>
      <c r="T1877" s="3">
        <v>0</v>
      </c>
      <c r="U1877" s="3">
        <v>461.62759999999997</v>
      </c>
      <c r="V1877" s="3" t="s">
        <v>8046</v>
      </c>
      <c r="W1877" s="3" t="s">
        <v>1</v>
      </c>
    </row>
    <row r="1878" spans="5:23" hidden="1" x14ac:dyDescent="0.25">
      <c r="E1878" t="s">
        <v>8126</v>
      </c>
      <c r="F1878" s="34" t="s">
        <v>8140</v>
      </c>
      <c r="G1878" t="s">
        <v>1</v>
      </c>
      <c r="H1878" t="s">
        <v>0</v>
      </c>
      <c r="I1878" t="s">
        <v>8165</v>
      </c>
      <c r="J1878" t="s">
        <v>8164</v>
      </c>
      <c r="K1878">
        <v>12062</v>
      </c>
      <c r="L1878">
        <v>12062</v>
      </c>
      <c r="M1878" t="s">
        <v>7852</v>
      </c>
      <c r="N1878" t="s">
        <v>7851</v>
      </c>
      <c r="O1878" s="3">
        <v>0</v>
      </c>
      <c r="P1878" s="3">
        <v>0</v>
      </c>
      <c r="Q1878" s="3">
        <v>0</v>
      </c>
      <c r="R1878" s="3">
        <v>0</v>
      </c>
      <c r="S1878" s="3">
        <v>0</v>
      </c>
      <c r="T1878" s="3">
        <v>0</v>
      </c>
      <c r="U1878" s="3">
        <v>0</v>
      </c>
      <c r="V1878" s="3" t="s">
        <v>8046</v>
      </c>
      <c r="W1878" s="3" t="s">
        <v>1</v>
      </c>
    </row>
    <row r="1879" spans="5:23" hidden="1" x14ac:dyDescent="0.25">
      <c r="E1879" t="s">
        <v>8126</v>
      </c>
      <c r="F1879" s="34" t="s">
        <v>8140</v>
      </c>
      <c r="G1879" t="s">
        <v>1</v>
      </c>
      <c r="H1879" t="s">
        <v>0</v>
      </c>
      <c r="I1879" t="s">
        <v>8165</v>
      </c>
      <c r="J1879" t="s">
        <v>8164</v>
      </c>
      <c r="K1879">
        <v>12063</v>
      </c>
      <c r="L1879">
        <v>12063</v>
      </c>
      <c r="M1879" t="s">
        <v>1423</v>
      </c>
      <c r="N1879" t="s">
        <v>1424</v>
      </c>
      <c r="O1879" s="3">
        <v>0</v>
      </c>
      <c r="P1879" s="3">
        <v>0</v>
      </c>
      <c r="Q1879" s="3">
        <v>169.55</v>
      </c>
      <c r="R1879" s="3">
        <v>22.041500000000003</v>
      </c>
      <c r="S1879" s="3">
        <v>0</v>
      </c>
      <c r="T1879" s="3">
        <v>0</v>
      </c>
      <c r="U1879" s="3">
        <v>191.59150000000002</v>
      </c>
      <c r="V1879" s="3" t="s">
        <v>8046</v>
      </c>
      <c r="W1879" s="3" t="s">
        <v>1</v>
      </c>
    </row>
    <row r="1880" spans="5:23" hidden="1" x14ac:dyDescent="0.25">
      <c r="E1880" t="s">
        <v>8126</v>
      </c>
      <c r="F1880" s="34" t="s">
        <v>8140</v>
      </c>
      <c r="G1880" t="s">
        <v>1</v>
      </c>
      <c r="H1880" t="s">
        <v>0</v>
      </c>
      <c r="I1880" t="s">
        <v>8165</v>
      </c>
      <c r="J1880" t="s">
        <v>8164</v>
      </c>
      <c r="K1880">
        <v>12064</v>
      </c>
      <c r="L1880">
        <v>12064</v>
      </c>
      <c r="M1880" t="s">
        <v>1223</v>
      </c>
      <c r="N1880" t="s">
        <v>1224</v>
      </c>
      <c r="O1880" s="3">
        <v>0</v>
      </c>
      <c r="P1880" s="3">
        <v>0</v>
      </c>
      <c r="Q1880" s="3">
        <v>86.86</v>
      </c>
      <c r="R1880" s="3">
        <v>11.2918</v>
      </c>
      <c r="S1880" s="3">
        <v>0</v>
      </c>
      <c r="T1880" s="3">
        <v>0</v>
      </c>
      <c r="U1880" s="3">
        <v>98.151799999999994</v>
      </c>
      <c r="V1880" s="3" t="s">
        <v>8046</v>
      </c>
      <c r="W1880" s="3" t="s">
        <v>1</v>
      </c>
    </row>
    <row r="1881" spans="5:23" hidden="1" x14ac:dyDescent="0.25">
      <c r="E1881" t="s">
        <v>8126</v>
      </c>
      <c r="F1881" s="34" t="s">
        <v>8140</v>
      </c>
      <c r="G1881" t="s">
        <v>1</v>
      </c>
      <c r="H1881" t="s">
        <v>0</v>
      </c>
      <c r="I1881" t="s">
        <v>8165</v>
      </c>
      <c r="J1881" t="s">
        <v>8164</v>
      </c>
      <c r="K1881">
        <v>12065</v>
      </c>
      <c r="L1881">
        <v>12065</v>
      </c>
      <c r="M1881" t="s">
        <v>8209</v>
      </c>
      <c r="N1881" t="s">
        <v>8210</v>
      </c>
      <c r="O1881" s="3">
        <v>0</v>
      </c>
      <c r="P1881" s="3">
        <v>0</v>
      </c>
      <c r="Q1881" s="3">
        <v>923.1</v>
      </c>
      <c r="R1881" s="3">
        <v>120.003</v>
      </c>
      <c r="S1881" s="3">
        <v>0</v>
      </c>
      <c r="T1881" s="3">
        <v>0</v>
      </c>
      <c r="U1881" s="3">
        <v>1043.1030000000001</v>
      </c>
      <c r="V1881" s="3" t="s">
        <v>8046</v>
      </c>
      <c r="W1881" s="3" t="s">
        <v>1</v>
      </c>
    </row>
    <row r="1882" spans="5:23" hidden="1" x14ac:dyDescent="0.25">
      <c r="E1882" t="s">
        <v>8126</v>
      </c>
      <c r="F1882" s="1" t="s">
        <v>8134</v>
      </c>
      <c r="G1882" t="s">
        <v>1</v>
      </c>
      <c r="H1882" t="s">
        <v>0</v>
      </c>
      <c r="I1882" t="s">
        <v>8165</v>
      </c>
      <c r="J1882" t="s">
        <v>8164</v>
      </c>
      <c r="K1882">
        <v>12066</v>
      </c>
      <c r="L1882">
        <v>12066</v>
      </c>
      <c r="M1882" t="s">
        <v>8213</v>
      </c>
      <c r="N1882" t="s">
        <v>8181</v>
      </c>
      <c r="O1882" s="3">
        <v>0</v>
      </c>
      <c r="P1882" s="3">
        <v>0</v>
      </c>
      <c r="Q1882" s="3">
        <v>8.85</v>
      </c>
      <c r="R1882" s="3">
        <v>1.1505000000000001</v>
      </c>
      <c r="S1882" s="3">
        <v>0</v>
      </c>
      <c r="T1882" s="3">
        <v>0</v>
      </c>
      <c r="U1882" s="3">
        <v>10.000499999999999</v>
      </c>
      <c r="V1882" s="3" t="s">
        <v>8046</v>
      </c>
      <c r="W1882" s="3" t="s">
        <v>1</v>
      </c>
    </row>
    <row r="1883" spans="5:23" hidden="1" x14ac:dyDescent="0.25">
      <c r="E1883" t="s">
        <v>8126</v>
      </c>
      <c r="F1883" s="1" t="s">
        <v>8134</v>
      </c>
      <c r="G1883" t="s">
        <v>1</v>
      </c>
      <c r="H1883" t="s">
        <v>0</v>
      </c>
      <c r="I1883" t="s">
        <v>8165</v>
      </c>
      <c r="J1883" t="s">
        <v>8164</v>
      </c>
      <c r="K1883">
        <v>12067</v>
      </c>
      <c r="L1883">
        <v>12067</v>
      </c>
      <c r="M1883" t="s">
        <v>2802</v>
      </c>
      <c r="N1883" t="s">
        <v>2803</v>
      </c>
      <c r="O1883" s="3">
        <v>0</v>
      </c>
      <c r="P1883" s="3">
        <v>0</v>
      </c>
      <c r="Q1883" s="3">
        <v>3.06</v>
      </c>
      <c r="R1883" s="3">
        <v>0.39780000000000004</v>
      </c>
      <c r="S1883" s="3">
        <v>0</v>
      </c>
      <c r="T1883" s="3">
        <v>0</v>
      </c>
      <c r="U1883" s="3">
        <v>3.4578000000000002</v>
      </c>
      <c r="V1883" s="3" t="s">
        <v>8046</v>
      </c>
      <c r="W1883" s="3" t="s">
        <v>1</v>
      </c>
    </row>
    <row r="1884" spans="5:23" hidden="1" x14ac:dyDescent="0.25">
      <c r="E1884" t="s">
        <v>8126</v>
      </c>
      <c r="F1884" s="1" t="s">
        <v>8134</v>
      </c>
      <c r="G1884" t="s">
        <v>1</v>
      </c>
      <c r="H1884" t="s">
        <v>0</v>
      </c>
      <c r="I1884" t="s">
        <v>8165</v>
      </c>
      <c r="J1884" t="s">
        <v>8164</v>
      </c>
      <c r="K1884">
        <v>12068</v>
      </c>
      <c r="L1884">
        <v>12068</v>
      </c>
      <c r="M1884" t="s">
        <v>8279</v>
      </c>
      <c r="N1884" t="s">
        <v>8280</v>
      </c>
      <c r="O1884" s="3">
        <v>0</v>
      </c>
      <c r="P1884" s="3">
        <v>0</v>
      </c>
      <c r="Q1884" s="3">
        <v>177</v>
      </c>
      <c r="R1884" s="3">
        <v>23.01</v>
      </c>
      <c r="S1884" s="3">
        <v>0</v>
      </c>
      <c r="T1884" s="3">
        <v>0</v>
      </c>
      <c r="U1884" s="3">
        <v>200.01</v>
      </c>
      <c r="V1884" s="3" t="s">
        <v>8046</v>
      </c>
      <c r="W1884" s="3" t="s">
        <v>1</v>
      </c>
    </row>
    <row r="1885" spans="5:23" hidden="1" x14ac:dyDescent="0.25">
      <c r="E1885" t="s">
        <v>8126</v>
      </c>
      <c r="F1885" s="1" t="s">
        <v>8134</v>
      </c>
      <c r="G1885" t="s">
        <v>1</v>
      </c>
      <c r="H1885" t="s">
        <v>0</v>
      </c>
      <c r="I1885" t="s">
        <v>8165</v>
      </c>
      <c r="J1885" t="s">
        <v>8164</v>
      </c>
      <c r="K1885">
        <v>12069</v>
      </c>
      <c r="L1885">
        <v>12069</v>
      </c>
      <c r="M1885" t="s">
        <v>436</v>
      </c>
      <c r="N1885" t="s">
        <v>437</v>
      </c>
      <c r="O1885" s="3">
        <v>0</v>
      </c>
      <c r="P1885" s="3">
        <v>0</v>
      </c>
      <c r="Q1885" s="3">
        <v>621.23</v>
      </c>
      <c r="R1885" s="3">
        <v>80.759900000000002</v>
      </c>
      <c r="S1885" s="3">
        <v>0</v>
      </c>
      <c r="T1885" s="3">
        <v>0</v>
      </c>
      <c r="U1885" s="3">
        <v>701.98990000000003</v>
      </c>
      <c r="V1885" s="3" t="s">
        <v>8046</v>
      </c>
      <c r="W1885" s="3" t="s">
        <v>1</v>
      </c>
    </row>
    <row r="1886" spans="5:23" hidden="1" x14ac:dyDescent="0.25">
      <c r="E1886" t="s">
        <v>8126</v>
      </c>
      <c r="F1886" s="1" t="s">
        <v>8134</v>
      </c>
      <c r="G1886" t="s">
        <v>1</v>
      </c>
      <c r="H1886" t="s">
        <v>0</v>
      </c>
      <c r="I1886" t="s">
        <v>8165</v>
      </c>
      <c r="J1886" t="s">
        <v>8164</v>
      </c>
      <c r="K1886">
        <v>12070</v>
      </c>
      <c r="L1886">
        <v>12070</v>
      </c>
      <c r="M1886" t="s">
        <v>807</v>
      </c>
      <c r="N1886" t="s">
        <v>808</v>
      </c>
      <c r="O1886" s="3">
        <v>0</v>
      </c>
      <c r="P1886" s="3">
        <v>0</v>
      </c>
      <c r="Q1886" s="3">
        <v>180.53</v>
      </c>
      <c r="R1886" s="3">
        <v>23.468900000000001</v>
      </c>
      <c r="S1886" s="3">
        <v>0</v>
      </c>
      <c r="T1886" s="3">
        <v>0</v>
      </c>
      <c r="U1886" s="3">
        <v>203.99889999999999</v>
      </c>
      <c r="V1886" s="3" t="s">
        <v>8046</v>
      </c>
      <c r="W1886" s="3" t="s">
        <v>1</v>
      </c>
    </row>
    <row r="1887" spans="5:23" hidden="1" x14ac:dyDescent="0.25">
      <c r="E1887" t="s">
        <v>8126</v>
      </c>
      <c r="F1887" s="1" t="s">
        <v>8134</v>
      </c>
      <c r="G1887" t="s">
        <v>1</v>
      </c>
      <c r="H1887" t="s">
        <v>0</v>
      </c>
      <c r="I1887" t="s">
        <v>8165</v>
      </c>
      <c r="J1887" t="s">
        <v>8164</v>
      </c>
      <c r="K1887">
        <v>12071</v>
      </c>
      <c r="L1887">
        <v>12071</v>
      </c>
      <c r="M1887" t="s">
        <v>8312</v>
      </c>
      <c r="N1887" t="s">
        <v>8313</v>
      </c>
      <c r="O1887" s="3">
        <v>0</v>
      </c>
      <c r="P1887" s="3">
        <v>0</v>
      </c>
      <c r="Q1887" s="3">
        <v>101.25</v>
      </c>
      <c r="R1887" s="3">
        <v>13.1625</v>
      </c>
      <c r="S1887" s="3">
        <v>0</v>
      </c>
      <c r="T1887" s="3">
        <v>0</v>
      </c>
      <c r="U1887" s="3">
        <v>114.41249999999999</v>
      </c>
      <c r="V1887" s="3" t="s">
        <v>8046</v>
      </c>
      <c r="W1887" s="3" t="s">
        <v>1</v>
      </c>
    </row>
    <row r="1888" spans="5:23" hidden="1" x14ac:dyDescent="0.25">
      <c r="E1888" t="s">
        <v>8126</v>
      </c>
      <c r="F1888" s="1" t="s">
        <v>8134</v>
      </c>
      <c r="G1888" t="s">
        <v>1</v>
      </c>
      <c r="H1888" t="s">
        <v>0</v>
      </c>
      <c r="I1888" t="s">
        <v>8165</v>
      </c>
      <c r="J1888" t="s">
        <v>8164</v>
      </c>
      <c r="K1888">
        <v>12072</v>
      </c>
      <c r="L1888">
        <v>12072</v>
      </c>
      <c r="M1888" t="s">
        <v>8249</v>
      </c>
      <c r="N1888" t="s">
        <v>8250</v>
      </c>
      <c r="O1888" s="3">
        <v>0</v>
      </c>
      <c r="P1888" s="3">
        <v>0</v>
      </c>
      <c r="Q1888" s="3">
        <v>233.55</v>
      </c>
      <c r="R1888" s="3">
        <v>30.361500000000003</v>
      </c>
      <c r="S1888" s="3">
        <v>0</v>
      </c>
      <c r="T1888" s="3">
        <v>0</v>
      </c>
      <c r="U1888" s="3">
        <v>263.91149999999999</v>
      </c>
      <c r="V1888" s="3" t="s">
        <v>8046</v>
      </c>
      <c r="W1888" s="3" t="s">
        <v>1</v>
      </c>
    </row>
    <row r="1889" spans="5:23" hidden="1" x14ac:dyDescent="0.25">
      <c r="E1889" t="s">
        <v>8126</v>
      </c>
      <c r="F1889" s="1" t="s">
        <v>8134</v>
      </c>
      <c r="G1889" t="s">
        <v>1</v>
      </c>
      <c r="H1889" t="s">
        <v>0</v>
      </c>
      <c r="I1889" t="s">
        <v>8165</v>
      </c>
      <c r="J1889" t="s">
        <v>8164</v>
      </c>
      <c r="K1889">
        <v>12073</v>
      </c>
      <c r="L1889">
        <v>12073</v>
      </c>
      <c r="M1889" t="s">
        <v>807</v>
      </c>
      <c r="N1889" t="s">
        <v>808</v>
      </c>
      <c r="O1889" s="3">
        <v>0</v>
      </c>
      <c r="P1889" s="3">
        <v>0</v>
      </c>
      <c r="Q1889" s="3">
        <v>504</v>
      </c>
      <c r="R1889" s="3">
        <v>65.52</v>
      </c>
      <c r="S1889" s="3">
        <v>0</v>
      </c>
      <c r="T1889" s="3">
        <v>0</v>
      </c>
      <c r="U1889" s="3">
        <v>569.52</v>
      </c>
      <c r="V1889" s="3" t="s">
        <v>8046</v>
      </c>
      <c r="W1889" s="3" t="s">
        <v>1</v>
      </c>
    </row>
    <row r="1890" spans="5:23" hidden="1" x14ac:dyDescent="0.25">
      <c r="E1890" t="s">
        <v>8126</v>
      </c>
      <c r="F1890" s="1" t="s">
        <v>8134</v>
      </c>
      <c r="G1890" t="s">
        <v>1</v>
      </c>
      <c r="H1890" t="s">
        <v>0</v>
      </c>
      <c r="I1890" t="s">
        <v>8165</v>
      </c>
      <c r="J1890" t="s">
        <v>8164</v>
      </c>
      <c r="K1890">
        <v>12074</v>
      </c>
      <c r="L1890">
        <v>12074</v>
      </c>
      <c r="M1890" t="s">
        <v>4266</v>
      </c>
      <c r="N1890" t="s">
        <v>4267</v>
      </c>
      <c r="O1890" s="3">
        <v>0</v>
      </c>
      <c r="P1890" s="3">
        <v>0</v>
      </c>
      <c r="Q1890" s="3">
        <v>300</v>
      </c>
      <c r="R1890" s="3">
        <v>39</v>
      </c>
      <c r="S1890" s="3">
        <v>0</v>
      </c>
      <c r="T1890" s="3">
        <v>0</v>
      </c>
      <c r="U1890" s="3">
        <v>339</v>
      </c>
      <c r="V1890" s="3" t="s">
        <v>8046</v>
      </c>
      <c r="W1890" s="3" t="s">
        <v>1</v>
      </c>
    </row>
    <row r="1891" spans="5:23" hidden="1" x14ac:dyDescent="0.25">
      <c r="E1891" t="s">
        <v>8126</v>
      </c>
      <c r="F1891" s="1" t="s">
        <v>8134</v>
      </c>
      <c r="G1891" t="s">
        <v>1</v>
      </c>
      <c r="H1891" t="s">
        <v>0</v>
      </c>
      <c r="I1891" t="s">
        <v>8165</v>
      </c>
      <c r="J1891" t="s">
        <v>8164</v>
      </c>
      <c r="K1891">
        <v>12075</v>
      </c>
      <c r="L1891">
        <v>12075</v>
      </c>
      <c r="M1891" t="s">
        <v>8300</v>
      </c>
      <c r="N1891" t="s">
        <v>8301</v>
      </c>
      <c r="O1891" s="3">
        <v>0</v>
      </c>
      <c r="P1891" s="3">
        <v>0</v>
      </c>
      <c r="Q1891" s="3">
        <v>26.55</v>
      </c>
      <c r="R1891" s="3">
        <v>3.4515000000000002</v>
      </c>
      <c r="S1891" s="3">
        <v>0</v>
      </c>
      <c r="T1891" s="3">
        <v>0</v>
      </c>
      <c r="U1891" s="3">
        <v>30.0015</v>
      </c>
      <c r="V1891" s="3" t="s">
        <v>8046</v>
      </c>
      <c r="W1891" s="3" t="s">
        <v>1</v>
      </c>
    </row>
    <row r="1892" spans="5:23" hidden="1" x14ac:dyDescent="0.25">
      <c r="E1892" t="s">
        <v>8126</v>
      </c>
      <c r="F1892" s="1" t="s">
        <v>8134</v>
      </c>
      <c r="G1892" t="s">
        <v>1</v>
      </c>
      <c r="H1892" t="s">
        <v>0</v>
      </c>
      <c r="I1892" t="s">
        <v>8165</v>
      </c>
      <c r="J1892" t="s">
        <v>8164</v>
      </c>
      <c r="K1892">
        <v>12076</v>
      </c>
      <c r="L1892">
        <v>12076</v>
      </c>
      <c r="M1892" t="s">
        <v>8310</v>
      </c>
      <c r="N1892" t="s">
        <v>8311</v>
      </c>
      <c r="O1892" s="3">
        <v>0</v>
      </c>
      <c r="P1892" s="3">
        <v>0</v>
      </c>
      <c r="Q1892" s="3">
        <v>77.430000000000007</v>
      </c>
      <c r="R1892" s="3">
        <v>10.065900000000001</v>
      </c>
      <c r="S1892" s="3">
        <v>0</v>
      </c>
      <c r="T1892" s="3">
        <v>0</v>
      </c>
      <c r="U1892" s="3">
        <v>87.495900000000006</v>
      </c>
      <c r="V1892" s="3" t="s">
        <v>8046</v>
      </c>
      <c r="W1892" s="3" t="s">
        <v>1</v>
      </c>
    </row>
    <row r="1893" spans="5:23" hidden="1" x14ac:dyDescent="0.25">
      <c r="E1893" t="s">
        <v>8126</v>
      </c>
      <c r="F1893" s="1" t="s">
        <v>8134</v>
      </c>
      <c r="G1893" t="s">
        <v>1</v>
      </c>
      <c r="H1893" t="s">
        <v>0</v>
      </c>
      <c r="I1893" t="s">
        <v>8165</v>
      </c>
      <c r="J1893" t="s">
        <v>8164</v>
      </c>
      <c r="K1893">
        <v>12077</v>
      </c>
      <c r="L1893">
        <v>12077</v>
      </c>
      <c r="M1893" t="s">
        <v>8209</v>
      </c>
      <c r="N1893" t="s">
        <v>8210</v>
      </c>
      <c r="O1893" s="3">
        <v>0</v>
      </c>
      <c r="P1893" s="3">
        <v>0</v>
      </c>
      <c r="Q1893" s="3">
        <v>1147.5</v>
      </c>
      <c r="R1893" s="3">
        <v>149.17500000000001</v>
      </c>
      <c r="S1893" s="3">
        <v>0</v>
      </c>
      <c r="T1893" s="3">
        <v>0</v>
      </c>
      <c r="U1893" s="3">
        <v>1296.675</v>
      </c>
      <c r="V1893" s="3" t="s">
        <v>8046</v>
      </c>
      <c r="W1893" s="3" t="s">
        <v>1</v>
      </c>
    </row>
    <row r="1894" spans="5:23" hidden="1" x14ac:dyDescent="0.25">
      <c r="E1894" t="s">
        <v>8126</v>
      </c>
      <c r="F1894" s="1" t="s">
        <v>8134</v>
      </c>
      <c r="G1894" t="s">
        <v>1</v>
      </c>
      <c r="H1894" t="s">
        <v>0</v>
      </c>
      <c r="I1894" t="s">
        <v>8165</v>
      </c>
      <c r="J1894" t="s">
        <v>8164</v>
      </c>
      <c r="K1894">
        <v>12078</v>
      </c>
      <c r="L1894">
        <v>12078</v>
      </c>
      <c r="M1894" t="s">
        <v>1062</v>
      </c>
      <c r="N1894" t="s">
        <v>1063</v>
      </c>
      <c r="O1894" s="3">
        <v>0</v>
      </c>
      <c r="P1894" s="3">
        <v>0</v>
      </c>
      <c r="Q1894" s="3">
        <v>304.43</v>
      </c>
      <c r="R1894" s="3">
        <v>39.575900000000004</v>
      </c>
      <c r="S1894" s="3">
        <v>0</v>
      </c>
      <c r="T1894" s="3">
        <v>0</v>
      </c>
      <c r="U1894" s="3">
        <v>344.0059</v>
      </c>
      <c r="V1894" s="3" t="s">
        <v>8046</v>
      </c>
      <c r="W1894" s="3" t="s">
        <v>1</v>
      </c>
    </row>
    <row r="1895" spans="5:23" hidden="1" x14ac:dyDescent="0.25">
      <c r="E1895" t="s">
        <v>8126</v>
      </c>
      <c r="F1895" s="1" t="s">
        <v>8134</v>
      </c>
      <c r="G1895" t="s">
        <v>1</v>
      </c>
      <c r="H1895" t="s">
        <v>0</v>
      </c>
      <c r="I1895" t="s">
        <v>8165</v>
      </c>
      <c r="J1895" t="s">
        <v>8164</v>
      </c>
      <c r="K1895">
        <v>12079</v>
      </c>
      <c r="L1895">
        <v>12079</v>
      </c>
      <c r="M1895" t="s">
        <v>8168</v>
      </c>
      <c r="N1895" t="s">
        <v>8169</v>
      </c>
      <c r="O1895" s="3">
        <v>0</v>
      </c>
      <c r="P1895" s="3">
        <v>0</v>
      </c>
      <c r="Q1895" s="3">
        <v>140.77000000000001</v>
      </c>
      <c r="R1895" s="3">
        <v>18.3001</v>
      </c>
      <c r="S1895" s="3">
        <v>0</v>
      </c>
      <c r="T1895" s="3">
        <v>0</v>
      </c>
      <c r="U1895" s="3">
        <v>159.07010000000002</v>
      </c>
      <c r="V1895" s="3" t="s">
        <v>8046</v>
      </c>
      <c r="W1895" s="3" t="s">
        <v>1</v>
      </c>
    </row>
    <row r="1896" spans="5:23" hidden="1" x14ac:dyDescent="0.25">
      <c r="E1896" t="s">
        <v>8126</v>
      </c>
      <c r="F1896" s="1" t="s">
        <v>8134</v>
      </c>
      <c r="G1896" t="s">
        <v>1</v>
      </c>
      <c r="H1896" t="s">
        <v>0</v>
      </c>
      <c r="I1896" t="s">
        <v>8165</v>
      </c>
      <c r="J1896" t="s">
        <v>8164</v>
      </c>
      <c r="K1896">
        <v>12080</v>
      </c>
      <c r="L1896">
        <v>12080</v>
      </c>
      <c r="M1896" t="s">
        <v>430</v>
      </c>
      <c r="N1896" t="s">
        <v>431</v>
      </c>
      <c r="O1896" s="3">
        <v>0</v>
      </c>
      <c r="P1896" s="3">
        <v>0</v>
      </c>
      <c r="Q1896" s="3">
        <v>264.60000000000002</v>
      </c>
      <c r="R1896" s="3">
        <v>34.398000000000003</v>
      </c>
      <c r="S1896" s="3">
        <v>0</v>
      </c>
      <c r="T1896" s="3">
        <v>0</v>
      </c>
      <c r="U1896" s="3">
        <v>298.99800000000005</v>
      </c>
      <c r="V1896" s="3" t="s">
        <v>8046</v>
      </c>
      <c r="W1896" s="3" t="s">
        <v>1</v>
      </c>
    </row>
    <row r="1897" spans="5:23" hidden="1" x14ac:dyDescent="0.25">
      <c r="E1897" t="s">
        <v>8126</v>
      </c>
      <c r="F1897" s="1" t="s">
        <v>8134</v>
      </c>
      <c r="G1897" t="s">
        <v>1</v>
      </c>
      <c r="H1897" t="s">
        <v>0</v>
      </c>
      <c r="I1897" t="s">
        <v>8165</v>
      </c>
      <c r="J1897" t="s">
        <v>8164</v>
      </c>
      <c r="K1897">
        <v>12081</v>
      </c>
      <c r="L1897">
        <v>12081</v>
      </c>
      <c r="M1897" t="s">
        <v>8188</v>
      </c>
      <c r="N1897" t="s">
        <v>8189</v>
      </c>
      <c r="O1897" s="3">
        <v>0</v>
      </c>
      <c r="P1897" s="3">
        <v>0</v>
      </c>
      <c r="Q1897" s="3">
        <v>283.8</v>
      </c>
      <c r="R1897" s="3">
        <v>36.894000000000005</v>
      </c>
      <c r="S1897" s="3">
        <v>0</v>
      </c>
      <c r="T1897" s="3">
        <v>0</v>
      </c>
      <c r="U1897" s="3">
        <v>320.69400000000002</v>
      </c>
      <c r="V1897" s="3" t="s">
        <v>8046</v>
      </c>
      <c r="W1897" s="3" t="s">
        <v>1</v>
      </c>
    </row>
    <row r="1898" spans="5:23" hidden="1" x14ac:dyDescent="0.25">
      <c r="E1898" t="s">
        <v>8126</v>
      </c>
      <c r="F1898" s="1" t="s">
        <v>8134</v>
      </c>
      <c r="G1898" t="s">
        <v>1</v>
      </c>
      <c r="H1898" t="s">
        <v>0</v>
      </c>
      <c r="I1898" t="s">
        <v>8165</v>
      </c>
      <c r="J1898" t="s">
        <v>8164</v>
      </c>
      <c r="K1898">
        <v>12082</v>
      </c>
      <c r="L1898">
        <v>12082</v>
      </c>
      <c r="M1898" t="s">
        <v>8308</v>
      </c>
      <c r="N1898" t="s">
        <v>8309</v>
      </c>
      <c r="O1898" s="3">
        <v>0</v>
      </c>
      <c r="P1898" s="3">
        <v>0</v>
      </c>
      <c r="Q1898" s="3">
        <v>23</v>
      </c>
      <c r="R1898" s="3">
        <v>2.99</v>
      </c>
      <c r="S1898" s="3">
        <v>0</v>
      </c>
      <c r="T1898" s="3">
        <v>0</v>
      </c>
      <c r="U1898" s="3">
        <v>25.990000000000002</v>
      </c>
      <c r="V1898" s="3" t="s">
        <v>8046</v>
      </c>
      <c r="W1898" s="3" t="s">
        <v>1</v>
      </c>
    </row>
    <row r="1899" spans="5:23" hidden="1" x14ac:dyDescent="0.25">
      <c r="E1899" t="s">
        <v>8126</v>
      </c>
      <c r="F1899" s="1" t="s">
        <v>8134</v>
      </c>
      <c r="G1899" t="s">
        <v>1</v>
      </c>
      <c r="H1899" t="s">
        <v>0</v>
      </c>
      <c r="I1899" t="s">
        <v>8165</v>
      </c>
      <c r="J1899" t="s">
        <v>8164</v>
      </c>
      <c r="K1899">
        <v>12083</v>
      </c>
      <c r="L1899">
        <v>12083</v>
      </c>
      <c r="M1899" t="s">
        <v>7852</v>
      </c>
      <c r="N1899" t="s">
        <v>7851</v>
      </c>
      <c r="O1899" s="3">
        <v>0</v>
      </c>
      <c r="P1899" s="3">
        <v>0</v>
      </c>
      <c r="Q1899" s="3">
        <v>0</v>
      </c>
      <c r="R1899" s="3">
        <v>0</v>
      </c>
      <c r="S1899" s="3">
        <v>0</v>
      </c>
      <c r="T1899" s="3">
        <v>0</v>
      </c>
      <c r="U1899" s="3">
        <v>0</v>
      </c>
      <c r="V1899" s="3" t="s">
        <v>8046</v>
      </c>
      <c r="W1899" s="3" t="s">
        <v>1</v>
      </c>
    </row>
    <row r="1900" spans="5:23" hidden="1" x14ac:dyDescent="0.25">
      <c r="E1900" t="s">
        <v>8126</v>
      </c>
      <c r="F1900" s="1" t="s">
        <v>8134</v>
      </c>
      <c r="G1900" t="s">
        <v>1</v>
      </c>
      <c r="H1900" t="s">
        <v>0</v>
      </c>
      <c r="I1900" t="s">
        <v>8165</v>
      </c>
      <c r="J1900" t="s">
        <v>8164</v>
      </c>
      <c r="K1900">
        <v>12084</v>
      </c>
      <c r="L1900">
        <v>12084</v>
      </c>
      <c r="M1900" t="s">
        <v>8218</v>
      </c>
      <c r="N1900" t="s">
        <v>8219</v>
      </c>
      <c r="O1900" s="3">
        <v>0</v>
      </c>
      <c r="P1900" s="3">
        <v>0</v>
      </c>
      <c r="Q1900" s="3">
        <v>79.900000000000006</v>
      </c>
      <c r="R1900" s="3">
        <v>10.387</v>
      </c>
      <c r="S1900" s="3">
        <v>0</v>
      </c>
      <c r="T1900" s="3">
        <v>0</v>
      </c>
      <c r="U1900" s="3">
        <v>90.287000000000006</v>
      </c>
      <c r="V1900" s="3" t="s">
        <v>8046</v>
      </c>
      <c r="W1900" s="3" t="s">
        <v>1</v>
      </c>
    </row>
    <row r="1901" spans="5:23" hidden="1" x14ac:dyDescent="0.25">
      <c r="E1901" t="s">
        <v>8126</v>
      </c>
      <c r="F1901" s="34" t="s">
        <v>8134</v>
      </c>
      <c r="G1901" t="s">
        <v>1</v>
      </c>
      <c r="H1901" t="s">
        <v>0</v>
      </c>
      <c r="I1901" t="s">
        <v>8165</v>
      </c>
      <c r="J1901" t="s">
        <v>8164</v>
      </c>
      <c r="K1901">
        <v>12085</v>
      </c>
      <c r="L1901">
        <v>12085</v>
      </c>
      <c r="M1901" t="s">
        <v>7852</v>
      </c>
      <c r="N1901" t="s">
        <v>7851</v>
      </c>
      <c r="O1901" s="3">
        <v>0</v>
      </c>
      <c r="P1901" s="3">
        <v>0</v>
      </c>
      <c r="Q1901" s="3">
        <v>0</v>
      </c>
      <c r="R1901" s="3">
        <v>0</v>
      </c>
      <c r="S1901" s="3">
        <v>0</v>
      </c>
      <c r="T1901" s="3">
        <v>0</v>
      </c>
      <c r="U1901" s="3">
        <v>0</v>
      </c>
      <c r="V1901" s="3" t="s">
        <v>8046</v>
      </c>
      <c r="W1901" s="3" t="s">
        <v>1</v>
      </c>
    </row>
    <row r="1902" spans="5:23" hidden="1" x14ac:dyDescent="0.25">
      <c r="E1902" t="s">
        <v>8126</v>
      </c>
      <c r="F1902" s="34" t="s">
        <v>8134</v>
      </c>
      <c r="G1902" t="s">
        <v>1</v>
      </c>
      <c r="H1902" t="s">
        <v>0</v>
      </c>
      <c r="I1902" t="s">
        <v>8165</v>
      </c>
      <c r="J1902" t="s">
        <v>8164</v>
      </c>
      <c r="K1902">
        <v>12086</v>
      </c>
      <c r="L1902">
        <v>12086</v>
      </c>
      <c r="M1902" t="s">
        <v>238</v>
      </c>
      <c r="N1902" t="s">
        <v>239</v>
      </c>
      <c r="O1902" s="3">
        <v>0</v>
      </c>
      <c r="P1902" s="3">
        <v>0</v>
      </c>
      <c r="Q1902" s="3">
        <v>176.62</v>
      </c>
      <c r="R1902" s="3">
        <v>22.960600000000003</v>
      </c>
      <c r="S1902" s="3">
        <v>0</v>
      </c>
      <c r="T1902" s="3">
        <v>0</v>
      </c>
      <c r="U1902" s="3">
        <v>199.5806</v>
      </c>
      <c r="V1902" s="3" t="s">
        <v>8046</v>
      </c>
      <c r="W1902" s="3" t="s">
        <v>1</v>
      </c>
    </row>
    <row r="1903" spans="5:23" hidden="1" x14ac:dyDescent="0.25">
      <c r="E1903" t="s">
        <v>8126</v>
      </c>
      <c r="F1903" s="1" t="s">
        <v>8133</v>
      </c>
      <c r="G1903" t="s">
        <v>1</v>
      </c>
      <c r="H1903" t="s">
        <v>0</v>
      </c>
      <c r="I1903" t="s">
        <v>8165</v>
      </c>
      <c r="J1903" t="s">
        <v>8164</v>
      </c>
      <c r="K1903">
        <v>12087</v>
      </c>
      <c r="L1903">
        <v>12087</v>
      </c>
      <c r="M1903" t="s">
        <v>734</v>
      </c>
      <c r="N1903" t="s">
        <v>735</v>
      </c>
      <c r="O1903" s="3">
        <v>0</v>
      </c>
      <c r="P1903" s="3">
        <v>0</v>
      </c>
      <c r="Q1903" s="3">
        <v>900.57</v>
      </c>
      <c r="R1903" s="3">
        <v>117.07410000000002</v>
      </c>
      <c r="S1903" s="3">
        <v>0</v>
      </c>
      <c r="T1903" s="3">
        <v>0</v>
      </c>
      <c r="U1903" s="3">
        <v>1017.6441000000001</v>
      </c>
      <c r="V1903" s="3" t="s">
        <v>8046</v>
      </c>
      <c r="W1903" s="3" t="s">
        <v>1</v>
      </c>
    </row>
    <row r="1904" spans="5:23" hidden="1" x14ac:dyDescent="0.25">
      <c r="E1904" t="s">
        <v>8126</v>
      </c>
      <c r="F1904" s="1" t="s">
        <v>8133</v>
      </c>
      <c r="G1904" t="s">
        <v>1</v>
      </c>
      <c r="H1904" t="s">
        <v>0</v>
      </c>
      <c r="I1904" t="s">
        <v>8165</v>
      </c>
      <c r="J1904" t="s">
        <v>8164</v>
      </c>
      <c r="K1904">
        <v>12088</v>
      </c>
      <c r="L1904">
        <v>12088</v>
      </c>
      <c r="M1904" t="s">
        <v>8259</v>
      </c>
      <c r="N1904" t="s">
        <v>8260</v>
      </c>
      <c r="O1904" s="3">
        <v>0</v>
      </c>
      <c r="P1904" s="3">
        <v>0</v>
      </c>
      <c r="Q1904" s="3">
        <v>37.200000000000003</v>
      </c>
      <c r="R1904" s="3">
        <v>4.8360000000000003</v>
      </c>
      <c r="S1904" s="3">
        <v>0</v>
      </c>
      <c r="T1904" s="3">
        <v>0</v>
      </c>
      <c r="U1904" s="3">
        <v>42.036000000000001</v>
      </c>
      <c r="V1904" s="3" t="s">
        <v>8046</v>
      </c>
      <c r="W1904" s="3" t="s">
        <v>1</v>
      </c>
    </row>
    <row r="1905" spans="5:23" hidden="1" x14ac:dyDescent="0.25">
      <c r="E1905" t="s">
        <v>8126</v>
      </c>
      <c r="F1905" s="1" t="s">
        <v>8133</v>
      </c>
      <c r="G1905" t="s">
        <v>1</v>
      </c>
      <c r="H1905" t="s">
        <v>0</v>
      </c>
      <c r="I1905" t="s">
        <v>8165</v>
      </c>
      <c r="J1905" t="s">
        <v>8164</v>
      </c>
      <c r="K1905">
        <v>12089</v>
      </c>
      <c r="L1905">
        <v>12089</v>
      </c>
      <c r="M1905" t="s">
        <v>8259</v>
      </c>
      <c r="N1905" t="s">
        <v>8260</v>
      </c>
      <c r="O1905" s="3">
        <v>0</v>
      </c>
      <c r="P1905" s="3">
        <v>0</v>
      </c>
      <c r="Q1905" s="3">
        <v>15.84</v>
      </c>
      <c r="R1905" s="3">
        <v>2.0592000000000001</v>
      </c>
      <c r="S1905" s="3">
        <v>0</v>
      </c>
      <c r="T1905" s="3">
        <v>0</v>
      </c>
      <c r="U1905" s="3">
        <v>17.8992</v>
      </c>
      <c r="V1905" s="3" t="s">
        <v>8046</v>
      </c>
      <c r="W1905" s="3" t="s">
        <v>1</v>
      </c>
    </row>
    <row r="1906" spans="5:23" hidden="1" x14ac:dyDescent="0.25">
      <c r="E1906" t="s">
        <v>8126</v>
      </c>
      <c r="F1906" s="1" t="s">
        <v>8133</v>
      </c>
      <c r="G1906" t="s">
        <v>1</v>
      </c>
      <c r="H1906" t="s">
        <v>0</v>
      </c>
      <c r="I1906" t="s">
        <v>8165</v>
      </c>
      <c r="J1906" t="s">
        <v>8164</v>
      </c>
      <c r="K1906">
        <v>12090</v>
      </c>
      <c r="L1906">
        <v>12090</v>
      </c>
      <c r="M1906" t="s">
        <v>8306</v>
      </c>
      <c r="N1906" t="s">
        <v>8307</v>
      </c>
      <c r="O1906" s="3">
        <v>0</v>
      </c>
      <c r="P1906" s="3">
        <v>0</v>
      </c>
      <c r="Q1906" s="3">
        <v>49.56</v>
      </c>
      <c r="R1906" s="3">
        <v>6.4428000000000001</v>
      </c>
      <c r="S1906" s="3">
        <v>0</v>
      </c>
      <c r="T1906" s="3">
        <v>0</v>
      </c>
      <c r="U1906" s="3">
        <v>56.002800000000001</v>
      </c>
      <c r="V1906" s="3" t="s">
        <v>8046</v>
      </c>
      <c r="W1906" s="3" t="s">
        <v>1</v>
      </c>
    </row>
    <row r="1907" spans="5:23" hidden="1" x14ac:dyDescent="0.25">
      <c r="E1907" t="s">
        <v>8126</v>
      </c>
      <c r="F1907" s="1" t="s">
        <v>8133</v>
      </c>
      <c r="G1907" t="s">
        <v>1</v>
      </c>
      <c r="H1907" t="s">
        <v>0</v>
      </c>
      <c r="I1907" t="s">
        <v>8165</v>
      </c>
      <c r="J1907" t="s">
        <v>8164</v>
      </c>
      <c r="K1907">
        <v>12091</v>
      </c>
      <c r="L1907">
        <v>12091</v>
      </c>
      <c r="M1907" t="s">
        <v>8188</v>
      </c>
      <c r="N1907" t="s">
        <v>8189</v>
      </c>
      <c r="O1907" s="3">
        <v>0</v>
      </c>
      <c r="P1907" s="3">
        <v>0</v>
      </c>
      <c r="Q1907" s="3">
        <v>319.5</v>
      </c>
      <c r="R1907" s="3">
        <v>41.535000000000004</v>
      </c>
      <c r="S1907" s="3">
        <v>0</v>
      </c>
      <c r="T1907" s="3">
        <v>0</v>
      </c>
      <c r="U1907" s="3">
        <v>361.03500000000003</v>
      </c>
      <c r="V1907" s="3" t="s">
        <v>8046</v>
      </c>
      <c r="W1907" s="3" t="s">
        <v>1</v>
      </c>
    </row>
    <row r="1908" spans="5:23" hidden="1" x14ac:dyDescent="0.25">
      <c r="E1908" t="s">
        <v>8126</v>
      </c>
      <c r="F1908" s="1" t="s">
        <v>8133</v>
      </c>
      <c r="G1908" t="s">
        <v>1</v>
      </c>
      <c r="H1908" t="s">
        <v>0</v>
      </c>
      <c r="I1908" t="s">
        <v>8165</v>
      </c>
      <c r="J1908" t="s">
        <v>8164</v>
      </c>
      <c r="K1908">
        <v>12092</v>
      </c>
      <c r="L1908">
        <v>12092</v>
      </c>
      <c r="M1908" t="s">
        <v>8218</v>
      </c>
      <c r="N1908" t="s">
        <v>8219</v>
      </c>
      <c r="O1908" s="3">
        <v>0</v>
      </c>
      <c r="P1908" s="3">
        <v>0</v>
      </c>
      <c r="Q1908" s="3">
        <v>92.04</v>
      </c>
      <c r="R1908" s="3">
        <v>11.965200000000001</v>
      </c>
      <c r="S1908" s="3">
        <v>0</v>
      </c>
      <c r="T1908" s="3">
        <v>0</v>
      </c>
      <c r="U1908" s="3">
        <v>104.0052</v>
      </c>
      <c r="V1908" s="3" t="s">
        <v>8046</v>
      </c>
      <c r="W1908" s="3" t="s">
        <v>1</v>
      </c>
    </row>
    <row r="1909" spans="5:23" hidden="1" x14ac:dyDescent="0.25">
      <c r="E1909" t="s">
        <v>8126</v>
      </c>
      <c r="F1909" s="34" t="s">
        <v>8133</v>
      </c>
      <c r="G1909" t="s">
        <v>1</v>
      </c>
      <c r="H1909" t="s">
        <v>0</v>
      </c>
      <c r="I1909" t="s">
        <v>8165</v>
      </c>
      <c r="J1909" t="s">
        <v>8164</v>
      </c>
      <c r="K1909">
        <v>12092</v>
      </c>
      <c r="L1909">
        <v>12092</v>
      </c>
      <c r="M1909" t="s">
        <v>8218</v>
      </c>
      <c r="N1909" t="s">
        <v>8219</v>
      </c>
      <c r="O1909" s="3">
        <v>0</v>
      </c>
      <c r="P1909" s="3">
        <v>0</v>
      </c>
      <c r="Q1909" s="3">
        <v>92.04</v>
      </c>
      <c r="R1909" s="3">
        <v>11.965200000000001</v>
      </c>
      <c r="S1909" s="3">
        <v>0</v>
      </c>
      <c r="T1909" s="3">
        <v>0</v>
      </c>
      <c r="U1909" s="3">
        <v>104.0052</v>
      </c>
      <c r="V1909" s="3" t="s">
        <v>8046</v>
      </c>
      <c r="W1909" s="3" t="s">
        <v>1</v>
      </c>
    </row>
    <row r="1910" spans="5:23" hidden="1" x14ac:dyDescent="0.25">
      <c r="E1910" t="s">
        <v>8126</v>
      </c>
      <c r="F1910" s="34" t="s">
        <v>8133</v>
      </c>
      <c r="G1910" t="s">
        <v>1</v>
      </c>
      <c r="H1910" t="s">
        <v>0</v>
      </c>
      <c r="I1910" t="s">
        <v>8165</v>
      </c>
      <c r="J1910" t="s">
        <v>8164</v>
      </c>
      <c r="K1910">
        <v>12093</v>
      </c>
      <c r="L1910">
        <v>12093</v>
      </c>
      <c r="M1910" t="s">
        <v>8300</v>
      </c>
      <c r="N1910" t="s">
        <v>8301</v>
      </c>
      <c r="O1910" s="3">
        <v>0</v>
      </c>
      <c r="P1910" s="3">
        <v>0</v>
      </c>
      <c r="Q1910" s="3">
        <v>572.24</v>
      </c>
      <c r="R1910" s="3">
        <v>74.391199999999998</v>
      </c>
      <c r="S1910" s="3">
        <v>0</v>
      </c>
      <c r="T1910" s="3">
        <v>0</v>
      </c>
      <c r="U1910" s="3">
        <v>646.63120000000004</v>
      </c>
      <c r="V1910" s="3" t="s">
        <v>8046</v>
      </c>
      <c r="W1910" s="3" t="s">
        <v>1</v>
      </c>
    </row>
    <row r="1911" spans="5:23" hidden="1" x14ac:dyDescent="0.25">
      <c r="E1911" t="s">
        <v>8126</v>
      </c>
      <c r="F1911" s="34" t="s">
        <v>8133</v>
      </c>
      <c r="G1911" t="s">
        <v>1</v>
      </c>
      <c r="H1911" t="s">
        <v>0</v>
      </c>
      <c r="I1911" t="s">
        <v>8165</v>
      </c>
      <c r="J1911" t="s">
        <v>8164</v>
      </c>
      <c r="K1911">
        <v>12094</v>
      </c>
      <c r="L1911">
        <v>12094</v>
      </c>
      <c r="M1911" t="s">
        <v>8296</v>
      </c>
      <c r="N1911" t="s">
        <v>8297</v>
      </c>
      <c r="O1911" s="3">
        <v>0</v>
      </c>
      <c r="P1911" s="3">
        <v>0</v>
      </c>
      <c r="Q1911" s="3">
        <v>4</v>
      </c>
      <c r="R1911" s="3">
        <v>0.52</v>
      </c>
      <c r="S1911" s="3">
        <v>0</v>
      </c>
      <c r="T1911" s="3">
        <v>0</v>
      </c>
      <c r="U1911" s="3">
        <v>4.5199999999999996</v>
      </c>
      <c r="V1911" s="3" t="s">
        <v>8046</v>
      </c>
      <c r="W1911" s="3" t="s">
        <v>1</v>
      </c>
    </row>
    <row r="1912" spans="5:23" hidden="1" x14ac:dyDescent="0.25">
      <c r="E1912" t="s">
        <v>8126</v>
      </c>
      <c r="F1912" s="34" t="s">
        <v>8133</v>
      </c>
      <c r="G1912" t="s">
        <v>1</v>
      </c>
      <c r="H1912" t="s">
        <v>0</v>
      </c>
      <c r="I1912" t="s">
        <v>8165</v>
      </c>
      <c r="J1912" t="s">
        <v>8164</v>
      </c>
      <c r="K1912">
        <v>12095</v>
      </c>
      <c r="L1912">
        <v>12095</v>
      </c>
      <c r="M1912" t="s">
        <v>8304</v>
      </c>
      <c r="N1912" t="s">
        <v>8305</v>
      </c>
      <c r="O1912" s="3">
        <v>0</v>
      </c>
      <c r="P1912" s="3">
        <v>0</v>
      </c>
      <c r="Q1912" s="3">
        <v>19.239999999999998</v>
      </c>
      <c r="R1912" s="3">
        <v>2.5011999999999999</v>
      </c>
      <c r="S1912" s="3">
        <v>0</v>
      </c>
      <c r="T1912" s="3">
        <v>0</v>
      </c>
      <c r="U1912" s="3">
        <v>21.741199999999999</v>
      </c>
      <c r="V1912" s="3" t="s">
        <v>8046</v>
      </c>
      <c r="W1912" s="3" t="s">
        <v>1</v>
      </c>
    </row>
    <row r="1913" spans="5:23" hidden="1" x14ac:dyDescent="0.25">
      <c r="E1913" t="s">
        <v>8126</v>
      </c>
      <c r="F1913" s="34" t="s">
        <v>8133</v>
      </c>
      <c r="G1913" t="s">
        <v>1</v>
      </c>
      <c r="H1913" t="s">
        <v>0</v>
      </c>
      <c r="I1913" t="s">
        <v>8165</v>
      </c>
      <c r="J1913" t="s">
        <v>8164</v>
      </c>
      <c r="K1913">
        <v>12096</v>
      </c>
      <c r="L1913">
        <v>12096</v>
      </c>
      <c r="M1913" t="s">
        <v>1062</v>
      </c>
      <c r="N1913" t="s">
        <v>1063</v>
      </c>
      <c r="O1913" s="3">
        <v>0</v>
      </c>
      <c r="P1913" s="3">
        <v>0</v>
      </c>
      <c r="Q1913" s="3">
        <v>99.55</v>
      </c>
      <c r="R1913" s="3">
        <v>12.9415</v>
      </c>
      <c r="S1913" s="3">
        <v>0</v>
      </c>
      <c r="T1913" s="3">
        <v>0</v>
      </c>
      <c r="U1913" s="3">
        <v>112.4915</v>
      </c>
      <c r="V1913" s="3" t="s">
        <v>8046</v>
      </c>
      <c r="W1913" s="3" t="s">
        <v>1</v>
      </c>
    </row>
    <row r="1914" spans="5:23" hidden="1" x14ac:dyDescent="0.25">
      <c r="E1914" t="s">
        <v>8126</v>
      </c>
      <c r="F1914" s="34" t="s">
        <v>8133</v>
      </c>
      <c r="G1914" t="s">
        <v>1</v>
      </c>
      <c r="H1914" t="s">
        <v>0</v>
      </c>
      <c r="I1914" t="s">
        <v>8165</v>
      </c>
      <c r="J1914" t="s">
        <v>8164</v>
      </c>
      <c r="K1914">
        <v>12097</v>
      </c>
      <c r="L1914">
        <v>12097</v>
      </c>
      <c r="M1914" t="s">
        <v>7852</v>
      </c>
      <c r="N1914" t="s">
        <v>7851</v>
      </c>
      <c r="O1914" s="3">
        <v>0</v>
      </c>
      <c r="P1914" s="3">
        <v>0</v>
      </c>
      <c r="Q1914" s="3">
        <v>0</v>
      </c>
      <c r="R1914" s="3">
        <v>0</v>
      </c>
      <c r="S1914" s="3">
        <v>0</v>
      </c>
      <c r="T1914" s="3">
        <v>0</v>
      </c>
      <c r="U1914" s="3">
        <v>0</v>
      </c>
      <c r="V1914" s="3" t="s">
        <v>8046</v>
      </c>
      <c r="W1914" s="3" t="s">
        <v>1</v>
      </c>
    </row>
    <row r="1915" spans="5:23" hidden="1" x14ac:dyDescent="0.25">
      <c r="E1915" t="s">
        <v>8126</v>
      </c>
      <c r="F1915" s="34" t="s">
        <v>8133</v>
      </c>
      <c r="G1915" t="s">
        <v>1</v>
      </c>
      <c r="H1915" t="s">
        <v>0</v>
      </c>
      <c r="I1915" t="s">
        <v>8165</v>
      </c>
      <c r="J1915" t="s">
        <v>8164</v>
      </c>
      <c r="K1915">
        <v>12098</v>
      </c>
      <c r="L1915">
        <v>12098</v>
      </c>
      <c r="M1915" s="33" t="s">
        <v>1062</v>
      </c>
      <c r="N1915" t="s">
        <v>1063</v>
      </c>
      <c r="O1915" s="3">
        <v>0</v>
      </c>
      <c r="P1915" s="3">
        <v>0</v>
      </c>
      <c r="Q1915" s="3">
        <v>10.130000000000001</v>
      </c>
      <c r="R1915" s="3">
        <v>1.3169000000000002</v>
      </c>
      <c r="S1915" s="3">
        <v>0</v>
      </c>
      <c r="T1915" s="3">
        <v>0</v>
      </c>
      <c r="U1915" s="3">
        <v>11.446900000000001</v>
      </c>
      <c r="V1915" s="3" t="s">
        <v>8046</v>
      </c>
      <c r="W1915" s="3" t="s">
        <v>1</v>
      </c>
    </row>
    <row r="1916" spans="5:23" hidden="1" x14ac:dyDescent="0.25">
      <c r="E1916" t="s">
        <v>8126</v>
      </c>
      <c r="F1916" s="1" t="s">
        <v>8132</v>
      </c>
      <c r="G1916" t="s">
        <v>1</v>
      </c>
      <c r="H1916" t="s">
        <v>0</v>
      </c>
      <c r="I1916" t="s">
        <v>8165</v>
      </c>
      <c r="J1916" t="s">
        <v>8164</v>
      </c>
      <c r="K1916">
        <v>12099</v>
      </c>
      <c r="L1916">
        <v>12099</v>
      </c>
      <c r="M1916" t="s">
        <v>8209</v>
      </c>
      <c r="N1916" t="s">
        <v>8210</v>
      </c>
      <c r="O1916" s="3">
        <v>0</v>
      </c>
      <c r="P1916" s="3">
        <v>0</v>
      </c>
      <c r="Q1916" s="3">
        <v>520</v>
      </c>
      <c r="R1916" s="3">
        <v>67.600000000000009</v>
      </c>
      <c r="S1916" s="3">
        <v>0</v>
      </c>
      <c r="T1916" s="3">
        <v>0</v>
      </c>
      <c r="U1916" s="3">
        <v>587.6</v>
      </c>
      <c r="V1916" s="3" t="s">
        <v>8046</v>
      </c>
      <c r="W1916" s="3" t="s">
        <v>1</v>
      </c>
    </row>
    <row r="1917" spans="5:23" hidden="1" x14ac:dyDescent="0.25">
      <c r="E1917" t="s">
        <v>8126</v>
      </c>
      <c r="F1917" s="1" t="s">
        <v>8132</v>
      </c>
      <c r="G1917" t="s">
        <v>1</v>
      </c>
      <c r="H1917" t="s">
        <v>0</v>
      </c>
      <c r="I1917" t="s">
        <v>8165</v>
      </c>
      <c r="J1917" t="s">
        <v>8164</v>
      </c>
      <c r="K1917">
        <v>12100</v>
      </c>
      <c r="L1917">
        <v>12100</v>
      </c>
      <c r="M1917" t="s">
        <v>8302</v>
      </c>
      <c r="N1917" t="s">
        <v>8303</v>
      </c>
      <c r="O1917" s="3">
        <v>0</v>
      </c>
      <c r="P1917" s="3">
        <v>0</v>
      </c>
      <c r="Q1917" s="3">
        <v>27</v>
      </c>
      <c r="R1917" s="3">
        <v>3.5100000000000002</v>
      </c>
      <c r="S1917" s="3">
        <v>0</v>
      </c>
      <c r="T1917" s="3">
        <v>0</v>
      </c>
      <c r="U1917" s="3">
        <v>30.51</v>
      </c>
      <c r="V1917" s="3" t="s">
        <v>8046</v>
      </c>
      <c r="W1917" s="3" t="s">
        <v>1</v>
      </c>
    </row>
    <row r="1918" spans="5:23" hidden="1" x14ac:dyDescent="0.25">
      <c r="E1918" t="s">
        <v>8126</v>
      </c>
      <c r="F1918" s="1" t="s">
        <v>8132</v>
      </c>
      <c r="G1918" t="s">
        <v>1</v>
      </c>
      <c r="H1918" t="s">
        <v>0</v>
      </c>
      <c r="I1918" t="s">
        <v>8165</v>
      </c>
      <c r="J1918" t="s">
        <v>8164</v>
      </c>
      <c r="K1918">
        <v>12101</v>
      </c>
      <c r="L1918">
        <v>12101</v>
      </c>
      <c r="M1918" t="s">
        <v>8194</v>
      </c>
      <c r="N1918" t="s">
        <v>8195</v>
      </c>
      <c r="O1918" s="3">
        <v>0</v>
      </c>
      <c r="P1918" s="3">
        <v>0</v>
      </c>
      <c r="Q1918" s="3">
        <v>37.35</v>
      </c>
      <c r="R1918" s="3">
        <v>4.8555000000000001</v>
      </c>
      <c r="S1918" s="3">
        <v>0</v>
      </c>
      <c r="T1918" s="3">
        <v>0</v>
      </c>
      <c r="U1918" s="3">
        <v>42.205500000000001</v>
      </c>
      <c r="V1918" s="3" t="s">
        <v>8046</v>
      </c>
      <c r="W1918" s="3" t="s">
        <v>1</v>
      </c>
    </row>
    <row r="1919" spans="5:23" hidden="1" x14ac:dyDescent="0.25">
      <c r="E1919" t="s">
        <v>8126</v>
      </c>
      <c r="F1919" s="1" t="s">
        <v>8132</v>
      </c>
      <c r="G1919" t="s">
        <v>1</v>
      </c>
      <c r="H1919" t="s">
        <v>0</v>
      </c>
      <c r="I1919" t="s">
        <v>8165</v>
      </c>
      <c r="J1919" t="s">
        <v>8164</v>
      </c>
      <c r="K1919">
        <v>12102</v>
      </c>
      <c r="L1919">
        <v>12102</v>
      </c>
      <c r="M1919" s="33" t="s">
        <v>8194</v>
      </c>
      <c r="N1919" t="s">
        <v>8195</v>
      </c>
      <c r="O1919" s="3">
        <v>0</v>
      </c>
      <c r="P1919" s="3">
        <v>0</v>
      </c>
      <c r="Q1919" s="3">
        <v>168.35</v>
      </c>
      <c r="R1919" s="3">
        <v>21.8855</v>
      </c>
      <c r="S1919" s="3">
        <v>0</v>
      </c>
      <c r="T1919" s="3">
        <v>0</v>
      </c>
      <c r="U1919" s="3">
        <v>190.2355</v>
      </c>
      <c r="V1919" s="3" t="s">
        <v>8046</v>
      </c>
      <c r="W1919" s="3" t="s">
        <v>1</v>
      </c>
    </row>
    <row r="1920" spans="5:23" hidden="1" x14ac:dyDescent="0.25">
      <c r="E1920" t="s">
        <v>8126</v>
      </c>
      <c r="F1920" s="1" t="s">
        <v>8132</v>
      </c>
      <c r="G1920" t="s">
        <v>1</v>
      </c>
      <c r="H1920" t="s">
        <v>0</v>
      </c>
      <c r="I1920" t="s">
        <v>8165</v>
      </c>
      <c r="J1920" t="s">
        <v>8164</v>
      </c>
      <c r="K1920">
        <v>12103</v>
      </c>
      <c r="L1920">
        <v>12103</v>
      </c>
      <c r="M1920" t="s">
        <v>8300</v>
      </c>
      <c r="N1920" t="s">
        <v>8301</v>
      </c>
      <c r="O1920" s="3">
        <v>0</v>
      </c>
      <c r="P1920" s="3">
        <v>0</v>
      </c>
      <c r="Q1920" s="3">
        <v>864.11</v>
      </c>
      <c r="R1920" s="3">
        <v>112.3343</v>
      </c>
      <c r="S1920" s="3">
        <v>0</v>
      </c>
      <c r="T1920" s="3">
        <v>0</v>
      </c>
      <c r="U1920" s="3">
        <v>976.4443</v>
      </c>
      <c r="V1920" s="3" t="s">
        <v>8046</v>
      </c>
      <c r="W1920" s="3" t="s">
        <v>1</v>
      </c>
    </row>
    <row r="1921" spans="5:23" hidden="1" x14ac:dyDescent="0.25">
      <c r="E1921" t="s">
        <v>8126</v>
      </c>
      <c r="F1921" s="1" t="s">
        <v>8132</v>
      </c>
      <c r="G1921" t="s">
        <v>1</v>
      </c>
      <c r="H1921" t="s">
        <v>0</v>
      </c>
      <c r="I1921" t="s">
        <v>8165</v>
      </c>
      <c r="J1921" t="s">
        <v>8164</v>
      </c>
      <c r="K1921">
        <v>12104</v>
      </c>
      <c r="L1921">
        <v>12104</v>
      </c>
      <c r="M1921" t="s">
        <v>8218</v>
      </c>
      <c r="N1921" t="s">
        <v>8219</v>
      </c>
      <c r="O1921" s="3">
        <v>0</v>
      </c>
      <c r="P1921" s="3">
        <v>0</v>
      </c>
      <c r="Q1921" s="3">
        <v>301.14</v>
      </c>
      <c r="R1921" s="3">
        <v>39.148200000000003</v>
      </c>
      <c r="S1921" s="3">
        <v>0</v>
      </c>
      <c r="T1921" s="3">
        <v>0</v>
      </c>
      <c r="U1921" s="3">
        <v>340.28819999999996</v>
      </c>
      <c r="V1921" s="3" t="s">
        <v>8046</v>
      </c>
      <c r="W1921" s="3" t="s">
        <v>1</v>
      </c>
    </row>
    <row r="1922" spans="5:23" hidden="1" x14ac:dyDescent="0.25">
      <c r="E1922" t="s">
        <v>8126</v>
      </c>
      <c r="F1922" s="1" t="s">
        <v>8132</v>
      </c>
      <c r="G1922" t="s">
        <v>1</v>
      </c>
      <c r="H1922" t="s">
        <v>0</v>
      </c>
      <c r="I1922" t="s">
        <v>8165</v>
      </c>
      <c r="J1922" t="s">
        <v>8164</v>
      </c>
      <c r="K1922">
        <v>12105</v>
      </c>
      <c r="L1922">
        <v>12105</v>
      </c>
      <c r="M1922" t="s">
        <v>332</v>
      </c>
      <c r="N1922" t="s">
        <v>333</v>
      </c>
      <c r="O1922" s="3">
        <v>0</v>
      </c>
      <c r="P1922" s="3">
        <v>0</v>
      </c>
      <c r="Q1922" s="3">
        <v>295.2</v>
      </c>
      <c r="R1922" s="3">
        <v>38.375999999999998</v>
      </c>
      <c r="S1922" s="3">
        <v>0</v>
      </c>
      <c r="T1922" s="3">
        <v>0</v>
      </c>
      <c r="U1922" s="3">
        <v>333.57599999999996</v>
      </c>
      <c r="V1922" s="3" t="s">
        <v>8046</v>
      </c>
      <c r="W1922" s="3" t="s">
        <v>1</v>
      </c>
    </row>
    <row r="1923" spans="5:23" hidden="1" x14ac:dyDescent="0.25">
      <c r="E1923" t="s">
        <v>8126</v>
      </c>
      <c r="F1923" s="1" t="s">
        <v>8132</v>
      </c>
      <c r="G1923" t="s">
        <v>1</v>
      </c>
      <c r="H1923" t="s">
        <v>0</v>
      </c>
      <c r="I1923" t="s">
        <v>8165</v>
      </c>
      <c r="J1923" t="s">
        <v>8164</v>
      </c>
      <c r="K1923">
        <v>12106</v>
      </c>
      <c r="L1923">
        <v>12106</v>
      </c>
      <c r="M1923" t="s">
        <v>8298</v>
      </c>
      <c r="N1923" t="s">
        <v>8299</v>
      </c>
      <c r="O1923" s="3">
        <v>0</v>
      </c>
      <c r="P1923" s="3">
        <v>0</v>
      </c>
      <c r="Q1923" s="3">
        <v>44.2</v>
      </c>
      <c r="R1923" s="3">
        <v>5.7460000000000004</v>
      </c>
      <c r="S1923" s="3">
        <v>0</v>
      </c>
      <c r="T1923" s="3">
        <v>0</v>
      </c>
      <c r="U1923" s="3">
        <v>49.946000000000005</v>
      </c>
      <c r="V1923" s="3" t="s">
        <v>8046</v>
      </c>
      <c r="W1923" s="3" t="s">
        <v>1</v>
      </c>
    </row>
    <row r="1924" spans="5:23" hidden="1" x14ac:dyDescent="0.25">
      <c r="E1924" t="s">
        <v>8126</v>
      </c>
      <c r="F1924" s="1" t="s">
        <v>8132</v>
      </c>
      <c r="G1924" t="s">
        <v>1</v>
      </c>
      <c r="H1924" t="s">
        <v>0</v>
      </c>
      <c r="I1924" t="s">
        <v>8165</v>
      </c>
      <c r="J1924" t="s">
        <v>8164</v>
      </c>
      <c r="K1924">
        <v>12107</v>
      </c>
      <c r="L1924">
        <v>12107</v>
      </c>
      <c r="M1924" t="s">
        <v>8259</v>
      </c>
      <c r="N1924" t="s">
        <v>8260</v>
      </c>
      <c r="O1924" s="3">
        <v>0</v>
      </c>
      <c r="P1924" s="3">
        <v>0</v>
      </c>
      <c r="Q1924" s="3">
        <v>48.63</v>
      </c>
      <c r="R1924" s="3">
        <v>6.3219000000000003</v>
      </c>
      <c r="S1924" s="3">
        <v>0</v>
      </c>
      <c r="T1924" s="3">
        <v>0</v>
      </c>
      <c r="U1924" s="3">
        <v>54.951900000000002</v>
      </c>
      <c r="V1924" s="3" t="s">
        <v>8046</v>
      </c>
      <c r="W1924" s="3" t="s">
        <v>1</v>
      </c>
    </row>
    <row r="1925" spans="5:23" hidden="1" x14ac:dyDescent="0.25">
      <c r="E1925" t="s">
        <v>8126</v>
      </c>
      <c r="F1925" s="1" t="s">
        <v>8132</v>
      </c>
      <c r="G1925" t="s">
        <v>1</v>
      </c>
      <c r="H1925" t="s">
        <v>0</v>
      </c>
      <c r="I1925" t="s">
        <v>8165</v>
      </c>
      <c r="J1925" t="s">
        <v>8164</v>
      </c>
      <c r="K1925">
        <v>12108</v>
      </c>
      <c r="L1925">
        <v>12108</v>
      </c>
      <c r="M1925" t="s">
        <v>8296</v>
      </c>
      <c r="N1925" t="s">
        <v>8297</v>
      </c>
      <c r="O1925" s="3">
        <v>0</v>
      </c>
      <c r="P1925" s="3">
        <v>0</v>
      </c>
      <c r="Q1925" s="3">
        <v>18.170000000000002</v>
      </c>
      <c r="R1925" s="3">
        <v>2.3621000000000003</v>
      </c>
      <c r="S1925" s="3">
        <v>0</v>
      </c>
      <c r="T1925" s="3">
        <v>0</v>
      </c>
      <c r="U1925" s="3">
        <v>20.532100000000003</v>
      </c>
      <c r="V1925" s="3" t="s">
        <v>8046</v>
      </c>
      <c r="W1925" s="3" t="s">
        <v>1</v>
      </c>
    </row>
    <row r="1926" spans="5:23" hidden="1" x14ac:dyDescent="0.25">
      <c r="E1926" t="s">
        <v>8126</v>
      </c>
      <c r="F1926" s="34" t="s">
        <v>8132</v>
      </c>
      <c r="G1926" t="s">
        <v>1</v>
      </c>
      <c r="H1926" t="s">
        <v>0</v>
      </c>
      <c r="I1926" t="s">
        <v>8165</v>
      </c>
      <c r="J1926" t="s">
        <v>8164</v>
      </c>
      <c r="K1926">
        <v>12109</v>
      </c>
      <c r="L1926">
        <v>12109</v>
      </c>
      <c r="M1926" t="s">
        <v>8186</v>
      </c>
      <c r="N1926" t="s">
        <v>8187</v>
      </c>
      <c r="O1926" s="3">
        <v>0</v>
      </c>
      <c r="P1926" s="3">
        <v>0</v>
      </c>
      <c r="Q1926" s="3">
        <v>38.020000000000003</v>
      </c>
      <c r="R1926" s="3">
        <v>4.9426000000000005</v>
      </c>
      <c r="S1926" s="3">
        <v>0</v>
      </c>
      <c r="T1926" s="3">
        <v>0</v>
      </c>
      <c r="U1926" s="3">
        <v>42.962600000000002</v>
      </c>
      <c r="V1926" s="3" t="s">
        <v>8046</v>
      </c>
      <c r="W1926" s="3" t="s">
        <v>1</v>
      </c>
    </row>
    <row r="1927" spans="5:23" hidden="1" x14ac:dyDescent="0.25">
      <c r="E1927" t="s">
        <v>8126</v>
      </c>
      <c r="F1927" s="34" t="s">
        <v>8132</v>
      </c>
      <c r="G1927" t="s">
        <v>1</v>
      </c>
      <c r="H1927" t="s">
        <v>0</v>
      </c>
      <c r="I1927" t="s">
        <v>8165</v>
      </c>
      <c r="J1927" t="s">
        <v>8164</v>
      </c>
      <c r="K1927">
        <v>12110</v>
      </c>
      <c r="L1927">
        <v>12110</v>
      </c>
      <c r="M1927" t="s">
        <v>8188</v>
      </c>
      <c r="N1927" t="s">
        <v>8189</v>
      </c>
      <c r="O1927" s="3">
        <v>0</v>
      </c>
      <c r="P1927" s="3">
        <v>0</v>
      </c>
      <c r="Q1927" s="3">
        <v>1327.35</v>
      </c>
      <c r="R1927" s="3">
        <v>172.55549999999999</v>
      </c>
      <c r="S1927" s="3">
        <v>0</v>
      </c>
      <c r="T1927" s="3">
        <v>0</v>
      </c>
      <c r="U1927" s="3">
        <v>1499.9054999999998</v>
      </c>
      <c r="V1927" s="3" t="s">
        <v>8046</v>
      </c>
      <c r="W1927" s="3" t="s">
        <v>1</v>
      </c>
    </row>
    <row r="1928" spans="5:23" hidden="1" x14ac:dyDescent="0.25">
      <c r="E1928" t="s">
        <v>8126</v>
      </c>
      <c r="F1928" s="34" t="s">
        <v>8132</v>
      </c>
      <c r="G1928" t="s">
        <v>1</v>
      </c>
      <c r="H1928" t="s">
        <v>0</v>
      </c>
      <c r="I1928" t="s">
        <v>8165</v>
      </c>
      <c r="J1928" t="s">
        <v>8164</v>
      </c>
      <c r="K1928">
        <v>12111</v>
      </c>
      <c r="L1928">
        <v>12111</v>
      </c>
      <c r="M1928" t="s">
        <v>8188</v>
      </c>
      <c r="N1928" t="s">
        <v>8189</v>
      </c>
      <c r="O1928" s="3">
        <v>0</v>
      </c>
      <c r="P1928" s="3">
        <v>0</v>
      </c>
      <c r="Q1928" s="3">
        <v>276.12</v>
      </c>
      <c r="R1928" s="3">
        <v>35.895600000000002</v>
      </c>
      <c r="S1928" s="3">
        <v>0</v>
      </c>
      <c r="T1928" s="3">
        <v>0</v>
      </c>
      <c r="U1928" s="3">
        <v>312.01560000000001</v>
      </c>
      <c r="V1928" s="3" t="s">
        <v>8046</v>
      </c>
      <c r="W1928" s="3" t="s">
        <v>1</v>
      </c>
    </row>
    <row r="1929" spans="5:23" hidden="1" x14ac:dyDescent="0.25">
      <c r="E1929" t="s">
        <v>8126</v>
      </c>
      <c r="F1929" s="34" t="s">
        <v>8132</v>
      </c>
      <c r="G1929" t="s">
        <v>1</v>
      </c>
      <c r="H1929" t="s">
        <v>0</v>
      </c>
      <c r="I1929" t="s">
        <v>8165</v>
      </c>
      <c r="J1929" t="s">
        <v>8164</v>
      </c>
      <c r="K1929">
        <v>12112</v>
      </c>
      <c r="L1929">
        <v>12112</v>
      </c>
      <c r="M1929" t="s">
        <v>8295</v>
      </c>
      <c r="N1929" t="s">
        <v>935</v>
      </c>
      <c r="O1929" s="3">
        <v>0</v>
      </c>
      <c r="P1929" s="3">
        <v>0</v>
      </c>
      <c r="Q1929" s="3">
        <v>24.68</v>
      </c>
      <c r="R1929" s="3">
        <v>3.2084000000000001</v>
      </c>
      <c r="S1929" s="3">
        <v>0</v>
      </c>
      <c r="T1929" s="3">
        <v>0</v>
      </c>
      <c r="U1929" s="3">
        <v>27.888400000000001</v>
      </c>
      <c r="V1929" s="3" t="s">
        <v>8046</v>
      </c>
      <c r="W1929" s="3" t="s">
        <v>1</v>
      </c>
    </row>
    <row r="1930" spans="5:23" hidden="1" x14ac:dyDescent="0.25">
      <c r="E1930" t="s">
        <v>8126</v>
      </c>
      <c r="F1930" s="1" t="s">
        <v>8130</v>
      </c>
      <c r="G1930" t="s">
        <v>1</v>
      </c>
      <c r="H1930" t="s">
        <v>0</v>
      </c>
      <c r="I1930" t="s">
        <v>8165</v>
      </c>
      <c r="J1930" t="s">
        <v>8164</v>
      </c>
      <c r="K1930">
        <v>12113</v>
      </c>
      <c r="L1930">
        <v>12113</v>
      </c>
      <c r="M1930" t="s">
        <v>734</v>
      </c>
      <c r="N1930" t="s">
        <v>735</v>
      </c>
      <c r="O1930" s="3">
        <v>0</v>
      </c>
      <c r="P1930" s="3">
        <v>0</v>
      </c>
      <c r="Q1930" s="3">
        <v>934.56</v>
      </c>
      <c r="R1930" s="3">
        <v>121.4928</v>
      </c>
      <c r="S1930" s="3">
        <v>0</v>
      </c>
      <c r="T1930" s="3">
        <v>0</v>
      </c>
      <c r="U1930" s="3">
        <v>1056.0527999999999</v>
      </c>
      <c r="V1930" s="3" t="s">
        <v>8046</v>
      </c>
      <c r="W1930" s="3" t="s">
        <v>1</v>
      </c>
    </row>
    <row r="1931" spans="5:23" hidden="1" x14ac:dyDescent="0.25">
      <c r="E1931" t="s">
        <v>8126</v>
      </c>
      <c r="F1931" s="1" t="s">
        <v>8130</v>
      </c>
      <c r="G1931" t="s">
        <v>1</v>
      </c>
      <c r="H1931" t="s">
        <v>0</v>
      </c>
      <c r="I1931" t="s">
        <v>8165</v>
      </c>
      <c r="J1931" t="s">
        <v>8164</v>
      </c>
      <c r="K1931">
        <v>12114</v>
      </c>
      <c r="L1931">
        <v>12114</v>
      </c>
      <c r="M1931" t="s">
        <v>8269</v>
      </c>
      <c r="N1931" t="s">
        <v>8270</v>
      </c>
      <c r="O1931" s="3">
        <v>0</v>
      </c>
      <c r="P1931" s="3">
        <v>0</v>
      </c>
      <c r="Q1931" s="3">
        <v>92.64</v>
      </c>
      <c r="R1931" s="3">
        <v>12.043200000000001</v>
      </c>
      <c r="S1931" s="3">
        <v>0</v>
      </c>
      <c r="T1931" s="3">
        <v>0</v>
      </c>
      <c r="U1931" s="3">
        <v>104.6832</v>
      </c>
      <c r="V1931" s="3" t="s">
        <v>8046</v>
      </c>
      <c r="W1931" s="3" t="s">
        <v>1</v>
      </c>
    </row>
    <row r="1932" spans="5:23" hidden="1" x14ac:dyDescent="0.25">
      <c r="E1932" t="s">
        <v>8126</v>
      </c>
      <c r="F1932" s="1" t="s">
        <v>8130</v>
      </c>
      <c r="G1932" t="s">
        <v>1</v>
      </c>
      <c r="H1932" t="s">
        <v>0</v>
      </c>
      <c r="I1932" t="s">
        <v>8165</v>
      </c>
      <c r="J1932" t="s">
        <v>8164</v>
      </c>
      <c r="K1932">
        <v>12115</v>
      </c>
      <c r="L1932">
        <v>12115</v>
      </c>
      <c r="M1932" t="s">
        <v>8243</v>
      </c>
      <c r="N1932" t="s">
        <v>8244</v>
      </c>
      <c r="O1932" s="3">
        <v>0</v>
      </c>
      <c r="P1932" s="3">
        <v>0</v>
      </c>
      <c r="Q1932" s="3">
        <v>37.200000000000003</v>
      </c>
      <c r="R1932" s="3">
        <v>4.8360000000000003</v>
      </c>
      <c r="S1932" s="3">
        <v>0</v>
      </c>
      <c r="T1932" s="3">
        <v>0</v>
      </c>
      <c r="U1932" s="3">
        <v>42.036000000000001</v>
      </c>
      <c r="V1932" s="3" t="s">
        <v>8046</v>
      </c>
      <c r="W1932" s="3" t="s">
        <v>1</v>
      </c>
    </row>
    <row r="1933" spans="5:23" hidden="1" x14ac:dyDescent="0.25">
      <c r="E1933" t="s">
        <v>8126</v>
      </c>
      <c r="F1933" s="1" t="s">
        <v>8130</v>
      </c>
      <c r="G1933" t="s">
        <v>1</v>
      </c>
      <c r="H1933" t="s">
        <v>0</v>
      </c>
      <c r="I1933" t="s">
        <v>8165</v>
      </c>
      <c r="J1933" t="s">
        <v>8164</v>
      </c>
      <c r="K1933">
        <v>12116</v>
      </c>
      <c r="L1933">
        <v>12116</v>
      </c>
      <c r="M1933" t="s">
        <v>8269</v>
      </c>
      <c r="N1933" t="s">
        <v>8270</v>
      </c>
      <c r="O1933" s="3">
        <v>0</v>
      </c>
      <c r="P1933" s="3">
        <v>0</v>
      </c>
      <c r="Q1933" s="3">
        <v>6</v>
      </c>
      <c r="R1933" s="3">
        <v>0.78</v>
      </c>
      <c r="S1933" s="3">
        <v>0</v>
      </c>
      <c r="T1933" s="3">
        <v>0</v>
      </c>
      <c r="U1933" s="3">
        <v>6.78</v>
      </c>
      <c r="V1933" s="3" t="s">
        <v>8046</v>
      </c>
      <c r="W1933" s="3" t="s">
        <v>1</v>
      </c>
    </row>
    <row r="1934" spans="5:23" hidden="1" x14ac:dyDescent="0.25">
      <c r="E1934" t="s">
        <v>8126</v>
      </c>
      <c r="F1934" s="1" t="s">
        <v>8130</v>
      </c>
      <c r="G1934" t="s">
        <v>1</v>
      </c>
      <c r="H1934" t="s">
        <v>0</v>
      </c>
      <c r="I1934" t="s">
        <v>8165</v>
      </c>
      <c r="J1934" t="s">
        <v>8164</v>
      </c>
      <c r="K1934">
        <v>12117</v>
      </c>
      <c r="L1934">
        <v>12117</v>
      </c>
      <c r="M1934" t="s">
        <v>8170</v>
      </c>
      <c r="N1934" t="s">
        <v>8171</v>
      </c>
      <c r="O1934" s="3">
        <v>0</v>
      </c>
      <c r="P1934" s="3">
        <v>0</v>
      </c>
      <c r="Q1934" s="3">
        <v>20.63</v>
      </c>
      <c r="R1934" s="3">
        <v>2.6819000000000002</v>
      </c>
      <c r="S1934" s="3">
        <v>0</v>
      </c>
      <c r="T1934" s="3">
        <v>0</v>
      </c>
      <c r="U1934" s="3">
        <v>23.311899999999998</v>
      </c>
      <c r="V1934" s="3" t="s">
        <v>8046</v>
      </c>
      <c r="W1934" s="3" t="s">
        <v>1</v>
      </c>
    </row>
    <row r="1935" spans="5:23" hidden="1" x14ac:dyDescent="0.25">
      <c r="E1935" t="s">
        <v>8126</v>
      </c>
      <c r="F1935" s="1" t="s">
        <v>8130</v>
      </c>
      <c r="G1935" t="s">
        <v>1</v>
      </c>
      <c r="H1935" t="s">
        <v>0</v>
      </c>
      <c r="I1935" t="s">
        <v>8165</v>
      </c>
      <c r="J1935" t="s">
        <v>8164</v>
      </c>
      <c r="K1935">
        <v>12118</v>
      </c>
      <c r="L1935">
        <v>12118</v>
      </c>
      <c r="M1935" t="s">
        <v>8170</v>
      </c>
      <c r="N1935" t="s">
        <v>8171</v>
      </c>
      <c r="O1935" s="3">
        <v>0</v>
      </c>
      <c r="P1935" s="3">
        <v>0</v>
      </c>
      <c r="Q1935" s="3">
        <v>10.16</v>
      </c>
      <c r="R1935" s="3">
        <v>1.3208</v>
      </c>
      <c r="S1935" s="3">
        <v>0</v>
      </c>
      <c r="T1935" s="3">
        <v>0</v>
      </c>
      <c r="U1935" s="3">
        <v>11.4808</v>
      </c>
      <c r="V1935" s="3" t="s">
        <v>8046</v>
      </c>
      <c r="W1935" s="3" t="s">
        <v>1</v>
      </c>
    </row>
    <row r="1936" spans="5:23" hidden="1" x14ac:dyDescent="0.25">
      <c r="E1936" t="s">
        <v>8126</v>
      </c>
      <c r="F1936" s="1" t="s">
        <v>8130</v>
      </c>
      <c r="G1936" t="s">
        <v>1</v>
      </c>
      <c r="H1936" t="s">
        <v>0</v>
      </c>
      <c r="I1936" t="s">
        <v>8165</v>
      </c>
      <c r="J1936" t="s">
        <v>8164</v>
      </c>
      <c r="K1936">
        <v>12119</v>
      </c>
      <c r="L1936">
        <v>12119</v>
      </c>
      <c r="M1936" t="s">
        <v>8243</v>
      </c>
      <c r="N1936" t="s">
        <v>8244</v>
      </c>
      <c r="O1936" s="3">
        <v>0</v>
      </c>
      <c r="P1936" s="3">
        <v>0</v>
      </c>
      <c r="Q1936" s="3">
        <v>17.649999999999999</v>
      </c>
      <c r="R1936" s="3">
        <v>2.2944999999999998</v>
      </c>
      <c r="S1936" s="3">
        <v>0</v>
      </c>
      <c r="T1936" s="3">
        <v>0</v>
      </c>
      <c r="U1936" s="3">
        <v>19.944499999999998</v>
      </c>
      <c r="V1936" s="3" t="s">
        <v>8046</v>
      </c>
      <c r="W1936" s="3" t="s">
        <v>1</v>
      </c>
    </row>
    <row r="1937" spans="5:23" hidden="1" x14ac:dyDescent="0.25">
      <c r="E1937" t="s">
        <v>8126</v>
      </c>
      <c r="F1937" s="1" t="s">
        <v>8130</v>
      </c>
      <c r="G1937" t="s">
        <v>1</v>
      </c>
      <c r="H1937" t="s">
        <v>0</v>
      </c>
      <c r="I1937" t="s">
        <v>8165</v>
      </c>
      <c r="J1937" t="s">
        <v>8164</v>
      </c>
      <c r="K1937">
        <v>12120</v>
      </c>
      <c r="L1937">
        <v>12120</v>
      </c>
      <c r="M1937" t="s">
        <v>8114</v>
      </c>
      <c r="N1937" t="s">
        <v>8115</v>
      </c>
      <c r="O1937" s="3">
        <v>0</v>
      </c>
      <c r="P1937" s="3">
        <v>0</v>
      </c>
      <c r="Q1937" s="3">
        <v>394.7</v>
      </c>
      <c r="R1937" s="3">
        <v>51.311</v>
      </c>
      <c r="S1937" s="3">
        <v>0</v>
      </c>
      <c r="T1937" s="3">
        <v>0</v>
      </c>
      <c r="U1937" s="3">
        <v>446.01099999999997</v>
      </c>
      <c r="V1937" s="3" t="s">
        <v>8046</v>
      </c>
      <c r="W1937" s="3" t="s">
        <v>1</v>
      </c>
    </row>
    <row r="1938" spans="5:23" hidden="1" x14ac:dyDescent="0.25">
      <c r="E1938" t="s">
        <v>8126</v>
      </c>
      <c r="F1938" s="1" t="s">
        <v>8130</v>
      </c>
      <c r="G1938" t="s">
        <v>1</v>
      </c>
      <c r="H1938" t="s">
        <v>0</v>
      </c>
      <c r="I1938" t="s">
        <v>8165</v>
      </c>
      <c r="J1938" t="s">
        <v>8164</v>
      </c>
      <c r="K1938">
        <v>12121</v>
      </c>
      <c r="L1938">
        <v>12121</v>
      </c>
      <c r="M1938" t="s">
        <v>7852</v>
      </c>
      <c r="N1938" t="s">
        <v>7851</v>
      </c>
      <c r="O1938" s="3">
        <v>0</v>
      </c>
      <c r="P1938" s="3">
        <v>0</v>
      </c>
      <c r="Q1938" s="3">
        <v>0</v>
      </c>
      <c r="R1938" s="3">
        <v>0</v>
      </c>
      <c r="S1938" s="3">
        <v>0</v>
      </c>
      <c r="T1938" s="3">
        <v>0</v>
      </c>
      <c r="U1938" s="3">
        <v>0</v>
      </c>
      <c r="V1938" s="3" t="s">
        <v>8046</v>
      </c>
      <c r="W1938" s="3" t="s">
        <v>1</v>
      </c>
    </row>
    <row r="1939" spans="5:23" hidden="1" x14ac:dyDescent="0.25">
      <c r="E1939" t="s">
        <v>8126</v>
      </c>
      <c r="F1939" s="1" t="s">
        <v>8130</v>
      </c>
      <c r="G1939" t="s">
        <v>1</v>
      </c>
      <c r="H1939" t="s">
        <v>0</v>
      </c>
      <c r="I1939" t="s">
        <v>8165</v>
      </c>
      <c r="J1939" t="s">
        <v>8164</v>
      </c>
      <c r="K1939">
        <v>12122</v>
      </c>
      <c r="L1939">
        <v>12122</v>
      </c>
      <c r="M1939" t="s">
        <v>8222</v>
      </c>
      <c r="N1939" t="s">
        <v>8223</v>
      </c>
      <c r="O1939" s="3">
        <v>0</v>
      </c>
      <c r="P1939" s="3">
        <v>0</v>
      </c>
      <c r="Q1939" s="3">
        <v>250</v>
      </c>
      <c r="R1939" s="3">
        <v>32.5</v>
      </c>
      <c r="S1939" s="3">
        <v>0</v>
      </c>
      <c r="T1939" s="3">
        <v>0</v>
      </c>
      <c r="U1939" s="3">
        <v>282.5</v>
      </c>
      <c r="V1939" s="3" t="s">
        <v>8046</v>
      </c>
      <c r="W1939" s="3" t="s">
        <v>1</v>
      </c>
    </row>
    <row r="1940" spans="5:23" hidden="1" x14ac:dyDescent="0.25">
      <c r="E1940" t="s">
        <v>8126</v>
      </c>
      <c r="F1940" s="1" t="s">
        <v>8130</v>
      </c>
      <c r="G1940" t="s">
        <v>1</v>
      </c>
      <c r="H1940" t="s">
        <v>0</v>
      </c>
      <c r="I1940" t="s">
        <v>8165</v>
      </c>
      <c r="J1940" t="s">
        <v>8164</v>
      </c>
      <c r="K1940">
        <v>12123</v>
      </c>
      <c r="L1940">
        <v>12123</v>
      </c>
      <c r="M1940" t="s">
        <v>8190</v>
      </c>
      <c r="N1940" t="s">
        <v>8191</v>
      </c>
      <c r="O1940" s="3">
        <v>0</v>
      </c>
      <c r="P1940" s="3">
        <v>0</v>
      </c>
      <c r="Q1940" s="3">
        <v>245.59</v>
      </c>
      <c r="R1940" s="3">
        <v>31.9267</v>
      </c>
      <c r="S1940" s="3">
        <v>0</v>
      </c>
      <c r="T1940" s="3">
        <v>0</v>
      </c>
      <c r="U1940" s="3">
        <v>277.51670000000001</v>
      </c>
      <c r="V1940" s="3" t="s">
        <v>8046</v>
      </c>
      <c r="W1940" s="3" t="s">
        <v>1</v>
      </c>
    </row>
    <row r="1941" spans="5:23" hidden="1" x14ac:dyDescent="0.25">
      <c r="E1941" t="s">
        <v>8126</v>
      </c>
      <c r="F1941" s="1" t="s">
        <v>8130</v>
      </c>
      <c r="G1941" t="s">
        <v>1</v>
      </c>
      <c r="H1941" t="s">
        <v>0</v>
      </c>
      <c r="I1941" t="s">
        <v>8165</v>
      </c>
      <c r="J1941" t="s">
        <v>8164</v>
      </c>
      <c r="K1941">
        <v>12124</v>
      </c>
      <c r="L1941">
        <v>12124</v>
      </c>
      <c r="M1941" t="s">
        <v>8293</v>
      </c>
      <c r="N1941" t="s">
        <v>8294</v>
      </c>
      <c r="O1941" s="3">
        <v>0</v>
      </c>
      <c r="P1941" s="3">
        <v>0</v>
      </c>
      <c r="Q1941" s="3">
        <v>223.01</v>
      </c>
      <c r="R1941" s="3">
        <v>28.991299999999999</v>
      </c>
      <c r="S1941" s="3">
        <v>0</v>
      </c>
      <c r="T1941" s="3">
        <v>0</v>
      </c>
      <c r="U1941" s="3">
        <v>252.00129999999999</v>
      </c>
      <c r="V1941" s="3" t="s">
        <v>8046</v>
      </c>
      <c r="W1941" s="3" t="s">
        <v>1</v>
      </c>
    </row>
    <row r="1942" spans="5:23" hidden="1" x14ac:dyDescent="0.25">
      <c r="E1942" t="s">
        <v>8126</v>
      </c>
      <c r="F1942" s="1" t="s">
        <v>8130</v>
      </c>
      <c r="G1942" t="s">
        <v>1</v>
      </c>
      <c r="H1942" t="s">
        <v>0</v>
      </c>
      <c r="I1942" t="s">
        <v>8165</v>
      </c>
      <c r="J1942" t="s">
        <v>8164</v>
      </c>
      <c r="K1942">
        <v>12125</v>
      </c>
      <c r="L1942">
        <v>12125</v>
      </c>
      <c r="M1942" t="s">
        <v>8168</v>
      </c>
      <c r="N1942" t="s">
        <v>8169</v>
      </c>
      <c r="O1942" s="3">
        <v>0</v>
      </c>
      <c r="P1942" s="3">
        <v>0</v>
      </c>
      <c r="Q1942" s="3">
        <v>166.75</v>
      </c>
      <c r="R1942" s="3">
        <v>21.677500000000002</v>
      </c>
      <c r="S1942" s="3">
        <v>0</v>
      </c>
      <c r="T1942" s="3">
        <v>0</v>
      </c>
      <c r="U1942" s="3">
        <v>188.42750000000001</v>
      </c>
      <c r="V1942" s="3" t="s">
        <v>8046</v>
      </c>
      <c r="W1942" s="3" t="s">
        <v>1</v>
      </c>
    </row>
    <row r="1943" spans="5:23" hidden="1" x14ac:dyDescent="0.25">
      <c r="E1943" t="s">
        <v>8126</v>
      </c>
      <c r="F1943" s="1" t="s">
        <v>8130</v>
      </c>
      <c r="G1943" t="s">
        <v>1</v>
      </c>
      <c r="H1943" t="s">
        <v>0</v>
      </c>
      <c r="I1943" t="s">
        <v>8165</v>
      </c>
      <c r="J1943" t="s">
        <v>8164</v>
      </c>
      <c r="K1943">
        <v>12126</v>
      </c>
      <c r="L1943">
        <v>12126</v>
      </c>
      <c r="M1943" t="s">
        <v>238</v>
      </c>
      <c r="N1943" t="s">
        <v>239</v>
      </c>
      <c r="O1943" s="3">
        <v>0</v>
      </c>
      <c r="P1943" s="3">
        <v>0</v>
      </c>
      <c r="Q1943" s="3">
        <v>24.25</v>
      </c>
      <c r="R1943" s="3">
        <v>3.1525000000000003</v>
      </c>
      <c r="S1943" s="3">
        <v>0</v>
      </c>
      <c r="T1943" s="3">
        <v>0</v>
      </c>
      <c r="U1943" s="3">
        <v>27.4025</v>
      </c>
      <c r="V1943" s="3" t="s">
        <v>8046</v>
      </c>
      <c r="W1943" s="3" t="s">
        <v>1</v>
      </c>
    </row>
    <row r="1944" spans="5:23" hidden="1" x14ac:dyDescent="0.25">
      <c r="E1944" t="s">
        <v>8126</v>
      </c>
      <c r="F1944" s="1" t="s">
        <v>8130</v>
      </c>
      <c r="G1944" t="s">
        <v>1</v>
      </c>
      <c r="H1944" t="s">
        <v>0</v>
      </c>
      <c r="I1944" t="s">
        <v>8165</v>
      </c>
      <c r="J1944" t="s">
        <v>8164</v>
      </c>
      <c r="K1944">
        <v>12127</v>
      </c>
      <c r="L1944">
        <v>12127</v>
      </c>
      <c r="M1944" t="s">
        <v>8188</v>
      </c>
      <c r="N1944" t="s">
        <v>8189</v>
      </c>
      <c r="O1944" s="3">
        <v>0</v>
      </c>
      <c r="P1944" s="3">
        <v>0</v>
      </c>
      <c r="Q1944" s="3">
        <v>258.38</v>
      </c>
      <c r="R1944" s="3">
        <v>33.589399999999998</v>
      </c>
      <c r="S1944" s="3">
        <v>0</v>
      </c>
      <c r="T1944" s="3">
        <v>0</v>
      </c>
      <c r="U1944" s="3">
        <v>291.96940000000001</v>
      </c>
      <c r="V1944" s="3" t="s">
        <v>8046</v>
      </c>
      <c r="W1944" s="3" t="s">
        <v>1</v>
      </c>
    </row>
    <row r="1945" spans="5:23" hidden="1" x14ac:dyDescent="0.25">
      <c r="E1945" t="s">
        <v>8126</v>
      </c>
      <c r="F1945" s="1" t="s">
        <v>8130</v>
      </c>
      <c r="G1945" t="s">
        <v>1</v>
      </c>
      <c r="H1945" t="s">
        <v>0</v>
      </c>
      <c r="I1945" t="s">
        <v>8165</v>
      </c>
      <c r="J1945" t="s">
        <v>8164</v>
      </c>
      <c r="K1945">
        <v>12128</v>
      </c>
      <c r="L1945">
        <v>12128</v>
      </c>
      <c r="M1945" t="s">
        <v>8269</v>
      </c>
      <c r="N1945" t="s">
        <v>8270</v>
      </c>
      <c r="O1945" s="3">
        <v>0</v>
      </c>
      <c r="P1945" s="3">
        <v>0</v>
      </c>
      <c r="Q1945" s="3">
        <v>600</v>
      </c>
      <c r="R1945" s="3">
        <v>78</v>
      </c>
      <c r="S1945" s="3">
        <v>0</v>
      </c>
      <c r="T1945" s="3">
        <v>0</v>
      </c>
      <c r="U1945" s="3">
        <v>678</v>
      </c>
      <c r="V1945" s="3" t="s">
        <v>8046</v>
      </c>
      <c r="W1945" s="3" t="s">
        <v>1</v>
      </c>
    </row>
    <row r="1946" spans="5:23" hidden="1" x14ac:dyDescent="0.25">
      <c r="E1946" t="s">
        <v>8126</v>
      </c>
      <c r="F1946" s="1" t="s">
        <v>8130</v>
      </c>
      <c r="G1946" t="s">
        <v>1</v>
      </c>
      <c r="H1946" t="s">
        <v>0</v>
      </c>
      <c r="I1946" t="s">
        <v>8165</v>
      </c>
      <c r="J1946" t="s">
        <v>8164</v>
      </c>
      <c r="K1946">
        <v>12129</v>
      </c>
      <c r="L1946">
        <v>12129</v>
      </c>
      <c r="M1946" t="s">
        <v>8291</v>
      </c>
      <c r="N1946" t="s">
        <v>8292</v>
      </c>
      <c r="O1946" s="3">
        <v>0</v>
      </c>
      <c r="P1946" s="3">
        <v>0</v>
      </c>
      <c r="Q1946" s="3">
        <v>425.04</v>
      </c>
      <c r="R1946" s="3">
        <v>55.255200000000002</v>
      </c>
      <c r="S1946" s="3">
        <v>0</v>
      </c>
      <c r="T1946" s="3">
        <v>0</v>
      </c>
      <c r="U1946" s="3">
        <v>480.29520000000002</v>
      </c>
      <c r="V1946" s="3" t="s">
        <v>8046</v>
      </c>
      <c r="W1946" s="3" t="s">
        <v>1</v>
      </c>
    </row>
    <row r="1947" spans="5:23" hidden="1" x14ac:dyDescent="0.25">
      <c r="E1947" t="s">
        <v>8126</v>
      </c>
      <c r="F1947" s="1" t="s">
        <v>8130</v>
      </c>
      <c r="G1947" t="s">
        <v>1</v>
      </c>
      <c r="H1947" t="s">
        <v>0</v>
      </c>
      <c r="I1947" t="s">
        <v>8165</v>
      </c>
      <c r="J1947" t="s">
        <v>8164</v>
      </c>
      <c r="K1947">
        <v>12130</v>
      </c>
      <c r="L1947">
        <v>12130</v>
      </c>
      <c r="M1947" t="s">
        <v>8291</v>
      </c>
      <c r="N1947" t="s">
        <v>8292</v>
      </c>
      <c r="O1947" s="3">
        <v>0</v>
      </c>
      <c r="P1947" s="3">
        <v>0</v>
      </c>
      <c r="Q1947" s="3">
        <v>70.84</v>
      </c>
      <c r="R1947" s="3">
        <v>9.2092000000000009</v>
      </c>
      <c r="S1947" s="3">
        <v>0</v>
      </c>
      <c r="T1947" s="3">
        <v>0</v>
      </c>
      <c r="U1947" s="3">
        <v>80.049199999999999</v>
      </c>
      <c r="V1947" s="3" t="s">
        <v>8046</v>
      </c>
      <c r="W1947" s="3" t="s">
        <v>1</v>
      </c>
    </row>
    <row r="1948" spans="5:23" hidden="1" x14ac:dyDescent="0.25">
      <c r="E1948" t="s">
        <v>8126</v>
      </c>
      <c r="F1948" s="1" t="s">
        <v>8141</v>
      </c>
      <c r="G1948" t="s">
        <v>1</v>
      </c>
      <c r="H1948" t="s">
        <v>0</v>
      </c>
      <c r="I1948" t="s">
        <v>8165</v>
      </c>
      <c r="J1948" t="s">
        <v>8164</v>
      </c>
      <c r="K1948">
        <v>12131</v>
      </c>
      <c r="L1948">
        <v>12131</v>
      </c>
      <c r="M1948" t="s">
        <v>7869</v>
      </c>
      <c r="N1948" t="s">
        <v>7870</v>
      </c>
      <c r="O1948" s="3">
        <v>0</v>
      </c>
      <c r="P1948" s="3">
        <v>0</v>
      </c>
      <c r="Q1948" s="3">
        <v>250</v>
      </c>
      <c r="R1948" s="3">
        <v>32.5</v>
      </c>
      <c r="S1948" s="3">
        <v>0</v>
      </c>
      <c r="T1948" s="3">
        <v>0</v>
      </c>
      <c r="U1948" s="3">
        <v>282.5</v>
      </c>
      <c r="V1948" s="3" t="s">
        <v>8046</v>
      </c>
      <c r="W1948" s="3" t="s">
        <v>1</v>
      </c>
    </row>
    <row r="1949" spans="5:23" hidden="1" x14ac:dyDescent="0.25">
      <c r="E1949" t="s">
        <v>8126</v>
      </c>
      <c r="F1949" s="1" t="s">
        <v>8141</v>
      </c>
      <c r="G1949" t="s">
        <v>1</v>
      </c>
      <c r="H1949" t="s">
        <v>0</v>
      </c>
      <c r="I1949" t="s">
        <v>8165</v>
      </c>
      <c r="J1949" t="s">
        <v>8164</v>
      </c>
      <c r="K1949">
        <v>12132</v>
      </c>
      <c r="L1949">
        <v>12132</v>
      </c>
      <c r="M1949" t="s">
        <v>8207</v>
      </c>
      <c r="N1949" t="s">
        <v>8208</v>
      </c>
      <c r="O1949" s="3">
        <v>0</v>
      </c>
      <c r="P1949" s="3">
        <v>0</v>
      </c>
      <c r="Q1949" s="3">
        <v>43.39</v>
      </c>
      <c r="R1949" s="3">
        <v>5.6406999999999998</v>
      </c>
      <c r="S1949" s="3">
        <v>0</v>
      </c>
      <c r="T1949" s="3">
        <v>0</v>
      </c>
      <c r="U1949" s="3">
        <v>49.030700000000003</v>
      </c>
      <c r="V1949" s="3" t="s">
        <v>8046</v>
      </c>
      <c r="W1949" s="3" t="s">
        <v>1</v>
      </c>
    </row>
    <row r="1950" spans="5:23" hidden="1" x14ac:dyDescent="0.25">
      <c r="E1950" t="s">
        <v>8126</v>
      </c>
      <c r="F1950" s="1" t="s">
        <v>8141</v>
      </c>
      <c r="G1950" t="s">
        <v>1</v>
      </c>
      <c r="H1950" t="s">
        <v>0</v>
      </c>
      <c r="I1950" t="s">
        <v>8165</v>
      </c>
      <c r="J1950" t="s">
        <v>8164</v>
      </c>
      <c r="K1950">
        <v>12133</v>
      </c>
      <c r="L1950">
        <v>12133</v>
      </c>
      <c r="M1950" t="s">
        <v>8218</v>
      </c>
      <c r="N1950" t="s">
        <v>8219</v>
      </c>
      <c r="O1950" s="3">
        <v>0</v>
      </c>
      <c r="P1950" s="3">
        <v>0</v>
      </c>
      <c r="Q1950" s="3">
        <v>103.27</v>
      </c>
      <c r="R1950" s="3">
        <v>13.4251</v>
      </c>
      <c r="S1950" s="3">
        <v>0</v>
      </c>
      <c r="T1950" s="3">
        <v>0</v>
      </c>
      <c r="U1950" s="3">
        <v>116.6951</v>
      </c>
      <c r="V1950" s="3" t="s">
        <v>8046</v>
      </c>
      <c r="W1950" s="3" t="s">
        <v>1</v>
      </c>
    </row>
    <row r="1951" spans="5:23" hidden="1" x14ac:dyDescent="0.25">
      <c r="E1951" t="s">
        <v>8126</v>
      </c>
      <c r="F1951" s="1" t="s">
        <v>8141</v>
      </c>
      <c r="G1951" t="s">
        <v>1</v>
      </c>
      <c r="H1951" t="s">
        <v>0</v>
      </c>
      <c r="I1951" t="s">
        <v>8165</v>
      </c>
      <c r="J1951" t="s">
        <v>8164</v>
      </c>
      <c r="K1951">
        <v>12134</v>
      </c>
      <c r="L1951">
        <v>12134</v>
      </c>
      <c r="M1951" t="s">
        <v>8218</v>
      </c>
      <c r="N1951" t="s">
        <v>8219</v>
      </c>
      <c r="O1951" s="3">
        <v>0</v>
      </c>
      <c r="P1951" s="3">
        <v>0</v>
      </c>
      <c r="Q1951" s="3">
        <v>46.02</v>
      </c>
      <c r="R1951" s="3">
        <v>5.9826000000000006</v>
      </c>
      <c r="S1951" s="3">
        <v>0</v>
      </c>
      <c r="T1951" s="3">
        <v>0</v>
      </c>
      <c r="U1951" s="3">
        <v>52.002600000000001</v>
      </c>
      <c r="V1951" s="3" t="s">
        <v>8046</v>
      </c>
      <c r="W1951" s="3" t="s">
        <v>1</v>
      </c>
    </row>
    <row r="1952" spans="5:23" hidden="1" x14ac:dyDescent="0.25">
      <c r="E1952" t="s">
        <v>8126</v>
      </c>
      <c r="F1952" s="1" t="s">
        <v>8141</v>
      </c>
      <c r="G1952" t="s">
        <v>1</v>
      </c>
      <c r="H1952" t="s">
        <v>0</v>
      </c>
      <c r="I1952" t="s">
        <v>8165</v>
      </c>
      <c r="J1952" t="s">
        <v>8164</v>
      </c>
      <c r="K1952">
        <v>12135</v>
      </c>
      <c r="L1952">
        <v>12135</v>
      </c>
      <c r="M1952" t="s">
        <v>149</v>
      </c>
      <c r="N1952" t="s">
        <v>150</v>
      </c>
      <c r="O1952" s="3">
        <v>0</v>
      </c>
      <c r="P1952" s="3">
        <v>0</v>
      </c>
      <c r="Q1952" s="3">
        <v>136</v>
      </c>
      <c r="R1952" s="3">
        <v>17.68</v>
      </c>
      <c r="S1952" s="3">
        <v>0</v>
      </c>
      <c r="T1952" s="3">
        <v>0</v>
      </c>
      <c r="U1952" s="3">
        <v>153.68</v>
      </c>
      <c r="V1952" s="3" t="s">
        <v>8046</v>
      </c>
      <c r="W1952" s="3" t="s">
        <v>1</v>
      </c>
    </row>
    <row r="1953" spans="5:23" hidden="1" x14ac:dyDescent="0.25">
      <c r="E1953" t="s">
        <v>8126</v>
      </c>
      <c r="F1953" s="1" t="s">
        <v>8141</v>
      </c>
      <c r="G1953" t="s">
        <v>1</v>
      </c>
      <c r="H1953" t="s">
        <v>0</v>
      </c>
      <c r="I1953" t="s">
        <v>8165</v>
      </c>
      <c r="J1953" t="s">
        <v>8164</v>
      </c>
      <c r="K1953">
        <v>12136</v>
      </c>
      <c r="L1953">
        <v>12136</v>
      </c>
      <c r="M1953" t="s">
        <v>807</v>
      </c>
      <c r="N1953" t="s">
        <v>808</v>
      </c>
      <c r="O1953" s="3">
        <v>0</v>
      </c>
      <c r="P1953" s="3">
        <v>0</v>
      </c>
      <c r="Q1953" s="3">
        <v>66</v>
      </c>
      <c r="R1953" s="3">
        <v>8.58</v>
      </c>
      <c r="S1953" s="3">
        <v>0</v>
      </c>
      <c r="T1953" s="3">
        <v>0</v>
      </c>
      <c r="U1953" s="3">
        <v>74.58</v>
      </c>
      <c r="V1953" s="3" t="s">
        <v>8046</v>
      </c>
      <c r="W1953" s="3" t="s">
        <v>1</v>
      </c>
    </row>
    <row r="1954" spans="5:23" hidden="1" x14ac:dyDescent="0.25">
      <c r="E1954" t="s">
        <v>8126</v>
      </c>
      <c r="F1954" s="1" t="s">
        <v>8141</v>
      </c>
      <c r="G1954" t="s">
        <v>1</v>
      </c>
      <c r="H1954" t="s">
        <v>0</v>
      </c>
      <c r="I1954" t="s">
        <v>8165</v>
      </c>
      <c r="J1954" t="s">
        <v>8164</v>
      </c>
      <c r="K1954">
        <v>12137</v>
      </c>
      <c r="L1954">
        <v>12137</v>
      </c>
      <c r="M1954" t="s">
        <v>8207</v>
      </c>
      <c r="N1954" t="s">
        <v>8208</v>
      </c>
      <c r="O1954" s="3">
        <v>0</v>
      </c>
      <c r="P1954" s="3">
        <v>0</v>
      </c>
      <c r="Q1954" s="3">
        <v>63.39</v>
      </c>
      <c r="R1954" s="3">
        <v>8.2407000000000004</v>
      </c>
      <c r="S1954" s="3">
        <v>0</v>
      </c>
      <c r="T1954" s="3">
        <v>0</v>
      </c>
      <c r="U1954" s="3">
        <v>71.630700000000004</v>
      </c>
      <c r="V1954" s="3" t="s">
        <v>8046</v>
      </c>
      <c r="W1954" s="3" t="s">
        <v>1</v>
      </c>
    </row>
    <row r="1955" spans="5:23" hidden="1" x14ac:dyDescent="0.25">
      <c r="E1955" t="s">
        <v>8126</v>
      </c>
      <c r="F1955" s="1" t="s">
        <v>8141</v>
      </c>
      <c r="G1955" t="s">
        <v>1</v>
      </c>
      <c r="H1955" t="s">
        <v>0</v>
      </c>
      <c r="I1955" t="s">
        <v>8165</v>
      </c>
      <c r="J1955" t="s">
        <v>8164</v>
      </c>
      <c r="K1955">
        <v>12138</v>
      </c>
      <c r="L1955">
        <v>12138</v>
      </c>
      <c r="M1955" t="s">
        <v>8279</v>
      </c>
      <c r="N1955" t="s">
        <v>8280</v>
      </c>
      <c r="O1955" s="3">
        <v>0</v>
      </c>
      <c r="P1955" s="3">
        <v>0</v>
      </c>
      <c r="Q1955" s="3">
        <v>44.25</v>
      </c>
      <c r="R1955" s="3">
        <v>5.7525000000000004</v>
      </c>
      <c r="S1955" s="3">
        <v>0</v>
      </c>
      <c r="T1955" s="3">
        <v>0</v>
      </c>
      <c r="U1955" s="3">
        <v>50.002499999999998</v>
      </c>
      <c r="V1955" s="3" t="s">
        <v>8046</v>
      </c>
      <c r="W1955" s="3" t="s">
        <v>1</v>
      </c>
    </row>
    <row r="1956" spans="5:23" hidden="1" x14ac:dyDescent="0.25">
      <c r="E1956" t="s">
        <v>8126</v>
      </c>
      <c r="F1956" s="1" t="s">
        <v>8141</v>
      </c>
      <c r="G1956" t="s">
        <v>1</v>
      </c>
      <c r="H1956" t="s">
        <v>0</v>
      </c>
      <c r="I1956" t="s">
        <v>8165</v>
      </c>
      <c r="J1956" t="s">
        <v>8164</v>
      </c>
      <c r="K1956">
        <v>12139</v>
      </c>
      <c r="L1956">
        <v>12139</v>
      </c>
      <c r="M1956" t="s">
        <v>8279</v>
      </c>
      <c r="N1956" t="s">
        <v>8280</v>
      </c>
      <c r="O1956" s="3">
        <v>0</v>
      </c>
      <c r="P1956" s="3">
        <v>0</v>
      </c>
      <c r="Q1956" s="3">
        <v>132.75</v>
      </c>
      <c r="R1956" s="3">
        <v>17.2575</v>
      </c>
      <c r="S1956" s="3">
        <v>0</v>
      </c>
      <c r="T1956" s="3">
        <v>0</v>
      </c>
      <c r="U1956" s="3">
        <v>150.00749999999999</v>
      </c>
      <c r="V1956" s="3" t="s">
        <v>8046</v>
      </c>
      <c r="W1956" s="3" t="s">
        <v>1</v>
      </c>
    </row>
    <row r="1957" spans="5:23" hidden="1" x14ac:dyDescent="0.25">
      <c r="E1957" t="s">
        <v>8126</v>
      </c>
      <c r="F1957" s="1" t="s">
        <v>8141</v>
      </c>
      <c r="G1957" t="s">
        <v>1</v>
      </c>
      <c r="H1957" t="s">
        <v>0</v>
      </c>
      <c r="I1957" t="s">
        <v>8165</v>
      </c>
      <c r="J1957" t="s">
        <v>8164</v>
      </c>
      <c r="K1957">
        <v>12140</v>
      </c>
      <c r="L1957">
        <v>12140</v>
      </c>
      <c r="M1957" t="s">
        <v>7852</v>
      </c>
      <c r="N1957" t="s">
        <v>7851</v>
      </c>
      <c r="O1957" s="3">
        <v>0</v>
      </c>
      <c r="P1957" s="3">
        <v>0</v>
      </c>
      <c r="Q1957" s="3">
        <v>0</v>
      </c>
      <c r="R1957" s="3">
        <v>0</v>
      </c>
      <c r="S1957" s="3">
        <v>0</v>
      </c>
      <c r="T1957" s="3">
        <v>0</v>
      </c>
      <c r="U1957" s="3">
        <v>0</v>
      </c>
      <c r="V1957" s="3" t="s">
        <v>8046</v>
      </c>
      <c r="W1957" s="3" t="s">
        <v>1</v>
      </c>
    </row>
    <row r="1958" spans="5:23" hidden="1" x14ac:dyDescent="0.25">
      <c r="E1958" t="s">
        <v>8126</v>
      </c>
      <c r="F1958" s="1" t="s">
        <v>8141</v>
      </c>
      <c r="G1958" t="s">
        <v>1</v>
      </c>
      <c r="H1958" t="s">
        <v>0</v>
      </c>
      <c r="I1958" t="s">
        <v>8165</v>
      </c>
      <c r="J1958" t="s">
        <v>8164</v>
      </c>
      <c r="K1958">
        <v>12141</v>
      </c>
      <c r="L1958">
        <v>12141</v>
      </c>
      <c r="M1958" t="s">
        <v>7852</v>
      </c>
      <c r="N1958" t="s">
        <v>7851</v>
      </c>
      <c r="O1958" s="3">
        <v>0</v>
      </c>
      <c r="P1958" s="3">
        <v>0</v>
      </c>
      <c r="Q1958" s="3">
        <v>0</v>
      </c>
      <c r="R1958" s="3">
        <v>0</v>
      </c>
      <c r="S1958" s="3">
        <v>0</v>
      </c>
      <c r="T1958" s="3">
        <v>0</v>
      </c>
      <c r="U1958" s="3">
        <v>0</v>
      </c>
      <c r="V1958" s="3" t="s">
        <v>8046</v>
      </c>
      <c r="W1958" s="3" t="s">
        <v>1</v>
      </c>
    </row>
    <row r="1959" spans="5:23" hidden="1" x14ac:dyDescent="0.25">
      <c r="E1959" t="s">
        <v>8126</v>
      </c>
      <c r="F1959" s="1" t="s">
        <v>8141</v>
      </c>
      <c r="G1959" t="s">
        <v>1</v>
      </c>
      <c r="H1959" t="s">
        <v>0</v>
      </c>
      <c r="I1959" t="s">
        <v>8165</v>
      </c>
      <c r="J1959" t="s">
        <v>8164</v>
      </c>
      <c r="K1959">
        <v>12142</v>
      </c>
      <c r="L1959">
        <v>12142</v>
      </c>
      <c r="M1959" t="s">
        <v>440</v>
      </c>
      <c r="N1959" t="s">
        <v>441</v>
      </c>
      <c r="O1959" s="3">
        <v>0</v>
      </c>
      <c r="P1959" s="3">
        <v>0</v>
      </c>
      <c r="Q1959" s="3">
        <v>75.19</v>
      </c>
      <c r="R1959" s="3">
        <v>9.7746999999999993</v>
      </c>
      <c r="S1959" s="3">
        <v>0</v>
      </c>
      <c r="T1959" s="3">
        <v>0</v>
      </c>
      <c r="U1959" s="3">
        <v>84.964699999999993</v>
      </c>
      <c r="V1959" s="3" t="s">
        <v>8046</v>
      </c>
      <c r="W1959" s="3" t="s">
        <v>1</v>
      </c>
    </row>
    <row r="1960" spans="5:23" hidden="1" x14ac:dyDescent="0.25">
      <c r="E1960" t="s">
        <v>8126</v>
      </c>
      <c r="F1960" s="1" t="s">
        <v>8141</v>
      </c>
      <c r="G1960" t="s">
        <v>1</v>
      </c>
      <c r="H1960" t="s">
        <v>0</v>
      </c>
      <c r="I1960" t="s">
        <v>8165</v>
      </c>
      <c r="J1960" t="s">
        <v>8164</v>
      </c>
      <c r="K1960">
        <v>12143</v>
      </c>
      <c r="L1960">
        <v>12143</v>
      </c>
      <c r="M1960" t="s">
        <v>8289</v>
      </c>
      <c r="N1960" t="s">
        <v>8290</v>
      </c>
      <c r="O1960" s="3">
        <v>0</v>
      </c>
      <c r="P1960" s="3">
        <v>0</v>
      </c>
      <c r="Q1960" s="3">
        <v>790.42</v>
      </c>
      <c r="R1960" s="3">
        <v>102.7546</v>
      </c>
      <c r="S1960" s="3">
        <v>0</v>
      </c>
      <c r="T1960" s="3">
        <v>0</v>
      </c>
      <c r="U1960" s="3">
        <v>893.17459999999994</v>
      </c>
      <c r="V1960" s="3" t="s">
        <v>8046</v>
      </c>
      <c r="W1960" s="3" t="s">
        <v>1</v>
      </c>
    </row>
    <row r="1961" spans="5:23" hidden="1" x14ac:dyDescent="0.25">
      <c r="E1961" t="s">
        <v>8126</v>
      </c>
      <c r="F1961" s="1" t="s">
        <v>8141</v>
      </c>
      <c r="G1961" t="s">
        <v>1</v>
      </c>
      <c r="H1961" t="s">
        <v>0</v>
      </c>
      <c r="I1961" t="s">
        <v>8165</v>
      </c>
      <c r="J1961" t="s">
        <v>8164</v>
      </c>
      <c r="K1961">
        <v>12144</v>
      </c>
      <c r="L1961">
        <v>12144</v>
      </c>
      <c r="M1961" t="s">
        <v>8287</v>
      </c>
      <c r="N1961" t="s">
        <v>8288</v>
      </c>
      <c r="O1961" s="3">
        <v>0</v>
      </c>
      <c r="P1961" s="3">
        <v>0</v>
      </c>
      <c r="Q1961" s="3">
        <v>7.64</v>
      </c>
      <c r="R1961" s="3">
        <v>0.99319999999999997</v>
      </c>
      <c r="S1961" s="3">
        <v>0</v>
      </c>
      <c r="T1961" s="3">
        <v>0</v>
      </c>
      <c r="U1961" s="3">
        <v>8.6332000000000004</v>
      </c>
      <c r="V1961" s="3" t="s">
        <v>8046</v>
      </c>
      <c r="W1961" s="3" t="s">
        <v>1</v>
      </c>
    </row>
    <row r="1962" spans="5:23" hidden="1" x14ac:dyDescent="0.25">
      <c r="E1962" t="s">
        <v>8126</v>
      </c>
      <c r="F1962" s="1" t="s">
        <v>8141</v>
      </c>
      <c r="G1962" t="s">
        <v>1</v>
      </c>
      <c r="H1962" t="s">
        <v>0</v>
      </c>
      <c r="I1962" t="s">
        <v>8165</v>
      </c>
      <c r="J1962" t="s">
        <v>8164</v>
      </c>
      <c r="K1962">
        <v>12145</v>
      </c>
      <c r="L1962">
        <v>12145</v>
      </c>
      <c r="M1962" t="s">
        <v>8174</v>
      </c>
      <c r="N1962" t="s">
        <v>8175</v>
      </c>
      <c r="O1962" s="3">
        <v>0</v>
      </c>
      <c r="P1962" s="3">
        <v>0</v>
      </c>
      <c r="Q1962" s="3">
        <v>83.33</v>
      </c>
      <c r="R1962" s="3">
        <v>10.8329</v>
      </c>
      <c r="S1962" s="3">
        <v>0</v>
      </c>
      <c r="T1962" s="3">
        <v>0</v>
      </c>
      <c r="U1962" s="3">
        <v>94.162899999999993</v>
      </c>
      <c r="V1962" s="3" t="s">
        <v>8046</v>
      </c>
      <c r="W1962" s="3" t="s">
        <v>1</v>
      </c>
    </row>
    <row r="1963" spans="5:23" hidden="1" x14ac:dyDescent="0.25">
      <c r="E1963" t="s">
        <v>8126</v>
      </c>
      <c r="F1963" s="1" t="s">
        <v>8141</v>
      </c>
      <c r="G1963" t="s">
        <v>1</v>
      </c>
      <c r="H1963" t="s">
        <v>0</v>
      </c>
      <c r="I1963" t="s">
        <v>8165</v>
      </c>
      <c r="J1963" t="s">
        <v>8164</v>
      </c>
      <c r="K1963">
        <v>12146</v>
      </c>
      <c r="L1963">
        <v>12146</v>
      </c>
      <c r="M1963" t="s">
        <v>8226</v>
      </c>
      <c r="N1963" t="s">
        <v>8227</v>
      </c>
      <c r="O1963" s="3">
        <v>0</v>
      </c>
      <c r="P1963" s="3">
        <v>0</v>
      </c>
      <c r="Q1963" s="3">
        <v>206.61</v>
      </c>
      <c r="R1963" s="3">
        <v>26.859300000000001</v>
      </c>
      <c r="S1963" s="3">
        <v>0</v>
      </c>
      <c r="T1963" s="3">
        <v>0</v>
      </c>
      <c r="U1963" s="3">
        <v>233.4693</v>
      </c>
      <c r="V1963" s="3" t="s">
        <v>8046</v>
      </c>
      <c r="W1963" s="3" t="s">
        <v>1</v>
      </c>
    </row>
    <row r="1964" spans="5:23" hidden="1" x14ac:dyDescent="0.25">
      <c r="E1964" t="s">
        <v>8126</v>
      </c>
      <c r="F1964" s="1" t="s">
        <v>8141</v>
      </c>
      <c r="G1964" t="s">
        <v>1</v>
      </c>
      <c r="H1964" t="s">
        <v>0</v>
      </c>
      <c r="I1964" t="s">
        <v>8165</v>
      </c>
      <c r="J1964" t="s">
        <v>8164</v>
      </c>
      <c r="K1964">
        <v>12147</v>
      </c>
      <c r="L1964">
        <v>12147</v>
      </c>
      <c r="M1964" t="s">
        <v>8226</v>
      </c>
      <c r="N1964" t="s">
        <v>8227</v>
      </c>
      <c r="O1964" s="3">
        <v>0</v>
      </c>
      <c r="P1964" s="3">
        <v>0</v>
      </c>
      <c r="Q1964" s="3">
        <v>120</v>
      </c>
      <c r="R1964" s="3">
        <v>15.600000000000001</v>
      </c>
      <c r="S1964" s="3">
        <v>0</v>
      </c>
      <c r="T1964" s="3">
        <v>0</v>
      </c>
      <c r="U1964" s="3">
        <v>135.6</v>
      </c>
      <c r="V1964" s="3" t="s">
        <v>8046</v>
      </c>
      <c r="W1964" s="3" t="s">
        <v>1</v>
      </c>
    </row>
    <row r="1965" spans="5:23" hidden="1" x14ac:dyDescent="0.25">
      <c r="E1965" t="s">
        <v>8126</v>
      </c>
      <c r="F1965" s="1" t="s">
        <v>8141</v>
      </c>
      <c r="G1965" t="s">
        <v>1</v>
      </c>
      <c r="H1965" t="s">
        <v>0</v>
      </c>
      <c r="I1965" t="s">
        <v>8165</v>
      </c>
      <c r="J1965" t="s">
        <v>8164</v>
      </c>
      <c r="K1965">
        <v>12148</v>
      </c>
      <c r="L1965">
        <v>12148</v>
      </c>
      <c r="M1965" t="s">
        <v>7852</v>
      </c>
      <c r="N1965" t="s">
        <v>7851</v>
      </c>
      <c r="O1965" s="3">
        <v>0</v>
      </c>
      <c r="P1965" s="3">
        <v>0</v>
      </c>
      <c r="Q1965" s="3">
        <v>0</v>
      </c>
      <c r="R1965" s="3">
        <v>0</v>
      </c>
      <c r="S1965" s="3">
        <v>0</v>
      </c>
      <c r="T1965" s="3">
        <v>0</v>
      </c>
      <c r="U1965" s="3">
        <v>0</v>
      </c>
      <c r="V1965" s="3" t="s">
        <v>8046</v>
      </c>
      <c r="W1965" s="3" t="s">
        <v>1</v>
      </c>
    </row>
    <row r="1966" spans="5:23" hidden="1" x14ac:dyDescent="0.25">
      <c r="E1966" t="s">
        <v>8126</v>
      </c>
      <c r="F1966" s="1" t="s">
        <v>8141</v>
      </c>
      <c r="G1966" t="s">
        <v>1</v>
      </c>
      <c r="H1966" t="s">
        <v>0</v>
      </c>
      <c r="I1966" t="s">
        <v>8165</v>
      </c>
      <c r="J1966" t="s">
        <v>8164</v>
      </c>
      <c r="K1966">
        <v>12149</v>
      </c>
      <c r="L1966">
        <v>12149</v>
      </c>
      <c r="M1966" t="s">
        <v>7852</v>
      </c>
      <c r="N1966" t="s">
        <v>7851</v>
      </c>
      <c r="O1966" s="3">
        <v>0</v>
      </c>
      <c r="P1966" s="3">
        <v>0</v>
      </c>
      <c r="Q1966" s="3">
        <v>0</v>
      </c>
      <c r="R1966" s="3">
        <v>0</v>
      </c>
      <c r="S1966" s="3">
        <v>0</v>
      </c>
      <c r="T1966" s="3">
        <v>0</v>
      </c>
      <c r="U1966" s="3">
        <v>0</v>
      </c>
      <c r="V1966" s="3" t="s">
        <v>8046</v>
      </c>
      <c r="W1966" s="3" t="s">
        <v>1</v>
      </c>
    </row>
    <row r="1967" spans="5:23" hidden="1" x14ac:dyDescent="0.25">
      <c r="E1967" t="s">
        <v>8126</v>
      </c>
      <c r="F1967" s="1" t="s">
        <v>8141</v>
      </c>
      <c r="G1967" t="s">
        <v>1</v>
      </c>
      <c r="H1967" t="s">
        <v>0</v>
      </c>
      <c r="I1967" t="s">
        <v>8165</v>
      </c>
      <c r="J1967" t="s">
        <v>8164</v>
      </c>
      <c r="K1967">
        <v>12150</v>
      </c>
      <c r="L1967">
        <v>12150</v>
      </c>
      <c r="M1967" t="s">
        <v>214</v>
      </c>
      <c r="N1967" t="s">
        <v>215</v>
      </c>
      <c r="O1967" s="3">
        <v>0</v>
      </c>
      <c r="P1967" s="3">
        <v>0</v>
      </c>
      <c r="Q1967" s="3">
        <v>151.6</v>
      </c>
      <c r="R1967" s="3">
        <v>19.707999999999998</v>
      </c>
      <c r="S1967" s="3">
        <v>0</v>
      </c>
      <c r="T1967" s="3">
        <v>0</v>
      </c>
      <c r="U1967" s="3">
        <v>171.30799999999999</v>
      </c>
      <c r="V1967" s="3" t="s">
        <v>8046</v>
      </c>
      <c r="W1967" s="3" t="s">
        <v>1</v>
      </c>
    </row>
    <row r="1968" spans="5:23" hidden="1" x14ac:dyDescent="0.25">
      <c r="E1968" t="s">
        <v>8126</v>
      </c>
      <c r="F1968" s="34" t="s">
        <v>8141</v>
      </c>
      <c r="G1968" t="s">
        <v>1</v>
      </c>
      <c r="H1968" t="s">
        <v>0</v>
      </c>
      <c r="I1968" t="s">
        <v>8165</v>
      </c>
      <c r="J1968" t="s">
        <v>8164</v>
      </c>
      <c r="K1968">
        <v>12151</v>
      </c>
      <c r="L1968">
        <v>12151</v>
      </c>
      <c r="M1968" t="s">
        <v>8285</v>
      </c>
      <c r="N1968" t="s">
        <v>8286</v>
      </c>
      <c r="O1968" s="3">
        <v>0</v>
      </c>
      <c r="P1968" s="3">
        <v>0</v>
      </c>
      <c r="Q1968" s="3">
        <v>223.75</v>
      </c>
      <c r="R1968" s="3">
        <v>29.087500000000002</v>
      </c>
      <c r="S1968" s="3">
        <v>0</v>
      </c>
      <c r="T1968" s="3">
        <v>0</v>
      </c>
      <c r="U1968" s="3">
        <v>252.83750000000001</v>
      </c>
      <c r="V1968" s="3" t="s">
        <v>8046</v>
      </c>
      <c r="W1968" s="3" t="s">
        <v>1</v>
      </c>
    </row>
    <row r="1969" spans="5:23" hidden="1" x14ac:dyDescent="0.25">
      <c r="E1969" t="s">
        <v>8126</v>
      </c>
      <c r="F1969" s="34" t="s">
        <v>8141</v>
      </c>
      <c r="G1969" t="s">
        <v>1</v>
      </c>
      <c r="H1969" t="s">
        <v>0</v>
      </c>
      <c r="I1969" t="s">
        <v>8165</v>
      </c>
      <c r="J1969" t="s">
        <v>8164</v>
      </c>
      <c r="K1969">
        <v>12152</v>
      </c>
      <c r="L1969">
        <v>12152</v>
      </c>
      <c r="M1969" t="s">
        <v>8226</v>
      </c>
      <c r="N1969" t="s">
        <v>8227</v>
      </c>
      <c r="O1969" s="3">
        <v>0</v>
      </c>
      <c r="P1969" s="3">
        <v>0</v>
      </c>
      <c r="Q1969" s="3">
        <v>5</v>
      </c>
      <c r="R1969" s="3">
        <v>0.65</v>
      </c>
      <c r="S1969" s="3">
        <v>0</v>
      </c>
      <c r="T1969" s="3">
        <v>0</v>
      </c>
      <c r="U1969" s="3">
        <v>5.65</v>
      </c>
      <c r="V1969" s="3" t="s">
        <v>8046</v>
      </c>
      <c r="W1969" s="3" t="s">
        <v>1</v>
      </c>
    </row>
    <row r="1970" spans="5:23" hidden="1" x14ac:dyDescent="0.25">
      <c r="E1970" t="s">
        <v>8126</v>
      </c>
      <c r="F1970" s="34" t="s">
        <v>8141</v>
      </c>
      <c r="G1970" t="s">
        <v>1</v>
      </c>
      <c r="H1970" t="s">
        <v>0</v>
      </c>
      <c r="I1970" t="s">
        <v>8165</v>
      </c>
      <c r="J1970" t="s">
        <v>8164</v>
      </c>
      <c r="K1970">
        <v>12153</v>
      </c>
      <c r="L1970">
        <v>12153</v>
      </c>
      <c r="M1970" t="s">
        <v>1273</v>
      </c>
      <c r="N1970" t="s">
        <v>1274</v>
      </c>
      <c r="O1970" s="3">
        <v>0</v>
      </c>
      <c r="P1970" s="3">
        <v>0</v>
      </c>
      <c r="Q1970" s="3">
        <v>427.96</v>
      </c>
      <c r="R1970" s="3">
        <v>55.634799999999998</v>
      </c>
      <c r="S1970" s="3">
        <v>0</v>
      </c>
      <c r="T1970" s="3">
        <v>0</v>
      </c>
      <c r="U1970" s="3">
        <v>483.59479999999996</v>
      </c>
      <c r="V1970" s="3" t="s">
        <v>8046</v>
      </c>
      <c r="W1970" s="3" t="s">
        <v>1</v>
      </c>
    </row>
    <row r="1971" spans="5:23" hidden="1" x14ac:dyDescent="0.25">
      <c r="E1971" t="s">
        <v>8126</v>
      </c>
      <c r="F1971" s="1" t="s">
        <v>8153</v>
      </c>
      <c r="G1971" t="s">
        <v>1</v>
      </c>
      <c r="H1971" t="s">
        <v>0</v>
      </c>
      <c r="I1971" t="s">
        <v>8165</v>
      </c>
      <c r="J1971" t="s">
        <v>8164</v>
      </c>
      <c r="K1971">
        <v>12154</v>
      </c>
      <c r="L1971">
        <v>12154</v>
      </c>
      <c r="M1971" t="s">
        <v>8243</v>
      </c>
      <c r="N1971" t="s">
        <v>8244</v>
      </c>
      <c r="O1971" s="3">
        <v>0</v>
      </c>
      <c r="P1971" s="3">
        <v>0</v>
      </c>
      <c r="Q1971" s="3">
        <v>21.24</v>
      </c>
      <c r="R1971" s="3">
        <v>2.7612000000000001</v>
      </c>
      <c r="S1971" s="3">
        <v>0</v>
      </c>
      <c r="T1971" s="3">
        <v>0</v>
      </c>
      <c r="U1971" s="3">
        <v>24.001199999999997</v>
      </c>
      <c r="V1971" s="3" t="s">
        <v>8046</v>
      </c>
      <c r="W1971" s="3" t="s">
        <v>1</v>
      </c>
    </row>
    <row r="1972" spans="5:23" hidden="1" x14ac:dyDescent="0.25">
      <c r="E1972" t="s">
        <v>8126</v>
      </c>
      <c r="F1972" s="1" t="s">
        <v>8153</v>
      </c>
      <c r="G1972" t="s">
        <v>1</v>
      </c>
      <c r="H1972" t="s">
        <v>0</v>
      </c>
      <c r="I1972" t="s">
        <v>8165</v>
      </c>
      <c r="J1972" t="s">
        <v>8164</v>
      </c>
      <c r="K1972">
        <v>12155</v>
      </c>
      <c r="L1972">
        <v>12155</v>
      </c>
      <c r="M1972" t="s">
        <v>8283</v>
      </c>
      <c r="N1972" t="s">
        <v>8284</v>
      </c>
      <c r="O1972" s="3">
        <v>0</v>
      </c>
      <c r="P1972" s="3">
        <v>0</v>
      </c>
      <c r="Q1972" s="3">
        <v>486.73</v>
      </c>
      <c r="R1972" s="3">
        <v>63.274900000000002</v>
      </c>
      <c r="S1972" s="3">
        <v>0</v>
      </c>
      <c r="T1972" s="3">
        <v>0</v>
      </c>
      <c r="U1972" s="3">
        <v>550.00490000000002</v>
      </c>
      <c r="V1972" s="3" t="s">
        <v>8046</v>
      </c>
      <c r="W1972" s="3" t="s">
        <v>1</v>
      </c>
    </row>
    <row r="1973" spans="5:23" hidden="1" x14ac:dyDescent="0.25">
      <c r="E1973" t="s">
        <v>8126</v>
      </c>
      <c r="F1973" s="1" t="s">
        <v>8153</v>
      </c>
      <c r="G1973" t="s">
        <v>1</v>
      </c>
      <c r="H1973" t="s">
        <v>0</v>
      </c>
      <c r="I1973" t="s">
        <v>8165</v>
      </c>
      <c r="J1973" t="s">
        <v>8164</v>
      </c>
      <c r="K1973">
        <v>12156</v>
      </c>
      <c r="L1973">
        <v>12156</v>
      </c>
      <c r="M1973" t="s">
        <v>8188</v>
      </c>
      <c r="N1973" t="s">
        <v>8189</v>
      </c>
      <c r="O1973" s="3">
        <v>0</v>
      </c>
      <c r="P1973" s="3">
        <v>0</v>
      </c>
      <c r="Q1973" s="3">
        <v>351.2</v>
      </c>
      <c r="R1973" s="3">
        <v>45.655999999999999</v>
      </c>
      <c r="S1973" s="3">
        <v>0</v>
      </c>
      <c r="T1973" s="3">
        <v>0</v>
      </c>
      <c r="U1973" s="3">
        <v>396.85599999999999</v>
      </c>
      <c r="V1973" s="3" t="s">
        <v>8046</v>
      </c>
      <c r="W1973" s="3" t="s">
        <v>1</v>
      </c>
    </row>
    <row r="1974" spans="5:23" hidden="1" x14ac:dyDescent="0.25">
      <c r="E1974" t="s">
        <v>8126</v>
      </c>
      <c r="F1974" s="1" t="s">
        <v>8153</v>
      </c>
      <c r="G1974" t="s">
        <v>1</v>
      </c>
      <c r="H1974" t="s">
        <v>0</v>
      </c>
      <c r="I1974" t="s">
        <v>8165</v>
      </c>
      <c r="J1974" t="s">
        <v>8164</v>
      </c>
      <c r="K1974">
        <v>12157</v>
      </c>
      <c r="L1974">
        <v>12157</v>
      </c>
      <c r="M1974" t="s">
        <v>8188</v>
      </c>
      <c r="N1974" t="s">
        <v>8189</v>
      </c>
      <c r="O1974" s="3">
        <v>0</v>
      </c>
      <c r="P1974" s="3">
        <v>0</v>
      </c>
      <c r="Q1974" s="3">
        <v>154.43</v>
      </c>
      <c r="R1974" s="3">
        <v>20.075900000000001</v>
      </c>
      <c r="S1974" s="3">
        <v>0</v>
      </c>
      <c r="T1974" s="3">
        <v>0</v>
      </c>
      <c r="U1974" s="3">
        <v>174.5059</v>
      </c>
      <c r="V1974" s="3" t="s">
        <v>8046</v>
      </c>
      <c r="W1974" s="3" t="s">
        <v>1</v>
      </c>
    </row>
    <row r="1975" spans="5:23" hidden="1" x14ac:dyDescent="0.25">
      <c r="E1975" t="s">
        <v>8126</v>
      </c>
      <c r="F1975" s="1" t="s">
        <v>8153</v>
      </c>
      <c r="G1975" t="s">
        <v>1</v>
      </c>
      <c r="H1975" t="s">
        <v>0</v>
      </c>
      <c r="I1975" t="s">
        <v>8165</v>
      </c>
      <c r="J1975" t="s">
        <v>8164</v>
      </c>
      <c r="K1975">
        <v>12158</v>
      </c>
      <c r="L1975">
        <v>12158</v>
      </c>
      <c r="M1975" s="33" t="s">
        <v>8188</v>
      </c>
      <c r="N1975" t="s">
        <v>8189</v>
      </c>
      <c r="O1975" s="3">
        <v>0</v>
      </c>
      <c r="P1975" s="3">
        <v>0</v>
      </c>
      <c r="Q1975" s="3">
        <v>103.5</v>
      </c>
      <c r="R1975" s="3">
        <v>13.455</v>
      </c>
      <c r="S1975" s="3">
        <v>0</v>
      </c>
      <c r="T1975" s="3">
        <v>0</v>
      </c>
      <c r="U1975" s="3">
        <v>116.955</v>
      </c>
      <c r="V1975" s="3" t="s">
        <v>8046</v>
      </c>
      <c r="W1975" s="3" t="s">
        <v>1</v>
      </c>
    </row>
    <row r="1976" spans="5:23" hidden="1" x14ac:dyDescent="0.25">
      <c r="E1976" t="s">
        <v>8126</v>
      </c>
      <c r="F1976" s="1" t="s">
        <v>8153</v>
      </c>
      <c r="G1976" t="s">
        <v>1</v>
      </c>
      <c r="H1976" t="s">
        <v>0</v>
      </c>
      <c r="I1976" t="s">
        <v>8165</v>
      </c>
      <c r="J1976" t="s">
        <v>8164</v>
      </c>
      <c r="K1976">
        <v>12159</v>
      </c>
      <c r="L1976">
        <v>12159</v>
      </c>
      <c r="M1976" t="s">
        <v>8281</v>
      </c>
      <c r="N1976" t="s">
        <v>8282</v>
      </c>
      <c r="O1976" s="3">
        <v>0</v>
      </c>
      <c r="P1976" s="3">
        <v>0</v>
      </c>
      <c r="Q1976" s="3">
        <v>92.26</v>
      </c>
      <c r="R1976" s="3">
        <v>11.9938</v>
      </c>
      <c r="S1976" s="3">
        <v>0</v>
      </c>
      <c r="T1976" s="3">
        <v>0</v>
      </c>
      <c r="U1976" s="3">
        <v>104.25380000000001</v>
      </c>
      <c r="V1976" s="3" t="s">
        <v>8046</v>
      </c>
      <c r="W1976" s="3" t="s">
        <v>1</v>
      </c>
    </row>
    <row r="1977" spans="5:23" hidden="1" x14ac:dyDescent="0.25">
      <c r="E1977" t="s">
        <v>8126</v>
      </c>
      <c r="F1977" s="1" t="s">
        <v>8153</v>
      </c>
      <c r="G1977" t="s">
        <v>1</v>
      </c>
      <c r="H1977" t="s">
        <v>0</v>
      </c>
      <c r="I1977" t="s">
        <v>8165</v>
      </c>
      <c r="J1977" t="s">
        <v>8164</v>
      </c>
      <c r="K1977">
        <v>12160</v>
      </c>
      <c r="L1977">
        <v>12160</v>
      </c>
      <c r="M1977" t="s">
        <v>8228</v>
      </c>
      <c r="N1977" t="s">
        <v>8229</v>
      </c>
      <c r="O1977" s="3">
        <v>0</v>
      </c>
      <c r="P1977" s="3">
        <v>0</v>
      </c>
      <c r="Q1977" s="3">
        <v>182.55</v>
      </c>
      <c r="R1977" s="3">
        <v>23.731500000000004</v>
      </c>
      <c r="S1977" s="3">
        <v>0</v>
      </c>
      <c r="T1977" s="3">
        <v>0</v>
      </c>
      <c r="U1977" s="3">
        <v>206.28150000000002</v>
      </c>
      <c r="V1977" s="3" t="s">
        <v>8046</v>
      </c>
      <c r="W1977" s="3" t="s">
        <v>1</v>
      </c>
    </row>
    <row r="1978" spans="5:23" hidden="1" x14ac:dyDescent="0.25">
      <c r="E1978" t="s">
        <v>8126</v>
      </c>
      <c r="F1978" s="1" t="s">
        <v>8153</v>
      </c>
      <c r="G1978" t="s">
        <v>1</v>
      </c>
      <c r="H1978" t="s">
        <v>0</v>
      </c>
      <c r="I1978" t="s">
        <v>8165</v>
      </c>
      <c r="J1978" t="s">
        <v>8164</v>
      </c>
      <c r="K1978">
        <v>12161</v>
      </c>
      <c r="L1978">
        <v>12161</v>
      </c>
      <c r="M1978" t="s">
        <v>8213</v>
      </c>
      <c r="N1978" t="s">
        <v>8181</v>
      </c>
      <c r="O1978" s="3">
        <v>0</v>
      </c>
      <c r="P1978" s="3">
        <v>0</v>
      </c>
      <c r="Q1978" s="3">
        <v>42.92</v>
      </c>
      <c r="R1978" s="3">
        <v>5.5796000000000001</v>
      </c>
      <c r="S1978" s="3">
        <v>0</v>
      </c>
      <c r="T1978" s="3">
        <v>0</v>
      </c>
      <c r="U1978" s="3">
        <v>48.499600000000001</v>
      </c>
      <c r="V1978" s="3" t="s">
        <v>8046</v>
      </c>
      <c r="W1978" s="3" t="s">
        <v>1</v>
      </c>
    </row>
    <row r="1979" spans="5:23" hidden="1" x14ac:dyDescent="0.25">
      <c r="E1979" t="s">
        <v>8126</v>
      </c>
      <c r="F1979" s="1" t="s">
        <v>8153</v>
      </c>
      <c r="G1979" t="s">
        <v>1</v>
      </c>
      <c r="H1979" t="s">
        <v>0</v>
      </c>
      <c r="I1979" t="s">
        <v>8165</v>
      </c>
      <c r="J1979" t="s">
        <v>8164</v>
      </c>
      <c r="K1979">
        <v>12162</v>
      </c>
      <c r="L1979">
        <v>12162</v>
      </c>
      <c r="M1979" t="s">
        <v>8279</v>
      </c>
      <c r="N1979" t="s">
        <v>8280</v>
      </c>
      <c r="O1979" s="3">
        <v>0</v>
      </c>
      <c r="P1979" s="3">
        <v>0</v>
      </c>
      <c r="Q1979" s="3">
        <v>107.82</v>
      </c>
      <c r="R1979" s="3">
        <v>14.0166</v>
      </c>
      <c r="S1979" s="3">
        <v>0</v>
      </c>
      <c r="T1979" s="3">
        <v>0</v>
      </c>
      <c r="U1979" s="3">
        <v>121.83659999999999</v>
      </c>
      <c r="V1979" s="3" t="s">
        <v>8046</v>
      </c>
      <c r="W1979" s="3" t="s">
        <v>1</v>
      </c>
    </row>
    <row r="1980" spans="5:23" hidden="1" x14ac:dyDescent="0.25">
      <c r="E1980" t="s">
        <v>8126</v>
      </c>
      <c r="F1980" s="1" t="s">
        <v>8153</v>
      </c>
      <c r="G1980" t="s">
        <v>1</v>
      </c>
      <c r="H1980" t="s">
        <v>0</v>
      </c>
      <c r="I1980" t="s">
        <v>8165</v>
      </c>
      <c r="J1980" t="s">
        <v>8164</v>
      </c>
      <c r="K1980">
        <v>12163</v>
      </c>
      <c r="L1980">
        <v>12163</v>
      </c>
      <c r="M1980" t="s">
        <v>8277</v>
      </c>
      <c r="N1980" t="s">
        <v>8278</v>
      </c>
      <c r="O1980" s="3">
        <v>0</v>
      </c>
      <c r="P1980" s="3">
        <v>0</v>
      </c>
      <c r="Q1980" s="3">
        <v>194.61</v>
      </c>
      <c r="R1980" s="3">
        <v>25.299300000000002</v>
      </c>
      <c r="S1980" s="3">
        <v>0</v>
      </c>
      <c r="T1980" s="3">
        <v>0</v>
      </c>
      <c r="U1980" s="3">
        <v>219.90930000000003</v>
      </c>
      <c r="V1980" s="3" t="s">
        <v>8046</v>
      </c>
      <c r="W1980" s="3" t="s">
        <v>1</v>
      </c>
    </row>
    <row r="1981" spans="5:23" hidden="1" x14ac:dyDescent="0.25">
      <c r="E1981" t="s">
        <v>8126</v>
      </c>
      <c r="F1981" s="34" t="s">
        <v>8153</v>
      </c>
      <c r="G1981" t="s">
        <v>1</v>
      </c>
      <c r="H1981" t="s">
        <v>0</v>
      </c>
      <c r="I1981" t="s">
        <v>8165</v>
      </c>
      <c r="J1981" t="s">
        <v>8164</v>
      </c>
      <c r="K1981">
        <v>12164</v>
      </c>
      <c r="L1981">
        <v>12164</v>
      </c>
      <c r="M1981" t="s">
        <v>8275</v>
      </c>
      <c r="N1981" t="s">
        <v>8276</v>
      </c>
      <c r="O1981" s="3">
        <v>0</v>
      </c>
      <c r="P1981" s="3">
        <v>0</v>
      </c>
      <c r="Q1981" s="3">
        <v>880.39</v>
      </c>
      <c r="R1981" s="3">
        <v>114.4507</v>
      </c>
      <c r="S1981" s="3">
        <v>0</v>
      </c>
      <c r="T1981" s="3">
        <v>0</v>
      </c>
      <c r="U1981" s="3">
        <v>994.84069999999997</v>
      </c>
      <c r="V1981" s="3" t="s">
        <v>8046</v>
      </c>
      <c r="W1981" s="3" t="s">
        <v>1</v>
      </c>
    </row>
    <row r="1982" spans="5:23" hidden="1" x14ac:dyDescent="0.25">
      <c r="E1982" t="s">
        <v>8126</v>
      </c>
      <c r="F1982" s="34" t="s">
        <v>8153</v>
      </c>
      <c r="G1982" t="s">
        <v>1</v>
      </c>
      <c r="H1982" t="s">
        <v>0</v>
      </c>
      <c r="I1982" t="s">
        <v>8165</v>
      </c>
      <c r="J1982" t="s">
        <v>8164</v>
      </c>
      <c r="K1982">
        <v>12165</v>
      </c>
      <c r="L1982">
        <v>12165</v>
      </c>
      <c r="M1982" t="s">
        <v>8273</v>
      </c>
      <c r="N1982" t="s">
        <v>8274</v>
      </c>
      <c r="O1982" s="3">
        <v>0</v>
      </c>
      <c r="P1982" s="3">
        <v>0</v>
      </c>
      <c r="Q1982" s="3">
        <v>299.58</v>
      </c>
      <c r="R1982" s="3">
        <v>38.945399999999999</v>
      </c>
      <c r="S1982" s="3">
        <v>0</v>
      </c>
      <c r="T1982" s="3">
        <v>0</v>
      </c>
      <c r="U1982" s="3">
        <v>338.52539999999999</v>
      </c>
      <c r="V1982" s="3" t="s">
        <v>8046</v>
      </c>
      <c r="W1982" s="3" t="s">
        <v>1</v>
      </c>
    </row>
    <row r="1983" spans="5:23" hidden="1" x14ac:dyDescent="0.25">
      <c r="E1983" t="s">
        <v>8126</v>
      </c>
      <c r="F1983" s="1" t="s">
        <v>8152</v>
      </c>
      <c r="G1983" t="s">
        <v>1</v>
      </c>
      <c r="H1983" t="s">
        <v>0</v>
      </c>
      <c r="I1983" t="s">
        <v>8165</v>
      </c>
      <c r="J1983" t="s">
        <v>8164</v>
      </c>
      <c r="K1983">
        <v>12166</v>
      </c>
      <c r="L1983">
        <v>12166</v>
      </c>
      <c r="M1983" t="s">
        <v>8271</v>
      </c>
      <c r="N1983" t="s">
        <v>8272</v>
      </c>
      <c r="O1983" s="3">
        <v>0</v>
      </c>
      <c r="P1983" s="3">
        <v>0</v>
      </c>
      <c r="Q1983" s="3">
        <v>68.42</v>
      </c>
      <c r="R1983" s="3">
        <v>8.8946000000000005</v>
      </c>
      <c r="S1983" s="3">
        <v>0</v>
      </c>
      <c r="T1983" s="3">
        <v>0</v>
      </c>
      <c r="U1983" s="3">
        <v>77.314599999999999</v>
      </c>
      <c r="V1983" s="3" t="s">
        <v>8046</v>
      </c>
      <c r="W1983" s="3" t="s">
        <v>1</v>
      </c>
    </row>
    <row r="1984" spans="5:23" hidden="1" x14ac:dyDescent="0.25">
      <c r="E1984" t="s">
        <v>8126</v>
      </c>
      <c r="F1984" s="1" t="s">
        <v>8152</v>
      </c>
      <c r="G1984" t="s">
        <v>1</v>
      </c>
      <c r="H1984" t="s">
        <v>0</v>
      </c>
      <c r="I1984" t="s">
        <v>8165</v>
      </c>
      <c r="J1984" t="s">
        <v>8164</v>
      </c>
      <c r="K1984">
        <v>12167</v>
      </c>
      <c r="L1984">
        <v>12167</v>
      </c>
      <c r="M1984" t="s">
        <v>734</v>
      </c>
      <c r="N1984" t="s">
        <v>735</v>
      </c>
      <c r="O1984" s="3">
        <v>0</v>
      </c>
      <c r="P1984" s="3">
        <v>0</v>
      </c>
      <c r="Q1984" s="3">
        <v>424.8</v>
      </c>
      <c r="R1984" s="3">
        <v>55.224000000000004</v>
      </c>
      <c r="S1984" s="3">
        <v>0</v>
      </c>
      <c r="T1984" s="3">
        <v>0</v>
      </c>
      <c r="U1984" s="3">
        <v>480.024</v>
      </c>
      <c r="V1984" s="3" t="s">
        <v>8046</v>
      </c>
      <c r="W1984" s="3" t="s">
        <v>1</v>
      </c>
    </row>
    <row r="1985" spans="5:23" hidden="1" x14ac:dyDescent="0.25">
      <c r="E1985" t="s">
        <v>8126</v>
      </c>
      <c r="F1985" s="1" t="s">
        <v>8152</v>
      </c>
      <c r="G1985" t="s">
        <v>1</v>
      </c>
      <c r="H1985" t="s">
        <v>0</v>
      </c>
      <c r="I1985" t="s">
        <v>8165</v>
      </c>
      <c r="J1985" t="s">
        <v>8164</v>
      </c>
      <c r="K1985">
        <v>12168</v>
      </c>
      <c r="L1985">
        <v>12168</v>
      </c>
      <c r="M1985" t="s">
        <v>8269</v>
      </c>
      <c r="N1985" t="s">
        <v>8270</v>
      </c>
      <c r="O1985" s="3">
        <v>0</v>
      </c>
      <c r="P1985" s="3">
        <v>0</v>
      </c>
      <c r="Q1985" s="3">
        <v>40.22</v>
      </c>
      <c r="R1985" s="3">
        <v>5.2286000000000001</v>
      </c>
      <c r="S1985" s="3">
        <v>0</v>
      </c>
      <c r="T1985" s="3">
        <v>0</v>
      </c>
      <c r="U1985" s="3">
        <v>45.448599999999999</v>
      </c>
      <c r="V1985" s="3" t="s">
        <v>8046</v>
      </c>
      <c r="W1985" s="3" t="s">
        <v>1</v>
      </c>
    </row>
    <row r="1986" spans="5:23" hidden="1" x14ac:dyDescent="0.25">
      <c r="E1986" t="s">
        <v>8126</v>
      </c>
      <c r="F1986" s="1" t="s">
        <v>8152</v>
      </c>
      <c r="G1986" t="s">
        <v>1</v>
      </c>
      <c r="H1986" t="s">
        <v>0</v>
      </c>
      <c r="I1986" t="s">
        <v>8165</v>
      </c>
      <c r="J1986" t="s">
        <v>8164</v>
      </c>
      <c r="K1986">
        <v>12169</v>
      </c>
      <c r="L1986">
        <v>12169</v>
      </c>
      <c r="M1986" t="s">
        <v>8267</v>
      </c>
      <c r="N1986" t="s">
        <v>8268</v>
      </c>
      <c r="O1986" s="3">
        <v>0</v>
      </c>
      <c r="P1986" s="3">
        <v>0</v>
      </c>
      <c r="Q1986" s="3">
        <v>54.93</v>
      </c>
      <c r="R1986" s="3">
        <v>7.1409000000000002</v>
      </c>
      <c r="S1986" s="3">
        <v>0</v>
      </c>
      <c r="T1986" s="3">
        <v>0</v>
      </c>
      <c r="U1986" s="3">
        <v>62.070900000000002</v>
      </c>
      <c r="V1986" s="3" t="s">
        <v>8046</v>
      </c>
      <c r="W1986" s="3" t="s">
        <v>1</v>
      </c>
    </row>
    <row r="1987" spans="5:23" hidden="1" x14ac:dyDescent="0.25">
      <c r="E1987" t="s">
        <v>8126</v>
      </c>
      <c r="F1987" s="1" t="s">
        <v>8152</v>
      </c>
      <c r="G1987" t="s">
        <v>1</v>
      </c>
      <c r="H1987" t="s">
        <v>0</v>
      </c>
      <c r="I1987" t="s">
        <v>8165</v>
      </c>
      <c r="J1987" t="s">
        <v>8164</v>
      </c>
      <c r="K1987">
        <v>12170</v>
      </c>
      <c r="L1987">
        <v>12170</v>
      </c>
      <c r="M1987" t="s">
        <v>8236</v>
      </c>
      <c r="N1987" t="s">
        <v>8237</v>
      </c>
      <c r="O1987" s="3">
        <v>0</v>
      </c>
      <c r="P1987" s="3">
        <v>0</v>
      </c>
      <c r="Q1987" s="3">
        <v>210.69</v>
      </c>
      <c r="R1987" s="3">
        <v>27.389700000000001</v>
      </c>
      <c r="S1987" s="3">
        <v>0</v>
      </c>
      <c r="T1987" s="3">
        <v>0</v>
      </c>
      <c r="U1987" s="3">
        <v>238.0797</v>
      </c>
      <c r="V1987" s="3" t="s">
        <v>8046</v>
      </c>
      <c r="W1987" s="3" t="s">
        <v>1</v>
      </c>
    </row>
    <row r="1988" spans="5:23" hidden="1" x14ac:dyDescent="0.25">
      <c r="E1988" t="s">
        <v>8126</v>
      </c>
      <c r="F1988" s="1" t="s">
        <v>8152</v>
      </c>
      <c r="G1988" t="s">
        <v>1</v>
      </c>
      <c r="H1988" t="s">
        <v>0</v>
      </c>
      <c r="I1988" t="s">
        <v>8165</v>
      </c>
      <c r="J1988" t="s">
        <v>8164</v>
      </c>
      <c r="K1988">
        <v>12171</v>
      </c>
      <c r="L1988">
        <v>12171</v>
      </c>
      <c r="M1988" t="s">
        <v>8236</v>
      </c>
      <c r="N1988" t="s">
        <v>8237</v>
      </c>
      <c r="O1988" s="3">
        <v>0</v>
      </c>
      <c r="P1988" s="3">
        <v>0</v>
      </c>
      <c r="Q1988" s="3">
        <v>21.6</v>
      </c>
      <c r="R1988" s="3">
        <v>2.8080000000000003</v>
      </c>
      <c r="S1988" s="3">
        <v>0</v>
      </c>
      <c r="T1988" s="3">
        <v>0</v>
      </c>
      <c r="U1988" s="3">
        <v>24.408000000000001</v>
      </c>
      <c r="V1988" s="3" t="s">
        <v>8046</v>
      </c>
      <c r="W1988" s="3" t="s">
        <v>1</v>
      </c>
    </row>
    <row r="1989" spans="5:23" hidden="1" x14ac:dyDescent="0.25">
      <c r="E1989" t="s">
        <v>8126</v>
      </c>
      <c r="F1989" s="1" t="s">
        <v>8152</v>
      </c>
      <c r="G1989" t="s">
        <v>1</v>
      </c>
      <c r="H1989" t="s">
        <v>0</v>
      </c>
      <c r="I1989" t="s">
        <v>8165</v>
      </c>
      <c r="J1989" t="s">
        <v>8164</v>
      </c>
      <c r="K1989">
        <v>12172</v>
      </c>
      <c r="L1989">
        <v>12172</v>
      </c>
      <c r="M1989" t="s">
        <v>8255</v>
      </c>
      <c r="N1989" t="s">
        <v>8256</v>
      </c>
      <c r="O1989" s="3">
        <v>0</v>
      </c>
      <c r="P1989" s="3">
        <v>0</v>
      </c>
      <c r="Q1989" s="3">
        <v>317.83999999999997</v>
      </c>
      <c r="R1989" s="3">
        <v>41.319199999999995</v>
      </c>
      <c r="S1989" s="3">
        <v>0</v>
      </c>
      <c r="T1989" s="3">
        <v>0</v>
      </c>
      <c r="U1989" s="3">
        <v>359.15919999999994</v>
      </c>
      <c r="V1989" s="3" t="s">
        <v>8046</v>
      </c>
      <c r="W1989" s="3" t="s">
        <v>1</v>
      </c>
    </row>
    <row r="1990" spans="5:23" hidden="1" x14ac:dyDescent="0.25">
      <c r="E1990" t="s">
        <v>8126</v>
      </c>
      <c r="F1990" s="1" t="s">
        <v>8152</v>
      </c>
      <c r="G1990" t="s">
        <v>1</v>
      </c>
      <c r="H1990" t="s">
        <v>0</v>
      </c>
      <c r="I1990" t="s">
        <v>8165</v>
      </c>
      <c r="J1990" t="s">
        <v>8164</v>
      </c>
      <c r="K1990">
        <v>12173</v>
      </c>
      <c r="L1990">
        <v>12173</v>
      </c>
      <c r="M1990" t="s">
        <v>115</v>
      </c>
      <c r="N1990" t="s">
        <v>116</v>
      </c>
      <c r="O1990" s="3">
        <v>0</v>
      </c>
      <c r="P1990" s="3">
        <v>0</v>
      </c>
      <c r="Q1990" s="3">
        <v>1273.71</v>
      </c>
      <c r="R1990" s="3">
        <v>165.5823</v>
      </c>
      <c r="S1990" s="3">
        <v>0</v>
      </c>
      <c r="T1990" s="3">
        <v>0</v>
      </c>
      <c r="U1990" s="3">
        <v>1439.2923000000001</v>
      </c>
      <c r="V1990" s="3" t="s">
        <v>8046</v>
      </c>
      <c r="W1990" s="3" t="s">
        <v>1</v>
      </c>
    </row>
    <row r="1991" spans="5:23" hidden="1" x14ac:dyDescent="0.25">
      <c r="E1991" t="s">
        <v>8126</v>
      </c>
      <c r="F1991" s="1" t="s">
        <v>8152</v>
      </c>
      <c r="G1991" t="s">
        <v>1</v>
      </c>
      <c r="H1991" t="s">
        <v>0</v>
      </c>
      <c r="I1991" t="s">
        <v>8165</v>
      </c>
      <c r="J1991" t="s">
        <v>8164</v>
      </c>
      <c r="K1991">
        <v>12174</v>
      </c>
      <c r="L1991">
        <v>12174</v>
      </c>
      <c r="M1991" t="s">
        <v>8265</v>
      </c>
      <c r="N1991" t="s">
        <v>8266</v>
      </c>
      <c r="O1991" s="3">
        <v>0</v>
      </c>
      <c r="P1991" s="3">
        <v>0</v>
      </c>
      <c r="Q1991" s="3">
        <v>14.38</v>
      </c>
      <c r="R1991" s="3">
        <v>1.8694000000000002</v>
      </c>
      <c r="S1991" s="3">
        <v>0</v>
      </c>
      <c r="T1991" s="3">
        <v>0</v>
      </c>
      <c r="U1991" s="3">
        <v>16.249400000000001</v>
      </c>
      <c r="V1991" s="3" t="s">
        <v>8046</v>
      </c>
      <c r="W1991" s="3" t="s">
        <v>1</v>
      </c>
    </row>
    <row r="1992" spans="5:23" hidden="1" x14ac:dyDescent="0.25">
      <c r="E1992" t="s">
        <v>8126</v>
      </c>
      <c r="F1992" s="1" t="s">
        <v>8131</v>
      </c>
      <c r="G1992" t="s">
        <v>1</v>
      </c>
      <c r="H1992" t="s">
        <v>0</v>
      </c>
      <c r="I1992" t="s">
        <v>8165</v>
      </c>
      <c r="J1992" t="s">
        <v>8164</v>
      </c>
      <c r="K1992">
        <v>12175</v>
      </c>
      <c r="L1992">
        <v>12175</v>
      </c>
      <c r="M1992" t="s">
        <v>153</v>
      </c>
      <c r="N1992" t="s">
        <v>154</v>
      </c>
      <c r="O1992" s="3">
        <v>0</v>
      </c>
      <c r="P1992" s="3">
        <v>0</v>
      </c>
      <c r="Q1992" s="3">
        <v>400</v>
      </c>
      <c r="R1992" s="3">
        <v>52</v>
      </c>
      <c r="S1992" s="3">
        <v>0</v>
      </c>
      <c r="T1992" s="3">
        <v>0</v>
      </c>
      <c r="U1992" s="3">
        <v>452</v>
      </c>
      <c r="V1992" s="3" t="s">
        <v>8046</v>
      </c>
      <c r="W1992" s="3" t="s">
        <v>1</v>
      </c>
    </row>
    <row r="1993" spans="5:23" hidden="1" x14ac:dyDescent="0.25">
      <c r="E1993" t="s">
        <v>8126</v>
      </c>
      <c r="F1993" s="1" t="s">
        <v>8131</v>
      </c>
      <c r="G1993" t="s">
        <v>1</v>
      </c>
      <c r="H1993" t="s">
        <v>0</v>
      </c>
      <c r="I1993" t="s">
        <v>8165</v>
      </c>
      <c r="J1993" t="s">
        <v>8164</v>
      </c>
      <c r="K1993">
        <v>12176</v>
      </c>
      <c r="L1993">
        <v>12176</v>
      </c>
      <c r="M1993" t="s">
        <v>8263</v>
      </c>
      <c r="N1993" t="s">
        <v>8264</v>
      </c>
      <c r="O1993" s="3">
        <v>0</v>
      </c>
      <c r="P1993" s="3">
        <v>0</v>
      </c>
      <c r="Q1993" s="3">
        <v>50.58</v>
      </c>
      <c r="R1993" s="3">
        <v>6.5754000000000001</v>
      </c>
      <c r="S1993" s="3">
        <v>0</v>
      </c>
      <c r="T1993" s="3">
        <v>0</v>
      </c>
      <c r="U1993" s="3">
        <v>57.1554</v>
      </c>
      <c r="V1993" s="3" t="s">
        <v>8046</v>
      </c>
      <c r="W1993" s="3" t="s">
        <v>1</v>
      </c>
    </row>
    <row r="1994" spans="5:23" hidden="1" x14ac:dyDescent="0.25">
      <c r="E1994" t="s">
        <v>8126</v>
      </c>
      <c r="F1994" s="1" t="s">
        <v>8131</v>
      </c>
      <c r="G1994" t="s">
        <v>1</v>
      </c>
      <c r="H1994" t="s">
        <v>0</v>
      </c>
      <c r="I1994" t="s">
        <v>8165</v>
      </c>
      <c r="J1994" t="s">
        <v>8164</v>
      </c>
      <c r="K1994">
        <v>12177</v>
      </c>
      <c r="L1994">
        <v>12177</v>
      </c>
      <c r="M1994" t="s">
        <v>8209</v>
      </c>
      <c r="N1994" t="s">
        <v>8210</v>
      </c>
      <c r="O1994" s="3">
        <v>0</v>
      </c>
      <c r="P1994" s="3">
        <v>0</v>
      </c>
      <c r="Q1994" s="3">
        <v>575.6</v>
      </c>
      <c r="R1994" s="3">
        <v>74.828000000000003</v>
      </c>
      <c r="S1994" s="3">
        <v>0</v>
      </c>
      <c r="T1994" s="3">
        <v>0</v>
      </c>
      <c r="U1994" s="3">
        <v>650.428</v>
      </c>
      <c r="V1994" s="3" t="s">
        <v>8046</v>
      </c>
      <c r="W1994" s="3" t="s">
        <v>1</v>
      </c>
    </row>
    <row r="1995" spans="5:23" hidden="1" x14ac:dyDescent="0.25">
      <c r="E1995" t="s">
        <v>8126</v>
      </c>
      <c r="F1995" s="1" t="s">
        <v>8131</v>
      </c>
      <c r="G1995" t="s">
        <v>1</v>
      </c>
      <c r="H1995" t="s">
        <v>0</v>
      </c>
      <c r="I1995" t="s">
        <v>8165</v>
      </c>
      <c r="J1995" t="s">
        <v>8164</v>
      </c>
      <c r="K1995">
        <v>12178</v>
      </c>
      <c r="L1995">
        <v>12178</v>
      </c>
      <c r="M1995" t="s">
        <v>115</v>
      </c>
      <c r="N1995" t="s">
        <v>116</v>
      </c>
      <c r="O1995" s="3">
        <v>0</v>
      </c>
      <c r="P1995" s="3">
        <v>0</v>
      </c>
      <c r="Q1995" s="3">
        <v>200</v>
      </c>
      <c r="R1995" s="3">
        <v>26</v>
      </c>
      <c r="S1995" s="3">
        <v>0</v>
      </c>
      <c r="T1995" s="3">
        <v>0</v>
      </c>
      <c r="U1995" s="3">
        <v>226</v>
      </c>
      <c r="V1995" s="3" t="s">
        <v>8046</v>
      </c>
      <c r="W1995" s="3" t="s">
        <v>1</v>
      </c>
    </row>
    <row r="1996" spans="5:23" hidden="1" x14ac:dyDescent="0.25">
      <c r="E1996" t="s">
        <v>8126</v>
      </c>
      <c r="F1996" s="1" t="s">
        <v>8131</v>
      </c>
      <c r="G1996" t="s">
        <v>1</v>
      </c>
      <c r="H1996" t="s">
        <v>0</v>
      </c>
      <c r="I1996" t="s">
        <v>8165</v>
      </c>
      <c r="J1996" t="s">
        <v>8164</v>
      </c>
      <c r="K1996">
        <v>12179</v>
      </c>
      <c r="L1996">
        <v>12179</v>
      </c>
      <c r="M1996" t="s">
        <v>8261</v>
      </c>
      <c r="N1996" t="s">
        <v>8262</v>
      </c>
      <c r="O1996" s="3">
        <v>0</v>
      </c>
      <c r="P1996" s="3">
        <v>0</v>
      </c>
      <c r="Q1996" s="3">
        <v>10</v>
      </c>
      <c r="R1996" s="3">
        <v>1.3</v>
      </c>
      <c r="S1996" s="3">
        <v>0</v>
      </c>
      <c r="T1996" s="3">
        <v>0</v>
      </c>
      <c r="U1996" s="3">
        <v>11.3</v>
      </c>
      <c r="V1996" s="3" t="s">
        <v>8046</v>
      </c>
      <c r="W1996" s="3" t="s">
        <v>1</v>
      </c>
    </row>
    <row r="1997" spans="5:23" hidden="1" x14ac:dyDescent="0.25">
      <c r="E1997" t="s">
        <v>8126</v>
      </c>
      <c r="F1997" s="1" t="s">
        <v>8131</v>
      </c>
      <c r="G1997" t="s">
        <v>1</v>
      </c>
      <c r="H1997" t="s">
        <v>0</v>
      </c>
      <c r="I1997" t="s">
        <v>8165</v>
      </c>
      <c r="J1997" t="s">
        <v>8164</v>
      </c>
      <c r="K1997">
        <v>12180</v>
      </c>
      <c r="L1997">
        <v>12180</v>
      </c>
      <c r="M1997" t="s">
        <v>7852</v>
      </c>
      <c r="N1997" t="s">
        <v>7851</v>
      </c>
      <c r="O1997" s="3">
        <v>0</v>
      </c>
      <c r="P1997" s="3">
        <v>0</v>
      </c>
      <c r="Q1997" s="3">
        <v>0</v>
      </c>
      <c r="R1997" s="3">
        <v>0</v>
      </c>
      <c r="S1997" s="3">
        <v>0</v>
      </c>
      <c r="T1997" s="3">
        <v>0</v>
      </c>
      <c r="U1997" s="3">
        <v>0</v>
      </c>
      <c r="V1997" s="3" t="s">
        <v>8046</v>
      </c>
      <c r="W1997" s="3" t="s">
        <v>1</v>
      </c>
    </row>
    <row r="1998" spans="5:23" hidden="1" x14ac:dyDescent="0.25">
      <c r="E1998" t="s">
        <v>8126</v>
      </c>
      <c r="F1998" s="1" t="s">
        <v>8131</v>
      </c>
      <c r="G1998" t="s">
        <v>1</v>
      </c>
      <c r="H1998" t="s">
        <v>0</v>
      </c>
      <c r="I1998" t="s">
        <v>8165</v>
      </c>
      <c r="J1998" t="s">
        <v>8164</v>
      </c>
      <c r="K1998">
        <v>12181</v>
      </c>
      <c r="L1998">
        <v>12181</v>
      </c>
      <c r="M1998" t="s">
        <v>8259</v>
      </c>
      <c r="N1998" t="s">
        <v>8260</v>
      </c>
      <c r="O1998" s="3">
        <v>0</v>
      </c>
      <c r="P1998" s="3">
        <v>0</v>
      </c>
      <c r="Q1998" s="3">
        <v>74.400000000000006</v>
      </c>
      <c r="R1998" s="3">
        <v>9.6720000000000006</v>
      </c>
      <c r="S1998" s="3">
        <v>0</v>
      </c>
      <c r="T1998" s="3">
        <v>0</v>
      </c>
      <c r="U1998" s="3">
        <v>84.072000000000003</v>
      </c>
      <c r="V1998" s="3" t="s">
        <v>8046</v>
      </c>
      <c r="W1998" s="3" t="s">
        <v>1</v>
      </c>
    </row>
    <row r="1999" spans="5:23" hidden="1" x14ac:dyDescent="0.25">
      <c r="E1999" t="s">
        <v>8126</v>
      </c>
      <c r="F1999" s="1" t="s">
        <v>8131</v>
      </c>
      <c r="G1999" t="s">
        <v>1</v>
      </c>
      <c r="H1999" t="s">
        <v>0</v>
      </c>
      <c r="I1999" t="s">
        <v>8165</v>
      </c>
      <c r="J1999" t="s">
        <v>8164</v>
      </c>
      <c r="K1999">
        <v>12182</v>
      </c>
      <c r="L1999">
        <v>12182</v>
      </c>
      <c r="M1999" t="s">
        <v>8186</v>
      </c>
      <c r="N1999" t="s">
        <v>8187</v>
      </c>
      <c r="O1999" s="3">
        <v>0</v>
      </c>
      <c r="P1999" s="3">
        <v>0</v>
      </c>
      <c r="Q1999" s="3">
        <v>74.12</v>
      </c>
      <c r="R1999" s="3">
        <v>9.6356000000000002</v>
      </c>
      <c r="S1999" s="3">
        <v>0</v>
      </c>
      <c r="T1999" s="3">
        <v>0</v>
      </c>
      <c r="U1999" s="3">
        <v>83.755600000000001</v>
      </c>
      <c r="V1999" s="3" t="s">
        <v>8046</v>
      </c>
      <c r="W1999" s="3" t="s">
        <v>1</v>
      </c>
    </row>
    <row r="2000" spans="5:23" hidden="1" x14ac:dyDescent="0.25">
      <c r="E2000" t="s">
        <v>8126</v>
      </c>
      <c r="F2000" s="1" t="s">
        <v>8131</v>
      </c>
      <c r="G2000" t="s">
        <v>1</v>
      </c>
      <c r="H2000" t="s">
        <v>0</v>
      </c>
      <c r="I2000" t="s">
        <v>8165</v>
      </c>
      <c r="J2000" t="s">
        <v>8164</v>
      </c>
      <c r="K2000">
        <v>12183</v>
      </c>
      <c r="L2000">
        <v>12183</v>
      </c>
      <c r="M2000" t="s">
        <v>8174</v>
      </c>
      <c r="N2000" t="s">
        <v>8175</v>
      </c>
      <c r="O2000" s="3">
        <v>0</v>
      </c>
      <c r="P2000" s="3">
        <v>0</v>
      </c>
      <c r="Q2000" s="3">
        <v>27.19</v>
      </c>
      <c r="R2000" s="3">
        <v>3.5347000000000004</v>
      </c>
      <c r="S2000" s="3">
        <v>0</v>
      </c>
      <c r="T2000" s="3">
        <v>0</v>
      </c>
      <c r="U2000" s="3">
        <v>30.724700000000002</v>
      </c>
      <c r="V2000" s="3" t="s">
        <v>8046</v>
      </c>
      <c r="W2000" s="3" t="s">
        <v>1</v>
      </c>
    </row>
    <row r="2001" spans="5:23" hidden="1" x14ac:dyDescent="0.25">
      <c r="E2001" t="s">
        <v>8126</v>
      </c>
      <c r="F2001" s="34" t="s">
        <v>8131</v>
      </c>
      <c r="G2001" t="s">
        <v>1</v>
      </c>
      <c r="H2001" t="s">
        <v>0</v>
      </c>
      <c r="I2001" t="s">
        <v>8165</v>
      </c>
      <c r="J2001" t="s">
        <v>8164</v>
      </c>
      <c r="K2001">
        <v>12184</v>
      </c>
      <c r="L2001">
        <v>12184</v>
      </c>
      <c r="M2001" t="s">
        <v>8257</v>
      </c>
      <c r="N2001" t="s">
        <v>8258</v>
      </c>
      <c r="O2001" s="3">
        <v>0</v>
      </c>
      <c r="P2001" s="3">
        <v>0</v>
      </c>
      <c r="Q2001" s="3">
        <v>13.27</v>
      </c>
      <c r="R2001" s="3">
        <v>1.7251000000000001</v>
      </c>
      <c r="S2001" s="3">
        <v>0</v>
      </c>
      <c r="T2001" s="3">
        <v>0</v>
      </c>
      <c r="U2001" s="3">
        <v>14.995099999999999</v>
      </c>
      <c r="V2001" s="3" t="s">
        <v>8046</v>
      </c>
      <c r="W2001" s="3" t="s">
        <v>1</v>
      </c>
    </row>
    <row r="2002" spans="5:23" hidden="1" x14ac:dyDescent="0.25">
      <c r="E2002" t="s">
        <v>8126</v>
      </c>
      <c r="F2002" s="34" t="s">
        <v>8131</v>
      </c>
      <c r="G2002" t="s">
        <v>1</v>
      </c>
      <c r="H2002" t="s">
        <v>0</v>
      </c>
      <c r="I2002" t="s">
        <v>8165</v>
      </c>
      <c r="J2002" t="s">
        <v>8164</v>
      </c>
      <c r="K2002">
        <v>12185</v>
      </c>
      <c r="L2002">
        <v>12185</v>
      </c>
      <c r="M2002" t="s">
        <v>8207</v>
      </c>
      <c r="N2002" t="s">
        <v>8208</v>
      </c>
      <c r="O2002" s="3">
        <v>0</v>
      </c>
      <c r="P2002" s="3">
        <v>0</v>
      </c>
      <c r="Q2002" s="3">
        <v>52.06</v>
      </c>
      <c r="R2002" s="3">
        <v>6.7678000000000003</v>
      </c>
      <c r="S2002" s="3">
        <v>0</v>
      </c>
      <c r="T2002" s="3">
        <v>0</v>
      </c>
      <c r="U2002" s="3">
        <v>58.827800000000003</v>
      </c>
      <c r="V2002" s="3" t="s">
        <v>8046</v>
      </c>
      <c r="W2002" s="3" t="s">
        <v>1</v>
      </c>
    </row>
    <row r="2003" spans="5:23" hidden="1" x14ac:dyDescent="0.25">
      <c r="E2003" t="s">
        <v>8126</v>
      </c>
      <c r="F2003" s="34" t="s">
        <v>8131</v>
      </c>
      <c r="G2003" t="s">
        <v>1</v>
      </c>
      <c r="H2003" t="s">
        <v>0</v>
      </c>
      <c r="I2003" t="s">
        <v>8165</v>
      </c>
      <c r="J2003" t="s">
        <v>8164</v>
      </c>
      <c r="K2003">
        <v>12186</v>
      </c>
      <c r="L2003">
        <v>12186</v>
      </c>
      <c r="M2003" t="s">
        <v>7852</v>
      </c>
      <c r="N2003" t="s">
        <v>7851</v>
      </c>
      <c r="O2003" s="3">
        <v>0</v>
      </c>
      <c r="P2003" s="3">
        <v>0</v>
      </c>
      <c r="Q2003" s="3">
        <v>0</v>
      </c>
      <c r="R2003" s="3">
        <v>0</v>
      </c>
      <c r="S2003" s="3">
        <v>0</v>
      </c>
      <c r="T2003" s="3">
        <v>0</v>
      </c>
      <c r="U2003" s="3">
        <v>0</v>
      </c>
      <c r="V2003" s="3" t="s">
        <v>8046</v>
      </c>
      <c r="W2003" s="3" t="s">
        <v>1</v>
      </c>
    </row>
    <row r="2004" spans="5:23" hidden="1" x14ac:dyDescent="0.25">
      <c r="E2004" t="s">
        <v>8126</v>
      </c>
      <c r="F2004" s="34" t="s">
        <v>8131</v>
      </c>
      <c r="G2004" t="s">
        <v>1</v>
      </c>
      <c r="H2004" t="s">
        <v>0</v>
      </c>
      <c r="I2004" t="s">
        <v>8165</v>
      </c>
      <c r="J2004" t="s">
        <v>8164</v>
      </c>
      <c r="K2004">
        <v>12187</v>
      </c>
      <c r="L2004">
        <v>12187</v>
      </c>
      <c r="M2004" t="s">
        <v>8205</v>
      </c>
      <c r="N2004" t="s">
        <v>8206</v>
      </c>
      <c r="O2004" s="3">
        <v>0</v>
      </c>
      <c r="P2004" s="3">
        <v>0</v>
      </c>
      <c r="Q2004" s="3">
        <v>61.97</v>
      </c>
      <c r="R2004" s="3">
        <v>8.0561000000000007</v>
      </c>
      <c r="S2004" s="3">
        <v>0</v>
      </c>
      <c r="T2004" s="3">
        <v>0</v>
      </c>
      <c r="U2004" s="3">
        <v>70.0261</v>
      </c>
      <c r="V2004" s="3" t="s">
        <v>8046</v>
      </c>
      <c r="W2004" s="3" t="s">
        <v>1</v>
      </c>
    </row>
    <row r="2005" spans="5:23" hidden="1" x14ac:dyDescent="0.25">
      <c r="E2005" t="s">
        <v>8126</v>
      </c>
      <c r="F2005" s="34" t="s">
        <v>8131</v>
      </c>
      <c r="G2005" t="s">
        <v>1</v>
      </c>
      <c r="H2005" t="s">
        <v>0</v>
      </c>
      <c r="I2005" t="s">
        <v>8165</v>
      </c>
      <c r="J2005" t="s">
        <v>8164</v>
      </c>
      <c r="K2005">
        <v>12188</v>
      </c>
      <c r="L2005">
        <v>12188</v>
      </c>
      <c r="M2005" t="s">
        <v>8166</v>
      </c>
      <c r="N2005" t="s">
        <v>8167</v>
      </c>
      <c r="O2005" s="3">
        <v>0</v>
      </c>
      <c r="P2005" s="3">
        <v>0</v>
      </c>
      <c r="Q2005" s="3">
        <v>988.79</v>
      </c>
      <c r="R2005" s="3">
        <v>128.5427</v>
      </c>
      <c r="S2005" s="3">
        <v>0</v>
      </c>
      <c r="T2005" s="3">
        <v>0</v>
      </c>
      <c r="U2005" s="3">
        <v>1117.3326999999999</v>
      </c>
      <c r="V2005" s="3" t="s">
        <v>8046</v>
      </c>
      <c r="W2005" s="3" t="s">
        <v>1</v>
      </c>
    </row>
    <row r="2006" spans="5:23" hidden="1" x14ac:dyDescent="0.25">
      <c r="E2006" t="s">
        <v>8126</v>
      </c>
      <c r="F2006" s="34" t="s">
        <v>8151</v>
      </c>
      <c r="G2006" t="s">
        <v>1</v>
      </c>
      <c r="H2006" t="s">
        <v>0</v>
      </c>
      <c r="I2006" t="s">
        <v>8165</v>
      </c>
      <c r="J2006" t="s">
        <v>8164</v>
      </c>
      <c r="K2006">
        <v>12189</v>
      </c>
      <c r="L2006">
        <v>12189</v>
      </c>
      <c r="M2006" t="s">
        <v>8255</v>
      </c>
      <c r="N2006" t="s">
        <v>8256</v>
      </c>
      <c r="O2006" s="3">
        <v>0</v>
      </c>
      <c r="P2006" s="3">
        <v>0</v>
      </c>
      <c r="Q2006" s="3">
        <v>138</v>
      </c>
      <c r="R2006" s="3">
        <v>17.940000000000001</v>
      </c>
      <c r="S2006" s="3">
        <v>0</v>
      </c>
      <c r="T2006" s="3">
        <v>0</v>
      </c>
      <c r="U2006" s="3">
        <v>155.94</v>
      </c>
      <c r="V2006" s="3" t="s">
        <v>8046</v>
      </c>
      <c r="W2006" s="3" t="s">
        <v>1</v>
      </c>
    </row>
    <row r="2007" spans="5:23" hidden="1" x14ac:dyDescent="0.25">
      <c r="E2007" t="s">
        <v>8126</v>
      </c>
      <c r="F2007" s="34" t="s">
        <v>8151</v>
      </c>
      <c r="G2007" t="s">
        <v>1</v>
      </c>
      <c r="H2007" t="s">
        <v>0</v>
      </c>
      <c r="I2007" t="s">
        <v>8165</v>
      </c>
      <c r="J2007" t="s">
        <v>8164</v>
      </c>
      <c r="K2007">
        <v>12190</v>
      </c>
      <c r="L2007">
        <v>12190</v>
      </c>
      <c r="M2007" t="s">
        <v>734</v>
      </c>
      <c r="N2007" t="s">
        <v>735</v>
      </c>
      <c r="O2007" s="3">
        <v>0</v>
      </c>
      <c r="P2007" s="3">
        <v>0</v>
      </c>
      <c r="Q2007" s="3">
        <v>747.65</v>
      </c>
      <c r="R2007" s="3">
        <v>97.194500000000005</v>
      </c>
      <c r="S2007" s="3">
        <v>0</v>
      </c>
      <c r="T2007" s="3">
        <v>0</v>
      </c>
      <c r="U2007" s="3">
        <v>844.84449999999993</v>
      </c>
      <c r="V2007" s="3" t="s">
        <v>8046</v>
      </c>
      <c r="W2007" s="3" t="s">
        <v>1</v>
      </c>
    </row>
    <row r="2008" spans="5:23" hidden="1" x14ac:dyDescent="0.25">
      <c r="E2008" t="s">
        <v>8126</v>
      </c>
      <c r="F2008" s="34" t="s">
        <v>8151</v>
      </c>
      <c r="G2008" t="s">
        <v>1</v>
      </c>
      <c r="H2008" t="s">
        <v>0</v>
      </c>
      <c r="I2008" t="s">
        <v>8165</v>
      </c>
      <c r="J2008" t="s">
        <v>8164</v>
      </c>
      <c r="K2008">
        <v>12191</v>
      </c>
      <c r="L2008">
        <v>12191</v>
      </c>
      <c r="M2008" t="s">
        <v>7852</v>
      </c>
      <c r="N2008" t="s">
        <v>7851</v>
      </c>
      <c r="O2008" s="3">
        <v>0</v>
      </c>
      <c r="P2008" s="3">
        <v>0</v>
      </c>
      <c r="Q2008" s="3">
        <v>0</v>
      </c>
      <c r="R2008" s="3">
        <v>0</v>
      </c>
      <c r="S2008" s="3">
        <v>0</v>
      </c>
      <c r="T2008" s="3">
        <v>0</v>
      </c>
      <c r="U2008" s="3">
        <v>0</v>
      </c>
      <c r="V2008" s="3" t="s">
        <v>8046</v>
      </c>
      <c r="W2008" s="3" t="s">
        <v>1</v>
      </c>
    </row>
    <row r="2009" spans="5:23" hidden="1" x14ac:dyDescent="0.25">
      <c r="E2009" t="s">
        <v>8126</v>
      </c>
      <c r="F2009" s="34" t="s">
        <v>8151</v>
      </c>
      <c r="G2009" t="s">
        <v>1</v>
      </c>
      <c r="H2009" t="s">
        <v>0</v>
      </c>
      <c r="I2009" t="s">
        <v>8165</v>
      </c>
      <c r="J2009" t="s">
        <v>8164</v>
      </c>
      <c r="K2009">
        <v>12192</v>
      </c>
      <c r="L2009">
        <v>12192</v>
      </c>
      <c r="M2009" t="s">
        <v>8218</v>
      </c>
      <c r="N2009" t="s">
        <v>8219</v>
      </c>
      <c r="O2009" s="3">
        <v>0</v>
      </c>
      <c r="P2009" s="3">
        <v>0</v>
      </c>
      <c r="Q2009" s="3">
        <v>32.799999999999997</v>
      </c>
      <c r="R2009" s="3">
        <v>4.2639999999999993</v>
      </c>
      <c r="S2009" s="3">
        <v>0</v>
      </c>
      <c r="T2009" s="3">
        <v>0</v>
      </c>
      <c r="U2009" s="3">
        <v>37.063999999999993</v>
      </c>
      <c r="V2009" s="3" t="s">
        <v>8046</v>
      </c>
      <c r="W2009" s="3" t="s">
        <v>1</v>
      </c>
    </row>
    <row r="2010" spans="5:23" hidden="1" x14ac:dyDescent="0.25">
      <c r="E2010" t="s">
        <v>8126</v>
      </c>
      <c r="F2010" s="34" t="s">
        <v>8151</v>
      </c>
      <c r="G2010" t="s">
        <v>1</v>
      </c>
      <c r="H2010" t="s">
        <v>0</v>
      </c>
      <c r="I2010" t="s">
        <v>8165</v>
      </c>
      <c r="J2010" t="s">
        <v>8164</v>
      </c>
      <c r="K2010">
        <v>12193</v>
      </c>
      <c r="L2010">
        <v>12193</v>
      </c>
      <c r="M2010" t="s">
        <v>8190</v>
      </c>
      <c r="N2010" t="s">
        <v>8191</v>
      </c>
      <c r="O2010" s="3">
        <v>0</v>
      </c>
      <c r="P2010" s="3">
        <v>0</v>
      </c>
      <c r="Q2010" s="3">
        <v>276.57</v>
      </c>
      <c r="R2010" s="3">
        <v>35.954099999999997</v>
      </c>
      <c r="S2010" s="3">
        <v>0</v>
      </c>
      <c r="T2010" s="3">
        <v>0</v>
      </c>
      <c r="U2010" s="3">
        <v>312.52409999999998</v>
      </c>
      <c r="V2010" s="3" t="s">
        <v>8046</v>
      </c>
      <c r="W2010" s="3" t="s">
        <v>1</v>
      </c>
    </row>
    <row r="2011" spans="5:23" hidden="1" x14ac:dyDescent="0.25">
      <c r="E2011" t="s">
        <v>8126</v>
      </c>
      <c r="F2011" s="34" t="s">
        <v>8151</v>
      </c>
      <c r="G2011" t="s">
        <v>1</v>
      </c>
      <c r="H2011" t="s">
        <v>0</v>
      </c>
      <c r="I2011" t="s">
        <v>8165</v>
      </c>
      <c r="J2011" t="s">
        <v>8164</v>
      </c>
      <c r="K2011">
        <v>12194</v>
      </c>
      <c r="L2011">
        <v>12194</v>
      </c>
      <c r="M2011" t="s">
        <v>8188</v>
      </c>
      <c r="N2011" t="s">
        <v>8189</v>
      </c>
      <c r="O2011" s="3">
        <v>0</v>
      </c>
      <c r="P2011" s="3">
        <v>0</v>
      </c>
      <c r="Q2011" s="3">
        <v>102.52</v>
      </c>
      <c r="R2011" s="3">
        <v>13.3276</v>
      </c>
      <c r="S2011" s="3">
        <v>0</v>
      </c>
      <c r="T2011" s="3">
        <v>0</v>
      </c>
      <c r="U2011" s="3">
        <v>115.8476</v>
      </c>
      <c r="V2011" s="3" t="s">
        <v>8046</v>
      </c>
      <c r="W2011" s="3" t="s">
        <v>1</v>
      </c>
    </row>
    <row r="2012" spans="5:23" hidden="1" x14ac:dyDescent="0.25">
      <c r="E2012" t="s">
        <v>8126</v>
      </c>
      <c r="F2012" s="34" t="s">
        <v>8151</v>
      </c>
      <c r="G2012" t="s">
        <v>1</v>
      </c>
      <c r="H2012" t="s">
        <v>0</v>
      </c>
      <c r="I2012" t="s">
        <v>8165</v>
      </c>
      <c r="J2012" t="s">
        <v>8164</v>
      </c>
      <c r="K2012">
        <v>12195</v>
      </c>
      <c r="L2012">
        <v>12195</v>
      </c>
      <c r="M2012" s="33" t="s">
        <v>8188</v>
      </c>
      <c r="N2012" t="s">
        <v>8189</v>
      </c>
      <c r="O2012" s="3">
        <v>0</v>
      </c>
      <c r="P2012" s="3">
        <v>0</v>
      </c>
      <c r="Q2012" s="3">
        <v>534.97</v>
      </c>
      <c r="R2012" s="3">
        <v>69.54610000000001</v>
      </c>
      <c r="S2012" s="3">
        <v>0</v>
      </c>
      <c r="T2012" s="3">
        <v>0</v>
      </c>
      <c r="U2012" s="3">
        <v>604.51610000000005</v>
      </c>
      <c r="V2012" s="3" t="s">
        <v>8046</v>
      </c>
      <c r="W2012" s="3" t="s">
        <v>1</v>
      </c>
    </row>
    <row r="2013" spans="5:23" hidden="1" x14ac:dyDescent="0.25">
      <c r="E2013" t="s">
        <v>8126</v>
      </c>
      <c r="F2013" s="34" t="s">
        <v>8151</v>
      </c>
      <c r="G2013" t="s">
        <v>1</v>
      </c>
      <c r="H2013" t="s">
        <v>0</v>
      </c>
      <c r="I2013" t="s">
        <v>8165</v>
      </c>
      <c r="J2013" t="s">
        <v>8164</v>
      </c>
      <c r="K2013">
        <v>12196</v>
      </c>
      <c r="L2013">
        <v>12196</v>
      </c>
      <c r="M2013" t="s">
        <v>8228</v>
      </c>
      <c r="N2013" t="s">
        <v>8229</v>
      </c>
      <c r="O2013" s="3">
        <v>0</v>
      </c>
      <c r="P2013" s="3">
        <v>0</v>
      </c>
      <c r="Q2013" s="3">
        <v>374.41</v>
      </c>
      <c r="R2013" s="3">
        <v>48.673300000000005</v>
      </c>
      <c r="S2013" s="3">
        <v>0</v>
      </c>
      <c r="T2013" s="3">
        <v>0</v>
      </c>
      <c r="U2013" s="3">
        <v>423.08330000000001</v>
      </c>
      <c r="V2013" s="3" t="s">
        <v>8046</v>
      </c>
      <c r="W2013" s="3" t="s">
        <v>1</v>
      </c>
    </row>
    <row r="2014" spans="5:23" hidden="1" x14ac:dyDescent="0.25">
      <c r="E2014" t="s">
        <v>8126</v>
      </c>
      <c r="F2014" s="34" t="s">
        <v>8151</v>
      </c>
      <c r="G2014" t="s">
        <v>1</v>
      </c>
      <c r="H2014" t="s">
        <v>0</v>
      </c>
      <c r="I2014" t="s">
        <v>8165</v>
      </c>
      <c r="J2014" t="s">
        <v>8164</v>
      </c>
      <c r="K2014">
        <v>12197</v>
      </c>
      <c r="L2014">
        <v>12197</v>
      </c>
      <c r="M2014" t="s">
        <v>8228</v>
      </c>
      <c r="N2014" t="s">
        <v>8229</v>
      </c>
      <c r="O2014" s="3">
        <v>0</v>
      </c>
      <c r="P2014" s="3">
        <v>0</v>
      </c>
      <c r="Q2014" s="3">
        <v>4.6500000000000004</v>
      </c>
      <c r="R2014" s="3">
        <v>0.60450000000000004</v>
      </c>
      <c r="S2014" s="3">
        <v>0</v>
      </c>
      <c r="T2014" s="3">
        <v>0</v>
      </c>
      <c r="U2014" s="3">
        <v>5.2545000000000002</v>
      </c>
      <c r="V2014" s="3" t="s">
        <v>8046</v>
      </c>
      <c r="W2014" s="3" t="s">
        <v>1</v>
      </c>
    </row>
    <row r="2015" spans="5:23" hidden="1" x14ac:dyDescent="0.25">
      <c r="E2015" t="s">
        <v>8126</v>
      </c>
      <c r="F2015" s="34" t="s">
        <v>8151</v>
      </c>
      <c r="G2015" t="s">
        <v>1</v>
      </c>
      <c r="H2015" t="s">
        <v>0</v>
      </c>
      <c r="I2015" t="s">
        <v>8165</v>
      </c>
      <c r="J2015" t="s">
        <v>8164</v>
      </c>
      <c r="K2015">
        <v>12198</v>
      </c>
      <c r="L2015">
        <v>12198</v>
      </c>
      <c r="M2015" t="s">
        <v>8186</v>
      </c>
      <c r="N2015" t="s">
        <v>8187</v>
      </c>
      <c r="O2015" s="3">
        <v>0</v>
      </c>
      <c r="P2015" s="3">
        <v>0</v>
      </c>
      <c r="Q2015" s="3">
        <v>34.630000000000003</v>
      </c>
      <c r="R2015" s="3">
        <v>4.5019000000000009</v>
      </c>
      <c r="S2015" s="3">
        <v>0</v>
      </c>
      <c r="T2015" s="3">
        <v>0</v>
      </c>
      <c r="U2015" s="3">
        <v>39.131900000000002</v>
      </c>
      <c r="V2015" s="3" t="s">
        <v>8046</v>
      </c>
      <c r="W2015" s="3" t="s">
        <v>1</v>
      </c>
    </row>
    <row r="2016" spans="5:23" hidden="1" x14ac:dyDescent="0.25">
      <c r="E2016" t="s">
        <v>8126</v>
      </c>
      <c r="F2016" s="34" t="s">
        <v>8151</v>
      </c>
      <c r="G2016" t="s">
        <v>1</v>
      </c>
      <c r="H2016" t="s">
        <v>0</v>
      </c>
      <c r="I2016" t="s">
        <v>8165</v>
      </c>
      <c r="J2016" t="s">
        <v>8164</v>
      </c>
      <c r="K2016">
        <v>12199</v>
      </c>
      <c r="L2016">
        <v>12199</v>
      </c>
      <c r="M2016" t="s">
        <v>807</v>
      </c>
      <c r="N2016" t="s">
        <v>808</v>
      </c>
      <c r="O2016" s="3">
        <v>0</v>
      </c>
      <c r="P2016" s="3">
        <v>0</v>
      </c>
      <c r="Q2016" s="3">
        <v>75</v>
      </c>
      <c r="R2016" s="3">
        <v>9.75</v>
      </c>
      <c r="S2016" s="3">
        <v>0</v>
      </c>
      <c r="T2016" s="3">
        <v>0</v>
      </c>
      <c r="U2016" s="3">
        <v>84.75</v>
      </c>
      <c r="V2016" s="3" t="s">
        <v>8046</v>
      </c>
      <c r="W2016" s="3" t="s">
        <v>1</v>
      </c>
    </row>
    <row r="2017" spans="5:23" hidden="1" x14ac:dyDescent="0.25">
      <c r="E2017" t="s">
        <v>8126</v>
      </c>
      <c r="F2017" s="34" t="s">
        <v>8151</v>
      </c>
      <c r="G2017" t="s">
        <v>1</v>
      </c>
      <c r="H2017" t="s">
        <v>0</v>
      </c>
      <c r="I2017" t="s">
        <v>8165</v>
      </c>
      <c r="J2017" t="s">
        <v>8164</v>
      </c>
      <c r="K2017">
        <v>12200</v>
      </c>
      <c r="L2017">
        <v>12200</v>
      </c>
      <c r="M2017" t="s">
        <v>7852</v>
      </c>
      <c r="N2017" t="s">
        <v>7851</v>
      </c>
      <c r="O2017" s="3">
        <v>0</v>
      </c>
      <c r="P2017" s="3">
        <v>0</v>
      </c>
      <c r="Q2017" s="3">
        <v>0</v>
      </c>
      <c r="R2017" s="3">
        <v>0</v>
      </c>
      <c r="S2017" s="3">
        <v>0</v>
      </c>
      <c r="T2017" s="3">
        <v>0</v>
      </c>
      <c r="U2017" s="3">
        <v>0</v>
      </c>
      <c r="V2017" s="3" t="s">
        <v>8046</v>
      </c>
      <c r="W2017" s="3" t="s">
        <v>1</v>
      </c>
    </row>
    <row r="2018" spans="5:23" hidden="1" x14ac:dyDescent="0.25">
      <c r="E2018" t="s">
        <v>8126</v>
      </c>
      <c r="F2018" s="34" t="s">
        <v>8151</v>
      </c>
      <c r="G2018" t="s">
        <v>1</v>
      </c>
      <c r="H2018" t="s">
        <v>0</v>
      </c>
      <c r="I2018" t="s">
        <v>8165</v>
      </c>
      <c r="J2018" t="s">
        <v>8164</v>
      </c>
      <c r="K2018">
        <v>12201</v>
      </c>
      <c r="L2018">
        <v>12201</v>
      </c>
      <c r="M2018" t="s">
        <v>8253</v>
      </c>
      <c r="N2018" t="s">
        <v>8254</v>
      </c>
      <c r="O2018" s="3">
        <v>0</v>
      </c>
      <c r="P2018" s="3">
        <v>0</v>
      </c>
      <c r="Q2018" s="3">
        <v>442.5</v>
      </c>
      <c r="R2018" s="3">
        <v>57.524999999999999</v>
      </c>
      <c r="S2018" s="3">
        <v>0</v>
      </c>
      <c r="T2018" s="3">
        <v>0</v>
      </c>
      <c r="U2018" s="3">
        <v>500.02499999999998</v>
      </c>
      <c r="V2018" s="3" t="s">
        <v>8046</v>
      </c>
      <c r="W2018" s="3" t="s">
        <v>1</v>
      </c>
    </row>
    <row r="2019" spans="5:23" hidden="1" x14ac:dyDescent="0.25">
      <c r="E2019" t="s">
        <v>8126</v>
      </c>
      <c r="F2019" s="34" t="s">
        <v>8151</v>
      </c>
      <c r="G2019" t="s">
        <v>1</v>
      </c>
      <c r="H2019" t="s">
        <v>0</v>
      </c>
      <c r="I2019" t="s">
        <v>8165</v>
      </c>
      <c r="J2019" t="s">
        <v>8164</v>
      </c>
      <c r="K2019">
        <v>12202</v>
      </c>
      <c r="L2019">
        <v>12202</v>
      </c>
      <c r="M2019" t="s">
        <v>8251</v>
      </c>
      <c r="N2019" t="s">
        <v>8252</v>
      </c>
      <c r="O2019" s="3">
        <v>0</v>
      </c>
      <c r="P2019" s="3">
        <v>0</v>
      </c>
      <c r="Q2019" s="3">
        <v>194.48</v>
      </c>
      <c r="R2019" s="3">
        <v>25.282399999999999</v>
      </c>
      <c r="S2019" s="3">
        <v>0</v>
      </c>
      <c r="T2019" s="3">
        <v>0</v>
      </c>
      <c r="U2019" s="3">
        <v>219.76239999999999</v>
      </c>
      <c r="V2019" s="3" t="s">
        <v>8046</v>
      </c>
      <c r="W2019" s="3" t="s">
        <v>1</v>
      </c>
    </row>
    <row r="2020" spans="5:23" hidden="1" x14ac:dyDescent="0.25">
      <c r="E2020" t="s">
        <v>8126</v>
      </c>
      <c r="F2020" s="34" t="s">
        <v>8151</v>
      </c>
      <c r="G2020" t="s">
        <v>1</v>
      </c>
      <c r="H2020" t="s">
        <v>0</v>
      </c>
      <c r="I2020" t="s">
        <v>8165</v>
      </c>
      <c r="J2020" t="s">
        <v>8164</v>
      </c>
      <c r="K2020">
        <v>12203</v>
      </c>
      <c r="L2020">
        <v>12203</v>
      </c>
      <c r="M2020" t="s">
        <v>8249</v>
      </c>
      <c r="N2020" t="s">
        <v>8250</v>
      </c>
      <c r="O2020" s="3">
        <v>0</v>
      </c>
      <c r="P2020" s="3">
        <v>0</v>
      </c>
      <c r="Q2020" s="3">
        <v>63.98</v>
      </c>
      <c r="R2020" s="3">
        <v>8.3173999999999992</v>
      </c>
      <c r="S2020" s="3">
        <v>0</v>
      </c>
      <c r="T2020" s="3">
        <v>0</v>
      </c>
      <c r="U2020" s="3">
        <v>72.297399999999996</v>
      </c>
      <c r="V2020" s="3" t="s">
        <v>8046</v>
      </c>
      <c r="W2020" s="3" t="s">
        <v>1</v>
      </c>
    </row>
    <row r="2021" spans="5:23" hidden="1" x14ac:dyDescent="0.25">
      <c r="E2021" t="s">
        <v>8126</v>
      </c>
      <c r="F2021" s="34" t="s">
        <v>8151</v>
      </c>
      <c r="G2021" t="s">
        <v>1</v>
      </c>
      <c r="H2021" t="s">
        <v>0</v>
      </c>
      <c r="I2021" t="s">
        <v>8165</v>
      </c>
      <c r="J2021" t="s">
        <v>8164</v>
      </c>
      <c r="K2021">
        <v>12204</v>
      </c>
      <c r="L2021">
        <v>12204</v>
      </c>
      <c r="M2021" t="s">
        <v>7852</v>
      </c>
      <c r="N2021" t="s">
        <v>7851</v>
      </c>
      <c r="O2021" s="3">
        <v>0</v>
      </c>
      <c r="P2021" s="3">
        <v>0</v>
      </c>
      <c r="Q2021" s="3">
        <v>0</v>
      </c>
      <c r="R2021" s="3">
        <v>0</v>
      </c>
      <c r="S2021" s="3">
        <v>0</v>
      </c>
      <c r="T2021" s="3">
        <v>0</v>
      </c>
      <c r="U2021" s="3">
        <v>0</v>
      </c>
      <c r="V2021" s="3" t="s">
        <v>8046</v>
      </c>
      <c r="W2021" s="3" t="s">
        <v>1</v>
      </c>
    </row>
    <row r="2022" spans="5:23" hidden="1" x14ac:dyDescent="0.25">
      <c r="E2022" t="s">
        <v>8126</v>
      </c>
      <c r="F2022" s="34" t="s">
        <v>8151</v>
      </c>
      <c r="G2022" t="s">
        <v>1</v>
      </c>
      <c r="H2022" t="s">
        <v>0</v>
      </c>
      <c r="I2022" t="s">
        <v>8165</v>
      </c>
      <c r="J2022" t="s">
        <v>8164</v>
      </c>
      <c r="K2022">
        <v>12205</v>
      </c>
      <c r="L2022">
        <v>12205</v>
      </c>
      <c r="M2022" t="s">
        <v>8247</v>
      </c>
      <c r="N2022" t="s">
        <v>8248</v>
      </c>
      <c r="O2022" s="3">
        <v>0</v>
      </c>
      <c r="P2022" s="3">
        <v>0</v>
      </c>
      <c r="Q2022" s="3">
        <v>122.64</v>
      </c>
      <c r="R2022" s="3">
        <v>15.943200000000001</v>
      </c>
      <c r="S2022" s="3">
        <v>0</v>
      </c>
      <c r="T2022" s="3">
        <v>0</v>
      </c>
      <c r="U2022" s="3">
        <v>138.58320000000001</v>
      </c>
      <c r="V2022" s="3" t="s">
        <v>8046</v>
      </c>
      <c r="W2022" s="3" t="s">
        <v>1</v>
      </c>
    </row>
    <row r="2023" spans="5:23" hidden="1" x14ac:dyDescent="0.25">
      <c r="E2023" t="s">
        <v>8126</v>
      </c>
      <c r="F2023" s="34" t="s">
        <v>8151</v>
      </c>
      <c r="G2023" t="s">
        <v>1</v>
      </c>
      <c r="H2023" t="s">
        <v>0</v>
      </c>
      <c r="I2023" t="s">
        <v>8165</v>
      </c>
      <c r="J2023" t="s">
        <v>8164</v>
      </c>
      <c r="K2023">
        <v>12206</v>
      </c>
      <c r="L2023">
        <v>12206</v>
      </c>
      <c r="M2023" t="s">
        <v>238</v>
      </c>
      <c r="N2023" t="s">
        <v>239</v>
      </c>
      <c r="O2023" s="3">
        <v>0</v>
      </c>
      <c r="P2023" s="3">
        <v>0</v>
      </c>
      <c r="Q2023" s="3">
        <v>140.75</v>
      </c>
      <c r="R2023" s="3">
        <v>18.297499999999999</v>
      </c>
      <c r="S2023" s="3">
        <v>0</v>
      </c>
      <c r="T2023" s="3">
        <v>0</v>
      </c>
      <c r="U2023" s="3">
        <v>159.04750000000001</v>
      </c>
      <c r="V2023" s="3" t="s">
        <v>8046</v>
      </c>
      <c r="W2023" s="3" t="s">
        <v>1</v>
      </c>
    </row>
    <row r="2024" spans="5:23" hidden="1" x14ac:dyDescent="0.25">
      <c r="E2024" t="s">
        <v>8126</v>
      </c>
      <c r="F2024" s="34" t="s">
        <v>8151</v>
      </c>
      <c r="G2024" t="s">
        <v>1</v>
      </c>
      <c r="H2024" t="s">
        <v>0</v>
      </c>
      <c r="I2024" t="s">
        <v>8165</v>
      </c>
      <c r="J2024" t="s">
        <v>8164</v>
      </c>
      <c r="K2024">
        <v>12207</v>
      </c>
      <c r="L2024">
        <v>12207</v>
      </c>
      <c r="M2024" t="s">
        <v>8245</v>
      </c>
      <c r="N2024" t="s">
        <v>8246</v>
      </c>
      <c r="O2024" s="3">
        <v>0</v>
      </c>
      <c r="P2024" s="3">
        <v>0</v>
      </c>
      <c r="Q2024" s="3">
        <v>691.13</v>
      </c>
      <c r="R2024" s="3">
        <v>89.846900000000005</v>
      </c>
      <c r="S2024" s="3">
        <v>0</v>
      </c>
      <c r="T2024" s="3">
        <v>0</v>
      </c>
      <c r="U2024" s="3">
        <v>780.9769</v>
      </c>
      <c r="V2024" s="3" t="s">
        <v>8046</v>
      </c>
      <c r="W2024" s="3" t="s">
        <v>1</v>
      </c>
    </row>
    <row r="2025" spans="5:23" hidden="1" x14ac:dyDescent="0.25">
      <c r="E2025" t="s">
        <v>8126</v>
      </c>
      <c r="F2025" s="1" t="s">
        <v>8143</v>
      </c>
      <c r="G2025" t="s">
        <v>1</v>
      </c>
      <c r="H2025" t="s">
        <v>0</v>
      </c>
      <c r="I2025" t="s">
        <v>8165</v>
      </c>
      <c r="J2025" t="s">
        <v>8164</v>
      </c>
      <c r="K2025">
        <v>12208</v>
      </c>
      <c r="L2025">
        <v>12208</v>
      </c>
      <c r="M2025" t="s">
        <v>8176</v>
      </c>
      <c r="N2025" t="s">
        <v>8177</v>
      </c>
      <c r="O2025" s="3">
        <v>0</v>
      </c>
      <c r="P2025" s="3">
        <v>0</v>
      </c>
      <c r="Q2025" s="3">
        <v>36.19</v>
      </c>
      <c r="R2025" s="3">
        <v>4.7046999999999999</v>
      </c>
      <c r="S2025" s="3">
        <v>0</v>
      </c>
      <c r="T2025" s="3">
        <v>0</v>
      </c>
      <c r="U2025" s="3">
        <v>40.8947</v>
      </c>
      <c r="V2025" s="3" t="s">
        <v>8046</v>
      </c>
      <c r="W2025" s="3" t="s">
        <v>1</v>
      </c>
    </row>
    <row r="2026" spans="5:23" hidden="1" x14ac:dyDescent="0.25">
      <c r="E2026" t="s">
        <v>8126</v>
      </c>
      <c r="F2026" s="1" t="s">
        <v>8143</v>
      </c>
      <c r="G2026" t="s">
        <v>1</v>
      </c>
      <c r="H2026" t="s">
        <v>0</v>
      </c>
      <c r="I2026" t="s">
        <v>8165</v>
      </c>
      <c r="J2026" t="s">
        <v>8164</v>
      </c>
      <c r="K2026">
        <v>12209</v>
      </c>
      <c r="L2026">
        <v>12209</v>
      </c>
      <c r="M2026" t="s">
        <v>8243</v>
      </c>
      <c r="N2026" t="s">
        <v>8244</v>
      </c>
      <c r="O2026" s="3">
        <v>0</v>
      </c>
      <c r="P2026" s="3">
        <v>0</v>
      </c>
      <c r="Q2026" s="3">
        <v>66.36</v>
      </c>
      <c r="R2026" s="3">
        <v>8.6267999999999994</v>
      </c>
      <c r="S2026" s="3">
        <v>0</v>
      </c>
      <c r="T2026" s="3">
        <v>0</v>
      </c>
      <c r="U2026" s="3">
        <v>74.986800000000002</v>
      </c>
      <c r="V2026" s="3" t="s">
        <v>8046</v>
      </c>
      <c r="W2026" s="3" t="s">
        <v>1</v>
      </c>
    </row>
    <row r="2027" spans="5:23" hidden="1" x14ac:dyDescent="0.25">
      <c r="E2027" t="s">
        <v>8126</v>
      </c>
      <c r="F2027" s="1" t="s">
        <v>8143</v>
      </c>
      <c r="G2027" t="s">
        <v>1</v>
      </c>
      <c r="H2027" t="s">
        <v>0</v>
      </c>
      <c r="I2027" t="s">
        <v>8165</v>
      </c>
      <c r="J2027" t="s">
        <v>8164</v>
      </c>
      <c r="K2027">
        <v>12210</v>
      </c>
      <c r="L2027">
        <v>12210</v>
      </c>
      <c r="M2027" t="s">
        <v>8234</v>
      </c>
      <c r="N2027" t="s">
        <v>8235</v>
      </c>
      <c r="O2027" s="3">
        <v>0</v>
      </c>
      <c r="P2027" s="3">
        <v>0</v>
      </c>
      <c r="Q2027" s="3">
        <v>212.4</v>
      </c>
      <c r="R2027" s="3">
        <v>27.612000000000002</v>
      </c>
      <c r="S2027" s="3">
        <v>0</v>
      </c>
      <c r="T2027" s="3">
        <v>0</v>
      </c>
      <c r="U2027" s="3">
        <v>240.012</v>
      </c>
      <c r="V2027" s="3" t="s">
        <v>8046</v>
      </c>
      <c r="W2027" s="3" t="s">
        <v>1</v>
      </c>
    </row>
    <row r="2028" spans="5:23" hidden="1" x14ac:dyDescent="0.25">
      <c r="E2028" t="s">
        <v>8126</v>
      </c>
      <c r="F2028" s="1" t="s">
        <v>8143</v>
      </c>
      <c r="G2028" t="s">
        <v>1</v>
      </c>
      <c r="H2028" t="s">
        <v>0</v>
      </c>
      <c r="I2028" t="s">
        <v>8165</v>
      </c>
      <c r="J2028" t="s">
        <v>8164</v>
      </c>
      <c r="K2028">
        <v>12211</v>
      </c>
      <c r="L2028">
        <v>12211</v>
      </c>
      <c r="M2028" t="s">
        <v>8241</v>
      </c>
      <c r="N2028" t="s">
        <v>8242</v>
      </c>
      <c r="O2028" s="3">
        <v>0</v>
      </c>
      <c r="P2028" s="3">
        <v>0</v>
      </c>
      <c r="Q2028" s="3">
        <v>233.1</v>
      </c>
      <c r="R2028" s="3">
        <v>30.303000000000001</v>
      </c>
      <c r="S2028" s="3">
        <v>0</v>
      </c>
      <c r="T2028" s="3">
        <v>0</v>
      </c>
      <c r="U2028" s="3">
        <v>263.40300000000002</v>
      </c>
      <c r="V2028" s="3" t="s">
        <v>8046</v>
      </c>
      <c r="W2028" s="3" t="s">
        <v>1</v>
      </c>
    </row>
    <row r="2029" spans="5:23" hidden="1" x14ac:dyDescent="0.25">
      <c r="E2029" t="s">
        <v>8126</v>
      </c>
      <c r="F2029" s="1" t="s">
        <v>8143</v>
      </c>
      <c r="G2029" t="s">
        <v>1</v>
      </c>
      <c r="H2029" t="s">
        <v>0</v>
      </c>
      <c r="I2029" t="s">
        <v>8165</v>
      </c>
      <c r="J2029" t="s">
        <v>8164</v>
      </c>
      <c r="K2029">
        <v>12212</v>
      </c>
      <c r="L2029">
        <v>12212</v>
      </c>
      <c r="M2029" t="s">
        <v>7852</v>
      </c>
      <c r="N2029" t="s">
        <v>7851</v>
      </c>
      <c r="O2029" s="3">
        <v>0</v>
      </c>
      <c r="P2029" s="3">
        <v>0</v>
      </c>
      <c r="Q2029" s="3">
        <v>0</v>
      </c>
      <c r="R2029" s="3">
        <v>0</v>
      </c>
      <c r="S2029" s="3">
        <v>0</v>
      </c>
      <c r="T2029" s="3">
        <v>0</v>
      </c>
      <c r="U2029" s="3">
        <v>0</v>
      </c>
      <c r="V2029" s="3" t="s">
        <v>8046</v>
      </c>
      <c r="W2029" s="3" t="s">
        <v>1</v>
      </c>
    </row>
    <row r="2030" spans="5:23" hidden="1" x14ac:dyDescent="0.25">
      <c r="E2030" t="s">
        <v>8126</v>
      </c>
      <c r="F2030" s="1" t="s">
        <v>8143</v>
      </c>
      <c r="G2030" t="s">
        <v>1</v>
      </c>
      <c r="H2030" t="s">
        <v>0</v>
      </c>
      <c r="I2030" t="s">
        <v>8165</v>
      </c>
      <c r="J2030" t="s">
        <v>8164</v>
      </c>
      <c r="K2030">
        <v>12213</v>
      </c>
      <c r="L2030">
        <v>12213</v>
      </c>
      <c r="M2030" t="s">
        <v>440</v>
      </c>
      <c r="N2030" t="s">
        <v>441</v>
      </c>
      <c r="O2030" s="3">
        <v>0</v>
      </c>
      <c r="P2030" s="3">
        <v>0</v>
      </c>
      <c r="Q2030" s="3">
        <v>36.9</v>
      </c>
      <c r="R2030" s="3">
        <v>4.7969999999999997</v>
      </c>
      <c r="S2030" s="3">
        <v>0</v>
      </c>
      <c r="T2030" s="3">
        <v>0</v>
      </c>
      <c r="U2030" s="3">
        <v>41.696999999999996</v>
      </c>
      <c r="V2030" s="3" t="s">
        <v>8046</v>
      </c>
      <c r="W2030" s="3" t="s">
        <v>1</v>
      </c>
    </row>
    <row r="2031" spans="5:23" hidden="1" x14ac:dyDescent="0.25">
      <c r="E2031" t="s">
        <v>8126</v>
      </c>
      <c r="F2031" s="1" t="s">
        <v>8143</v>
      </c>
      <c r="G2031" t="s">
        <v>1</v>
      </c>
      <c r="H2031" t="s">
        <v>0</v>
      </c>
      <c r="I2031" t="s">
        <v>8165</v>
      </c>
      <c r="J2031" t="s">
        <v>8164</v>
      </c>
      <c r="K2031">
        <v>12214</v>
      </c>
      <c r="L2031">
        <v>12214</v>
      </c>
      <c r="M2031" t="s">
        <v>7852</v>
      </c>
      <c r="N2031" t="s">
        <v>7851</v>
      </c>
      <c r="O2031" s="3">
        <v>0</v>
      </c>
      <c r="P2031" s="3">
        <v>0</v>
      </c>
      <c r="Q2031" s="3">
        <v>0</v>
      </c>
      <c r="R2031" s="3">
        <v>0</v>
      </c>
      <c r="S2031" s="3">
        <v>0</v>
      </c>
      <c r="T2031" s="3">
        <v>0</v>
      </c>
      <c r="U2031" s="3">
        <v>0</v>
      </c>
      <c r="V2031" s="3" t="s">
        <v>8046</v>
      </c>
      <c r="W2031" s="3" t="s">
        <v>1</v>
      </c>
    </row>
    <row r="2032" spans="5:23" hidden="1" x14ac:dyDescent="0.25">
      <c r="E2032" t="s">
        <v>8126</v>
      </c>
      <c r="F2032" s="1" t="s">
        <v>8143</v>
      </c>
      <c r="G2032" t="s">
        <v>1</v>
      </c>
      <c r="H2032" t="s">
        <v>0</v>
      </c>
      <c r="I2032" t="s">
        <v>8165</v>
      </c>
      <c r="J2032" t="s">
        <v>8164</v>
      </c>
      <c r="K2032">
        <v>12215</v>
      </c>
      <c r="L2032">
        <v>12215</v>
      </c>
      <c r="M2032" t="s">
        <v>8239</v>
      </c>
      <c r="N2032" t="s">
        <v>8240</v>
      </c>
      <c r="O2032" s="3">
        <v>0</v>
      </c>
      <c r="P2032" s="3">
        <v>0</v>
      </c>
      <c r="Q2032" s="3">
        <v>144.25</v>
      </c>
      <c r="R2032" s="3">
        <v>18.752500000000001</v>
      </c>
      <c r="S2032" s="3">
        <v>0</v>
      </c>
      <c r="T2032" s="3">
        <v>0</v>
      </c>
      <c r="U2032" s="3">
        <v>163.0025</v>
      </c>
      <c r="V2032" s="3" t="s">
        <v>8046</v>
      </c>
      <c r="W2032" s="3" t="s">
        <v>1</v>
      </c>
    </row>
    <row r="2033" spans="5:23" hidden="1" x14ac:dyDescent="0.25">
      <c r="E2033" t="s">
        <v>8126</v>
      </c>
      <c r="F2033" s="1" t="s">
        <v>8143</v>
      </c>
      <c r="G2033" t="s">
        <v>1</v>
      </c>
      <c r="H2033" t="s">
        <v>0</v>
      </c>
      <c r="I2033" t="s">
        <v>8165</v>
      </c>
      <c r="J2033" t="s">
        <v>8164</v>
      </c>
      <c r="K2033">
        <v>12216</v>
      </c>
      <c r="L2033">
        <v>12216</v>
      </c>
      <c r="M2033" t="s">
        <v>8168</v>
      </c>
      <c r="N2033" t="s">
        <v>8169</v>
      </c>
      <c r="O2033" s="3">
        <v>0</v>
      </c>
      <c r="P2033" s="3">
        <v>0</v>
      </c>
      <c r="Q2033" s="3">
        <v>133.36000000000001</v>
      </c>
      <c r="R2033" s="3">
        <v>17.336800000000004</v>
      </c>
      <c r="S2033" s="3">
        <v>0</v>
      </c>
      <c r="T2033" s="3">
        <v>0</v>
      </c>
      <c r="U2033" s="3">
        <v>150.69680000000002</v>
      </c>
      <c r="V2033" s="3" t="s">
        <v>8046</v>
      </c>
      <c r="W2033" s="3" t="s">
        <v>1</v>
      </c>
    </row>
    <row r="2034" spans="5:23" hidden="1" x14ac:dyDescent="0.25">
      <c r="E2034" t="s">
        <v>8126</v>
      </c>
      <c r="F2034" s="1" t="s">
        <v>8143</v>
      </c>
      <c r="G2034" t="s">
        <v>1</v>
      </c>
      <c r="H2034" t="s">
        <v>0</v>
      </c>
      <c r="I2034" t="s">
        <v>8165</v>
      </c>
      <c r="J2034" t="s">
        <v>8164</v>
      </c>
      <c r="K2034">
        <v>12217</v>
      </c>
      <c r="L2034">
        <v>12217</v>
      </c>
      <c r="M2034" t="s">
        <v>440</v>
      </c>
      <c r="N2034" t="s">
        <v>441</v>
      </c>
      <c r="O2034" s="3">
        <v>0</v>
      </c>
      <c r="P2034" s="3">
        <v>0</v>
      </c>
      <c r="Q2034" s="3">
        <v>36.9</v>
      </c>
      <c r="R2034" s="3">
        <v>4.7969999999999997</v>
      </c>
      <c r="S2034" s="3">
        <v>0</v>
      </c>
      <c r="T2034" s="3">
        <v>0</v>
      </c>
      <c r="U2034" s="3">
        <v>41.696999999999996</v>
      </c>
      <c r="V2034" s="3" t="s">
        <v>8046</v>
      </c>
      <c r="W2034" s="3" t="s">
        <v>1</v>
      </c>
    </row>
    <row r="2035" spans="5:23" hidden="1" x14ac:dyDescent="0.25">
      <c r="E2035" t="s">
        <v>8126</v>
      </c>
      <c r="F2035" s="1" t="s">
        <v>8143</v>
      </c>
      <c r="G2035" t="s">
        <v>1</v>
      </c>
      <c r="H2035" t="s">
        <v>0</v>
      </c>
      <c r="I2035" t="s">
        <v>8165</v>
      </c>
      <c r="J2035" t="s">
        <v>8164</v>
      </c>
      <c r="K2035">
        <v>12218</v>
      </c>
      <c r="L2035">
        <v>12218</v>
      </c>
      <c r="M2035" t="s">
        <v>807</v>
      </c>
      <c r="N2035" t="s">
        <v>808</v>
      </c>
      <c r="O2035" s="3">
        <v>0</v>
      </c>
      <c r="P2035" s="3">
        <v>0</v>
      </c>
      <c r="Q2035" s="3">
        <v>22.39</v>
      </c>
      <c r="R2035" s="3">
        <v>2.9107000000000003</v>
      </c>
      <c r="S2035" s="3">
        <v>0</v>
      </c>
      <c r="T2035" s="3">
        <v>0</v>
      </c>
      <c r="U2035" s="3">
        <v>25.300699999999999</v>
      </c>
      <c r="V2035" s="3" t="s">
        <v>8046</v>
      </c>
      <c r="W2035" s="3" t="s">
        <v>1</v>
      </c>
    </row>
    <row r="2036" spans="5:23" hidden="1" x14ac:dyDescent="0.25">
      <c r="E2036" t="s">
        <v>8126</v>
      </c>
      <c r="F2036" s="1" t="s">
        <v>8143</v>
      </c>
      <c r="G2036" t="s">
        <v>1</v>
      </c>
      <c r="H2036" t="s">
        <v>0</v>
      </c>
      <c r="I2036" t="s">
        <v>8165</v>
      </c>
      <c r="J2036" t="s">
        <v>8164</v>
      </c>
      <c r="K2036">
        <v>12219</v>
      </c>
      <c r="L2036">
        <v>12219</v>
      </c>
      <c r="M2036" s="33" t="s">
        <v>8238</v>
      </c>
      <c r="N2036" t="s">
        <v>808</v>
      </c>
      <c r="O2036" s="3">
        <v>0</v>
      </c>
      <c r="P2036" s="3">
        <v>0</v>
      </c>
      <c r="Q2036" s="3">
        <v>67.2</v>
      </c>
      <c r="R2036" s="3">
        <v>8.7360000000000007</v>
      </c>
      <c r="S2036" s="3">
        <v>0</v>
      </c>
      <c r="T2036" s="3">
        <v>0</v>
      </c>
      <c r="U2036" s="3">
        <v>75.936000000000007</v>
      </c>
      <c r="V2036" s="3" t="s">
        <v>8046</v>
      </c>
      <c r="W2036" s="3" t="s">
        <v>1</v>
      </c>
    </row>
    <row r="2037" spans="5:23" hidden="1" x14ac:dyDescent="0.25">
      <c r="E2037" t="s">
        <v>8126</v>
      </c>
      <c r="F2037" s="1" t="s">
        <v>8143</v>
      </c>
      <c r="G2037" t="s">
        <v>1</v>
      </c>
      <c r="H2037" t="s">
        <v>0</v>
      </c>
      <c r="I2037" t="s">
        <v>8165</v>
      </c>
      <c r="J2037" t="s">
        <v>8164</v>
      </c>
      <c r="K2037">
        <v>12220</v>
      </c>
      <c r="L2037">
        <v>12220</v>
      </c>
      <c r="M2037" t="s">
        <v>1062</v>
      </c>
      <c r="N2037" t="s">
        <v>1063</v>
      </c>
      <c r="O2037" s="3">
        <v>0</v>
      </c>
      <c r="P2037" s="3">
        <v>0</v>
      </c>
      <c r="Q2037" s="3">
        <v>231.55</v>
      </c>
      <c r="R2037" s="3">
        <v>30.101500000000001</v>
      </c>
      <c r="S2037" s="3">
        <v>0</v>
      </c>
      <c r="T2037" s="3">
        <v>0</v>
      </c>
      <c r="U2037" s="3">
        <v>261.6515</v>
      </c>
      <c r="V2037" s="3" t="s">
        <v>8046</v>
      </c>
      <c r="W2037" s="3" t="s">
        <v>1</v>
      </c>
    </row>
    <row r="2038" spans="5:23" hidden="1" x14ac:dyDescent="0.25">
      <c r="E2038" t="s">
        <v>8126</v>
      </c>
      <c r="F2038" s="1" t="s">
        <v>8143</v>
      </c>
      <c r="G2038" t="s">
        <v>1</v>
      </c>
      <c r="H2038" t="s">
        <v>0</v>
      </c>
      <c r="I2038" t="s">
        <v>8165</v>
      </c>
      <c r="J2038" t="s">
        <v>8164</v>
      </c>
      <c r="K2038">
        <v>12221</v>
      </c>
      <c r="L2038">
        <v>12221</v>
      </c>
      <c r="M2038" t="s">
        <v>8168</v>
      </c>
      <c r="N2038" t="s">
        <v>8169</v>
      </c>
      <c r="O2038" s="3">
        <v>0</v>
      </c>
      <c r="P2038" s="3">
        <v>0</v>
      </c>
      <c r="Q2038" s="3">
        <v>220.32</v>
      </c>
      <c r="R2038" s="3">
        <v>28.6416</v>
      </c>
      <c r="S2038" s="3">
        <v>0</v>
      </c>
      <c r="T2038" s="3">
        <v>0</v>
      </c>
      <c r="U2038" s="3">
        <v>248.9616</v>
      </c>
      <c r="V2038" s="3" t="s">
        <v>8046</v>
      </c>
      <c r="W2038" s="3" t="s">
        <v>1</v>
      </c>
    </row>
    <row r="2039" spans="5:23" hidden="1" x14ac:dyDescent="0.25">
      <c r="E2039" t="s">
        <v>8126</v>
      </c>
      <c r="F2039" s="1" t="s">
        <v>8143</v>
      </c>
      <c r="G2039" t="s">
        <v>1</v>
      </c>
      <c r="H2039" t="s">
        <v>0</v>
      </c>
      <c r="I2039" t="s">
        <v>8165</v>
      </c>
      <c r="J2039" t="s">
        <v>8164</v>
      </c>
      <c r="K2039">
        <v>12222</v>
      </c>
      <c r="L2039">
        <v>12222</v>
      </c>
      <c r="M2039" t="s">
        <v>1062</v>
      </c>
      <c r="N2039" t="s">
        <v>1063</v>
      </c>
      <c r="O2039" s="3">
        <v>0</v>
      </c>
      <c r="P2039" s="3">
        <v>0</v>
      </c>
      <c r="Q2039" s="3">
        <v>8</v>
      </c>
      <c r="R2039" s="3">
        <v>1.04</v>
      </c>
      <c r="S2039" s="3">
        <v>0</v>
      </c>
      <c r="T2039" s="3">
        <v>0</v>
      </c>
      <c r="U2039" s="3">
        <v>9.0399999999999991</v>
      </c>
      <c r="V2039" s="3" t="s">
        <v>8046</v>
      </c>
      <c r="W2039" s="3" t="s">
        <v>1</v>
      </c>
    </row>
    <row r="2040" spans="5:23" hidden="1" x14ac:dyDescent="0.25">
      <c r="E2040" t="s">
        <v>8126</v>
      </c>
      <c r="F2040" s="1" t="s">
        <v>8143</v>
      </c>
      <c r="G2040" t="s">
        <v>1</v>
      </c>
      <c r="H2040" t="s">
        <v>0</v>
      </c>
      <c r="I2040" t="s">
        <v>8165</v>
      </c>
      <c r="J2040" t="s">
        <v>8164</v>
      </c>
      <c r="K2040">
        <v>12223</v>
      </c>
      <c r="L2040">
        <v>12223</v>
      </c>
      <c r="M2040" t="s">
        <v>8236</v>
      </c>
      <c r="N2040" t="s">
        <v>8237</v>
      </c>
      <c r="O2040" s="3">
        <v>0</v>
      </c>
      <c r="P2040" s="3">
        <v>0</v>
      </c>
      <c r="Q2040" s="3">
        <v>110.81</v>
      </c>
      <c r="R2040" s="3">
        <v>14.4053</v>
      </c>
      <c r="S2040" s="3">
        <v>0</v>
      </c>
      <c r="T2040" s="3">
        <v>0</v>
      </c>
      <c r="U2040" s="3">
        <v>125.2153</v>
      </c>
      <c r="V2040" s="3" t="s">
        <v>8046</v>
      </c>
      <c r="W2040" s="3" t="s">
        <v>1</v>
      </c>
    </row>
    <row r="2041" spans="5:23" hidden="1" x14ac:dyDescent="0.25">
      <c r="E2041" t="s">
        <v>8126</v>
      </c>
      <c r="F2041" s="1" t="s">
        <v>8150</v>
      </c>
      <c r="G2041" t="s">
        <v>1</v>
      </c>
      <c r="H2041" t="s">
        <v>0</v>
      </c>
      <c r="I2041" t="s">
        <v>8165</v>
      </c>
      <c r="J2041" t="s">
        <v>8164</v>
      </c>
      <c r="K2041">
        <v>12224</v>
      </c>
      <c r="L2041">
        <v>12224</v>
      </c>
      <c r="M2041" t="s">
        <v>308</v>
      </c>
      <c r="N2041" t="s">
        <v>309</v>
      </c>
      <c r="O2041" s="3">
        <v>0</v>
      </c>
      <c r="P2041" s="3">
        <v>0</v>
      </c>
      <c r="Q2041" s="3">
        <v>262.8</v>
      </c>
      <c r="R2041" s="3">
        <v>34.164000000000001</v>
      </c>
      <c r="S2041" s="3">
        <v>0</v>
      </c>
      <c r="T2041" s="3">
        <v>0</v>
      </c>
      <c r="U2041" s="3">
        <v>296.964</v>
      </c>
      <c r="V2041" s="3" t="s">
        <v>8046</v>
      </c>
      <c r="W2041" s="3" t="s">
        <v>1</v>
      </c>
    </row>
    <row r="2042" spans="5:23" hidden="1" x14ac:dyDescent="0.25">
      <c r="E2042" t="s">
        <v>8126</v>
      </c>
      <c r="F2042" s="1" t="s">
        <v>8150</v>
      </c>
      <c r="G2042" t="s">
        <v>1</v>
      </c>
      <c r="H2042" t="s">
        <v>0</v>
      </c>
      <c r="I2042" t="s">
        <v>8165</v>
      </c>
      <c r="J2042" t="s">
        <v>8164</v>
      </c>
      <c r="K2042">
        <v>12225</v>
      </c>
      <c r="L2042">
        <v>12225</v>
      </c>
      <c r="M2042" t="s">
        <v>242</v>
      </c>
      <c r="N2042" t="s">
        <v>243</v>
      </c>
      <c r="O2042" s="3">
        <v>0</v>
      </c>
      <c r="P2042" s="3">
        <v>0</v>
      </c>
      <c r="Q2042" s="3">
        <v>62.7</v>
      </c>
      <c r="R2042" s="3">
        <v>8.1509999999999998</v>
      </c>
      <c r="S2042" s="3">
        <v>0</v>
      </c>
      <c r="T2042" s="3">
        <v>0</v>
      </c>
      <c r="U2042" s="3">
        <v>70.850999999999999</v>
      </c>
      <c r="V2042" s="3" t="s">
        <v>8046</v>
      </c>
      <c r="W2042" s="3" t="s">
        <v>1</v>
      </c>
    </row>
    <row r="2043" spans="5:23" hidden="1" x14ac:dyDescent="0.25">
      <c r="E2043" t="s">
        <v>8126</v>
      </c>
      <c r="F2043" s="1" t="s">
        <v>8150</v>
      </c>
      <c r="G2043" t="s">
        <v>1</v>
      </c>
      <c r="H2043" t="s">
        <v>0</v>
      </c>
      <c r="I2043" t="s">
        <v>8165</v>
      </c>
      <c r="J2043" t="s">
        <v>8164</v>
      </c>
      <c r="K2043">
        <v>12226</v>
      </c>
      <c r="L2043">
        <v>12226</v>
      </c>
      <c r="M2043" t="s">
        <v>8234</v>
      </c>
      <c r="N2043" t="s">
        <v>8235</v>
      </c>
      <c r="O2043" s="3">
        <v>0</v>
      </c>
      <c r="P2043" s="3">
        <v>0</v>
      </c>
      <c r="Q2043" s="3">
        <v>295.23</v>
      </c>
      <c r="R2043" s="3">
        <v>38.379900000000006</v>
      </c>
      <c r="S2043" s="3">
        <v>0</v>
      </c>
      <c r="T2043" s="3">
        <v>0</v>
      </c>
      <c r="U2043" s="3">
        <v>333.60990000000004</v>
      </c>
      <c r="V2043" s="3" t="s">
        <v>8046</v>
      </c>
      <c r="W2043" s="3" t="s">
        <v>1</v>
      </c>
    </row>
    <row r="2044" spans="5:23" hidden="1" x14ac:dyDescent="0.25">
      <c r="E2044" t="s">
        <v>8126</v>
      </c>
      <c r="F2044" s="1" t="s">
        <v>8150</v>
      </c>
      <c r="G2044" t="s">
        <v>1</v>
      </c>
      <c r="H2044" t="s">
        <v>0</v>
      </c>
      <c r="I2044" t="s">
        <v>8165</v>
      </c>
      <c r="J2044" t="s">
        <v>8164</v>
      </c>
      <c r="K2044">
        <v>12227</v>
      </c>
      <c r="L2044">
        <v>12227</v>
      </c>
      <c r="M2044" t="s">
        <v>153</v>
      </c>
      <c r="N2044" t="s">
        <v>154</v>
      </c>
      <c r="O2044" s="3">
        <v>0</v>
      </c>
      <c r="P2044" s="3">
        <v>0</v>
      </c>
      <c r="Q2044" s="3">
        <v>400</v>
      </c>
      <c r="R2044" s="3">
        <v>52</v>
      </c>
      <c r="S2044" s="3">
        <v>0</v>
      </c>
      <c r="T2044" s="3">
        <v>0</v>
      </c>
      <c r="U2044" s="3">
        <v>452</v>
      </c>
      <c r="V2044" s="3" t="s">
        <v>8046</v>
      </c>
      <c r="W2044" s="3" t="s">
        <v>1</v>
      </c>
    </row>
    <row r="2045" spans="5:23" hidden="1" x14ac:dyDescent="0.25">
      <c r="E2045" t="s">
        <v>8126</v>
      </c>
      <c r="F2045" s="1" t="s">
        <v>8150</v>
      </c>
      <c r="G2045" t="s">
        <v>1</v>
      </c>
      <c r="H2045" t="s">
        <v>0</v>
      </c>
      <c r="I2045" t="s">
        <v>8165</v>
      </c>
      <c r="J2045" t="s">
        <v>8164</v>
      </c>
      <c r="K2045">
        <v>12228</v>
      </c>
      <c r="L2045">
        <v>12228</v>
      </c>
      <c r="M2045" t="s">
        <v>8232</v>
      </c>
      <c r="N2045" t="s">
        <v>8233</v>
      </c>
      <c r="O2045" s="3">
        <v>0</v>
      </c>
      <c r="P2045" s="3">
        <v>0</v>
      </c>
      <c r="Q2045" s="3">
        <v>615.04</v>
      </c>
      <c r="R2045" s="3">
        <v>79.955200000000005</v>
      </c>
      <c r="S2045" s="3">
        <v>0</v>
      </c>
      <c r="T2045" s="3">
        <v>0</v>
      </c>
      <c r="U2045" s="3">
        <v>694.99519999999995</v>
      </c>
      <c r="V2045" s="3" t="s">
        <v>8046</v>
      </c>
      <c r="W2045" s="3" t="s">
        <v>1</v>
      </c>
    </row>
    <row r="2046" spans="5:23" hidden="1" x14ac:dyDescent="0.25">
      <c r="E2046" t="s">
        <v>8126</v>
      </c>
      <c r="F2046" s="1" t="s">
        <v>8150</v>
      </c>
      <c r="G2046" t="s">
        <v>1</v>
      </c>
      <c r="H2046" t="s">
        <v>0</v>
      </c>
      <c r="I2046" t="s">
        <v>8165</v>
      </c>
      <c r="J2046" t="s">
        <v>8164</v>
      </c>
      <c r="K2046">
        <v>12229</v>
      </c>
      <c r="L2046">
        <v>12229</v>
      </c>
      <c r="M2046" t="s">
        <v>8230</v>
      </c>
      <c r="N2046" t="s">
        <v>8231</v>
      </c>
      <c r="O2046" s="3">
        <v>0</v>
      </c>
      <c r="P2046" s="3">
        <v>0</v>
      </c>
      <c r="Q2046" s="3">
        <v>67.8</v>
      </c>
      <c r="R2046" s="3">
        <v>8.8140000000000001</v>
      </c>
      <c r="S2046" s="3">
        <v>0</v>
      </c>
      <c r="T2046" s="3">
        <v>0</v>
      </c>
      <c r="U2046" s="3">
        <v>76.614000000000004</v>
      </c>
      <c r="V2046" s="3" t="s">
        <v>8046</v>
      </c>
      <c r="W2046" s="3" t="s">
        <v>1</v>
      </c>
    </row>
    <row r="2047" spans="5:23" hidden="1" x14ac:dyDescent="0.25">
      <c r="E2047" t="s">
        <v>8126</v>
      </c>
      <c r="F2047" s="1" t="s">
        <v>8150</v>
      </c>
      <c r="G2047" t="s">
        <v>1</v>
      </c>
      <c r="H2047" t="s">
        <v>0</v>
      </c>
      <c r="I2047" t="s">
        <v>8165</v>
      </c>
      <c r="J2047" t="s">
        <v>8164</v>
      </c>
      <c r="K2047">
        <v>12230</v>
      </c>
      <c r="L2047">
        <v>12230</v>
      </c>
      <c r="M2047" t="s">
        <v>8228</v>
      </c>
      <c r="N2047" t="s">
        <v>8229</v>
      </c>
      <c r="O2047" s="3">
        <v>0</v>
      </c>
      <c r="P2047" s="3">
        <v>0</v>
      </c>
      <c r="Q2047" s="3">
        <v>373.79</v>
      </c>
      <c r="R2047" s="3">
        <v>48.592700000000008</v>
      </c>
      <c r="S2047" s="3">
        <v>0</v>
      </c>
      <c r="T2047" s="3">
        <v>0</v>
      </c>
      <c r="U2047" s="3">
        <v>422.3827</v>
      </c>
      <c r="V2047" s="3" t="s">
        <v>8046</v>
      </c>
      <c r="W2047" s="3" t="s">
        <v>1</v>
      </c>
    </row>
    <row r="2048" spans="5:23" hidden="1" x14ac:dyDescent="0.25">
      <c r="E2048" t="s">
        <v>8126</v>
      </c>
      <c r="F2048" s="1" t="s">
        <v>8150</v>
      </c>
      <c r="G2048" t="s">
        <v>1</v>
      </c>
      <c r="H2048" t="s">
        <v>0</v>
      </c>
      <c r="I2048" t="s">
        <v>8165</v>
      </c>
      <c r="J2048" t="s">
        <v>8164</v>
      </c>
      <c r="K2048">
        <v>12231</v>
      </c>
      <c r="L2048">
        <v>12231</v>
      </c>
      <c r="M2048" t="s">
        <v>8226</v>
      </c>
      <c r="N2048" t="s">
        <v>8227</v>
      </c>
      <c r="O2048" s="3">
        <v>0</v>
      </c>
      <c r="P2048" s="3">
        <v>0</v>
      </c>
      <c r="Q2048" s="3">
        <v>34.5</v>
      </c>
      <c r="R2048" s="3">
        <v>4.4850000000000003</v>
      </c>
      <c r="S2048" s="3">
        <v>0</v>
      </c>
      <c r="T2048" s="3">
        <v>0</v>
      </c>
      <c r="U2048" s="3">
        <v>38.984999999999999</v>
      </c>
      <c r="V2048" s="3" t="s">
        <v>8046</v>
      </c>
      <c r="W2048" s="3" t="s">
        <v>1</v>
      </c>
    </row>
    <row r="2049" spans="5:23" hidden="1" x14ac:dyDescent="0.25">
      <c r="E2049" t="s">
        <v>8126</v>
      </c>
      <c r="F2049" s="1" t="s">
        <v>8150</v>
      </c>
      <c r="G2049" t="s">
        <v>1</v>
      </c>
      <c r="H2049" t="s">
        <v>0</v>
      </c>
      <c r="I2049" t="s">
        <v>8165</v>
      </c>
      <c r="J2049" t="s">
        <v>8164</v>
      </c>
      <c r="K2049">
        <v>12232</v>
      </c>
      <c r="L2049">
        <v>12232</v>
      </c>
      <c r="M2049" t="s">
        <v>7345</v>
      </c>
      <c r="N2049" t="s">
        <v>7346</v>
      </c>
      <c r="O2049" s="3">
        <v>0</v>
      </c>
      <c r="P2049" s="3">
        <v>0</v>
      </c>
      <c r="Q2049" s="3">
        <v>252.22</v>
      </c>
      <c r="R2049" s="3">
        <v>32.788600000000002</v>
      </c>
      <c r="S2049" s="3">
        <v>0</v>
      </c>
      <c r="T2049" s="3">
        <v>0</v>
      </c>
      <c r="U2049" s="3">
        <v>285.0086</v>
      </c>
      <c r="V2049" s="3" t="s">
        <v>8046</v>
      </c>
      <c r="W2049" s="3" t="s">
        <v>1</v>
      </c>
    </row>
    <row r="2050" spans="5:23" hidden="1" x14ac:dyDescent="0.25">
      <c r="E2050" t="s">
        <v>8126</v>
      </c>
      <c r="F2050" s="1" t="s">
        <v>8150</v>
      </c>
      <c r="G2050" t="s">
        <v>1</v>
      </c>
      <c r="H2050" t="s">
        <v>0</v>
      </c>
      <c r="I2050" t="s">
        <v>8165</v>
      </c>
      <c r="J2050" t="s">
        <v>8164</v>
      </c>
      <c r="K2050">
        <v>12233</v>
      </c>
      <c r="L2050">
        <v>12233</v>
      </c>
      <c r="M2050" t="s">
        <v>8224</v>
      </c>
      <c r="N2050" t="s">
        <v>8225</v>
      </c>
      <c r="O2050" s="3">
        <v>0</v>
      </c>
      <c r="P2050" s="3">
        <v>0</v>
      </c>
      <c r="Q2050" s="3">
        <v>66.010000000000005</v>
      </c>
      <c r="R2050" s="3">
        <v>8.5813000000000006</v>
      </c>
      <c r="S2050" s="3">
        <v>0</v>
      </c>
      <c r="T2050" s="3">
        <v>0</v>
      </c>
      <c r="U2050" s="3">
        <v>74.591300000000004</v>
      </c>
      <c r="V2050" s="3" t="s">
        <v>8046</v>
      </c>
      <c r="W2050" s="3" t="s">
        <v>1</v>
      </c>
    </row>
    <row r="2051" spans="5:23" hidden="1" x14ac:dyDescent="0.25">
      <c r="E2051" t="s">
        <v>8126</v>
      </c>
      <c r="F2051" s="1" t="s">
        <v>8150</v>
      </c>
      <c r="G2051" t="s">
        <v>1</v>
      </c>
      <c r="H2051" t="s">
        <v>0</v>
      </c>
      <c r="I2051" t="s">
        <v>8165</v>
      </c>
      <c r="J2051" t="s">
        <v>8164</v>
      </c>
      <c r="K2051">
        <v>12234</v>
      </c>
      <c r="L2051">
        <v>12234</v>
      </c>
      <c r="M2051" t="s">
        <v>7852</v>
      </c>
      <c r="N2051" t="s">
        <v>7851</v>
      </c>
      <c r="O2051" s="3">
        <v>0</v>
      </c>
      <c r="P2051" s="3">
        <v>0</v>
      </c>
      <c r="Q2051" s="3">
        <v>0</v>
      </c>
      <c r="R2051" s="3">
        <v>0</v>
      </c>
      <c r="S2051" s="3">
        <v>0</v>
      </c>
      <c r="T2051" s="3">
        <v>0</v>
      </c>
      <c r="U2051" s="3">
        <v>0</v>
      </c>
      <c r="V2051" s="3" t="s">
        <v>8046</v>
      </c>
      <c r="W2051" s="3" t="s">
        <v>1</v>
      </c>
    </row>
    <row r="2052" spans="5:23" hidden="1" x14ac:dyDescent="0.25">
      <c r="E2052" t="s">
        <v>8126</v>
      </c>
      <c r="F2052" s="1" t="s">
        <v>8150</v>
      </c>
      <c r="G2052" t="s">
        <v>1</v>
      </c>
      <c r="H2052" t="s">
        <v>0</v>
      </c>
      <c r="I2052" t="s">
        <v>8165</v>
      </c>
      <c r="J2052" t="s">
        <v>8164</v>
      </c>
      <c r="K2052">
        <v>12235</v>
      </c>
      <c r="L2052">
        <v>12235</v>
      </c>
      <c r="M2052" t="s">
        <v>164</v>
      </c>
      <c r="N2052" t="s">
        <v>165</v>
      </c>
      <c r="O2052" s="3">
        <v>0</v>
      </c>
      <c r="P2052" s="3">
        <v>0</v>
      </c>
      <c r="Q2052" s="3">
        <v>56.64</v>
      </c>
      <c r="R2052" s="3">
        <v>7.3632</v>
      </c>
      <c r="S2052" s="3">
        <v>0</v>
      </c>
      <c r="T2052" s="3">
        <v>0</v>
      </c>
      <c r="U2052" s="3">
        <v>64.003200000000007</v>
      </c>
      <c r="V2052" s="3" t="s">
        <v>8046</v>
      </c>
      <c r="W2052" s="3" t="s">
        <v>1</v>
      </c>
    </row>
    <row r="2053" spans="5:23" hidden="1" x14ac:dyDescent="0.25">
      <c r="E2053" t="s">
        <v>8126</v>
      </c>
      <c r="F2053" s="1" t="s">
        <v>8150</v>
      </c>
      <c r="G2053" t="s">
        <v>1</v>
      </c>
      <c r="H2053" t="s">
        <v>0</v>
      </c>
      <c r="I2053" t="s">
        <v>8165</v>
      </c>
      <c r="J2053" t="s">
        <v>8164</v>
      </c>
      <c r="K2053">
        <v>12236</v>
      </c>
      <c r="L2053">
        <v>12236</v>
      </c>
      <c r="M2053" t="s">
        <v>6544</v>
      </c>
      <c r="N2053" t="s">
        <v>6545</v>
      </c>
      <c r="O2053" s="3">
        <v>0</v>
      </c>
      <c r="P2053" s="3">
        <v>0</v>
      </c>
      <c r="Q2053" s="3">
        <v>517.67999999999995</v>
      </c>
      <c r="R2053" s="3">
        <v>67.298400000000001</v>
      </c>
      <c r="S2053" s="3">
        <v>0</v>
      </c>
      <c r="T2053" s="3">
        <v>0</v>
      </c>
      <c r="U2053" s="3">
        <v>584.97839999999997</v>
      </c>
      <c r="V2053" s="3" t="s">
        <v>8046</v>
      </c>
      <c r="W2053" s="3" t="s">
        <v>1</v>
      </c>
    </row>
    <row r="2054" spans="5:23" hidden="1" x14ac:dyDescent="0.25">
      <c r="E2054" t="s">
        <v>8126</v>
      </c>
      <c r="F2054" s="1" t="s">
        <v>8149</v>
      </c>
      <c r="G2054" t="s">
        <v>1</v>
      </c>
      <c r="H2054" t="s">
        <v>0</v>
      </c>
      <c r="I2054" t="s">
        <v>8165</v>
      </c>
      <c r="J2054" t="s">
        <v>8164</v>
      </c>
      <c r="K2054">
        <v>12237</v>
      </c>
      <c r="L2054">
        <v>12237</v>
      </c>
      <c r="M2054" t="s">
        <v>8222</v>
      </c>
      <c r="N2054" t="s">
        <v>8223</v>
      </c>
      <c r="O2054" s="3">
        <v>0</v>
      </c>
      <c r="P2054" s="3">
        <v>0</v>
      </c>
      <c r="Q2054" s="3">
        <v>125</v>
      </c>
      <c r="R2054" s="3">
        <v>16.25</v>
      </c>
      <c r="S2054" s="3">
        <v>0</v>
      </c>
      <c r="T2054" s="3">
        <v>0</v>
      </c>
      <c r="U2054" s="3">
        <v>141.25</v>
      </c>
      <c r="V2054" s="3" t="s">
        <v>8046</v>
      </c>
      <c r="W2054" s="3" t="s">
        <v>1</v>
      </c>
    </row>
    <row r="2055" spans="5:23" hidden="1" x14ac:dyDescent="0.25">
      <c r="E2055" t="s">
        <v>8126</v>
      </c>
      <c r="F2055" s="1" t="s">
        <v>8149</v>
      </c>
      <c r="G2055" t="s">
        <v>1</v>
      </c>
      <c r="H2055" t="s">
        <v>0</v>
      </c>
      <c r="I2055" t="s">
        <v>8165</v>
      </c>
      <c r="J2055" t="s">
        <v>8164</v>
      </c>
      <c r="K2055">
        <v>12238</v>
      </c>
      <c r="L2055">
        <v>12238</v>
      </c>
      <c r="M2055" t="s">
        <v>8220</v>
      </c>
      <c r="N2055" t="s">
        <v>8221</v>
      </c>
      <c r="O2055" s="3">
        <v>0</v>
      </c>
      <c r="P2055" s="3">
        <v>0</v>
      </c>
      <c r="Q2055" s="3">
        <v>29.75</v>
      </c>
      <c r="R2055" s="3">
        <v>3.8675000000000002</v>
      </c>
      <c r="S2055" s="3">
        <v>0</v>
      </c>
      <c r="T2055" s="3">
        <v>0</v>
      </c>
      <c r="U2055" s="3">
        <v>33.6175</v>
      </c>
      <c r="V2055" s="3" t="s">
        <v>8046</v>
      </c>
      <c r="W2055" s="3" t="s">
        <v>1</v>
      </c>
    </row>
    <row r="2056" spans="5:23" hidden="1" x14ac:dyDescent="0.25">
      <c r="E2056" t="s">
        <v>8126</v>
      </c>
      <c r="F2056" s="1" t="s">
        <v>8149</v>
      </c>
      <c r="G2056" t="s">
        <v>1</v>
      </c>
      <c r="H2056" t="s">
        <v>0</v>
      </c>
      <c r="I2056" t="s">
        <v>8165</v>
      </c>
      <c r="J2056" t="s">
        <v>8164</v>
      </c>
      <c r="K2056">
        <v>12239</v>
      </c>
      <c r="L2056">
        <v>12239</v>
      </c>
      <c r="M2056" t="s">
        <v>115</v>
      </c>
      <c r="N2056" t="s">
        <v>116</v>
      </c>
      <c r="O2056" s="3">
        <v>0</v>
      </c>
      <c r="P2056" s="3">
        <v>0</v>
      </c>
      <c r="Q2056" s="3">
        <v>365.4</v>
      </c>
      <c r="R2056" s="3">
        <v>47.501999999999995</v>
      </c>
      <c r="S2056" s="3">
        <v>0</v>
      </c>
      <c r="T2056" s="3">
        <v>0</v>
      </c>
      <c r="U2056" s="3">
        <v>412.90199999999999</v>
      </c>
      <c r="V2056" s="3" t="s">
        <v>8046</v>
      </c>
      <c r="W2056" s="3" t="s">
        <v>1</v>
      </c>
    </row>
    <row r="2057" spans="5:23" hidden="1" x14ac:dyDescent="0.25">
      <c r="E2057" t="s">
        <v>8126</v>
      </c>
      <c r="F2057" s="1" t="s">
        <v>8149</v>
      </c>
      <c r="G2057" t="s">
        <v>1</v>
      </c>
      <c r="H2057" t="s">
        <v>0</v>
      </c>
      <c r="I2057" t="s">
        <v>8165</v>
      </c>
      <c r="J2057" t="s">
        <v>8164</v>
      </c>
      <c r="K2057">
        <v>12240</v>
      </c>
      <c r="L2057">
        <v>12240</v>
      </c>
      <c r="M2057" t="s">
        <v>7852</v>
      </c>
      <c r="N2057" t="s">
        <v>7851</v>
      </c>
      <c r="O2057" s="3">
        <v>0</v>
      </c>
      <c r="P2057" s="3">
        <v>0</v>
      </c>
      <c r="Q2057" s="3">
        <v>0</v>
      </c>
      <c r="R2057" s="3">
        <v>0</v>
      </c>
      <c r="S2057" s="3">
        <v>0</v>
      </c>
      <c r="T2057" s="3">
        <v>0</v>
      </c>
      <c r="U2057" s="3">
        <v>0</v>
      </c>
      <c r="V2057" s="3" t="s">
        <v>8046</v>
      </c>
      <c r="W2057" s="3" t="s">
        <v>1</v>
      </c>
    </row>
    <row r="2058" spans="5:23" hidden="1" x14ac:dyDescent="0.25">
      <c r="E2058" t="s">
        <v>8126</v>
      </c>
      <c r="F2058" s="1" t="s">
        <v>8149</v>
      </c>
      <c r="G2058" t="s">
        <v>1</v>
      </c>
      <c r="H2058" t="s">
        <v>0</v>
      </c>
      <c r="I2058" t="s">
        <v>8165</v>
      </c>
      <c r="J2058" t="s">
        <v>8164</v>
      </c>
      <c r="K2058">
        <v>12241</v>
      </c>
      <c r="L2058">
        <v>12241</v>
      </c>
      <c r="M2058" t="s">
        <v>8218</v>
      </c>
      <c r="N2058" t="s">
        <v>8219</v>
      </c>
      <c r="O2058" s="3">
        <v>0</v>
      </c>
      <c r="P2058" s="3">
        <v>0</v>
      </c>
      <c r="Q2058" s="3">
        <v>10</v>
      </c>
      <c r="R2058" s="3">
        <v>1.3</v>
      </c>
      <c r="S2058" s="3">
        <v>0</v>
      </c>
      <c r="T2058" s="3">
        <v>0</v>
      </c>
      <c r="U2058" s="3">
        <v>11.3</v>
      </c>
      <c r="V2058" s="3" t="s">
        <v>8046</v>
      </c>
      <c r="W2058" s="3" t="s">
        <v>1</v>
      </c>
    </row>
    <row r="2059" spans="5:23" hidden="1" x14ac:dyDescent="0.25">
      <c r="E2059" t="s">
        <v>8126</v>
      </c>
      <c r="F2059" s="1" t="s">
        <v>8149</v>
      </c>
      <c r="G2059" t="s">
        <v>1</v>
      </c>
      <c r="H2059" t="s">
        <v>0</v>
      </c>
      <c r="I2059" t="s">
        <v>8165</v>
      </c>
      <c r="J2059" t="s">
        <v>8164</v>
      </c>
      <c r="K2059">
        <v>12242</v>
      </c>
      <c r="L2059">
        <v>12242</v>
      </c>
      <c r="M2059" t="s">
        <v>7852</v>
      </c>
      <c r="N2059" t="s">
        <v>7851</v>
      </c>
      <c r="O2059" s="3">
        <v>0</v>
      </c>
      <c r="P2059" s="3">
        <v>0</v>
      </c>
      <c r="Q2059" s="3">
        <v>0</v>
      </c>
      <c r="R2059" s="3">
        <v>0</v>
      </c>
      <c r="S2059" s="3">
        <v>0</v>
      </c>
      <c r="T2059" s="3">
        <v>0</v>
      </c>
      <c r="U2059" s="3">
        <v>0</v>
      </c>
      <c r="V2059" s="3" t="s">
        <v>8046</v>
      </c>
      <c r="W2059" s="3" t="s">
        <v>1</v>
      </c>
    </row>
    <row r="2060" spans="5:23" hidden="1" x14ac:dyDescent="0.25">
      <c r="E2060" t="s">
        <v>8126</v>
      </c>
      <c r="F2060" s="1" t="s">
        <v>8149</v>
      </c>
      <c r="G2060" t="s">
        <v>1</v>
      </c>
      <c r="H2060" t="s">
        <v>0</v>
      </c>
      <c r="I2060" t="s">
        <v>8165</v>
      </c>
      <c r="J2060" t="s">
        <v>8164</v>
      </c>
      <c r="K2060">
        <v>12243</v>
      </c>
      <c r="L2060">
        <v>12243</v>
      </c>
      <c r="M2060" t="s">
        <v>214</v>
      </c>
      <c r="N2060" t="s">
        <v>215</v>
      </c>
      <c r="O2060" s="3">
        <v>0</v>
      </c>
      <c r="P2060" s="3">
        <v>0</v>
      </c>
      <c r="Q2060" s="3">
        <v>52</v>
      </c>
      <c r="R2060" s="3">
        <v>6.76</v>
      </c>
      <c r="S2060" s="3">
        <v>0</v>
      </c>
      <c r="T2060" s="3">
        <v>0</v>
      </c>
      <c r="U2060" s="3">
        <v>58.76</v>
      </c>
      <c r="V2060" s="3" t="s">
        <v>8046</v>
      </c>
      <c r="W2060" s="3" t="s">
        <v>1</v>
      </c>
    </row>
    <row r="2061" spans="5:23" hidden="1" x14ac:dyDescent="0.25">
      <c r="E2061" t="s">
        <v>8126</v>
      </c>
      <c r="F2061" s="1" t="s">
        <v>8149</v>
      </c>
      <c r="G2061" t="s">
        <v>1</v>
      </c>
      <c r="H2061" t="s">
        <v>0</v>
      </c>
      <c r="I2061" t="s">
        <v>8165</v>
      </c>
      <c r="J2061" t="s">
        <v>8164</v>
      </c>
      <c r="K2061">
        <v>12244</v>
      </c>
      <c r="L2061">
        <v>12244</v>
      </c>
      <c r="M2061" t="s">
        <v>8214</v>
      </c>
      <c r="N2061" t="s">
        <v>8215</v>
      </c>
      <c r="O2061" s="3">
        <v>0</v>
      </c>
      <c r="P2061" s="3">
        <v>0</v>
      </c>
      <c r="Q2061" s="3">
        <v>79.7</v>
      </c>
      <c r="R2061" s="3">
        <v>10.361000000000001</v>
      </c>
      <c r="S2061" s="3">
        <v>0</v>
      </c>
      <c r="T2061" s="3">
        <v>0</v>
      </c>
      <c r="U2061" s="3">
        <v>90.061000000000007</v>
      </c>
      <c r="V2061" s="3" t="s">
        <v>8046</v>
      </c>
      <c r="W2061" s="3" t="s">
        <v>1</v>
      </c>
    </row>
    <row r="2062" spans="5:23" hidden="1" x14ac:dyDescent="0.25">
      <c r="E2062" t="s">
        <v>8126</v>
      </c>
      <c r="F2062" s="1" t="s">
        <v>8149</v>
      </c>
      <c r="G2062" t="s">
        <v>1</v>
      </c>
      <c r="H2062" t="s">
        <v>0</v>
      </c>
      <c r="I2062" t="s">
        <v>8165</v>
      </c>
      <c r="J2062" t="s">
        <v>8164</v>
      </c>
      <c r="K2062">
        <v>12245</v>
      </c>
      <c r="L2062">
        <v>12245</v>
      </c>
      <c r="M2062" t="s">
        <v>8188</v>
      </c>
      <c r="N2062" t="s">
        <v>8189</v>
      </c>
      <c r="O2062" s="3">
        <v>0</v>
      </c>
      <c r="P2062" s="3">
        <v>0</v>
      </c>
      <c r="Q2062" s="3">
        <v>366</v>
      </c>
      <c r="R2062" s="3">
        <v>47.58</v>
      </c>
      <c r="S2062" s="3">
        <v>0</v>
      </c>
      <c r="T2062" s="3">
        <v>0</v>
      </c>
      <c r="U2062" s="3">
        <v>413.58</v>
      </c>
      <c r="V2062" s="3" t="s">
        <v>8046</v>
      </c>
      <c r="W2062" s="3" t="s">
        <v>1</v>
      </c>
    </row>
    <row r="2063" spans="5:23" hidden="1" x14ac:dyDescent="0.25">
      <c r="E2063" t="s">
        <v>8126</v>
      </c>
      <c r="F2063" s="1" t="s">
        <v>8149</v>
      </c>
      <c r="G2063" t="s">
        <v>1</v>
      </c>
      <c r="H2063" t="s">
        <v>0</v>
      </c>
      <c r="I2063" t="s">
        <v>8165</v>
      </c>
      <c r="J2063" t="s">
        <v>8164</v>
      </c>
      <c r="K2063">
        <v>12246</v>
      </c>
      <c r="L2063">
        <v>12246</v>
      </c>
      <c r="M2063" t="s">
        <v>8168</v>
      </c>
      <c r="N2063" t="s">
        <v>8169</v>
      </c>
      <c r="O2063" s="3">
        <v>0</v>
      </c>
      <c r="P2063" s="3">
        <v>0</v>
      </c>
      <c r="Q2063" s="3">
        <v>184.08</v>
      </c>
      <c r="R2063" s="3">
        <v>23.930400000000002</v>
      </c>
      <c r="S2063" s="3">
        <v>0</v>
      </c>
      <c r="T2063" s="3">
        <v>0</v>
      </c>
      <c r="U2063" s="3">
        <v>208.0104</v>
      </c>
      <c r="V2063" s="3" t="s">
        <v>8046</v>
      </c>
      <c r="W2063" s="3" t="s">
        <v>1</v>
      </c>
    </row>
    <row r="2064" spans="5:23" hidden="1" x14ac:dyDescent="0.25">
      <c r="E2064" t="s">
        <v>8126</v>
      </c>
      <c r="F2064" s="1" t="s">
        <v>8149</v>
      </c>
      <c r="G2064" t="s">
        <v>1</v>
      </c>
      <c r="H2064" t="s">
        <v>0</v>
      </c>
      <c r="I2064" t="s">
        <v>8165</v>
      </c>
      <c r="J2064" t="s">
        <v>8164</v>
      </c>
      <c r="K2064">
        <v>12247</v>
      </c>
      <c r="L2064">
        <v>12247</v>
      </c>
      <c r="M2064" s="33" t="s">
        <v>8213</v>
      </c>
      <c r="N2064" t="s">
        <v>8181</v>
      </c>
      <c r="O2064" s="3">
        <v>0</v>
      </c>
      <c r="P2064" s="3">
        <v>0</v>
      </c>
      <c r="Q2064" s="3">
        <v>20.91</v>
      </c>
      <c r="R2064" s="3">
        <v>2.7183000000000002</v>
      </c>
      <c r="S2064" s="3">
        <v>0</v>
      </c>
      <c r="T2064" s="3">
        <v>0</v>
      </c>
      <c r="U2064" s="3">
        <v>23.628299999999999</v>
      </c>
      <c r="V2064" s="3" t="s">
        <v>8046</v>
      </c>
      <c r="W2064" s="3" t="s">
        <v>1</v>
      </c>
    </row>
    <row r="2065" spans="5:23" hidden="1" x14ac:dyDescent="0.25">
      <c r="E2065" t="s">
        <v>8126</v>
      </c>
      <c r="F2065" s="1" t="s">
        <v>8149</v>
      </c>
      <c r="G2065" t="s">
        <v>1</v>
      </c>
      <c r="H2065" t="s">
        <v>0</v>
      </c>
      <c r="I2065" t="s">
        <v>8165</v>
      </c>
      <c r="J2065" t="s">
        <v>8164</v>
      </c>
      <c r="K2065">
        <v>12248</v>
      </c>
      <c r="L2065">
        <v>12248</v>
      </c>
      <c r="M2065" t="s">
        <v>7852</v>
      </c>
      <c r="N2065" t="s">
        <v>7851</v>
      </c>
      <c r="O2065" s="3">
        <v>0</v>
      </c>
      <c r="P2065" s="3">
        <v>0</v>
      </c>
      <c r="Q2065" s="3">
        <v>0</v>
      </c>
      <c r="R2065" s="3">
        <v>0</v>
      </c>
      <c r="S2065" s="3">
        <v>0</v>
      </c>
      <c r="T2065" s="3">
        <v>0</v>
      </c>
      <c r="U2065" s="3">
        <v>0</v>
      </c>
      <c r="V2065" s="3" t="s">
        <v>8046</v>
      </c>
      <c r="W2065" s="3" t="s">
        <v>1</v>
      </c>
    </row>
    <row r="2066" spans="5:23" hidden="1" x14ac:dyDescent="0.25">
      <c r="E2066" t="s">
        <v>8126</v>
      </c>
      <c r="F2066" s="1" t="s">
        <v>8149</v>
      </c>
      <c r="G2066" t="s">
        <v>1</v>
      </c>
      <c r="H2066" t="s">
        <v>0</v>
      </c>
      <c r="I2066" t="s">
        <v>8165</v>
      </c>
      <c r="J2066" t="s">
        <v>8164</v>
      </c>
      <c r="K2066">
        <v>12249</v>
      </c>
      <c r="L2066">
        <v>12249</v>
      </c>
      <c r="M2066" t="s">
        <v>8211</v>
      </c>
      <c r="N2066" t="s">
        <v>8212</v>
      </c>
      <c r="O2066" s="3">
        <v>0</v>
      </c>
      <c r="P2066" s="3">
        <v>0</v>
      </c>
      <c r="Q2066" s="3">
        <v>65.400000000000006</v>
      </c>
      <c r="R2066" s="3">
        <v>8.5020000000000007</v>
      </c>
      <c r="S2066" s="3">
        <v>0</v>
      </c>
      <c r="T2066" s="3">
        <v>0</v>
      </c>
      <c r="U2066" s="3">
        <v>73.902000000000001</v>
      </c>
      <c r="V2066" s="3" t="s">
        <v>8046</v>
      </c>
      <c r="W2066" s="3" t="s">
        <v>1</v>
      </c>
    </row>
    <row r="2067" spans="5:23" hidden="1" x14ac:dyDescent="0.25">
      <c r="E2067" t="s">
        <v>8126</v>
      </c>
      <c r="F2067" s="1" t="s">
        <v>8149</v>
      </c>
      <c r="G2067" t="s">
        <v>1</v>
      </c>
      <c r="H2067" t="s">
        <v>0</v>
      </c>
      <c r="I2067" t="s">
        <v>8165</v>
      </c>
      <c r="J2067" t="s">
        <v>8164</v>
      </c>
      <c r="K2067">
        <v>12250</v>
      </c>
      <c r="L2067">
        <v>12250</v>
      </c>
      <c r="M2067" t="s">
        <v>214</v>
      </c>
      <c r="N2067" t="s">
        <v>215</v>
      </c>
      <c r="O2067" s="3">
        <v>0</v>
      </c>
      <c r="P2067" s="3">
        <v>0</v>
      </c>
      <c r="Q2067" s="3">
        <v>409.03</v>
      </c>
      <c r="R2067" s="3">
        <v>53.173899999999996</v>
      </c>
      <c r="S2067" s="3">
        <v>0</v>
      </c>
      <c r="T2067" s="3">
        <v>0</v>
      </c>
      <c r="U2067" s="3">
        <v>462.20389999999998</v>
      </c>
      <c r="V2067" s="3" t="s">
        <v>8046</v>
      </c>
      <c r="W2067" s="3" t="s">
        <v>1</v>
      </c>
    </row>
    <row r="2068" spans="5:23" hidden="1" x14ac:dyDescent="0.25">
      <c r="E2068" t="s">
        <v>8126</v>
      </c>
      <c r="F2068" s="1" t="s">
        <v>8149</v>
      </c>
      <c r="G2068" t="s">
        <v>1</v>
      </c>
      <c r="H2068" t="s">
        <v>0</v>
      </c>
      <c r="I2068" t="s">
        <v>8165</v>
      </c>
      <c r="J2068" t="s">
        <v>8164</v>
      </c>
      <c r="K2068">
        <v>12251</v>
      </c>
      <c r="L2068">
        <v>12251</v>
      </c>
      <c r="M2068" t="s">
        <v>8209</v>
      </c>
      <c r="N2068" t="s">
        <v>8210</v>
      </c>
      <c r="O2068" s="3">
        <v>0</v>
      </c>
      <c r="P2068" s="3">
        <v>0</v>
      </c>
      <c r="Q2068" s="3">
        <v>95.49</v>
      </c>
      <c r="R2068" s="3">
        <v>12.4137</v>
      </c>
      <c r="S2068" s="3">
        <v>0</v>
      </c>
      <c r="T2068" s="3">
        <v>0</v>
      </c>
      <c r="U2068" s="3">
        <v>107.9037</v>
      </c>
      <c r="V2068" s="3" t="s">
        <v>8046</v>
      </c>
      <c r="W2068" s="3" t="s">
        <v>1</v>
      </c>
    </row>
    <row r="2069" spans="5:23" hidden="1" x14ac:dyDescent="0.25">
      <c r="E2069" t="s">
        <v>8126</v>
      </c>
      <c r="F2069" s="1" t="s">
        <v>8144</v>
      </c>
      <c r="G2069" t="s">
        <v>1</v>
      </c>
      <c r="H2069" t="s">
        <v>0</v>
      </c>
      <c r="I2069" t="s">
        <v>8165</v>
      </c>
      <c r="J2069" t="s">
        <v>8164</v>
      </c>
      <c r="K2069">
        <v>12252</v>
      </c>
      <c r="L2069">
        <v>12252</v>
      </c>
      <c r="M2069" t="s">
        <v>7852</v>
      </c>
      <c r="N2069" t="s">
        <v>7851</v>
      </c>
      <c r="O2069" s="3">
        <v>0</v>
      </c>
      <c r="P2069" s="3">
        <v>0</v>
      </c>
      <c r="Q2069" s="3">
        <v>0</v>
      </c>
      <c r="R2069" s="3">
        <v>0</v>
      </c>
      <c r="S2069" s="3">
        <v>0</v>
      </c>
      <c r="T2069" s="3">
        <v>0</v>
      </c>
      <c r="U2069" s="3">
        <v>0</v>
      </c>
      <c r="V2069" s="3" t="s">
        <v>8046</v>
      </c>
      <c r="W2069" s="3" t="s">
        <v>1</v>
      </c>
    </row>
    <row r="2070" spans="5:23" hidden="1" x14ac:dyDescent="0.25">
      <c r="E2070" t="s">
        <v>8126</v>
      </c>
      <c r="F2070" s="1" t="s">
        <v>8144</v>
      </c>
      <c r="G2070" t="s">
        <v>1</v>
      </c>
      <c r="H2070" t="s">
        <v>0</v>
      </c>
      <c r="I2070" t="s">
        <v>8165</v>
      </c>
      <c r="J2070" t="s">
        <v>8164</v>
      </c>
      <c r="K2070">
        <v>12253</v>
      </c>
      <c r="L2070">
        <v>12253</v>
      </c>
      <c r="M2070" t="s">
        <v>8207</v>
      </c>
      <c r="N2070" t="s">
        <v>8208</v>
      </c>
      <c r="O2070" s="3">
        <v>0</v>
      </c>
      <c r="P2070" s="3">
        <v>0</v>
      </c>
      <c r="Q2070" s="3">
        <v>64.02</v>
      </c>
      <c r="R2070" s="3">
        <v>8.3225999999999996</v>
      </c>
      <c r="S2070" s="3">
        <v>0</v>
      </c>
      <c r="T2070" s="3">
        <v>0</v>
      </c>
      <c r="U2070" s="3">
        <v>72.34259999999999</v>
      </c>
      <c r="V2070" s="3" t="s">
        <v>8046</v>
      </c>
      <c r="W2070" s="3" t="s">
        <v>1</v>
      </c>
    </row>
    <row r="2071" spans="5:23" hidden="1" x14ac:dyDescent="0.25">
      <c r="E2071" t="s">
        <v>8126</v>
      </c>
      <c r="F2071" s="1" t="s">
        <v>8144</v>
      </c>
      <c r="G2071" t="s">
        <v>1</v>
      </c>
      <c r="H2071" t="s">
        <v>0</v>
      </c>
      <c r="I2071" t="s">
        <v>8165</v>
      </c>
      <c r="J2071" t="s">
        <v>8164</v>
      </c>
      <c r="K2071">
        <v>12254</v>
      </c>
      <c r="L2071">
        <v>12254</v>
      </c>
      <c r="M2071" t="s">
        <v>1273</v>
      </c>
      <c r="N2071" t="s">
        <v>1274</v>
      </c>
      <c r="O2071" s="3">
        <v>0</v>
      </c>
      <c r="P2071" s="3">
        <v>0</v>
      </c>
      <c r="Q2071" s="3">
        <v>329.2</v>
      </c>
      <c r="R2071" s="3">
        <v>42.795999999999999</v>
      </c>
      <c r="S2071" s="3">
        <v>0</v>
      </c>
      <c r="T2071" s="3">
        <v>0</v>
      </c>
      <c r="U2071" s="3">
        <v>371.99599999999998</v>
      </c>
      <c r="V2071" s="3" t="s">
        <v>8046</v>
      </c>
      <c r="W2071" s="3" t="s">
        <v>1</v>
      </c>
    </row>
    <row r="2072" spans="5:23" hidden="1" x14ac:dyDescent="0.25">
      <c r="E2072" t="s">
        <v>8126</v>
      </c>
      <c r="F2072" s="1" t="s">
        <v>8144</v>
      </c>
      <c r="G2072" t="s">
        <v>1</v>
      </c>
      <c r="H2072" t="s">
        <v>0</v>
      </c>
      <c r="I2072" t="s">
        <v>8165</v>
      </c>
      <c r="J2072" t="s">
        <v>8164</v>
      </c>
      <c r="K2072">
        <v>12255</v>
      </c>
      <c r="L2072">
        <v>12255</v>
      </c>
      <c r="M2072" t="s">
        <v>8205</v>
      </c>
      <c r="N2072" t="s">
        <v>8206</v>
      </c>
      <c r="O2072" s="3">
        <v>0</v>
      </c>
      <c r="P2072" s="3">
        <v>0</v>
      </c>
      <c r="Q2072" s="3">
        <v>61.82</v>
      </c>
      <c r="R2072" s="3">
        <v>8.0366</v>
      </c>
      <c r="S2072" s="3">
        <v>0</v>
      </c>
      <c r="T2072" s="3">
        <v>0</v>
      </c>
      <c r="U2072" s="3">
        <v>69.8566</v>
      </c>
      <c r="V2072" s="3" t="s">
        <v>8046</v>
      </c>
      <c r="W2072" s="3" t="s">
        <v>1</v>
      </c>
    </row>
    <row r="2073" spans="5:23" hidden="1" x14ac:dyDescent="0.25">
      <c r="E2073" t="s">
        <v>8126</v>
      </c>
      <c r="F2073" s="1" t="s">
        <v>8144</v>
      </c>
      <c r="G2073" t="s">
        <v>1</v>
      </c>
      <c r="H2073" t="s">
        <v>0</v>
      </c>
      <c r="I2073" t="s">
        <v>8165</v>
      </c>
      <c r="J2073" t="s">
        <v>8164</v>
      </c>
      <c r="K2073">
        <v>12256</v>
      </c>
      <c r="L2073">
        <v>12256</v>
      </c>
      <c r="M2073" t="s">
        <v>7852</v>
      </c>
      <c r="N2073" t="s">
        <v>7851</v>
      </c>
      <c r="O2073" s="3">
        <v>0</v>
      </c>
      <c r="P2073" s="3">
        <v>0</v>
      </c>
      <c r="Q2073" s="3">
        <v>0</v>
      </c>
      <c r="R2073" s="3">
        <v>0</v>
      </c>
      <c r="S2073" s="3">
        <v>0</v>
      </c>
      <c r="T2073" s="3">
        <v>0</v>
      </c>
      <c r="U2073" s="3">
        <v>0</v>
      </c>
      <c r="V2073" s="3" t="s">
        <v>8046</v>
      </c>
      <c r="W2073" s="3" t="s">
        <v>1</v>
      </c>
    </row>
    <row r="2074" spans="5:23" hidden="1" x14ac:dyDescent="0.25">
      <c r="E2074" t="s">
        <v>8126</v>
      </c>
      <c r="F2074" s="1" t="s">
        <v>8144</v>
      </c>
      <c r="G2074" t="s">
        <v>1</v>
      </c>
      <c r="H2074" t="s">
        <v>0</v>
      </c>
      <c r="I2074" t="s">
        <v>8165</v>
      </c>
      <c r="J2074" t="s">
        <v>8164</v>
      </c>
      <c r="K2074">
        <v>12257</v>
      </c>
      <c r="L2074">
        <v>12257</v>
      </c>
      <c r="M2074" t="s">
        <v>1062</v>
      </c>
      <c r="N2074" t="s">
        <v>1063</v>
      </c>
      <c r="O2074" s="3">
        <v>0</v>
      </c>
      <c r="P2074" s="3">
        <v>0</v>
      </c>
      <c r="Q2074" s="3">
        <v>30.72</v>
      </c>
      <c r="R2074" s="3">
        <v>3.9935999999999998</v>
      </c>
      <c r="S2074" s="3">
        <v>0</v>
      </c>
      <c r="T2074" s="3">
        <v>0</v>
      </c>
      <c r="U2074" s="3">
        <v>34.7136</v>
      </c>
      <c r="V2074" s="3" t="s">
        <v>8046</v>
      </c>
      <c r="W2074" s="3" t="s">
        <v>1</v>
      </c>
    </row>
    <row r="2075" spans="5:23" hidden="1" x14ac:dyDescent="0.25">
      <c r="E2075" t="s">
        <v>8126</v>
      </c>
      <c r="F2075" s="1" t="s">
        <v>8144</v>
      </c>
      <c r="G2075" t="s">
        <v>1</v>
      </c>
      <c r="H2075" t="s">
        <v>0</v>
      </c>
      <c r="I2075" t="s">
        <v>8165</v>
      </c>
      <c r="J2075" t="s">
        <v>8164</v>
      </c>
      <c r="K2075">
        <v>12258</v>
      </c>
      <c r="L2075">
        <v>12258</v>
      </c>
      <c r="M2075" t="s">
        <v>7852</v>
      </c>
      <c r="N2075" t="s">
        <v>7851</v>
      </c>
      <c r="O2075" s="3">
        <v>0</v>
      </c>
      <c r="P2075" s="3">
        <v>0</v>
      </c>
      <c r="Q2075" s="3">
        <v>0</v>
      </c>
      <c r="R2075" s="3">
        <v>0</v>
      </c>
      <c r="S2075" s="3">
        <v>0</v>
      </c>
      <c r="T2075" s="3">
        <v>0</v>
      </c>
      <c r="U2075" s="3">
        <v>0</v>
      </c>
      <c r="V2075" s="3" t="s">
        <v>8046</v>
      </c>
      <c r="W2075" s="3" t="s">
        <v>1</v>
      </c>
    </row>
    <row r="2076" spans="5:23" hidden="1" x14ac:dyDescent="0.25">
      <c r="E2076" t="s">
        <v>8126</v>
      </c>
      <c r="F2076" s="1" t="s">
        <v>8144</v>
      </c>
      <c r="G2076" t="s">
        <v>1</v>
      </c>
      <c r="H2076" t="s">
        <v>0</v>
      </c>
      <c r="I2076" t="s">
        <v>8165</v>
      </c>
      <c r="J2076" t="s">
        <v>8164</v>
      </c>
      <c r="K2076">
        <v>12259</v>
      </c>
      <c r="L2076">
        <v>12259</v>
      </c>
      <c r="M2076" t="s">
        <v>8205</v>
      </c>
      <c r="N2076" t="s">
        <v>8206</v>
      </c>
      <c r="O2076" s="3">
        <v>0</v>
      </c>
      <c r="P2076" s="3">
        <v>0</v>
      </c>
      <c r="Q2076" s="3">
        <v>3.84</v>
      </c>
      <c r="R2076" s="3">
        <v>0.49919999999999998</v>
      </c>
      <c r="S2076" s="3">
        <v>0</v>
      </c>
      <c r="T2076" s="3">
        <v>0</v>
      </c>
      <c r="U2076" s="3">
        <v>4.3391999999999999</v>
      </c>
      <c r="V2076" s="3" t="s">
        <v>8046</v>
      </c>
      <c r="W2076" s="3" t="s">
        <v>1</v>
      </c>
    </row>
    <row r="2077" spans="5:23" hidden="1" x14ac:dyDescent="0.25">
      <c r="E2077" t="s">
        <v>8126</v>
      </c>
      <c r="F2077" s="1" t="s">
        <v>8144</v>
      </c>
      <c r="G2077" t="s">
        <v>1</v>
      </c>
      <c r="H2077" t="s">
        <v>0</v>
      </c>
      <c r="I2077" t="s">
        <v>8165</v>
      </c>
      <c r="J2077" t="s">
        <v>8164</v>
      </c>
      <c r="K2077">
        <v>12260</v>
      </c>
      <c r="L2077">
        <v>12260</v>
      </c>
      <c r="M2077" t="s">
        <v>8203</v>
      </c>
      <c r="N2077" t="s">
        <v>8204</v>
      </c>
      <c r="O2077" s="3">
        <v>0</v>
      </c>
      <c r="P2077" s="3">
        <v>0</v>
      </c>
      <c r="Q2077" s="3">
        <v>23.9</v>
      </c>
      <c r="R2077" s="3">
        <v>3.1069999999999998</v>
      </c>
      <c r="S2077" s="3">
        <v>0</v>
      </c>
      <c r="T2077" s="3">
        <v>0</v>
      </c>
      <c r="U2077" s="3">
        <v>27.006999999999998</v>
      </c>
      <c r="V2077" s="3" t="s">
        <v>8046</v>
      </c>
      <c r="W2077" s="3" t="s">
        <v>1</v>
      </c>
    </row>
    <row r="2078" spans="5:23" hidden="1" x14ac:dyDescent="0.25">
      <c r="E2078" t="s">
        <v>8126</v>
      </c>
      <c r="F2078" s="1" t="s">
        <v>8144</v>
      </c>
      <c r="G2078" t="s">
        <v>1</v>
      </c>
      <c r="H2078" t="s">
        <v>0</v>
      </c>
      <c r="I2078" t="s">
        <v>8165</v>
      </c>
      <c r="J2078" t="s">
        <v>8164</v>
      </c>
      <c r="K2078">
        <v>12261</v>
      </c>
      <c r="L2078">
        <v>12261</v>
      </c>
      <c r="M2078" t="s">
        <v>8201</v>
      </c>
      <c r="N2078" t="s">
        <v>8202</v>
      </c>
      <c r="O2078" s="3">
        <v>0</v>
      </c>
      <c r="P2078" s="3">
        <v>0</v>
      </c>
      <c r="Q2078" s="3">
        <v>14.22</v>
      </c>
      <c r="R2078" s="3">
        <v>1.8486000000000002</v>
      </c>
      <c r="S2078" s="3">
        <v>0</v>
      </c>
      <c r="T2078" s="3">
        <v>0</v>
      </c>
      <c r="U2078" s="3">
        <v>16.0686</v>
      </c>
      <c r="V2078" s="3" t="s">
        <v>8046</v>
      </c>
      <c r="W2078" s="3" t="s">
        <v>1</v>
      </c>
    </row>
    <row r="2079" spans="5:23" hidden="1" x14ac:dyDescent="0.25">
      <c r="E2079" t="s">
        <v>8126</v>
      </c>
      <c r="F2079" s="1" t="s">
        <v>8144</v>
      </c>
      <c r="G2079" t="s">
        <v>1</v>
      </c>
      <c r="H2079" t="s">
        <v>0</v>
      </c>
      <c r="I2079" t="s">
        <v>8165</v>
      </c>
      <c r="J2079" t="s">
        <v>8164</v>
      </c>
      <c r="K2079">
        <v>12262</v>
      </c>
      <c r="L2079">
        <v>12262</v>
      </c>
      <c r="M2079" t="s">
        <v>115</v>
      </c>
      <c r="N2079" t="s">
        <v>116</v>
      </c>
      <c r="O2079" s="3">
        <v>0</v>
      </c>
      <c r="P2079" s="3">
        <v>0</v>
      </c>
      <c r="Q2079" s="3">
        <v>604.79999999999995</v>
      </c>
      <c r="R2079" s="3">
        <v>78.623999999999995</v>
      </c>
      <c r="S2079" s="3">
        <v>0</v>
      </c>
      <c r="T2079" s="3">
        <v>0</v>
      </c>
      <c r="U2079" s="3">
        <v>683.42399999999998</v>
      </c>
      <c r="V2079" s="3" t="s">
        <v>8046</v>
      </c>
      <c r="W2079" s="3" t="s">
        <v>1</v>
      </c>
    </row>
    <row r="2080" spans="5:23" hidden="1" x14ac:dyDescent="0.25">
      <c r="E2080" t="s">
        <v>8126</v>
      </c>
      <c r="F2080" s="1" t="s">
        <v>8144</v>
      </c>
      <c r="G2080" t="s">
        <v>1</v>
      </c>
      <c r="H2080" t="s">
        <v>0</v>
      </c>
      <c r="I2080" t="s">
        <v>8165</v>
      </c>
      <c r="J2080" t="s">
        <v>8164</v>
      </c>
      <c r="K2080">
        <v>12263</v>
      </c>
      <c r="L2080">
        <v>12263</v>
      </c>
      <c r="M2080" t="s">
        <v>8168</v>
      </c>
      <c r="N2080" t="s">
        <v>8169</v>
      </c>
      <c r="O2080" s="3">
        <v>0</v>
      </c>
      <c r="P2080" s="3">
        <v>0</v>
      </c>
      <c r="Q2080" s="3">
        <v>52</v>
      </c>
      <c r="R2080" s="3">
        <v>6.76</v>
      </c>
      <c r="S2080" s="3">
        <v>0</v>
      </c>
      <c r="T2080" s="3">
        <v>0</v>
      </c>
      <c r="U2080" s="3">
        <v>58.76</v>
      </c>
      <c r="V2080" s="3" t="s">
        <v>8046</v>
      </c>
      <c r="W2080" s="3" t="s">
        <v>1</v>
      </c>
    </row>
    <row r="2081" spans="5:23" hidden="1" x14ac:dyDescent="0.25">
      <c r="E2081" t="s">
        <v>8126</v>
      </c>
      <c r="F2081" s="1" t="s">
        <v>8144</v>
      </c>
      <c r="G2081" t="s">
        <v>1</v>
      </c>
      <c r="H2081" t="s">
        <v>0</v>
      </c>
      <c r="I2081" t="s">
        <v>8165</v>
      </c>
      <c r="J2081" t="s">
        <v>8164</v>
      </c>
      <c r="K2081">
        <v>12264</v>
      </c>
      <c r="L2081">
        <v>12264</v>
      </c>
      <c r="M2081" t="s">
        <v>8166</v>
      </c>
      <c r="N2081" t="s">
        <v>8167</v>
      </c>
      <c r="O2081" s="3">
        <v>0</v>
      </c>
      <c r="P2081" s="3">
        <v>0</v>
      </c>
      <c r="Q2081" s="3">
        <v>19.5</v>
      </c>
      <c r="R2081" s="3">
        <v>2.5350000000000001</v>
      </c>
      <c r="S2081" s="3">
        <v>0</v>
      </c>
      <c r="T2081" s="3">
        <v>0</v>
      </c>
      <c r="U2081" s="3">
        <v>22.035</v>
      </c>
      <c r="V2081" s="3" t="s">
        <v>8046</v>
      </c>
      <c r="W2081" s="3" t="s">
        <v>1</v>
      </c>
    </row>
    <row r="2082" spans="5:23" hidden="1" x14ac:dyDescent="0.25">
      <c r="E2082" t="s">
        <v>8126</v>
      </c>
      <c r="F2082" s="1" t="s">
        <v>8144</v>
      </c>
      <c r="G2082" t="s">
        <v>1</v>
      </c>
      <c r="H2082" t="s">
        <v>0</v>
      </c>
      <c r="I2082" t="s">
        <v>8165</v>
      </c>
      <c r="J2082" t="s">
        <v>8164</v>
      </c>
      <c r="K2082">
        <v>12265</v>
      </c>
      <c r="L2082">
        <v>12265</v>
      </c>
      <c r="M2082" t="s">
        <v>1062</v>
      </c>
      <c r="N2082" t="s">
        <v>1063</v>
      </c>
      <c r="O2082" s="3">
        <v>0</v>
      </c>
      <c r="P2082" s="3">
        <v>0</v>
      </c>
      <c r="Q2082" s="3">
        <v>78.39</v>
      </c>
      <c r="R2082" s="3">
        <v>10.1907</v>
      </c>
      <c r="S2082" s="3">
        <v>0</v>
      </c>
      <c r="T2082" s="3">
        <v>0</v>
      </c>
      <c r="U2082" s="3">
        <v>88.580700000000007</v>
      </c>
      <c r="V2082" s="3" t="s">
        <v>8046</v>
      </c>
      <c r="W2082" s="3" t="s">
        <v>1</v>
      </c>
    </row>
    <row r="2083" spans="5:23" hidden="1" x14ac:dyDescent="0.25">
      <c r="E2083" t="s">
        <v>8126</v>
      </c>
      <c r="F2083" s="34" t="s">
        <v>8148</v>
      </c>
      <c r="G2083" t="s">
        <v>1</v>
      </c>
      <c r="H2083" t="s">
        <v>0</v>
      </c>
      <c r="I2083" t="s">
        <v>8165</v>
      </c>
      <c r="J2083" t="s">
        <v>8164</v>
      </c>
      <c r="K2083">
        <v>12266</v>
      </c>
      <c r="L2083">
        <v>12266</v>
      </c>
      <c r="M2083" t="s">
        <v>8196</v>
      </c>
      <c r="N2083" t="s">
        <v>8197</v>
      </c>
      <c r="O2083" s="3">
        <v>0</v>
      </c>
      <c r="P2083" s="3">
        <v>0</v>
      </c>
      <c r="Q2083" s="3">
        <v>504.43</v>
      </c>
      <c r="R2083" s="3">
        <v>65.575900000000004</v>
      </c>
      <c r="S2083" s="3">
        <v>0</v>
      </c>
      <c r="T2083" s="3">
        <v>0</v>
      </c>
      <c r="U2083" s="3">
        <v>570.0059</v>
      </c>
      <c r="V2083" s="51" t="s">
        <v>8046</v>
      </c>
      <c r="W2083" s="33" t="s">
        <v>1</v>
      </c>
    </row>
    <row r="2084" spans="5:23" hidden="1" x14ac:dyDescent="0.25">
      <c r="E2084" t="s">
        <v>8126</v>
      </c>
      <c r="F2084" s="34" t="s">
        <v>8148</v>
      </c>
      <c r="G2084" t="s">
        <v>1</v>
      </c>
      <c r="H2084" t="s">
        <v>0</v>
      </c>
      <c r="I2084" t="s">
        <v>8165</v>
      </c>
      <c r="J2084" t="s">
        <v>8164</v>
      </c>
      <c r="K2084">
        <v>12267</v>
      </c>
      <c r="L2084">
        <v>12267</v>
      </c>
      <c r="M2084" t="s">
        <v>8194</v>
      </c>
      <c r="N2084" t="s">
        <v>8195</v>
      </c>
      <c r="O2084" s="3">
        <v>0</v>
      </c>
      <c r="P2084" s="3">
        <v>0</v>
      </c>
      <c r="Q2084" s="3">
        <v>52.8</v>
      </c>
      <c r="R2084" s="3">
        <v>6.8639999999999999</v>
      </c>
      <c r="S2084" s="3">
        <v>0</v>
      </c>
      <c r="T2084" s="3">
        <v>0</v>
      </c>
      <c r="U2084" s="3">
        <v>59.663999999999994</v>
      </c>
      <c r="V2084" s="51" t="s">
        <v>8046</v>
      </c>
      <c r="W2084" s="33" t="s">
        <v>1</v>
      </c>
    </row>
    <row r="2085" spans="5:23" hidden="1" x14ac:dyDescent="0.25">
      <c r="E2085" t="s">
        <v>8126</v>
      </c>
      <c r="F2085" s="34" t="s">
        <v>8148</v>
      </c>
      <c r="G2085" t="s">
        <v>1</v>
      </c>
      <c r="H2085" t="s">
        <v>0</v>
      </c>
      <c r="I2085" t="s">
        <v>8165</v>
      </c>
      <c r="J2085" t="s">
        <v>8164</v>
      </c>
      <c r="K2085">
        <v>12268</v>
      </c>
      <c r="L2085">
        <v>12268</v>
      </c>
      <c r="M2085" t="s">
        <v>8184</v>
      </c>
      <c r="N2085" t="s">
        <v>8185</v>
      </c>
      <c r="O2085" s="3">
        <v>0</v>
      </c>
      <c r="P2085" s="3">
        <v>0</v>
      </c>
      <c r="Q2085" s="3">
        <v>291.14999999999998</v>
      </c>
      <c r="R2085" s="3">
        <v>37.849499999999999</v>
      </c>
      <c r="S2085" s="3">
        <v>0</v>
      </c>
      <c r="T2085" s="3">
        <v>0</v>
      </c>
      <c r="U2085" s="3">
        <v>328.99949999999995</v>
      </c>
      <c r="V2085" s="51" t="s">
        <v>8046</v>
      </c>
      <c r="W2085" s="33" t="s">
        <v>1</v>
      </c>
    </row>
    <row r="2086" spans="5:23" hidden="1" x14ac:dyDescent="0.25">
      <c r="E2086" t="s">
        <v>8126</v>
      </c>
      <c r="F2086" s="34" t="s">
        <v>8148</v>
      </c>
      <c r="G2086" t="s">
        <v>1</v>
      </c>
      <c r="H2086" t="s">
        <v>0</v>
      </c>
      <c r="I2086" t="s">
        <v>8165</v>
      </c>
      <c r="J2086" t="s">
        <v>8164</v>
      </c>
      <c r="K2086">
        <v>12269</v>
      </c>
      <c r="L2086">
        <v>12269</v>
      </c>
      <c r="M2086" t="s">
        <v>7852</v>
      </c>
      <c r="N2086" t="s">
        <v>7851</v>
      </c>
      <c r="O2086" s="3">
        <v>0</v>
      </c>
      <c r="P2086" s="3">
        <v>0</v>
      </c>
      <c r="Q2086" s="3">
        <v>0</v>
      </c>
      <c r="R2086" s="3">
        <v>0</v>
      </c>
      <c r="S2086" s="3">
        <v>0</v>
      </c>
      <c r="T2086" s="3">
        <v>0</v>
      </c>
      <c r="U2086" s="3">
        <v>0</v>
      </c>
      <c r="V2086" s="51" t="s">
        <v>8046</v>
      </c>
      <c r="W2086" s="33" t="s">
        <v>1</v>
      </c>
    </row>
    <row r="2087" spans="5:23" hidden="1" x14ac:dyDescent="0.25">
      <c r="E2087" t="s">
        <v>8126</v>
      </c>
      <c r="F2087" s="34" t="s">
        <v>8148</v>
      </c>
      <c r="G2087" t="s">
        <v>1</v>
      </c>
      <c r="H2087" t="s">
        <v>0</v>
      </c>
      <c r="I2087" t="s">
        <v>8165</v>
      </c>
      <c r="J2087" t="s">
        <v>8164</v>
      </c>
      <c r="K2087">
        <v>12270</v>
      </c>
      <c r="L2087">
        <v>12270</v>
      </c>
      <c r="M2087" t="s">
        <v>7852</v>
      </c>
      <c r="N2087" t="s">
        <v>7851</v>
      </c>
      <c r="O2087" s="3">
        <v>0</v>
      </c>
      <c r="P2087" s="3">
        <v>0</v>
      </c>
      <c r="Q2087" s="3">
        <v>0</v>
      </c>
      <c r="R2087" s="3">
        <v>0</v>
      </c>
      <c r="S2087" s="3">
        <v>0</v>
      </c>
      <c r="T2087" s="3">
        <v>0</v>
      </c>
      <c r="U2087" s="3">
        <v>0</v>
      </c>
      <c r="V2087" s="51" t="s">
        <v>8046</v>
      </c>
      <c r="W2087" s="33" t="s">
        <v>1</v>
      </c>
    </row>
    <row r="2088" spans="5:23" hidden="1" x14ac:dyDescent="0.25">
      <c r="E2088" t="s">
        <v>8126</v>
      </c>
      <c r="F2088" s="34" t="s">
        <v>8148</v>
      </c>
      <c r="G2088" t="s">
        <v>1</v>
      </c>
      <c r="H2088" t="s">
        <v>0</v>
      </c>
      <c r="I2088" t="s">
        <v>8165</v>
      </c>
      <c r="J2088" t="s">
        <v>8164</v>
      </c>
      <c r="K2088">
        <v>12271</v>
      </c>
      <c r="L2088">
        <v>12271</v>
      </c>
      <c r="M2088" t="s">
        <v>8192</v>
      </c>
      <c r="N2088" t="s">
        <v>8193</v>
      </c>
      <c r="O2088" s="3">
        <v>0</v>
      </c>
      <c r="P2088" s="3">
        <v>0</v>
      </c>
      <c r="Q2088" s="3">
        <v>186</v>
      </c>
      <c r="R2088" s="3">
        <v>24.18</v>
      </c>
      <c r="S2088" s="3">
        <v>0</v>
      </c>
      <c r="T2088" s="3">
        <v>0</v>
      </c>
      <c r="U2088" s="3">
        <v>210.18</v>
      </c>
      <c r="V2088" s="51" t="s">
        <v>8046</v>
      </c>
      <c r="W2088" s="33" t="s">
        <v>1</v>
      </c>
    </row>
    <row r="2089" spans="5:23" hidden="1" x14ac:dyDescent="0.25">
      <c r="E2089" t="s">
        <v>8126</v>
      </c>
      <c r="F2089" s="34" t="s">
        <v>8148</v>
      </c>
      <c r="G2089" t="s">
        <v>1</v>
      </c>
      <c r="H2089" t="s">
        <v>0</v>
      </c>
      <c r="I2089" t="s">
        <v>8165</v>
      </c>
      <c r="J2089" t="s">
        <v>8164</v>
      </c>
      <c r="K2089">
        <v>12272</v>
      </c>
      <c r="L2089">
        <v>12272</v>
      </c>
      <c r="M2089" t="s">
        <v>8190</v>
      </c>
      <c r="N2089" t="s">
        <v>8191</v>
      </c>
      <c r="O2089" s="3">
        <v>0</v>
      </c>
      <c r="P2089" s="3">
        <v>0</v>
      </c>
      <c r="Q2089" s="3">
        <v>121.7</v>
      </c>
      <c r="R2089" s="3">
        <v>15.821000000000002</v>
      </c>
      <c r="S2089" s="3">
        <v>0</v>
      </c>
      <c r="T2089" s="3">
        <v>0</v>
      </c>
      <c r="U2089" s="3">
        <v>137.52100000000002</v>
      </c>
      <c r="V2089" s="51" t="s">
        <v>8046</v>
      </c>
      <c r="W2089" s="33" t="s">
        <v>1</v>
      </c>
    </row>
    <row r="2090" spans="5:23" hidden="1" x14ac:dyDescent="0.25">
      <c r="E2090" t="s">
        <v>8126</v>
      </c>
      <c r="F2090" s="34" t="s">
        <v>8148</v>
      </c>
      <c r="G2090" t="s">
        <v>1</v>
      </c>
      <c r="H2090" t="s">
        <v>0</v>
      </c>
      <c r="I2090" t="s">
        <v>8165</v>
      </c>
      <c r="J2090" t="s">
        <v>8164</v>
      </c>
      <c r="K2090">
        <v>12273</v>
      </c>
      <c r="L2090">
        <v>12273</v>
      </c>
      <c r="M2090" t="s">
        <v>936</v>
      </c>
      <c r="N2090" t="s">
        <v>937</v>
      </c>
      <c r="O2090" s="3">
        <v>0</v>
      </c>
      <c r="P2090" s="3">
        <v>0</v>
      </c>
      <c r="Q2090" s="3">
        <v>31.28</v>
      </c>
      <c r="R2090" s="3">
        <v>4.0664000000000007</v>
      </c>
      <c r="S2090" s="3">
        <v>0</v>
      </c>
      <c r="T2090" s="3">
        <v>0</v>
      </c>
      <c r="U2090" s="3">
        <v>35.346400000000003</v>
      </c>
      <c r="V2090" s="51" t="s">
        <v>8046</v>
      </c>
      <c r="W2090" s="33" t="s">
        <v>1</v>
      </c>
    </row>
    <row r="2091" spans="5:23" hidden="1" x14ac:dyDescent="0.25">
      <c r="E2091" t="s">
        <v>8126</v>
      </c>
      <c r="F2091" s="34" t="s">
        <v>8148</v>
      </c>
      <c r="G2091" t="s">
        <v>1</v>
      </c>
      <c r="H2091" t="s">
        <v>0</v>
      </c>
      <c r="I2091" t="s">
        <v>8165</v>
      </c>
      <c r="J2091" t="s">
        <v>8164</v>
      </c>
      <c r="K2091">
        <v>12274</v>
      </c>
      <c r="L2091">
        <v>12274</v>
      </c>
      <c r="M2091" t="s">
        <v>7852</v>
      </c>
      <c r="N2091" t="s">
        <v>7851</v>
      </c>
      <c r="O2091" s="3">
        <v>0</v>
      </c>
      <c r="P2091" s="3">
        <v>0</v>
      </c>
      <c r="Q2091" s="3">
        <v>0</v>
      </c>
      <c r="R2091" s="3">
        <v>0</v>
      </c>
      <c r="S2091" s="3">
        <v>0</v>
      </c>
      <c r="T2091" s="3">
        <v>0</v>
      </c>
      <c r="U2091" s="3">
        <v>0</v>
      </c>
      <c r="V2091" s="51" t="s">
        <v>8046</v>
      </c>
      <c r="W2091" s="33" t="s">
        <v>1</v>
      </c>
    </row>
    <row r="2092" spans="5:23" hidden="1" x14ac:dyDescent="0.25">
      <c r="E2092" t="s">
        <v>8126</v>
      </c>
      <c r="F2092" s="34" t="s">
        <v>8148</v>
      </c>
      <c r="G2092" t="s">
        <v>1</v>
      </c>
      <c r="H2092" t="s">
        <v>0</v>
      </c>
      <c r="I2092" t="s">
        <v>8165</v>
      </c>
      <c r="J2092" t="s">
        <v>8164</v>
      </c>
      <c r="K2092">
        <v>12275</v>
      </c>
      <c r="L2092">
        <v>12275</v>
      </c>
      <c r="M2092" t="s">
        <v>7852</v>
      </c>
      <c r="N2092" t="s">
        <v>7851</v>
      </c>
      <c r="O2092" s="3">
        <v>0</v>
      </c>
      <c r="P2092" s="3">
        <v>0</v>
      </c>
      <c r="Q2092" s="3">
        <v>0</v>
      </c>
      <c r="R2092" s="3">
        <v>0</v>
      </c>
      <c r="S2092" s="3">
        <v>0</v>
      </c>
      <c r="T2092" s="3">
        <v>0</v>
      </c>
      <c r="U2092" s="3">
        <v>0</v>
      </c>
      <c r="V2092" s="51" t="s">
        <v>8046</v>
      </c>
      <c r="W2092" s="33" t="s">
        <v>1</v>
      </c>
    </row>
    <row r="2093" spans="5:23" hidden="1" x14ac:dyDescent="0.25">
      <c r="E2093" t="s">
        <v>8126</v>
      </c>
      <c r="F2093" s="34" t="s">
        <v>8148</v>
      </c>
      <c r="G2093" t="s">
        <v>1</v>
      </c>
      <c r="H2093" t="s">
        <v>0</v>
      </c>
      <c r="I2093" t="s">
        <v>8165</v>
      </c>
      <c r="J2093" t="s">
        <v>8164</v>
      </c>
      <c r="K2093">
        <v>12276</v>
      </c>
      <c r="L2093">
        <v>12276</v>
      </c>
      <c r="M2093" t="s">
        <v>7852</v>
      </c>
      <c r="N2093" t="s">
        <v>7851</v>
      </c>
      <c r="O2093" s="3">
        <v>0</v>
      </c>
      <c r="P2093" s="3">
        <v>0</v>
      </c>
      <c r="Q2093" s="3">
        <v>0</v>
      </c>
      <c r="R2093" s="3">
        <v>0</v>
      </c>
      <c r="S2093" s="3">
        <v>0</v>
      </c>
      <c r="T2093" s="3">
        <v>0</v>
      </c>
      <c r="U2093" s="3">
        <v>0</v>
      </c>
      <c r="V2093" s="51" t="s">
        <v>8046</v>
      </c>
      <c r="W2093" s="33" t="s">
        <v>1</v>
      </c>
    </row>
    <row r="2094" spans="5:23" hidden="1" x14ac:dyDescent="0.25">
      <c r="E2094" t="s">
        <v>8126</v>
      </c>
      <c r="F2094" s="34" t="s">
        <v>8148</v>
      </c>
      <c r="G2094" t="s">
        <v>1</v>
      </c>
      <c r="H2094" t="s">
        <v>0</v>
      </c>
      <c r="I2094" t="s">
        <v>8165</v>
      </c>
      <c r="J2094" t="s">
        <v>8164</v>
      </c>
      <c r="K2094">
        <v>12277</v>
      </c>
      <c r="L2094">
        <v>12277</v>
      </c>
      <c r="M2094" t="s">
        <v>7852</v>
      </c>
      <c r="N2094" t="s">
        <v>7851</v>
      </c>
      <c r="O2094" s="3">
        <v>0</v>
      </c>
      <c r="P2094" s="3">
        <v>0</v>
      </c>
      <c r="Q2094" s="3">
        <v>0</v>
      </c>
      <c r="R2094" s="3">
        <v>0</v>
      </c>
      <c r="S2094" s="3">
        <v>0</v>
      </c>
      <c r="T2094" s="3">
        <v>0</v>
      </c>
      <c r="U2094" s="3">
        <v>0</v>
      </c>
      <c r="V2094" s="51" t="s">
        <v>8046</v>
      </c>
      <c r="W2094" s="33" t="s">
        <v>1</v>
      </c>
    </row>
    <row r="2095" spans="5:23" hidden="1" x14ac:dyDescent="0.25">
      <c r="E2095" t="s">
        <v>8126</v>
      </c>
      <c r="F2095" s="34" t="s">
        <v>8148</v>
      </c>
      <c r="G2095" t="s">
        <v>1</v>
      </c>
      <c r="H2095" t="s">
        <v>0</v>
      </c>
      <c r="I2095" t="s">
        <v>8165</v>
      </c>
      <c r="J2095" t="s">
        <v>8164</v>
      </c>
      <c r="K2095">
        <v>12278</v>
      </c>
      <c r="L2095">
        <v>12278</v>
      </c>
      <c r="M2095" t="s">
        <v>8188</v>
      </c>
      <c r="N2095" t="s">
        <v>8189</v>
      </c>
      <c r="O2095" s="3">
        <v>0</v>
      </c>
      <c r="P2095" s="3">
        <v>0</v>
      </c>
      <c r="Q2095" s="3">
        <v>1081.8599999999999</v>
      </c>
      <c r="R2095" s="3">
        <v>140.64179999999999</v>
      </c>
      <c r="S2095" s="3">
        <v>0</v>
      </c>
      <c r="T2095" s="3">
        <v>0</v>
      </c>
      <c r="U2095" s="3">
        <v>1222.5018</v>
      </c>
      <c r="V2095" s="51" t="s">
        <v>8046</v>
      </c>
      <c r="W2095" s="33" t="s">
        <v>1</v>
      </c>
    </row>
    <row r="2096" spans="5:23" hidden="1" x14ac:dyDescent="0.25">
      <c r="E2096" t="s">
        <v>8126</v>
      </c>
      <c r="F2096" s="34" t="s">
        <v>8148</v>
      </c>
      <c r="G2096" t="s">
        <v>1</v>
      </c>
      <c r="H2096" t="s">
        <v>0</v>
      </c>
      <c r="I2096" t="s">
        <v>8165</v>
      </c>
      <c r="J2096" t="s">
        <v>8164</v>
      </c>
      <c r="K2096">
        <v>12279</v>
      </c>
      <c r="L2096">
        <v>12279</v>
      </c>
      <c r="M2096" t="s">
        <v>115</v>
      </c>
      <c r="N2096" t="s">
        <v>116</v>
      </c>
      <c r="O2096" s="3">
        <v>0</v>
      </c>
      <c r="P2096" s="3">
        <v>0</v>
      </c>
      <c r="Q2096" s="3">
        <v>100</v>
      </c>
      <c r="R2096" s="3">
        <v>13</v>
      </c>
      <c r="S2096" s="3">
        <v>0</v>
      </c>
      <c r="T2096" s="3">
        <v>0</v>
      </c>
      <c r="U2096" s="3">
        <v>113</v>
      </c>
      <c r="V2096" s="51" t="s">
        <v>8046</v>
      </c>
      <c r="W2096" s="33" t="s">
        <v>1</v>
      </c>
    </row>
    <row r="2097" spans="5:23" hidden="1" x14ac:dyDescent="0.25">
      <c r="E2097" t="s">
        <v>8126</v>
      </c>
      <c r="F2097" s="34" t="s">
        <v>8148</v>
      </c>
      <c r="G2097" t="s">
        <v>1</v>
      </c>
      <c r="H2097" t="s">
        <v>0</v>
      </c>
      <c r="I2097" t="s">
        <v>8165</v>
      </c>
      <c r="J2097" t="s">
        <v>8164</v>
      </c>
      <c r="K2097">
        <v>12280</v>
      </c>
      <c r="L2097">
        <v>12280</v>
      </c>
      <c r="M2097" t="s">
        <v>6544</v>
      </c>
      <c r="N2097" t="s">
        <v>6545</v>
      </c>
      <c r="O2097" s="3">
        <v>0</v>
      </c>
      <c r="P2097" s="3">
        <v>0</v>
      </c>
      <c r="Q2097" s="3">
        <v>9.48</v>
      </c>
      <c r="R2097" s="3">
        <v>1.2324000000000002</v>
      </c>
      <c r="S2097" s="3">
        <v>0</v>
      </c>
      <c r="T2097" s="3">
        <v>0</v>
      </c>
      <c r="U2097" s="3">
        <v>10.712400000000001</v>
      </c>
      <c r="V2097" s="51" t="s">
        <v>8046</v>
      </c>
      <c r="W2097" s="33" t="s">
        <v>1</v>
      </c>
    </row>
    <row r="2098" spans="5:23" hidden="1" x14ac:dyDescent="0.25">
      <c r="E2098" t="s">
        <v>8126</v>
      </c>
      <c r="F2098" s="34" t="s">
        <v>8148</v>
      </c>
      <c r="G2098" t="s">
        <v>1</v>
      </c>
      <c r="H2098" t="s">
        <v>0</v>
      </c>
      <c r="I2098" t="s">
        <v>8165</v>
      </c>
      <c r="J2098" t="s">
        <v>8164</v>
      </c>
      <c r="K2098">
        <v>12281</v>
      </c>
      <c r="L2098">
        <v>12281</v>
      </c>
      <c r="M2098" t="s">
        <v>7852</v>
      </c>
      <c r="N2098" t="s">
        <v>7851</v>
      </c>
      <c r="O2098" s="3">
        <v>0</v>
      </c>
      <c r="P2098" s="3">
        <v>0</v>
      </c>
      <c r="Q2098" s="3">
        <v>0</v>
      </c>
      <c r="R2098" s="3">
        <v>0</v>
      </c>
      <c r="S2098" s="3">
        <v>0</v>
      </c>
      <c r="T2098" s="3">
        <v>0</v>
      </c>
      <c r="U2098" s="3">
        <v>0</v>
      </c>
      <c r="V2098" s="51" t="s">
        <v>8046</v>
      </c>
      <c r="W2098" s="33" t="s">
        <v>1</v>
      </c>
    </row>
    <row r="2099" spans="5:23" hidden="1" x14ac:dyDescent="0.25">
      <c r="E2099" t="s">
        <v>8126</v>
      </c>
      <c r="F2099" s="34" t="s">
        <v>8148</v>
      </c>
      <c r="G2099" t="s">
        <v>1</v>
      </c>
      <c r="H2099" t="s">
        <v>0</v>
      </c>
      <c r="I2099" t="s">
        <v>8165</v>
      </c>
      <c r="J2099" t="s">
        <v>8164</v>
      </c>
      <c r="K2099">
        <v>12282</v>
      </c>
      <c r="L2099">
        <v>12282</v>
      </c>
      <c r="M2099" t="s">
        <v>6544</v>
      </c>
      <c r="N2099" t="s">
        <v>6545</v>
      </c>
      <c r="O2099" s="3">
        <v>0</v>
      </c>
      <c r="P2099" s="3">
        <v>0</v>
      </c>
      <c r="Q2099" s="3">
        <v>690.24</v>
      </c>
      <c r="R2099" s="3">
        <v>89.731200000000001</v>
      </c>
      <c r="S2099" s="3">
        <v>0</v>
      </c>
      <c r="T2099" s="3">
        <v>0</v>
      </c>
      <c r="U2099" s="3">
        <v>779.97119999999995</v>
      </c>
      <c r="V2099" s="51" t="s">
        <v>8046</v>
      </c>
      <c r="W2099" s="33" t="s">
        <v>1</v>
      </c>
    </row>
    <row r="2100" spans="5:23" hidden="1" x14ac:dyDescent="0.25">
      <c r="E2100" t="s">
        <v>8126</v>
      </c>
      <c r="F2100" s="34" t="s">
        <v>8148</v>
      </c>
      <c r="G2100" t="s">
        <v>1</v>
      </c>
      <c r="H2100" t="s">
        <v>0</v>
      </c>
      <c r="I2100" t="s">
        <v>8165</v>
      </c>
      <c r="J2100" t="s">
        <v>8164</v>
      </c>
      <c r="K2100">
        <v>12283</v>
      </c>
      <c r="L2100">
        <v>12283</v>
      </c>
      <c r="M2100" t="s">
        <v>8186</v>
      </c>
      <c r="N2100" t="s">
        <v>8187</v>
      </c>
      <c r="O2100" s="3">
        <v>0</v>
      </c>
      <c r="P2100" s="3">
        <v>0</v>
      </c>
      <c r="Q2100" s="3">
        <v>154.84</v>
      </c>
      <c r="R2100" s="3">
        <v>20.129200000000001</v>
      </c>
      <c r="S2100" s="3">
        <v>0</v>
      </c>
      <c r="T2100" s="3">
        <v>0</v>
      </c>
      <c r="U2100" s="3">
        <v>174.9692</v>
      </c>
      <c r="V2100" s="51" t="s">
        <v>8046</v>
      </c>
      <c r="W2100" s="33" t="s">
        <v>1</v>
      </c>
    </row>
    <row r="2101" spans="5:23" hidden="1" x14ac:dyDescent="0.25">
      <c r="E2101" t="s">
        <v>8126</v>
      </c>
      <c r="F2101" s="34" t="s">
        <v>8145</v>
      </c>
      <c r="G2101" t="s">
        <v>1</v>
      </c>
      <c r="H2101" t="s">
        <v>0</v>
      </c>
      <c r="I2101" t="s">
        <v>8165</v>
      </c>
      <c r="J2101" t="s">
        <v>8164</v>
      </c>
      <c r="K2101">
        <v>12284</v>
      </c>
      <c r="L2101">
        <v>12284</v>
      </c>
      <c r="M2101" t="s">
        <v>8186</v>
      </c>
      <c r="N2101" t="s">
        <v>8187</v>
      </c>
      <c r="O2101" s="3">
        <v>0</v>
      </c>
      <c r="P2101" s="3">
        <v>0</v>
      </c>
      <c r="Q2101" s="3">
        <v>432.72</v>
      </c>
      <c r="R2101" s="3">
        <v>56.253600000000006</v>
      </c>
      <c r="S2101" s="3">
        <v>0</v>
      </c>
      <c r="T2101" s="3">
        <v>0</v>
      </c>
      <c r="U2101" s="3">
        <v>488.97360000000003</v>
      </c>
      <c r="V2101" s="51" t="s">
        <v>8046</v>
      </c>
      <c r="W2101" s="33" t="s">
        <v>1</v>
      </c>
    </row>
    <row r="2102" spans="5:23" hidden="1" x14ac:dyDescent="0.25">
      <c r="E2102" t="s">
        <v>8126</v>
      </c>
      <c r="F2102" s="34" t="s">
        <v>8145</v>
      </c>
      <c r="G2102" t="s">
        <v>1</v>
      </c>
      <c r="H2102" t="s">
        <v>0</v>
      </c>
      <c r="I2102" t="s">
        <v>8165</v>
      </c>
      <c r="J2102" t="s">
        <v>8164</v>
      </c>
      <c r="K2102">
        <v>12285</v>
      </c>
      <c r="L2102">
        <v>12285</v>
      </c>
      <c r="M2102" t="s">
        <v>8184</v>
      </c>
      <c r="N2102" t="s">
        <v>8185</v>
      </c>
      <c r="O2102" s="3">
        <v>0</v>
      </c>
      <c r="P2102" s="3">
        <v>0</v>
      </c>
      <c r="Q2102" s="3">
        <v>30.2</v>
      </c>
      <c r="R2102" s="3">
        <v>3.9260000000000002</v>
      </c>
      <c r="S2102" s="3">
        <v>0</v>
      </c>
      <c r="T2102" s="3">
        <v>0</v>
      </c>
      <c r="U2102" s="3">
        <v>34.125999999999998</v>
      </c>
      <c r="V2102" s="51" t="s">
        <v>8046</v>
      </c>
      <c r="W2102" s="33" t="s">
        <v>1</v>
      </c>
    </row>
    <row r="2103" spans="5:23" hidden="1" x14ac:dyDescent="0.25">
      <c r="E2103" t="s">
        <v>8126</v>
      </c>
      <c r="F2103" s="34" t="s">
        <v>8145</v>
      </c>
      <c r="G2103" t="s">
        <v>1</v>
      </c>
      <c r="H2103" t="s">
        <v>0</v>
      </c>
      <c r="I2103" t="s">
        <v>8165</v>
      </c>
      <c r="J2103" t="s">
        <v>8164</v>
      </c>
      <c r="K2103">
        <v>12286</v>
      </c>
      <c r="L2103">
        <v>12286</v>
      </c>
      <c r="M2103" t="s">
        <v>8182</v>
      </c>
      <c r="N2103" t="s">
        <v>8183</v>
      </c>
      <c r="O2103" s="3">
        <v>0</v>
      </c>
      <c r="P2103" s="3">
        <v>0</v>
      </c>
      <c r="Q2103" s="3">
        <v>24.15</v>
      </c>
      <c r="R2103" s="3">
        <v>3.1395</v>
      </c>
      <c r="S2103" s="3">
        <v>0</v>
      </c>
      <c r="T2103" s="3">
        <v>0</v>
      </c>
      <c r="U2103" s="3">
        <v>27.289499999999997</v>
      </c>
      <c r="V2103" s="51" t="s">
        <v>8046</v>
      </c>
      <c r="W2103" s="33" t="s">
        <v>1</v>
      </c>
    </row>
    <row r="2104" spans="5:23" hidden="1" x14ac:dyDescent="0.25">
      <c r="E2104" t="s">
        <v>8126</v>
      </c>
      <c r="F2104" s="34" t="s">
        <v>8145</v>
      </c>
      <c r="G2104" t="s">
        <v>1</v>
      </c>
      <c r="H2104" t="s">
        <v>0</v>
      </c>
      <c r="I2104" t="s">
        <v>8165</v>
      </c>
      <c r="J2104" t="s">
        <v>8164</v>
      </c>
      <c r="K2104">
        <v>12287</v>
      </c>
      <c r="L2104">
        <v>12287</v>
      </c>
      <c r="M2104" t="s">
        <v>8180</v>
      </c>
      <c r="N2104" t="s">
        <v>8181</v>
      </c>
      <c r="O2104" s="3">
        <v>0</v>
      </c>
      <c r="P2104" s="3">
        <v>0</v>
      </c>
      <c r="Q2104" s="3">
        <v>16.170000000000002</v>
      </c>
      <c r="R2104" s="3">
        <v>2.1021000000000001</v>
      </c>
      <c r="S2104" s="3">
        <v>0</v>
      </c>
      <c r="T2104" s="3">
        <v>0</v>
      </c>
      <c r="U2104" s="3">
        <v>18.272100000000002</v>
      </c>
      <c r="V2104" s="51" t="s">
        <v>8046</v>
      </c>
      <c r="W2104" s="33" t="s">
        <v>1</v>
      </c>
    </row>
    <row r="2105" spans="5:23" hidden="1" x14ac:dyDescent="0.25">
      <c r="E2105" t="s">
        <v>8126</v>
      </c>
      <c r="F2105" s="34" t="s">
        <v>8145</v>
      </c>
      <c r="G2105" t="s">
        <v>1</v>
      </c>
      <c r="H2105" t="s">
        <v>0</v>
      </c>
      <c r="I2105" t="s">
        <v>8165</v>
      </c>
      <c r="J2105" t="s">
        <v>8164</v>
      </c>
      <c r="K2105">
        <v>12288</v>
      </c>
      <c r="L2105">
        <v>12288</v>
      </c>
      <c r="M2105" t="s">
        <v>8178</v>
      </c>
      <c r="N2105" t="s">
        <v>8179</v>
      </c>
      <c r="O2105" s="3">
        <v>0</v>
      </c>
      <c r="P2105" s="3">
        <v>0</v>
      </c>
      <c r="Q2105" s="3">
        <v>318.8</v>
      </c>
      <c r="R2105" s="3">
        <v>41.444000000000003</v>
      </c>
      <c r="S2105" s="3">
        <v>0</v>
      </c>
      <c r="T2105" s="3">
        <v>0</v>
      </c>
      <c r="U2105" s="3">
        <v>360.24400000000003</v>
      </c>
      <c r="V2105" s="51" t="s">
        <v>8046</v>
      </c>
      <c r="W2105" s="33" t="s">
        <v>1</v>
      </c>
    </row>
    <row r="2106" spans="5:23" hidden="1" x14ac:dyDescent="0.25">
      <c r="E2106" t="s">
        <v>8126</v>
      </c>
      <c r="F2106" s="34" t="s">
        <v>8145</v>
      </c>
      <c r="G2106" t="s">
        <v>1</v>
      </c>
      <c r="H2106" t="s">
        <v>0</v>
      </c>
      <c r="I2106" t="s">
        <v>8165</v>
      </c>
      <c r="J2106" t="s">
        <v>8164</v>
      </c>
      <c r="K2106">
        <v>12289</v>
      </c>
      <c r="L2106">
        <v>12289</v>
      </c>
      <c r="M2106" t="s">
        <v>8176</v>
      </c>
      <c r="N2106" t="s">
        <v>8177</v>
      </c>
      <c r="O2106" s="3">
        <v>0</v>
      </c>
      <c r="P2106" s="3">
        <v>0</v>
      </c>
      <c r="Q2106" s="3">
        <v>67.98</v>
      </c>
      <c r="R2106" s="3">
        <v>8.8374000000000006</v>
      </c>
      <c r="S2106" s="3">
        <v>0</v>
      </c>
      <c r="T2106" s="3">
        <v>0</v>
      </c>
      <c r="U2106" s="3">
        <v>76.817400000000006</v>
      </c>
      <c r="V2106" s="51" t="s">
        <v>8046</v>
      </c>
      <c r="W2106" s="33" t="s">
        <v>1</v>
      </c>
    </row>
    <row r="2107" spans="5:23" hidden="1" x14ac:dyDescent="0.25">
      <c r="E2107" t="s">
        <v>8126</v>
      </c>
      <c r="F2107" s="34" t="s">
        <v>8145</v>
      </c>
      <c r="G2107" t="s">
        <v>1</v>
      </c>
      <c r="H2107" t="s">
        <v>0</v>
      </c>
      <c r="I2107" t="s">
        <v>8165</v>
      </c>
      <c r="J2107" t="s">
        <v>8164</v>
      </c>
      <c r="K2107">
        <v>12290</v>
      </c>
      <c r="L2107">
        <v>12290</v>
      </c>
      <c r="M2107" t="s">
        <v>8174</v>
      </c>
      <c r="N2107" t="s">
        <v>8175</v>
      </c>
      <c r="O2107" s="3">
        <v>0</v>
      </c>
      <c r="P2107" s="3">
        <v>0</v>
      </c>
      <c r="Q2107" s="3">
        <v>144</v>
      </c>
      <c r="R2107" s="3">
        <v>18.72</v>
      </c>
      <c r="S2107" s="3">
        <v>0</v>
      </c>
      <c r="T2107" s="3">
        <v>0</v>
      </c>
      <c r="U2107" s="3">
        <v>162.72</v>
      </c>
      <c r="V2107" s="51" t="s">
        <v>8046</v>
      </c>
      <c r="W2107" s="33" t="s">
        <v>1</v>
      </c>
    </row>
    <row r="2108" spans="5:23" hidden="1" x14ac:dyDescent="0.25">
      <c r="E2108" t="s">
        <v>8126</v>
      </c>
      <c r="F2108" s="34" t="s">
        <v>8145</v>
      </c>
      <c r="G2108" t="s">
        <v>1</v>
      </c>
      <c r="H2108" t="s">
        <v>0</v>
      </c>
      <c r="I2108" t="s">
        <v>8165</v>
      </c>
      <c r="J2108" t="s">
        <v>8164</v>
      </c>
      <c r="K2108">
        <v>12291</v>
      </c>
      <c r="L2108">
        <v>12291</v>
      </c>
      <c r="M2108" t="s">
        <v>7983</v>
      </c>
      <c r="N2108" t="s">
        <v>7984</v>
      </c>
      <c r="O2108" s="3">
        <v>0</v>
      </c>
      <c r="P2108" s="3">
        <v>0</v>
      </c>
      <c r="Q2108" s="3">
        <v>99.95</v>
      </c>
      <c r="R2108" s="3">
        <v>12.993500000000001</v>
      </c>
      <c r="S2108" s="3">
        <v>0</v>
      </c>
      <c r="T2108" s="3">
        <v>0</v>
      </c>
      <c r="U2108" s="3">
        <v>112.9435</v>
      </c>
      <c r="V2108" s="51" t="s">
        <v>8046</v>
      </c>
      <c r="W2108" s="33" t="s">
        <v>1</v>
      </c>
    </row>
    <row r="2109" spans="5:23" hidden="1" x14ac:dyDescent="0.25">
      <c r="E2109" t="s">
        <v>8126</v>
      </c>
      <c r="F2109" s="34" t="s">
        <v>8145</v>
      </c>
      <c r="G2109" t="s">
        <v>1</v>
      </c>
      <c r="H2109" t="s">
        <v>0</v>
      </c>
      <c r="I2109" t="s">
        <v>8165</v>
      </c>
      <c r="J2109" t="s">
        <v>8164</v>
      </c>
      <c r="K2109">
        <v>12292</v>
      </c>
      <c r="L2109">
        <v>12292</v>
      </c>
      <c r="M2109" t="s">
        <v>7983</v>
      </c>
      <c r="N2109" t="s">
        <v>7984</v>
      </c>
      <c r="O2109" s="3">
        <v>0</v>
      </c>
      <c r="P2109" s="3">
        <v>0</v>
      </c>
      <c r="Q2109" s="3">
        <v>104</v>
      </c>
      <c r="R2109" s="3">
        <v>13.52</v>
      </c>
      <c r="S2109" s="3">
        <v>0</v>
      </c>
      <c r="T2109" s="3">
        <v>0</v>
      </c>
      <c r="U2109" s="3">
        <v>117.52</v>
      </c>
      <c r="V2109" s="51" t="s">
        <v>8046</v>
      </c>
      <c r="W2109" s="33" t="s">
        <v>1</v>
      </c>
    </row>
    <row r="2110" spans="5:23" hidden="1" x14ac:dyDescent="0.25">
      <c r="E2110" t="s">
        <v>8126</v>
      </c>
      <c r="F2110" s="34" t="s">
        <v>8145</v>
      </c>
      <c r="G2110" t="s">
        <v>1</v>
      </c>
      <c r="H2110" t="s">
        <v>0</v>
      </c>
      <c r="I2110" t="s">
        <v>8165</v>
      </c>
      <c r="J2110" t="s">
        <v>8164</v>
      </c>
      <c r="K2110">
        <v>12293</v>
      </c>
      <c r="L2110">
        <v>12293</v>
      </c>
      <c r="M2110" t="s">
        <v>7983</v>
      </c>
      <c r="N2110" t="s">
        <v>7984</v>
      </c>
      <c r="O2110" s="3">
        <v>0</v>
      </c>
      <c r="P2110" s="3">
        <v>0</v>
      </c>
      <c r="Q2110" s="3">
        <v>555</v>
      </c>
      <c r="R2110" s="3">
        <v>72.150000000000006</v>
      </c>
      <c r="S2110" s="3">
        <v>0</v>
      </c>
      <c r="T2110" s="3">
        <v>0</v>
      </c>
      <c r="U2110" s="3">
        <v>627.15</v>
      </c>
      <c r="V2110" s="51" t="s">
        <v>8046</v>
      </c>
      <c r="W2110" s="33" t="s">
        <v>1</v>
      </c>
    </row>
    <row r="2111" spans="5:23" hidden="1" x14ac:dyDescent="0.25">
      <c r="E2111" t="s">
        <v>8126</v>
      </c>
      <c r="F2111" s="34" t="s">
        <v>8145</v>
      </c>
      <c r="G2111" t="s">
        <v>1</v>
      </c>
      <c r="H2111" t="s">
        <v>0</v>
      </c>
      <c r="I2111" t="s">
        <v>8165</v>
      </c>
      <c r="J2111" t="s">
        <v>8164</v>
      </c>
      <c r="K2111">
        <v>12294</v>
      </c>
      <c r="L2111">
        <v>12294</v>
      </c>
      <c r="M2111" t="s">
        <v>7852</v>
      </c>
      <c r="N2111" t="s">
        <v>7851</v>
      </c>
      <c r="O2111" s="3">
        <v>0</v>
      </c>
      <c r="P2111" s="3">
        <v>0</v>
      </c>
      <c r="Q2111" s="3">
        <v>0</v>
      </c>
      <c r="R2111" s="3">
        <v>0</v>
      </c>
      <c r="S2111" s="3">
        <v>0</v>
      </c>
      <c r="T2111" s="3">
        <v>0</v>
      </c>
      <c r="U2111" s="3">
        <v>0</v>
      </c>
      <c r="V2111" s="51" t="s">
        <v>8046</v>
      </c>
      <c r="W2111" s="33" t="s">
        <v>1</v>
      </c>
    </row>
    <row r="2112" spans="5:23" hidden="1" x14ac:dyDescent="0.25">
      <c r="E2112" t="s">
        <v>8126</v>
      </c>
      <c r="F2112" s="34" t="s">
        <v>8145</v>
      </c>
      <c r="G2112" t="s">
        <v>1</v>
      </c>
      <c r="H2112" t="s">
        <v>0</v>
      </c>
      <c r="I2112" t="s">
        <v>8165</v>
      </c>
      <c r="J2112" t="s">
        <v>8164</v>
      </c>
      <c r="K2112">
        <v>12295</v>
      </c>
      <c r="L2112">
        <v>12295</v>
      </c>
      <c r="M2112" t="s">
        <v>8172</v>
      </c>
      <c r="N2112" t="s">
        <v>8173</v>
      </c>
      <c r="O2112" s="3">
        <v>0</v>
      </c>
      <c r="P2112" s="3">
        <v>0</v>
      </c>
      <c r="Q2112" s="3">
        <v>55.46</v>
      </c>
      <c r="R2112" s="3">
        <v>7.2098000000000004</v>
      </c>
      <c r="S2112" s="3">
        <v>0</v>
      </c>
      <c r="T2112" s="3">
        <v>0</v>
      </c>
      <c r="U2112" s="3">
        <v>62.669800000000002</v>
      </c>
      <c r="V2112" s="51" t="s">
        <v>8046</v>
      </c>
      <c r="W2112" s="33" t="s">
        <v>1</v>
      </c>
    </row>
    <row r="2113" spans="5:23" hidden="1" x14ac:dyDescent="0.25">
      <c r="E2113" t="s">
        <v>8126</v>
      </c>
      <c r="F2113" s="34" t="s">
        <v>8145</v>
      </c>
      <c r="G2113" t="s">
        <v>1</v>
      </c>
      <c r="H2113" t="s">
        <v>0</v>
      </c>
      <c r="I2113" t="s">
        <v>8165</v>
      </c>
      <c r="J2113" t="s">
        <v>8164</v>
      </c>
      <c r="K2113">
        <v>12296</v>
      </c>
      <c r="L2113">
        <v>12296</v>
      </c>
      <c r="M2113" t="s">
        <v>8170</v>
      </c>
      <c r="N2113" t="s">
        <v>8171</v>
      </c>
      <c r="O2113" s="3">
        <v>0</v>
      </c>
      <c r="P2113" s="3">
        <v>0</v>
      </c>
      <c r="Q2113" s="3">
        <v>13.86</v>
      </c>
      <c r="R2113" s="3">
        <v>1.8018000000000001</v>
      </c>
      <c r="S2113" s="3">
        <v>0</v>
      </c>
      <c r="T2113" s="3">
        <v>0</v>
      </c>
      <c r="U2113" s="3">
        <v>15.661799999999999</v>
      </c>
      <c r="V2113" s="51" t="s">
        <v>8046</v>
      </c>
      <c r="W2113" s="33" t="s">
        <v>1</v>
      </c>
    </row>
    <row r="2114" spans="5:23" hidden="1" x14ac:dyDescent="0.25">
      <c r="E2114" t="s">
        <v>8126</v>
      </c>
      <c r="F2114" s="34" t="s">
        <v>8145</v>
      </c>
      <c r="G2114" t="s">
        <v>1</v>
      </c>
      <c r="H2114" t="s">
        <v>0</v>
      </c>
      <c r="I2114" t="s">
        <v>8165</v>
      </c>
      <c r="J2114" t="s">
        <v>8164</v>
      </c>
      <c r="K2114">
        <v>12297</v>
      </c>
      <c r="L2114">
        <v>12297</v>
      </c>
      <c r="M2114" t="s">
        <v>8168</v>
      </c>
      <c r="N2114" t="s">
        <v>8169</v>
      </c>
      <c r="O2114" s="3">
        <v>0</v>
      </c>
      <c r="P2114" s="3">
        <v>0</v>
      </c>
      <c r="Q2114" s="3">
        <v>20.9</v>
      </c>
      <c r="R2114" s="3">
        <v>2.7170000000000001</v>
      </c>
      <c r="S2114" s="3">
        <v>0</v>
      </c>
      <c r="T2114" s="3">
        <v>0</v>
      </c>
      <c r="U2114" s="3">
        <v>23.616999999999997</v>
      </c>
      <c r="V2114" s="51" t="s">
        <v>8046</v>
      </c>
      <c r="W2114" s="33" t="s">
        <v>1</v>
      </c>
    </row>
    <row r="2115" spans="5:23" hidden="1" x14ac:dyDescent="0.25">
      <c r="E2115" t="s">
        <v>8126</v>
      </c>
      <c r="F2115" s="34" t="s">
        <v>8145</v>
      </c>
      <c r="G2115" t="s">
        <v>1</v>
      </c>
      <c r="H2115" t="s">
        <v>0</v>
      </c>
      <c r="I2115" t="s">
        <v>8165</v>
      </c>
      <c r="J2115" t="s">
        <v>8164</v>
      </c>
      <c r="K2115">
        <v>12298</v>
      </c>
      <c r="L2115">
        <v>12298</v>
      </c>
      <c r="M2115" t="s">
        <v>1079</v>
      </c>
      <c r="N2115" t="s">
        <v>1080</v>
      </c>
      <c r="O2115" s="3">
        <v>0</v>
      </c>
      <c r="P2115" s="3">
        <v>0</v>
      </c>
      <c r="Q2115" s="3">
        <v>175.6</v>
      </c>
      <c r="R2115" s="3">
        <v>22.827999999999999</v>
      </c>
      <c r="S2115" s="3">
        <v>0</v>
      </c>
      <c r="T2115" s="3">
        <v>0</v>
      </c>
      <c r="U2115" s="3">
        <v>198.428</v>
      </c>
      <c r="V2115" s="51" t="s">
        <v>8046</v>
      </c>
      <c r="W2115" s="33" t="s">
        <v>1</v>
      </c>
    </row>
    <row r="2116" spans="5:23" hidden="1" x14ac:dyDescent="0.25">
      <c r="E2116" t="s">
        <v>8126</v>
      </c>
      <c r="F2116" s="34" t="s">
        <v>8145</v>
      </c>
      <c r="G2116" t="s">
        <v>1</v>
      </c>
      <c r="H2116" t="s">
        <v>0</v>
      </c>
      <c r="I2116" t="s">
        <v>8165</v>
      </c>
      <c r="J2116" t="s">
        <v>8164</v>
      </c>
      <c r="K2116">
        <v>12299</v>
      </c>
      <c r="L2116">
        <v>12299</v>
      </c>
      <c r="M2116" t="s">
        <v>8166</v>
      </c>
      <c r="N2116" t="s">
        <v>8167</v>
      </c>
      <c r="O2116" s="3">
        <v>0</v>
      </c>
      <c r="P2116" s="3">
        <v>0</v>
      </c>
      <c r="Q2116" s="3">
        <v>134.65</v>
      </c>
      <c r="R2116" s="3">
        <v>17.5045</v>
      </c>
      <c r="S2116" s="3">
        <v>0</v>
      </c>
      <c r="T2116" s="3">
        <v>0</v>
      </c>
      <c r="U2116" s="3">
        <v>152.15450000000001</v>
      </c>
      <c r="V2116" s="51" t="s">
        <v>8046</v>
      </c>
      <c r="W2116" s="33" t="s">
        <v>1</v>
      </c>
    </row>
    <row r="2117" spans="5:23" hidden="1" x14ac:dyDescent="0.25">
      <c r="E2117" t="s">
        <v>8126</v>
      </c>
      <c r="F2117" s="34" t="s">
        <v>8198</v>
      </c>
      <c r="G2117" t="s">
        <v>1</v>
      </c>
      <c r="H2117" t="s">
        <v>0</v>
      </c>
      <c r="I2117" t="s">
        <v>8158</v>
      </c>
      <c r="J2117" t="s">
        <v>8159</v>
      </c>
      <c r="K2117">
        <v>114</v>
      </c>
      <c r="L2117">
        <v>114</v>
      </c>
      <c r="M2117" t="s">
        <v>8162</v>
      </c>
      <c r="N2117" t="s">
        <v>8163</v>
      </c>
      <c r="O2117" s="3">
        <v>0</v>
      </c>
      <c r="P2117" s="3">
        <v>0</v>
      </c>
      <c r="Q2117" s="3">
        <v>65.87</v>
      </c>
      <c r="R2117" s="3">
        <v>8.5631000000000004</v>
      </c>
      <c r="S2117" s="3">
        <v>0</v>
      </c>
      <c r="T2117" s="3">
        <v>0</v>
      </c>
      <c r="U2117" s="3">
        <v>74.43310000000001</v>
      </c>
      <c r="V2117" s="51" t="s">
        <v>8046</v>
      </c>
      <c r="W2117" s="33" t="s">
        <v>1</v>
      </c>
    </row>
    <row r="2118" spans="5:23" hidden="1" x14ac:dyDescent="0.25">
      <c r="E2118" t="s">
        <v>8126</v>
      </c>
      <c r="F2118" s="34" t="s">
        <v>8199</v>
      </c>
      <c r="G2118" t="s">
        <v>1</v>
      </c>
      <c r="H2118" t="s">
        <v>0</v>
      </c>
      <c r="I2118" t="s">
        <v>8158</v>
      </c>
      <c r="J2118" t="s">
        <v>8159</v>
      </c>
      <c r="K2118">
        <v>113</v>
      </c>
      <c r="L2118">
        <v>113</v>
      </c>
      <c r="M2118" t="s">
        <v>8160</v>
      </c>
      <c r="N2118" t="s">
        <v>8161</v>
      </c>
      <c r="O2118" s="3">
        <v>0</v>
      </c>
      <c r="P2118" s="3">
        <v>0</v>
      </c>
      <c r="Q2118" s="3">
        <v>85.88</v>
      </c>
      <c r="R2118" s="3">
        <v>11.164400000000001</v>
      </c>
      <c r="S2118" s="3">
        <v>0</v>
      </c>
      <c r="T2118" s="3">
        <v>0</v>
      </c>
      <c r="U2118" s="3">
        <v>97.044399999999996</v>
      </c>
      <c r="V2118" s="51" t="s">
        <v>8046</v>
      </c>
      <c r="W2118" s="33" t="s">
        <v>1</v>
      </c>
    </row>
    <row r="2119" spans="5:23" hidden="1" x14ac:dyDescent="0.25">
      <c r="V2119" s="1"/>
      <c r="W2119" s="1"/>
    </row>
    <row r="2120" spans="5:23" x14ac:dyDescent="0.25">
      <c r="E2120" t="s">
        <v>7895</v>
      </c>
      <c r="F2120"/>
      <c r="O2120" s="24">
        <f>SUBTOTAL(109,Tabla2[VENTA EXENTA])</f>
        <v>0</v>
      </c>
      <c r="P2120"/>
      <c r="Q2120" s="24">
        <f>SUBTOTAL(109,Tabla2[V. GRAVADA])</f>
        <v>51054.66</v>
      </c>
      <c r="R2120" s="24">
        <f>SUBTOTAL(109,Tabla2[D.FISCAL])</f>
        <v>6637.1057999999994</v>
      </c>
      <c r="S2120"/>
      <c r="T2120"/>
      <c r="U2120" s="24">
        <f>SUBTOTAL(109,Tabla2[VENTA TOTAL])</f>
        <v>57691.765800000008</v>
      </c>
      <c r="V2120" s="145"/>
      <c r="W2120">
        <f>SUBTOTAL(103,Tabla2[ANEXO])</f>
        <v>222</v>
      </c>
    </row>
    <row r="2138" spans="5:23" s="3" customFormat="1" x14ac:dyDescent="0.25">
      <c r="E2138"/>
      <c r="F2138" s="1"/>
      <c r="G2138"/>
      <c r="H2138"/>
      <c r="I2138"/>
      <c r="J2138"/>
      <c r="K2138"/>
      <c r="L2138"/>
      <c r="M2138"/>
      <c r="N2138"/>
      <c r="W2138"/>
    </row>
    <row r="2139" spans="5:23" s="3" customFormat="1" x14ac:dyDescent="0.25">
      <c r="E2139"/>
      <c r="F2139" s="1"/>
      <c r="G2139"/>
      <c r="H2139"/>
      <c r="I2139"/>
      <c r="J2139"/>
      <c r="K2139"/>
      <c r="L2139"/>
      <c r="M2139"/>
      <c r="N2139"/>
      <c r="W2139"/>
    </row>
  </sheetData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B1:XFD25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style="6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7" t="s">
        <v>17</v>
      </c>
      <c r="D2" s="10" t="s">
        <v>8610</v>
      </c>
      <c r="XFD2" t="s">
        <v>8126</v>
      </c>
    </row>
    <row r="3" spans="2:4 16384:16384" x14ac:dyDescent="0.25">
      <c r="B3" s="7" t="s">
        <v>2</v>
      </c>
      <c r="D3" s="11" t="s">
        <v>8852</v>
      </c>
      <c r="XFD3" t="s">
        <v>8387</v>
      </c>
    </row>
    <row r="4" spans="2:4 16384:16384" x14ac:dyDescent="0.25">
      <c r="B4" s="7" t="s">
        <v>3</v>
      </c>
      <c r="D4" s="12" t="s">
        <v>1</v>
      </c>
      <c r="XFD4" t="s">
        <v>8388</v>
      </c>
    </row>
    <row r="5" spans="2:4 16384:16384" ht="14.25" customHeight="1" x14ac:dyDescent="0.25">
      <c r="B5" s="19" t="s">
        <v>4</v>
      </c>
      <c r="D5" s="12" t="s">
        <v>8127</v>
      </c>
      <c r="XFD5" t="s">
        <v>8607</v>
      </c>
    </row>
    <row r="6" spans="2:4 16384:16384" ht="14.25" customHeight="1" x14ac:dyDescent="0.25">
      <c r="B6" s="8" t="s">
        <v>69</v>
      </c>
      <c r="D6" s="13" t="s">
        <v>8128</v>
      </c>
      <c r="XFD6" t="s">
        <v>8608</v>
      </c>
    </row>
    <row r="7" spans="2:4 16384:16384" ht="14.25" customHeight="1" x14ac:dyDescent="0.25">
      <c r="B7" s="8" t="s">
        <v>68</v>
      </c>
      <c r="D7" s="13" t="s">
        <v>8129</v>
      </c>
      <c r="XFD7" t="s">
        <v>8609</v>
      </c>
    </row>
    <row r="8" spans="2:4 16384:16384" ht="14.25" customHeight="1" x14ac:dyDescent="0.25">
      <c r="B8" s="8" t="s">
        <v>67</v>
      </c>
      <c r="D8" s="30"/>
      <c r="XFD8" t="s">
        <v>8610</v>
      </c>
    </row>
    <row r="9" spans="2:4 16384:16384" ht="14.25" hidden="1" customHeight="1" x14ac:dyDescent="0.25">
      <c r="B9" s="7" t="s">
        <v>66</v>
      </c>
      <c r="D9" s="14">
        <f>+D8</f>
        <v>0</v>
      </c>
      <c r="XFD9" t="s">
        <v>8611</v>
      </c>
    </row>
    <row r="10" spans="2:4 16384:16384" ht="14.25" hidden="1" customHeight="1" x14ac:dyDescent="0.25">
      <c r="B10" s="7" t="s">
        <v>67</v>
      </c>
      <c r="D10" s="21">
        <f>+D9</f>
        <v>0</v>
      </c>
      <c r="XFD10" t="s">
        <v>8612</v>
      </c>
    </row>
    <row r="11" spans="2:4 16384:16384" ht="14.25" hidden="1" customHeight="1" x14ac:dyDescent="0.25">
      <c r="B11" s="7" t="s">
        <v>66</v>
      </c>
      <c r="D11" s="16">
        <f>+D10</f>
        <v>0</v>
      </c>
      <c r="XFD11" t="s">
        <v>8613</v>
      </c>
    </row>
    <row r="12" spans="2:4 16384:16384" ht="14.25" hidden="1" customHeight="1" x14ac:dyDescent="0.25">
      <c r="B12" s="7" t="s">
        <v>65</v>
      </c>
      <c r="D12" s="16">
        <v>0</v>
      </c>
      <c r="XFD12" t="s">
        <v>8614</v>
      </c>
    </row>
    <row r="13" spans="2:4 16384:16384" ht="14.25" hidden="1" customHeight="1" x14ac:dyDescent="0.25">
      <c r="B13" s="7" t="s">
        <v>64</v>
      </c>
      <c r="D13" s="9">
        <v>0</v>
      </c>
      <c r="XFD13" t="s">
        <v>8615</v>
      </c>
    </row>
    <row r="14" spans="2:4 16384:16384" ht="14.25" hidden="1" customHeight="1" x14ac:dyDescent="0.25">
      <c r="B14" s="7" t="s">
        <v>63</v>
      </c>
      <c r="D14" s="15">
        <v>0</v>
      </c>
      <c r="XFD14" t="s">
        <v>8126</v>
      </c>
    </row>
    <row r="15" spans="2:4 16384:16384" ht="14.25" hidden="1" customHeight="1" x14ac:dyDescent="0.25">
      <c r="B15" s="20" t="s">
        <v>62</v>
      </c>
      <c r="D15" s="15">
        <v>0</v>
      </c>
      <c r="XFD15" t="s">
        <v>8387</v>
      </c>
    </row>
    <row r="16" spans="2:4 16384:16384" ht="14.25" customHeight="1" x14ac:dyDescent="0.25">
      <c r="B16" s="20" t="s">
        <v>61</v>
      </c>
      <c r="D16" s="31">
        <v>0</v>
      </c>
      <c r="XFD16" t="s">
        <v>8388</v>
      </c>
    </row>
    <row r="17" spans="2:4 16384:16384" x14ac:dyDescent="0.25">
      <c r="B17" s="20" t="s">
        <v>60</v>
      </c>
      <c r="D17" s="9">
        <v>0</v>
      </c>
      <c r="XFD17" t="s">
        <v>8607</v>
      </c>
    </row>
    <row r="18" spans="2:4 16384:16384" x14ac:dyDescent="0.25">
      <c r="B18" s="20" t="s">
        <v>59</v>
      </c>
      <c r="D18" s="9">
        <v>0</v>
      </c>
      <c r="XFD18" t="s">
        <v>8608</v>
      </c>
    </row>
    <row r="19" spans="2:4 16384:16384" x14ac:dyDescent="0.25">
      <c r="B19" s="20" t="s">
        <v>58</v>
      </c>
      <c r="D19" s="9">
        <v>0</v>
      </c>
      <c r="XFD19" t="s">
        <v>8609</v>
      </c>
    </row>
    <row r="20" spans="2:4 16384:16384" x14ac:dyDescent="0.25">
      <c r="B20" s="20" t="s">
        <v>57</v>
      </c>
      <c r="D20" s="9">
        <v>0</v>
      </c>
      <c r="XFD20" t="s">
        <v>8610</v>
      </c>
    </row>
    <row r="21" spans="2:4 16384:16384" x14ac:dyDescent="0.25">
      <c r="B21" s="20" t="s">
        <v>56</v>
      </c>
      <c r="D21" s="9">
        <v>0</v>
      </c>
      <c r="XFD21" t="s">
        <v>8611</v>
      </c>
    </row>
    <row r="22" spans="2:4 16384:16384" x14ac:dyDescent="0.25">
      <c r="B22" s="20" t="s">
        <v>19</v>
      </c>
      <c r="D22" s="17">
        <f>SUM(D13:D21)</f>
        <v>0</v>
      </c>
      <c r="XFD22" t="s">
        <v>8612</v>
      </c>
    </row>
    <row r="23" spans="2:4 16384:16384" ht="15.75" thickBot="1" x14ac:dyDescent="0.3">
      <c r="B23" s="20" t="s">
        <v>18</v>
      </c>
      <c r="D23" s="18" t="s">
        <v>55</v>
      </c>
      <c r="XFD23" t="s">
        <v>8613</v>
      </c>
    </row>
    <row r="24" spans="2:4 16384:16384" x14ac:dyDescent="0.25">
      <c r="XFD24" t="s">
        <v>8614</v>
      </c>
    </row>
    <row r="25" spans="2:4 16384:16384" x14ac:dyDescent="0.25">
      <c r="XFD25" t="s">
        <v>8615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$XFD$2:$XFD$25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V1162"/>
  <sheetViews>
    <sheetView topLeftCell="K98" zoomScaleNormal="100" workbookViewId="0">
      <selection activeCell="B3" sqref="B3:V121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3" customWidth="1"/>
    <col min="13" max="13" width="13.42578125" style="3" customWidth="1"/>
    <col min="14" max="14" width="15.5703125" style="3" customWidth="1"/>
    <col min="15" max="15" width="14.85546875" style="3" customWidth="1"/>
    <col min="16" max="16" width="11.42578125" style="3"/>
    <col min="17" max="17" width="12.42578125" style="3" customWidth="1"/>
    <col min="18" max="18" width="12.85546875" style="3" customWidth="1"/>
    <col min="19" max="19" width="15.28515625" style="3" customWidth="1"/>
    <col min="20" max="20" width="15" style="3" customWidth="1"/>
    <col min="21" max="21" width="15.140625" style="3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75</v>
      </c>
      <c r="J2" t="s">
        <v>76</v>
      </c>
      <c r="K2" t="s">
        <v>65</v>
      </c>
      <c r="L2" s="3" t="s">
        <v>64</v>
      </c>
      <c r="M2" s="3" t="s">
        <v>63</v>
      </c>
      <c r="N2" s="3" t="s">
        <v>62</v>
      </c>
      <c r="O2" s="3" t="s">
        <v>61</v>
      </c>
      <c r="P2" s="3" t="s">
        <v>60</v>
      </c>
      <c r="Q2" s="3" t="s">
        <v>59</v>
      </c>
      <c r="R2" s="3" t="s">
        <v>58</v>
      </c>
      <c r="S2" s="3" t="s">
        <v>57</v>
      </c>
      <c r="T2" s="3" t="s">
        <v>56</v>
      </c>
      <c r="U2" s="3" t="s">
        <v>19</v>
      </c>
      <c r="V2" t="s">
        <v>18</v>
      </c>
    </row>
    <row r="3" spans="1:22" x14ac:dyDescent="0.25">
      <c r="A3" t="s">
        <v>8611</v>
      </c>
      <c r="B3" t="s">
        <v>8870</v>
      </c>
      <c r="C3" t="s">
        <v>1</v>
      </c>
      <c r="D3" t="s">
        <v>8526</v>
      </c>
      <c r="E3" t="s">
        <v>8137</v>
      </c>
      <c r="F3" t="s">
        <v>8138</v>
      </c>
      <c r="G3">
        <v>153</v>
      </c>
      <c r="H3">
        <v>153</v>
      </c>
      <c r="I3">
        <v>153</v>
      </c>
      <c r="J3">
        <v>153</v>
      </c>
      <c r="L3" s="3">
        <v>0</v>
      </c>
      <c r="M3" s="3">
        <v>0</v>
      </c>
      <c r="N3" s="3">
        <v>0</v>
      </c>
      <c r="O3" s="3">
        <v>935.04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935.04</v>
      </c>
      <c r="V3" t="s">
        <v>55</v>
      </c>
    </row>
    <row r="4" spans="1:22" x14ac:dyDescent="0.25">
      <c r="A4" t="s">
        <v>8611</v>
      </c>
      <c r="B4" t="s">
        <v>8870</v>
      </c>
      <c r="C4" t="s">
        <v>1</v>
      </c>
      <c r="D4" t="s">
        <v>8526</v>
      </c>
      <c r="E4" t="s">
        <v>8137</v>
      </c>
      <c r="F4" t="s">
        <v>8138</v>
      </c>
      <c r="G4">
        <v>152</v>
      </c>
      <c r="H4">
        <v>152</v>
      </c>
      <c r="I4">
        <v>152</v>
      </c>
      <c r="J4">
        <v>152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t="s">
        <v>55</v>
      </c>
    </row>
    <row r="5" spans="1:22" x14ac:dyDescent="0.25">
      <c r="A5" t="s">
        <v>8611</v>
      </c>
      <c r="B5" t="s">
        <v>8870</v>
      </c>
      <c r="C5" t="s">
        <v>1</v>
      </c>
      <c r="D5" t="s">
        <v>8526</v>
      </c>
      <c r="E5" t="s">
        <v>8137</v>
      </c>
      <c r="F5" t="s">
        <v>8138</v>
      </c>
      <c r="G5">
        <v>151</v>
      </c>
      <c r="H5">
        <v>151</v>
      </c>
      <c r="I5">
        <v>151</v>
      </c>
      <c r="J5">
        <v>151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t="s">
        <v>55</v>
      </c>
    </row>
    <row r="6" spans="1:22" x14ac:dyDescent="0.25">
      <c r="A6" t="s">
        <v>8611</v>
      </c>
      <c r="B6" t="s">
        <v>8870</v>
      </c>
      <c r="C6" t="s">
        <v>1</v>
      </c>
      <c r="D6" t="s">
        <v>8526</v>
      </c>
      <c r="E6" t="s">
        <v>8137</v>
      </c>
      <c r="F6" t="s">
        <v>8138</v>
      </c>
      <c r="G6">
        <v>150</v>
      </c>
      <c r="H6">
        <v>150</v>
      </c>
      <c r="I6">
        <v>150</v>
      </c>
      <c r="J6">
        <v>150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t="s">
        <v>55</v>
      </c>
    </row>
    <row r="7" spans="1:22" x14ac:dyDescent="0.25">
      <c r="A7" t="s">
        <v>8611</v>
      </c>
      <c r="B7" t="s">
        <v>8870</v>
      </c>
      <c r="C7" t="s">
        <v>1</v>
      </c>
      <c r="D7" t="s">
        <v>8526</v>
      </c>
      <c r="E7" t="s">
        <v>8137</v>
      </c>
      <c r="F7" t="s">
        <v>8138</v>
      </c>
      <c r="G7">
        <v>149</v>
      </c>
      <c r="H7">
        <v>149</v>
      </c>
      <c r="I7">
        <v>149</v>
      </c>
      <c r="J7">
        <v>149</v>
      </c>
      <c r="L7" s="3">
        <v>0</v>
      </c>
      <c r="M7" s="3">
        <v>0</v>
      </c>
      <c r="N7" s="3">
        <v>0</v>
      </c>
      <c r="O7" s="3">
        <v>72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72</v>
      </c>
      <c r="V7" t="s">
        <v>55</v>
      </c>
    </row>
    <row r="8" spans="1:22" x14ac:dyDescent="0.25">
      <c r="A8" t="s">
        <v>8611</v>
      </c>
      <c r="B8" t="s">
        <v>8870</v>
      </c>
      <c r="C8" t="s">
        <v>1</v>
      </c>
      <c r="D8" t="s">
        <v>8127</v>
      </c>
      <c r="E8" t="s">
        <v>8128</v>
      </c>
      <c r="F8" t="s">
        <v>8129</v>
      </c>
      <c r="G8">
        <v>238</v>
      </c>
      <c r="H8">
        <v>238</v>
      </c>
      <c r="I8">
        <v>238</v>
      </c>
      <c r="J8">
        <v>238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128.65</v>
      </c>
      <c r="S8" s="3">
        <v>0</v>
      </c>
      <c r="T8" s="3">
        <v>0</v>
      </c>
      <c r="U8" s="3">
        <v>128.65</v>
      </c>
      <c r="V8" t="s">
        <v>55</v>
      </c>
    </row>
    <row r="9" spans="1:22" x14ac:dyDescent="0.25">
      <c r="A9" t="s">
        <v>8611</v>
      </c>
      <c r="B9" t="s">
        <v>8870</v>
      </c>
      <c r="C9" t="s">
        <v>1</v>
      </c>
      <c r="D9" t="s">
        <v>8127</v>
      </c>
      <c r="E9" t="s">
        <v>8128</v>
      </c>
      <c r="F9" t="s">
        <v>8129</v>
      </c>
      <c r="G9">
        <v>237</v>
      </c>
      <c r="H9">
        <v>237</v>
      </c>
      <c r="I9">
        <v>237</v>
      </c>
      <c r="J9">
        <v>237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275.2</v>
      </c>
      <c r="S9" s="3">
        <v>0</v>
      </c>
      <c r="T9" s="3">
        <v>0</v>
      </c>
      <c r="U9" s="3">
        <v>275.2</v>
      </c>
      <c r="V9" t="s">
        <v>55</v>
      </c>
    </row>
    <row r="10" spans="1:22" x14ac:dyDescent="0.25">
      <c r="A10" t="s">
        <v>8611</v>
      </c>
      <c r="B10" t="s">
        <v>8870</v>
      </c>
      <c r="C10" t="s">
        <v>1</v>
      </c>
      <c r="D10" t="s">
        <v>8127</v>
      </c>
      <c r="E10" t="s">
        <v>8128</v>
      </c>
      <c r="F10" t="s">
        <v>8129</v>
      </c>
      <c r="G10">
        <v>236</v>
      </c>
      <c r="H10">
        <v>236</v>
      </c>
      <c r="I10">
        <v>236</v>
      </c>
      <c r="J10">
        <v>236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426</v>
      </c>
      <c r="S10" s="3">
        <v>0</v>
      </c>
      <c r="T10" s="3">
        <v>0</v>
      </c>
      <c r="U10" s="3">
        <v>426</v>
      </c>
      <c r="V10" t="s">
        <v>55</v>
      </c>
    </row>
    <row r="11" spans="1:22" x14ac:dyDescent="0.25">
      <c r="A11" t="s">
        <v>8611</v>
      </c>
      <c r="B11" t="s">
        <v>8870</v>
      </c>
      <c r="C11" t="s">
        <v>1</v>
      </c>
      <c r="D11" t="s">
        <v>8127</v>
      </c>
      <c r="E11" t="s">
        <v>8128</v>
      </c>
      <c r="F11" t="s">
        <v>8129</v>
      </c>
      <c r="G11">
        <v>235</v>
      </c>
      <c r="H11">
        <v>235</v>
      </c>
      <c r="I11">
        <v>235</v>
      </c>
      <c r="J11">
        <v>235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286.04000000000002</v>
      </c>
      <c r="S11" s="3">
        <v>0</v>
      </c>
      <c r="T11" s="3">
        <v>0</v>
      </c>
      <c r="U11" s="3">
        <v>286.04000000000002</v>
      </c>
      <c r="V11" t="s">
        <v>55</v>
      </c>
    </row>
    <row r="12" spans="1:22" x14ac:dyDescent="0.25">
      <c r="A12" t="s">
        <v>8611</v>
      </c>
      <c r="B12" t="s">
        <v>8870</v>
      </c>
      <c r="C12" t="s">
        <v>1</v>
      </c>
      <c r="D12" t="s">
        <v>8127</v>
      </c>
      <c r="E12" t="s">
        <v>8128</v>
      </c>
      <c r="F12" t="s">
        <v>8129</v>
      </c>
      <c r="G12">
        <v>234</v>
      </c>
      <c r="H12">
        <v>234</v>
      </c>
      <c r="I12">
        <v>234</v>
      </c>
      <c r="J12">
        <v>234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2555.1999999999998</v>
      </c>
      <c r="S12" s="3">
        <v>0</v>
      </c>
      <c r="T12" s="3">
        <v>0</v>
      </c>
      <c r="U12" s="3">
        <v>2555.1999999999998</v>
      </c>
      <c r="V12" t="s">
        <v>55</v>
      </c>
    </row>
    <row r="13" spans="1:22" x14ac:dyDescent="0.25">
      <c r="A13" t="s">
        <v>8611</v>
      </c>
      <c r="B13" t="s">
        <v>8870</v>
      </c>
      <c r="C13" t="s">
        <v>1</v>
      </c>
      <c r="D13" t="s">
        <v>8127</v>
      </c>
      <c r="E13" t="s">
        <v>8128</v>
      </c>
      <c r="F13" t="s">
        <v>8129</v>
      </c>
      <c r="G13">
        <v>233</v>
      </c>
      <c r="H13">
        <v>233</v>
      </c>
      <c r="I13">
        <v>233</v>
      </c>
      <c r="J13">
        <v>233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1349.24</v>
      </c>
      <c r="S13" s="3">
        <v>0</v>
      </c>
      <c r="T13" s="3">
        <v>0</v>
      </c>
      <c r="U13" s="3">
        <v>1349.24</v>
      </c>
      <c r="V13" t="s">
        <v>55</v>
      </c>
    </row>
    <row r="14" spans="1:22" x14ac:dyDescent="0.25">
      <c r="A14" t="s">
        <v>8611</v>
      </c>
      <c r="B14" t="s">
        <v>8870</v>
      </c>
      <c r="C14" t="s">
        <v>1</v>
      </c>
      <c r="D14" t="s">
        <v>8127</v>
      </c>
      <c r="E14" t="s">
        <v>8128</v>
      </c>
      <c r="F14" t="s">
        <v>8129</v>
      </c>
      <c r="G14">
        <v>232</v>
      </c>
      <c r="H14">
        <v>232</v>
      </c>
      <c r="I14">
        <v>232</v>
      </c>
      <c r="J14">
        <v>232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t="s">
        <v>55</v>
      </c>
    </row>
    <row r="15" spans="1:22" x14ac:dyDescent="0.25">
      <c r="A15" t="s">
        <v>8611</v>
      </c>
      <c r="B15" t="s">
        <v>8870</v>
      </c>
      <c r="C15" t="s">
        <v>1</v>
      </c>
      <c r="D15" t="s">
        <v>8127</v>
      </c>
      <c r="E15" t="s">
        <v>8128</v>
      </c>
      <c r="F15" t="s">
        <v>8129</v>
      </c>
      <c r="G15">
        <v>231</v>
      </c>
      <c r="H15">
        <v>231</v>
      </c>
      <c r="I15">
        <v>231</v>
      </c>
      <c r="J15">
        <v>231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t="s">
        <v>55</v>
      </c>
    </row>
    <row r="16" spans="1:22" x14ac:dyDescent="0.25">
      <c r="A16" t="s">
        <v>8611</v>
      </c>
      <c r="B16" t="s">
        <v>8870</v>
      </c>
      <c r="C16" t="s">
        <v>1</v>
      </c>
      <c r="D16" t="s">
        <v>8127</v>
      </c>
      <c r="E16" t="s">
        <v>8128</v>
      </c>
      <c r="F16" t="s">
        <v>8129</v>
      </c>
      <c r="G16">
        <v>230</v>
      </c>
      <c r="H16">
        <v>230</v>
      </c>
      <c r="I16">
        <v>230</v>
      </c>
      <c r="J16">
        <v>230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79.650000000000006</v>
      </c>
      <c r="S16" s="3">
        <v>0</v>
      </c>
      <c r="T16" s="3">
        <v>0</v>
      </c>
      <c r="U16" s="3">
        <v>79.650000000000006</v>
      </c>
      <c r="V16" t="s">
        <v>55</v>
      </c>
    </row>
    <row r="17" spans="1:22" x14ac:dyDescent="0.25">
      <c r="A17" t="s">
        <v>8611</v>
      </c>
      <c r="B17" t="s">
        <v>8870</v>
      </c>
      <c r="C17" t="s">
        <v>1</v>
      </c>
      <c r="D17" t="s">
        <v>8127</v>
      </c>
      <c r="E17" t="s">
        <v>8128</v>
      </c>
      <c r="F17" t="s">
        <v>8129</v>
      </c>
      <c r="G17">
        <v>229</v>
      </c>
      <c r="H17">
        <v>229</v>
      </c>
      <c r="I17">
        <v>229</v>
      </c>
      <c r="J17">
        <v>229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t="s">
        <v>55</v>
      </c>
    </row>
    <row r="18" spans="1:22" x14ac:dyDescent="0.25">
      <c r="A18" t="s">
        <v>8611</v>
      </c>
      <c r="B18" t="s">
        <v>8870</v>
      </c>
      <c r="C18" t="s">
        <v>1</v>
      </c>
      <c r="D18" t="s">
        <v>8127</v>
      </c>
      <c r="E18" t="s">
        <v>8128</v>
      </c>
      <c r="F18" t="s">
        <v>8129</v>
      </c>
      <c r="G18">
        <v>228</v>
      </c>
      <c r="H18">
        <v>228</v>
      </c>
      <c r="I18">
        <v>228</v>
      </c>
      <c r="J18">
        <v>228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795.34</v>
      </c>
      <c r="S18" s="3">
        <v>0</v>
      </c>
      <c r="T18" s="3">
        <v>0</v>
      </c>
      <c r="U18" s="3">
        <v>795.34</v>
      </c>
      <c r="V18" t="s">
        <v>55</v>
      </c>
    </row>
    <row r="19" spans="1:22" x14ac:dyDescent="0.25">
      <c r="A19" t="s">
        <v>8611</v>
      </c>
      <c r="B19" t="s">
        <v>8870</v>
      </c>
      <c r="C19" t="s">
        <v>1</v>
      </c>
      <c r="D19" t="s">
        <v>8526</v>
      </c>
      <c r="E19" t="s">
        <v>8147</v>
      </c>
      <c r="F19" t="s">
        <v>8146</v>
      </c>
      <c r="G19">
        <v>3864</v>
      </c>
      <c r="H19">
        <v>3864</v>
      </c>
      <c r="I19">
        <v>3864</v>
      </c>
      <c r="J19">
        <v>3864</v>
      </c>
      <c r="L19" s="3">
        <v>0</v>
      </c>
      <c r="M19" s="3">
        <v>0</v>
      </c>
      <c r="N19" s="3">
        <v>0</v>
      </c>
      <c r="O19" s="3">
        <v>1861.29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1861.29</v>
      </c>
      <c r="V19" t="s">
        <v>55</v>
      </c>
    </row>
    <row r="20" spans="1:22" x14ac:dyDescent="0.25">
      <c r="A20" t="s">
        <v>8611</v>
      </c>
      <c r="B20" t="s">
        <v>8870</v>
      </c>
      <c r="C20" t="s">
        <v>1</v>
      </c>
      <c r="D20" t="s">
        <v>8526</v>
      </c>
      <c r="E20" t="s">
        <v>8147</v>
      </c>
      <c r="F20" t="s">
        <v>8146</v>
      </c>
      <c r="G20">
        <v>3863</v>
      </c>
      <c r="H20">
        <v>3863</v>
      </c>
      <c r="I20">
        <v>3863</v>
      </c>
      <c r="J20">
        <v>3863</v>
      </c>
      <c r="L20" s="3">
        <v>0</v>
      </c>
      <c r="M20" s="3">
        <v>0</v>
      </c>
      <c r="N20" s="3">
        <v>0</v>
      </c>
      <c r="O20" s="3">
        <v>80.34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80.34</v>
      </c>
      <c r="V20" t="s">
        <v>55</v>
      </c>
    </row>
    <row r="21" spans="1:22" x14ac:dyDescent="0.25">
      <c r="A21" t="s">
        <v>8611</v>
      </c>
      <c r="B21" t="s">
        <v>8870</v>
      </c>
      <c r="C21" t="s">
        <v>1</v>
      </c>
      <c r="D21" t="s">
        <v>8526</v>
      </c>
      <c r="E21" t="s">
        <v>8147</v>
      </c>
      <c r="F21" t="s">
        <v>8146</v>
      </c>
      <c r="G21">
        <v>3862</v>
      </c>
      <c r="H21">
        <v>3862</v>
      </c>
      <c r="I21">
        <v>3862</v>
      </c>
      <c r="J21">
        <v>3862</v>
      </c>
      <c r="L21" s="3">
        <v>0</v>
      </c>
      <c r="M21" s="3">
        <v>0</v>
      </c>
      <c r="N21" s="3">
        <v>0</v>
      </c>
      <c r="O21" s="3">
        <v>13.56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13.56</v>
      </c>
      <c r="V21" t="s">
        <v>55</v>
      </c>
    </row>
    <row r="22" spans="1:22" x14ac:dyDescent="0.25">
      <c r="A22" t="s">
        <v>8611</v>
      </c>
      <c r="B22" t="s">
        <v>8886</v>
      </c>
      <c r="C22" t="s">
        <v>1</v>
      </c>
      <c r="D22" t="s">
        <v>8526</v>
      </c>
      <c r="E22" t="s">
        <v>8147</v>
      </c>
      <c r="F22" t="s">
        <v>8146</v>
      </c>
      <c r="G22">
        <v>3861</v>
      </c>
      <c r="H22">
        <v>3861</v>
      </c>
      <c r="I22">
        <v>3861</v>
      </c>
      <c r="J22">
        <v>3861</v>
      </c>
      <c r="L22" s="3">
        <v>0</v>
      </c>
      <c r="M22" s="3">
        <v>0</v>
      </c>
      <c r="N22" s="3">
        <v>0</v>
      </c>
      <c r="O22" s="3">
        <v>102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102</v>
      </c>
      <c r="V22" t="s">
        <v>55</v>
      </c>
    </row>
    <row r="23" spans="1:22" x14ac:dyDescent="0.25">
      <c r="A23" t="s">
        <v>8611</v>
      </c>
      <c r="B23" t="s">
        <v>8886</v>
      </c>
      <c r="C23" t="s">
        <v>1</v>
      </c>
      <c r="D23" t="s">
        <v>8526</v>
      </c>
      <c r="E23" t="s">
        <v>8147</v>
      </c>
      <c r="F23" t="s">
        <v>8146</v>
      </c>
      <c r="G23">
        <v>3860</v>
      </c>
      <c r="H23">
        <v>3860</v>
      </c>
      <c r="I23">
        <v>3860</v>
      </c>
      <c r="J23">
        <v>3860</v>
      </c>
      <c r="L23" s="3">
        <v>0</v>
      </c>
      <c r="M23" s="3">
        <v>0</v>
      </c>
      <c r="N23" s="3">
        <v>0</v>
      </c>
      <c r="O23" s="3">
        <v>32.1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32.1</v>
      </c>
      <c r="V23" t="s">
        <v>55</v>
      </c>
    </row>
    <row r="24" spans="1:22" x14ac:dyDescent="0.25">
      <c r="A24" t="s">
        <v>8611</v>
      </c>
      <c r="B24" t="s">
        <v>8886</v>
      </c>
      <c r="C24" t="s">
        <v>1</v>
      </c>
      <c r="D24" t="s">
        <v>8526</v>
      </c>
      <c r="E24" t="s">
        <v>8147</v>
      </c>
      <c r="F24" t="s">
        <v>8146</v>
      </c>
      <c r="G24">
        <v>3859</v>
      </c>
      <c r="H24">
        <v>3859</v>
      </c>
      <c r="I24">
        <v>3859</v>
      </c>
      <c r="J24">
        <v>3859</v>
      </c>
      <c r="L24" s="3">
        <v>0</v>
      </c>
      <c r="M24" s="3">
        <v>0</v>
      </c>
      <c r="N24" s="3">
        <v>0</v>
      </c>
      <c r="O24" s="3">
        <v>277.5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277.5</v>
      </c>
      <c r="V24" t="s">
        <v>55</v>
      </c>
    </row>
    <row r="25" spans="1:22" x14ac:dyDescent="0.25">
      <c r="A25" t="s">
        <v>8611</v>
      </c>
      <c r="B25" t="s">
        <v>8886</v>
      </c>
      <c r="C25" t="s">
        <v>1</v>
      </c>
      <c r="D25" t="s">
        <v>8526</v>
      </c>
      <c r="E25" t="s">
        <v>8147</v>
      </c>
      <c r="F25" t="s">
        <v>8146</v>
      </c>
      <c r="G25">
        <v>3858</v>
      </c>
      <c r="H25">
        <v>3858</v>
      </c>
      <c r="I25">
        <v>3858</v>
      </c>
      <c r="J25">
        <v>3858</v>
      </c>
      <c r="L25" s="3">
        <v>0</v>
      </c>
      <c r="M25" s="3">
        <v>0</v>
      </c>
      <c r="N25" s="3">
        <v>0</v>
      </c>
      <c r="O25" s="3">
        <v>132.07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132.07</v>
      </c>
      <c r="V25" t="s">
        <v>55</v>
      </c>
    </row>
    <row r="26" spans="1:22" x14ac:dyDescent="0.25">
      <c r="A26" t="s">
        <v>8611</v>
      </c>
      <c r="B26" t="s">
        <v>8872</v>
      </c>
      <c r="C26" t="s">
        <v>1</v>
      </c>
      <c r="D26" t="s">
        <v>8526</v>
      </c>
      <c r="E26" t="s">
        <v>8147</v>
      </c>
      <c r="F26" t="s">
        <v>8146</v>
      </c>
      <c r="G26">
        <v>3857</v>
      </c>
      <c r="H26">
        <v>3857</v>
      </c>
      <c r="I26">
        <v>3857</v>
      </c>
      <c r="J26">
        <v>3857</v>
      </c>
      <c r="L26" s="3">
        <v>0</v>
      </c>
      <c r="M26" s="3">
        <v>0</v>
      </c>
      <c r="N26" s="3">
        <v>0</v>
      </c>
      <c r="O26" s="3">
        <v>99.06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99.06</v>
      </c>
      <c r="V26" t="s">
        <v>55</v>
      </c>
    </row>
    <row r="27" spans="1:22" x14ac:dyDescent="0.25">
      <c r="A27" t="s">
        <v>8611</v>
      </c>
      <c r="B27" t="s">
        <v>8872</v>
      </c>
      <c r="C27" t="s">
        <v>1</v>
      </c>
      <c r="D27" t="s">
        <v>8526</v>
      </c>
      <c r="E27" t="s">
        <v>8147</v>
      </c>
      <c r="F27" t="s">
        <v>8146</v>
      </c>
      <c r="G27">
        <v>3856</v>
      </c>
      <c r="H27">
        <v>3856</v>
      </c>
      <c r="I27">
        <v>3856</v>
      </c>
      <c r="J27">
        <v>3856</v>
      </c>
      <c r="L27" s="3">
        <v>0</v>
      </c>
      <c r="M27" s="3">
        <v>0</v>
      </c>
      <c r="N27" s="3">
        <v>0</v>
      </c>
      <c r="O27" s="3">
        <v>19.72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19.72</v>
      </c>
      <c r="V27" t="s">
        <v>55</v>
      </c>
    </row>
    <row r="28" spans="1:22" x14ac:dyDescent="0.25">
      <c r="A28" t="s">
        <v>8611</v>
      </c>
      <c r="B28" t="s">
        <v>8872</v>
      </c>
      <c r="C28" t="s">
        <v>1</v>
      </c>
      <c r="D28" t="s">
        <v>8526</v>
      </c>
      <c r="E28" t="s">
        <v>8147</v>
      </c>
      <c r="F28" t="s">
        <v>8146</v>
      </c>
      <c r="G28">
        <v>3855</v>
      </c>
      <c r="H28">
        <v>3855</v>
      </c>
      <c r="I28">
        <v>3855</v>
      </c>
      <c r="J28">
        <v>3855</v>
      </c>
      <c r="L28" s="3">
        <v>2000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2000</v>
      </c>
      <c r="V28" t="s">
        <v>55</v>
      </c>
    </row>
    <row r="29" spans="1:22" x14ac:dyDescent="0.25">
      <c r="A29" t="s">
        <v>8611</v>
      </c>
      <c r="B29" t="s">
        <v>8872</v>
      </c>
      <c r="C29" t="s">
        <v>1</v>
      </c>
      <c r="D29" t="s">
        <v>8526</v>
      </c>
      <c r="E29" t="s">
        <v>8147</v>
      </c>
      <c r="F29" t="s">
        <v>8146</v>
      </c>
      <c r="G29">
        <v>3854</v>
      </c>
      <c r="H29">
        <v>3854</v>
      </c>
      <c r="I29">
        <v>3854</v>
      </c>
      <c r="J29">
        <v>3854</v>
      </c>
      <c r="L29" s="3">
        <v>0</v>
      </c>
      <c r="M29" s="3">
        <v>0</v>
      </c>
      <c r="N29" s="3">
        <v>0</v>
      </c>
      <c r="O29" s="3">
        <v>267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267</v>
      </c>
      <c r="V29" t="s">
        <v>55</v>
      </c>
    </row>
    <row r="30" spans="1:22" x14ac:dyDescent="0.25">
      <c r="A30" t="s">
        <v>8611</v>
      </c>
      <c r="B30" t="s">
        <v>8873</v>
      </c>
      <c r="C30" t="s">
        <v>1</v>
      </c>
      <c r="D30" t="s">
        <v>8526</v>
      </c>
      <c r="E30" t="s">
        <v>8147</v>
      </c>
      <c r="F30" t="s">
        <v>8146</v>
      </c>
      <c r="G30">
        <v>3853</v>
      </c>
      <c r="H30">
        <v>3853</v>
      </c>
      <c r="I30">
        <v>3853</v>
      </c>
      <c r="J30">
        <v>3853</v>
      </c>
      <c r="L30" s="3">
        <v>0</v>
      </c>
      <c r="M30" s="3">
        <v>0</v>
      </c>
      <c r="N30" s="3">
        <v>0</v>
      </c>
      <c r="O30" s="3">
        <v>550.14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550.14</v>
      </c>
      <c r="V30" t="s">
        <v>55</v>
      </c>
    </row>
    <row r="31" spans="1:22" x14ac:dyDescent="0.25">
      <c r="A31" t="s">
        <v>8611</v>
      </c>
      <c r="B31" t="s">
        <v>8887</v>
      </c>
      <c r="C31" t="s">
        <v>1</v>
      </c>
      <c r="D31" t="s">
        <v>8526</v>
      </c>
      <c r="E31" t="s">
        <v>8147</v>
      </c>
      <c r="F31" t="s">
        <v>8146</v>
      </c>
      <c r="G31">
        <v>3852</v>
      </c>
      <c r="H31">
        <v>3852</v>
      </c>
      <c r="I31">
        <v>3852</v>
      </c>
      <c r="J31">
        <v>3852</v>
      </c>
      <c r="L31" s="3">
        <v>0</v>
      </c>
      <c r="M31" s="3">
        <v>0</v>
      </c>
      <c r="N31" s="3">
        <v>0</v>
      </c>
      <c r="O31" s="3">
        <v>167.48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167.48</v>
      </c>
      <c r="V31" t="s">
        <v>55</v>
      </c>
    </row>
    <row r="32" spans="1:22" x14ac:dyDescent="0.25">
      <c r="A32" t="s">
        <v>8611</v>
      </c>
      <c r="B32" t="s">
        <v>8887</v>
      </c>
      <c r="C32" t="s">
        <v>1</v>
      </c>
      <c r="D32" t="s">
        <v>8526</v>
      </c>
      <c r="E32" t="s">
        <v>8147</v>
      </c>
      <c r="F32" t="s">
        <v>8146</v>
      </c>
      <c r="G32">
        <v>3851</v>
      </c>
      <c r="H32">
        <v>3851</v>
      </c>
      <c r="I32">
        <v>3851</v>
      </c>
      <c r="J32">
        <v>3851</v>
      </c>
      <c r="L32" s="3">
        <v>0</v>
      </c>
      <c r="M32" s="3">
        <v>0</v>
      </c>
      <c r="N32" s="3">
        <v>0</v>
      </c>
      <c r="O32" s="3">
        <v>840.08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840.08</v>
      </c>
      <c r="V32" t="s">
        <v>55</v>
      </c>
    </row>
    <row r="33" spans="1:22" x14ac:dyDescent="0.25">
      <c r="A33" t="s">
        <v>8611</v>
      </c>
      <c r="B33" t="s">
        <v>8887</v>
      </c>
      <c r="C33" t="s">
        <v>1</v>
      </c>
      <c r="D33" t="s">
        <v>8526</v>
      </c>
      <c r="E33" t="s">
        <v>8147</v>
      </c>
      <c r="F33" t="s">
        <v>8146</v>
      </c>
      <c r="G33">
        <v>3850</v>
      </c>
      <c r="H33">
        <v>3850</v>
      </c>
      <c r="I33">
        <v>3850</v>
      </c>
      <c r="J33">
        <v>3850</v>
      </c>
      <c r="L33" s="3">
        <v>0</v>
      </c>
      <c r="M33" s="3">
        <v>0</v>
      </c>
      <c r="N33" s="3">
        <v>0</v>
      </c>
      <c r="O33" s="3">
        <v>64.5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64.5</v>
      </c>
      <c r="V33" t="s">
        <v>55</v>
      </c>
    </row>
    <row r="34" spans="1:22" x14ac:dyDescent="0.25">
      <c r="A34" t="s">
        <v>8611</v>
      </c>
      <c r="B34" t="s">
        <v>8887</v>
      </c>
      <c r="C34" t="s">
        <v>1</v>
      </c>
      <c r="D34" t="s">
        <v>8526</v>
      </c>
      <c r="E34" t="s">
        <v>8147</v>
      </c>
      <c r="F34" t="s">
        <v>8146</v>
      </c>
      <c r="G34">
        <v>3849</v>
      </c>
      <c r="H34">
        <v>3849</v>
      </c>
      <c r="I34">
        <v>3849</v>
      </c>
      <c r="J34">
        <v>3849</v>
      </c>
      <c r="L34" s="3">
        <v>0</v>
      </c>
      <c r="M34" s="3">
        <v>0</v>
      </c>
      <c r="N34" s="3">
        <v>0</v>
      </c>
      <c r="O34" s="3">
        <v>55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55</v>
      </c>
      <c r="V34" t="s">
        <v>55</v>
      </c>
    </row>
    <row r="35" spans="1:22" x14ac:dyDescent="0.25">
      <c r="A35" t="s">
        <v>8611</v>
      </c>
      <c r="B35" t="s">
        <v>8887</v>
      </c>
      <c r="C35" t="s">
        <v>1</v>
      </c>
      <c r="D35" t="s">
        <v>8526</v>
      </c>
      <c r="E35" t="s">
        <v>8147</v>
      </c>
      <c r="F35" t="s">
        <v>8146</v>
      </c>
      <c r="G35">
        <v>3848</v>
      </c>
      <c r="H35">
        <v>3848</v>
      </c>
      <c r="I35">
        <v>3848</v>
      </c>
      <c r="J35">
        <v>3848</v>
      </c>
      <c r="L35" s="3">
        <v>0</v>
      </c>
      <c r="M35" s="3">
        <v>0</v>
      </c>
      <c r="N35" s="3">
        <v>0</v>
      </c>
      <c r="O35" s="3">
        <v>67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67</v>
      </c>
      <c r="V35" t="s">
        <v>55</v>
      </c>
    </row>
    <row r="36" spans="1:22" x14ac:dyDescent="0.25">
      <c r="A36" t="s">
        <v>8611</v>
      </c>
      <c r="B36" t="s">
        <v>8887</v>
      </c>
      <c r="C36" t="s">
        <v>1</v>
      </c>
      <c r="D36" t="s">
        <v>8526</v>
      </c>
      <c r="E36" t="s">
        <v>8147</v>
      </c>
      <c r="F36" t="s">
        <v>8146</v>
      </c>
      <c r="G36">
        <v>3847</v>
      </c>
      <c r="H36">
        <v>3847</v>
      </c>
      <c r="I36">
        <v>3847</v>
      </c>
      <c r="J36">
        <v>3847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t="s">
        <v>55</v>
      </c>
    </row>
    <row r="37" spans="1:22" x14ac:dyDescent="0.25">
      <c r="A37" t="s">
        <v>8611</v>
      </c>
      <c r="B37" t="s">
        <v>8887</v>
      </c>
      <c r="C37" t="s">
        <v>1</v>
      </c>
      <c r="D37" t="s">
        <v>8526</v>
      </c>
      <c r="E37" t="s">
        <v>8147</v>
      </c>
      <c r="F37" t="s">
        <v>8146</v>
      </c>
      <c r="G37">
        <v>3846</v>
      </c>
      <c r="H37">
        <v>3846</v>
      </c>
      <c r="I37">
        <v>3846</v>
      </c>
      <c r="J37">
        <v>3846</v>
      </c>
      <c r="L37" s="3">
        <v>0</v>
      </c>
      <c r="M37" s="3">
        <v>0</v>
      </c>
      <c r="N37" s="3">
        <v>0</v>
      </c>
      <c r="O37" s="3">
        <v>395.78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395.78</v>
      </c>
      <c r="V37" t="s">
        <v>55</v>
      </c>
    </row>
    <row r="38" spans="1:22" x14ac:dyDescent="0.25">
      <c r="A38" t="s">
        <v>8611</v>
      </c>
      <c r="B38" t="s">
        <v>8887</v>
      </c>
      <c r="C38" t="s">
        <v>1</v>
      </c>
      <c r="D38" t="s">
        <v>8526</v>
      </c>
      <c r="E38" t="s">
        <v>8147</v>
      </c>
      <c r="F38" t="s">
        <v>8146</v>
      </c>
      <c r="G38">
        <v>3845</v>
      </c>
      <c r="H38">
        <v>3845</v>
      </c>
      <c r="I38">
        <v>3845</v>
      </c>
      <c r="J38">
        <v>3845</v>
      </c>
      <c r="L38" s="3">
        <v>0</v>
      </c>
      <c r="M38" s="3">
        <v>0</v>
      </c>
      <c r="N38" s="3">
        <v>0</v>
      </c>
      <c r="O38" s="3">
        <v>770.1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770.1</v>
      </c>
      <c r="V38" t="s">
        <v>55</v>
      </c>
    </row>
    <row r="39" spans="1:22" x14ac:dyDescent="0.25">
      <c r="A39" t="s">
        <v>8611</v>
      </c>
      <c r="B39" t="s">
        <v>8887</v>
      </c>
      <c r="C39" t="s">
        <v>1</v>
      </c>
      <c r="D39" t="s">
        <v>8526</v>
      </c>
      <c r="E39" t="s">
        <v>8147</v>
      </c>
      <c r="F39" t="s">
        <v>8146</v>
      </c>
      <c r="G39">
        <v>3844</v>
      </c>
      <c r="H39">
        <v>3844</v>
      </c>
      <c r="I39">
        <v>3844</v>
      </c>
      <c r="J39">
        <v>3844</v>
      </c>
      <c r="L39" s="3">
        <v>0</v>
      </c>
      <c r="M39" s="3">
        <v>0</v>
      </c>
      <c r="N39" s="3">
        <v>0</v>
      </c>
      <c r="O39" s="3">
        <v>241.59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241.59</v>
      </c>
      <c r="V39" t="s">
        <v>55</v>
      </c>
    </row>
    <row r="40" spans="1:22" x14ac:dyDescent="0.25">
      <c r="A40" t="s">
        <v>8611</v>
      </c>
      <c r="B40" t="s">
        <v>8887</v>
      </c>
      <c r="C40" t="s">
        <v>1</v>
      </c>
      <c r="D40" t="s">
        <v>8526</v>
      </c>
      <c r="E40" t="s">
        <v>8147</v>
      </c>
      <c r="F40" t="s">
        <v>8146</v>
      </c>
      <c r="G40">
        <v>3843</v>
      </c>
      <c r="H40">
        <v>3843</v>
      </c>
      <c r="I40">
        <v>3843</v>
      </c>
      <c r="J40">
        <v>3843</v>
      </c>
      <c r="L40" s="3">
        <v>0</v>
      </c>
      <c r="M40" s="3">
        <v>0</v>
      </c>
      <c r="N40" s="3">
        <v>0</v>
      </c>
      <c r="O40" s="3">
        <v>949.48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949.48</v>
      </c>
      <c r="V40" t="s">
        <v>55</v>
      </c>
    </row>
    <row r="41" spans="1:22" x14ac:dyDescent="0.25">
      <c r="A41" t="s">
        <v>8611</v>
      </c>
      <c r="B41" t="s">
        <v>8887</v>
      </c>
      <c r="C41" t="s">
        <v>1</v>
      </c>
      <c r="D41" t="s">
        <v>8526</v>
      </c>
      <c r="E41" t="s">
        <v>8147</v>
      </c>
      <c r="F41" t="s">
        <v>8146</v>
      </c>
      <c r="G41">
        <v>3842</v>
      </c>
      <c r="H41">
        <v>3842</v>
      </c>
      <c r="I41">
        <v>3842</v>
      </c>
      <c r="J41">
        <v>3842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t="s">
        <v>55</v>
      </c>
    </row>
    <row r="42" spans="1:22" x14ac:dyDescent="0.25">
      <c r="A42" t="s">
        <v>8611</v>
      </c>
      <c r="B42" t="s">
        <v>8887</v>
      </c>
      <c r="C42" t="s">
        <v>1</v>
      </c>
      <c r="D42" t="s">
        <v>8526</v>
      </c>
      <c r="E42" t="s">
        <v>8147</v>
      </c>
      <c r="F42" t="s">
        <v>8146</v>
      </c>
      <c r="G42">
        <v>3841</v>
      </c>
      <c r="H42">
        <v>3841</v>
      </c>
      <c r="I42">
        <v>3841</v>
      </c>
      <c r="J42">
        <v>3841</v>
      </c>
      <c r="L42" s="3">
        <v>0</v>
      </c>
      <c r="M42" s="3">
        <v>0</v>
      </c>
      <c r="N42" s="3">
        <v>0</v>
      </c>
      <c r="O42" s="3">
        <v>16.07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16.07</v>
      </c>
      <c r="V42" t="s">
        <v>55</v>
      </c>
    </row>
    <row r="43" spans="1:22" x14ac:dyDescent="0.25">
      <c r="A43" t="s">
        <v>8611</v>
      </c>
      <c r="B43" t="s">
        <v>8887</v>
      </c>
      <c r="C43" t="s">
        <v>1</v>
      </c>
      <c r="D43" t="s">
        <v>8526</v>
      </c>
      <c r="E43" t="s">
        <v>8147</v>
      </c>
      <c r="F43" t="s">
        <v>8146</v>
      </c>
      <c r="G43">
        <v>3840</v>
      </c>
      <c r="H43">
        <v>3840</v>
      </c>
      <c r="I43">
        <v>3840</v>
      </c>
      <c r="J43">
        <v>3840</v>
      </c>
      <c r="L43" s="3">
        <v>0</v>
      </c>
      <c r="M43" s="3">
        <v>0</v>
      </c>
      <c r="N43" s="3">
        <v>0</v>
      </c>
      <c r="O43" s="3">
        <v>64.06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64.06</v>
      </c>
      <c r="V43" t="s">
        <v>55</v>
      </c>
    </row>
    <row r="44" spans="1:22" x14ac:dyDescent="0.25">
      <c r="A44" t="s">
        <v>8611</v>
      </c>
      <c r="B44" t="s">
        <v>8874</v>
      </c>
      <c r="C44" t="s">
        <v>1</v>
      </c>
      <c r="D44" t="s">
        <v>8526</v>
      </c>
      <c r="E44" t="s">
        <v>8147</v>
      </c>
      <c r="F44" t="s">
        <v>8146</v>
      </c>
      <c r="G44">
        <v>3839</v>
      </c>
      <c r="H44">
        <v>3839</v>
      </c>
      <c r="I44">
        <v>3839</v>
      </c>
      <c r="J44">
        <v>3839</v>
      </c>
      <c r="L44" s="3">
        <v>0</v>
      </c>
      <c r="M44" s="3">
        <v>0</v>
      </c>
      <c r="N44" s="3">
        <v>0</v>
      </c>
      <c r="O44" s="3">
        <v>51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51</v>
      </c>
      <c r="V44" t="s">
        <v>55</v>
      </c>
    </row>
    <row r="45" spans="1:22" x14ac:dyDescent="0.25">
      <c r="A45" t="s">
        <v>8611</v>
      </c>
      <c r="B45" t="s">
        <v>8875</v>
      </c>
      <c r="C45" t="s">
        <v>1</v>
      </c>
      <c r="D45" t="s">
        <v>8526</v>
      </c>
      <c r="E45" t="s">
        <v>8147</v>
      </c>
      <c r="F45" t="s">
        <v>8146</v>
      </c>
      <c r="G45">
        <v>3838</v>
      </c>
      <c r="H45">
        <v>3838</v>
      </c>
      <c r="I45">
        <v>3838</v>
      </c>
      <c r="J45">
        <v>3838</v>
      </c>
      <c r="L45" s="3">
        <v>0</v>
      </c>
      <c r="M45" s="3">
        <v>0</v>
      </c>
      <c r="N45" s="3">
        <v>0</v>
      </c>
      <c r="O45" s="3">
        <v>429.88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429.88</v>
      </c>
      <c r="V45" t="s">
        <v>55</v>
      </c>
    </row>
    <row r="46" spans="1:22" x14ac:dyDescent="0.25">
      <c r="A46" t="s">
        <v>8611</v>
      </c>
      <c r="B46" t="s">
        <v>8875</v>
      </c>
      <c r="C46" t="s">
        <v>1</v>
      </c>
      <c r="D46" t="s">
        <v>8526</v>
      </c>
      <c r="E46" t="s">
        <v>8147</v>
      </c>
      <c r="F46" t="s">
        <v>8146</v>
      </c>
      <c r="G46">
        <v>3837</v>
      </c>
      <c r="H46">
        <v>3837</v>
      </c>
      <c r="I46">
        <v>3837</v>
      </c>
      <c r="J46">
        <v>3837</v>
      </c>
      <c r="L46" s="3">
        <v>0</v>
      </c>
      <c r="M46" s="3">
        <v>0</v>
      </c>
      <c r="N46" s="3">
        <v>0</v>
      </c>
      <c r="O46" s="3">
        <v>1868.49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1868.49</v>
      </c>
      <c r="V46" t="s">
        <v>55</v>
      </c>
    </row>
    <row r="47" spans="1:22" x14ac:dyDescent="0.25">
      <c r="A47" t="s">
        <v>8611</v>
      </c>
      <c r="B47" t="s">
        <v>8875</v>
      </c>
      <c r="C47" t="s">
        <v>1</v>
      </c>
      <c r="D47" t="s">
        <v>8526</v>
      </c>
      <c r="E47" t="s">
        <v>8147</v>
      </c>
      <c r="F47" t="s">
        <v>8146</v>
      </c>
      <c r="G47">
        <v>3836</v>
      </c>
      <c r="H47">
        <v>3836</v>
      </c>
      <c r="I47">
        <v>3836</v>
      </c>
      <c r="J47">
        <v>3836</v>
      </c>
      <c r="L47" s="3">
        <v>0</v>
      </c>
      <c r="M47" s="3">
        <v>0</v>
      </c>
      <c r="N47" s="3">
        <v>0</v>
      </c>
      <c r="O47" s="3">
        <v>38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38</v>
      </c>
      <c r="V47" t="s">
        <v>55</v>
      </c>
    </row>
    <row r="48" spans="1:22" x14ac:dyDescent="0.25">
      <c r="A48" t="s">
        <v>8611</v>
      </c>
      <c r="B48" t="s">
        <v>8875</v>
      </c>
      <c r="C48" t="s">
        <v>1</v>
      </c>
      <c r="D48" t="s">
        <v>8526</v>
      </c>
      <c r="E48" t="s">
        <v>8147</v>
      </c>
      <c r="F48" t="s">
        <v>8146</v>
      </c>
      <c r="G48">
        <v>3835</v>
      </c>
      <c r="H48">
        <v>3835</v>
      </c>
      <c r="I48">
        <v>3835</v>
      </c>
      <c r="J48">
        <v>3835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t="s">
        <v>55</v>
      </c>
    </row>
    <row r="49" spans="1:22" x14ac:dyDescent="0.25">
      <c r="A49" t="s">
        <v>8611</v>
      </c>
      <c r="B49" t="s">
        <v>8875</v>
      </c>
      <c r="C49" t="s">
        <v>1</v>
      </c>
      <c r="D49" t="s">
        <v>8526</v>
      </c>
      <c r="E49" t="s">
        <v>8147</v>
      </c>
      <c r="F49" t="s">
        <v>8146</v>
      </c>
      <c r="G49">
        <v>3834</v>
      </c>
      <c r="H49">
        <v>3834</v>
      </c>
      <c r="I49">
        <v>3834</v>
      </c>
      <c r="J49">
        <v>3834</v>
      </c>
      <c r="L49" s="3">
        <v>0</v>
      </c>
      <c r="M49" s="3">
        <v>0</v>
      </c>
      <c r="N49" s="3">
        <v>0</v>
      </c>
      <c r="O49" s="3">
        <v>36.799999999999997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36.799999999999997</v>
      </c>
      <c r="V49" t="s">
        <v>55</v>
      </c>
    </row>
    <row r="50" spans="1:22" x14ac:dyDescent="0.25">
      <c r="A50" t="s">
        <v>8611</v>
      </c>
      <c r="B50" t="s">
        <v>8875</v>
      </c>
      <c r="C50" t="s">
        <v>1</v>
      </c>
      <c r="D50" t="s">
        <v>8526</v>
      </c>
      <c r="E50" t="s">
        <v>8147</v>
      </c>
      <c r="F50" t="s">
        <v>8146</v>
      </c>
      <c r="G50">
        <v>3833</v>
      </c>
      <c r="H50">
        <v>3833</v>
      </c>
      <c r="I50">
        <v>3833</v>
      </c>
      <c r="J50">
        <v>3833</v>
      </c>
      <c r="L50" s="3">
        <v>0</v>
      </c>
      <c r="M50" s="3">
        <v>0</v>
      </c>
      <c r="N50" s="3">
        <v>0</v>
      </c>
      <c r="O50" s="3">
        <v>127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127</v>
      </c>
      <c r="V50" t="s">
        <v>55</v>
      </c>
    </row>
    <row r="51" spans="1:22" x14ac:dyDescent="0.25">
      <c r="A51" t="s">
        <v>8611</v>
      </c>
      <c r="B51" t="s">
        <v>8875</v>
      </c>
      <c r="C51" t="s">
        <v>1</v>
      </c>
      <c r="D51" t="s">
        <v>8526</v>
      </c>
      <c r="E51" t="s">
        <v>8147</v>
      </c>
      <c r="F51" t="s">
        <v>8146</v>
      </c>
      <c r="G51">
        <v>3832</v>
      </c>
      <c r="H51">
        <v>3832</v>
      </c>
      <c r="I51">
        <v>3832</v>
      </c>
      <c r="J51">
        <v>3832</v>
      </c>
      <c r="L51" s="3">
        <v>0</v>
      </c>
      <c r="M51" s="3">
        <v>0</v>
      </c>
      <c r="N51" s="3">
        <v>0</v>
      </c>
      <c r="O51" s="3">
        <v>7.5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7.5</v>
      </c>
      <c r="V51" t="s">
        <v>55</v>
      </c>
    </row>
    <row r="52" spans="1:22" x14ac:dyDescent="0.25">
      <c r="A52" t="s">
        <v>8611</v>
      </c>
      <c r="B52" t="s">
        <v>8875</v>
      </c>
      <c r="C52" t="s">
        <v>1</v>
      </c>
      <c r="D52" t="s">
        <v>8526</v>
      </c>
      <c r="E52" t="s">
        <v>8147</v>
      </c>
      <c r="F52" t="s">
        <v>8146</v>
      </c>
      <c r="G52">
        <v>3831</v>
      </c>
      <c r="H52">
        <v>3831</v>
      </c>
      <c r="I52">
        <v>3831</v>
      </c>
      <c r="J52">
        <v>3831</v>
      </c>
      <c r="L52" s="3">
        <v>0</v>
      </c>
      <c r="M52" s="3">
        <v>0</v>
      </c>
      <c r="N52" s="3">
        <v>0</v>
      </c>
      <c r="O52" s="3">
        <v>303.89999999999998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303.89999999999998</v>
      </c>
      <c r="V52" t="s">
        <v>55</v>
      </c>
    </row>
    <row r="53" spans="1:22" x14ac:dyDescent="0.25">
      <c r="A53" t="s">
        <v>8611</v>
      </c>
      <c r="B53" t="s">
        <v>8875</v>
      </c>
      <c r="C53" t="s">
        <v>1</v>
      </c>
      <c r="D53" t="s">
        <v>8526</v>
      </c>
      <c r="E53" t="s">
        <v>8147</v>
      </c>
      <c r="F53" t="s">
        <v>8146</v>
      </c>
      <c r="G53">
        <v>3830</v>
      </c>
      <c r="H53">
        <v>3830</v>
      </c>
      <c r="I53">
        <v>3830</v>
      </c>
      <c r="J53">
        <v>3830</v>
      </c>
      <c r="L53" s="3">
        <v>0</v>
      </c>
      <c r="M53" s="3">
        <v>0</v>
      </c>
      <c r="N53" s="3">
        <v>0</v>
      </c>
      <c r="O53" s="3">
        <v>353.13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353.13</v>
      </c>
      <c r="V53" t="s">
        <v>55</v>
      </c>
    </row>
    <row r="54" spans="1:22" x14ac:dyDescent="0.25">
      <c r="A54" t="s">
        <v>8611</v>
      </c>
      <c r="B54" t="s">
        <v>8875</v>
      </c>
      <c r="C54" t="s">
        <v>1</v>
      </c>
      <c r="D54" t="s">
        <v>8526</v>
      </c>
      <c r="E54" t="s">
        <v>8147</v>
      </c>
      <c r="F54" t="s">
        <v>8146</v>
      </c>
      <c r="G54">
        <v>3829</v>
      </c>
      <c r="H54">
        <v>3829</v>
      </c>
      <c r="I54">
        <v>3829</v>
      </c>
      <c r="J54">
        <v>3829</v>
      </c>
      <c r="L54" s="3">
        <v>0</v>
      </c>
      <c r="M54" s="3">
        <v>0</v>
      </c>
      <c r="N54" s="3">
        <v>0</v>
      </c>
      <c r="O54" s="3">
        <v>122.39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122.39</v>
      </c>
      <c r="V54" t="s">
        <v>55</v>
      </c>
    </row>
    <row r="55" spans="1:22" x14ac:dyDescent="0.25">
      <c r="A55" t="s">
        <v>8611</v>
      </c>
      <c r="B55" t="s">
        <v>8875</v>
      </c>
      <c r="C55" t="s">
        <v>1</v>
      </c>
      <c r="D55" t="s">
        <v>8526</v>
      </c>
      <c r="E55" t="s">
        <v>8147</v>
      </c>
      <c r="F55" t="s">
        <v>8146</v>
      </c>
      <c r="G55">
        <v>3828</v>
      </c>
      <c r="H55">
        <v>3828</v>
      </c>
      <c r="I55">
        <v>3828</v>
      </c>
      <c r="J55">
        <v>3828</v>
      </c>
      <c r="L55" s="3">
        <v>0</v>
      </c>
      <c r="M55" s="3">
        <v>0</v>
      </c>
      <c r="N55" s="3">
        <v>0</v>
      </c>
      <c r="O55" s="3">
        <v>265.2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265.2</v>
      </c>
      <c r="V55" t="s">
        <v>55</v>
      </c>
    </row>
    <row r="56" spans="1:22" x14ac:dyDescent="0.25">
      <c r="A56" t="s">
        <v>8611</v>
      </c>
      <c r="B56" t="s">
        <v>8875</v>
      </c>
      <c r="C56" t="s">
        <v>1</v>
      </c>
      <c r="D56" t="s">
        <v>8526</v>
      </c>
      <c r="E56" t="s">
        <v>8147</v>
      </c>
      <c r="F56" t="s">
        <v>8146</v>
      </c>
      <c r="G56">
        <v>3827</v>
      </c>
      <c r="H56">
        <v>3827</v>
      </c>
      <c r="I56">
        <v>3827</v>
      </c>
      <c r="J56">
        <v>3827</v>
      </c>
      <c r="L56" s="3">
        <v>0</v>
      </c>
      <c r="M56" s="3">
        <v>0</v>
      </c>
      <c r="N56" s="3">
        <v>0</v>
      </c>
      <c r="O56" s="3">
        <v>132.01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132.01</v>
      </c>
      <c r="V56" t="s">
        <v>55</v>
      </c>
    </row>
    <row r="57" spans="1:22" x14ac:dyDescent="0.25">
      <c r="A57" t="s">
        <v>8611</v>
      </c>
      <c r="B57" t="s">
        <v>8875</v>
      </c>
      <c r="C57" t="s">
        <v>1</v>
      </c>
      <c r="D57" t="s">
        <v>8526</v>
      </c>
      <c r="E57" t="s">
        <v>8147</v>
      </c>
      <c r="F57" t="s">
        <v>8146</v>
      </c>
      <c r="G57">
        <v>3826</v>
      </c>
      <c r="H57">
        <v>3826</v>
      </c>
      <c r="I57">
        <v>3826</v>
      </c>
      <c r="J57">
        <v>3826</v>
      </c>
      <c r="L57" s="3">
        <v>0</v>
      </c>
      <c r="M57" s="3">
        <v>0</v>
      </c>
      <c r="N57" s="3">
        <v>0</v>
      </c>
      <c r="O57" s="3">
        <v>28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28</v>
      </c>
      <c r="V57" t="s">
        <v>55</v>
      </c>
    </row>
    <row r="58" spans="1:22" x14ac:dyDescent="0.25">
      <c r="A58" t="s">
        <v>8611</v>
      </c>
      <c r="B58" t="s">
        <v>8875</v>
      </c>
      <c r="C58" t="s">
        <v>1</v>
      </c>
      <c r="D58" t="s">
        <v>8526</v>
      </c>
      <c r="E58" t="s">
        <v>8147</v>
      </c>
      <c r="F58" t="s">
        <v>8146</v>
      </c>
      <c r="G58">
        <v>3825</v>
      </c>
      <c r="H58">
        <v>3825</v>
      </c>
      <c r="I58">
        <v>3825</v>
      </c>
      <c r="J58">
        <v>3825</v>
      </c>
      <c r="L58" s="3">
        <v>0</v>
      </c>
      <c r="M58" s="3">
        <v>0</v>
      </c>
      <c r="N58" s="3">
        <v>0</v>
      </c>
      <c r="O58" s="3">
        <v>36.53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36.53</v>
      </c>
      <c r="V58" t="s">
        <v>55</v>
      </c>
    </row>
    <row r="59" spans="1:22" x14ac:dyDescent="0.25">
      <c r="A59" t="s">
        <v>8611</v>
      </c>
      <c r="B59" t="s">
        <v>8875</v>
      </c>
      <c r="C59" t="s">
        <v>1</v>
      </c>
      <c r="D59" t="s">
        <v>8526</v>
      </c>
      <c r="E59" t="s">
        <v>8147</v>
      </c>
      <c r="F59" t="s">
        <v>8146</v>
      </c>
      <c r="G59">
        <v>3824</v>
      </c>
      <c r="H59">
        <v>3824</v>
      </c>
      <c r="I59">
        <v>3824</v>
      </c>
      <c r="J59">
        <v>3824</v>
      </c>
      <c r="L59" s="3">
        <v>0</v>
      </c>
      <c r="M59" s="3">
        <v>0</v>
      </c>
      <c r="N59" s="3">
        <v>0</v>
      </c>
      <c r="O59" s="3">
        <v>55.2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55.2</v>
      </c>
      <c r="V59" t="s">
        <v>55</v>
      </c>
    </row>
    <row r="60" spans="1:22" x14ac:dyDescent="0.25">
      <c r="A60" t="s">
        <v>8611</v>
      </c>
      <c r="B60" t="s">
        <v>8875</v>
      </c>
      <c r="C60" t="s">
        <v>1</v>
      </c>
      <c r="D60" t="s">
        <v>8526</v>
      </c>
      <c r="E60" t="s">
        <v>8147</v>
      </c>
      <c r="F60" t="s">
        <v>8146</v>
      </c>
      <c r="G60">
        <v>3823</v>
      </c>
      <c r="H60">
        <v>3823</v>
      </c>
      <c r="I60">
        <v>3823</v>
      </c>
      <c r="J60">
        <v>3823</v>
      </c>
      <c r="L60" s="3">
        <v>0</v>
      </c>
      <c r="M60" s="3">
        <v>0</v>
      </c>
      <c r="N60" s="3">
        <v>0</v>
      </c>
      <c r="O60" s="3">
        <v>25.5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25.5</v>
      </c>
      <c r="V60" t="s">
        <v>55</v>
      </c>
    </row>
    <row r="61" spans="1:22" x14ac:dyDescent="0.25">
      <c r="A61" t="s">
        <v>8611</v>
      </c>
      <c r="B61" t="s">
        <v>8875</v>
      </c>
      <c r="C61" t="s">
        <v>1</v>
      </c>
      <c r="D61" t="s">
        <v>8526</v>
      </c>
      <c r="E61" t="s">
        <v>8147</v>
      </c>
      <c r="F61" t="s">
        <v>8146</v>
      </c>
      <c r="G61">
        <v>3822</v>
      </c>
      <c r="H61">
        <v>3822</v>
      </c>
      <c r="I61">
        <v>3822</v>
      </c>
      <c r="J61">
        <v>3822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t="s">
        <v>55</v>
      </c>
    </row>
    <row r="62" spans="1:22" x14ac:dyDescent="0.25">
      <c r="A62" t="s">
        <v>8611</v>
      </c>
      <c r="B62" t="s">
        <v>8876</v>
      </c>
      <c r="C62" t="s">
        <v>1</v>
      </c>
      <c r="D62" t="s">
        <v>8526</v>
      </c>
      <c r="E62" t="s">
        <v>8147</v>
      </c>
      <c r="F62" t="s">
        <v>8146</v>
      </c>
      <c r="G62">
        <v>3821</v>
      </c>
      <c r="H62">
        <v>3821</v>
      </c>
      <c r="I62">
        <v>3821</v>
      </c>
      <c r="J62">
        <v>3821</v>
      </c>
      <c r="L62" s="3">
        <v>0</v>
      </c>
      <c r="M62" s="3">
        <v>0</v>
      </c>
      <c r="N62" s="3">
        <v>0</v>
      </c>
      <c r="O62" s="3">
        <v>479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479</v>
      </c>
      <c r="V62" t="s">
        <v>55</v>
      </c>
    </row>
    <row r="63" spans="1:22" x14ac:dyDescent="0.25">
      <c r="A63" t="s">
        <v>8611</v>
      </c>
      <c r="B63" t="s">
        <v>8876</v>
      </c>
      <c r="C63" t="s">
        <v>1</v>
      </c>
      <c r="D63" t="s">
        <v>8526</v>
      </c>
      <c r="E63" t="s">
        <v>8147</v>
      </c>
      <c r="F63" t="s">
        <v>8146</v>
      </c>
      <c r="G63">
        <v>3820</v>
      </c>
      <c r="H63">
        <v>3820</v>
      </c>
      <c r="I63">
        <v>3820</v>
      </c>
      <c r="J63">
        <v>3820</v>
      </c>
      <c r="L63" s="3">
        <v>0</v>
      </c>
      <c r="M63" s="3">
        <v>0</v>
      </c>
      <c r="N63" s="3">
        <v>0</v>
      </c>
      <c r="O63" s="3">
        <v>23.86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23.86</v>
      </c>
      <c r="V63" t="s">
        <v>55</v>
      </c>
    </row>
    <row r="64" spans="1:22" x14ac:dyDescent="0.25">
      <c r="A64" t="s">
        <v>8611</v>
      </c>
      <c r="B64" t="s">
        <v>8876</v>
      </c>
      <c r="C64" t="s">
        <v>1</v>
      </c>
      <c r="D64" t="s">
        <v>8526</v>
      </c>
      <c r="E64" t="s">
        <v>8147</v>
      </c>
      <c r="F64" t="s">
        <v>8146</v>
      </c>
      <c r="G64">
        <v>3819</v>
      </c>
      <c r="H64">
        <v>3819</v>
      </c>
      <c r="I64">
        <v>3819</v>
      </c>
      <c r="J64">
        <v>3819</v>
      </c>
      <c r="L64" s="3">
        <v>0</v>
      </c>
      <c r="M64" s="3">
        <v>0</v>
      </c>
      <c r="N64" s="3">
        <v>0</v>
      </c>
      <c r="O64" s="3">
        <v>460</v>
      </c>
      <c r="P64" s="3">
        <v>0</v>
      </c>
      <c r="Q64" s="3">
        <v>0</v>
      </c>
      <c r="R64" s="3">
        <v>0</v>
      </c>
      <c r="S64" s="3">
        <v>0</v>
      </c>
      <c r="T64" s="3">
        <v>0</v>
      </c>
      <c r="U64" s="3">
        <v>460</v>
      </c>
      <c r="V64" t="s">
        <v>55</v>
      </c>
    </row>
    <row r="65" spans="1:22" x14ac:dyDescent="0.25">
      <c r="A65" t="s">
        <v>8611</v>
      </c>
      <c r="B65" t="s">
        <v>8888</v>
      </c>
      <c r="C65" t="s">
        <v>1</v>
      </c>
      <c r="D65" t="s">
        <v>8526</v>
      </c>
      <c r="E65" t="s">
        <v>8147</v>
      </c>
      <c r="F65" t="s">
        <v>8146</v>
      </c>
      <c r="G65">
        <v>3818</v>
      </c>
      <c r="H65">
        <v>3818</v>
      </c>
      <c r="I65">
        <v>3818</v>
      </c>
      <c r="J65">
        <v>3818</v>
      </c>
      <c r="L65" s="3">
        <v>0</v>
      </c>
      <c r="M65" s="3">
        <v>0</v>
      </c>
      <c r="N65" s="3">
        <v>0</v>
      </c>
      <c r="O65" s="3">
        <v>919.99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919.99</v>
      </c>
      <c r="V65" t="s">
        <v>55</v>
      </c>
    </row>
    <row r="66" spans="1:22" x14ac:dyDescent="0.25">
      <c r="A66" t="s">
        <v>8611</v>
      </c>
      <c r="B66" t="s">
        <v>8877</v>
      </c>
      <c r="C66" t="s">
        <v>1</v>
      </c>
      <c r="D66" t="s">
        <v>8526</v>
      </c>
      <c r="E66" t="s">
        <v>8147</v>
      </c>
      <c r="F66" t="s">
        <v>8146</v>
      </c>
      <c r="G66">
        <v>3817</v>
      </c>
      <c r="H66">
        <v>3817</v>
      </c>
      <c r="I66">
        <v>3817</v>
      </c>
      <c r="J66">
        <v>3817</v>
      </c>
      <c r="L66" s="3">
        <v>0</v>
      </c>
      <c r="M66" s="3">
        <v>0</v>
      </c>
      <c r="N66" s="3">
        <v>0</v>
      </c>
      <c r="O66" s="3">
        <v>222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222</v>
      </c>
      <c r="V66" t="s">
        <v>55</v>
      </c>
    </row>
    <row r="67" spans="1:22" x14ac:dyDescent="0.25">
      <c r="A67" t="s">
        <v>8611</v>
      </c>
      <c r="B67" t="s">
        <v>8877</v>
      </c>
      <c r="C67" t="s">
        <v>1</v>
      </c>
      <c r="D67" t="s">
        <v>8526</v>
      </c>
      <c r="E67" t="s">
        <v>8147</v>
      </c>
      <c r="F67" t="s">
        <v>8146</v>
      </c>
      <c r="G67">
        <v>3816</v>
      </c>
      <c r="H67">
        <v>3816</v>
      </c>
      <c r="I67">
        <v>3816</v>
      </c>
      <c r="J67">
        <v>3816</v>
      </c>
      <c r="L67" s="3">
        <v>0</v>
      </c>
      <c r="M67" s="3">
        <v>0</v>
      </c>
      <c r="N67" s="3">
        <v>0</v>
      </c>
      <c r="O67" s="3">
        <v>37.799999999999997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37.799999999999997</v>
      </c>
      <c r="V67" t="s">
        <v>55</v>
      </c>
    </row>
    <row r="68" spans="1:22" x14ac:dyDescent="0.25">
      <c r="A68" t="s">
        <v>8611</v>
      </c>
      <c r="B68" t="s">
        <v>8877</v>
      </c>
      <c r="C68" t="s">
        <v>1</v>
      </c>
      <c r="D68" t="s">
        <v>8526</v>
      </c>
      <c r="E68" t="s">
        <v>8147</v>
      </c>
      <c r="F68" t="s">
        <v>8146</v>
      </c>
      <c r="G68">
        <v>3815</v>
      </c>
      <c r="H68">
        <v>3815</v>
      </c>
      <c r="I68">
        <v>3815</v>
      </c>
      <c r="J68">
        <v>3815</v>
      </c>
      <c r="L68" s="3">
        <v>162.97999999999999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162.97999999999999</v>
      </c>
      <c r="V68" t="s">
        <v>55</v>
      </c>
    </row>
    <row r="69" spans="1:22" x14ac:dyDescent="0.25">
      <c r="A69" t="s">
        <v>8611</v>
      </c>
      <c r="B69" t="s">
        <v>8877</v>
      </c>
      <c r="C69" t="s">
        <v>1</v>
      </c>
      <c r="D69" t="s">
        <v>8526</v>
      </c>
      <c r="E69" t="s">
        <v>8147</v>
      </c>
      <c r="F69" t="s">
        <v>8146</v>
      </c>
      <c r="G69">
        <v>3814</v>
      </c>
      <c r="H69">
        <v>3814</v>
      </c>
      <c r="I69">
        <v>3814</v>
      </c>
      <c r="J69">
        <v>3814</v>
      </c>
      <c r="L69" s="3">
        <v>0</v>
      </c>
      <c r="M69" s="3">
        <v>0</v>
      </c>
      <c r="N69" s="3">
        <v>0</v>
      </c>
      <c r="O69" s="3">
        <v>18.940000000000001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18.940000000000001</v>
      </c>
      <c r="V69" t="s">
        <v>55</v>
      </c>
    </row>
    <row r="70" spans="1:22" x14ac:dyDescent="0.25">
      <c r="A70" t="s">
        <v>8611</v>
      </c>
      <c r="B70" t="s">
        <v>8877</v>
      </c>
      <c r="C70" t="s">
        <v>1</v>
      </c>
      <c r="D70" t="s">
        <v>8526</v>
      </c>
      <c r="E70" t="s">
        <v>8147</v>
      </c>
      <c r="F70" t="s">
        <v>8146</v>
      </c>
      <c r="G70">
        <v>3813</v>
      </c>
      <c r="H70">
        <v>3813</v>
      </c>
      <c r="I70">
        <v>3813</v>
      </c>
      <c r="J70">
        <v>3813</v>
      </c>
      <c r="L70" s="3">
        <v>0</v>
      </c>
      <c r="M70" s="3">
        <v>0</v>
      </c>
      <c r="N70" s="3">
        <v>0</v>
      </c>
      <c r="O70" s="3">
        <v>64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64</v>
      </c>
      <c r="V70" t="s">
        <v>55</v>
      </c>
    </row>
    <row r="71" spans="1:22" x14ac:dyDescent="0.25">
      <c r="A71" t="s">
        <v>8611</v>
      </c>
      <c r="B71" t="s">
        <v>8889</v>
      </c>
      <c r="C71" t="s">
        <v>1</v>
      </c>
      <c r="D71" t="s">
        <v>8526</v>
      </c>
      <c r="E71" t="s">
        <v>8147</v>
      </c>
      <c r="F71" t="s">
        <v>8146</v>
      </c>
      <c r="G71">
        <v>3812</v>
      </c>
      <c r="H71">
        <v>3812</v>
      </c>
      <c r="I71">
        <v>3812</v>
      </c>
      <c r="J71">
        <v>3812</v>
      </c>
      <c r="L71" s="3">
        <v>0</v>
      </c>
      <c r="M71" s="3">
        <v>0</v>
      </c>
      <c r="N71" s="3">
        <v>0</v>
      </c>
      <c r="O71" s="3">
        <v>70.8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70.8</v>
      </c>
      <c r="V71" t="s">
        <v>55</v>
      </c>
    </row>
    <row r="72" spans="1:22" x14ac:dyDescent="0.25">
      <c r="A72" t="s">
        <v>8611</v>
      </c>
      <c r="B72" t="s">
        <v>8889</v>
      </c>
      <c r="C72" t="s">
        <v>1</v>
      </c>
      <c r="D72" t="s">
        <v>8526</v>
      </c>
      <c r="E72" t="s">
        <v>8147</v>
      </c>
      <c r="F72" t="s">
        <v>8146</v>
      </c>
      <c r="G72">
        <v>3811</v>
      </c>
      <c r="H72">
        <v>3811</v>
      </c>
      <c r="I72">
        <v>3811</v>
      </c>
      <c r="J72">
        <v>3811</v>
      </c>
      <c r="L72" s="3">
        <v>0</v>
      </c>
      <c r="M72" s="3">
        <v>0</v>
      </c>
      <c r="N72" s="3">
        <v>0</v>
      </c>
      <c r="O72" s="3">
        <v>300.02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300.02</v>
      </c>
      <c r="V72" t="s">
        <v>55</v>
      </c>
    </row>
    <row r="73" spans="1:22" x14ac:dyDescent="0.25">
      <c r="A73" t="s">
        <v>8611</v>
      </c>
      <c r="B73" t="s">
        <v>8878</v>
      </c>
      <c r="C73" t="s">
        <v>1</v>
      </c>
      <c r="D73" t="s">
        <v>8526</v>
      </c>
      <c r="E73" t="s">
        <v>8147</v>
      </c>
      <c r="F73" t="s">
        <v>8146</v>
      </c>
      <c r="G73">
        <v>3810</v>
      </c>
      <c r="H73">
        <v>3810</v>
      </c>
      <c r="I73">
        <v>3810</v>
      </c>
      <c r="J73">
        <v>3810</v>
      </c>
      <c r="L73" s="3">
        <v>0</v>
      </c>
      <c r="M73" s="3">
        <v>0</v>
      </c>
      <c r="N73" s="3">
        <v>0</v>
      </c>
      <c r="O73" s="3">
        <v>176.51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176.51</v>
      </c>
      <c r="V73" t="s">
        <v>55</v>
      </c>
    </row>
    <row r="74" spans="1:22" x14ac:dyDescent="0.25">
      <c r="A74" t="s">
        <v>8611</v>
      </c>
      <c r="B74" t="s">
        <v>8878</v>
      </c>
      <c r="C74" t="s">
        <v>1</v>
      </c>
      <c r="D74" t="s">
        <v>8526</v>
      </c>
      <c r="E74" t="s">
        <v>8147</v>
      </c>
      <c r="F74" t="s">
        <v>8146</v>
      </c>
      <c r="G74">
        <v>3809</v>
      </c>
      <c r="H74">
        <v>3809</v>
      </c>
      <c r="I74">
        <v>3809</v>
      </c>
      <c r="J74">
        <v>3809</v>
      </c>
      <c r="L74" s="3">
        <v>0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t="s">
        <v>55</v>
      </c>
    </row>
    <row r="75" spans="1:22" x14ac:dyDescent="0.25">
      <c r="A75" t="s">
        <v>8611</v>
      </c>
      <c r="B75" t="s">
        <v>8878</v>
      </c>
      <c r="C75" t="s">
        <v>1</v>
      </c>
      <c r="D75" t="s">
        <v>8526</v>
      </c>
      <c r="E75" t="s">
        <v>8147</v>
      </c>
      <c r="F75" t="s">
        <v>8146</v>
      </c>
      <c r="G75">
        <v>3808</v>
      </c>
      <c r="H75">
        <v>3808</v>
      </c>
      <c r="I75">
        <v>3808</v>
      </c>
      <c r="J75">
        <v>3808</v>
      </c>
      <c r="L75" s="3">
        <v>0</v>
      </c>
      <c r="M75" s="3">
        <v>0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t="s">
        <v>55</v>
      </c>
    </row>
    <row r="76" spans="1:22" x14ac:dyDescent="0.25">
      <c r="A76" t="s">
        <v>8611</v>
      </c>
      <c r="B76" t="s">
        <v>8878</v>
      </c>
      <c r="C76" t="s">
        <v>1</v>
      </c>
      <c r="D76" t="s">
        <v>8526</v>
      </c>
      <c r="E76" t="s">
        <v>8147</v>
      </c>
      <c r="F76" t="s">
        <v>8146</v>
      </c>
      <c r="G76">
        <v>3807</v>
      </c>
      <c r="H76">
        <v>3807</v>
      </c>
      <c r="I76">
        <v>3807</v>
      </c>
      <c r="J76">
        <v>3807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t="s">
        <v>55</v>
      </c>
    </row>
    <row r="77" spans="1:22" x14ac:dyDescent="0.25">
      <c r="A77" t="s">
        <v>8611</v>
      </c>
      <c r="B77" t="s">
        <v>8878</v>
      </c>
      <c r="C77" t="s">
        <v>1</v>
      </c>
      <c r="D77" t="s">
        <v>8526</v>
      </c>
      <c r="E77" t="s">
        <v>8147</v>
      </c>
      <c r="F77" t="s">
        <v>8146</v>
      </c>
      <c r="G77">
        <v>3806</v>
      </c>
      <c r="H77">
        <v>3806</v>
      </c>
      <c r="I77">
        <v>3806</v>
      </c>
      <c r="J77">
        <v>3806</v>
      </c>
      <c r="L77" s="3">
        <v>0</v>
      </c>
      <c r="M77" s="3">
        <v>0</v>
      </c>
      <c r="N77" s="3">
        <v>0</v>
      </c>
      <c r="O77" s="3">
        <v>9.24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9.24</v>
      </c>
      <c r="V77" t="s">
        <v>55</v>
      </c>
    </row>
    <row r="78" spans="1:22" x14ac:dyDescent="0.25">
      <c r="A78" t="s">
        <v>8611</v>
      </c>
      <c r="B78" t="s">
        <v>8878</v>
      </c>
      <c r="C78" t="s">
        <v>1</v>
      </c>
      <c r="D78" t="s">
        <v>8526</v>
      </c>
      <c r="E78" t="s">
        <v>8147</v>
      </c>
      <c r="F78" t="s">
        <v>8146</v>
      </c>
      <c r="G78">
        <v>3805</v>
      </c>
      <c r="H78">
        <v>3805</v>
      </c>
      <c r="I78">
        <v>3805</v>
      </c>
      <c r="J78">
        <v>3805</v>
      </c>
      <c r="L78" s="3">
        <v>0</v>
      </c>
      <c r="M78" s="3">
        <v>0</v>
      </c>
      <c r="N78" s="3">
        <v>0</v>
      </c>
      <c r="O78" s="3">
        <v>45.77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45.77</v>
      </c>
      <c r="V78" t="s">
        <v>55</v>
      </c>
    </row>
    <row r="79" spans="1:22" x14ac:dyDescent="0.25">
      <c r="A79" t="s">
        <v>8611</v>
      </c>
      <c r="B79" t="s">
        <v>8878</v>
      </c>
      <c r="C79" t="s">
        <v>1</v>
      </c>
      <c r="D79" t="s">
        <v>8526</v>
      </c>
      <c r="E79" t="s">
        <v>8147</v>
      </c>
      <c r="F79" t="s">
        <v>8146</v>
      </c>
      <c r="G79">
        <v>3804</v>
      </c>
      <c r="H79">
        <v>3804</v>
      </c>
      <c r="I79">
        <v>3804</v>
      </c>
      <c r="J79">
        <v>3804</v>
      </c>
      <c r="L79" s="3">
        <v>0</v>
      </c>
      <c r="M79" s="3">
        <v>0</v>
      </c>
      <c r="N79" s="3">
        <v>0</v>
      </c>
      <c r="O79" s="3">
        <v>647.69000000000005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647.69000000000005</v>
      </c>
      <c r="V79" t="s">
        <v>55</v>
      </c>
    </row>
    <row r="80" spans="1:22" x14ac:dyDescent="0.25">
      <c r="A80" t="s">
        <v>8611</v>
      </c>
      <c r="B80" t="s">
        <v>8878</v>
      </c>
      <c r="C80" t="s">
        <v>1</v>
      </c>
      <c r="D80" t="s">
        <v>8526</v>
      </c>
      <c r="E80" t="s">
        <v>8147</v>
      </c>
      <c r="F80" t="s">
        <v>8146</v>
      </c>
      <c r="G80">
        <v>3803</v>
      </c>
      <c r="H80">
        <v>3803</v>
      </c>
      <c r="I80">
        <v>3803</v>
      </c>
      <c r="J80">
        <v>3803</v>
      </c>
      <c r="L80" s="3">
        <v>0</v>
      </c>
      <c r="M80" s="3">
        <v>0</v>
      </c>
      <c r="N80" s="3">
        <v>0</v>
      </c>
      <c r="O80" s="3">
        <v>86.4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86.4</v>
      </c>
      <c r="V80" t="s">
        <v>55</v>
      </c>
    </row>
    <row r="81" spans="1:22" x14ac:dyDescent="0.25">
      <c r="A81" t="s">
        <v>8611</v>
      </c>
      <c r="B81" t="s">
        <v>8878</v>
      </c>
      <c r="C81" t="s">
        <v>1</v>
      </c>
      <c r="D81" t="s">
        <v>8526</v>
      </c>
      <c r="E81" t="s">
        <v>8147</v>
      </c>
      <c r="F81" t="s">
        <v>8146</v>
      </c>
      <c r="G81">
        <v>3802</v>
      </c>
      <c r="H81">
        <v>3802</v>
      </c>
      <c r="I81">
        <v>3802</v>
      </c>
      <c r="J81">
        <v>3802</v>
      </c>
      <c r="L81" s="3">
        <v>0</v>
      </c>
      <c r="M81" s="3">
        <v>0</v>
      </c>
      <c r="N81" s="3">
        <v>0</v>
      </c>
      <c r="O81" s="3">
        <v>211.72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211.72</v>
      </c>
      <c r="V81" t="s">
        <v>55</v>
      </c>
    </row>
    <row r="82" spans="1:22" x14ac:dyDescent="0.25">
      <c r="A82" t="s">
        <v>8611</v>
      </c>
      <c r="B82" t="s">
        <v>8878</v>
      </c>
      <c r="C82" t="s">
        <v>1</v>
      </c>
      <c r="D82" t="s">
        <v>8526</v>
      </c>
      <c r="E82" t="s">
        <v>8147</v>
      </c>
      <c r="F82" t="s">
        <v>8146</v>
      </c>
      <c r="G82">
        <v>3801</v>
      </c>
      <c r="H82">
        <v>3801</v>
      </c>
      <c r="I82">
        <v>3801</v>
      </c>
      <c r="J82">
        <v>3801</v>
      </c>
      <c r="L82" s="3">
        <v>0</v>
      </c>
      <c r="M82" s="3">
        <v>0</v>
      </c>
      <c r="N82" s="3">
        <v>0</v>
      </c>
      <c r="O82" s="3">
        <v>1597.2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1597.2</v>
      </c>
      <c r="V82" t="s">
        <v>55</v>
      </c>
    </row>
    <row r="83" spans="1:22" x14ac:dyDescent="0.25">
      <c r="A83" t="s">
        <v>8611</v>
      </c>
      <c r="B83" t="s">
        <v>8878</v>
      </c>
      <c r="C83" t="s">
        <v>1</v>
      </c>
      <c r="D83" t="s">
        <v>8526</v>
      </c>
      <c r="E83" t="s">
        <v>8147</v>
      </c>
      <c r="F83" t="s">
        <v>8146</v>
      </c>
      <c r="G83">
        <v>3800</v>
      </c>
      <c r="H83">
        <v>3800</v>
      </c>
      <c r="I83">
        <v>3800</v>
      </c>
      <c r="J83">
        <v>3800</v>
      </c>
      <c r="L83" s="3">
        <v>0</v>
      </c>
      <c r="M83" s="3">
        <v>0</v>
      </c>
      <c r="N83" s="3">
        <v>0</v>
      </c>
      <c r="O83" s="3">
        <v>298.76</v>
      </c>
      <c r="P83" s="3">
        <v>0</v>
      </c>
      <c r="Q83" s="3">
        <v>0</v>
      </c>
      <c r="R83" s="3">
        <v>0</v>
      </c>
      <c r="S83" s="3">
        <v>0</v>
      </c>
      <c r="T83" s="3">
        <v>0</v>
      </c>
      <c r="U83" s="3">
        <v>298.76</v>
      </c>
      <c r="V83" t="s">
        <v>55</v>
      </c>
    </row>
    <row r="84" spans="1:22" x14ac:dyDescent="0.25">
      <c r="A84" t="s">
        <v>8611</v>
      </c>
      <c r="B84" t="s">
        <v>8879</v>
      </c>
      <c r="C84" t="s">
        <v>1</v>
      </c>
      <c r="D84" t="s">
        <v>8526</v>
      </c>
      <c r="E84" t="s">
        <v>8147</v>
      </c>
      <c r="F84" t="s">
        <v>8146</v>
      </c>
      <c r="G84">
        <v>3799</v>
      </c>
      <c r="H84">
        <v>3799</v>
      </c>
      <c r="I84">
        <v>3799</v>
      </c>
      <c r="J84">
        <v>3799</v>
      </c>
      <c r="L84" s="3">
        <v>0</v>
      </c>
      <c r="M84" s="3">
        <v>0</v>
      </c>
      <c r="N84" s="3">
        <v>0</v>
      </c>
      <c r="O84" s="3">
        <v>175.6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175.6</v>
      </c>
      <c r="V84" t="s">
        <v>55</v>
      </c>
    </row>
    <row r="85" spans="1:22" x14ac:dyDescent="0.25">
      <c r="A85" t="s">
        <v>8611</v>
      </c>
      <c r="B85" t="s">
        <v>8879</v>
      </c>
      <c r="C85" t="s">
        <v>1</v>
      </c>
      <c r="D85" t="s">
        <v>8526</v>
      </c>
      <c r="E85" t="s">
        <v>8147</v>
      </c>
      <c r="F85" t="s">
        <v>8146</v>
      </c>
      <c r="G85">
        <v>3798</v>
      </c>
      <c r="H85">
        <v>3798</v>
      </c>
      <c r="I85">
        <v>3798</v>
      </c>
      <c r="J85">
        <v>3798</v>
      </c>
      <c r="L85" s="3">
        <v>0</v>
      </c>
      <c r="M85" s="3">
        <v>0</v>
      </c>
      <c r="N85" s="3">
        <v>0</v>
      </c>
      <c r="O85" s="3">
        <v>184.01</v>
      </c>
      <c r="P85" s="3">
        <v>0</v>
      </c>
      <c r="Q85" s="3">
        <v>0</v>
      </c>
      <c r="R85" s="3">
        <v>0</v>
      </c>
      <c r="S85" s="3">
        <v>0</v>
      </c>
      <c r="T85" s="3">
        <v>0</v>
      </c>
      <c r="U85" s="3">
        <v>184.01</v>
      </c>
      <c r="V85" t="s">
        <v>55</v>
      </c>
    </row>
    <row r="86" spans="1:22" x14ac:dyDescent="0.25">
      <c r="A86" t="s">
        <v>8611</v>
      </c>
      <c r="B86" t="s">
        <v>8879</v>
      </c>
      <c r="C86" t="s">
        <v>1</v>
      </c>
      <c r="D86" t="s">
        <v>8526</v>
      </c>
      <c r="E86" t="s">
        <v>8147</v>
      </c>
      <c r="F86" t="s">
        <v>8146</v>
      </c>
      <c r="G86">
        <v>3797</v>
      </c>
      <c r="H86">
        <v>3797</v>
      </c>
      <c r="I86">
        <v>3797</v>
      </c>
      <c r="J86">
        <v>3797</v>
      </c>
      <c r="L86" s="3">
        <v>0</v>
      </c>
      <c r="M86" s="3">
        <v>0</v>
      </c>
      <c r="N86" s="3">
        <v>0</v>
      </c>
      <c r="O86" s="3">
        <v>10.5</v>
      </c>
      <c r="P86" s="3">
        <v>0</v>
      </c>
      <c r="Q86" s="3">
        <v>0</v>
      </c>
      <c r="R86" s="3">
        <v>0</v>
      </c>
      <c r="S86" s="3">
        <v>0</v>
      </c>
      <c r="T86" s="3">
        <v>0</v>
      </c>
      <c r="U86" s="3">
        <v>10.5</v>
      </c>
      <c r="V86" t="s">
        <v>55</v>
      </c>
    </row>
    <row r="87" spans="1:22" x14ac:dyDescent="0.25">
      <c r="A87" t="s">
        <v>8611</v>
      </c>
      <c r="B87" t="s">
        <v>8879</v>
      </c>
      <c r="C87" t="s">
        <v>1</v>
      </c>
      <c r="D87" t="s">
        <v>8526</v>
      </c>
      <c r="E87" t="s">
        <v>8147</v>
      </c>
      <c r="F87" t="s">
        <v>8146</v>
      </c>
      <c r="G87">
        <v>3796</v>
      </c>
      <c r="H87">
        <v>3796</v>
      </c>
      <c r="I87">
        <v>3796</v>
      </c>
      <c r="J87">
        <v>3796</v>
      </c>
      <c r="L87" s="3">
        <v>0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t="s">
        <v>55</v>
      </c>
    </row>
    <row r="88" spans="1:22" x14ac:dyDescent="0.25">
      <c r="A88" t="s">
        <v>8611</v>
      </c>
      <c r="B88" t="s">
        <v>8879</v>
      </c>
      <c r="C88" t="s">
        <v>1</v>
      </c>
      <c r="D88" t="s">
        <v>8526</v>
      </c>
      <c r="E88" t="s">
        <v>8147</v>
      </c>
      <c r="F88" t="s">
        <v>8146</v>
      </c>
      <c r="G88">
        <v>3795</v>
      </c>
      <c r="H88">
        <v>3795</v>
      </c>
      <c r="I88">
        <v>3795</v>
      </c>
      <c r="J88">
        <v>3795</v>
      </c>
      <c r="L88" s="3">
        <v>0</v>
      </c>
      <c r="M88" s="3">
        <v>0</v>
      </c>
      <c r="N88" s="3">
        <v>0</v>
      </c>
      <c r="O88" s="3">
        <v>40.880000000000003</v>
      </c>
      <c r="P88" s="3">
        <v>0</v>
      </c>
      <c r="Q88" s="3">
        <v>0</v>
      </c>
      <c r="R88" s="3">
        <v>0</v>
      </c>
      <c r="S88" s="3">
        <v>0</v>
      </c>
      <c r="T88" s="3">
        <v>0</v>
      </c>
      <c r="U88" s="3">
        <v>40.880000000000003</v>
      </c>
      <c r="V88" t="s">
        <v>55</v>
      </c>
    </row>
    <row r="89" spans="1:22" x14ac:dyDescent="0.25">
      <c r="A89" t="s">
        <v>8611</v>
      </c>
      <c r="B89" t="s">
        <v>8890</v>
      </c>
      <c r="C89" t="s">
        <v>1</v>
      </c>
      <c r="D89" t="s">
        <v>8526</v>
      </c>
      <c r="E89" t="s">
        <v>8147</v>
      </c>
      <c r="F89" t="s">
        <v>8146</v>
      </c>
      <c r="G89">
        <v>3794</v>
      </c>
      <c r="H89">
        <v>3794</v>
      </c>
      <c r="I89">
        <v>3794</v>
      </c>
      <c r="J89">
        <v>3794</v>
      </c>
      <c r="L89" s="3">
        <v>0</v>
      </c>
      <c r="M89" s="3">
        <v>0</v>
      </c>
      <c r="N89" s="3">
        <v>0</v>
      </c>
      <c r="O89" s="3">
        <v>313</v>
      </c>
      <c r="P89" s="3">
        <v>0</v>
      </c>
      <c r="Q89" s="3">
        <v>0</v>
      </c>
      <c r="R89" s="3">
        <v>0</v>
      </c>
      <c r="S89" s="3">
        <v>0</v>
      </c>
      <c r="T89" s="3">
        <v>0</v>
      </c>
      <c r="U89" s="3">
        <v>313</v>
      </c>
      <c r="V89" t="s">
        <v>55</v>
      </c>
    </row>
    <row r="90" spans="1:22" x14ac:dyDescent="0.25">
      <c r="A90" t="s">
        <v>8611</v>
      </c>
      <c r="B90" t="s">
        <v>8890</v>
      </c>
      <c r="C90" t="s">
        <v>1</v>
      </c>
      <c r="D90" t="s">
        <v>8526</v>
      </c>
      <c r="E90" t="s">
        <v>8147</v>
      </c>
      <c r="F90" t="s">
        <v>8146</v>
      </c>
      <c r="G90">
        <v>3793</v>
      </c>
      <c r="H90">
        <v>3793</v>
      </c>
      <c r="I90">
        <v>3793</v>
      </c>
      <c r="J90">
        <v>3793</v>
      </c>
      <c r="L90" s="3">
        <v>0</v>
      </c>
      <c r="M90" s="3">
        <v>0</v>
      </c>
      <c r="N90" s="3">
        <v>0</v>
      </c>
      <c r="O90" s="3">
        <v>184.59</v>
      </c>
      <c r="P90" s="3">
        <v>0</v>
      </c>
      <c r="Q90" s="3">
        <v>0</v>
      </c>
      <c r="R90" s="3">
        <v>0</v>
      </c>
      <c r="S90" s="3">
        <v>0</v>
      </c>
      <c r="T90" s="3">
        <v>0</v>
      </c>
      <c r="U90" s="3">
        <v>184.59</v>
      </c>
      <c r="V90" t="s">
        <v>55</v>
      </c>
    </row>
    <row r="91" spans="1:22" x14ac:dyDescent="0.25">
      <c r="A91" t="s">
        <v>8611</v>
      </c>
      <c r="B91" t="s">
        <v>8890</v>
      </c>
      <c r="C91" t="s">
        <v>1</v>
      </c>
      <c r="D91" t="s">
        <v>8526</v>
      </c>
      <c r="E91" t="s">
        <v>8147</v>
      </c>
      <c r="F91" t="s">
        <v>8146</v>
      </c>
      <c r="G91">
        <v>3792</v>
      </c>
      <c r="H91">
        <v>3792</v>
      </c>
      <c r="I91">
        <v>3792</v>
      </c>
      <c r="J91">
        <v>3792</v>
      </c>
      <c r="L91" s="3">
        <v>0</v>
      </c>
      <c r="M91" s="3">
        <v>0</v>
      </c>
      <c r="N91" s="3">
        <v>0</v>
      </c>
      <c r="O91" s="3">
        <v>18.940000000000001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18.940000000000001</v>
      </c>
      <c r="V91" t="s">
        <v>55</v>
      </c>
    </row>
    <row r="92" spans="1:22" x14ac:dyDescent="0.25">
      <c r="A92" t="s">
        <v>8611</v>
      </c>
      <c r="B92" t="s">
        <v>8890</v>
      </c>
      <c r="C92" t="s">
        <v>1</v>
      </c>
      <c r="D92" t="s">
        <v>8526</v>
      </c>
      <c r="E92" t="s">
        <v>8147</v>
      </c>
      <c r="F92" t="s">
        <v>8146</v>
      </c>
      <c r="G92">
        <v>3791</v>
      </c>
      <c r="H92">
        <v>3791</v>
      </c>
      <c r="I92">
        <v>3791</v>
      </c>
      <c r="J92">
        <v>3791</v>
      </c>
      <c r="L92" s="3">
        <v>0</v>
      </c>
      <c r="M92" s="3">
        <v>0</v>
      </c>
      <c r="N92" s="3">
        <v>0</v>
      </c>
      <c r="O92" s="3">
        <v>33.6</v>
      </c>
      <c r="P92" s="3">
        <v>0</v>
      </c>
      <c r="Q92" s="3">
        <v>0</v>
      </c>
      <c r="R92" s="3">
        <v>0</v>
      </c>
      <c r="S92" s="3">
        <v>0</v>
      </c>
      <c r="T92" s="3">
        <v>0</v>
      </c>
      <c r="U92" s="3">
        <v>33.6</v>
      </c>
      <c r="V92" t="s">
        <v>55</v>
      </c>
    </row>
    <row r="93" spans="1:22" x14ac:dyDescent="0.25">
      <c r="A93" t="s">
        <v>8611</v>
      </c>
      <c r="B93" t="s">
        <v>8880</v>
      </c>
      <c r="C93" t="s">
        <v>1</v>
      </c>
      <c r="D93" t="s">
        <v>8526</v>
      </c>
      <c r="E93" t="s">
        <v>8147</v>
      </c>
      <c r="F93" t="s">
        <v>8146</v>
      </c>
      <c r="G93">
        <v>3790</v>
      </c>
      <c r="H93">
        <v>3790</v>
      </c>
      <c r="I93">
        <v>3790</v>
      </c>
      <c r="J93">
        <v>3790</v>
      </c>
      <c r="L93" s="3">
        <v>0</v>
      </c>
      <c r="M93" s="3">
        <v>0</v>
      </c>
      <c r="N93" s="3">
        <v>0</v>
      </c>
      <c r="O93" s="3">
        <v>50.92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50.92</v>
      </c>
      <c r="V93" t="s">
        <v>55</v>
      </c>
    </row>
    <row r="94" spans="1:22" x14ac:dyDescent="0.25">
      <c r="A94" t="s">
        <v>8611</v>
      </c>
      <c r="B94" t="s">
        <v>8880</v>
      </c>
      <c r="C94" t="s">
        <v>1</v>
      </c>
      <c r="D94" t="s">
        <v>8526</v>
      </c>
      <c r="E94" t="s">
        <v>8147</v>
      </c>
      <c r="F94" t="s">
        <v>8146</v>
      </c>
      <c r="G94">
        <v>3789</v>
      </c>
      <c r="H94">
        <v>3789</v>
      </c>
      <c r="I94">
        <v>3789</v>
      </c>
      <c r="J94">
        <v>3789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t="s">
        <v>55</v>
      </c>
    </row>
    <row r="95" spans="1:22" x14ac:dyDescent="0.25">
      <c r="A95" t="s">
        <v>8611</v>
      </c>
      <c r="B95" t="s">
        <v>8880</v>
      </c>
      <c r="C95" t="s">
        <v>1</v>
      </c>
      <c r="D95" t="s">
        <v>8526</v>
      </c>
      <c r="E95" t="s">
        <v>8147</v>
      </c>
      <c r="F95" t="s">
        <v>8146</v>
      </c>
      <c r="G95">
        <v>3788</v>
      </c>
      <c r="H95">
        <v>3788</v>
      </c>
      <c r="I95">
        <v>3788</v>
      </c>
      <c r="J95">
        <v>3788</v>
      </c>
      <c r="L95" s="3">
        <v>0</v>
      </c>
      <c r="M95" s="3">
        <v>0</v>
      </c>
      <c r="N95" s="3">
        <v>0</v>
      </c>
      <c r="O95" s="3">
        <v>12.03</v>
      </c>
      <c r="P95" s="3">
        <v>0</v>
      </c>
      <c r="Q95" s="3">
        <v>0</v>
      </c>
      <c r="R95" s="3">
        <v>0</v>
      </c>
      <c r="S95" s="3">
        <v>0</v>
      </c>
      <c r="T95" s="3">
        <v>0</v>
      </c>
      <c r="U95" s="3">
        <v>12.03</v>
      </c>
      <c r="V95" t="s">
        <v>55</v>
      </c>
    </row>
    <row r="96" spans="1:22" x14ac:dyDescent="0.25">
      <c r="A96" t="s">
        <v>8611</v>
      </c>
      <c r="B96" t="s">
        <v>8880</v>
      </c>
      <c r="C96" t="s">
        <v>1</v>
      </c>
      <c r="D96" t="s">
        <v>8526</v>
      </c>
      <c r="E96" t="s">
        <v>8147</v>
      </c>
      <c r="F96" t="s">
        <v>8146</v>
      </c>
      <c r="G96">
        <v>3787</v>
      </c>
      <c r="H96">
        <v>3787</v>
      </c>
      <c r="I96">
        <v>3787</v>
      </c>
      <c r="J96">
        <v>3787</v>
      </c>
      <c r="L96" s="3">
        <v>0</v>
      </c>
      <c r="M96" s="3">
        <v>0</v>
      </c>
      <c r="N96" s="3">
        <v>0</v>
      </c>
      <c r="O96" s="3">
        <v>46.9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46.9</v>
      </c>
      <c r="V96" t="s">
        <v>55</v>
      </c>
    </row>
    <row r="97" spans="1:22" x14ac:dyDescent="0.25">
      <c r="A97" t="s">
        <v>8611</v>
      </c>
      <c r="B97" t="s">
        <v>8891</v>
      </c>
      <c r="C97" t="s">
        <v>1</v>
      </c>
      <c r="D97" t="s">
        <v>8526</v>
      </c>
      <c r="E97" t="s">
        <v>8147</v>
      </c>
      <c r="F97" t="s">
        <v>8146</v>
      </c>
      <c r="G97">
        <v>3786</v>
      </c>
      <c r="H97">
        <v>3786</v>
      </c>
      <c r="I97">
        <v>3786</v>
      </c>
      <c r="J97">
        <v>3786</v>
      </c>
      <c r="L97" s="3">
        <v>0</v>
      </c>
      <c r="M97" s="3">
        <v>0</v>
      </c>
      <c r="N97" s="3">
        <v>0</v>
      </c>
      <c r="O97" s="3">
        <v>69.180000000000007</v>
      </c>
      <c r="P97" s="3">
        <v>0</v>
      </c>
      <c r="Q97" s="3">
        <v>0</v>
      </c>
      <c r="R97" s="3">
        <v>0</v>
      </c>
      <c r="S97" s="3">
        <v>0</v>
      </c>
      <c r="T97" s="3">
        <v>0</v>
      </c>
      <c r="U97" s="3">
        <v>69.180000000000007</v>
      </c>
      <c r="V97" t="s">
        <v>55</v>
      </c>
    </row>
    <row r="98" spans="1:22" x14ac:dyDescent="0.25">
      <c r="A98" t="s">
        <v>8611</v>
      </c>
      <c r="B98" t="s">
        <v>8891</v>
      </c>
      <c r="C98" t="s">
        <v>1</v>
      </c>
      <c r="D98" t="s">
        <v>8526</v>
      </c>
      <c r="E98" t="s">
        <v>8147</v>
      </c>
      <c r="F98" t="s">
        <v>8146</v>
      </c>
      <c r="G98">
        <v>3785</v>
      </c>
      <c r="H98">
        <v>3785</v>
      </c>
      <c r="I98">
        <v>3785</v>
      </c>
      <c r="J98">
        <v>3785</v>
      </c>
      <c r="L98" s="3">
        <v>0</v>
      </c>
      <c r="M98" s="3">
        <v>0</v>
      </c>
      <c r="N98" s="3">
        <v>0</v>
      </c>
      <c r="O98" s="3">
        <v>227.95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227.95</v>
      </c>
      <c r="V98" t="s">
        <v>55</v>
      </c>
    </row>
    <row r="99" spans="1:22" x14ac:dyDescent="0.25">
      <c r="A99" t="s">
        <v>8611</v>
      </c>
      <c r="B99" t="s">
        <v>8891</v>
      </c>
      <c r="C99" t="s">
        <v>1</v>
      </c>
      <c r="D99" t="s">
        <v>8526</v>
      </c>
      <c r="E99" t="s">
        <v>8147</v>
      </c>
      <c r="F99" t="s">
        <v>8146</v>
      </c>
      <c r="G99">
        <v>3784</v>
      </c>
      <c r="H99">
        <v>3784</v>
      </c>
      <c r="I99">
        <v>3784</v>
      </c>
      <c r="J99">
        <v>3784</v>
      </c>
      <c r="L99" s="3">
        <v>0</v>
      </c>
      <c r="M99" s="3">
        <v>0</v>
      </c>
      <c r="N99" s="3">
        <v>0</v>
      </c>
      <c r="O99" s="3">
        <v>31.8</v>
      </c>
      <c r="P99" s="3">
        <v>0</v>
      </c>
      <c r="Q99" s="3">
        <v>0</v>
      </c>
      <c r="R99" s="3">
        <v>0</v>
      </c>
      <c r="S99" s="3">
        <v>0</v>
      </c>
      <c r="T99" s="3">
        <v>0</v>
      </c>
      <c r="U99" s="3">
        <v>31.8</v>
      </c>
      <c r="V99" t="s">
        <v>55</v>
      </c>
    </row>
    <row r="100" spans="1:22" x14ac:dyDescent="0.25">
      <c r="A100" t="s">
        <v>8611</v>
      </c>
      <c r="B100" t="s">
        <v>8891</v>
      </c>
      <c r="C100" t="s">
        <v>1</v>
      </c>
      <c r="D100" t="s">
        <v>8526</v>
      </c>
      <c r="E100" t="s">
        <v>8147</v>
      </c>
      <c r="F100" t="s">
        <v>8146</v>
      </c>
      <c r="G100">
        <v>3783</v>
      </c>
      <c r="H100">
        <v>3783</v>
      </c>
      <c r="I100">
        <v>3783</v>
      </c>
      <c r="J100">
        <v>3783</v>
      </c>
      <c r="L100" s="3">
        <v>0</v>
      </c>
      <c r="M100" s="3">
        <v>0</v>
      </c>
      <c r="N100" s="3">
        <v>0</v>
      </c>
      <c r="O100" s="3">
        <v>57.65</v>
      </c>
      <c r="P100" s="3">
        <v>0</v>
      </c>
      <c r="Q100" s="3">
        <v>0</v>
      </c>
      <c r="R100" s="3">
        <v>0</v>
      </c>
      <c r="S100" s="3">
        <v>0</v>
      </c>
      <c r="T100" s="3">
        <v>0</v>
      </c>
      <c r="U100" s="3">
        <v>57.65</v>
      </c>
      <c r="V100" t="s">
        <v>55</v>
      </c>
    </row>
    <row r="101" spans="1:22" x14ac:dyDescent="0.25">
      <c r="A101" t="s">
        <v>8611</v>
      </c>
      <c r="B101" t="s">
        <v>8891</v>
      </c>
      <c r="C101" t="s">
        <v>1</v>
      </c>
      <c r="D101" t="s">
        <v>8526</v>
      </c>
      <c r="E101" t="s">
        <v>8147</v>
      </c>
      <c r="F101" t="s">
        <v>8146</v>
      </c>
      <c r="G101">
        <v>3782</v>
      </c>
      <c r="H101">
        <v>3782</v>
      </c>
      <c r="I101">
        <v>3782</v>
      </c>
      <c r="J101">
        <v>3782</v>
      </c>
      <c r="L101" s="3">
        <v>0</v>
      </c>
      <c r="M101" s="3">
        <v>0</v>
      </c>
      <c r="N101" s="3">
        <v>0</v>
      </c>
      <c r="O101" s="3">
        <v>78</v>
      </c>
      <c r="P101" s="3">
        <v>0</v>
      </c>
      <c r="Q101" s="3">
        <v>0</v>
      </c>
      <c r="R101" s="3">
        <v>0</v>
      </c>
      <c r="S101" s="3">
        <v>0</v>
      </c>
      <c r="T101" s="3">
        <v>0</v>
      </c>
      <c r="U101" s="3">
        <v>78</v>
      </c>
      <c r="V101" t="s">
        <v>55</v>
      </c>
    </row>
    <row r="102" spans="1:22" x14ac:dyDescent="0.25">
      <c r="A102" t="s">
        <v>8611</v>
      </c>
      <c r="B102" t="s">
        <v>8891</v>
      </c>
      <c r="C102" t="s">
        <v>1</v>
      </c>
      <c r="D102" t="s">
        <v>8526</v>
      </c>
      <c r="E102" t="s">
        <v>8147</v>
      </c>
      <c r="F102" t="s">
        <v>8146</v>
      </c>
      <c r="G102">
        <v>3781</v>
      </c>
      <c r="H102">
        <v>3781</v>
      </c>
      <c r="I102">
        <v>3781</v>
      </c>
      <c r="J102">
        <v>3781</v>
      </c>
      <c r="L102" s="3">
        <v>0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3">
        <v>0</v>
      </c>
      <c r="T102" s="3">
        <v>0</v>
      </c>
      <c r="U102" s="3">
        <v>0</v>
      </c>
      <c r="V102" t="s">
        <v>55</v>
      </c>
    </row>
    <row r="103" spans="1:22" x14ac:dyDescent="0.25">
      <c r="A103" t="s">
        <v>8611</v>
      </c>
      <c r="B103" t="s">
        <v>8881</v>
      </c>
      <c r="C103" t="s">
        <v>1</v>
      </c>
      <c r="D103" t="s">
        <v>8526</v>
      </c>
      <c r="E103" t="s">
        <v>8147</v>
      </c>
      <c r="F103" t="s">
        <v>8146</v>
      </c>
      <c r="G103">
        <v>3780</v>
      </c>
      <c r="H103">
        <v>3780</v>
      </c>
      <c r="I103">
        <v>3780</v>
      </c>
      <c r="J103">
        <v>3780</v>
      </c>
      <c r="L103" s="3">
        <v>0</v>
      </c>
      <c r="M103" s="3">
        <v>0</v>
      </c>
      <c r="N103" s="3">
        <v>0</v>
      </c>
      <c r="O103" s="3">
        <v>241.03</v>
      </c>
      <c r="P103" s="3">
        <v>0</v>
      </c>
      <c r="Q103" s="3">
        <v>0</v>
      </c>
      <c r="R103" s="3">
        <v>0</v>
      </c>
      <c r="S103" s="3">
        <v>0</v>
      </c>
      <c r="T103" s="3">
        <v>0</v>
      </c>
      <c r="U103" s="3">
        <v>241.03</v>
      </c>
      <c r="V103" t="s">
        <v>55</v>
      </c>
    </row>
    <row r="104" spans="1:22" x14ac:dyDescent="0.25">
      <c r="A104" t="s">
        <v>8611</v>
      </c>
      <c r="B104" t="s">
        <v>8881</v>
      </c>
      <c r="C104" t="s">
        <v>1</v>
      </c>
      <c r="D104" t="s">
        <v>8526</v>
      </c>
      <c r="E104" t="s">
        <v>8147</v>
      </c>
      <c r="F104" t="s">
        <v>8146</v>
      </c>
      <c r="G104">
        <v>3779</v>
      </c>
      <c r="H104">
        <v>3779</v>
      </c>
      <c r="I104">
        <v>3779</v>
      </c>
      <c r="J104">
        <v>3779</v>
      </c>
      <c r="L104" s="3">
        <v>0</v>
      </c>
      <c r="M104" s="3">
        <v>0</v>
      </c>
      <c r="N104" s="3">
        <v>0</v>
      </c>
      <c r="O104" s="3">
        <v>1663.92</v>
      </c>
      <c r="P104" s="3">
        <v>0</v>
      </c>
      <c r="Q104" s="3">
        <v>0</v>
      </c>
      <c r="R104" s="3">
        <v>0</v>
      </c>
      <c r="S104" s="3">
        <v>0</v>
      </c>
      <c r="T104" s="3">
        <v>0</v>
      </c>
      <c r="U104" s="3">
        <v>1663.92</v>
      </c>
      <c r="V104" t="s">
        <v>55</v>
      </c>
    </row>
    <row r="105" spans="1:22" x14ac:dyDescent="0.25">
      <c r="A105" t="s">
        <v>8611</v>
      </c>
      <c r="B105" t="s">
        <v>8881</v>
      </c>
      <c r="C105" t="s">
        <v>1</v>
      </c>
      <c r="D105" t="s">
        <v>8526</v>
      </c>
      <c r="E105" t="s">
        <v>8147</v>
      </c>
      <c r="F105" t="s">
        <v>8146</v>
      </c>
      <c r="G105">
        <v>3778</v>
      </c>
      <c r="H105">
        <v>3778</v>
      </c>
      <c r="I105">
        <v>3778</v>
      </c>
      <c r="J105">
        <v>3778</v>
      </c>
      <c r="L105" s="3">
        <v>0</v>
      </c>
      <c r="M105" s="3">
        <v>0</v>
      </c>
      <c r="N105" s="3">
        <v>0</v>
      </c>
      <c r="O105" s="3">
        <v>64</v>
      </c>
      <c r="P105" s="3">
        <v>0</v>
      </c>
      <c r="Q105" s="3">
        <v>0</v>
      </c>
      <c r="R105" s="3">
        <v>0</v>
      </c>
      <c r="S105" s="3">
        <v>0</v>
      </c>
      <c r="T105" s="3">
        <v>0</v>
      </c>
      <c r="U105" s="3">
        <v>64</v>
      </c>
      <c r="V105" t="s">
        <v>55</v>
      </c>
    </row>
    <row r="106" spans="1:22" x14ac:dyDescent="0.25">
      <c r="A106" t="s">
        <v>8611</v>
      </c>
      <c r="B106" t="s">
        <v>8881</v>
      </c>
      <c r="C106" t="s">
        <v>1</v>
      </c>
      <c r="D106" t="s">
        <v>8526</v>
      </c>
      <c r="E106" t="s">
        <v>8147</v>
      </c>
      <c r="F106" t="s">
        <v>8146</v>
      </c>
      <c r="G106">
        <v>3777</v>
      </c>
      <c r="H106">
        <v>3777</v>
      </c>
      <c r="I106">
        <v>3777</v>
      </c>
      <c r="J106">
        <v>3777</v>
      </c>
      <c r="L106" s="3">
        <v>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t="s">
        <v>55</v>
      </c>
    </row>
    <row r="107" spans="1:22" x14ac:dyDescent="0.25">
      <c r="A107" t="s">
        <v>8611</v>
      </c>
      <c r="B107" t="s">
        <v>8881</v>
      </c>
      <c r="C107" t="s">
        <v>1</v>
      </c>
      <c r="D107" t="s">
        <v>8526</v>
      </c>
      <c r="E107" t="s">
        <v>8147</v>
      </c>
      <c r="F107" t="s">
        <v>8146</v>
      </c>
      <c r="G107">
        <v>3776</v>
      </c>
      <c r="H107">
        <v>3776</v>
      </c>
      <c r="I107">
        <v>3776</v>
      </c>
      <c r="J107">
        <v>3776</v>
      </c>
      <c r="L107" s="3">
        <v>0</v>
      </c>
      <c r="M107" s="3">
        <v>0</v>
      </c>
      <c r="N107" s="3">
        <v>0</v>
      </c>
      <c r="O107" s="3">
        <v>225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225</v>
      </c>
      <c r="V107" t="s">
        <v>55</v>
      </c>
    </row>
    <row r="108" spans="1:22" x14ac:dyDescent="0.25">
      <c r="A108" t="s">
        <v>8611</v>
      </c>
      <c r="B108" t="s">
        <v>8892</v>
      </c>
      <c r="C108" t="s">
        <v>1</v>
      </c>
      <c r="D108" t="s">
        <v>8526</v>
      </c>
      <c r="E108" t="s">
        <v>8147</v>
      </c>
      <c r="F108" t="s">
        <v>8146</v>
      </c>
      <c r="G108">
        <v>3775</v>
      </c>
      <c r="H108">
        <v>3775</v>
      </c>
      <c r="I108">
        <v>3775</v>
      </c>
      <c r="J108">
        <v>3775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t="s">
        <v>55</v>
      </c>
    </row>
    <row r="109" spans="1:22" x14ac:dyDescent="0.25">
      <c r="A109" t="s">
        <v>8611</v>
      </c>
      <c r="B109" t="s">
        <v>8892</v>
      </c>
      <c r="C109" t="s">
        <v>1</v>
      </c>
      <c r="D109" t="s">
        <v>8526</v>
      </c>
      <c r="E109" t="s">
        <v>8147</v>
      </c>
      <c r="F109" t="s">
        <v>8146</v>
      </c>
      <c r="G109">
        <v>3774</v>
      </c>
      <c r="H109">
        <v>3774</v>
      </c>
      <c r="I109">
        <v>3774</v>
      </c>
      <c r="J109">
        <v>3774</v>
      </c>
      <c r="L109" s="3">
        <v>0</v>
      </c>
      <c r="M109" s="3">
        <v>0</v>
      </c>
      <c r="N109" s="3">
        <v>0</v>
      </c>
      <c r="O109" s="3">
        <v>40.68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40.68</v>
      </c>
      <c r="V109" t="s">
        <v>55</v>
      </c>
    </row>
    <row r="110" spans="1:22" x14ac:dyDescent="0.25">
      <c r="A110" t="s">
        <v>8611</v>
      </c>
      <c r="B110" t="s">
        <v>8893</v>
      </c>
      <c r="C110" t="s">
        <v>1</v>
      </c>
      <c r="D110" t="s">
        <v>8526</v>
      </c>
      <c r="E110" t="s">
        <v>8147</v>
      </c>
      <c r="F110" t="s">
        <v>8146</v>
      </c>
      <c r="G110">
        <v>3773</v>
      </c>
      <c r="H110">
        <v>3773</v>
      </c>
      <c r="I110">
        <v>3773</v>
      </c>
      <c r="J110">
        <v>3773</v>
      </c>
      <c r="L110" s="3">
        <v>0</v>
      </c>
      <c r="M110" s="3">
        <v>0</v>
      </c>
      <c r="N110" s="3">
        <v>0</v>
      </c>
      <c r="O110" s="3">
        <v>75.73</v>
      </c>
      <c r="P110" s="3">
        <v>0</v>
      </c>
      <c r="Q110" s="3">
        <v>0</v>
      </c>
      <c r="R110" s="3">
        <v>0</v>
      </c>
      <c r="S110" s="3">
        <v>0</v>
      </c>
      <c r="T110" s="3">
        <v>0</v>
      </c>
      <c r="U110" s="3">
        <v>75.73</v>
      </c>
      <c r="V110" t="s">
        <v>55</v>
      </c>
    </row>
    <row r="111" spans="1:22" x14ac:dyDescent="0.25">
      <c r="A111" t="s">
        <v>8611</v>
      </c>
      <c r="B111" t="s">
        <v>8893</v>
      </c>
      <c r="C111" t="s">
        <v>1</v>
      </c>
      <c r="D111" t="s">
        <v>8526</v>
      </c>
      <c r="E111" t="s">
        <v>8147</v>
      </c>
      <c r="F111" t="s">
        <v>8146</v>
      </c>
      <c r="G111">
        <v>3772</v>
      </c>
      <c r="H111">
        <v>3772</v>
      </c>
      <c r="I111">
        <v>3772</v>
      </c>
      <c r="J111">
        <v>3772</v>
      </c>
      <c r="L111" s="3">
        <v>0</v>
      </c>
      <c r="M111" s="3">
        <v>0</v>
      </c>
      <c r="N111" s="3">
        <v>0</v>
      </c>
      <c r="O111" s="3">
        <v>285.52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285.52</v>
      </c>
      <c r="V111" t="s">
        <v>55</v>
      </c>
    </row>
    <row r="112" spans="1:22" x14ac:dyDescent="0.25">
      <c r="A112" t="s">
        <v>8611</v>
      </c>
      <c r="B112" t="s">
        <v>8893</v>
      </c>
      <c r="C112" t="s">
        <v>1</v>
      </c>
      <c r="D112" t="s">
        <v>8526</v>
      </c>
      <c r="E112" t="s">
        <v>8147</v>
      </c>
      <c r="F112" t="s">
        <v>8146</v>
      </c>
      <c r="G112">
        <v>3771</v>
      </c>
      <c r="H112">
        <v>3771</v>
      </c>
      <c r="I112">
        <v>3771</v>
      </c>
      <c r="J112">
        <v>3771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t="s">
        <v>55</v>
      </c>
    </row>
    <row r="113" spans="1:22" x14ac:dyDescent="0.25">
      <c r="A113" t="s">
        <v>8611</v>
      </c>
      <c r="B113" t="s">
        <v>8893</v>
      </c>
      <c r="C113" t="s">
        <v>1</v>
      </c>
      <c r="D113" t="s">
        <v>8526</v>
      </c>
      <c r="E113" t="s">
        <v>8147</v>
      </c>
      <c r="F113" t="s">
        <v>8146</v>
      </c>
      <c r="G113">
        <v>3770</v>
      </c>
      <c r="H113">
        <v>3770</v>
      </c>
      <c r="I113">
        <v>3770</v>
      </c>
      <c r="J113">
        <v>3770</v>
      </c>
      <c r="L113" s="3">
        <v>0</v>
      </c>
      <c r="M113" s="3">
        <v>0</v>
      </c>
      <c r="N113" s="3">
        <v>0</v>
      </c>
      <c r="O113" s="3">
        <v>19.010000000000002</v>
      </c>
      <c r="P113" s="3">
        <v>0</v>
      </c>
      <c r="Q113" s="3">
        <v>0</v>
      </c>
      <c r="R113" s="3">
        <v>0</v>
      </c>
      <c r="S113" s="3">
        <v>0</v>
      </c>
      <c r="T113" s="3">
        <v>0</v>
      </c>
      <c r="U113" s="3">
        <v>19.010000000000002</v>
      </c>
      <c r="V113" t="s">
        <v>55</v>
      </c>
    </row>
    <row r="114" spans="1:22" x14ac:dyDescent="0.25">
      <c r="A114" t="s">
        <v>8611</v>
      </c>
      <c r="B114" t="s">
        <v>8893</v>
      </c>
      <c r="C114" t="s">
        <v>1</v>
      </c>
      <c r="D114" t="s">
        <v>8526</v>
      </c>
      <c r="E114" t="s">
        <v>8147</v>
      </c>
      <c r="F114" t="s">
        <v>8146</v>
      </c>
      <c r="G114">
        <v>3769</v>
      </c>
      <c r="H114">
        <v>3769</v>
      </c>
      <c r="I114">
        <v>3769</v>
      </c>
      <c r="J114">
        <v>3769</v>
      </c>
      <c r="L114" s="3">
        <v>0</v>
      </c>
      <c r="M114" s="3">
        <v>0</v>
      </c>
      <c r="N114" s="3">
        <v>0</v>
      </c>
      <c r="O114" s="3">
        <v>25.5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25.5</v>
      </c>
      <c r="V114" t="s">
        <v>55</v>
      </c>
    </row>
    <row r="115" spans="1:22" x14ac:dyDescent="0.25">
      <c r="A115" t="s">
        <v>8611</v>
      </c>
      <c r="B115" t="s">
        <v>8894</v>
      </c>
      <c r="C115" t="s">
        <v>1</v>
      </c>
      <c r="D115" t="s">
        <v>8526</v>
      </c>
      <c r="E115" t="s">
        <v>8147</v>
      </c>
      <c r="F115" t="s">
        <v>8146</v>
      </c>
      <c r="G115">
        <v>3768</v>
      </c>
      <c r="H115">
        <v>3768</v>
      </c>
      <c r="I115">
        <v>3768</v>
      </c>
      <c r="J115">
        <v>3768</v>
      </c>
      <c r="L115" s="3">
        <v>0</v>
      </c>
      <c r="M115" s="3">
        <v>0</v>
      </c>
      <c r="N115" s="3">
        <v>0</v>
      </c>
      <c r="O115" s="3">
        <v>34.44</v>
      </c>
      <c r="P115" s="3">
        <v>0</v>
      </c>
      <c r="Q115" s="3">
        <v>0</v>
      </c>
      <c r="R115" s="3">
        <v>0</v>
      </c>
      <c r="S115" s="3">
        <v>0</v>
      </c>
      <c r="T115" s="3">
        <v>0</v>
      </c>
      <c r="U115" s="3">
        <v>34.44</v>
      </c>
      <c r="V115" t="s">
        <v>55</v>
      </c>
    </row>
    <row r="116" spans="1:22" x14ac:dyDescent="0.25">
      <c r="A116" t="s">
        <v>8611</v>
      </c>
      <c r="B116" t="s">
        <v>8894</v>
      </c>
      <c r="C116" t="s">
        <v>1</v>
      </c>
      <c r="D116" t="s">
        <v>8526</v>
      </c>
      <c r="E116" t="s">
        <v>8147</v>
      </c>
      <c r="F116" t="s">
        <v>8146</v>
      </c>
      <c r="G116">
        <v>3767</v>
      </c>
      <c r="H116">
        <v>3767</v>
      </c>
      <c r="I116">
        <v>3767</v>
      </c>
      <c r="J116">
        <v>3767</v>
      </c>
      <c r="L116" s="3">
        <v>0</v>
      </c>
      <c r="M116" s="3">
        <v>0</v>
      </c>
      <c r="N116" s="3">
        <v>0</v>
      </c>
      <c r="O116" s="3">
        <v>5.27</v>
      </c>
      <c r="P116" s="3">
        <v>0</v>
      </c>
      <c r="Q116" s="3">
        <v>0</v>
      </c>
      <c r="R116" s="3">
        <v>0</v>
      </c>
      <c r="S116" s="3">
        <v>0</v>
      </c>
      <c r="T116" s="3">
        <v>0</v>
      </c>
      <c r="U116" s="3">
        <v>5.27</v>
      </c>
      <c r="V116" t="s">
        <v>55</v>
      </c>
    </row>
    <row r="117" spans="1:22" x14ac:dyDescent="0.25">
      <c r="A117" t="s">
        <v>8611</v>
      </c>
      <c r="B117" t="s">
        <v>8894</v>
      </c>
      <c r="C117" t="s">
        <v>1</v>
      </c>
      <c r="D117" t="s">
        <v>8526</v>
      </c>
      <c r="E117" t="s">
        <v>8147</v>
      </c>
      <c r="F117" t="s">
        <v>8146</v>
      </c>
      <c r="G117">
        <v>3766</v>
      </c>
      <c r="H117">
        <v>3766</v>
      </c>
      <c r="I117">
        <v>3766</v>
      </c>
      <c r="J117">
        <v>3766</v>
      </c>
      <c r="L117" s="3">
        <v>0</v>
      </c>
      <c r="M117" s="3">
        <v>0</v>
      </c>
      <c r="N117" s="3">
        <v>0</v>
      </c>
      <c r="O117" s="3">
        <v>293.60000000000002</v>
      </c>
      <c r="P117" s="3">
        <v>0</v>
      </c>
      <c r="Q117" s="3">
        <v>0</v>
      </c>
      <c r="R117" s="3">
        <v>0</v>
      </c>
      <c r="S117" s="3">
        <v>0</v>
      </c>
      <c r="T117" s="3">
        <v>0</v>
      </c>
      <c r="U117" s="3">
        <v>293.60000000000002</v>
      </c>
      <c r="V117" t="s">
        <v>55</v>
      </c>
    </row>
    <row r="118" spans="1:22" x14ac:dyDescent="0.25">
      <c r="A118" t="s">
        <v>8611</v>
      </c>
      <c r="B118" t="s">
        <v>8894</v>
      </c>
      <c r="C118" t="s">
        <v>1</v>
      </c>
      <c r="D118" t="s">
        <v>8526</v>
      </c>
      <c r="E118" t="s">
        <v>8147</v>
      </c>
      <c r="F118" t="s">
        <v>8146</v>
      </c>
      <c r="G118">
        <v>3765</v>
      </c>
      <c r="H118">
        <v>3765</v>
      </c>
      <c r="I118">
        <v>3765</v>
      </c>
      <c r="J118">
        <v>3765</v>
      </c>
      <c r="L118" s="3">
        <v>0</v>
      </c>
      <c r="M118" s="3">
        <v>0</v>
      </c>
      <c r="N118" s="3">
        <v>0</v>
      </c>
      <c r="O118" s="3">
        <v>25.5</v>
      </c>
      <c r="P118" s="3">
        <v>0</v>
      </c>
      <c r="Q118" s="3">
        <v>0</v>
      </c>
      <c r="R118" s="3">
        <v>0</v>
      </c>
      <c r="S118" s="3">
        <v>0</v>
      </c>
      <c r="T118" s="3">
        <v>0</v>
      </c>
      <c r="U118" s="3">
        <v>25.5</v>
      </c>
      <c r="V118" t="s">
        <v>55</v>
      </c>
    </row>
    <row r="119" spans="1:22" x14ac:dyDescent="0.25">
      <c r="A119" t="s">
        <v>8611</v>
      </c>
      <c r="B119" t="s">
        <v>8894</v>
      </c>
      <c r="C119" t="s">
        <v>1</v>
      </c>
      <c r="D119" t="s">
        <v>8526</v>
      </c>
      <c r="E119" t="s">
        <v>8147</v>
      </c>
      <c r="F119" t="s">
        <v>8146</v>
      </c>
      <c r="G119">
        <v>3764</v>
      </c>
      <c r="H119">
        <v>3764</v>
      </c>
      <c r="I119">
        <v>3764</v>
      </c>
      <c r="J119">
        <v>3764</v>
      </c>
      <c r="L119" s="3">
        <v>0</v>
      </c>
      <c r="M119" s="3">
        <v>0</v>
      </c>
      <c r="N119" s="3">
        <v>0</v>
      </c>
      <c r="O119" s="3">
        <v>82.02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82.02</v>
      </c>
      <c r="V119" t="s">
        <v>55</v>
      </c>
    </row>
    <row r="120" spans="1:22" x14ac:dyDescent="0.25">
      <c r="A120" t="s">
        <v>8611</v>
      </c>
      <c r="B120" t="s">
        <v>8894</v>
      </c>
      <c r="C120" t="s">
        <v>1</v>
      </c>
      <c r="D120" t="s">
        <v>8526</v>
      </c>
      <c r="E120" t="s">
        <v>8147</v>
      </c>
      <c r="F120" t="s">
        <v>8146</v>
      </c>
      <c r="G120">
        <v>3763</v>
      </c>
      <c r="H120">
        <v>3763</v>
      </c>
      <c r="I120">
        <v>3763</v>
      </c>
      <c r="J120">
        <v>3763</v>
      </c>
      <c r="L120" s="3">
        <v>0</v>
      </c>
      <c r="M120" s="3">
        <v>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0</v>
      </c>
      <c r="U120" s="3">
        <v>0</v>
      </c>
      <c r="V120" t="s">
        <v>55</v>
      </c>
    </row>
    <row r="121" spans="1:22" x14ac:dyDescent="0.25">
      <c r="A121" t="s">
        <v>8611</v>
      </c>
      <c r="B121" t="s">
        <v>8894</v>
      </c>
      <c r="C121" t="s">
        <v>1</v>
      </c>
      <c r="D121" t="s">
        <v>8526</v>
      </c>
      <c r="E121" t="s">
        <v>8147</v>
      </c>
      <c r="F121" t="s">
        <v>8146</v>
      </c>
      <c r="G121">
        <v>3762</v>
      </c>
      <c r="H121">
        <v>3762</v>
      </c>
      <c r="I121">
        <v>3762</v>
      </c>
      <c r="J121">
        <v>3762</v>
      </c>
      <c r="L121" s="3">
        <v>0</v>
      </c>
      <c r="M121" s="3">
        <v>0</v>
      </c>
      <c r="N121" s="3">
        <v>0</v>
      </c>
      <c r="O121" s="3">
        <v>51</v>
      </c>
      <c r="P121" s="3">
        <v>0</v>
      </c>
      <c r="Q121" s="3">
        <v>0</v>
      </c>
      <c r="R121" s="3">
        <v>0</v>
      </c>
      <c r="S121" s="3">
        <v>0</v>
      </c>
      <c r="T121" s="3">
        <v>0</v>
      </c>
      <c r="U121" s="3">
        <v>51</v>
      </c>
      <c r="V121" t="s">
        <v>55</v>
      </c>
    </row>
    <row r="122" spans="1:22" hidden="1" x14ac:dyDescent="0.25">
      <c r="A122" t="s">
        <v>8610</v>
      </c>
      <c r="B122" t="s">
        <v>8852</v>
      </c>
      <c r="C122" t="s">
        <v>1</v>
      </c>
      <c r="D122" t="s">
        <v>8127</v>
      </c>
      <c r="E122" t="s">
        <v>8128</v>
      </c>
      <c r="F122" t="s">
        <v>8129</v>
      </c>
      <c r="G122">
        <v>222</v>
      </c>
      <c r="H122">
        <v>222</v>
      </c>
      <c r="I122">
        <v>222</v>
      </c>
      <c r="J122">
        <v>222</v>
      </c>
      <c r="L122" s="3">
        <v>0</v>
      </c>
      <c r="M122" s="3">
        <v>0</v>
      </c>
      <c r="N122" s="3">
        <v>0</v>
      </c>
      <c r="O122" s="3">
        <v>0</v>
      </c>
      <c r="P122" s="3">
        <v>782.24</v>
      </c>
      <c r="Q122" s="3">
        <v>0</v>
      </c>
      <c r="R122" s="3">
        <v>0</v>
      </c>
      <c r="S122" s="3">
        <v>0</v>
      </c>
      <c r="T122" s="3">
        <v>0</v>
      </c>
      <c r="U122" s="3">
        <v>782.24</v>
      </c>
      <c r="V122" t="s">
        <v>55</v>
      </c>
    </row>
    <row r="123" spans="1:22" hidden="1" x14ac:dyDescent="0.25">
      <c r="A123" t="s">
        <v>8610</v>
      </c>
      <c r="B123" t="s">
        <v>8849</v>
      </c>
      <c r="C123" t="s">
        <v>1</v>
      </c>
      <c r="D123" t="s">
        <v>8127</v>
      </c>
      <c r="E123" t="s">
        <v>8128</v>
      </c>
      <c r="F123" t="s">
        <v>8129</v>
      </c>
      <c r="G123">
        <v>223</v>
      </c>
      <c r="H123">
        <v>223</v>
      </c>
      <c r="I123">
        <v>223</v>
      </c>
      <c r="J123">
        <v>223</v>
      </c>
      <c r="L123" s="3">
        <v>0</v>
      </c>
      <c r="M123" s="3">
        <v>0</v>
      </c>
      <c r="N123" s="3">
        <v>0</v>
      </c>
      <c r="O123" s="3">
        <v>0</v>
      </c>
      <c r="P123" s="3">
        <v>6.2</v>
      </c>
      <c r="Q123" s="3">
        <v>0</v>
      </c>
      <c r="R123" s="3">
        <v>0</v>
      </c>
      <c r="S123" s="3">
        <v>0</v>
      </c>
      <c r="T123" s="3">
        <v>0</v>
      </c>
      <c r="U123" s="3">
        <v>6.2</v>
      </c>
      <c r="V123" t="s">
        <v>55</v>
      </c>
    </row>
    <row r="124" spans="1:22" hidden="1" x14ac:dyDescent="0.25">
      <c r="A124" t="s">
        <v>8610</v>
      </c>
      <c r="B124" t="s">
        <v>8849</v>
      </c>
      <c r="C124" t="s">
        <v>1</v>
      </c>
      <c r="D124" t="s">
        <v>8127</v>
      </c>
      <c r="E124" t="s">
        <v>8128</v>
      </c>
      <c r="F124" t="s">
        <v>8129</v>
      </c>
      <c r="G124">
        <v>224</v>
      </c>
      <c r="H124">
        <v>224</v>
      </c>
      <c r="I124">
        <v>224</v>
      </c>
      <c r="J124">
        <v>224</v>
      </c>
      <c r="L124" s="3">
        <v>0</v>
      </c>
      <c r="M124" s="3">
        <v>0</v>
      </c>
      <c r="N124" s="3">
        <v>0</v>
      </c>
      <c r="O124" s="3">
        <v>0</v>
      </c>
      <c r="P124" s="3">
        <v>798.7</v>
      </c>
      <c r="Q124" s="3">
        <v>0</v>
      </c>
      <c r="R124" s="3">
        <v>0</v>
      </c>
      <c r="S124" s="3">
        <v>0</v>
      </c>
      <c r="T124" s="3">
        <v>0</v>
      </c>
      <c r="U124" s="3">
        <v>798.7</v>
      </c>
      <c r="V124" t="s">
        <v>55</v>
      </c>
    </row>
    <row r="125" spans="1:22" hidden="1" x14ac:dyDescent="0.25">
      <c r="A125" t="s">
        <v>8610</v>
      </c>
      <c r="B125" t="s">
        <v>8849</v>
      </c>
      <c r="C125" t="s">
        <v>1</v>
      </c>
      <c r="D125" t="s">
        <v>8127</v>
      </c>
      <c r="E125" t="s">
        <v>8128</v>
      </c>
      <c r="F125" t="s">
        <v>8129</v>
      </c>
      <c r="G125">
        <v>225</v>
      </c>
      <c r="H125">
        <v>225</v>
      </c>
      <c r="I125">
        <v>225</v>
      </c>
      <c r="J125">
        <v>225</v>
      </c>
      <c r="L125" s="3">
        <v>0</v>
      </c>
      <c r="M125" s="3">
        <v>0</v>
      </c>
      <c r="N125" s="3">
        <v>0</v>
      </c>
      <c r="O125" s="3">
        <v>0</v>
      </c>
      <c r="P125" s="3">
        <v>653.24</v>
      </c>
      <c r="Q125" s="3">
        <v>0</v>
      </c>
      <c r="R125" s="3">
        <v>0</v>
      </c>
      <c r="S125" s="3">
        <v>0</v>
      </c>
      <c r="T125" s="3">
        <v>0</v>
      </c>
      <c r="U125" s="3">
        <v>653.24</v>
      </c>
      <c r="V125" t="s">
        <v>55</v>
      </c>
    </row>
    <row r="126" spans="1:22" hidden="1" x14ac:dyDescent="0.25">
      <c r="A126" t="s">
        <v>8610</v>
      </c>
      <c r="B126" t="s">
        <v>8826</v>
      </c>
      <c r="C126" t="s">
        <v>1</v>
      </c>
      <c r="D126" t="s">
        <v>8127</v>
      </c>
      <c r="E126" t="s">
        <v>8128</v>
      </c>
      <c r="F126" t="s">
        <v>8129</v>
      </c>
      <c r="G126">
        <v>226</v>
      </c>
      <c r="H126">
        <v>226</v>
      </c>
      <c r="I126">
        <v>226</v>
      </c>
      <c r="J126">
        <v>226</v>
      </c>
      <c r="L126" s="3">
        <v>0</v>
      </c>
      <c r="M126" s="3">
        <v>0</v>
      </c>
      <c r="N126" s="3">
        <v>0</v>
      </c>
      <c r="O126" s="3">
        <v>0</v>
      </c>
      <c r="P126" s="3">
        <v>119</v>
      </c>
      <c r="Q126" s="3">
        <v>0</v>
      </c>
      <c r="R126" s="3">
        <v>0</v>
      </c>
      <c r="S126" s="3">
        <v>0</v>
      </c>
      <c r="T126" s="3">
        <v>0</v>
      </c>
      <c r="U126" s="3">
        <v>119</v>
      </c>
      <c r="V126" t="s">
        <v>55</v>
      </c>
    </row>
    <row r="127" spans="1:22" hidden="1" x14ac:dyDescent="0.25">
      <c r="A127" t="s">
        <v>8610</v>
      </c>
      <c r="B127" t="s">
        <v>8826</v>
      </c>
      <c r="C127" t="s">
        <v>1</v>
      </c>
      <c r="D127" t="s">
        <v>8127</v>
      </c>
      <c r="E127" t="s">
        <v>8128</v>
      </c>
      <c r="F127" t="s">
        <v>8129</v>
      </c>
      <c r="G127">
        <v>227</v>
      </c>
      <c r="H127">
        <v>227</v>
      </c>
      <c r="I127">
        <v>227</v>
      </c>
      <c r="J127">
        <v>227</v>
      </c>
      <c r="L127" s="3">
        <v>0</v>
      </c>
      <c r="M127" s="3">
        <v>0</v>
      </c>
      <c r="N127" s="3">
        <v>0</v>
      </c>
      <c r="O127" s="3">
        <v>0</v>
      </c>
      <c r="P127" s="3">
        <v>309.77999999999997</v>
      </c>
      <c r="Q127" s="3">
        <v>0</v>
      </c>
      <c r="R127" s="3">
        <v>0</v>
      </c>
      <c r="S127" s="3">
        <v>0</v>
      </c>
      <c r="T127" s="3">
        <v>0</v>
      </c>
      <c r="U127" s="3">
        <v>309.77999999999997</v>
      </c>
      <c r="V127" t="s">
        <v>55</v>
      </c>
    </row>
    <row r="128" spans="1:22" hidden="1" x14ac:dyDescent="0.25">
      <c r="A128" t="s">
        <v>8610</v>
      </c>
      <c r="B128" t="s">
        <v>8839</v>
      </c>
      <c r="C128" t="s">
        <v>1</v>
      </c>
      <c r="D128" t="s">
        <v>8526</v>
      </c>
      <c r="E128" t="s">
        <v>8137</v>
      </c>
      <c r="F128" t="s">
        <v>8138</v>
      </c>
      <c r="G128">
        <v>147</v>
      </c>
      <c r="H128">
        <v>147</v>
      </c>
      <c r="I128">
        <v>147</v>
      </c>
      <c r="J128">
        <v>147</v>
      </c>
      <c r="L128" s="3">
        <v>0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3">
        <v>0</v>
      </c>
      <c r="T128" s="3">
        <v>0</v>
      </c>
      <c r="U128" s="3">
        <v>0</v>
      </c>
      <c r="V128" t="s">
        <v>55</v>
      </c>
    </row>
    <row r="129" spans="1:22" hidden="1" x14ac:dyDescent="0.25">
      <c r="A129" t="s">
        <v>8610</v>
      </c>
      <c r="B129" t="s">
        <v>8840</v>
      </c>
      <c r="C129" t="s">
        <v>1</v>
      </c>
      <c r="D129" t="s">
        <v>8526</v>
      </c>
      <c r="E129" t="s">
        <v>8137</v>
      </c>
      <c r="F129" t="s">
        <v>8138</v>
      </c>
      <c r="G129">
        <v>146</v>
      </c>
      <c r="H129">
        <v>146</v>
      </c>
      <c r="I129">
        <v>146</v>
      </c>
      <c r="J129">
        <v>146</v>
      </c>
      <c r="L129" s="3">
        <v>0</v>
      </c>
      <c r="M129" s="3">
        <v>0</v>
      </c>
      <c r="N129" s="3">
        <v>0</v>
      </c>
      <c r="O129" s="3">
        <v>12.55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12.55</v>
      </c>
      <c r="V129" t="s">
        <v>55</v>
      </c>
    </row>
    <row r="130" spans="1:22" hidden="1" x14ac:dyDescent="0.25">
      <c r="A130" t="s">
        <v>8610</v>
      </c>
      <c r="B130" t="s">
        <v>8841</v>
      </c>
      <c r="C130" t="s">
        <v>1</v>
      </c>
      <c r="D130" t="s">
        <v>8526</v>
      </c>
      <c r="E130" t="s">
        <v>8137</v>
      </c>
      <c r="F130" t="s">
        <v>8138</v>
      </c>
      <c r="G130">
        <v>145</v>
      </c>
      <c r="H130">
        <v>145</v>
      </c>
      <c r="I130">
        <v>145</v>
      </c>
      <c r="J130">
        <v>145</v>
      </c>
      <c r="L130" s="3">
        <v>0</v>
      </c>
      <c r="M130" s="3">
        <v>0</v>
      </c>
      <c r="N130" s="3">
        <v>0</v>
      </c>
      <c r="O130" s="3">
        <v>24.25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24.25</v>
      </c>
      <c r="V130" t="s">
        <v>55</v>
      </c>
    </row>
    <row r="131" spans="1:22" hidden="1" x14ac:dyDescent="0.25">
      <c r="A131" t="s">
        <v>8610</v>
      </c>
      <c r="B131" t="s">
        <v>8841</v>
      </c>
      <c r="C131" t="s">
        <v>1</v>
      </c>
      <c r="D131" t="s">
        <v>8526</v>
      </c>
      <c r="E131" t="s">
        <v>8137</v>
      </c>
      <c r="F131" t="s">
        <v>8138</v>
      </c>
      <c r="G131">
        <v>144</v>
      </c>
      <c r="H131">
        <v>144</v>
      </c>
      <c r="I131">
        <v>144</v>
      </c>
      <c r="J131">
        <v>144</v>
      </c>
      <c r="L131" s="3">
        <v>0</v>
      </c>
      <c r="M131" s="3">
        <v>0</v>
      </c>
      <c r="N131" s="3">
        <v>0</v>
      </c>
      <c r="O131" s="3">
        <v>0.6</v>
      </c>
      <c r="P131" s="3">
        <v>0</v>
      </c>
      <c r="Q131" s="3">
        <v>0</v>
      </c>
      <c r="R131" s="3">
        <v>0</v>
      </c>
      <c r="S131" s="3">
        <v>0</v>
      </c>
      <c r="T131" s="3">
        <v>0</v>
      </c>
      <c r="U131" s="3">
        <v>0.6</v>
      </c>
      <c r="V131" t="s">
        <v>55</v>
      </c>
    </row>
    <row r="132" spans="1:22" hidden="1" x14ac:dyDescent="0.25">
      <c r="A132" t="s">
        <v>8610</v>
      </c>
      <c r="B132" t="s">
        <v>8844</v>
      </c>
      <c r="C132" t="s">
        <v>1</v>
      </c>
      <c r="D132" t="s">
        <v>8526</v>
      </c>
      <c r="E132" t="s">
        <v>8137</v>
      </c>
      <c r="F132" t="s">
        <v>8138</v>
      </c>
      <c r="G132">
        <v>143</v>
      </c>
      <c r="H132">
        <v>143</v>
      </c>
      <c r="I132">
        <v>143</v>
      </c>
      <c r="J132">
        <v>143</v>
      </c>
      <c r="L132" s="3">
        <v>0</v>
      </c>
      <c r="M132" s="3">
        <v>0</v>
      </c>
      <c r="N132" s="3">
        <v>0</v>
      </c>
      <c r="O132" s="3">
        <v>14.78</v>
      </c>
      <c r="P132" s="3">
        <v>0</v>
      </c>
      <c r="Q132" s="3">
        <v>0</v>
      </c>
      <c r="R132" s="3">
        <v>0</v>
      </c>
      <c r="S132" s="3">
        <v>0</v>
      </c>
      <c r="T132" s="3">
        <v>0</v>
      </c>
      <c r="U132" s="3">
        <v>14.78</v>
      </c>
      <c r="V132" t="s">
        <v>55</v>
      </c>
    </row>
    <row r="133" spans="1:22" hidden="1" x14ac:dyDescent="0.25">
      <c r="A133" t="s">
        <v>8610</v>
      </c>
      <c r="B133" t="s">
        <v>8844</v>
      </c>
      <c r="C133" t="s">
        <v>1</v>
      </c>
      <c r="D133" t="s">
        <v>8526</v>
      </c>
      <c r="E133" t="s">
        <v>8137</v>
      </c>
      <c r="F133" t="s">
        <v>8138</v>
      </c>
      <c r="G133">
        <v>142</v>
      </c>
      <c r="H133">
        <v>142</v>
      </c>
      <c r="I133">
        <v>142</v>
      </c>
      <c r="J133">
        <v>142</v>
      </c>
      <c r="L133" s="3">
        <v>0</v>
      </c>
      <c r="M133" s="3">
        <v>0</v>
      </c>
      <c r="N133" s="3">
        <v>0</v>
      </c>
      <c r="O133" s="3">
        <v>3</v>
      </c>
      <c r="P133" s="3">
        <v>0</v>
      </c>
      <c r="Q133" s="3">
        <v>0</v>
      </c>
      <c r="R133" s="3">
        <v>0</v>
      </c>
      <c r="S133" s="3">
        <v>0</v>
      </c>
      <c r="T133" s="3">
        <v>0</v>
      </c>
      <c r="U133" s="3">
        <v>3</v>
      </c>
      <c r="V133" t="s">
        <v>55</v>
      </c>
    </row>
    <row r="134" spans="1:22" hidden="1" x14ac:dyDescent="0.25">
      <c r="A134" t="s">
        <v>8610</v>
      </c>
      <c r="B134" t="s">
        <v>8846</v>
      </c>
      <c r="C134" t="s">
        <v>1</v>
      </c>
      <c r="D134" t="s">
        <v>8526</v>
      </c>
      <c r="E134" t="s">
        <v>8137</v>
      </c>
      <c r="F134" t="s">
        <v>8138</v>
      </c>
      <c r="G134">
        <v>141</v>
      </c>
      <c r="H134">
        <v>141</v>
      </c>
      <c r="I134">
        <v>141</v>
      </c>
      <c r="J134">
        <v>141</v>
      </c>
      <c r="L134" s="3">
        <v>0</v>
      </c>
      <c r="M134" s="3">
        <v>0</v>
      </c>
      <c r="N134" s="3">
        <v>0</v>
      </c>
      <c r="O134" s="3">
        <v>21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21</v>
      </c>
      <c r="V134" t="s">
        <v>55</v>
      </c>
    </row>
    <row r="135" spans="1:22" hidden="1" x14ac:dyDescent="0.25">
      <c r="A135" t="s">
        <v>8610</v>
      </c>
      <c r="B135" t="s">
        <v>8849</v>
      </c>
      <c r="C135" t="s">
        <v>1</v>
      </c>
      <c r="D135" t="s">
        <v>8526</v>
      </c>
      <c r="E135" t="s">
        <v>8137</v>
      </c>
      <c r="F135" t="s">
        <v>8138</v>
      </c>
      <c r="G135">
        <v>140</v>
      </c>
      <c r="H135">
        <v>140</v>
      </c>
      <c r="I135">
        <v>140</v>
      </c>
      <c r="J135">
        <v>140</v>
      </c>
      <c r="L135" s="3">
        <v>0</v>
      </c>
      <c r="M135" s="3">
        <v>0</v>
      </c>
      <c r="N135" s="3">
        <v>0</v>
      </c>
      <c r="O135" s="3">
        <v>8.85</v>
      </c>
      <c r="P135" s="3">
        <v>0</v>
      </c>
      <c r="Q135" s="3">
        <v>0</v>
      </c>
      <c r="R135" s="3">
        <v>0</v>
      </c>
      <c r="S135" s="3">
        <v>0</v>
      </c>
      <c r="T135" s="3">
        <v>0</v>
      </c>
      <c r="U135" s="3">
        <v>8.85</v>
      </c>
      <c r="V135" t="s">
        <v>55</v>
      </c>
    </row>
    <row r="136" spans="1:22" hidden="1" x14ac:dyDescent="0.25">
      <c r="A136" t="s">
        <v>8610</v>
      </c>
      <c r="B136" t="s">
        <v>8849</v>
      </c>
      <c r="C136" t="s">
        <v>1</v>
      </c>
      <c r="D136" t="s">
        <v>8526</v>
      </c>
      <c r="E136" t="s">
        <v>8137</v>
      </c>
      <c r="F136" t="s">
        <v>8138</v>
      </c>
      <c r="G136">
        <v>139</v>
      </c>
      <c r="H136">
        <v>139</v>
      </c>
      <c r="I136">
        <v>139</v>
      </c>
      <c r="J136">
        <v>139</v>
      </c>
      <c r="L136" s="3">
        <v>0</v>
      </c>
      <c r="M136" s="3">
        <v>0</v>
      </c>
      <c r="N136" s="3">
        <v>0</v>
      </c>
      <c r="O136" s="3">
        <v>38.42</v>
      </c>
      <c r="P136" s="3">
        <v>0</v>
      </c>
      <c r="Q136" s="3">
        <v>0</v>
      </c>
      <c r="R136" s="3">
        <v>0</v>
      </c>
      <c r="S136" s="3">
        <v>0</v>
      </c>
      <c r="T136" s="3">
        <v>0</v>
      </c>
      <c r="U136" s="3">
        <v>38.42</v>
      </c>
      <c r="V136" t="s">
        <v>55</v>
      </c>
    </row>
    <row r="137" spans="1:22" hidden="1" x14ac:dyDescent="0.25">
      <c r="A137" t="s">
        <v>8610</v>
      </c>
      <c r="B137" t="s">
        <v>8849</v>
      </c>
      <c r="C137" t="s">
        <v>1</v>
      </c>
      <c r="D137" t="s">
        <v>8526</v>
      </c>
      <c r="E137" t="s">
        <v>8137</v>
      </c>
      <c r="F137" t="s">
        <v>8138</v>
      </c>
      <c r="G137">
        <v>138</v>
      </c>
      <c r="H137">
        <v>138</v>
      </c>
      <c r="I137">
        <v>138</v>
      </c>
      <c r="J137">
        <v>138</v>
      </c>
      <c r="L137" s="3">
        <v>0</v>
      </c>
      <c r="M137" s="3">
        <v>0</v>
      </c>
      <c r="N137" s="3">
        <v>0</v>
      </c>
      <c r="O137" s="3">
        <v>0.8</v>
      </c>
      <c r="P137" s="3">
        <v>0</v>
      </c>
      <c r="Q137" s="3">
        <v>0</v>
      </c>
      <c r="R137" s="3">
        <v>0</v>
      </c>
      <c r="S137" s="3">
        <v>0</v>
      </c>
      <c r="T137" s="3">
        <v>0</v>
      </c>
      <c r="U137" s="3">
        <v>0.8</v>
      </c>
      <c r="V137" t="s">
        <v>55</v>
      </c>
    </row>
    <row r="138" spans="1:22" hidden="1" x14ac:dyDescent="0.25">
      <c r="A138" t="s">
        <v>8610</v>
      </c>
      <c r="B138" t="s">
        <v>8849</v>
      </c>
      <c r="C138" t="s">
        <v>1</v>
      </c>
      <c r="D138" t="s">
        <v>8526</v>
      </c>
      <c r="E138" t="s">
        <v>8137</v>
      </c>
      <c r="F138" t="s">
        <v>8138</v>
      </c>
      <c r="G138">
        <v>137</v>
      </c>
      <c r="H138">
        <v>137</v>
      </c>
      <c r="I138">
        <v>137</v>
      </c>
      <c r="J138">
        <v>137</v>
      </c>
      <c r="L138" s="3">
        <v>0</v>
      </c>
      <c r="M138" s="3">
        <v>0</v>
      </c>
      <c r="N138" s="3">
        <v>0</v>
      </c>
      <c r="O138" s="3">
        <v>2</v>
      </c>
      <c r="P138" s="3">
        <v>0</v>
      </c>
      <c r="Q138" s="3">
        <v>0</v>
      </c>
      <c r="R138" s="3">
        <v>0</v>
      </c>
      <c r="S138" s="3">
        <v>0</v>
      </c>
      <c r="T138" s="3">
        <v>0</v>
      </c>
      <c r="U138" s="3">
        <v>2</v>
      </c>
      <c r="V138" t="s">
        <v>55</v>
      </c>
    </row>
    <row r="139" spans="1:22" hidden="1" x14ac:dyDescent="0.25">
      <c r="A139" t="s">
        <v>8610</v>
      </c>
      <c r="B139" t="s">
        <v>8849</v>
      </c>
      <c r="C139" t="s">
        <v>1</v>
      </c>
      <c r="D139" t="s">
        <v>8526</v>
      </c>
      <c r="E139" t="s">
        <v>8137</v>
      </c>
      <c r="F139" t="s">
        <v>8138</v>
      </c>
      <c r="G139">
        <v>136</v>
      </c>
      <c r="H139">
        <v>136</v>
      </c>
      <c r="I139">
        <v>136</v>
      </c>
      <c r="J139">
        <v>136</v>
      </c>
      <c r="L139" s="3">
        <v>0</v>
      </c>
      <c r="M139" s="3">
        <v>0</v>
      </c>
      <c r="N139" s="3">
        <v>0</v>
      </c>
      <c r="O139" s="3">
        <v>7.5</v>
      </c>
      <c r="P139" s="3">
        <v>0</v>
      </c>
      <c r="Q139" s="3">
        <v>0</v>
      </c>
      <c r="R139" s="3">
        <v>0</v>
      </c>
      <c r="S139" s="3">
        <v>0</v>
      </c>
      <c r="T139" s="3">
        <v>0</v>
      </c>
      <c r="U139" s="3">
        <v>7.5</v>
      </c>
      <c r="V139" t="s">
        <v>55</v>
      </c>
    </row>
    <row r="140" spans="1:22" hidden="1" x14ac:dyDescent="0.25">
      <c r="A140" t="s">
        <v>8610</v>
      </c>
      <c r="B140" t="s">
        <v>8852</v>
      </c>
      <c r="C140" t="s">
        <v>1</v>
      </c>
      <c r="D140" t="s">
        <v>8526</v>
      </c>
      <c r="E140" t="s">
        <v>8137</v>
      </c>
      <c r="F140" t="s">
        <v>8138</v>
      </c>
      <c r="G140">
        <v>135</v>
      </c>
      <c r="H140">
        <v>135</v>
      </c>
      <c r="I140">
        <v>135</v>
      </c>
      <c r="J140">
        <v>135</v>
      </c>
      <c r="L140" s="3">
        <v>0</v>
      </c>
      <c r="M140" s="3">
        <v>0</v>
      </c>
      <c r="N140" s="3">
        <v>0</v>
      </c>
      <c r="O140" s="3">
        <v>24.75</v>
      </c>
      <c r="P140" s="3">
        <v>0</v>
      </c>
      <c r="Q140" s="3">
        <v>0</v>
      </c>
      <c r="R140" s="3">
        <v>0</v>
      </c>
      <c r="S140" s="3">
        <v>0</v>
      </c>
      <c r="T140" s="3">
        <v>0</v>
      </c>
      <c r="U140" s="3">
        <v>24.75</v>
      </c>
      <c r="V140" t="s">
        <v>55</v>
      </c>
    </row>
    <row r="141" spans="1:22" hidden="1" x14ac:dyDescent="0.25">
      <c r="A141" t="s">
        <v>8610</v>
      </c>
      <c r="B141" t="s">
        <v>8852</v>
      </c>
      <c r="C141" t="s">
        <v>1</v>
      </c>
      <c r="D141" t="s">
        <v>8526</v>
      </c>
      <c r="E141" t="s">
        <v>8137</v>
      </c>
      <c r="F141" t="s">
        <v>8138</v>
      </c>
      <c r="G141">
        <v>134</v>
      </c>
      <c r="H141">
        <v>134</v>
      </c>
      <c r="I141">
        <v>134</v>
      </c>
      <c r="J141">
        <v>134</v>
      </c>
      <c r="L141" s="3">
        <v>0</v>
      </c>
      <c r="M141" s="3">
        <v>0</v>
      </c>
      <c r="N141" s="3">
        <v>0</v>
      </c>
      <c r="O141" s="3">
        <v>1222.5</v>
      </c>
      <c r="P141" s="3">
        <v>0</v>
      </c>
      <c r="Q141" s="3">
        <v>0</v>
      </c>
      <c r="R141" s="3">
        <v>0</v>
      </c>
      <c r="S141" s="3">
        <v>0</v>
      </c>
      <c r="T141" s="3">
        <v>0</v>
      </c>
      <c r="U141" s="3">
        <v>1222.5</v>
      </c>
      <c r="V141" t="s">
        <v>55</v>
      </c>
    </row>
    <row r="142" spans="1:22" hidden="1" x14ac:dyDescent="0.25">
      <c r="A142" t="s">
        <v>8610</v>
      </c>
      <c r="B142" t="s">
        <v>8852</v>
      </c>
      <c r="C142" t="s">
        <v>1</v>
      </c>
      <c r="D142" t="s">
        <v>8526</v>
      </c>
      <c r="E142" t="s">
        <v>8137</v>
      </c>
      <c r="F142" t="s">
        <v>8138</v>
      </c>
      <c r="G142">
        <v>133</v>
      </c>
      <c r="H142">
        <v>133</v>
      </c>
      <c r="I142">
        <v>133</v>
      </c>
      <c r="J142">
        <v>133</v>
      </c>
      <c r="L142" s="3">
        <v>0</v>
      </c>
      <c r="M142" s="3">
        <v>0</v>
      </c>
      <c r="N142" s="3">
        <v>0</v>
      </c>
      <c r="O142" s="3">
        <v>5.6</v>
      </c>
      <c r="P142" s="3">
        <v>0</v>
      </c>
      <c r="Q142" s="3">
        <v>0</v>
      </c>
      <c r="R142" s="3">
        <v>0</v>
      </c>
      <c r="S142" s="3">
        <v>0</v>
      </c>
      <c r="T142" s="3">
        <v>0</v>
      </c>
      <c r="U142" s="3">
        <v>5.6</v>
      </c>
      <c r="V142" t="s">
        <v>55</v>
      </c>
    </row>
    <row r="143" spans="1:22" hidden="1" x14ac:dyDescent="0.25">
      <c r="A143" t="s">
        <v>8610</v>
      </c>
      <c r="B143" t="s">
        <v>8852</v>
      </c>
      <c r="C143" t="s">
        <v>1</v>
      </c>
      <c r="D143" t="s">
        <v>8526</v>
      </c>
      <c r="E143" t="s">
        <v>8137</v>
      </c>
      <c r="F143" t="s">
        <v>8138</v>
      </c>
      <c r="G143">
        <v>132</v>
      </c>
      <c r="H143">
        <v>132</v>
      </c>
      <c r="I143">
        <v>132</v>
      </c>
      <c r="J143">
        <v>132</v>
      </c>
      <c r="L143" s="3">
        <v>0</v>
      </c>
      <c r="M143" s="3">
        <v>0</v>
      </c>
      <c r="N143" s="3">
        <v>0</v>
      </c>
      <c r="O143" s="3">
        <v>3.9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3.9</v>
      </c>
      <c r="V143" t="s">
        <v>55</v>
      </c>
    </row>
    <row r="144" spans="1:22" hidden="1" x14ac:dyDescent="0.25">
      <c r="A144" t="s">
        <v>8610</v>
      </c>
      <c r="B144" t="s">
        <v>8852</v>
      </c>
      <c r="C144" t="s">
        <v>1</v>
      </c>
      <c r="D144" t="s">
        <v>8526</v>
      </c>
      <c r="E144" t="s">
        <v>8137</v>
      </c>
      <c r="F144" t="s">
        <v>8138</v>
      </c>
      <c r="G144">
        <v>131</v>
      </c>
      <c r="H144">
        <v>131</v>
      </c>
      <c r="I144">
        <v>131</v>
      </c>
      <c r="J144">
        <v>131</v>
      </c>
      <c r="L144" s="3">
        <v>0</v>
      </c>
      <c r="M144" s="3">
        <v>0</v>
      </c>
      <c r="N144" s="3">
        <v>0</v>
      </c>
      <c r="O144" s="3">
        <v>33.65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33.65</v>
      </c>
      <c r="V144" t="s">
        <v>55</v>
      </c>
    </row>
    <row r="145" spans="1:22" hidden="1" x14ac:dyDescent="0.25">
      <c r="A145" t="s">
        <v>8610</v>
      </c>
      <c r="B145" t="s">
        <v>8852</v>
      </c>
      <c r="C145" t="s">
        <v>1</v>
      </c>
      <c r="D145" t="s">
        <v>8526</v>
      </c>
      <c r="E145" t="s">
        <v>8137</v>
      </c>
      <c r="F145" t="s">
        <v>8138</v>
      </c>
      <c r="G145">
        <v>130</v>
      </c>
      <c r="H145">
        <v>130</v>
      </c>
      <c r="I145">
        <v>130</v>
      </c>
      <c r="J145">
        <v>130</v>
      </c>
      <c r="L145" s="3">
        <v>0</v>
      </c>
      <c r="M145" s="3">
        <v>0</v>
      </c>
      <c r="N145" s="3">
        <v>0</v>
      </c>
      <c r="O145" s="3">
        <v>14.15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14.15</v>
      </c>
      <c r="V145" t="s">
        <v>55</v>
      </c>
    </row>
    <row r="146" spans="1:22" hidden="1" x14ac:dyDescent="0.25">
      <c r="A146" t="s">
        <v>8610</v>
      </c>
      <c r="B146" t="s">
        <v>8852</v>
      </c>
      <c r="C146" t="s">
        <v>1</v>
      </c>
      <c r="D146" t="s">
        <v>8526</v>
      </c>
      <c r="E146" t="s">
        <v>8137</v>
      </c>
      <c r="F146" t="s">
        <v>8138</v>
      </c>
      <c r="G146">
        <v>129</v>
      </c>
      <c r="H146">
        <v>129</v>
      </c>
      <c r="I146">
        <v>129</v>
      </c>
      <c r="J146">
        <v>129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t="s">
        <v>55</v>
      </c>
    </row>
    <row r="147" spans="1:22" hidden="1" x14ac:dyDescent="0.25">
      <c r="A147" t="s">
        <v>8610</v>
      </c>
      <c r="B147" t="s">
        <v>8852</v>
      </c>
      <c r="C147" t="s">
        <v>1</v>
      </c>
      <c r="D147" t="s">
        <v>8526</v>
      </c>
      <c r="E147" t="s">
        <v>8137</v>
      </c>
      <c r="F147" t="s">
        <v>8138</v>
      </c>
      <c r="G147">
        <v>128</v>
      </c>
      <c r="H147">
        <v>128</v>
      </c>
      <c r="I147">
        <v>128</v>
      </c>
      <c r="J147">
        <v>128</v>
      </c>
      <c r="L147" s="3">
        <v>0</v>
      </c>
      <c r="M147" s="3">
        <v>0</v>
      </c>
      <c r="N147" s="3">
        <v>0</v>
      </c>
      <c r="O147" s="3">
        <v>15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15</v>
      </c>
      <c r="V147" t="s">
        <v>55</v>
      </c>
    </row>
    <row r="148" spans="1:22" hidden="1" x14ac:dyDescent="0.25">
      <c r="A148" t="s">
        <v>8610</v>
      </c>
      <c r="B148" t="s">
        <v>8852</v>
      </c>
      <c r="C148" t="s">
        <v>1</v>
      </c>
      <c r="D148" t="s">
        <v>8526</v>
      </c>
      <c r="E148" t="s">
        <v>8147</v>
      </c>
      <c r="F148" t="s">
        <v>8146</v>
      </c>
      <c r="G148">
        <v>3637</v>
      </c>
      <c r="H148">
        <v>3637</v>
      </c>
      <c r="I148">
        <v>3637</v>
      </c>
      <c r="J148">
        <v>3637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t="s">
        <v>55</v>
      </c>
    </row>
    <row r="149" spans="1:22" hidden="1" x14ac:dyDescent="0.25">
      <c r="A149" t="s">
        <v>8610</v>
      </c>
      <c r="B149" t="s">
        <v>8852</v>
      </c>
      <c r="C149" t="s">
        <v>1</v>
      </c>
      <c r="D149" t="s">
        <v>8526</v>
      </c>
      <c r="E149" t="s">
        <v>8147</v>
      </c>
      <c r="F149" t="s">
        <v>8146</v>
      </c>
      <c r="G149">
        <v>3938</v>
      </c>
      <c r="H149">
        <v>3938</v>
      </c>
      <c r="I149">
        <v>3938</v>
      </c>
      <c r="J149">
        <v>3938</v>
      </c>
      <c r="L149" s="3">
        <v>0</v>
      </c>
      <c r="M149" s="3">
        <v>0</v>
      </c>
      <c r="N149" s="3">
        <v>0</v>
      </c>
      <c r="O149" s="3">
        <v>30.51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30.51</v>
      </c>
      <c r="V149" t="s">
        <v>55</v>
      </c>
    </row>
    <row r="150" spans="1:22" hidden="1" x14ac:dyDescent="0.25">
      <c r="A150" t="s">
        <v>8610</v>
      </c>
      <c r="B150" t="s">
        <v>8852</v>
      </c>
      <c r="C150" t="s">
        <v>1</v>
      </c>
      <c r="D150" t="s">
        <v>8526</v>
      </c>
      <c r="E150" t="s">
        <v>8147</v>
      </c>
      <c r="F150" t="s">
        <v>8146</v>
      </c>
      <c r="G150">
        <v>3639</v>
      </c>
      <c r="H150">
        <v>3639</v>
      </c>
      <c r="I150">
        <v>3639</v>
      </c>
      <c r="J150">
        <v>3639</v>
      </c>
      <c r="L150" s="3">
        <v>0</v>
      </c>
      <c r="M150" s="3">
        <v>0</v>
      </c>
      <c r="N150" s="3">
        <v>0</v>
      </c>
      <c r="O150" s="3">
        <v>372.68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372.68</v>
      </c>
      <c r="V150" t="s">
        <v>55</v>
      </c>
    </row>
    <row r="151" spans="1:22" hidden="1" x14ac:dyDescent="0.25">
      <c r="A151" t="s">
        <v>8610</v>
      </c>
      <c r="B151" t="s">
        <v>8852</v>
      </c>
      <c r="C151" t="s">
        <v>1</v>
      </c>
      <c r="D151" t="s">
        <v>8526</v>
      </c>
      <c r="E151" t="s">
        <v>8147</v>
      </c>
      <c r="F151" t="s">
        <v>8146</v>
      </c>
      <c r="G151">
        <v>3640</v>
      </c>
      <c r="H151">
        <v>3640</v>
      </c>
      <c r="I151">
        <v>3640</v>
      </c>
      <c r="J151">
        <v>3640</v>
      </c>
      <c r="L151" s="3">
        <v>0</v>
      </c>
      <c r="M151" s="3">
        <v>0</v>
      </c>
      <c r="N151" s="3">
        <v>0</v>
      </c>
      <c r="O151" s="3">
        <v>486.82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486.82</v>
      </c>
      <c r="V151" t="s">
        <v>55</v>
      </c>
    </row>
    <row r="152" spans="1:22" hidden="1" x14ac:dyDescent="0.25">
      <c r="A152" t="s">
        <v>8610</v>
      </c>
      <c r="B152" t="s">
        <v>8852</v>
      </c>
      <c r="C152" t="s">
        <v>1</v>
      </c>
      <c r="D152" t="s">
        <v>8526</v>
      </c>
      <c r="E152" t="s">
        <v>8147</v>
      </c>
      <c r="F152" t="s">
        <v>8146</v>
      </c>
      <c r="G152">
        <v>3641</v>
      </c>
      <c r="H152">
        <v>3641</v>
      </c>
      <c r="I152">
        <v>3641</v>
      </c>
      <c r="J152">
        <v>3641</v>
      </c>
      <c r="L152" s="3">
        <v>0</v>
      </c>
      <c r="M152" s="3">
        <v>0</v>
      </c>
      <c r="N152" s="3">
        <v>0</v>
      </c>
      <c r="O152" s="3">
        <v>46.1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46.1</v>
      </c>
      <c r="V152" t="s">
        <v>55</v>
      </c>
    </row>
    <row r="153" spans="1:22" hidden="1" x14ac:dyDescent="0.25">
      <c r="A153" t="s">
        <v>8610</v>
      </c>
      <c r="B153" t="s">
        <v>8852</v>
      </c>
      <c r="C153" t="s">
        <v>1</v>
      </c>
      <c r="D153" t="s">
        <v>8526</v>
      </c>
      <c r="E153" t="s">
        <v>8147</v>
      </c>
      <c r="F153" t="s">
        <v>8146</v>
      </c>
      <c r="G153">
        <v>3642</v>
      </c>
      <c r="H153">
        <v>3642</v>
      </c>
      <c r="I153">
        <v>3642</v>
      </c>
      <c r="J153">
        <v>3642</v>
      </c>
      <c r="L153" s="3">
        <v>0</v>
      </c>
      <c r="M153" s="3">
        <v>0</v>
      </c>
      <c r="N153" s="3">
        <v>0</v>
      </c>
      <c r="O153" s="3">
        <v>225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225</v>
      </c>
      <c r="V153" t="s">
        <v>55</v>
      </c>
    </row>
    <row r="154" spans="1:22" hidden="1" x14ac:dyDescent="0.25">
      <c r="A154" t="s">
        <v>8610</v>
      </c>
      <c r="B154" t="s">
        <v>8849</v>
      </c>
      <c r="C154" t="s">
        <v>1</v>
      </c>
      <c r="D154" t="s">
        <v>8526</v>
      </c>
      <c r="E154" t="s">
        <v>8147</v>
      </c>
      <c r="F154" t="s">
        <v>8146</v>
      </c>
      <c r="G154">
        <v>3643</v>
      </c>
      <c r="H154">
        <v>3643</v>
      </c>
      <c r="I154">
        <v>3643</v>
      </c>
      <c r="J154">
        <v>3643</v>
      </c>
      <c r="L154" s="3">
        <v>0</v>
      </c>
      <c r="M154" s="3">
        <v>0</v>
      </c>
      <c r="N154" s="3">
        <v>0</v>
      </c>
      <c r="O154" s="3">
        <v>74.989999999999995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74.989999999999995</v>
      </c>
      <c r="V154" t="s">
        <v>55</v>
      </c>
    </row>
    <row r="155" spans="1:22" hidden="1" x14ac:dyDescent="0.25">
      <c r="A155" t="s">
        <v>8610</v>
      </c>
      <c r="B155" t="s">
        <v>8849</v>
      </c>
      <c r="C155" t="s">
        <v>1</v>
      </c>
      <c r="D155" t="s">
        <v>8526</v>
      </c>
      <c r="E155" t="s">
        <v>8147</v>
      </c>
      <c r="F155" t="s">
        <v>8146</v>
      </c>
      <c r="G155">
        <v>3644</v>
      </c>
      <c r="H155">
        <v>3644</v>
      </c>
      <c r="I155">
        <v>3644</v>
      </c>
      <c r="J155">
        <v>3644</v>
      </c>
      <c r="L155" s="3">
        <v>0</v>
      </c>
      <c r="M155" s="3">
        <v>0</v>
      </c>
      <c r="N155" s="3">
        <v>0</v>
      </c>
      <c r="O155" s="3">
        <v>45.2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45.2</v>
      </c>
      <c r="V155" t="s">
        <v>55</v>
      </c>
    </row>
    <row r="156" spans="1:22" hidden="1" x14ac:dyDescent="0.25">
      <c r="A156" t="s">
        <v>8610</v>
      </c>
      <c r="B156" t="s">
        <v>8849</v>
      </c>
      <c r="C156" t="s">
        <v>1</v>
      </c>
      <c r="D156" t="s">
        <v>8526</v>
      </c>
      <c r="E156" t="s">
        <v>8147</v>
      </c>
      <c r="F156" t="s">
        <v>8146</v>
      </c>
      <c r="G156">
        <v>3645</v>
      </c>
      <c r="H156">
        <v>3645</v>
      </c>
      <c r="I156">
        <v>3645</v>
      </c>
      <c r="J156">
        <v>3645</v>
      </c>
      <c r="L156" s="3">
        <v>0</v>
      </c>
      <c r="M156" s="3">
        <v>0</v>
      </c>
      <c r="N156" s="3">
        <v>0</v>
      </c>
      <c r="O156" s="3">
        <v>3.27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3.27</v>
      </c>
      <c r="V156" t="s">
        <v>55</v>
      </c>
    </row>
    <row r="157" spans="1:22" hidden="1" x14ac:dyDescent="0.25">
      <c r="A157" t="s">
        <v>8610</v>
      </c>
      <c r="B157" t="s">
        <v>8849</v>
      </c>
      <c r="C157" t="s">
        <v>1</v>
      </c>
      <c r="D157" t="s">
        <v>8526</v>
      </c>
      <c r="E157" t="s">
        <v>8147</v>
      </c>
      <c r="F157" t="s">
        <v>8146</v>
      </c>
      <c r="G157">
        <v>3646</v>
      </c>
      <c r="H157">
        <v>3646</v>
      </c>
      <c r="I157">
        <v>3646</v>
      </c>
      <c r="J157">
        <v>3646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t="s">
        <v>55</v>
      </c>
    </row>
    <row r="158" spans="1:22" hidden="1" x14ac:dyDescent="0.25">
      <c r="A158" t="s">
        <v>8610</v>
      </c>
      <c r="B158" t="s">
        <v>8849</v>
      </c>
      <c r="C158" t="s">
        <v>1</v>
      </c>
      <c r="D158" t="s">
        <v>8526</v>
      </c>
      <c r="E158" t="s">
        <v>8147</v>
      </c>
      <c r="F158" t="s">
        <v>8146</v>
      </c>
      <c r="G158">
        <v>3647</v>
      </c>
      <c r="H158">
        <v>3647</v>
      </c>
      <c r="I158">
        <v>3647</v>
      </c>
      <c r="J158">
        <v>3647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t="s">
        <v>55</v>
      </c>
    </row>
    <row r="159" spans="1:22" hidden="1" x14ac:dyDescent="0.25">
      <c r="A159" t="s">
        <v>8610</v>
      </c>
      <c r="B159" t="s">
        <v>8849</v>
      </c>
      <c r="C159" t="s">
        <v>1</v>
      </c>
      <c r="D159" t="s">
        <v>8526</v>
      </c>
      <c r="E159" t="s">
        <v>8147</v>
      </c>
      <c r="F159" t="s">
        <v>8146</v>
      </c>
      <c r="G159">
        <v>3648</v>
      </c>
      <c r="H159">
        <v>3648</v>
      </c>
      <c r="I159">
        <v>3648</v>
      </c>
      <c r="J159">
        <v>3648</v>
      </c>
      <c r="L159" s="3">
        <v>0</v>
      </c>
      <c r="M159" s="3">
        <v>0</v>
      </c>
      <c r="N159" s="3">
        <v>0</v>
      </c>
      <c r="O159" s="3">
        <v>392.01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392.01</v>
      </c>
      <c r="V159" t="s">
        <v>55</v>
      </c>
    </row>
    <row r="160" spans="1:22" hidden="1" x14ac:dyDescent="0.25">
      <c r="A160" t="s">
        <v>8610</v>
      </c>
      <c r="B160" t="s">
        <v>8849</v>
      </c>
      <c r="C160" t="s">
        <v>1</v>
      </c>
      <c r="D160" t="s">
        <v>8526</v>
      </c>
      <c r="E160" t="s">
        <v>8147</v>
      </c>
      <c r="F160" t="s">
        <v>8146</v>
      </c>
      <c r="G160">
        <v>3649</v>
      </c>
      <c r="H160">
        <v>3649</v>
      </c>
      <c r="I160">
        <v>3649</v>
      </c>
      <c r="J160">
        <v>3649</v>
      </c>
      <c r="L160" s="3">
        <v>0</v>
      </c>
      <c r="M160" s="3">
        <v>0</v>
      </c>
      <c r="N160" s="3">
        <v>0</v>
      </c>
      <c r="O160" s="3">
        <v>265.2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265.2</v>
      </c>
      <c r="V160" t="s">
        <v>55</v>
      </c>
    </row>
    <row r="161" spans="1:22" hidden="1" x14ac:dyDescent="0.25">
      <c r="A161" t="s">
        <v>8610</v>
      </c>
      <c r="B161" t="s">
        <v>8849</v>
      </c>
      <c r="C161" t="s">
        <v>1</v>
      </c>
      <c r="D161" t="s">
        <v>8526</v>
      </c>
      <c r="E161" t="s">
        <v>8147</v>
      </c>
      <c r="F161" t="s">
        <v>8146</v>
      </c>
      <c r="G161">
        <v>3650</v>
      </c>
      <c r="H161">
        <v>3650</v>
      </c>
      <c r="I161">
        <v>3650</v>
      </c>
      <c r="J161">
        <v>3650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t="s">
        <v>55</v>
      </c>
    </row>
    <row r="162" spans="1:22" hidden="1" x14ac:dyDescent="0.25">
      <c r="A162" t="s">
        <v>8610</v>
      </c>
      <c r="B162" t="s">
        <v>8849</v>
      </c>
      <c r="C162" t="s">
        <v>1</v>
      </c>
      <c r="D162" t="s">
        <v>8526</v>
      </c>
      <c r="E162" t="s">
        <v>8147</v>
      </c>
      <c r="F162" t="s">
        <v>8146</v>
      </c>
      <c r="G162">
        <v>3651</v>
      </c>
      <c r="H162">
        <v>3651</v>
      </c>
      <c r="I162">
        <v>3651</v>
      </c>
      <c r="J162">
        <v>3651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t="s">
        <v>55</v>
      </c>
    </row>
    <row r="163" spans="1:22" hidden="1" x14ac:dyDescent="0.25">
      <c r="A163" t="s">
        <v>8610</v>
      </c>
      <c r="B163" t="s">
        <v>8849</v>
      </c>
      <c r="C163" t="s">
        <v>1</v>
      </c>
      <c r="D163" t="s">
        <v>8526</v>
      </c>
      <c r="E163" t="s">
        <v>8147</v>
      </c>
      <c r="F163" t="s">
        <v>8146</v>
      </c>
      <c r="G163">
        <v>3652</v>
      </c>
      <c r="H163">
        <v>3652</v>
      </c>
      <c r="I163">
        <v>3652</v>
      </c>
      <c r="J163">
        <v>3652</v>
      </c>
      <c r="L163" s="3">
        <v>0</v>
      </c>
      <c r="M163" s="3">
        <v>0</v>
      </c>
      <c r="N163" s="3">
        <v>0</v>
      </c>
      <c r="O163" s="3">
        <v>67.47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67.47</v>
      </c>
      <c r="V163" t="s">
        <v>55</v>
      </c>
    </row>
    <row r="164" spans="1:22" hidden="1" x14ac:dyDescent="0.25">
      <c r="A164" t="s">
        <v>8610</v>
      </c>
      <c r="B164" t="s">
        <v>8849</v>
      </c>
      <c r="C164" t="s">
        <v>1</v>
      </c>
      <c r="D164" t="s">
        <v>8526</v>
      </c>
      <c r="E164" t="s">
        <v>8147</v>
      </c>
      <c r="F164" t="s">
        <v>8146</v>
      </c>
      <c r="G164">
        <v>3653</v>
      </c>
      <c r="H164">
        <v>3653</v>
      </c>
      <c r="I164">
        <v>3653</v>
      </c>
      <c r="J164">
        <v>3653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t="s">
        <v>55</v>
      </c>
    </row>
    <row r="165" spans="1:22" hidden="1" x14ac:dyDescent="0.25">
      <c r="A165" t="s">
        <v>8610</v>
      </c>
      <c r="B165" t="s">
        <v>8849</v>
      </c>
      <c r="C165" t="s">
        <v>1</v>
      </c>
      <c r="D165" t="s">
        <v>8526</v>
      </c>
      <c r="E165" t="s">
        <v>8147</v>
      </c>
      <c r="F165" t="s">
        <v>8146</v>
      </c>
      <c r="G165">
        <v>3654</v>
      </c>
      <c r="H165">
        <v>3654</v>
      </c>
      <c r="I165">
        <v>3654</v>
      </c>
      <c r="J165">
        <v>3654</v>
      </c>
      <c r="L165" s="3">
        <v>0</v>
      </c>
      <c r="M165" s="3">
        <v>0</v>
      </c>
      <c r="N165" s="3">
        <v>0</v>
      </c>
      <c r="O165" s="3">
        <v>46.12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46.12</v>
      </c>
      <c r="V165" t="s">
        <v>55</v>
      </c>
    </row>
    <row r="166" spans="1:22" hidden="1" x14ac:dyDescent="0.25">
      <c r="A166" t="s">
        <v>8610</v>
      </c>
      <c r="B166" t="s">
        <v>8849</v>
      </c>
      <c r="C166" t="s">
        <v>1</v>
      </c>
      <c r="D166" t="s">
        <v>8526</v>
      </c>
      <c r="E166" t="s">
        <v>8147</v>
      </c>
      <c r="F166" t="s">
        <v>8146</v>
      </c>
      <c r="G166">
        <v>3655</v>
      </c>
      <c r="H166">
        <v>3655</v>
      </c>
      <c r="I166">
        <v>3655</v>
      </c>
      <c r="J166">
        <v>3655</v>
      </c>
      <c r="L166" s="3">
        <v>0</v>
      </c>
      <c r="M166" s="3">
        <v>0</v>
      </c>
      <c r="N166" s="3">
        <v>0</v>
      </c>
      <c r="O166" s="3">
        <v>275.04000000000002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275.04000000000002</v>
      </c>
      <c r="V166" t="s">
        <v>55</v>
      </c>
    </row>
    <row r="167" spans="1:22" hidden="1" x14ac:dyDescent="0.25">
      <c r="A167" t="s">
        <v>8610</v>
      </c>
      <c r="B167" t="s">
        <v>8849</v>
      </c>
      <c r="C167" t="s">
        <v>1</v>
      </c>
      <c r="D167" t="s">
        <v>8526</v>
      </c>
      <c r="E167" t="s">
        <v>8147</v>
      </c>
      <c r="F167" t="s">
        <v>8146</v>
      </c>
      <c r="G167">
        <v>3656</v>
      </c>
      <c r="H167">
        <v>3656</v>
      </c>
      <c r="I167">
        <v>3656</v>
      </c>
      <c r="J167">
        <v>3656</v>
      </c>
      <c r="L167" s="3">
        <v>0</v>
      </c>
      <c r="M167" s="3">
        <v>0</v>
      </c>
      <c r="N167" s="3">
        <v>0</v>
      </c>
      <c r="O167" s="3">
        <v>20.170000000000002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20.170000000000002</v>
      </c>
      <c r="V167" t="s">
        <v>55</v>
      </c>
    </row>
    <row r="168" spans="1:22" hidden="1" x14ac:dyDescent="0.25">
      <c r="A168" t="s">
        <v>8610</v>
      </c>
      <c r="B168" t="s">
        <v>8849</v>
      </c>
      <c r="C168" t="s">
        <v>1</v>
      </c>
      <c r="D168" t="s">
        <v>8526</v>
      </c>
      <c r="E168" t="s">
        <v>8147</v>
      </c>
      <c r="F168" t="s">
        <v>8146</v>
      </c>
      <c r="G168">
        <v>3657</v>
      </c>
      <c r="H168">
        <v>3657</v>
      </c>
      <c r="I168">
        <v>3657</v>
      </c>
      <c r="J168">
        <v>3657</v>
      </c>
      <c r="L168" s="3">
        <v>0</v>
      </c>
      <c r="M168" s="3">
        <v>0</v>
      </c>
      <c r="N168" s="3">
        <v>0</v>
      </c>
      <c r="O168" s="3">
        <v>75.94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75.94</v>
      </c>
      <c r="V168" t="s">
        <v>55</v>
      </c>
    </row>
    <row r="169" spans="1:22" hidden="1" x14ac:dyDescent="0.25">
      <c r="A169" t="s">
        <v>8610</v>
      </c>
      <c r="B169" t="s">
        <v>8849</v>
      </c>
      <c r="C169" t="s">
        <v>1</v>
      </c>
      <c r="D169" t="s">
        <v>8526</v>
      </c>
      <c r="E169" t="s">
        <v>8147</v>
      </c>
      <c r="F169" t="s">
        <v>8146</v>
      </c>
      <c r="G169">
        <v>3658</v>
      </c>
      <c r="H169">
        <v>3658</v>
      </c>
      <c r="I169">
        <v>3658</v>
      </c>
      <c r="J169">
        <v>3658</v>
      </c>
      <c r="L169" s="3">
        <v>0</v>
      </c>
      <c r="M169" s="3">
        <v>0</v>
      </c>
      <c r="N169" s="3">
        <v>0</v>
      </c>
      <c r="O169" s="3">
        <v>1529</v>
      </c>
      <c r="P169" s="3">
        <v>0</v>
      </c>
      <c r="Q169" s="3">
        <v>0</v>
      </c>
      <c r="R169" s="3">
        <v>0</v>
      </c>
      <c r="S169" s="3">
        <v>0</v>
      </c>
      <c r="T169" s="3">
        <v>0</v>
      </c>
      <c r="U169" s="3">
        <v>1529</v>
      </c>
      <c r="V169" t="s">
        <v>55</v>
      </c>
    </row>
    <row r="170" spans="1:22" hidden="1" x14ac:dyDescent="0.25">
      <c r="A170" t="s">
        <v>8610</v>
      </c>
      <c r="B170" t="s">
        <v>8847</v>
      </c>
      <c r="C170" t="s">
        <v>1</v>
      </c>
      <c r="D170" t="s">
        <v>8526</v>
      </c>
      <c r="E170" t="s">
        <v>8147</v>
      </c>
      <c r="F170" t="s">
        <v>8146</v>
      </c>
      <c r="G170">
        <v>3659</v>
      </c>
      <c r="H170">
        <v>3659</v>
      </c>
      <c r="I170">
        <v>3659</v>
      </c>
      <c r="J170">
        <v>3659</v>
      </c>
      <c r="L170" s="3">
        <v>0</v>
      </c>
      <c r="M170" s="3">
        <v>0</v>
      </c>
      <c r="N170" s="3">
        <v>0</v>
      </c>
      <c r="O170" s="3">
        <v>343.41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343.41</v>
      </c>
      <c r="V170" t="s">
        <v>55</v>
      </c>
    </row>
    <row r="171" spans="1:22" hidden="1" x14ac:dyDescent="0.25">
      <c r="A171" t="s">
        <v>8610</v>
      </c>
      <c r="B171" t="s">
        <v>8847</v>
      </c>
      <c r="C171" t="s">
        <v>1</v>
      </c>
      <c r="D171" t="s">
        <v>8526</v>
      </c>
      <c r="E171" t="s">
        <v>8147</v>
      </c>
      <c r="F171" t="s">
        <v>8146</v>
      </c>
      <c r="G171">
        <v>3660</v>
      </c>
      <c r="H171">
        <v>3660</v>
      </c>
      <c r="I171">
        <v>3660</v>
      </c>
      <c r="J171">
        <v>3660</v>
      </c>
      <c r="L171" s="3">
        <v>0</v>
      </c>
      <c r="M171" s="3">
        <v>0</v>
      </c>
      <c r="N171" s="3">
        <v>0</v>
      </c>
      <c r="O171" s="3">
        <v>93.63</v>
      </c>
      <c r="P171" s="3">
        <v>0</v>
      </c>
      <c r="Q171" s="3">
        <v>0</v>
      </c>
      <c r="R171" s="3">
        <v>0</v>
      </c>
      <c r="S171" s="3">
        <v>0</v>
      </c>
      <c r="T171" s="3">
        <v>0</v>
      </c>
      <c r="U171" s="3">
        <v>93.63</v>
      </c>
      <c r="V171" t="s">
        <v>55</v>
      </c>
    </row>
    <row r="172" spans="1:22" hidden="1" x14ac:dyDescent="0.25">
      <c r="A172" t="s">
        <v>8610</v>
      </c>
      <c r="B172" t="s">
        <v>8847</v>
      </c>
      <c r="C172" t="s">
        <v>1</v>
      </c>
      <c r="D172" t="s">
        <v>8526</v>
      </c>
      <c r="E172" t="s">
        <v>8147</v>
      </c>
      <c r="F172" t="s">
        <v>8146</v>
      </c>
      <c r="G172">
        <v>3661</v>
      </c>
      <c r="H172">
        <v>3661</v>
      </c>
      <c r="I172">
        <v>3661</v>
      </c>
      <c r="J172">
        <v>3661</v>
      </c>
      <c r="L172" s="3">
        <v>0</v>
      </c>
      <c r="M172" s="3">
        <v>0</v>
      </c>
      <c r="N172" s="3">
        <v>0</v>
      </c>
      <c r="O172" s="3">
        <v>6.78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6.78</v>
      </c>
      <c r="V172" t="s">
        <v>55</v>
      </c>
    </row>
    <row r="173" spans="1:22" hidden="1" x14ac:dyDescent="0.25">
      <c r="A173" t="s">
        <v>8610</v>
      </c>
      <c r="B173" t="s">
        <v>8847</v>
      </c>
      <c r="C173" t="s">
        <v>1</v>
      </c>
      <c r="D173" t="s">
        <v>8526</v>
      </c>
      <c r="E173" t="s">
        <v>8147</v>
      </c>
      <c r="F173" t="s">
        <v>8146</v>
      </c>
      <c r="G173">
        <v>3662</v>
      </c>
      <c r="H173">
        <v>3662</v>
      </c>
      <c r="I173">
        <v>3662</v>
      </c>
      <c r="J173">
        <v>3662</v>
      </c>
      <c r="L173" s="3">
        <v>0</v>
      </c>
      <c r="M173" s="3">
        <v>0</v>
      </c>
      <c r="N173" s="3">
        <v>0</v>
      </c>
      <c r="O173" s="3">
        <v>225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225</v>
      </c>
      <c r="V173" t="s">
        <v>55</v>
      </c>
    </row>
    <row r="174" spans="1:22" hidden="1" x14ac:dyDescent="0.25">
      <c r="A174" t="s">
        <v>8610</v>
      </c>
      <c r="B174" t="s">
        <v>8847</v>
      </c>
      <c r="C174" t="s">
        <v>1</v>
      </c>
      <c r="D174" t="s">
        <v>8526</v>
      </c>
      <c r="E174" t="s">
        <v>8147</v>
      </c>
      <c r="F174" t="s">
        <v>8146</v>
      </c>
      <c r="G174">
        <v>3663</v>
      </c>
      <c r="H174">
        <v>3663</v>
      </c>
      <c r="I174">
        <v>3663</v>
      </c>
      <c r="J174">
        <v>3663</v>
      </c>
      <c r="L174" s="3">
        <v>0</v>
      </c>
      <c r="M174" s="3">
        <v>0</v>
      </c>
      <c r="N174" s="3">
        <v>0</v>
      </c>
      <c r="O174" s="3">
        <v>4.71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4.71</v>
      </c>
      <c r="V174" t="s">
        <v>55</v>
      </c>
    </row>
    <row r="175" spans="1:22" hidden="1" x14ac:dyDescent="0.25">
      <c r="A175" t="s">
        <v>8610</v>
      </c>
      <c r="B175" t="s">
        <v>8846</v>
      </c>
      <c r="C175" t="s">
        <v>1</v>
      </c>
      <c r="D175" t="s">
        <v>8526</v>
      </c>
      <c r="E175" t="s">
        <v>8147</v>
      </c>
      <c r="F175" t="s">
        <v>8146</v>
      </c>
      <c r="G175">
        <v>3664</v>
      </c>
      <c r="H175">
        <v>3664</v>
      </c>
      <c r="I175">
        <v>3664</v>
      </c>
      <c r="J175">
        <v>3664</v>
      </c>
      <c r="L175" s="3">
        <v>0</v>
      </c>
      <c r="M175" s="3">
        <v>0</v>
      </c>
      <c r="N175" s="3">
        <v>0</v>
      </c>
      <c r="O175" s="3">
        <v>284.58999999999997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284.58999999999997</v>
      </c>
      <c r="V175" t="s">
        <v>55</v>
      </c>
    </row>
    <row r="176" spans="1:22" hidden="1" x14ac:dyDescent="0.25">
      <c r="A176" t="s">
        <v>8610</v>
      </c>
      <c r="B176" t="s">
        <v>8846</v>
      </c>
      <c r="C176" t="s">
        <v>1</v>
      </c>
      <c r="D176" t="s">
        <v>8526</v>
      </c>
      <c r="E176" t="s">
        <v>8147</v>
      </c>
      <c r="F176" t="s">
        <v>8146</v>
      </c>
      <c r="G176">
        <v>3665</v>
      </c>
      <c r="H176">
        <v>3665</v>
      </c>
      <c r="I176">
        <v>3665</v>
      </c>
      <c r="J176">
        <v>3665</v>
      </c>
      <c r="L176" s="3">
        <v>0</v>
      </c>
      <c r="M176" s="3">
        <v>0</v>
      </c>
      <c r="N176" s="3">
        <v>0</v>
      </c>
      <c r="O176" s="3">
        <v>970.89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970.89</v>
      </c>
      <c r="V176" t="s">
        <v>55</v>
      </c>
    </row>
    <row r="177" spans="1:22" hidden="1" x14ac:dyDescent="0.25">
      <c r="A177" t="s">
        <v>8610</v>
      </c>
      <c r="B177" t="s">
        <v>8846</v>
      </c>
      <c r="C177" t="s">
        <v>1</v>
      </c>
      <c r="D177" t="s">
        <v>8526</v>
      </c>
      <c r="E177" t="s">
        <v>8147</v>
      </c>
      <c r="F177" t="s">
        <v>8146</v>
      </c>
      <c r="G177">
        <v>3666</v>
      </c>
      <c r="H177">
        <v>3666</v>
      </c>
      <c r="I177">
        <v>3666</v>
      </c>
      <c r="J177">
        <v>3666</v>
      </c>
      <c r="L177" s="3">
        <v>0</v>
      </c>
      <c r="M177" s="3">
        <v>0</v>
      </c>
      <c r="N177" s="3">
        <v>0</v>
      </c>
      <c r="O177" s="3">
        <v>23.86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23.86</v>
      </c>
      <c r="V177" t="s">
        <v>55</v>
      </c>
    </row>
    <row r="178" spans="1:22" hidden="1" x14ac:dyDescent="0.25">
      <c r="A178" t="s">
        <v>8610</v>
      </c>
      <c r="B178" t="s">
        <v>8846</v>
      </c>
      <c r="C178" t="s">
        <v>1</v>
      </c>
      <c r="D178" t="s">
        <v>8526</v>
      </c>
      <c r="E178" t="s">
        <v>8147</v>
      </c>
      <c r="F178" t="s">
        <v>8146</v>
      </c>
      <c r="G178">
        <v>3667</v>
      </c>
      <c r="H178">
        <v>3667</v>
      </c>
      <c r="I178">
        <v>3667</v>
      </c>
      <c r="J178">
        <v>3667</v>
      </c>
      <c r="L178" s="3">
        <v>0</v>
      </c>
      <c r="M178" s="3">
        <v>0</v>
      </c>
      <c r="N178" s="3">
        <v>0</v>
      </c>
      <c r="O178" s="3">
        <v>376.27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376.27</v>
      </c>
      <c r="V178" t="s">
        <v>55</v>
      </c>
    </row>
    <row r="179" spans="1:22" hidden="1" x14ac:dyDescent="0.25">
      <c r="A179" t="s">
        <v>8610</v>
      </c>
      <c r="B179" t="s">
        <v>8846</v>
      </c>
      <c r="C179" t="s">
        <v>1</v>
      </c>
      <c r="D179" t="s">
        <v>8526</v>
      </c>
      <c r="E179" t="s">
        <v>8147</v>
      </c>
      <c r="F179" t="s">
        <v>8146</v>
      </c>
      <c r="G179">
        <v>3668</v>
      </c>
      <c r="H179">
        <v>3668</v>
      </c>
      <c r="I179">
        <v>3668</v>
      </c>
      <c r="J179">
        <v>3668</v>
      </c>
      <c r="L179" s="3">
        <v>0</v>
      </c>
      <c r="M179" s="3">
        <v>0</v>
      </c>
      <c r="N179" s="3">
        <v>0</v>
      </c>
      <c r="O179" s="3">
        <v>185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185</v>
      </c>
      <c r="V179" t="s">
        <v>55</v>
      </c>
    </row>
    <row r="180" spans="1:22" hidden="1" x14ac:dyDescent="0.25">
      <c r="A180" t="s">
        <v>8610</v>
      </c>
      <c r="B180" t="s">
        <v>8846</v>
      </c>
      <c r="C180" t="s">
        <v>1</v>
      </c>
      <c r="D180" t="s">
        <v>8526</v>
      </c>
      <c r="E180" t="s">
        <v>8147</v>
      </c>
      <c r="F180" t="s">
        <v>8146</v>
      </c>
      <c r="G180">
        <v>3669</v>
      </c>
      <c r="H180">
        <v>3669</v>
      </c>
      <c r="I180">
        <v>3669</v>
      </c>
      <c r="J180">
        <v>3669</v>
      </c>
      <c r="L180" s="3">
        <v>0</v>
      </c>
      <c r="M180" s="3">
        <v>0</v>
      </c>
      <c r="N180" s="3">
        <v>0</v>
      </c>
      <c r="O180" s="3">
        <v>22.72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22.72</v>
      </c>
      <c r="V180" t="s">
        <v>55</v>
      </c>
    </row>
    <row r="181" spans="1:22" hidden="1" x14ac:dyDescent="0.25">
      <c r="A181" t="s">
        <v>8610</v>
      </c>
      <c r="B181" t="s">
        <v>8846</v>
      </c>
      <c r="C181" t="s">
        <v>1</v>
      </c>
      <c r="D181" t="s">
        <v>8526</v>
      </c>
      <c r="E181" t="s">
        <v>8147</v>
      </c>
      <c r="F181" t="s">
        <v>8146</v>
      </c>
      <c r="G181">
        <v>3670</v>
      </c>
      <c r="H181">
        <v>3670</v>
      </c>
      <c r="I181">
        <v>3670</v>
      </c>
      <c r="J181">
        <v>3670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t="s">
        <v>55</v>
      </c>
    </row>
    <row r="182" spans="1:22" hidden="1" x14ac:dyDescent="0.25">
      <c r="A182" t="s">
        <v>8610</v>
      </c>
      <c r="B182" t="s">
        <v>8845</v>
      </c>
      <c r="C182" t="s">
        <v>1</v>
      </c>
      <c r="D182" t="s">
        <v>8526</v>
      </c>
      <c r="E182" t="s">
        <v>8147</v>
      </c>
      <c r="F182" t="s">
        <v>8146</v>
      </c>
      <c r="G182">
        <v>3671</v>
      </c>
      <c r="H182">
        <v>3671</v>
      </c>
      <c r="I182">
        <v>3671</v>
      </c>
      <c r="J182">
        <v>3671</v>
      </c>
      <c r="L182" s="3">
        <v>0</v>
      </c>
      <c r="M182" s="3">
        <v>0</v>
      </c>
      <c r="N182" s="3">
        <v>0</v>
      </c>
      <c r="O182" s="3">
        <v>78.8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78.8</v>
      </c>
      <c r="V182" t="s">
        <v>55</v>
      </c>
    </row>
    <row r="183" spans="1:22" hidden="1" x14ac:dyDescent="0.25">
      <c r="A183" t="s">
        <v>8610</v>
      </c>
      <c r="B183" t="s">
        <v>8845</v>
      </c>
      <c r="C183" t="s">
        <v>1</v>
      </c>
      <c r="D183" t="s">
        <v>8526</v>
      </c>
      <c r="E183" t="s">
        <v>8147</v>
      </c>
      <c r="F183" t="s">
        <v>8146</v>
      </c>
      <c r="G183">
        <v>3672</v>
      </c>
      <c r="H183">
        <v>3672</v>
      </c>
      <c r="I183">
        <v>3672</v>
      </c>
      <c r="J183">
        <v>3672</v>
      </c>
      <c r="L183" s="3">
        <v>0</v>
      </c>
      <c r="M183" s="3">
        <v>0</v>
      </c>
      <c r="N183" s="3">
        <v>0</v>
      </c>
      <c r="O183" s="3">
        <v>207.47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207.47</v>
      </c>
      <c r="V183" t="s">
        <v>55</v>
      </c>
    </row>
    <row r="184" spans="1:22" hidden="1" x14ac:dyDescent="0.25">
      <c r="A184" t="s">
        <v>8610</v>
      </c>
      <c r="B184" t="s">
        <v>8845</v>
      </c>
      <c r="C184" t="s">
        <v>1</v>
      </c>
      <c r="D184" t="s">
        <v>8526</v>
      </c>
      <c r="E184" t="s">
        <v>8147</v>
      </c>
      <c r="F184" t="s">
        <v>8146</v>
      </c>
      <c r="G184">
        <v>3673</v>
      </c>
      <c r="H184">
        <v>3673</v>
      </c>
      <c r="I184">
        <v>3673</v>
      </c>
      <c r="J184">
        <v>3673</v>
      </c>
      <c r="L184" s="3">
        <v>0</v>
      </c>
      <c r="M184" s="3">
        <v>0</v>
      </c>
      <c r="N184" s="3">
        <v>0</v>
      </c>
      <c r="O184" s="3">
        <v>88.15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88.15</v>
      </c>
      <c r="V184" t="s">
        <v>55</v>
      </c>
    </row>
    <row r="185" spans="1:22" hidden="1" x14ac:dyDescent="0.25">
      <c r="A185" t="s">
        <v>8610</v>
      </c>
      <c r="B185" t="s">
        <v>8845</v>
      </c>
      <c r="C185" t="s">
        <v>1</v>
      </c>
      <c r="D185" t="s">
        <v>8526</v>
      </c>
      <c r="E185" t="s">
        <v>8147</v>
      </c>
      <c r="F185" t="s">
        <v>8146</v>
      </c>
      <c r="G185">
        <v>3674</v>
      </c>
      <c r="H185">
        <v>3674</v>
      </c>
      <c r="I185">
        <v>3674</v>
      </c>
      <c r="J185">
        <v>3674</v>
      </c>
      <c r="L185" s="3">
        <v>0</v>
      </c>
      <c r="M185" s="3">
        <v>0</v>
      </c>
      <c r="N185" s="3">
        <v>0</v>
      </c>
      <c r="O185" s="3">
        <v>31.08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31.08</v>
      </c>
      <c r="V185" t="s">
        <v>55</v>
      </c>
    </row>
    <row r="186" spans="1:22" hidden="1" x14ac:dyDescent="0.25">
      <c r="A186" t="s">
        <v>8610</v>
      </c>
      <c r="B186" t="s">
        <v>8845</v>
      </c>
      <c r="C186" t="s">
        <v>1</v>
      </c>
      <c r="D186" t="s">
        <v>8526</v>
      </c>
      <c r="E186" t="s">
        <v>8147</v>
      </c>
      <c r="F186" t="s">
        <v>8146</v>
      </c>
      <c r="G186">
        <v>3675</v>
      </c>
      <c r="H186">
        <v>3675</v>
      </c>
      <c r="I186">
        <v>3675</v>
      </c>
      <c r="J186">
        <v>3675</v>
      </c>
      <c r="L186" s="3">
        <v>0</v>
      </c>
      <c r="M186" s="3">
        <v>0</v>
      </c>
      <c r="N186" s="3">
        <v>0</v>
      </c>
      <c r="O186" s="3">
        <v>617.9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617.9</v>
      </c>
      <c r="V186" t="s">
        <v>55</v>
      </c>
    </row>
    <row r="187" spans="1:22" hidden="1" x14ac:dyDescent="0.25">
      <c r="A187" t="s">
        <v>8610</v>
      </c>
      <c r="B187" t="s">
        <v>8845</v>
      </c>
      <c r="C187" t="s">
        <v>1</v>
      </c>
      <c r="D187" t="s">
        <v>8526</v>
      </c>
      <c r="E187" t="s">
        <v>8147</v>
      </c>
      <c r="F187" t="s">
        <v>8146</v>
      </c>
      <c r="G187">
        <v>3676</v>
      </c>
      <c r="H187">
        <v>3676</v>
      </c>
      <c r="I187">
        <v>3676</v>
      </c>
      <c r="J187">
        <v>3676</v>
      </c>
      <c r="L187" s="3">
        <v>0</v>
      </c>
      <c r="M187" s="3">
        <v>0</v>
      </c>
      <c r="N187" s="3">
        <v>0</v>
      </c>
      <c r="O187" s="3">
        <v>103.51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103.51</v>
      </c>
      <c r="V187" t="s">
        <v>55</v>
      </c>
    </row>
    <row r="188" spans="1:22" hidden="1" x14ac:dyDescent="0.25">
      <c r="A188" t="s">
        <v>8610</v>
      </c>
      <c r="B188" t="s">
        <v>8844</v>
      </c>
      <c r="C188" t="s">
        <v>1</v>
      </c>
      <c r="D188" t="s">
        <v>8526</v>
      </c>
      <c r="E188" t="s">
        <v>8147</v>
      </c>
      <c r="F188" t="s">
        <v>8146</v>
      </c>
      <c r="G188">
        <v>3677</v>
      </c>
      <c r="H188">
        <v>3677</v>
      </c>
      <c r="I188">
        <v>3677</v>
      </c>
      <c r="J188">
        <v>3677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t="s">
        <v>55</v>
      </c>
    </row>
    <row r="189" spans="1:22" hidden="1" x14ac:dyDescent="0.25">
      <c r="A189" t="s">
        <v>8610</v>
      </c>
      <c r="B189" t="s">
        <v>8844</v>
      </c>
      <c r="C189" t="s">
        <v>1</v>
      </c>
      <c r="D189" t="s">
        <v>8526</v>
      </c>
      <c r="E189" t="s">
        <v>8147</v>
      </c>
      <c r="F189" t="s">
        <v>8146</v>
      </c>
      <c r="G189">
        <v>3678</v>
      </c>
      <c r="H189">
        <v>3678</v>
      </c>
      <c r="I189">
        <v>3678</v>
      </c>
      <c r="J189">
        <v>3678</v>
      </c>
      <c r="L189" s="3">
        <v>0</v>
      </c>
      <c r="M189" s="3">
        <v>0</v>
      </c>
      <c r="N189" s="3">
        <v>0</v>
      </c>
      <c r="O189" s="3">
        <v>52.57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52.57</v>
      </c>
      <c r="V189" t="s">
        <v>55</v>
      </c>
    </row>
    <row r="190" spans="1:22" hidden="1" x14ac:dyDescent="0.25">
      <c r="A190" t="s">
        <v>8610</v>
      </c>
      <c r="B190" t="s">
        <v>8844</v>
      </c>
      <c r="C190" t="s">
        <v>1</v>
      </c>
      <c r="D190" t="s">
        <v>8526</v>
      </c>
      <c r="E190" t="s">
        <v>8147</v>
      </c>
      <c r="F190" t="s">
        <v>8146</v>
      </c>
      <c r="G190">
        <v>3679</v>
      </c>
      <c r="H190">
        <v>3679</v>
      </c>
      <c r="I190">
        <v>3679</v>
      </c>
      <c r="J190">
        <v>3679</v>
      </c>
      <c r="L190" s="3">
        <v>0</v>
      </c>
      <c r="M190" s="3">
        <v>0</v>
      </c>
      <c r="N190" s="3">
        <v>0</v>
      </c>
      <c r="O190" s="3">
        <v>43.19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43.19</v>
      </c>
      <c r="V190" t="s">
        <v>55</v>
      </c>
    </row>
    <row r="191" spans="1:22" hidden="1" x14ac:dyDescent="0.25">
      <c r="A191" t="s">
        <v>8610</v>
      </c>
      <c r="B191" t="s">
        <v>8844</v>
      </c>
      <c r="C191" t="s">
        <v>1</v>
      </c>
      <c r="D191" t="s">
        <v>8526</v>
      </c>
      <c r="E191" t="s">
        <v>8147</v>
      </c>
      <c r="F191" t="s">
        <v>8146</v>
      </c>
      <c r="G191">
        <v>3680</v>
      </c>
      <c r="H191">
        <v>3680</v>
      </c>
      <c r="I191">
        <v>3680</v>
      </c>
      <c r="J191">
        <v>3680</v>
      </c>
      <c r="L191" s="3">
        <v>0</v>
      </c>
      <c r="M191" s="3">
        <v>0</v>
      </c>
      <c r="N191" s="3">
        <v>0</v>
      </c>
      <c r="O191" s="3">
        <v>15.27</v>
      </c>
      <c r="P191" s="3">
        <v>0</v>
      </c>
      <c r="Q191" s="3">
        <v>0</v>
      </c>
      <c r="R191" s="3">
        <v>0</v>
      </c>
      <c r="S191" s="3">
        <v>0</v>
      </c>
      <c r="T191" s="3">
        <v>0</v>
      </c>
      <c r="U191" s="3">
        <v>15.27</v>
      </c>
      <c r="V191" t="s">
        <v>55</v>
      </c>
    </row>
    <row r="192" spans="1:22" hidden="1" x14ac:dyDescent="0.25">
      <c r="A192" t="s">
        <v>8610</v>
      </c>
      <c r="B192" t="s">
        <v>8844</v>
      </c>
      <c r="C192" t="s">
        <v>1</v>
      </c>
      <c r="D192" t="s">
        <v>8526</v>
      </c>
      <c r="E192" t="s">
        <v>8147</v>
      </c>
      <c r="F192" t="s">
        <v>8146</v>
      </c>
      <c r="G192">
        <v>3681</v>
      </c>
      <c r="H192">
        <v>3681</v>
      </c>
      <c r="I192">
        <v>3681</v>
      </c>
      <c r="J192">
        <v>3681</v>
      </c>
      <c r="L192" s="3">
        <v>0</v>
      </c>
      <c r="M192" s="3">
        <v>0</v>
      </c>
      <c r="N192" s="3">
        <v>0</v>
      </c>
      <c r="O192" s="3">
        <v>900.08</v>
      </c>
      <c r="P192" s="3">
        <v>0</v>
      </c>
      <c r="Q192" s="3">
        <v>0</v>
      </c>
      <c r="R192" s="3">
        <v>0</v>
      </c>
      <c r="S192" s="3">
        <v>0</v>
      </c>
      <c r="T192" s="3">
        <v>0</v>
      </c>
      <c r="U192" s="3">
        <v>900.08</v>
      </c>
      <c r="V192" t="s">
        <v>55</v>
      </c>
    </row>
    <row r="193" spans="1:22" hidden="1" x14ac:dyDescent="0.25">
      <c r="A193" t="s">
        <v>8610</v>
      </c>
      <c r="B193" t="s">
        <v>8844</v>
      </c>
      <c r="C193" t="s">
        <v>1</v>
      </c>
      <c r="D193" t="s">
        <v>8526</v>
      </c>
      <c r="E193" t="s">
        <v>8147</v>
      </c>
      <c r="F193" t="s">
        <v>8146</v>
      </c>
      <c r="G193">
        <v>3682</v>
      </c>
      <c r="H193">
        <v>3682</v>
      </c>
      <c r="I193">
        <v>3682</v>
      </c>
      <c r="J193">
        <v>3682</v>
      </c>
      <c r="L193" s="3">
        <v>0</v>
      </c>
      <c r="M193" s="3">
        <v>0</v>
      </c>
      <c r="N193" s="3">
        <v>0</v>
      </c>
      <c r="O193" s="3">
        <v>237.8</v>
      </c>
      <c r="P193" s="3">
        <v>0</v>
      </c>
      <c r="Q193" s="3">
        <v>0</v>
      </c>
      <c r="R193" s="3">
        <v>0</v>
      </c>
      <c r="S193" s="3">
        <v>0</v>
      </c>
      <c r="T193" s="3">
        <v>0</v>
      </c>
      <c r="U193" s="3">
        <v>237.8</v>
      </c>
      <c r="V193" t="s">
        <v>55</v>
      </c>
    </row>
    <row r="194" spans="1:22" hidden="1" x14ac:dyDescent="0.25">
      <c r="A194" t="s">
        <v>8610</v>
      </c>
      <c r="B194" t="s">
        <v>8844</v>
      </c>
      <c r="C194" t="s">
        <v>1</v>
      </c>
      <c r="D194" t="s">
        <v>8526</v>
      </c>
      <c r="E194" t="s">
        <v>8147</v>
      </c>
      <c r="F194" t="s">
        <v>8146</v>
      </c>
      <c r="G194">
        <v>3683</v>
      </c>
      <c r="H194">
        <v>3683</v>
      </c>
      <c r="I194">
        <v>3683</v>
      </c>
      <c r="J194">
        <v>3683</v>
      </c>
      <c r="L194" s="3">
        <v>0</v>
      </c>
      <c r="M194" s="3">
        <v>0</v>
      </c>
      <c r="N194" s="3">
        <v>0</v>
      </c>
      <c r="O194" s="3">
        <v>170</v>
      </c>
      <c r="P194" s="3">
        <v>0</v>
      </c>
      <c r="Q194" s="3">
        <v>0</v>
      </c>
      <c r="R194" s="3">
        <v>0</v>
      </c>
      <c r="S194" s="3">
        <v>0</v>
      </c>
      <c r="T194" s="3">
        <v>0</v>
      </c>
      <c r="U194" s="3">
        <v>170</v>
      </c>
      <c r="V194" t="s">
        <v>55</v>
      </c>
    </row>
    <row r="195" spans="1:22" hidden="1" x14ac:dyDescent="0.25">
      <c r="A195" t="s">
        <v>8610</v>
      </c>
      <c r="B195" t="s">
        <v>8841</v>
      </c>
      <c r="C195" t="s">
        <v>1</v>
      </c>
      <c r="D195" t="s">
        <v>8526</v>
      </c>
      <c r="E195" t="s">
        <v>8147</v>
      </c>
      <c r="F195" t="s">
        <v>8146</v>
      </c>
      <c r="G195">
        <v>3684</v>
      </c>
      <c r="H195">
        <v>3684</v>
      </c>
      <c r="I195">
        <v>3684</v>
      </c>
      <c r="J195">
        <v>3684</v>
      </c>
      <c r="L195" s="3">
        <v>0</v>
      </c>
      <c r="M195" s="3">
        <v>0</v>
      </c>
      <c r="N195" s="3">
        <v>0</v>
      </c>
      <c r="O195" s="3">
        <v>623.59</v>
      </c>
      <c r="P195" s="3">
        <v>0</v>
      </c>
      <c r="Q195" s="3">
        <v>0</v>
      </c>
      <c r="R195" s="3">
        <v>0</v>
      </c>
      <c r="S195" s="3">
        <v>0</v>
      </c>
      <c r="T195" s="3">
        <v>0</v>
      </c>
      <c r="U195" s="3">
        <v>623.59</v>
      </c>
      <c r="V195" t="s">
        <v>55</v>
      </c>
    </row>
    <row r="196" spans="1:22" hidden="1" x14ac:dyDescent="0.25">
      <c r="A196" t="s">
        <v>8610</v>
      </c>
      <c r="B196" t="s">
        <v>8841</v>
      </c>
      <c r="C196" t="s">
        <v>1</v>
      </c>
      <c r="D196" t="s">
        <v>8526</v>
      </c>
      <c r="E196" t="s">
        <v>8147</v>
      </c>
      <c r="F196" t="s">
        <v>8146</v>
      </c>
      <c r="G196">
        <v>3685</v>
      </c>
      <c r="H196">
        <v>3685</v>
      </c>
      <c r="I196">
        <v>3685</v>
      </c>
      <c r="J196">
        <v>3685</v>
      </c>
      <c r="L196" s="3">
        <v>0</v>
      </c>
      <c r="M196" s="3">
        <v>0</v>
      </c>
      <c r="N196" s="3">
        <v>0</v>
      </c>
      <c r="O196" s="3">
        <v>24.81</v>
      </c>
      <c r="P196" s="3">
        <v>0</v>
      </c>
      <c r="Q196" s="3">
        <v>0</v>
      </c>
      <c r="R196" s="3">
        <v>0</v>
      </c>
      <c r="S196" s="3">
        <v>0</v>
      </c>
      <c r="T196" s="3">
        <v>0</v>
      </c>
      <c r="U196" s="3">
        <v>24.81</v>
      </c>
      <c r="V196" t="s">
        <v>55</v>
      </c>
    </row>
    <row r="197" spans="1:22" hidden="1" x14ac:dyDescent="0.25">
      <c r="A197" t="s">
        <v>8610</v>
      </c>
      <c r="B197" t="s">
        <v>8841</v>
      </c>
      <c r="C197" t="s">
        <v>1</v>
      </c>
      <c r="D197" t="s">
        <v>8526</v>
      </c>
      <c r="E197" t="s">
        <v>8147</v>
      </c>
      <c r="F197" t="s">
        <v>8146</v>
      </c>
      <c r="G197">
        <v>3686</v>
      </c>
      <c r="H197">
        <v>3686</v>
      </c>
      <c r="I197">
        <v>3686</v>
      </c>
      <c r="J197">
        <v>3686</v>
      </c>
      <c r="L197" s="3">
        <v>0</v>
      </c>
      <c r="M197" s="3">
        <v>0</v>
      </c>
      <c r="N197" s="3">
        <v>0</v>
      </c>
      <c r="O197" s="3">
        <v>387.14</v>
      </c>
      <c r="P197" s="3">
        <v>0</v>
      </c>
      <c r="Q197" s="3">
        <v>0</v>
      </c>
      <c r="R197" s="3">
        <v>0</v>
      </c>
      <c r="S197" s="3">
        <v>0</v>
      </c>
      <c r="T197" s="3">
        <v>0</v>
      </c>
      <c r="U197" s="3">
        <v>387.14</v>
      </c>
      <c r="V197" t="s">
        <v>55</v>
      </c>
    </row>
    <row r="198" spans="1:22" hidden="1" x14ac:dyDescent="0.25">
      <c r="A198" t="s">
        <v>8610</v>
      </c>
      <c r="B198" t="s">
        <v>8841</v>
      </c>
      <c r="C198" t="s">
        <v>1</v>
      </c>
      <c r="D198" t="s">
        <v>8526</v>
      </c>
      <c r="E198" t="s">
        <v>8147</v>
      </c>
      <c r="F198" t="s">
        <v>8146</v>
      </c>
      <c r="G198">
        <v>3687</v>
      </c>
      <c r="H198">
        <v>3687</v>
      </c>
      <c r="I198">
        <v>3687</v>
      </c>
      <c r="J198">
        <v>3687</v>
      </c>
      <c r="L198" s="3">
        <v>0</v>
      </c>
      <c r="M198" s="3">
        <v>0</v>
      </c>
      <c r="N198" s="3">
        <v>0</v>
      </c>
      <c r="O198" s="3">
        <v>51.98</v>
      </c>
      <c r="P198" s="3">
        <v>0</v>
      </c>
      <c r="Q198" s="3">
        <v>0</v>
      </c>
      <c r="R198" s="3">
        <v>0</v>
      </c>
      <c r="S198" s="3">
        <v>0</v>
      </c>
      <c r="T198" s="3">
        <v>0</v>
      </c>
      <c r="U198" s="3">
        <v>51.98</v>
      </c>
      <c r="V198" t="s">
        <v>55</v>
      </c>
    </row>
    <row r="199" spans="1:22" hidden="1" x14ac:dyDescent="0.25">
      <c r="A199" t="s">
        <v>8610</v>
      </c>
      <c r="B199" t="s">
        <v>8840</v>
      </c>
      <c r="C199" t="s">
        <v>1</v>
      </c>
      <c r="D199" t="s">
        <v>8526</v>
      </c>
      <c r="E199" t="s">
        <v>8147</v>
      </c>
      <c r="F199" t="s">
        <v>8146</v>
      </c>
      <c r="G199">
        <v>3688</v>
      </c>
      <c r="H199">
        <v>3688</v>
      </c>
      <c r="I199">
        <v>3688</v>
      </c>
      <c r="J199">
        <v>3688</v>
      </c>
      <c r="L199" s="3">
        <v>0</v>
      </c>
      <c r="M199" s="3">
        <v>0</v>
      </c>
      <c r="N199" s="3">
        <v>0</v>
      </c>
      <c r="O199" s="3">
        <v>202.26</v>
      </c>
      <c r="P199" s="3">
        <v>0</v>
      </c>
      <c r="Q199" s="3">
        <v>0</v>
      </c>
      <c r="R199" s="3">
        <v>0</v>
      </c>
      <c r="S199" s="3">
        <v>0</v>
      </c>
      <c r="T199" s="3">
        <v>0</v>
      </c>
      <c r="U199" s="3">
        <v>202.26</v>
      </c>
      <c r="V199" t="s">
        <v>55</v>
      </c>
    </row>
    <row r="200" spans="1:22" hidden="1" x14ac:dyDescent="0.25">
      <c r="A200" t="s">
        <v>8610</v>
      </c>
      <c r="B200" t="s">
        <v>8840</v>
      </c>
      <c r="C200" t="s">
        <v>1</v>
      </c>
      <c r="D200" t="s">
        <v>8526</v>
      </c>
      <c r="E200" t="s">
        <v>8147</v>
      </c>
      <c r="F200" t="s">
        <v>8146</v>
      </c>
      <c r="G200">
        <v>3689</v>
      </c>
      <c r="H200">
        <v>3689</v>
      </c>
      <c r="I200">
        <v>3689</v>
      </c>
      <c r="J200">
        <v>3689</v>
      </c>
      <c r="L200" s="3">
        <v>0</v>
      </c>
      <c r="M200" s="3">
        <v>0</v>
      </c>
      <c r="N200" s="3">
        <v>0</v>
      </c>
      <c r="O200" s="3">
        <v>443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443</v>
      </c>
      <c r="V200" t="s">
        <v>55</v>
      </c>
    </row>
    <row r="201" spans="1:22" hidden="1" x14ac:dyDescent="0.25">
      <c r="A201" t="s">
        <v>8610</v>
      </c>
      <c r="B201" t="s">
        <v>8840</v>
      </c>
      <c r="C201" t="s">
        <v>1</v>
      </c>
      <c r="D201" t="s">
        <v>8526</v>
      </c>
      <c r="E201" t="s">
        <v>8147</v>
      </c>
      <c r="F201" t="s">
        <v>8146</v>
      </c>
      <c r="G201">
        <v>3690</v>
      </c>
      <c r="H201">
        <v>3690</v>
      </c>
      <c r="I201">
        <v>3690</v>
      </c>
      <c r="J201">
        <v>3690</v>
      </c>
      <c r="L201" s="3">
        <v>0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t="s">
        <v>55</v>
      </c>
    </row>
    <row r="202" spans="1:22" hidden="1" x14ac:dyDescent="0.25">
      <c r="A202" t="s">
        <v>8610</v>
      </c>
      <c r="B202" t="s">
        <v>8840</v>
      </c>
      <c r="C202" t="s">
        <v>1</v>
      </c>
      <c r="D202" t="s">
        <v>8526</v>
      </c>
      <c r="E202" t="s">
        <v>8147</v>
      </c>
      <c r="F202" t="s">
        <v>8146</v>
      </c>
      <c r="G202">
        <v>3691</v>
      </c>
      <c r="H202">
        <v>3691</v>
      </c>
      <c r="I202">
        <v>3691</v>
      </c>
      <c r="J202">
        <v>3691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t="s">
        <v>55</v>
      </c>
    </row>
    <row r="203" spans="1:22" hidden="1" x14ac:dyDescent="0.25">
      <c r="A203" t="s">
        <v>8610</v>
      </c>
      <c r="B203" t="s">
        <v>8840</v>
      </c>
      <c r="C203" t="s">
        <v>1</v>
      </c>
      <c r="D203" t="s">
        <v>8526</v>
      </c>
      <c r="E203" t="s">
        <v>8147</v>
      </c>
      <c r="F203" t="s">
        <v>8146</v>
      </c>
      <c r="G203">
        <v>3692</v>
      </c>
      <c r="H203">
        <v>3692</v>
      </c>
      <c r="I203">
        <v>3692</v>
      </c>
      <c r="J203">
        <v>3692</v>
      </c>
      <c r="L203" s="3">
        <v>0</v>
      </c>
      <c r="M203" s="3">
        <v>0</v>
      </c>
      <c r="N203" s="3">
        <v>0</v>
      </c>
      <c r="O203" s="3">
        <v>460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460</v>
      </c>
      <c r="V203" t="s">
        <v>55</v>
      </c>
    </row>
    <row r="204" spans="1:22" hidden="1" x14ac:dyDescent="0.25">
      <c r="A204" t="s">
        <v>8610</v>
      </c>
      <c r="B204" t="s">
        <v>8840</v>
      </c>
      <c r="C204" t="s">
        <v>1</v>
      </c>
      <c r="D204" t="s">
        <v>8526</v>
      </c>
      <c r="E204" t="s">
        <v>8147</v>
      </c>
      <c r="F204" t="s">
        <v>8146</v>
      </c>
      <c r="G204">
        <v>3693</v>
      </c>
      <c r="H204">
        <v>3693</v>
      </c>
      <c r="I204">
        <v>3693</v>
      </c>
      <c r="J204">
        <v>3693</v>
      </c>
      <c r="L204" s="3">
        <v>0</v>
      </c>
      <c r="M204" s="3">
        <v>0</v>
      </c>
      <c r="N204" s="3">
        <v>0</v>
      </c>
      <c r="O204" s="3">
        <v>1340.57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1340.57</v>
      </c>
      <c r="V204" t="s">
        <v>55</v>
      </c>
    </row>
    <row r="205" spans="1:22" hidden="1" x14ac:dyDescent="0.25">
      <c r="A205" t="s">
        <v>8610</v>
      </c>
      <c r="B205" t="s">
        <v>8838</v>
      </c>
      <c r="C205" t="s">
        <v>1</v>
      </c>
      <c r="D205" t="s">
        <v>8526</v>
      </c>
      <c r="E205" t="s">
        <v>8147</v>
      </c>
      <c r="F205" t="s">
        <v>8146</v>
      </c>
      <c r="G205">
        <v>3694</v>
      </c>
      <c r="H205">
        <v>3694</v>
      </c>
      <c r="I205">
        <v>3694</v>
      </c>
      <c r="J205">
        <v>3694</v>
      </c>
      <c r="L205" s="3">
        <v>0</v>
      </c>
      <c r="M205" s="3">
        <v>0</v>
      </c>
      <c r="N205" s="3">
        <v>0</v>
      </c>
      <c r="O205" s="3">
        <v>225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225</v>
      </c>
      <c r="V205" t="s">
        <v>55</v>
      </c>
    </row>
    <row r="206" spans="1:22" hidden="1" x14ac:dyDescent="0.25">
      <c r="A206" t="s">
        <v>8610</v>
      </c>
      <c r="B206" t="s">
        <v>8838</v>
      </c>
      <c r="C206" t="s">
        <v>1</v>
      </c>
      <c r="D206" t="s">
        <v>8526</v>
      </c>
      <c r="E206" t="s">
        <v>8147</v>
      </c>
      <c r="F206" t="s">
        <v>8146</v>
      </c>
      <c r="G206">
        <v>3695</v>
      </c>
      <c r="H206">
        <v>3695</v>
      </c>
      <c r="I206">
        <v>3695</v>
      </c>
      <c r="J206">
        <v>3695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t="s">
        <v>55</v>
      </c>
    </row>
    <row r="207" spans="1:22" hidden="1" x14ac:dyDescent="0.25">
      <c r="A207" t="s">
        <v>8610</v>
      </c>
      <c r="B207" t="s">
        <v>8838</v>
      </c>
      <c r="C207" t="s">
        <v>1</v>
      </c>
      <c r="D207" t="s">
        <v>8526</v>
      </c>
      <c r="E207" t="s">
        <v>8147</v>
      </c>
      <c r="F207" t="s">
        <v>8146</v>
      </c>
      <c r="G207">
        <v>3696</v>
      </c>
      <c r="H207">
        <v>3696</v>
      </c>
      <c r="I207">
        <v>3696</v>
      </c>
      <c r="J207">
        <v>3696</v>
      </c>
      <c r="L207" s="3">
        <v>0</v>
      </c>
      <c r="M207" s="3">
        <v>0</v>
      </c>
      <c r="N207" s="3">
        <v>0</v>
      </c>
      <c r="O207" s="3">
        <v>380.58</v>
      </c>
      <c r="P207" s="3">
        <v>0</v>
      </c>
      <c r="Q207" s="3">
        <v>0</v>
      </c>
      <c r="R207" s="3">
        <v>0</v>
      </c>
      <c r="S207" s="3">
        <v>0</v>
      </c>
      <c r="T207" s="3">
        <v>0</v>
      </c>
      <c r="U207" s="3">
        <v>380.58</v>
      </c>
      <c r="V207" t="s">
        <v>55</v>
      </c>
    </row>
    <row r="208" spans="1:22" hidden="1" x14ac:dyDescent="0.25">
      <c r="A208" t="s">
        <v>8610</v>
      </c>
      <c r="B208" t="s">
        <v>8838</v>
      </c>
      <c r="C208" t="s">
        <v>1</v>
      </c>
      <c r="D208" t="s">
        <v>8526</v>
      </c>
      <c r="E208" t="s">
        <v>8147</v>
      </c>
      <c r="F208" t="s">
        <v>8146</v>
      </c>
      <c r="G208">
        <v>3697</v>
      </c>
      <c r="H208">
        <v>3697</v>
      </c>
      <c r="I208">
        <v>3697</v>
      </c>
      <c r="J208">
        <v>3697</v>
      </c>
      <c r="L208" s="3">
        <v>0</v>
      </c>
      <c r="M208" s="3">
        <v>0</v>
      </c>
      <c r="N208" s="3">
        <v>0</v>
      </c>
      <c r="O208" s="3">
        <v>25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25</v>
      </c>
      <c r="V208" t="s">
        <v>55</v>
      </c>
    </row>
    <row r="209" spans="1:22" hidden="1" x14ac:dyDescent="0.25">
      <c r="A209" t="s">
        <v>8610</v>
      </c>
      <c r="B209" t="s">
        <v>8838</v>
      </c>
      <c r="C209" t="s">
        <v>1</v>
      </c>
      <c r="D209" t="s">
        <v>8526</v>
      </c>
      <c r="E209" t="s">
        <v>8147</v>
      </c>
      <c r="F209" t="s">
        <v>8146</v>
      </c>
      <c r="G209">
        <v>3698</v>
      </c>
      <c r="H209">
        <v>3698</v>
      </c>
      <c r="I209">
        <v>3698</v>
      </c>
      <c r="J209">
        <v>3698</v>
      </c>
      <c r="L209" s="3">
        <v>0</v>
      </c>
      <c r="M209" s="3">
        <v>0</v>
      </c>
      <c r="N209" s="3">
        <v>0</v>
      </c>
      <c r="O209" s="3">
        <v>11.5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11.5</v>
      </c>
      <c r="V209" t="s">
        <v>55</v>
      </c>
    </row>
    <row r="210" spans="1:22" hidden="1" x14ac:dyDescent="0.25">
      <c r="A210" t="s">
        <v>8610</v>
      </c>
      <c r="B210" t="s">
        <v>8838</v>
      </c>
      <c r="C210" t="s">
        <v>1</v>
      </c>
      <c r="D210" t="s">
        <v>8526</v>
      </c>
      <c r="E210" t="s">
        <v>8147</v>
      </c>
      <c r="F210" t="s">
        <v>8146</v>
      </c>
      <c r="G210">
        <v>3699</v>
      </c>
      <c r="H210">
        <v>3699</v>
      </c>
      <c r="I210">
        <v>3699</v>
      </c>
      <c r="J210">
        <v>3699</v>
      </c>
      <c r="L210" s="3">
        <v>0</v>
      </c>
      <c r="M210" s="3">
        <v>0</v>
      </c>
      <c r="N210" s="3">
        <v>0</v>
      </c>
      <c r="O210" s="3">
        <v>131.72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131.72</v>
      </c>
      <c r="V210" t="s">
        <v>55</v>
      </c>
    </row>
    <row r="211" spans="1:22" hidden="1" x14ac:dyDescent="0.25">
      <c r="A211" t="s">
        <v>8610</v>
      </c>
      <c r="B211" t="s">
        <v>8838</v>
      </c>
      <c r="C211" t="s">
        <v>1</v>
      </c>
      <c r="D211" t="s">
        <v>8526</v>
      </c>
      <c r="E211" t="s">
        <v>8147</v>
      </c>
      <c r="F211" t="s">
        <v>8146</v>
      </c>
      <c r="G211">
        <v>3700</v>
      </c>
      <c r="H211">
        <v>3700</v>
      </c>
      <c r="I211">
        <v>3700</v>
      </c>
      <c r="J211">
        <v>3700</v>
      </c>
      <c r="L211" s="3">
        <v>0</v>
      </c>
      <c r="M211" s="3">
        <v>0</v>
      </c>
      <c r="N211" s="3">
        <v>0</v>
      </c>
      <c r="O211" s="3">
        <v>112.89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112.89</v>
      </c>
      <c r="V211" t="s">
        <v>55</v>
      </c>
    </row>
    <row r="212" spans="1:22" hidden="1" x14ac:dyDescent="0.25">
      <c r="A212" t="s">
        <v>8610</v>
      </c>
      <c r="B212" t="s">
        <v>8838</v>
      </c>
      <c r="C212" t="s">
        <v>1</v>
      </c>
      <c r="D212" t="s">
        <v>8526</v>
      </c>
      <c r="E212" t="s">
        <v>8147</v>
      </c>
      <c r="F212" t="s">
        <v>8146</v>
      </c>
      <c r="G212">
        <v>3701</v>
      </c>
      <c r="H212">
        <v>3701</v>
      </c>
      <c r="I212">
        <v>3701</v>
      </c>
      <c r="J212">
        <v>3701</v>
      </c>
      <c r="L212" s="3">
        <v>0</v>
      </c>
      <c r="M212" s="3">
        <v>0</v>
      </c>
      <c r="N212" s="3">
        <v>0</v>
      </c>
      <c r="O212" s="3">
        <v>30.51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30.51</v>
      </c>
      <c r="V212" t="s">
        <v>55</v>
      </c>
    </row>
    <row r="213" spans="1:22" hidden="1" x14ac:dyDescent="0.25">
      <c r="A213" t="s">
        <v>8610</v>
      </c>
      <c r="B213" t="s">
        <v>8832</v>
      </c>
      <c r="C213" t="s">
        <v>1</v>
      </c>
      <c r="D213" t="s">
        <v>8526</v>
      </c>
      <c r="E213" t="s">
        <v>8147</v>
      </c>
      <c r="F213" t="s">
        <v>8146</v>
      </c>
      <c r="G213">
        <v>3702</v>
      </c>
      <c r="H213">
        <v>3702</v>
      </c>
      <c r="I213">
        <v>3702</v>
      </c>
      <c r="J213">
        <v>3702</v>
      </c>
      <c r="L213" s="3">
        <v>0</v>
      </c>
      <c r="M213" s="3">
        <v>0</v>
      </c>
      <c r="N213" s="3">
        <v>0</v>
      </c>
      <c r="O213" s="3">
        <v>485.82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485.82</v>
      </c>
      <c r="V213" t="s">
        <v>55</v>
      </c>
    </row>
    <row r="214" spans="1:22" hidden="1" x14ac:dyDescent="0.25">
      <c r="A214" t="s">
        <v>8610</v>
      </c>
      <c r="B214" t="s">
        <v>8832</v>
      </c>
      <c r="C214" t="s">
        <v>1</v>
      </c>
      <c r="D214" t="s">
        <v>8526</v>
      </c>
      <c r="E214" t="s">
        <v>8147</v>
      </c>
      <c r="F214" t="s">
        <v>8146</v>
      </c>
      <c r="G214">
        <v>3703</v>
      </c>
      <c r="H214">
        <v>3703</v>
      </c>
      <c r="I214">
        <v>3703</v>
      </c>
      <c r="J214">
        <v>3703</v>
      </c>
      <c r="L214" s="3">
        <v>0</v>
      </c>
      <c r="M214" s="3">
        <v>0</v>
      </c>
      <c r="N214" s="3">
        <v>0</v>
      </c>
      <c r="O214" s="3">
        <v>235.81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235.81</v>
      </c>
      <c r="V214" t="s">
        <v>55</v>
      </c>
    </row>
    <row r="215" spans="1:22" hidden="1" x14ac:dyDescent="0.25">
      <c r="A215" t="s">
        <v>8610</v>
      </c>
      <c r="B215" t="s">
        <v>8832</v>
      </c>
      <c r="C215" t="s">
        <v>1</v>
      </c>
      <c r="D215" t="s">
        <v>8526</v>
      </c>
      <c r="E215" t="s">
        <v>8147</v>
      </c>
      <c r="F215" t="s">
        <v>8146</v>
      </c>
      <c r="G215">
        <v>3704</v>
      </c>
      <c r="H215">
        <v>3704</v>
      </c>
      <c r="I215">
        <v>3704</v>
      </c>
      <c r="J215">
        <v>3704</v>
      </c>
      <c r="L215" s="3">
        <v>0</v>
      </c>
      <c r="M215" s="3">
        <v>0</v>
      </c>
      <c r="N215" s="3">
        <v>0</v>
      </c>
      <c r="O215" s="3">
        <v>168.4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168.4</v>
      </c>
      <c r="V215" t="s">
        <v>55</v>
      </c>
    </row>
    <row r="216" spans="1:22" hidden="1" x14ac:dyDescent="0.25">
      <c r="A216" t="s">
        <v>8610</v>
      </c>
      <c r="B216" t="s">
        <v>8832</v>
      </c>
      <c r="C216" t="s">
        <v>1</v>
      </c>
      <c r="D216" t="s">
        <v>8526</v>
      </c>
      <c r="E216" t="s">
        <v>8147</v>
      </c>
      <c r="F216" t="s">
        <v>8146</v>
      </c>
      <c r="G216">
        <v>3705</v>
      </c>
      <c r="H216">
        <v>3705</v>
      </c>
      <c r="I216">
        <v>3705</v>
      </c>
      <c r="J216">
        <v>3705</v>
      </c>
      <c r="L216" s="3">
        <v>0</v>
      </c>
      <c r="M216" s="3">
        <v>0</v>
      </c>
      <c r="N216" s="3">
        <v>0</v>
      </c>
      <c r="O216" s="3">
        <v>32.42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32.42</v>
      </c>
      <c r="V216" t="s">
        <v>55</v>
      </c>
    </row>
    <row r="217" spans="1:22" hidden="1" x14ac:dyDescent="0.25">
      <c r="A217" t="s">
        <v>8610</v>
      </c>
      <c r="B217" t="s">
        <v>8832</v>
      </c>
      <c r="C217" t="s">
        <v>1</v>
      </c>
      <c r="D217" t="s">
        <v>8526</v>
      </c>
      <c r="E217" t="s">
        <v>8147</v>
      </c>
      <c r="F217" t="s">
        <v>8146</v>
      </c>
      <c r="G217">
        <v>3706</v>
      </c>
      <c r="H217">
        <v>3706</v>
      </c>
      <c r="I217">
        <v>3706</v>
      </c>
      <c r="J217">
        <v>3706</v>
      </c>
      <c r="L217" s="3">
        <v>0</v>
      </c>
      <c r="M217" s="3">
        <v>0</v>
      </c>
      <c r="N217" s="3">
        <v>0</v>
      </c>
      <c r="O217" s="3">
        <v>36.03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36.03</v>
      </c>
      <c r="V217" t="s">
        <v>55</v>
      </c>
    </row>
    <row r="218" spans="1:22" hidden="1" x14ac:dyDescent="0.25">
      <c r="A218" t="s">
        <v>8610</v>
      </c>
      <c r="B218" t="s">
        <v>8831</v>
      </c>
      <c r="C218" t="s">
        <v>1</v>
      </c>
      <c r="D218" t="s">
        <v>8526</v>
      </c>
      <c r="E218" t="s">
        <v>8147</v>
      </c>
      <c r="F218" t="s">
        <v>8146</v>
      </c>
      <c r="G218">
        <v>3707</v>
      </c>
      <c r="H218">
        <v>3707</v>
      </c>
      <c r="I218">
        <v>3707</v>
      </c>
      <c r="J218">
        <v>3707</v>
      </c>
      <c r="L218" s="3">
        <v>0</v>
      </c>
      <c r="M218" s="3">
        <v>0</v>
      </c>
      <c r="N218" s="3">
        <v>0</v>
      </c>
      <c r="O218" s="3">
        <v>127.5</v>
      </c>
      <c r="P218" s="3">
        <v>0</v>
      </c>
      <c r="Q218" s="3">
        <v>0</v>
      </c>
      <c r="R218" s="3">
        <v>0</v>
      </c>
      <c r="S218" s="3">
        <v>0</v>
      </c>
      <c r="T218" s="3">
        <v>0</v>
      </c>
      <c r="U218" s="3">
        <v>127.5</v>
      </c>
      <c r="V218" t="s">
        <v>55</v>
      </c>
    </row>
    <row r="219" spans="1:22" hidden="1" x14ac:dyDescent="0.25">
      <c r="A219" t="s">
        <v>8610</v>
      </c>
      <c r="B219" t="s">
        <v>8831</v>
      </c>
      <c r="C219" t="s">
        <v>1</v>
      </c>
      <c r="D219" t="s">
        <v>8526</v>
      </c>
      <c r="E219" t="s">
        <v>8147</v>
      </c>
      <c r="F219" t="s">
        <v>8146</v>
      </c>
      <c r="G219">
        <v>3708</v>
      </c>
      <c r="H219">
        <v>3708</v>
      </c>
      <c r="I219">
        <v>3708</v>
      </c>
      <c r="J219">
        <v>3708</v>
      </c>
      <c r="L219" s="3">
        <v>0</v>
      </c>
      <c r="M219" s="3">
        <v>0</v>
      </c>
      <c r="N219" s="3">
        <v>0</v>
      </c>
      <c r="O219" s="3">
        <v>1230.47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1230.47</v>
      </c>
      <c r="V219" t="s">
        <v>55</v>
      </c>
    </row>
    <row r="220" spans="1:22" hidden="1" x14ac:dyDescent="0.25">
      <c r="A220" t="s">
        <v>8610</v>
      </c>
      <c r="B220" t="s">
        <v>8831</v>
      </c>
      <c r="C220" t="s">
        <v>1</v>
      </c>
      <c r="D220" t="s">
        <v>8526</v>
      </c>
      <c r="E220" t="s">
        <v>8147</v>
      </c>
      <c r="F220" t="s">
        <v>8146</v>
      </c>
      <c r="G220">
        <v>3709</v>
      </c>
      <c r="H220">
        <v>3709</v>
      </c>
      <c r="I220">
        <v>3709</v>
      </c>
      <c r="J220">
        <v>3709</v>
      </c>
      <c r="L220" s="3">
        <v>0</v>
      </c>
      <c r="M220" s="3">
        <v>0</v>
      </c>
      <c r="N220" s="3">
        <v>0</v>
      </c>
      <c r="O220" s="3">
        <v>87.87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87.87</v>
      </c>
      <c r="V220" t="s">
        <v>55</v>
      </c>
    </row>
    <row r="221" spans="1:22" hidden="1" x14ac:dyDescent="0.25">
      <c r="A221" t="s">
        <v>8610</v>
      </c>
      <c r="B221" t="s">
        <v>8831</v>
      </c>
      <c r="C221" t="s">
        <v>1</v>
      </c>
      <c r="D221" t="s">
        <v>8526</v>
      </c>
      <c r="E221" t="s">
        <v>8147</v>
      </c>
      <c r="F221" t="s">
        <v>8146</v>
      </c>
      <c r="G221">
        <v>3710</v>
      </c>
      <c r="H221">
        <v>3710</v>
      </c>
      <c r="I221">
        <v>3710</v>
      </c>
      <c r="J221">
        <v>3710</v>
      </c>
      <c r="L221" s="3">
        <v>0</v>
      </c>
      <c r="M221" s="3">
        <v>0</v>
      </c>
      <c r="N221" s="3">
        <v>0</v>
      </c>
      <c r="O221" s="3">
        <v>67.8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67.8</v>
      </c>
      <c r="V221" t="s">
        <v>55</v>
      </c>
    </row>
    <row r="222" spans="1:22" hidden="1" x14ac:dyDescent="0.25">
      <c r="A222" t="s">
        <v>8610</v>
      </c>
      <c r="B222" t="s">
        <v>8828</v>
      </c>
      <c r="C222" t="s">
        <v>1</v>
      </c>
      <c r="D222" t="s">
        <v>8526</v>
      </c>
      <c r="E222" t="s">
        <v>8147</v>
      </c>
      <c r="F222" t="s">
        <v>8146</v>
      </c>
      <c r="G222">
        <v>3711</v>
      </c>
      <c r="H222">
        <v>3711</v>
      </c>
      <c r="I222">
        <v>3711</v>
      </c>
      <c r="J222">
        <v>3711</v>
      </c>
      <c r="L222" s="3">
        <v>0</v>
      </c>
      <c r="M222" s="3">
        <v>0</v>
      </c>
      <c r="N222" s="3">
        <v>0</v>
      </c>
      <c r="O222" s="3">
        <v>287.02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287.02</v>
      </c>
      <c r="V222" t="s">
        <v>55</v>
      </c>
    </row>
    <row r="223" spans="1:22" hidden="1" x14ac:dyDescent="0.25">
      <c r="A223" t="s">
        <v>8610</v>
      </c>
      <c r="B223" t="s">
        <v>8828</v>
      </c>
      <c r="C223" t="s">
        <v>1</v>
      </c>
      <c r="D223" t="s">
        <v>8526</v>
      </c>
      <c r="E223" t="s">
        <v>8147</v>
      </c>
      <c r="F223" t="s">
        <v>8146</v>
      </c>
      <c r="G223">
        <v>3713</v>
      </c>
      <c r="H223">
        <v>3713</v>
      </c>
      <c r="I223">
        <v>3713</v>
      </c>
      <c r="J223">
        <v>3713</v>
      </c>
      <c r="L223" s="3">
        <v>0</v>
      </c>
      <c r="M223" s="3">
        <v>0</v>
      </c>
      <c r="N223" s="3">
        <v>0</v>
      </c>
      <c r="O223" s="3">
        <v>212.5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212.5</v>
      </c>
      <c r="V223" t="s">
        <v>55</v>
      </c>
    </row>
    <row r="224" spans="1:22" hidden="1" x14ac:dyDescent="0.25">
      <c r="A224" t="s">
        <v>8610</v>
      </c>
      <c r="B224" t="s">
        <v>8828</v>
      </c>
      <c r="C224" t="s">
        <v>1</v>
      </c>
      <c r="D224" t="s">
        <v>8526</v>
      </c>
      <c r="E224" t="s">
        <v>8147</v>
      </c>
      <c r="F224" t="s">
        <v>8146</v>
      </c>
      <c r="G224">
        <v>3714</v>
      </c>
      <c r="H224">
        <v>3714</v>
      </c>
      <c r="I224">
        <v>3714</v>
      </c>
      <c r="J224">
        <v>3714</v>
      </c>
      <c r="L224" s="3">
        <v>0</v>
      </c>
      <c r="M224" s="3">
        <v>0</v>
      </c>
      <c r="N224" s="3">
        <v>0</v>
      </c>
      <c r="O224" s="3">
        <v>255.78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255.78</v>
      </c>
      <c r="V224" t="s">
        <v>55</v>
      </c>
    </row>
    <row r="225" spans="1:22" hidden="1" x14ac:dyDescent="0.25">
      <c r="A225" t="s">
        <v>8610</v>
      </c>
      <c r="B225" t="s">
        <v>8828</v>
      </c>
      <c r="C225" t="s">
        <v>1</v>
      </c>
      <c r="D225" t="s">
        <v>8526</v>
      </c>
      <c r="E225" t="s">
        <v>8147</v>
      </c>
      <c r="F225" t="s">
        <v>8146</v>
      </c>
      <c r="G225">
        <v>3715</v>
      </c>
      <c r="H225">
        <v>3715</v>
      </c>
      <c r="I225">
        <v>3715</v>
      </c>
      <c r="J225">
        <v>3715</v>
      </c>
      <c r="L225" s="3">
        <v>0</v>
      </c>
      <c r="M225" s="3">
        <v>0</v>
      </c>
      <c r="N225" s="3">
        <v>0</v>
      </c>
      <c r="O225" s="3">
        <v>369.04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369.04</v>
      </c>
      <c r="V225" t="s">
        <v>55</v>
      </c>
    </row>
    <row r="226" spans="1:22" hidden="1" x14ac:dyDescent="0.25">
      <c r="A226" t="s">
        <v>8610</v>
      </c>
      <c r="B226" t="s">
        <v>8827</v>
      </c>
      <c r="C226" t="s">
        <v>1</v>
      </c>
      <c r="D226" t="s">
        <v>8526</v>
      </c>
      <c r="E226" t="s">
        <v>8147</v>
      </c>
      <c r="F226" t="s">
        <v>8146</v>
      </c>
      <c r="G226">
        <v>3716</v>
      </c>
      <c r="H226">
        <v>3716</v>
      </c>
      <c r="I226">
        <v>3716</v>
      </c>
      <c r="J226">
        <v>3716</v>
      </c>
      <c r="L226" s="3">
        <v>0</v>
      </c>
      <c r="M226" s="3">
        <v>0</v>
      </c>
      <c r="N226" s="3">
        <v>0</v>
      </c>
      <c r="O226" s="3">
        <v>207.4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207.4</v>
      </c>
      <c r="V226" t="s">
        <v>55</v>
      </c>
    </row>
    <row r="227" spans="1:22" hidden="1" x14ac:dyDescent="0.25">
      <c r="A227" t="s">
        <v>8610</v>
      </c>
      <c r="B227" t="s">
        <v>8827</v>
      </c>
      <c r="C227" t="s">
        <v>1</v>
      </c>
      <c r="D227" t="s">
        <v>8526</v>
      </c>
      <c r="E227" t="s">
        <v>8147</v>
      </c>
      <c r="F227" t="s">
        <v>8146</v>
      </c>
      <c r="G227">
        <v>3717</v>
      </c>
      <c r="H227">
        <v>3717</v>
      </c>
      <c r="I227">
        <v>3717</v>
      </c>
      <c r="J227">
        <v>3717</v>
      </c>
      <c r="L227" s="3">
        <v>0</v>
      </c>
      <c r="M227" s="3">
        <v>0</v>
      </c>
      <c r="N227" s="3">
        <v>0</v>
      </c>
      <c r="O227" s="3">
        <v>859.07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859.07</v>
      </c>
      <c r="V227" t="s">
        <v>55</v>
      </c>
    </row>
    <row r="228" spans="1:22" hidden="1" x14ac:dyDescent="0.25">
      <c r="A228" t="s">
        <v>8610</v>
      </c>
      <c r="B228" t="s">
        <v>8827</v>
      </c>
      <c r="C228" t="s">
        <v>1</v>
      </c>
      <c r="D228" t="s">
        <v>8526</v>
      </c>
      <c r="E228" t="s">
        <v>8147</v>
      </c>
      <c r="F228" t="s">
        <v>8146</v>
      </c>
      <c r="G228">
        <v>3718</v>
      </c>
      <c r="H228">
        <v>3718</v>
      </c>
      <c r="I228">
        <v>3718</v>
      </c>
      <c r="J228">
        <v>3718</v>
      </c>
      <c r="L228" s="3">
        <v>0</v>
      </c>
      <c r="M228" s="3">
        <v>0</v>
      </c>
      <c r="N228" s="3">
        <v>0</v>
      </c>
      <c r="O228" s="3">
        <v>226.55</v>
      </c>
      <c r="P228" s="3">
        <v>0</v>
      </c>
      <c r="Q228" s="3">
        <v>0</v>
      </c>
      <c r="R228" s="3">
        <v>0</v>
      </c>
      <c r="S228" s="3">
        <v>0</v>
      </c>
      <c r="T228" s="3">
        <v>0</v>
      </c>
      <c r="U228" s="3">
        <v>226.55</v>
      </c>
      <c r="V228" t="s">
        <v>55</v>
      </c>
    </row>
    <row r="229" spans="1:22" hidden="1" x14ac:dyDescent="0.25">
      <c r="A229" t="s">
        <v>8610</v>
      </c>
      <c r="B229" t="s">
        <v>8827</v>
      </c>
      <c r="C229" t="s">
        <v>1</v>
      </c>
      <c r="D229" t="s">
        <v>8526</v>
      </c>
      <c r="E229" t="s">
        <v>8147</v>
      </c>
      <c r="F229" t="s">
        <v>8146</v>
      </c>
      <c r="G229">
        <v>3719</v>
      </c>
      <c r="H229">
        <v>3719</v>
      </c>
      <c r="I229">
        <v>3719</v>
      </c>
      <c r="J229">
        <v>3719</v>
      </c>
      <c r="L229" s="3">
        <v>0</v>
      </c>
      <c r="M229" s="3">
        <v>0</v>
      </c>
      <c r="N229" s="3">
        <v>0</v>
      </c>
      <c r="O229" s="3">
        <v>690.99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690.99</v>
      </c>
      <c r="V229" t="s">
        <v>55</v>
      </c>
    </row>
    <row r="230" spans="1:22" hidden="1" x14ac:dyDescent="0.25">
      <c r="A230" t="s">
        <v>8610</v>
      </c>
      <c r="B230" t="s">
        <v>8827</v>
      </c>
      <c r="C230" t="s">
        <v>1</v>
      </c>
      <c r="D230" t="s">
        <v>8526</v>
      </c>
      <c r="E230" t="s">
        <v>8147</v>
      </c>
      <c r="F230" t="s">
        <v>8146</v>
      </c>
      <c r="G230">
        <v>3720</v>
      </c>
      <c r="H230">
        <v>3720</v>
      </c>
      <c r="I230">
        <v>3720</v>
      </c>
      <c r="J230">
        <v>3720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t="s">
        <v>55</v>
      </c>
    </row>
    <row r="231" spans="1:22" hidden="1" x14ac:dyDescent="0.25">
      <c r="A231" t="s">
        <v>8610</v>
      </c>
      <c r="B231" t="s">
        <v>8827</v>
      </c>
      <c r="C231" t="s">
        <v>1</v>
      </c>
      <c r="D231" t="s">
        <v>8526</v>
      </c>
      <c r="E231" t="s">
        <v>8147</v>
      </c>
      <c r="F231" t="s">
        <v>8146</v>
      </c>
      <c r="G231">
        <v>3721</v>
      </c>
      <c r="H231">
        <v>3721</v>
      </c>
      <c r="I231">
        <v>3721</v>
      </c>
      <c r="J231">
        <v>3721</v>
      </c>
      <c r="L231" s="3">
        <v>0</v>
      </c>
      <c r="M231" s="3">
        <v>0</v>
      </c>
      <c r="N231" s="3">
        <v>0</v>
      </c>
      <c r="O231" s="3">
        <v>163.57</v>
      </c>
      <c r="P231" s="3">
        <v>0</v>
      </c>
      <c r="Q231" s="3">
        <v>0</v>
      </c>
      <c r="R231" s="3">
        <v>0</v>
      </c>
      <c r="S231" s="3">
        <v>0</v>
      </c>
      <c r="T231" s="3">
        <v>0</v>
      </c>
      <c r="U231" s="3">
        <v>163.57</v>
      </c>
      <c r="V231" t="s">
        <v>55</v>
      </c>
    </row>
    <row r="232" spans="1:22" hidden="1" x14ac:dyDescent="0.25">
      <c r="A232" t="s">
        <v>8610</v>
      </c>
      <c r="B232" t="s">
        <v>8827</v>
      </c>
      <c r="C232" t="s">
        <v>1</v>
      </c>
      <c r="D232" t="s">
        <v>8526</v>
      </c>
      <c r="E232" t="s">
        <v>8147</v>
      </c>
      <c r="F232" t="s">
        <v>8146</v>
      </c>
      <c r="G232">
        <v>3722</v>
      </c>
      <c r="H232">
        <v>3722</v>
      </c>
      <c r="I232">
        <v>3722</v>
      </c>
      <c r="J232">
        <v>3722</v>
      </c>
      <c r="L232" s="3">
        <v>0</v>
      </c>
      <c r="M232" s="3">
        <v>0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t="s">
        <v>55</v>
      </c>
    </row>
    <row r="233" spans="1:22" hidden="1" x14ac:dyDescent="0.25">
      <c r="A233" t="s">
        <v>8610</v>
      </c>
      <c r="B233" t="s">
        <v>8827</v>
      </c>
      <c r="C233" t="s">
        <v>1</v>
      </c>
      <c r="D233" t="s">
        <v>8526</v>
      </c>
      <c r="E233" t="s">
        <v>8147</v>
      </c>
      <c r="F233" t="s">
        <v>8146</v>
      </c>
      <c r="G233">
        <v>3723</v>
      </c>
      <c r="H233">
        <v>3723</v>
      </c>
      <c r="I233">
        <v>3723</v>
      </c>
      <c r="J233">
        <v>3723</v>
      </c>
      <c r="L233" s="3">
        <v>0</v>
      </c>
      <c r="M233" s="3">
        <v>0</v>
      </c>
      <c r="N233" s="3">
        <v>0</v>
      </c>
      <c r="O233" s="3">
        <v>21.33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21.33</v>
      </c>
      <c r="V233" t="s">
        <v>55</v>
      </c>
    </row>
    <row r="234" spans="1:22" hidden="1" x14ac:dyDescent="0.25">
      <c r="A234" t="s">
        <v>8610</v>
      </c>
      <c r="B234" t="s">
        <v>8827</v>
      </c>
      <c r="C234" t="s">
        <v>1</v>
      </c>
      <c r="D234" t="s">
        <v>8526</v>
      </c>
      <c r="E234" t="s">
        <v>8147</v>
      </c>
      <c r="F234" t="s">
        <v>8146</v>
      </c>
      <c r="G234">
        <v>3724</v>
      </c>
      <c r="H234">
        <v>3724</v>
      </c>
      <c r="I234">
        <v>3724</v>
      </c>
      <c r="J234">
        <v>3724</v>
      </c>
      <c r="L234" s="3">
        <v>0</v>
      </c>
      <c r="M234" s="3">
        <v>0</v>
      </c>
      <c r="N234" s="3">
        <v>0</v>
      </c>
      <c r="O234" s="3">
        <v>12.5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12.5</v>
      </c>
      <c r="V234" t="s">
        <v>55</v>
      </c>
    </row>
    <row r="235" spans="1:22" hidden="1" x14ac:dyDescent="0.25">
      <c r="A235" t="s">
        <v>8610</v>
      </c>
      <c r="B235" t="s">
        <v>8827</v>
      </c>
      <c r="C235" t="s">
        <v>1</v>
      </c>
      <c r="D235" t="s">
        <v>8526</v>
      </c>
      <c r="E235" t="s">
        <v>8147</v>
      </c>
      <c r="F235" t="s">
        <v>8146</v>
      </c>
      <c r="G235">
        <v>3725</v>
      </c>
      <c r="H235">
        <v>3725</v>
      </c>
      <c r="I235">
        <v>3725</v>
      </c>
      <c r="J235">
        <v>3725</v>
      </c>
      <c r="L235" s="3">
        <v>0</v>
      </c>
      <c r="M235" s="3">
        <v>0</v>
      </c>
      <c r="N235" s="3">
        <v>0</v>
      </c>
      <c r="O235" s="3">
        <v>190.8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190.8</v>
      </c>
      <c r="V235" t="s">
        <v>55</v>
      </c>
    </row>
    <row r="236" spans="1:22" hidden="1" x14ac:dyDescent="0.25">
      <c r="A236" t="s">
        <v>8610</v>
      </c>
      <c r="B236" t="s">
        <v>8827</v>
      </c>
      <c r="C236" t="s">
        <v>1</v>
      </c>
      <c r="D236" t="s">
        <v>8526</v>
      </c>
      <c r="E236" t="s">
        <v>8147</v>
      </c>
      <c r="F236" t="s">
        <v>8146</v>
      </c>
      <c r="G236">
        <v>3726</v>
      </c>
      <c r="H236">
        <v>3726</v>
      </c>
      <c r="I236">
        <v>3726</v>
      </c>
      <c r="J236">
        <v>3726</v>
      </c>
      <c r="L236" s="3">
        <v>0</v>
      </c>
      <c r="M236" s="3">
        <v>0</v>
      </c>
      <c r="N236" s="3">
        <v>0</v>
      </c>
      <c r="O236" s="3">
        <v>559.28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559.28</v>
      </c>
      <c r="V236" t="s">
        <v>55</v>
      </c>
    </row>
    <row r="237" spans="1:22" hidden="1" x14ac:dyDescent="0.25">
      <c r="A237" t="s">
        <v>8610</v>
      </c>
      <c r="B237" t="s">
        <v>8827</v>
      </c>
      <c r="C237" t="s">
        <v>1</v>
      </c>
      <c r="D237" t="s">
        <v>8526</v>
      </c>
      <c r="E237" t="s">
        <v>8147</v>
      </c>
      <c r="F237" t="s">
        <v>8146</v>
      </c>
      <c r="G237">
        <v>3727</v>
      </c>
      <c r="H237">
        <v>3727</v>
      </c>
      <c r="I237">
        <v>3727</v>
      </c>
      <c r="J237">
        <v>3727</v>
      </c>
      <c r="L237" s="3">
        <v>0</v>
      </c>
      <c r="M237" s="3">
        <v>0</v>
      </c>
      <c r="N237" s="3">
        <v>0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t="s">
        <v>55</v>
      </c>
    </row>
    <row r="238" spans="1:22" hidden="1" x14ac:dyDescent="0.25">
      <c r="A238" t="s">
        <v>8610</v>
      </c>
      <c r="B238" t="s">
        <v>8826</v>
      </c>
      <c r="C238" t="s">
        <v>1</v>
      </c>
      <c r="D238" t="s">
        <v>8526</v>
      </c>
      <c r="E238" t="s">
        <v>8147</v>
      </c>
      <c r="F238" t="s">
        <v>8146</v>
      </c>
      <c r="G238">
        <v>3728</v>
      </c>
      <c r="H238">
        <v>3728</v>
      </c>
      <c r="I238">
        <v>3728</v>
      </c>
      <c r="J238">
        <v>3728</v>
      </c>
      <c r="L238" s="3">
        <v>0</v>
      </c>
      <c r="M238" s="3">
        <v>0</v>
      </c>
      <c r="N238" s="3">
        <v>0</v>
      </c>
      <c r="O238" s="3">
        <v>1130.5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1130.5</v>
      </c>
      <c r="V238" t="s">
        <v>55</v>
      </c>
    </row>
    <row r="239" spans="1:22" hidden="1" x14ac:dyDescent="0.25">
      <c r="A239" t="s">
        <v>8610</v>
      </c>
      <c r="B239" t="s">
        <v>8826</v>
      </c>
      <c r="C239" t="s">
        <v>1</v>
      </c>
      <c r="D239" t="s">
        <v>8526</v>
      </c>
      <c r="E239" t="s">
        <v>8147</v>
      </c>
      <c r="F239" t="s">
        <v>8146</v>
      </c>
      <c r="G239">
        <v>3729</v>
      </c>
      <c r="H239">
        <v>3729</v>
      </c>
      <c r="I239">
        <v>3729</v>
      </c>
      <c r="J239">
        <v>3729</v>
      </c>
      <c r="L239" s="3">
        <v>0</v>
      </c>
      <c r="M239" s="3">
        <v>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0</v>
      </c>
      <c r="V239" t="s">
        <v>55</v>
      </c>
    </row>
    <row r="240" spans="1:22" hidden="1" x14ac:dyDescent="0.25">
      <c r="A240" t="s">
        <v>8610</v>
      </c>
      <c r="B240" t="s">
        <v>8826</v>
      </c>
      <c r="C240" t="s">
        <v>1</v>
      </c>
      <c r="D240" t="s">
        <v>8526</v>
      </c>
      <c r="E240" t="s">
        <v>8147</v>
      </c>
      <c r="F240" t="s">
        <v>8146</v>
      </c>
      <c r="G240">
        <v>3730</v>
      </c>
      <c r="H240">
        <v>3730</v>
      </c>
      <c r="I240">
        <v>3730</v>
      </c>
      <c r="J240">
        <v>3730</v>
      </c>
      <c r="L240" s="3">
        <v>0</v>
      </c>
      <c r="M240" s="3">
        <v>0</v>
      </c>
      <c r="N240" s="3">
        <v>0</v>
      </c>
      <c r="O240" s="3">
        <v>740.72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740.72</v>
      </c>
      <c r="V240" t="s">
        <v>55</v>
      </c>
    </row>
    <row r="241" spans="1:22" hidden="1" x14ac:dyDescent="0.25">
      <c r="A241" t="s">
        <v>8610</v>
      </c>
      <c r="B241" t="s">
        <v>8826</v>
      </c>
      <c r="C241" t="s">
        <v>1</v>
      </c>
      <c r="D241" t="s">
        <v>8526</v>
      </c>
      <c r="E241" t="s">
        <v>8147</v>
      </c>
      <c r="F241" t="s">
        <v>8146</v>
      </c>
      <c r="G241">
        <v>3732</v>
      </c>
      <c r="H241">
        <v>3732</v>
      </c>
      <c r="I241">
        <v>3732</v>
      </c>
      <c r="J241">
        <v>3732</v>
      </c>
      <c r="L241" s="3">
        <v>0</v>
      </c>
      <c r="M241" s="3">
        <v>0</v>
      </c>
      <c r="N241" s="3">
        <v>0</v>
      </c>
      <c r="O241" s="3">
        <v>368.88</v>
      </c>
      <c r="P241" s="3">
        <v>0</v>
      </c>
      <c r="Q241" s="3">
        <v>0</v>
      </c>
      <c r="R241" s="3">
        <v>0</v>
      </c>
      <c r="S241" s="3">
        <v>0</v>
      </c>
      <c r="T241" s="3">
        <v>0</v>
      </c>
      <c r="U241" s="3">
        <v>368.88</v>
      </c>
      <c r="V241" t="s">
        <v>55</v>
      </c>
    </row>
    <row r="242" spans="1:22" hidden="1" x14ac:dyDescent="0.25">
      <c r="A242" t="s">
        <v>8610</v>
      </c>
      <c r="B242" t="s">
        <v>8824</v>
      </c>
      <c r="C242" t="s">
        <v>1</v>
      </c>
      <c r="D242" t="s">
        <v>8526</v>
      </c>
      <c r="E242" t="s">
        <v>8147</v>
      </c>
      <c r="F242" t="s">
        <v>8146</v>
      </c>
      <c r="G242">
        <v>3733</v>
      </c>
      <c r="H242">
        <v>3733</v>
      </c>
      <c r="I242">
        <v>3733</v>
      </c>
      <c r="J242">
        <v>3733</v>
      </c>
      <c r="L242" s="3">
        <v>0</v>
      </c>
      <c r="M242" s="3">
        <v>0</v>
      </c>
      <c r="N242" s="3">
        <v>0</v>
      </c>
      <c r="O242" s="3">
        <v>69.180000000000007</v>
      </c>
      <c r="P242" s="3">
        <v>0</v>
      </c>
      <c r="Q242" s="3">
        <v>0</v>
      </c>
      <c r="R242" s="3">
        <v>0</v>
      </c>
      <c r="S242" s="3">
        <v>0</v>
      </c>
      <c r="T242" s="3">
        <v>0</v>
      </c>
      <c r="U242" s="3">
        <v>69.180000000000007</v>
      </c>
      <c r="V242" t="s">
        <v>55</v>
      </c>
    </row>
    <row r="243" spans="1:22" hidden="1" x14ac:dyDescent="0.25">
      <c r="A243" t="s">
        <v>8610</v>
      </c>
      <c r="B243" t="s">
        <v>8824</v>
      </c>
      <c r="C243" t="s">
        <v>1</v>
      </c>
      <c r="D243" t="s">
        <v>8526</v>
      </c>
      <c r="E243" t="s">
        <v>8147</v>
      </c>
      <c r="F243" t="s">
        <v>8146</v>
      </c>
      <c r="G243">
        <v>3734</v>
      </c>
      <c r="H243">
        <v>3734</v>
      </c>
      <c r="I243">
        <v>3734</v>
      </c>
      <c r="J243">
        <v>3734</v>
      </c>
      <c r="L243" s="3">
        <v>0</v>
      </c>
      <c r="M243" s="3">
        <v>0</v>
      </c>
      <c r="N243" s="3">
        <v>0</v>
      </c>
      <c r="O243" s="3">
        <v>93.88</v>
      </c>
      <c r="P243" s="3">
        <v>0</v>
      </c>
      <c r="Q243" s="3">
        <v>0</v>
      </c>
      <c r="R243" s="3">
        <v>0</v>
      </c>
      <c r="S243" s="3">
        <v>0</v>
      </c>
      <c r="T243" s="3">
        <v>0</v>
      </c>
      <c r="U243" s="3">
        <v>93.88</v>
      </c>
      <c r="V243" t="s">
        <v>55</v>
      </c>
    </row>
    <row r="244" spans="1:22" hidden="1" x14ac:dyDescent="0.25">
      <c r="A244" t="s">
        <v>8610</v>
      </c>
      <c r="B244" t="s">
        <v>8824</v>
      </c>
      <c r="C244" t="s">
        <v>1</v>
      </c>
      <c r="D244" t="s">
        <v>8526</v>
      </c>
      <c r="E244" t="s">
        <v>8147</v>
      </c>
      <c r="F244" t="s">
        <v>8146</v>
      </c>
      <c r="G244">
        <v>3735</v>
      </c>
      <c r="H244">
        <v>3735</v>
      </c>
      <c r="I244">
        <v>3735</v>
      </c>
      <c r="J244">
        <v>3735</v>
      </c>
      <c r="L244" s="3">
        <v>0</v>
      </c>
      <c r="M244" s="3">
        <v>0</v>
      </c>
      <c r="N244" s="3">
        <v>0</v>
      </c>
      <c r="O244" s="3">
        <v>98.26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98.26</v>
      </c>
      <c r="V244" t="s">
        <v>55</v>
      </c>
    </row>
    <row r="245" spans="1:22" hidden="1" x14ac:dyDescent="0.25">
      <c r="A245" t="s">
        <v>8610</v>
      </c>
      <c r="B245" t="s">
        <v>8824</v>
      </c>
      <c r="C245" t="s">
        <v>1</v>
      </c>
      <c r="D245" t="s">
        <v>8526</v>
      </c>
      <c r="E245" t="s">
        <v>8147</v>
      </c>
      <c r="F245" t="s">
        <v>8146</v>
      </c>
      <c r="G245">
        <v>3736</v>
      </c>
      <c r="H245">
        <v>3736</v>
      </c>
      <c r="I245">
        <v>3736</v>
      </c>
      <c r="J245">
        <v>3736</v>
      </c>
      <c r="L245" s="3">
        <v>0</v>
      </c>
      <c r="M245" s="3">
        <v>0</v>
      </c>
      <c r="N245" s="3">
        <v>0</v>
      </c>
      <c r="O245" s="3">
        <v>95.4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95.4</v>
      </c>
      <c r="V245" t="s">
        <v>55</v>
      </c>
    </row>
    <row r="246" spans="1:22" hidden="1" x14ac:dyDescent="0.25">
      <c r="A246" t="s">
        <v>8610</v>
      </c>
      <c r="B246" t="s">
        <v>8824</v>
      </c>
      <c r="C246" t="s">
        <v>1</v>
      </c>
      <c r="D246" t="s">
        <v>8526</v>
      </c>
      <c r="E246" t="s">
        <v>8147</v>
      </c>
      <c r="F246" t="s">
        <v>8146</v>
      </c>
      <c r="G246">
        <v>3737</v>
      </c>
      <c r="H246">
        <v>3737</v>
      </c>
      <c r="I246">
        <v>3737</v>
      </c>
      <c r="J246">
        <v>3737</v>
      </c>
      <c r="L246" s="3">
        <v>0</v>
      </c>
      <c r="M246" s="3">
        <v>0</v>
      </c>
      <c r="N246" s="3">
        <v>0</v>
      </c>
      <c r="O246" s="3">
        <v>23.86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23.86</v>
      </c>
      <c r="V246" t="s">
        <v>55</v>
      </c>
    </row>
    <row r="247" spans="1:22" hidden="1" x14ac:dyDescent="0.25">
      <c r="A247" t="s">
        <v>8610</v>
      </c>
      <c r="B247" t="s">
        <v>8824</v>
      </c>
      <c r="C247" t="s">
        <v>1</v>
      </c>
      <c r="D247" t="s">
        <v>8526</v>
      </c>
      <c r="E247" t="s">
        <v>8147</v>
      </c>
      <c r="F247" t="s">
        <v>8146</v>
      </c>
      <c r="G247">
        <v>3738</v>
      </c>
      <c r="H247">
        <v>3738</v>
      </c>
      <c r="I247">
        <v>3738</v>
      </c>
      <c r="J247">
        <v>3738</v>
      </c>
      <c r="L247" s="3">
        <v>0</v>
      </c>
      <c r="M247" s="3">
        <v>0</v>
      </c>
      <c r="N247" s="3">
        <v>0</v>
      </c>
      <c r="O247" s="3">
        <v>179.2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179.2</v>
      </c>
      <c r="V247" t="s">
        <v>55</v>
      </c>
    </row>
    <row r="248" spans="1:22" hidden="1" x14ac:dyDescent="0.25">
      <c r="A248" t="s">
        <v>8610</v>
      </c>
      <c r="B248" t="s">
        <v>8824</v>
      </c>
      <c r="C248" t="s">
        <v>1</v>
      </c>
      <c r="D248" t="s">
        <v>8526</v>
      </c>
      <c r="E248" t="s">
        <v>8147</v>
      </c>
      <c r="F248" t="s">
        <v>8146</v>
      </c>
      <c r="G248">
        <v>3739</v>
      </c>
      <c r="H248">
        <v>3739</v>
      </c>
      <c r="I248">
        <v>3739</v>
      </c>
      <c r="J248">
        <v>3739</v>
      </c>
      <c r="L248" s="3">
        <v>0</v>
      </c>
      <c r="M248" s="3">
        <v>0</v>
      </c>
      <c r="N248" s="3">
        <v>0</v>
      </c>
      <c r="O248" s="3">
        <v>24.31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24.31</v>
      </c>
      <c r="V248" t="s">
        <v>55</v>
      </c>
    </row>
    <row r="249" spans="1:22" hidden="1" x14ac:dyDescent="0.25">
      <c r="A249" t="s">
        <v>8610</v>
      </c>
      <c r="B249" t="s">
        <v>8857</v>
      </c>
      <c r="C249" t="s">
        <v>1</v>
      </c>
      <c r="D249" t="s">
        <v>8526</v>
      </c>
      <c r="E249" t="s">
        <v>8147</v>
      </c>
      <c r="F249" t="s">
        <v>8146</v>
      </c>
      <c r="G249">
        <v>3740</v>
      </c>
      <c r="H249">
        <v>3740</v>
      </c>
      <c r="I249">
        <v>3740</v>
      </c>
      <c r="J249">
        <v>3740</v>
      </c>
      <c r="L249" s="3">
        <v>0</v>
      </c>
      <c r="M249" s="3">
        <v>0</v>
      </c>
      <c r="N249" s="3">
        <v>0</v>
      </c>
      <c r="O249" s="3">
        <v>86.4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86.4</v>
      </c>
      <c r="V249" t="s">
        <v>55</v>
      </c>
    </row>
    <row r="250" spans="1:22" hidden="1" x14ac:dyDescent="0.25">
      <c r="A250" t="s">
        <v>8610</v>
      </c>
      <c r="B250" t="s">
        <v>8857</v>
      </c>
      <c r="C250" t="s">
        <v>1</v>
      </c>
      <c r="D250" t="s">
        <v>8526</v>
      </c>
      <c r="E250" t="s">
        <v>8147</v>
      </c>
      <c r="F250" t="s">
        <v>8146</v>
      </c>
      <c r="G250">
        <v>3741</v>
      </c>
      <c r="H250">
        <v>3741</v>
      </c>
      <c r="I250">
        <v>3741</v>
      </c>
      <c r="J250">
        <v>3741</v>
      </c>
      <c r="L250" s="3">
        <v>0</v>
      </c>
      <c r="M250" s="3">
        <v>0</v>
      </c>
      <c r="N250" s="3">
        <v>0</v>
      </c>
      <c r="O250" s="3">
        <v>244.8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244.8</v>
      </c>
      <c r="V250" t="s">
        <v>55</v>
      </c>
    </row>
    <row r="251" spans="1:22" hidden="1" x14ac:dyDescent="0.25">
      <c r="A251" t="s">
        <v>8610</v>
      </c>
      <c r="B251" t="s">
        <v>8857</v>
      </c>
      <c r="C251" t="s">
        <v>1</v>
      </c>
      <c r="D251" t="s">
        <v>8526</v>
      </c>
      <c r="E251" t="s">
        <v>8147</v>
      </c>
      <c r="F251" t="s">
        <v>8146</v>
      </c>
      <c r="G251">
        <v>3742</v>
      </c>
      <c r="H251">
        <v>3742</v>
      </c>
      <c r="I251">
        <v>3742</v>
      </c>
      <c r="J251">
        <v>3742</v>
      </c>
      <c r="L251" s="3">
        <v>0</v>
      </c>
      <c r="M251" s="3">
        <v>0</v>
      </c>
      <c r="N251" s="3">
        <v>0</v>
      </c>
      <c r="O251" s="3">
        <v>6.78</v>
      </c>
      <c r="P251" s="3">
        <v>0</v>
      </c>
      <c r="Q251" s="3">
        <v>0</v>
      </c>
      <c r="R251" s="3">
        <v>0</v>
      </c>
      <c r="S251" s="3">
        <v>0</v>
      </c>
      <c r="T251" s="3">
        <v>0</v>
      </c>
      <c r="U251" s="3">
        <v>6.78</v>
      </c>
      <c r="V251" t="s">
        <v>55</v>
      </c>
    </row>
    <row r="252" spans="1:22" hidden="1" x14ac:dyDescent="0.25">
      <c r="A252" t="s">
        <v>8610</v>
      </c>
      <c r="B252" t="s">
        <v>8857</v>
      </c>
      <c r="C252" t="s">
        <v>1</v>
      </c>
      <c r="D252" t="s">
        <v>8526</v>
      </c>
      <c r="E252" t="s">
        <v>8147</v>
      </c>
      <c r="F252" t="s">
        <v>8146</v>
      </c>
      <c r="G252">
        <v>3743</v>
      </c>
      <c r="H252">
        <v>3743</v>
      </c>
      <c r="I252">
        <v>3743</v>
      </c>
      <c r="J252">
        <v>3743</v>
      </c>
      <c r="L252" s="3">
        <v>0</v>
      </c>
      <c r="M252" s="3">
        <v>0</v>
      </c>
      <c r="N252" s="3">
        <v>0</v>
      </c>
      <c r="O252" s="3">
        <v>563</v>
      </c>
      <c r="P252" s="3">
        <v>0</v>
      </c>
      <c r="Q252" s="3">
        <v>0</v>
      </c>
      <c r="R252" s="3">
        <v>0</v>
      </c>
      <c r="S252" s="3">
        <v>0</v>
      </c>
      <c r="T252" s="3">
        <v>0</v>
      </c>
      <c r="U252" s="3">
        <v>563</v>
      </c>
      <c r="V252" t="s">
        <v>55</v>
      </c>
    </row>
    <row r="253" spans="1:22" hidden="1" x14ac:dyDescent="0.25">
      <c r="A253" t="s">
        <v>8610</v>
      </c>
      <c r="B253" t="s">
        <v>8857</v>
      </c>
      <c r="C253" t="s">
        <v>1</v>
      </c>
      <c r="D253" t="s">
        <v>8526</v>
      </c>
      <c r="E253" t="s">
        <v>8147</v>
      </c>
      <c r="F253" t="s">
        <v>8146</v>
      </c>
      <c r="G253">
        <v>3744</v>
      </c>
      <c r="H253">
        <v>3744</v>
      </c>
      <c r="I253">
        <v>3744</v>
      </c>
      <c r="J253">
        <v>3744</v>
      </c>
      <c r="L253" s="3">
        <v>0</v>
      </c>
      <c r="M253" s="3">
        <v>0</v>
      </c>
      <c r="N253" s="3">
        <v>0</v>
      </c>
      <c r="O253" s="3">
        <v>62</v>
      </c>
      <c r="P253" s="3">
        <v>0</v>
      </c>
      <c r="Q253" s="3">
        <v>0</v>
      </c>
      <c r="R253" s="3">
        <v>0</v>
      </c>
      <c r="S253" s="3">
        <v>0</v>
      </c>
      <c r="T253" s="3">
        <v>0</v>
      </c>
      <c r="U253" s="3">
        <v>62</v>
      </c>
      <c r="V253" t="s">
        <v>55</v>
      </c>
    </row>
    <row r="254" spans="1:22" hidden="1" x14ac:dyDescent="0.25">
      <c r="A254" t="s">
        <v>8610</v>
      </c>
      <c r="B254" t="s">
        <v>8820</v>
      </c>
      <c r="C254" t="s">
        <v>1</v>
      </c>
      <c r="D254" t="s">
        <v>8526</v>
      </c>
      <c r="E254" t="s">
        <v>8147</v>
      </c>
      <c r="F254" t="s">
        <v>8146</v>
      </c>
      <c r="G254">
        <v>3745</v>
      </c>
      <c r="H254">
        <v>3745</v>
      </c>
      <c r="I254">
        <v>3745</v>
      </c>
      <c r="J254">
        <v>3745</v>
      </c>
      <c r="L254" s="3">
        <v>0</v>
      </c>
      <c r="M254" s="3">
        <v>0</v>
      </c>
      <c r="N254" s="3">
        <v>0</v>
      </c>
      <c r="O254" s="3">
        <v>565.04999999999995</v>
      </c>
      <c r="P254" s="3">
        <v>0</v>
      </c>
      <c r="Q254" s="3">
        <v>0</v>
      </c>
      <c r="R254" s="3">
        <v>0</v>
      </c>
      <c r="S254" s="3">
        <v>0</v>
      </c>
      <c r="T254" s="3">
        <v>0</v>
      </c>
      <c r="U254" s="3">
        <v>565.04999999999995</v>
      </c>
      <c r="V254" t="s">
        <v>55</v>
      </c>
    </row>
    <row r="255" spans="1:22" hidden="1" x14ac:dyDescent="0.25">
      <c r="A255" t="s">
        <v>8610</v>
      </c>
      <c r="B255" t="s">
        <v>8820</v>
      </c>
      <c r="C255" t="s">
        <v>1</v>
      </c>
      <c r="D255" t="s">
        <v>8526</v>
      </c>
      <c r="E255" t="s">
        <v>8147</v>
      </c>
      <c r="F255" t="s">
        <v>8146</v>
      </c>
      <c r="G255">
        <v>3746</v>
      </c>
      <c r="H255">
        <v>3746</v>
      </c>
      <c r="I255">
        <v>3746</v>
      </c>
      <c r="J255">
        <v>3746</v>
      </c>
      <c r="L255" s="3">
        <v>0</v>
      </c>
      <c r="M255" s="3">
        <v>0</v>
      </c>
      <c r="N255" s="3">
        <v>0</v>
      </c>
      <c r="O255" s="3">
        <v>121.25</v>
      </c>
      <c r="P255" s="3">
        <v>0</v>
      </c>
      <c r="Q255" s="3">
        <v>0</v>
      </c>
      <c r="R255" s="3">
        <v>0</v>
      </c>
      <c r="S255" s="3">
        <v>0</v>
      </c>
      <c r="T255" s="3">
        <v>0</v>
      </c>
      <c r="U255" s="3">
        <v>121.25</v>
      </c>
      <c r="V255" t="s">
        <v>55</v>
      </c>
    </row>
    <row r="256" spans="1:22" hidden="1" x14ac:dyDescent="0.25">
      <c r="A256" t="s">
        <v>8610</v>
      </c>
      <c r="B256" t="s">
        <v>8820</v>
      </c>
      <c r="C256" t="s">
        <v>1</v>
      </c>
      <c r="D256" t="s">
        <v>8526</v>
      </c>
      <c r="E256" t="s">
        <v>8147</v>
      </c>
      <c r="F256" t="s">
        <v>8146</v>
      </c>
      <c r="G256">
        <v>3747</v>
      </c>
      <c r="H256">
        <v>3747</v>
      </c>
      <c r="I256">
        <v>3747</v>
      </c>
      <c r="J256">
        <v>3747</v>
      </c>
      <c r="L256" s="3">
        <v>0</v>
      </c>
      <c r="M256" s="3">
        <v>0</v>
      </c>
      <c r="N256" s="3">
        <v>0</v>
      </c>
      <c r="O256" s="3">
        <v>51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51</v>
      </c>
      <c r="V256" t="s">
        <v>55</v>
      </c>
    </row>
    <row r="257" spans="1:22" hidden="1" x14ac:dyDescent="0.25">
      <c r="A257" t="s">
        <v>8610</v>
      </c>
      <c r="B257" t="s">
        <v>8820</v>
      </c>
      <c r="C257" t="s">
        <v>1</v>
      </c>
      <c r="D257" t="s">
        <v>8526</v>
      </c>
      <c r="E257" t="s">
        <v>8147</v>
      </c>
      <c r="F257" t="s">
        <v>8146</v>
      </c>
      <c r="G257">
        <v>3748</v>
      </c>
      <c r="H257">
        <v>3748</v>
      </c>
      <c r="I257">
        <v>3748</v>
      </c>
      <c r="J257">
        <v>3748</v>
      </c>
      <c r="L257" s="3">
        <v>0</v>
      </c>
      <c r="M257" s="3">
        <v>0</v>
      </c>
      <c r="N257" s="3">
        <v>0</v>
      </c>
      <c r="O257" s="3">
        <v>78.42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78.42</v>
      </c>
      <c r="V257" t="s">
        <v>55</v>
      </c>
    </row>
    <row r="258" spans="1:22" hidden="1" x14ac:dyDescent="0.25">
      <c r="A258" t="s">
        <v>8610</v>
      </c>
      <c r="B258" t="s">
        <v>8819</v>
      </c>
      <c r="C258" t="s">
        <v>1</v>
      </c>
      <c r="D258" t="s">
        <v>8526</v>
      </c>
      <c r="E258" t="s">
        <v>8147</v>
      </c>
      <c r="F258" t="s">
        <v>8146</v>
      </c>
      <c r="G258">
        <v>3750</v>
      </c>
      <c r="H258">
        <v>3750</v>
      </c>
      <c r="I258">
        <v>3750</v>
      </c>
      <c r="J258">
        <v>3750</v>
      </c>
      <c r="L258" s="3">
        <v>0</v>
      </c>
      <c r="M258" s="3">
        <v>0</v>
      </c>
      <c r="N258" s="3">
        <v>0</v>
      </c>
      <c r="O258" s="3">
        <v>134.47</v>
      </c>
      <c r="P258" s="3">
        <v>0</v>
      </c>
      <c r="Q258" s="3">
        <v>0</v>
      </c>
      <c r="R258" s="3">
        <v>0</v>
      </c>
      <c r="S258" s="3">
        <v>0</v>
      </c>
      <c r="T258" s="3">
        <v>0</v>
      </c>
      <c r="U258" s="3">
        <v>134.47</v>
      </c>
      <c r="V258" t="s">
        <v>55</v>
      </c>
    </row>
    <row r="259" spans="1:22" hidden="1" x14ac:dyDescent="0.25">
      <c r="A259" t="s">
        <v>8610</v>
      </c>
      <c r="B259" t="s">
        <v>8819</v>
      </c>
      <c r="C259" t="s">
        <v>1</v>
      </c>
      <c r="D259" t="s">
        <v>8526</v>
      </c>
      <c r="E259" t="s">
        <v>8147</v>
      </c>
      <c r="F259" t="s">
        <v>8146</v>
      </c>
      <c r="G259">
        <v>3751</v>
      </c>
      <c r="H259">
        <v>3751</v>
      </c>
      <c r="I259">
        <v>3751</v>
      </c>
      <c r="J259">
        <v>3751</v>
      </c>
      <c r="L259" s="3">
        <v>0</v>
      </c>
      <c r="M259" s="3">
        <v>0</v>
      </c>
      <c r="N259" s="3">
        <v>0</v>
      </c>
      <c r="O259" s="3">
        <v>221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221</v>
      </c>
      <c r="V259" t="s">
        <v>55</v>
      </c>
    </row>
    <row r="260" spans="1:22" hidden="1" x14ac:dyDescent="0.25">
      <c r="A260" t="s">
        <v>8610</v>
      </c>
      <c r="B260" t="s">
        <v>8819</v>
      </c>
      <c r="C260" t="s">
        <v>1</v>
      </c>
      <c r="D260" t="s">
        <v>8526</v>
      </c>
      <c r="E260" t="s">
        <v>8147</v>
      </c>
      <c r="F260" t="s">
        <v>8146</v>
      </c>
      <c r="G260">
        <v>3752</v>
      </c>
      <c r="H260">
        <v>3752</v>
      </c>
      <c r="I260">
        <v>3752</v>
      </c>
      <c r="J260">
        <v>3752</v>
      </c>
      <c r="L260" s="3">
        <v>0</v>
      </c>
      <c r="M260" s="3">
        <v>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t="s">
        <v>55</v>
      </c>
    </row>
    <row r="261" spans="1:22" hidden="1" x14ac:dyDescent="0.25">
      <c r="A261" t="s">
        <v>8610</v>
      </c>
      <c r="B261" t="s">
        <v>8819</v>
      </c>
      <c r="C261" t="s">
        <v>1</v>
      </c>
      <c r="D261" t="s">
        <v>8526</v>
      </c>
      <c r="E261" t="s">
        <v>8147</v>
      </c>
      <c r="F261" t="s">
        <v>8146</v>
      </c>
      <c r="G261">
        <v>3753</v>
      </c>
      <c r="H261">
        <v>3753</v>
      </c>
      <c r="I261">
        <v>3753</v>
      </c>
      <c r="J261">
        <v>3753</v>
      </c>
      <c r="L261" s="3">
        <v>0</v>
      </c>
      <c r="M261" s="3">
        <v>0</v>
      </c>
      <c r="N261" s="3">
        <v>0</v>
      </c>
      <c r="O261" s="3">
        <v>26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26</v>
      </c>
      <c r="V261" t="s">
        <v>55</v>
      </c>
    </row>
    <row r="262" spans="1:22" hidden="1" x14ac:dyDescent="0.25">
      <c r="A262" t="s">
        <v>8610</v>
      </c>
      <c r="B262" t="s">
        <v>8818</v>
      </c>
      <c r="C262" t="s">
        <v>1</v>
      </c>
      <c r="D262" t="s">
        <v>8526</v>
      </c>
      <c r="E262" t="s">
        <v>8147</v>
      </c>
      <c r="F262" t="s">
        <v>8146</v>
      </c>
      <c r="G262">
        <v>3754</v>
      </c>
      <c r="H262">
        <v>3754</v>
      </c>
      <c r="I262">
        <v>3754</v>
      </c>
      <c r="J262">
        <v>3754</v>
      </c>
      <c r="L262" s="3">
        <v>0</v>
      </c>
      <c r="M262" s="3">
        <v>0</v>
      </c>
      <c r="N262" s="3">
        <v>0</v>
      </c>
      <c r="O262" s="3">
        <v>1324.79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1324.79</v>
      </c>
      <c r="V262" t="s">
        <v>55</v>
      </c>
    </row>
    <row r="263" spans="1:22" hidden="1" x14ac:dyDescent="0.25">
      <c r="A263" t="s">
        <v>8610</v>
      </c>
      <c r="B263" t="s">
        <v>8818</v>
      </c>
      <c r="C263" t="s">
        <v>1</v>
      </c>
      <c r="D263" t="s">
        <v>8526</v>
      </c>
      <c r="E263" t="s">
        <v>8147</v>
      </c>
      <c r="F263" t="s">
        <v>8146</v>
      </c>
      <c r="G263">
        <v>3755</v>
      </c>
      <c r="H263">
        <v>3755</v>
      </c>
      <c r="I263">
        <v>3755</v>
      </c>
      <c r="J263">
        <v>3755</v>
      </c>
      <c r="L263" s="3">
        <v>0</v>
      </c>
      <c r="M263" s="3">
        <v>0</v>
      </c>
      <c r="N263" s="3">
        <v>0</v>
      </c>
      <c r="O263" s="3">
        <v>225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225</v>
      </c>
      <c r="V263" t="s">
        <v>55</v>
      </c>
    </row>
    <row r="264" spans="1:22" hidden="1" x14ac:dyDescent="0.25">
      <c r="A264" t="s">
        <v>8610</v>
      </c>
      <c r="B264" t="s">
        <v>8818</v>
      </c>
      <c r="C264" t="s">
        <v>1</v>
      </c>
      <c r="D264" t="s">
        <v>8526</v>
      </c>
      <c r="E264" t="s">
        <v>8147</v>
      </c>
      <c r="F264" t="s">
        <v>8146</v>
      </c>
      <c r="G264">
        <v>3756</v>
      </c>
      <c r="H264">
        <v>3756</v>
      </c>
      <c r="I264">
        <v>3756</v>
      </c>
      <c r="J264">
        <v>3756</v>
      </c>
      <c r="L264" s="3">
        <v>0</v>
      </c>
      <c r="M264" s="3">
        <v>0</v>
      </c>
      <c r="N264" s="3">
        <v>0</v>
      </c>
      <c r="O264" s="3">
        <v>385.65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385.65</v>
      </c>
      <c r="V264" t="s">
        <v>55</v>
      </c>
    </row>
    <row r="265" spans="1:22" hidden="1" x14ac:dyDescent="0.25">
      <c r="A265" t="s">
        <v>8610</v>
      </c>
      <c r="B265" t="s">
        <v>8818</v>
      </c>
      <c r="C265" t="s">
        <v>1</v>
      </c>
      <c r="D265" t="s">
        <v>8526</v>
      </c>
      <c r="E265" t="s">
        <v>8147</v>
      </c>
      <c r="F265" t="s">
        <v>8146</v>
      </c>
      <c r="G265">
        <v>3757</v>
      </c>
      <c r="H265">
        <v>3757</v>
      </c>
      <c r="I265">
        <v>3757</v>
      </c>
      <c r="J265">
        <v>3757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t="s">
        <v>55</v>
      </c>
    </row>
    <row r="266" spans="1:22" hidden="1" x14ac:dyDescent="0.25">
      <c r="A266" t="s">
        <v>8610</v>
      </c>
      <c r="B266" t="s">
        <v>8818</v>
      </c>
      <c r="C266" t="s">
        <v>1</v>
      </c>
      <c r="D266" t="s">
        <v>8526</v>
      </c>
      <c r="E266" t="s">
        <v>8147</v>
      </c>
      <c r="F266" t="s">
        <v>8146</v>
      </c>
      <c r="G266">
        <v>3758</v>
      </c>
      <c r="H266">
        <v>3758</v>
      </c>
      <c r="I266">
        <v>3758</v>
      </c>
      <c r="J266">
        <v>3758</v>
      </c>
      <c r="L266" s="3">
        <v>0</v>
      </c>
      <c r="M266" s="3">
        <v>0</v>
      </c>
      <c r="N266" s="3">
        <v>0</v>
      </c>
      <c r="O266" s="3">
        <v>44.75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44.75</v>
      </c>
      <c r="V266" t="s">
        <v>55</v>
      </c>
    </row>
    <row r="267" spans="1:22" hidden="1" x14ac:dyDescent="0.25">
      <c r="A267" t="s">
        <v>8610</v>
      </c>
      <c r="B267" t="s">
        <v>8818</v>
      </c>
      <c r="C267" t="s">
        <v>1</v>
      </c>
      <c r="D267" t="s">
        <v>8526</v>
      </c>
      <c r="E267" t="s">
        <v>8147</v>
      </c>
      <c r="F267" t="s">
        <v>8146</v>
      </c>
      <c r="G267">
        <v>3759</v>
      </c>
      <c r="H267">
        <v>3759</v>
      </c>
      <c r="I267">
        <v>3759</v>
      </c>
      <c r="J267">
        <v>3759</v>
      </c>
      <c r="L267" s="3">
        <v>0</v>
      </c>
      <c r="M267" s="3">
        <v>0</v>
      </c>
      <c r="N267" s="3">
        <v>0</v>
      </c>
      <c r="O267" s="3">
        <v>26.1</v>
      </c>
      <c r="P267" s="3">
        <v>0</v>
      </c>
      <c r="Q267" s="3">
        <v>0</v>
      </c>
      <c r="R267" s="3">
        <v>0</v>
      </c>
      <c r="S267" s="3">
        <v>0</v>
      </c>
      <c r="T267" s="3">
        <v>0</v>
      </c>
      <c r="U267" s="3">
        <v>26.1</v>
      </c>
      <c r="V267" t="s">
        <v>55</v>
      </c>
    </row>
    <row r="268" spans="1:22" hidden="1" x14ac:dyDescent="0.25">
      <c r="A268" t="s">
        <v>8610</v>
      </c>
      <c r="B268" t="s">
        <v>8818</v>
      </c>
      <c r="C268" t="s">
        <v>1</v>
      </c>
      <c r="D268" t="s">
        <v>8526</v>
      </c>
      <c r="E268" t="s">
        <v>8147</v>
      </c>
      <c r="F268" t="s">
        <v>8146</v>
      </c>
      <c r="G268">
        <v>3760</v>
      </c>
      <c r="H268">
        <v>3760</v>
      </c>
      <c r="I268">
        <v>3760</v>
      </c>
      <c r="J268">
        <v>3760</v>
      </c>
      <c r="L268" s="3">
        <v>0</v>
      </c>
      <c r="M268" s="3">
        <v>0</v>
      </c>
      <c r="N268" s="3">
        <v>0</v>
      </c>
      <c r="O268" s="3">
        <v>113.64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113.64</v>
      </c>
      <c r="V268" t="s">
        <v>55</v>
      </c>
    </row>
    <row r="269" spans="1:22" hidden="1" x14ac:dyDescent="0.25">
      <c r="A269" t="s">
        <v>8610</v>
      </c>
      <c r="B269" t="s">
        <v>8818</v>
      </c>
      <c r="C269" t="s">
        <v>1</v>
      </c>
      <c r="D269" t="s">
        <v>8526</v>
      </c>
      <c r="E269" t="s">
        <v>8147</v>
      </c>
      <c r="F269" t="s">
        <v>8146</v>
      </c>
      <c r="G269">
        <v>3761</v>
      </c>
      <c r="H269">
        <v>3761</v>
      </c>
      <c r="I269">
        <v>3761</v>
      </c>
      <c r="J269">
        <v>3761</v>
      </c>
      <c r="L269" s="3">
        <v>0</v>
      </c>
      <c r="M269" s="3">
        <v>0</v>
      </c>
      <c r="N269" s="3">
        <v>0</v>
      </c>
      <c r="O269" s="3">
        <v>50.54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50.54</v>
      </c>
      <c r="V269" t="s">
        <v>55</v>
      </c>
    </row>
    <row r="270" spans="1:22" hidden="1" x14ac:dyDescent="0.25">
      <c r="A270" t="s">
        <v>8609</v>
      </c>
      <c r="B270" t="s">
        <v>8774</v>
      </c>
      <c r="C270" t="s">
        <v>1</v>
      </c>
      <c r="D270" t="s">
        <v>8526</v>
      </c>
      <c r="E270" t="s">
        <v>8147</v>
      </c>
      <c r="F270" t="s">
        <v>8146</v>
      </c>
      <c r="G270">
        <v>3513</v>
      </c>
      <c r="H270">
        <v>3513</v>
      </c>
      <c r="I270">
        <v>3513</v>
      </c>
      <c r="J270">
        <v>3513</v>
      </c>
      <c r="L270" s="3">
        <v>0</v>
      </c>
      <c r="M270" s="3">
        <v>0</v>
      </c>
      <c r="N270" s="3">
        <v>0</v>
      </c>
      <c r="O270" s="3">
        <v>100.01</v>
      </c>
      <c r="P270" s="3">
        <v>0</v>
      </c>
      <c r="Q270" s="3">
        <v>0</v>
      </c>
      <c r="R270" s="3">
        <v>0</v>
      </c>
      <c r="S270" s="3">
        <v>0</v>
      </c>
      <c r="T270" s="3">
        <v>0</v>
      </c>
      <c r="U270" s="3">
        <v>100.01</v>
      </c>
      <c r="V270" t="s">
        <v>55</v>
      </c>
    </row>
    <row r="271" spans="1:22" hidden="1" x14ac:dyDescent="0.25">
      <c r="A271" t="s">
        <v>8609</v>
      </c>
      <c r="B271" t="s">
        <v>8774</v>
      </c>
      <c r="C271" t="s">
        <v>1</v>
      </c>
      <c r="D271" t="s">
        <v>8526</v>
      </c>
      <c r="E271" t="s">
        <v>8147</v>
      </c>
      <c r="F271" t="s">
        <v>8146</v>
      </c>
      <c r="G271">
        <v>3514</v>
      </c>
      <c r="H271">
        <v>3514</v>
      </c>
      <c r="I271">
        <v>3514</v>
      </c>
      <c r="J271">
        <v>3514</v>
      </c>
      <c r="L271" s="3">
        <v>0</v>
      </c>
      <c r="M271" s="3">
        <v>0</v>
      </c>
      <c r="N271" s="3">
        <v>0</v>
      </c>
      <c r="O271" s="3">
        <v>148.03</v>
      </c>
      <c r="P271" s="3">
        <v>0</v>
      </c>
      <c r="Q271" s="3">
        <v>0</v>
      </c>
      <c r="R271" s="3">
        <v>0</v>
      </c>
      <c r="S271" s="3">
        <v>0</v>
      </c>
      <c r="T271" s="3">
        <v>0</v>
      </c>
      <c r="U271" s="3">
        <v>148.03</v>
      </c>
      <c r="V271" t="s">
        <v>55</v>
      </c>
    </row>
    <row r="272" spans="1:22" hidden="1" x14ac:dyDescent="0.25">
      <c r="A272" t="s">
        <v>8609</v>
      </c>
      <c r="B272" t="s">
        <v>8774</v>
      </c>
      <c r="C272" t="s">
        <v>1</v>
      </c>
      <c r="D272" t="s">
        <v>8526</v>
      </c>
      <c r="E272" t="s">
        <v>8147</v>
      </c>
      <c r="F272" t="s">
        <v>8146</v>
      </c>
      <c r="G272">
        <v>3515</v>
      </c>
      <c r="H272">
        <v>3515</v>
      </c>
      <c r="I272">
        <v>3515</v>
      </c>
      <c r="J272">
        <v>3515</v>
      </c>
      <c r="L272" s="3">
        <v>0</v>
      </c>
      <c r="M272" s="3">
        <v>0</v>
      </c>
      <c r="N272" s="3">
        <v>0</v>
      </c>
      <c r="O272" s="3">
        <v>52.31</v>
      </c>
      <c r="P272" s="3">
        <v>0</v>
      </c>
      <c r="Q272" s="3">
        <v>0</v>
      </c>
      <c r="R272" s="3">
        <v>0</v>
      </c>
      <c r="S272" s="3">
        <v>0</v>
      </c>
      <c r="T272" s="3">
        <v>0</v>
      </c>
      <c r="U272" s="3">
        <v>52.31</v>
      </c>
      <c r="V272" t="s">
        <v>55</v>
      </c>
    </row>
    <row r="273" spans="1:22" hidden="1" x14ac:dyDescent="0.25">
      <c r="A273" t="s">
        <v>8609</v>
      </c>
      <c r="B273" t="s">
        <v>8774</v>
      </c>
      <c r="C273" t="s">
        <v>1</v>
      </c>
      <c r="D273" t="s">
        <v>8526</v>
      </c>
      <c r="E273" t="s">
        <v>8147</v>
      </c>
      <c r="F273" t="s">
        <v>8146</v>
      </c>
      <c r="G273">
        <v>3516</v>
      </c>
      <c r="H273">
        <v>3516</v>
      </c>
      <c r="I273">
        <v>3516</v>
      </c>
      <c r="J273">
        <v>3516</v>
      </c>
      <c r="L273" s="3">
        <v>0</v>
      </c>
      <c r="M273" s="3">
        <v>0</v>
      </c>
      <c r="N273" s="3">
        <v>0</v>
      </c>
      <c r="O273" s="3">
        <v>88.05</v>
      </c>
      <c r="P273" s="3">
        <v>0</v>
      </c>
      <c r="Q273" s="3">
        <v>0</v>
      </c>
      <c r="R273" s="3">
        <v>0</v>
      </c>
      <c r="S273" s="3">
        <v>0</v>
      </c>
      <c r="T273" s="3">
        <v>0</v>
      </c>
      <c r="U273" s="3">
        <v>88.05</v>
      </c>
      <c r="V273" t="s">
        <v>55</v>
      </c>
    </row>
    <row r="274" spans="1:22" hidden="1" x14ac:dyDescent="0.25">
      <c r="A274" t="s">
        <v>8609</v>
      </c>
      <c r="B274" t="s">
        <v>8774</v>
      </c>
      <c r="C274" t="s">
        <v>1</v>
      </c>
      <c r="D274" t="s">
        <v>8526</v>
      </c>
      <c r="E274" t="s">
        <v>8147</v>
      </c>
      <c r="F274" t="s">
        <v>8146</v>
      </c>
      <c r="G274">
        <v>3517</v>
      </c>
      <c r="H274">
        <v>3517</v>
      </c>
      <c r="I274">
        <v>3517</v>
      </c>
      <c r="J274">
        <v>3517</v>
      </c>
      <c r="L274" s="3">
        <v>0</v>
      </c>
      <c r="M274" s="3">
        <v>0</v>
      </c>
      <c r="N274" s="3">
        <v>0</v>
      </c>
      <c r="O274" s="3">
        <v>106.05</v>
      </c>
      <c r="P274" s="3">
        <v>0</v>
      </c>
      <c r="Q274" s="3">
        <v>0</v>
      </c>
      <c r="R274" s="3">
        <v>0</v>
      </c>
      <c r="S274" s="3">
        <v>0</v>
      </c>
      <c r="T274" s="3">
        <v>0</v>
      </c>
      <c r="U274" s="3">
        <v>106.05</v>
      </c>
      <c r="V274" t="s">
        <v>55</v>
      </c>
    </row>
    <row r="275" spans="1:22" hidden="1" x14ac:dyDescent="0.25">
      <c r="A275" t="s">
        <v>8609</v>
      </c>
      <c r="B275" t="s">
        <v>8774</v>
      </c>
      <c r="C275" t="s">
        <v>1</v>
      </c>
      <c r="D275" t="s">
        <v>8526</v>
      </c>
      <c r="E275" t="s">
        <v>8147</v>
      </c>
      <c r="F275" t="s">
        <v>8146</v>
      </c>
      <c r="G275">
        <v>3518</v>
      </c>
      <c r="H275">
        <v>3518</v>
      </c>
      <c r="I275">
        <v>3518</v>
      </c>
      <c r="J275">
        <v>3518</v>
      </c>
      <c r="L275" s="3">
        <v>0</v>
      </c>
      <c r="M275" s="3">
        <v>0</v>
      </c>
      <c r="N275" s="3">
        <v>0</v>
      </c>
      <c r="O275" s="3">
        <v>250.5</v>
      </c>
      <c r="P275" s="3">
        <v>0</v>
      </c>
      <c r="Q275" s="3">
        <v>0</v>
      </c>
      <c r="R275" s="3">
        <v>0</v>
      </c>
      <c r="S275" s="3">
        <v>0</v>
      </c>
      <c r="T275" s="3">
        <v>0</v>
      </c>
      <c r="U275" s="3">
        <v>250.5</v>
      </c>
      <c r="V275" t="s">
        <v>55</v>
      </c>
    </row>
    <row r="276" spans="1:22" hidden="1" x14ac:dyDescent="0.25">
      <c r="A276" t="s">
        <v>8609</v>
      </c>
      <c r="B276" t="s">
        <v>8774</v>
      </c>
      <c r="C276" t="s">
        <v>1</v>
      </c>
      <c r="D276" t="s">
        <v>8526</v>
      </c>
      <c r="E276" t="s">
        <v>8147</v>
      </c>
      <c r="F276" t="s">
        <v>8146</v>
      </c>
      <c r="G276">
        <v>3519</v>
      </c>
      <c r="H276">
        <v>3519</v>
      </c>
      <c r="I276">
        <v>3519</v>
      </c>
      <c r="J276">
        <v>3519</v>
      </c>
      <c r="L276" s="3">
        <v>0</v>
      </c>
      <c r="M276" s="3">
        <v>0</v>
      </c>
      <c r="N276" s="3">
        <v>0</v>
      </c>
      <c r="O276" s="3">
        <v>1162.07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1162.07</v>
      </c>
      <c r="V276" t="s">
        <v>55</v>
      </c>
    </row>
    <row r="277" spans="1:22" hidden="1" x14ac:dyDescent="0.25">
      <c r="A277" t="s">
        <v>8609</v>
      </c>
      <c r="B277" t="s">
        <v>8764</v>
      </c>
      <c r="C277" t="s">
        <v>1</v>
      </c>
      <c r="D277" t="s">
        <v>8526</v>
      </c>
      <c r="E277" t="s">
        <v>8147</v>
      </c>
      <c r="F277" t="s">
        <v>8146</v>
      </c>
      <c r="G277">
        <v>3520</v>
      </c>
      <c r="H277">
        <v>3520</v>
      </c>
      <c r="I277">
        <v>3520</v>
      </c>
      <c r="J277">
        <v>3520</v>
      </c>
      <c r="L277" s="3">
        <v>0</v>
      </c>
      <c r="M277" s="3">
        <v>0</v>
      </c>
      <c r="N277" s="3">
        <v>0</v>
      </c>
      <c r="O277" s="3">
        <v>46.1</v>
      </c>
      <c r="P277" s="3">
        <v>0</v>
      </c>
      <c r="Q277" s="3">
        <v>0</v>
      </c>
      <c r="R277" s="3">
        <v>0</v>
      </c>
      <c r="S277" s="3">
        <v>0</v>
      </c>
      <c r="T277" s="3">
        <v>0</v>
      </c>
      <c r="U277" s="3">
        <v>46.1</v>
      </c>
      <c r="V277" t="s">
        <v>55</v>
      </c>
    </row>
    <row r="278" spans="1:22" hidden="1" x14ac:dyDescent="0.25">
      <c r="A278" t="s">
        <v>8609</v>
      </c>
      <c r="B278" t="s">
        <v>8764</v>
      </c>
      <c r="C278" t="s">
        <v>1</v>
      </c>
      <c r="D278" t="s">
        <v>8526</v>
      </c>
      <c r="E278" t="s">
        <v>8147</v>
      </c>
      <c r="F278" t="s">
        <v>8146</v>
      </c>
      <c r="G278">
        <v>3521</v>
      </c>
      <c r="H278">
        <v>3521</v>
      </c>
      <c r="I278">
        <v>3521</v>
      </c>
      <c r="J278">
        <v>3521</v>
      </c>
      <c r="L278" s="3">
        <v>0</v>
      </c>
      <c r="M278" s="3">
        <v>0</v>
      </c>
      <c r="N278" s="3">
        <v>0</v>
      </c>
      <c r="O278" s="3">
        <v>74.989999999999995</v>
      </c>
      <c r="P278" s="3">
        <v>0</v>
      </c>
      <c r="Q278" s="3">
        <v>0</v>
      </c>
      <c r="R278" s="3">
        <v>0</v>
      </c>
      <c r="S278" s="3">
        <v>0</v>
      </c>
      <c r="T278" s="3">
        <v>0</v>
      </c>
      <c r="U278" s="3">
        <v>74.989999999999995</v>
      </c>
      <c r="V278" t="s">
        <v>55</v>
      </c>
    </row>
    <row r="279" spans="1:22" hidden="1" x14ac:dyDescent="0.25">
      <c r="A279" t="s">
        <v>8609</v>
      </c>
      <c r="B279" t="s">
        <v>8764</v>
      </c>
      <c r="C279" t="s">
        <v>1</v>
      </c>
      <c r="D279" t="s">
        <v>8526</v>
      </c>
      <c r="E279" t="s">
        <v>8147</v>
      </c>
      <c r="F279" t="s">
        <v>8146</v>
      </c>
      <c r="G279">
        <v>3522</v>
      </c>
      <c r="H279">
        <v>3522</v>
      </c>
      <c r="I279">
        <v>3522</v>
      </c>
      <c r="J279">
        <v>3522</v>
      </c>
      <c r="L279" s="3">
        <v>0</v>
      </c>
      <c r="M279" s="3">
        <v>0</v>
      </c>
      <c r="N279" s="3">
        <v>0</v>
      </c>
      <c r="O279" s="3">
        <v>46.1</v>
      </c>
      <c r="P279" s="3">
        <v>0</v>
      </c>
      <c r="Q279" s="3">
        <v>0</v>
      </c>
      <c r="R279" s="3">
        <v>0</v>
      </c>
      <c r="S279" s="3">
        <v>0</v>
      </c>
      <c r="T279" s="3">
        <v>0</v>
      </c>
      <c r="U279" s="3">
        <v>46.1</v>
      </c>
      <c r="V279" t="s">
        <v>55</v>
      </c>
    </row>
    <row r="280" spans="1:22" hidden="1" x14ac:dyDescent="0.25">
      <c r="A280" t="s">
        <v>8609</v>
      </c>
      <c r="B280" t="s">
        <v>8764</v>
      </c>
      <c r="C280" t="s">
        <v>1</v>
      </c>
      <c r="D280" t="s">
        <v>8526</v>
      </c>
      <c r="E280" t="s">
        <v>8147</v>
      </c>
      <c r="F280" t="s">
        <v>8146</v>
      </c>
      <c r="G280">
        <v>3523</v>
      </c>
      <c r="H280">
        <v>3523</v>
      </c>
      <c r="I280">
        <v>3523</v>
      </c>
      <c r="J280">
        <v>3523</v>
      </c>
      <c r="L280" s="3">
        <v>0</v>
      </c>
      <c r="M280" s="3">
        <v>0</v>
      </c>
      <c r="N280" s="3">
        <v>0</v>
      </c>
      <c r="O280" s="3">
        <v>125.57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125.57</v>
      </c>
      <c r="V280" t="s">
        <v>55</v>
      </c>
    </row>
    <row r="281" spans="1:22" hidden="1" x14ac:dyDescent="0.25">
      <c r="A281" t="s">
        <v>8609</v>
      </c>
      <c r="B281" t="s">
        <v>8765</v>
      </c>
      <c r="C281" t="s">
        <v>1</v>
      </c>
      <c r="D281" t="s">
        <v>8526</v>
      </c>
      <c r="E281" t="s">
        <v>8147</v>
      </c>
      <c r="F281" t="s">
        <v>8146</v>
      </c>
      <c r="G281">
        <v>3524</v>
      </c>
      <c r="H281">
        <v>3524</v>
      </c>
      <c r="I281">
        <v>3524</v>
      </c>
      <c r="J281">
        <v>3524</v>
      </c>
      <c r="L281" s="3">
        <v>0</v>
      </c>
      <c r="M281" s="3">
        <v>0</v>
      </c>
      <c r="N281" s="3">
        <v>0</v>
      </c>
      <c r="O281" s="3">
        <v>119.98</v>
      </c>
      <c r="P281" s="3">
        <v>0</v>
      </c>
      <c r="Q281" s="3">
        <v>0</v>
      </c>
      <c r="R281" s="3">
        <v>0</v>
      </c>
      <c r="S281" s="3">
        <v>0</v>
      </c>
      <c r="T281" s="3">
        <v>0</v>
      </c>
      <c r="U281" s="3">
        <v>119.98</v>
      </c>
      <c r="V281" t="s">
        <v>55</v>
      </c>
    </row>
    <row r="282" spans="1:22" hidden="1" x14ac:dyDescent="0.25">
      <c r="A282" t="s">
        <v>8609</v>
      </c>
      <c r="B282" t="s">
        <v>8765</v>
      </c>
      <c r="C282" t="s">
        <v>1</v>
      </c>
      <c r="D282" t="s">
        <v>8526</v>
      </c>
      <c r="E282" t="s">
        <v>8147</v>
      </c>
      <c r="F282" t="s">
        <v>8146</v>
      </c>
      <c r="G282">
        <v>3525</v>
      </c>
      <c r="H282">
        <v>3525</v>
      </c>
      <c r="I282">
        <v>3525</v>
      </c>
      <c r="J282">
        <v>3525</v>
      </c>
      <c r="L282" s="3">
        <v>0</v>
      </c>
      <c r="M282" s="3">
        <v>0</v>
      </c>
      <c r="N282" s="3">
        <v>0</v>
      </c>
      <c r="O282" s="3">
        <v>115.28</v>
      </c>
      <c r="P282" s="3">
        <v>0</v>
      </c>
      <c r="Q282" s="3">
        <v>0</v>
      </c>
      <c r="R282" s="3">
        <v>0</v>
      </c>
      <c r="S282" s="3">
        <v>0</v>
      </c>
      <c r="T282" s="3">
        <v>0</v>
      </c>
      <c r="U282" s="3">
        <v>115.28</v>
      </c>
      <c r="V282" t="s">
        <v>55</v>
      </c>
    </row>
    <row r="283" spans="1:22" hidden="1" x14ac:dyDescent="0.25">
      <c r="A283" t="s">
        <v>8609</v>
      </c>
      <c r="B283" t="s">
        <v>8765</v>
      </c>
      <c r="C283" t="s">
        <v>1</v>
      </c>
      <c r="D283" t="s">
        <v>8526</v>
      </c>
      <c r="E283" t="s">
        <v>8147</v>
      </c>
      <c r="F283" t="s">
        <v>8146</v>
      </c>
      <c r="G283">
        <v>3526</v>
      </c>
      <c r="H283">
        <v>3526</v>
      </c>
      <c r="I283">
        <v>3526</v>
      </c>
      <c r="J283">
        <v>3526</v>
      </c>
      <c r="L283" s="3">
        <v>0</v>
      </c>
      <c r="M283" s="3">
        <v>0</v>
      </c>
      <c r="N283" s="3">
        <v>0</v>
      </c>
      <c r="O283" s="3">
        <v>34.17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34.17</v>
      </c>
      <c r="V283" t="s">
        <v>55</v>
      </c>
    </row>
    <row r="284" spans="1:22" hidden="1" x14ac:dyDescent="0.25">
      <c r="A284" t="s">
        <v>8609</v>
      </c>
      <c r="B284" t="s">
        <v>8765</v>
      </c>
      <c r="C284" t="s">
        <v>1</v>
      </c>
      <c r="D284" t="s">
        <v>8526</v>
      </c>
      <c r="E284" t="s">
        <v>8147</v>
      </c>
      <c r="F284" t="s">
        <v>8146</v>
      </c>
      <c r="G284">
        <v>3527</v>
      </c>
      <c r="H284">
        <v>3527</v>
      </c>
      <c r="I284">
        <v>3527</v>
      </c>
      <c r="J284">
        <v>3527</v>
      </c>
      <c r="L284" s="3">
        <v>0</v>
      </c>
      <c r="M284" s="3">
        <v>0</v>
      </c>
      <c r="N284" s="3">
        <v>0</v>
      </c>
      <c r="O284" s="3">
        <v>240.01</v>
      </c>
      <c r="P284" s="3">
        <v>0</v>
      </c>
      <c r="Q284" s="3">
        <v>0</v>
      </c>
      <c r="R284" s="3">
        <v>0</v>
      </c>
      <c r="S284" s="3">
        <v>0</v>
      </c>
      <c r="T284" s="3">
        <v>0</v>
      </c>
      <c r="U284" s="3">
        <v>240.01</v>
      </c>
      <c r="V284" t="s">
        <v>55</v>
      </c>
    </row>
    <row r="285" spans="1:22" hidden="1" x14ac:dyDescent="0.25">
      <c r="A285" t="s">
        <v>8609</v>
      </c>
      <c r="B285" t="s">
        <v>8765</v>
      </c>
      <c r="C285" t="s">
        <v>1</v>
      </c>
      <c r="D285" t="s">
        <v>8526</v>
      </c>
      <c r="E285" t="s">
        <v>8147</v>
      </c>
      <c r="F285" t="s">
        <v>8146</v>
      </c>
      <c r="G285">
        <v>3528</v>
      </c>
      <c r="H285">
        <v>3528</v>
      </c>
      <c r="I285">
        <v>3528</v>
      </c>
      <c r="J285">
        <v>3528</v>
      </c>
      <c r="L285" s="3">
        <v>0</v>
      </c>
      <c r="M285" s="3">
        <v>0</v>
      </c>
      <c r="N285" s="3">
        <v>0</v>
      </c>
      <c r="O285" s="3">
        <v>98.26</v>
      </c>
      <c r="P285" s="3">
        <v>0</v>
      </c>
      <c r="Q285" s="3">
        <v>0</v>
      </c>
      <c r="R285" s="3">
        <v>0</v>
      </c>
      <c r="S285" s="3">
        <v>0</v>
      </c>
      <c r="T285" s="3">
        <v>0</v>
      </c>
      <c r="U285" s="3">
        <v>98.26</v>
      </c>
      <c r="V285" t="s">
        <v>55</v>
      </c>
    </row>
    <row r="286" spans="1:22" hidden="1" x14ac:dyDescent="0.25">
      <c r="A286" t="s">
        <v>8609</v>
      </c>
      <c r="B286" t="s">
        <v>8766</v>
      </c>
      <c r="C286" t="s">
        <v>1</v>
      </c>
      <c r="D286" t="s">
        <v>8526</v>
      </c>
      <c r="E286" t="s">
        <v>8147</v>
      </c>
      <c r="F286" t="s">
        <v>8146</v>
      </c>
      <c r="G286">
        <v>3529</v>
      </c>
      <c r="H286">
        <v>3529</v>
      </c>
      <c r="I286">
        <v>3529</v>
      </c>
      <c r="J286">
        <v>3529</v>
      </c>
      <c r="L286" s="3">
        <v>0</v>
      </c>
      <c r="M286" s="3">
        <v>0</v>
      </c>
      <c r="N286" s="3">
        <v>0</v>
      </c>
      <c r="O286" s="3">
        <v>225</v>
      </c>
      <c r="P286" s="3">
        <v>0</v>
      </c>
      <c r="Q286" s="3">
        <v>0</v>
      </c>
      <c r="R286" s="3">
        <v>0</v>
      </c>
      <c r="S286" s="3">
        <v>0</v>
      </c>
      <c r="T286" s="3">
        <v>0</v>
      </c>
      <c r="U286" s="3">
        <v>225</v>
      </c>
      <c r="V286" t="s">
        <v>55</v>
      </c>
    </row>
    <row r="287" spans="1:22" hidden="1" x14ac:dyDescent="0.25">
      <c r="A287" t="s">
        <v>8609</v>
      </c>
      <c r="B287" t="s">
        <v>8766</v>
      </c>
      <c r="C287" t="s">
        <v>1</v>
      </c>
      <c r="D287" t="s">
        <v>8526</v>
      </c>
      <c r="E287" t="s">
        <v>8147</v>
      </c>
      <c r="F287" t="s">
        <v>8146</v>
      </c>
      <c r="G287">
        <v>3530</v>
      </c>
      <c r="H287">
        <v>3530</v>
      </c>
      <c r="I287">
        <v>3530</v>
      </c>
      <c r="J287">
        <v>3530</v>
      </c>
      <c r="L287" s="3">
        <v>0</v>
      </c>
      <c r="M287" s="3">
        <v>0</v>
      </c>
      <c r="N287" s="3">
        <v>0</v>
      </c>
      <c r="O287" s="3">
        <v>71.98</v>
      </c>
      <c r="P287" s="3">
        <v>0</v>
      </c>
      <c r="Q287" s="3">
        <v>0</v>
      </c>
      <c r="R287" s="3">
        <v>0</v>
      </c>
      <c r="S287" s="3">
        <v>0</v>
      </c>
      <c r="T287" s="3">
        <v>0</v>
      </c>
      <c r="U287" s="3">
        <v>71.98</v>
      </c>
      <c r="V287" t="s">
        <v>55</v>
      </c>
    </row>
    <row r="288" spans="1:22" hidden="1" x14ac:dyDescent="0.25">
      <c r="A288" t="s">
        <v>8609</v>
      </c>
      <c r="B288" t="s">
        <v>8766</v>
      </c>
      <c r="C288" t="s">
        <v>1</v>
      </c>
      <c r="D288" t="s">
        <v>8526</v>
      </c>
      <c r="E288" t="s">
        <v>8147</v>
      </c>
      <c r="F288" t="s">
        <v>8146</v>
      </c>
      <c r="G288">
        <v>3531</v>
      </c>
      <c r="H288">
        <v>3531</v>
      </c>
      <c r="I288">
        <v>3531</v>
      </c>
      <c r="J288">
        <v>3531</v>
      </c>
      <c r="L288" s="3">
        <v>0</v>
      </c>
      <c r="M288" s="3">
        <v>0</v>
      </c>
      <c r="N288" s="3">
        <v>0</v>
      </c>
      <c r="O288" s="3">
        <v>179.45</v>
      </c>
      <c r="P288" s="3">
        <v>0</v>
      </c>
      <c r="Q288" s="3">
        <v>0</v>
      </c>
      <c r="R288" s="3">
        <v>0</v>
      </c>
      <c r="S288" s="3">
        <v>0</v>
      </c>
      <c r="T288" s="3">
        <v>0</v>
      </c>
      <c r="U288" s="3">
        <v>179.45</v>
      </c>
      <c r="V288" t="s">
        <v>55</v>
      </c>
    </row>
    <row r="289" spans="1:22" hidden="1" x14ac:dyDescent="0.25">
      <c r="A289" t="s">
        <v>8609</v>
      </c>
      <c r="B289" t="s">
        <v>8784</v>
      </c>
      <c r="C289" t="s">
        <v>1</v>
      </c>
      <c r="D289" t="s">
        <v>8526</v>
      </c>
      <c r="E289" t="s">
        <v>8147</v>
      </c>
      <c r="F289" t="s">
        <v>8146</v>
      </c>
      <c r="G289">
        <v>3532</v>
      </c>
      <c r="H289">
        <v>3532</v>
      </c>
      <c r="I289">
        <v>3532</v>
      </c>
      <c r="J289">
        <v>3532</v>
      </c>
      <c r="L289" s="3">
        <v>0</v>
      </c>
      <c r="M289" s="3">
        <v>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3">
        <v>0</v>
      </c>
      <c r="T289" s="3">
        <v>0</v>
      </c>
      <c r="U289" s="3">
        <v>0</v>
      </c>
      <c r="V289" t="s">
        <v>55</v>
      </c>
    </row>
    <row r="290" spans="1:22" hidden="1" x14ac:dyDescent="0.25">
      <c r="A290" t="s">
        <v>8609</v>
      </c>
      <c r="B290" t="s">
        <v>8784</v>
      </c>
      <c r="C290" t="s">
        <v>1</v>
      </c>
      <c r="D290" t="s">
        <v>8526</v>
      </c>
      <c r="E290" t="s">
        <v>8147</v>
      </c>
      <c r="F290" t="s">
        <v>8146</v>
      </c>
      <c r="G290">
        <v>3533</v>
      </c>
      <c r="H290">
        <v>3533</v>
      </c>
      <c r="I290">
        <v>3533</v>
      </c>
      <c r="J290">
        <v>3533</v>
      </c>
      <c r="L290" s="3">
        <v>0</v>
      </c>
      <c r="M290" s="3">
        <v>0</v>
      </c>
      <c r="N290" s="3">
        <v>0</v>
      </c>
      <c r="O290" s="3">
        <v>115.29</v>
      </c>
      <c r="P290" s="3">
        <v>0</v>
      </c>
      <c r="Q290" s="3">
        <v>0</v>
      </c>
      <c r="R290" s="3">
        <v>0</v>
      </c>
      <c r="S290" s="3">
        <v>0</v>
      </c>
      <c r="T290" s="3">
        <v>0</v>
      </c>
      <c r="U290" s="3">
        <v>115.29</v>
      </c>
      <c r="V290" t="s">
        <v>55</v>
      </c>
    </row>
    <row r="291" spans="1:22" hidden="1" x14ac:dyDescent="0.25">
      <c r="A291" t="s">
        <v>8609</v>
      </c>
      <c r="B291" t="s">
        <v>8784</v>
      </c>
      <c r="C291" t="s">
        <v>1</v>
      </c>
      <c r="D291" t="s">
        <v>8526</v>
      </c>
      <c r="E291" t="s">
        <v>8147</v>
      </c>
      <c r="F291" t="s">
        <v>8146</v>
      </c>
      <c r="G291">
        <v>3534</v>
      </c>
      <c r="H291">
        <v>3534</v>
      </c>
      <c r="I291">
        <v>3534</v>
      </c>
      <c r="J291">
        <v>3534</v>
      </c>
      <c r="L291" s="3">
        <v>0</v>
      </c>
      <c r="M291" s="3">
        <v>0</v>
      </c>
      <c r="N291" s="3">
        <v>0</v>
      </c>
      <c r="O291" s="3">
        <v>46.11</v>
      </c>
      <c r="P291" s="3">
        <v>0</v>
      </c>
      <c r="Q291" s="3">
        <v>0</v>
      </c>
      <c r="R291" s="3">
        <v>0</v>
      </c>
      <c r="S291" s="3">
        <v>0</v>
      </c>
      <c r="T291" s="3">
        <v>0</v>
      </c>
      <c r="U291" s="3">
        <v>46.11</v>
      </c>
      <c r="V291" t="s">
        <v>55</v>
      </c>
    </row>
    <row r="292" spans="1:22" hidden="1" x14ac:dyDescent="0.25">
      <c r="A292" t="s">
        <v>8609</v>
      </c>
      <c r="B292" t="s">
        <v>8784</v>
      </c>
      <c r="C292" t="s">
        <v>1</v>
      </c>
      <c r="D292" t="s">
        <v>8526</v>
      </c>
      <c r="E292" t="s">
        <v>8147</v>
      </c>
      <c r="F292" t="s">
        <v>8146</v>
      </c>
      <c r="G292">
        <v>3535</v>
      </c>
      <c r="H292">
        <v>3535</v>
      </c>
      <c r="I292">
        <v>3535</v>
      </c>
      <c r="J292">
        <v>3535</v>
      </c>
      <c r="L292" s="3">
        <v>0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t="s">
        <v>55</v>
      </c>
    </row>
    <row r="293" spans="1:22" hidden="1" x14ac:dyDescent="0.25">
      <c r="A293" t="s">
        <v>8609</v>
      </c>
      <c r="B293" t="s">
        <v>8784</v>
      </c>
      <c r="C293" t="s">
        <v>1</v>
      </c>
      <c r="D293" t="s">
        <v>8526</v>
      </c>
      <c r="E293" t="s">
        <v>8147</v>
      </c>
      <c r="F293" t="s">
        <v>8146</v>
      </c>
      <c r="G293">
        <v>3536</v>
      </c>
      <c r="H293">
        <v>3536</v>
      </c>
      <c r="I293">
        <v>3536</v>
      </c>
      <c r="J293">
        <v>3536</v>
      </c>
      <c r="L293" s="3">
        <v>0</v>
      </c>
      <c r="M293" s="3">
        <v>0</v>
      </c>
      <c r="N293" s="3">
        <v>0</v>
      </c>
      <c r="O293" s="3">
        <v>38.6</v>
      </c>
      <c r="P293" s="3">
        <v>0</v>
      </c>
      <c r="Q293" s="3">
        <v>0</v>
      </c>
      <c r="R293" s="3">
        <v>0</v>
      </c>
      <c r="S293" s="3">
        <v>0</v>
      </c>
      <c r="T293" s="3">
        <v>0</v>
      </c>
      <c r="U293" s="3">
        <v>38.6</v>
      </c>
      <c r="V293" t="s">
        <v>55</v>
      </c>
    </row>
    <row r="294" spans="1:22" hidden="1" x14ac:dyDescent="0.25">
      <c r="A294" t="s">
        <v>8609</v>
      </c>
      <c r="B294" t="s">
        <v>8784</v>
      </c>
      <c r="C294" t="s">
        <v>1</v>
      </c>
      <c r="D294" t="s">
        <v>8526</v>
      </c>
      <c r="E294" t="s">
        <v>8147</v>
      </c>
      <c r="F294" t="s">
        <v>8146</v>
      </c>
      <c r="G294">
        <v>3537</v>
      </c>
      <c r="H294">
        <v>3537</v>
      </c>
      <c r="I294">
        <v>3537</v>
      </c>
      <c r="J294">
        <v>3537</v>
      </c>
      <c r="L294" s="3">
        <v>0</v>
      </c>
      <c r="M294" s="3">
        <v>0</v>
      </c>
      <c r="N294" s="3">
        <v>0</v>
      </c>
      <c r="O294" s="3">
        <v>47.54</v>
      </c>
      <c r="P294" s="3">
        <v>0</v>
      </c>
      <c r="Q294" s="3">
        <v>0</v>
      </c>
      <c r="R294" s="3">
        <v>0</v>
      </c>
      <c r="S294" s="3">
        <v>0</v>
      </c>
      <c r="T294" s="3">
        <v>0</v>
      </c>
      <c r="U294" s="3">
        <v>47.54</v>
      </c>
      <c r="V294" t="s">
        <v>55</v>
      </c>
    </row>
    <row r="295" spans="1:22" hidden="1" x14ac:dyDescent="0.25">
      <c r="A295" t="s">
        <v>8609</v>
      </c>
      <c r="B295" t="s">
        <v>8767</v>
      </c>
      <c r="C295" t="s">
        <v>1</v>
      </c>
      <c r="D295" t="s">
        <v>8526</v>
      </c>
      <c r="E295" t="s">
        <v>8147</v>
      </c>
      <c r="F295" t="s">
        <v>8146</v>
      </c>
      <c r="G295">
        <v>3538</v>
      </c>
      <c r="H295">
        <v>3538</v>
      </c>
      <c r="I295">
        <v>3538</v>
      </c>
      <c r="J295">
        <v>3538</v>
      </c>
      <c r="L295" s="3">
        <v>0</v>
      </c>
      <c r="M295" s="3">
        <v>0</v>
      </c>
      <c r="N295" s="3">
        <v>0</v>
      </c>
      <c r="O295" s="3">
        <v>23.7</v>
      </c>
      <c r="P295" s="3">
        <v>0</v>
      </c>
      <c r="Q295" s="3">
        <v>0</v>
      </c>
      <c r="R295" s="3">
        <v>0</v>
      </c>
      <c r="S295" s="3">
        <v>0</v>
      </c>
      <c r="T295" s="3">
        <v>0</v>
      </c>
      <c r="U295" s="3">
        <v>23.7</v>
      </c>
      <c r="V295" t="s">
        <v>55</v>
      </c>
    </row>
    <row r="296" spans="1:22" hidden="1" x14ac:dyDescent="0.25">
      <c r="A296" t="s">
        <v>8609</v>
      </c>
      <c r="B296" t="s">
        <v>8767</v>
      </c>
      <c r="C296" t="s">
        <v>1</v>
      </c>
      <c r="D296" t="s">
        <v>8526</v>
      </c>
      <c r="E296" t="s">
        <v>8147</v>
      </c>
      <c r="F296" t="s">
        <v>8146</v>
      </c>
      <c r="G296">
        <v>3539</v>
      </c>
      <c r="H296">
        <v>3539</v>
      </c>
      <c r="I296">
        <v>3539</v>
      </c>
      <c r="J296">
        <v>3539</v>
      </c>
      <c r="L296" s="3">
        <v>0</v>
      </c>
      <c r="M296" s="3">
        <v>0</v>
      </c>
      <c r="N296" s="3">
        <v>0</v>
      </c>
      <c r="O296" s="3">
        <v>13.09</v>
      </c>
      <c r="P296" s="3">
        <v>0</v>
      </c>
      <c r="Q296" s="3">
        <v>0</v>
      </c>
      <c r="R296" s="3">
        <v>0</v>
      </c>
      <c r="S296" s="3">
        <v>0</v>
      </c>
      <c r="T296" s="3">
        <v>0</v>
      </c>
      <c r="U296" s="3">
        <v>13.09</v>
      </c>
      <c r="V296" t="s">
        <v>55</v>
      </c>
    </row>
    <row r="297" spans="1:22" hidden="1" x14ac:dyDescent="0.25">
      <c r="A297" t="s">
        <v>8609</v>
      </c>
      <c r="B297" t="s">
        <v>8767</v>
      </c>
      <c r="C297" t="s">
        <v>1</v>
      </c>
      <c r="D297" t="s">
        <v>8526</v>
      </c>
      <c r="E297" t="s">
        <v>8147</v>
      </c>
      <c r="F297" t="s">
        <v>8146</v>
      </c>
      <c r="G297">
        <v>3540</v>
      </c>
      <c r="H297">
        <v>3540</v>
      </c>
      <c r="I297">
        <v>3540</v>
      </c>
      <c r="J297">
        <v>3540</v>
      </c>
      <c r="L297" s="3">
        <v>0</v>
      </c>
      <c r="M297" s="3">
        <v>0</v>
      </c>
      <c r="N297" s="3">
        <v>0</v>
      </c>
      <c r="O297" s="3">
        <v>46.12</v>
      </c>
      <c r="P297" s="3">
        <v>0</v>
      </c>
      <c r="Q297" s="3">
        <v>0</v>
      </c>
      <c r="R297" s="3">
        <v>0</v>
      </c>
      <c r="S297" s="3">
        <v>0</v>
      </c>
      <c r="T297" s="3">
        <v>0</v>
      </c>
      <c r="U297" s="3">
        <v>46.12</v>
      </c>
      <c r="V297" t="s">
        <v>55</v>
      </c>
    </row>
    <row r="298" spans="1:22" hidden="1" x14ac:dyDescent="0.25">
      <c r="A298" t="s">
        <v>8609</v>
      </c>
      <c r="B298" t="s">
        <v>8767</v>
      </c>
      <c r="C298" t="s">
        <v>1</v>
      </c>
      <c r="D298" t="s">
        <v>8526</v>
      </c>
      <c r="E298" t="s">
        <v>8147</v>
      </c>
      <c r="F298" t="s">
        <v>8146</v>
      </c>
      <c r="G298">
        <v>3541</v>
      </c>
      <c r="H298">
        <v>3541</v>
      </c>
      <c r="I298">
        <v>3541</v>
      </c>
      <c r="J298">
        <v>3541</v>
      </c>
      <c r="L298" s="3">
        <v>0</v>
      </c>
      <c r="M298" s="3">
        <v>0</v>
      </c>
      <c r="N298" s="3">
        <v>0</v>
      </c>
      <c r="O298" s="3">
        <v>2.0499999999999998</v>
      </c>
      <c r="P298" s="3">
        <v>0</v>
      </c>
      <c r="Q298" s="3">
        <v>0</v>
      </c>
      <c r="R298" s="3">
        <v>0</v>
      </c>
      <c r="S298" s="3">
        <v>0</v>
      </c>
      <c r="T298" s="3">
        <v>0</v>
      </c>
      <c r="U298" s="3">
        <v>2.0499999999999998</v>
      </c>
      <c r="V298" t="s">
        <v>55</v>
      </c>
    </row>
    <row r="299" spans="1:22" hidden="1" x14ac:dyDescent="0.25">
      <c r="A299" t="s">
        <v>8609</v>
      </c>
      <c r="B299" t="s">
        <v>8767</v>
      </c>
      <c r="C299" t="s">
        <v>1</v>
      </c>
      <c r="D299" t="s">
        <v>8526</v>
      </c>
      <c r="E299" t="s">
        <v>8147</v>
      </c>
      <c r="F299" t="s">
        <v>8146</v>
      </c>
      <c r="G299">
        <v>3542</v>
      </c>
      <c r="H299">
        <v>3542</v>
      </c>
      <c r="I299">
        <v>3542</v>
      </c>
      <c r="J299">
        <v>3542</v>
      </c>
      <c r="L299" s="3">
        <v>0</v>
      </c>
      <c r="M299" s="3">
        <v>0</v>
      </c>
      <c r="N299" s="3">
        <v>0</v>
      </c>
      <c r="O299" s="3">
        <v>161.4</v>
      </c>
      <c r="P299" s="3">
        <v>0</v>
      </c>
      <c r="Q299" s="3">
        <v>0</v>
      </c>
      <c r="R299" s="3">
        <v>0</v>
      </c>
      <c r="S299" s="3">
        <v>0</v>
      </c>
      <c r="T299" s="3">
        <v>0</v>
      </c>
      <c r="U299" s="3">
        <v>161.4</v>
      </c>
      <c r="V299" t="s">
        <v>55</v>
      </c>
    </row>
    <row r="300" spans="1:22" hidden="1" x14ac:dyDescent="0.25">
      <c r="A300" t="s">
        <v>8609</v>
      </c>
      <c r="B300" t="s">
        <v>8767</v>
      </c>
      <c r="C300" t="s">
        <v>1</v>
      </c>
      <c r="D300" t="s">
        <v>8526</v>
      </c>
      <c r="E300" t="s">
        <v>8147</v>
      </c>
      <c r="F300" t="s">
        <v>8146</v>
      </c>
      <c r="G300">
        <v>3543</v>
      </c>
      <c r="H300">
        <v>3543</v>
      </c>
      <c r="I300">
        <v>3543</v>
      </c>
      <c r="J300">
        <v>3543</v>
      </c>
      <c r="L300" s="3">
        <v>0</v>
      </c>
      <c r="M300" s="3">
        <v>0</v>
      </c>
      <c r="N300" s="3">
        <v>0</v>
      </c>
      <c r="O300" s="3">
        <v>334</v>
      </c>
      <c r="P300" s="3">
        <v>0</v>
      </c>
      <c r="Q300" s="3">
        <v>0</v>
      </c>
      <c r="R300" s="3">
        <v>0</v>
      </c>
      <c r="S300" s="3">
        <v>0</v>
      </c>
      <c r="T300" s="3">
        <v>0</v>
      </c>
      <c r="U300" s="3">
        <v>334</v>
      </c>
      <c r="V300" t="s">
        <v>55</v>
      </c>
    </row>
    <row r="301" spans="1:22" hidden="1" x14ac:dyDescent="0.25">
      <c r="A301" t="s">
        <v>8609</v>
      </c>
      <c r="B301" t="s">
        <v>8767</v>
      </c>
      <c r="C301" t="s">
        <v>1</v>
      </c>
      <c r="D301" t="s">
        <v>8526</v>
      </c>
      <c r="E301" t="s">
        <v>8147</v>
      </c>
      <c r="F301" t="s">
        <v>8146</v>
      </c>
      <c r="G301">
        <v>3544</v>
      </c>
      <c r="H301">
        <v>3544</v>
      </c>
      <c r="I301">
        <v>3544</v>
      </c>
      <c r="J301">
        <v>3544</v>
      </c>
      <c r="L301" s="3">
        <v>0</v>
      </c>
      <c r="M301" s="3">
        <v>0</v>
      </c>
      <c r="N301" s="3">
        <v>0</v>
      </c>
      <c r="O301" s="3">
        <v>46.07</v>
      </c>
      <c r="P301" s="3">
        <v>0</v>
      </c>
      <c r="Q301" s="3">
        <v>0</v>
      </c>
      <c r="R301" s="3">
        <v>0</v>
      </c>
      <c r="S301" s="3">
        <v>0</v>
      </c>
      <c r="T301" s="3">
        <v>0</v>
      </c>
      <c r="U301" s="3">
        <v>46.07</v>
      </c>
      <c r="V301" t="s">
        <v>55</v>
      </c>
    </row>
    <row r="302" spans="1:22" hidden="1" x14ac:dyDescent="0.25">
      <c r="A302" t="s">
        <v>8609</v>
      </c>
      <c r="B302" t="s">
        <v>8773</v>
      </c>
      <c r="C302" t="s">
        <v>1</v>
      </c>
      <c r="D302" t="s">
        <v>8526</v>
      </c>
      <c r="E302" t="s">
        <v>8147</v>
      </c>
      <c r="F302" t="s">
        <v>8146</v>
      </c>
      <c r="G302">
        <v>3545</v>
      </c>
      <c r="H302">
        <v>3545</v>
      </c>
      <c r="I302">
        <v>3545</v>
      </c>
      <c r="J302">
        <v>3545</v>
      </c>
      <c r="L302" s="3">
        <v>0</v>
      </c>
      <c r="M302" s="3">
        <v>0</v>
      </c>
      <c r="N302" s="3">
        <v>0</v>
      </c>
      <c r="O302" s="3">
        <v>50.42</v>
      </c>
      <c r="P302" s="3">
        <v>0</v>
      </c>
      <c r="Q302" s="3">
        <v>0</v>
      </c>
      <c r="R302" s="3">
        <v>0</v>
      </c>
      <c r="S302" s="3">
        <v>0</v>
      </c>
      <c r="T302" s="3">
        <v>0</v>
      </c>
      <c r="U302" s="3">
        <v>50.42</v>
      </c>
      <c r="V302" t="s">
        <v>55</v>
      </c>
    </row>
    <row r="303" spans="1:22" hidden="1" x14ac:dyDescent="0.25">
      <c r="A303" t="s">
        <v>8609</v>
      </c>
      <c r="B303" t="s">
        <v>8773</v>
      </c>
      <c r="C303" t="s">
        <v>1</v>
      </c>
      <c r="D303" t="s">
        <v>8526</v>
      </c>
      <c r="E303" t="s">
        <v>8147</v>
      </c>
      <c r="F303" t="s">
        <v>8146</v>
      </c>
      <c r="G303">
        <v>3546</v>
      </c>
      <c r="H303">
        <v>3546</v>
      </c>
      <c r="I303">
        <v>3546</v>
      </c>
      <c r="J303">
        <v>3546</v>
      </c>
      <c r="L303" s="3">
        <v>0</v>
      </c>
      <c r="M303" s="3">
        <v>0</v>
      </c>
      <c r="N303" s="3">
        <v>0</v>
      </c>
      <c r="O303" s="3">
        <v>58.71</v>
      </c>
      <c r="P303" s="3">
        <v>0</v>
      </c>
      <c r="Q303" s="3">
        <v>0</v>
      </c>
      <c r="R303" s="3">
        <v>0</v>
      </c>
      <c r="S303" s="3">
        <v>0</v>
      </c>
      <c r="T303" s="3">
        <v>0</v>
      </c>
      <c r="U303" s="3">
        <v>58.71</v>
      </c>
      <c r="V303" t="s">
        <v>55</v>
      </c>
    </row>
    <row r="304" spans="1:22" hidden="1" x14ac:dyDescent="0.25">
      <c r="A304" t="s">
        <v>8609</v>
      </c>
      <c r="B304" t="s">
        <v>8773</v>
      </c>
      <c r="C304" t="s">
        <v>1</v>
      </c>
      <c r="D304" t="s">
        <v>8526</v>
      </c>
      <c r="E304" t="s">
        <v>8147</v>
      </c>
      <c r="F304" t="s">
        <v>8146</v>
      </c>
      <c r="G304">
        <v>3547</v>
      </c>
      <c r="H304">
        <v>3547</v>
      </c>
      <c r="I304">
        <v>3547</v>
      </c>
      <c r="J304">
        <v>3547</v>
      </c>
      <c r="L304" s="3">
        <v>0</v>
      </c>
      <c r="M304" s="3">
        <v>0</v>
      </c>
      <c r="N304" s="3">
        <v>0</v>
      </c>
      <c r="O304" s="3">
        <v>8.5</v>
      </c>
      <c r="P304" s="3">
        <v>0</v>
      </c>
      <c r="Q304" s="3">
        <v>0</v>
      </c>
      <c r="R304" s="3">
        <v>0</v>
      </c>
      <c r="S304" s="3">
        <v>0</v>
      </c>
      <c r="T304" s="3">
        <v>0</v>
      </c>
      <c r="U304" s="3">
        <v>8.5</v>
      </c>
      <c r="V304" t="s">
        <v>55</v>
      </c>
    </row>
    <row r="305" spans="1:22" hidden="1" x14ac:dyDescent="0.25">
      <c r="A305" t="s">
        <v>8609</v>
      </c>
      <c r="B305" t="s">
        <v>8783</v>
      </c>
      <c r="C305" t="s">
        <v>1</v>
      </c>
      <c r="D305" t="s">
        <v>8526</v>
      </c>
      <c r="E305" t="s">
        <v>8147</v>
      </c>
      <c r="F305" t="s">
        <v>8146</v>
      </c>
      <c r="G305">
        <v>3548</v>
      </c>
      <c r="H305">
        <v>3548</v>
      </c>
      <c r="I305">
        <v>3548</v>
      </c>
      <c r="J305">
        <v>3548</v>
      </c>
      <c r="L305" s="3">
        <v>0</v>
      </c>
      <c r="M305" s="3">
        <v>0</v>
      </c>
      <c r="N305" s="3">
        <v>0</v>
      </c>
      <c r="O305" s="3">
        <v>0</v>
      </c>
      <c r="P305" s="3">
        <v>0</v>
      </c>
      <c r="Q305" s="3">
        <v>0</v>
      </c>
      <c r="R305" s="3">
        <v>0</v>
      </c>
      <c r="S305" s="3">
        <v>0</v>
      </c>
      <c r="T305" s="3">
        <v>0</v>
      </c>
      <c r="U305" s="3">
        <v>0</v>
      </c>
      <c r="V305" t="s">
        <v>55</v>
      </c>
    </row>
    <row r="306" spans="1:22" hidden="1" x14ac:dyDescent="0.25">
      <c r="A306" t="s">
        <v>8609</v>
      </c>
      <c r="B306" t="s">
        <v>8783</v>
      </c>
      <c r="C306" t="s">
        <v>1</v>
      </c>
      <c r="D306" t="s">
        <v>8526</v>
      </c>
      <c r="E306" t="s">
        <v>8147</v>
      </c>
      <c r="F306" t="s">
        <v>8146</v>
      </c>
      <c r="G306">
        <v>3549</v>
      </c>
      <c r="H306">
        <v>3549</v>
      </c>
      <c r="I306">
        <v>3549</v>
      </c>
      <c r="J306">
        <v>3549</v>
      </c>
      <c r="L306" s="3">
        <v>0</v>
      </c>
      <c r="M306" s="3">
        <v>0</v>
      </c>
      <c r="N306" s="3">
        <v>0</v>
      </c>
      <c r="O306" s="3">
        <v>12.2</v>
      </c>
      <c r="P306" s="3">
        <v>0</v>
      </c>
      <c r="Q306" s="3">
        <v>0</v>
      </c>
      <c r="R306" s="3">
        <v>0</v>
      </c>
      <c r="S306" s="3">
        <v>0</v>
      </c>
      <c r="T306" s="3">
        <v>0</v>
      </c>
      <c r="U306" s="3">
        <v>12.2</v>
      </c>
      <c r="V306" t="s">
        <v>55</v>
      </c>
    </row>
    <row r="307" spans="1:22" hidden="1" x14ac:dyDescent="0.25">
      <c r="A307" t="s">
        <v>8609</v>
      </c>
      <c r="B307" t="s">
        <v>8783</v>
      </c>
      <c r="C307" t="s">
        <v>1</v>
      </c>
      <c r="D307" t="s">
        <v>8526</v>
      </c>
      <c r="E307" t="s">
        <v>8147</v>
      </c>
      <c r="F307" t="s">
        <v>8146</v>
      </c>
      <c r="G307">
        <v>3550</v>
      </c>
      <c r="H307">
        <v>3550</v>
      </c>
      <c r="I307">
        <v>3550</v>
      </c>
      <c r="J307">
        <v>3550</v>
      </c>
      <c r="L307" s="3">
        <v>0</v>
      </c>
      <c r="M307" s="3">
        <v>0</v>
      </c>
      <c r="N307" s="3">
        <v>0</v>
      </c>
      <c r="O307" s="3">
        <v>50</v>
      </c>
      <c r="P307" s="3">
        <v>0</v>
      </c>
      <c r="Q307" s="3">
        <v>0</v>
      </c>
      <c r="R307" s="3">
        <v>0</v>
      </c>
      <c r="S307" s="3">
        <v>0</v>
      </c>
      <c r="T307" s="3">
        <v>0</v>
      </c>
      <c r="U307" s="3">
        <v>50</v>
      </c>
      <c r="V307" t="s">
        <v>55</v>
      </c>
    </row>
    <row r="308" spans="1:22" hidden="1" x14ac:dyDescent="0.25">
      <c r="A308" t="s">
        <v>8609</v>
      </c>
      <c r="B308" t="s">
        <v>8783</v>
      </c>
      <c r="C308" t="s">
        <v>1</v>
      </c>
      <c r="D308" t="s">
        <v>8526</v>
      </c>
      <c r="E308" t="s">
        <v>8147</v>
      </c>
      <c r="F308" t="s">
        <v>8146</v>
      </c>
      <c r="G308">
        <v>3551</v>
      </c>
      <c r="H308">
        <v>3551</v>
      </c>
      <c r="I308">
        <v>3551</v>
      </c>
      <c r="J308">
        <v>3551</v>
      </c>
      <c r="L308" s="3">
        <v>0</v>
      </c>
      <c r="M308" s="3">
        <v>0</v>
      </c>
      <c r="N308" s="3">
        <v>0</v>
      </c>
      <c r="O308" s="3">
        <v>1162.07</v>
      </c>
      <c r="P308" s="3">
        <v>0</v>
      </c>
      <c r="Q308" s="3">
        <v>0</v>
      </c>
      <c r="R308" s="3">
        <v>0</v>
      </c>
      <c r="S308" s="3">
        <v>0</v>
      </c>
      <c r="T308" s="3">
        <v>0</v>
      </c>
      <c r="U308" s="3">
        <v>1162.07</v>
      </c>
      <c r="V308" t="s">
        <v>55</v>
      </c>
    </row>
    <row r="309" spans="1:22" hidden="1" x14ac:dyDescent="0.25">
      <c r="A309" t="s">
        <v>8609</v>
      </c>
      <c r="B309" t="s">
        <v>8783</v>
      </c>
      <c r="C309" t="s">
        <v>1</v>
      </c>
      <c r="D309" t="s">
        <v>8526</v>
      </c>
      <c r="E309" t="s">
        <v>8147</v>
      </c>
      <c r="F309" t="s">
        <v>8146</v>
      </c>
      <c r="G309">
        <v>3552</v>
      </c>
      <c r="H309">
        <v>3552</v>
      </c>
      <c r="I309">
        <v>3552</v>
      </c>
      <c r="J309">
        <v>3552</v>
      </c>
      <c r="L309" s="3">
        <v>0</v>
      </c>
      <c r="M309" s="3">
        <v>0</v>
      </c>
      <c r="N309" s="3">
        <v>0</v>
      </c>
      <c r="O309" s="3">
        <v>317.35000000000002</v>
      </c>
      <c r="P309" s="3">
        <v>0</v>
      </c>
      <c r="Q309" s="3">
        <v>0</v>
      </c>
      <c r="R309" s="3">
        <v>0</v>
      </c>
      <c r="S309" s="3">
        <v>0</v>
      </c>
      <c r="T309" s="3">
        <v>0</v>
      </c>
      <c r="U309" s="3">
        <v>317.35000000000002</v>
      </c>
      <c r="V309" t="s">
        <v>55</v>
      </c>
    </row>
    <row r="310" spans="1:22" hidden="1" x14ac:dyDescent="0.25">
      <c r="A310" t="s">
        <v>8609</v>
      </c>
      <c r="B310" t="s">
        <v>8783</v>
      </c>
      <c r="C310" t="s">
        <v>1</v>
      </c>
      <c r="D310" t="s">
        <v>8526</v>
      </c>
      <c r="E310" t="s">
        <v>8147</v>
      </c>
      <c r="F310" t="s">
        <v>8146</v>
      </c>
      <c r="G310">
        <v>3553</v>
      </c>
      <c r="H310">
        <v>3553</v>
      </c>
      <c r="I310">
        <v>3553</v>
      </c>
      <c r="J310">
        <v>3553</v>
      </c>
      <c r="L310" s="3">
        <v>0</v>
      </c>
      <c r="M310" s="3">
        <v>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3">
        <v>0</v>
      </c>
      <c r="T310" s="3">
        <v>0</v>
      </c>
      <c r="U310" s="3">
        <v>0</v>
      </c>
      <c r="V310" t="s">
        <v>55</v>
      </c>
    </row>
    <row r="311" spans="1:22" hidden="1" x14ac:dyDescent="0.25">
      <c r="A311" t="s">
        <v>8609</v>
      </c>
      <c r="B311" t="s">
        <v>8783</v>
      </c>
      <c r="C311" t="s">
        <v>1</v>
      </c>
      <c r="D311" t="s">
        <v>8526</v>
      </c>
      <c r="E311" t="s">
        <v>8147</v>
      </c>
      <c r="F311" t="s">
        <v>8146</v>
      </c>
      <c r="G311">
        <v>3554</v>
      </c>
      <c r="H311">
        <v>3554</v>
      </c>
      <c r="I311">
        <v>3554</v>
      </c>
      <c r="J311">
        <v>3554</v>
      </c>
      <c r="L311" s="3">
        <v>0</v>
      </c>
      <c r="M311" s="3">
        <v>0</v>
      </c>
      <c r="N311" s="3">
        <v>0</v>
      </c>
      <c r="O311" s="3">
        <v>835.99</v>
      </c>
      <c r="P311" s="3">
        <v>0</v>
      </c>
      <c r="Q311" s="3">
        <v>0</v>
      </c>
      <c r="R311" s="3">
        <v>0</v>
      </c>
      <c r="S311" s="3">
        <v>0</v>
      </c>
      <c r="T311" s="3">
        <v>0</v>
      </c>
      <c r="U311" s="3">
        <v>835.99</v>
      </c>
      <c r="V311" t="s">
        <v>55</v>
      </c>
    </row>
    <row r="312" spans="1:22" hidden="1" x14ac:dyDescent="0.25">
      <c r="A312" t="s">
        <v>8609</v>
      </c>
      <c r="B312" t="s">
        <v>8783</v>
      </c>
      <c r="C312" t="s">
        <v>1</v>
      </c>
      <c r="D312" t="s">
        <v>8526</v>
      </c>
      <c r="E312" t="s">
        <v>8147</v>
      </c>
      <c r="F312" t="s">
        <v>8146</v>
      </c>
      <c r="G312">
        <v>3555</v>
      </c>
      <c r="H312">
        <v>3555</v>
      </c>
      <c r="I312">
        <v>3555</v>
      </c>
      <c r="J312">
        <v>3555</v>
      </c>
      <c r="L312" s="3">
        <v>0</v>
      </c>
      <c r="M312" s="3">
        <v>0</v>
      </c>
      <c r="N312" s="3">
        <v>0</v>
      </c>
      <c r="O312" s="3">
        <v>526.95000000000005</v>
      </c>
      <c r="P312" s="3">
        <v>0</v>
      </c>
      <c r="Q312" s="3">
        <v>0</v>
      </c>
      <c r="R312" s="3">
        <v>0</v>
      </c>
      <c r="S312" s="3">
        <v>0</v>
      </c>
      <c r="T312" s="3">
        <v>0</v>
      </c>
      <c r="U312" s="3">
        <v>526.95000000000005</v>
      </c>
      <c r="V312" t="s">
        <v>55</v>
      </c>
    </row>
    <row r="313" spans="1:22" hidden="1" x14ac:dyDescent="0.25">
      <c r="A313" t="s">
        <v>8609</v>
      </c>
      <c r="B313" t="s">
        <v>8783</v>
      </c>
      <c r="C313" t="s">
        <v>1</v>
      </c>
      <c r="D313" t="s">
        <v>8526</v>
      </c>
      <c r="E313" t="s">
        <v>8147</v>
      </c>
      <c r="F313" t="s">
        <v>8146</v>
      </c>
      <c r="G313">
        <v>3556</v>
      </c>
      <c r="H313">
        <v>3556</v>
      </c>
      <c r="I313">
        <v>3556</v>
      </c>
      <c r="J313">
        <v>3556</v>
      </c>
      <c r="L313" s="3">
        <v>0</v>
      </c>
      <c r="M313" s="3">
        <v>0</v>
      </c>
      <c r="N313" s="3">
        <v>0</v>
      </c>
      <c r="O313" s="3">
        <v>505.15</v>
      </c>
      <c r="P313" s="3">
        <v>0</v>
      </c>
      <c r="Q313" s="3">
        <v>0</v>
      </c>
      <c r="R313" s="3">
        <v>0</v>
      </c>
      <c r="S313" s="3">
        <v>0</v>
      </c>
      <c r="T313" s="3">
        <v>0</v>
      </c>
      <c r="U313" s="3">
        <v>505.15</v>
      </c>
      <c r="V313" t="s">
        <v>55</v>
      </c>
    </row>
    <row r="314" spans="1:22" hidden="1" x14ac:dyDescent="0.25">
      <c r="A314" t="s">
        <v>8609</v>
      </c>
      <c r="B314" t="s">
        <v>8783</v>
      </c>
      <c r="C314" t="s">
        <v>1</v>
      </c>
      <c r="D314" t="s">
        <v>8526</v>
      </c>
      <c r="E314" t="s">
        <v>8147</v>
      </c>
      <c r="F314" t="s">
        <v>8146</v>
      </c>
      <c r="G314">
        <v>3557</v>
      </c>
      <c r="H314">
        <v>3557</v>
      </c>
      <c r="I314">
        <v>3557</v>
      </c>
      <c r="J314">
        <v>3557</v>
      </c>
      <c r="L314" s="3">
        <v>0</v>
      </c>
      <c r="M314" s="3">
        <v>0</v>
      </c>
      <c r="N314" s="3">
        <v>0</v>
      </c>
      <c r="O314" s="3">
        <v>157.80000000000001</v>
      </c>
      <c r="P314" s="3">
        <v>0</v>
      </c>
      <c r="Q314" s="3">
        <v>0</v>
      </c>
      <c r="R314" s="3">
        <v>0</v>
      </c>
      <c r="S314" s="3">
        <v>0</v>
      </c>
      <c r="T314" s="3">
        <v>0</v>
      </c>
      <c r="U314" s="3">
        <v>157.80000000000001</v>
      </c>
      <c r="V314" t="s">
        <v>55</v>
      </c>
    </row>
    <row r="315" spans="1:22" hidden="1" x14ac:dyDescent="0.25">
      <c r="A315" t="s">
        <v>8609</v>
      </c>
      <c r="B315" t="s">
        <v>8783</v>
      </c>
      <c r="C315" t="s">
        <v>1</v>
      </c>
      <c r="D315" t="s">
        <v>8526</v>
      </c>
      <c r="E315" t="s">
        <v>8147</v>
      </c>
      <c r="F315" t="s">
        <v>8146</v>
      </c>
      <c r="G315">
        <v>3558</v>
      </c>
      <c r="H315">
        <v>3558</v>
      </c>
      <c r="I315">
        <v>3558</v>
      </c>
      <c r="J315">
        <v>3558</v>
      </c>
      <c r="L315" s="3">
        <v>0</v>
      </c>
      <c r="M315" s="3">
        <v>0</v>
      </c>
      <c r="N315" s="3">
        <v>0</v>
      </c>
      <c r="O315" s="3">
        <v>85</v>
      </c>
      <c r="P315" s="3">
        <v>0</v>
      </c>
      <c r="Q315" s="3">
        <v>0</v>
      </c>
      <c r="R315" s="3">
        <v>0</v>
      </c>
      <c r="S315" s="3">
        <v>0</v>
      </c>
      <c r="T315" s="3">
        <v>0</v>
      </c>
      <c r="U315" s="3">
        <v>85</v>
      </c>
      <c r="V315" t="s">
        <v>55</v>
      </c>
    </row>
    <row r="316" spans="1:22" hidden="1" x14ac:dyDescent="0.25">
      <c r="A316" t="s">
        <v>8609</v>
      </c>
      <c r="B316" t="s">
        <v>8783</v>
      </c>
      <c r="C316" t="s">
        <v>1</v>
      </c>
      <c r="D316" t="s">
        <v>8526</v>
      </c>
      <c r="E316" t="s">
        <v>8147</v>
      </c>
      <c r="F316" t="s">
        <v>8146</v>
      </c>
      <c r="G316">
        <v>3559</v>
      </c>
      <c r="H316">
        <v>3559</v>
      </c>
      <c r="I316">
        <v>3559</v>
      </c>
      <c r="J316">
        <v>3559</v>
      </c>
      <c r="L316" s="3">
        <v>0</v>
      </c>
      <c r="M316" s="3">
        <v>0</v>
      </c>
      <c r="N316" s="3">
        <v>0</v>
      </c>
      <c r="O316" s="3">
        <v>622.19000000000005</v>
      </c>
      <c r="P316" s="3">
        <v>0</v>
      </c>
      <c r="Q316" s="3">
        <v>0</v>
      </c>
      <c r="R316" s="3">
        <v>0</v>
      </c>
      <c r="S316" s="3">
        <v>0</v>
      </c>
      <c r="T316" s="3">
        <v>0</v>
      </c>
      <c r="U316" s="3">
        <v>622.19000000000005</v>
      </c>
      <c r="V316" t="s">
        <v>55</v>
      </c>
    </row>
    <row r="317" spans="1:22" hidden="1" x14ac:dyDescent="0.25">
      <c r="A317" t="s">
        <v>8609</v>
      </c>
      <c r="B317" t="s">
        <v>8782</v>
      </c>
      <c r="C317" t="s">
        <v>1</v>
      </c>
      <c r="D317" t="s">
        <v>8526</v>
      </c>
      <c r="E317" t="s">
        <v>8147</v>
      </c>
      <c r="F317" t="s">
        <v>8146</v>
      </c>
      <c r="G317">
        <v>3560</v>
      </c>
      <c r="H317">
        <v>3560</v>
      </c>
      <c r="I317">
        <v>3560</v>
      </c>
      <c r="J317">
        <v>3560</v>
      </c>
      <c r="L317" s="3">
        <v>0</v>
      </c>
      <c r="M317" s="3">
        <v>0</v>
      </c>
      <c r="N317" s="3">
        <v>0</v>
      </c>
      <c r="O317" s="3">
        <v>96</v>
      </c>
      <c r="P317" s="3">
        <v>0</v>
      </c>
      <c r="Q317" s="3">
        <v>0</v>
      </c>
      <c r="R317" s="3">
        <v>0</v>
      </c>
      <c r="S317" s="3">
        <v>0</v>
      </c>
      <c r="T317" s="3">
        <v>0</v>
      </c>
      <c r="U317" s="3">
        <v>96</v>
      </c>
      <c r="V317" t="s">
        <v>55</v>
      </c>
    </row>
    <row r="318" spans="1:22" hidden="1" x14ac:dyDescent="0.25">
      <c r="A318" t="s">
        <v>8609</v>
      </c>
      <c r="B318" t="s">
        <v>8782</v>
      </c>
      <c r="C318" t="s">
        <v>1</v>
      </c>
      <c r="D318" t="s">
        <v>8526</v>
      </c>
      <c r="E318" t="s">
        <v>8147</v>
      </c>
      <c r="F318" t="s">
        <v>8146</v>
      </c>
      <c r="G318">
        <v>3561</v>
      </c>
      <c r="H318">
        <v>3561</v>
      </c>
      <c r="I318">
        <v>3561</v>
      </c>
      <c r="J318">
        <v>3561</v>
      </c>
      <c r="L318" s="3">
        <v>0</v>
      </c>
      <c r="M318" s="3">
        <v>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3">
        <v>0</v>
      </c>
      <c r="T318" s="3">
        <v>0</v>
      </c>
      <c r="U318" s="3">
        <v>0</v>
      </c>
      <c r="V318" t="s">
        <v>55</v>
      </c>
    </row>
    <row r="319" spans="1:22" hidden="1" x14ac:dyDescent="0.25">
      <c r="A319" t="s">
        <v>8609</v>
      </c>
      <c r="B319" t="s">
        <v>8782</v>
      </c>
      <c r="C319" t="s">
        <v>1</v>
      </c>
      <c r="D319" t="s">
        <v>8526</v>
      </c>
      <c r="E319" t="s">
        <v>8147</v>
      </c>
      <c r="F319" t="s">
        <v>8146</v>
      </c>
      <c r="G319">
        <v>3562</v>
      </c>
      <c r="H319">
        <v>3562</v>
      </c>
      <c r="I319">
        <v>3562</v>
      </c>
      <c r="J319">
        <v>3562</v>
      </c>
      <c r="L319" s="3">
        <v>0</v>
      </c>
      <c r="M319" s="3">
        <v>0</v>
      </c>
      <c r="N319" s="3">
        <v>0</v>
      </c>
      <c r="O319" s="3">
        <v>103.73</v>
      </c>
      <c r="P319" s="3">
        <v>0</v>
      </c>
      <c r="Q319" s="3">
        <v>0</v>
      </c>
      <c r="R319" s="3">
        <v>0</v>
      </c>
      <c r="S319" s="3">
        <v>0</v>
      </c>
      <c r="T319" s="3">
        <v>0</v>
      </c>
      <c r="U319" s="3">
        <v>103.73</v>
      </c>
      <c r="V319" t="s">
        <v>55</v>
      </c>
    </row>
    <row r="320" spans="1:22" hidden="1" x14ac:dyDescent="0.25">
      <c r="A320" t="s">
        <v>8609</v>
      </c>
      <c r="B320" t="s">
        <v>8782</v>
      </c>
      <c r="C320" t="s">
        <v>1</v>
      </c>
      <c r="D320" t="s">
        <v>8526</v>
      </c>
      <c r="E320" t="s">
        <v>8147</v>
      </c>
      <c r="F320" t="s">
        <v>8146</v>
      </c>
      <c r="G320">
        <v>3563</v>
      </c>
      <c r="H320">
        <v>3563</v>
      </c>
      <c r="I320">
        <v>3563</v>
      </c>
      <c r="J320">
        <v>3563</v>
      </c>
      <c r="L320" s="3">
        <v>0</v>
      </c>
      <c r="M320" s="3">
        <v>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3">
        <v>0</v>
      </c>
      <c r="T320" s="3">
        <v>0</v>
      </c>
      <c r="U320" s="3">
        <v>0</v>
      </c>
      <c r="V320" t="s">
        <v>55</v>
      </c>
    </row>
    <row r="321" spans="1:22" hidden="1" x14ac:dyDescent="0.25">
      <c r="A321" t="s">
        <v>8609</v>
      </c>
      <c r="B321" t="s">
        <v>8782</v>
      </c>
      <c r="C321" t="s">
        <v>1</v>
      </c>
      <c r="D321" t="s">
        <v>8526</v>
      </c>
      <c r="E321" t="s">
        <v>8147</v>
      </c>
      <c r="F321" t="s">
        <v>8146</v>
      </c>
      <c r="G321">
        <v>3564</v>
      </c>
      <c r="H321">
        <v>3564</v>
      </c>
      <c r="I321">
        <v>3564</v>
      </c>
      <c r="J321">
        <v>3564</v>
      </c>
      <c r="L321" s="3">
        <v>0</v>
      </c>
      <c r="M321" s="3">
        <v>0</v>
      </c>
      <c r="N321" s="3">
        <v>0</v>
      </c>
      <c r="O321" s="3">
        <v>22.58</v>
      </c>
      <c r="P321" s="3">
        <v>0</v>
      </c>
      <c r="Q321" s="3">
        <v>0</v>
      </c>
      <c r="R321" s="3">
        <v>0</v>
      </c>
      <c r="S321" s="3">
        <v>0</v>
      </c>
      <c r="T321" s="3">
        <v>0</v>
      </c>
      <c r="U321" s="3">
        <v>22.58</v>
      </c>
      <c r="V321" t="s">
        <v>55</v>
      </c>
    </row>
    <row r="322" spans="1:22" hidden="1" x14ac:dyDescent="0.25">
      <c r="A322" t="s">
        <v>8609</v>
      </c>
      <c r="B322" t="s">
        <v>8782</v>
      </c>
      <c r="C322" t="s">
        <v>1</v>
      </c>
      <c r="D322" t="s">
        <v>8526</v>
      </c>
      <c r="E322" t="s">
        <v>8147</v>
      </c>
      <c r="F322" t="s">
        <v>8146</v>
      </c>
      <c r="G322">
        <v>3565</v>
      </c>
      <c r="H322">
        <v>3565</v>
      </c>
      <c r="I322">
        <v>3565</v>
      </c>
      <c r="J322">
        <v>3565</v>
      </c>
      <c r="L322" s="3">
        <v>0</v>
      </c>
      <c r="M322" s="3">
        <v>0</v>
      </c>
      <c r="N322" s="3">
        <v>0</v>
      </c>
      <c r="O322" s="3">
        <v>34</v>
      </c>
      <c r="P322" s="3">
        <v>0</v>
      </c>
      <c r="Q322" s="3">
        <v>0</v>
      </c>
      <c r="R322" s="3">
        <v>0</v>
      </c>
      <c r="S322" s="3">
        <v>0</v>
      </c>
      <c r="T322" s="3">
        <v>0</v>
      </c>
      <c r="U322" s="3">
        <v>34</v>
      </c>
      <c r="V322" t="s">
        <v>55</v>
      </c>
    </row>
    <row r="323" spans="1:22" hidden="1" x14ac:dyDescent="0.25">
      <c r="A323" t="s">
        <v>8609</v>
      </c>
      <c r="B323" t="s">
        <v>8781</v>
      </c>
      <c r="C323" t="s">
        <v>1</v>
      </c>
      <c r="D323" t="s">
        <v>8526</v>
      </c>
      <c r="E323" t="s">
        <v>8147</v>
      </c>
      <c r="F323" t="s">
        <v>8146</v>
      </c>
      <c r="G323">
        <v>3566</v>
      </c>
      <c r="H323">
        <v>3566</v>
      </c>
      <c r="I323">
        <v>3566</v>
      </c>
      <c r="J323">
        <v>3566</v>
      </c>
      <c r="L323" s="3">
        <v>0</v>
      </c>
      <c r="M323" s="3">
        <v>0</v>
      </c>
      <c r="N323" s="3">
        <v>0</v>
      </c>
      <c r="O323" s="3">
        <v>395.4</v>
      </c>
      <c r="P323" s="3">
        <v>0</v>
      </c>
      <c r="Q323" s="3">
        <v>0</v>
      </c>
      <c r="R323" s="3">
        <v>0</v>
      </c>
      <c r="S323" s="3">
        <v>0</v>
      </c>
      <c r="T323" s="3">
        <v>0</v>
      </c>
      <c r="U323" s="3">
        <v>395.4</v>
      </c>
      <c r="V323" t="s">
        <v>55</v>
      </c>
    </row>
    <row r="324" spans="1:22" hidden="1" x14ac:dyDescent="0.25">
      <c r="A324" t="s">
        <v>8609</v>
      </c>
      <c r="B324" t="s">
        <v>8781</v>
      </c>
      <c r="C324" t="s">
        <v>1</v>
      </c>
      <c r="D324" t="s">
        <v>8526</v>
      </c>
      <c r="E324" t="s">
        <v>8147</v>
      </c>
      <c r="F324" t="s">
        <v>8146</v>
      </c>
      <c r="G324">
        <v>3567</v>
      </c>
      <c r="H324">
        <v>3567</v>
      </c>
      <c r="I324">
        <v>3567</v>
      </c>
      <c r="J324">
        <v>3567</v>
      </c>
      <c r="L324" s="3">
        <v>0</v>
      </c>
      <c r="M324" s="3">
        <v>0</v>
      </c>
      <c r="N324" s="3">
        <v>0</v>
      </c>
      <c r="O324" s="3">
        <v>2324.13</v>
      </c>
      <c r="P324" s="3">
        <v>0</v>
      </c>
      <c r="Q324" s="3">
        <v>0</v>
      </c>
      <c r="R324" s="3">
        <v>0</v>
      </c>
      <c r="S324" s="3">
        <v>0</v>
      </c>
      <c r="T324" s="3">
        <v>0</v>
      </c>
      <c r="U324" s="3">
        <v>2324.13</v>
      </c>
      <c r="V324" t="s">
        <v>55</v>
      </c>
    </row>
    <row r="325" spans="1:22" hidden="1" x14ac:dyDescent="0.25">
      <c r="A325" t="s">
        <v>8609</v>
      </c>
      <c r="B325" t="s">
        <v>8781</v>
      </c>
      <c r="C325" t="s">
        <v>1</v>
      </c>
      <c r="D325" t="s">
        <v>8526</v>
      </c>
      <c r="E325" t="s">
        <v>8147</v>
      </c>
      <c r="F325" t="s">
        <v>8146</v>
      </c>
      <c r="G325">
        <v>3568</v>
      </c>
      <c r="H325">
        <v>3568</v>
      </c>
      <c r="I325">
        <v>3568</v>
      </c>
      <c r="J325">
        <v>3568</v>
      </c>
      <c r="L325" s="3">
        <v>0</v>
      </c>
      <c r="M325" s="3">
        <v>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3">
        <v>0</v>
      </c>
      <c r="T325" s="3">
        <v>0</v>
      </c>
      <c r="U325" s="3">
        <v>0</v>
      </c>
      <c r="V325" t="s">
        <v>55</v>
      </c>
    </row>
    <row r="326" spans="1:22" hidden="1" x14ac:dyDescent="0.25">
      <c r="A326" t="s">
        <v>8609</v>
      </c>
      <c r="B326" t="s">
        <v>8781</v>
      </c>
      <c r="C326" t="s">
        <v>1</v>
      </c>
      <c r="D326" t="s">
        <v>8526</v>
      </c>
      <c r="E326" t="s">
        <v>8147</v>
      </c>
      <c r="F326" t="s">
        <v>8146</v>
      </c>
      <c r="G326">
        <v>3569</v>
      </c>
      <c r="H326">
        <v>3569</v>
      </c>
      <c r="I326">
        <v>3569</v>
      </c>
      <c r="J326">
        <v>3569</v>
      </c>
      <c r="L326" s="3">
        <v>0</v>
      </c>
      <c r="M326" s="3">
        <v>0</v>
      </c>
      <c r="N326" s="3">
        <v>0</v>
      </c>
      <c r="O326" s="3">
        <v>30.51</v>
      </c>
      <c r="P326" s="3">
        <v>0</v>
      </c>
      <c r="Q326" s="3">
        <v>0</v>
      </c>
      <c r="R326" s="3">
        <v>0</v>
      </c>
      <c r="S326" s="3">
        <v>0</v>
      </c>
      <c r="T326" s="3">
        <v>0</v>
      </c>
      <c r="U326" s="3">
        <v>30.51</v>
      </c>
      <c r="V326" t="s">
        <v>55</v>
      </c>
    </row>
    <row r="327" spans="1:22" hidden="1" x14ac:dyDescent="0.25">
      <c r="A327" t="s">
        <v>8609</v>
      </c>
      <c r="B327" t="s">
        <v>8781</v>
      </c>
      <c r="C327" t="s">
        <v>1</v>
      </c>
      <c r="D327" t="s">
        <v>8526</v>
      </c>
      <c r="E327" t="s">
        <v>8147</v>
      </c>
      <c r="F327" t="s">
        <v>8146</v>
      </c>
      <c r="G327">
        <v>3570</v>
      </c>
      <c r="H327">
        <v>3570</v>
      </c>
      <c r="I327">
        <v>3570</v>
      </c>
      <c r="J327">
        <v>3570</v>
      </c>
      <c r="L327" s="3">
        <v>0</v>
      </c>
      <c r="M327" s="3">
        <v>0</v>
      </c>
      <c r="N327" s="3">
        <v>0</v>
      </c>
      <c r="O327" s="3">
        <v>64</v>
      </c>
      <c r="P327" s="3">
        <v>0</v>
      </c>
      <c r="Q327" s="3">
        <v>0</v>
      </c>
      <c r="R327" s="3">
        <v>0</v>
      </c>
      <c r="S327" s="3">
        <v>0</v>
      </c>
      <c r="T327" s="3">
        <v>0</v>
      </c>
      <c r="U327" s="3">
        <v>64</v>
      </c>
      <c r="V327" t="s">
        <v>55</v>
      </c>
    </row>
    <row r="328" spans="1:22" hidden="1" x14ac:dyDescent="0.25">
      <c r="A328" t="s">
        <v>8609</v>
      </c>
      <c r="B328" t="s">
        <v>8781</v>
      </c>
      <c r="C328" t="s">
        <v>1</v>
      </c>
      <c r="D328" t="s">
        <v>8526</v>
      </c>
      <c r="E328" t="s">
        <v>8147</v>
      </c>
      <c r="F328" t="s">
        <v>8146</v>
      </c>
      <c r="G328">
        <v>3571</v>
      </c>
      <c r="H328">
        <v>3571</v>
      </c>
      <c r="I328">
        <v>3571</v>
      </c>
      <c r="J328">
        <v>3571</v>
      </c>
      <c r="L328" s="3">
        <v>0</v>
      </c>
      <c r="M328" s="3">
        <v>0</v>
      </c>
      <c r="N328" s="3">
        <v>0</v>
      </c>
      <c r="O328" s="3">
        <v>725.98</v>
      </c>
      <c r="P328" s="3">
        <v>0</v>
      </c>
      <c r="Q328" s="3">
        <v>0</v>
      </c>
      <c r="R328" s="3">
        <v>0</v>
      </c>
      <c r="S328" s="3">
        <v>0</v>
      </c>
      <c r="T328" s="3">
        <v>0</v>
      </c>
      <c r="U328" s="3">
        <v>725.98</v>
      </c>
      <c r="V328" t="s">
        <v>55</v>
      </c>
    </row>
    <row r="329" spans="1:22" hidden="1" x14ac:dyDescent="0.25">
      <c r="A329" t="s">
        <v>8609</v>
      </c>
      <c r="B329" t="s">
        <v>8781</v>
      </c>
      <c r="C329" t="s">
        <v>1</v>
      </c>
      <c r="D329" t="s">
        <v>8526</v>
      </c>
      <c r="E329" t="s">
        <v>8147</v>
      </c>
      <c r="F329" t="s">
        <v>8146</v>
      </c>
      <c r="G329">
        <v>3572</v>
      </c>
      <c r="H329">
        <v>3572</v>
      </c>
      <c r="I329">
        <v>3572</v>
      </c>
      <c r="J329">
        <v>3572</v>
      </c>
      <c r="L329" s="3">
        <v>0</v>
      </c>
      <c r="M329" s="3">
        <v>0</v>
      </c>
      <c r="N329" s="3">
        <v>0</v>
      </c>
      <c r="O329" s="3">
        <v>168.97</v>
      </c>
      <c r="P329" s="3">
        <v>0</v>
      </c>
      <c r="Q329" s="3">
        <v>0</v>
      </c>
      <c r="R329" s="3">
        <v>0</v>
      </c>
      <c r="S329" s="3">
        <v>0</v>
      </c>
      <c r="T329" s="3">
        <v>0</v>
      </c>
      <c r="U329" s="3">
        <v>168.97</v>
      </c>
      <c r="V329" t="s">
        <v>55</v>
      </c>
    </row>
    <row r="330" spans="1:22" hidden="1" x14ac:dyDescent="0.25">
      <c r="A330" t="s">
        <v>8609</v>
      </c>
      <c r="B330" t="s">
        <v>8781</v>
      </c>
      <c r="C330" t="s">
        <v>1</v>
      </c>
      <c r="D330" t="s">
        <v>8526</v>
      </c>
      <c r="E330" t="s">
        <v>8147</v>
      </c>
      <c r="F330" t="s">
        <v>8146</v>
      </c>
      <c r="G330">
        <v>3573</v>
      </c>
      <c r="H330">
        <v>3573</v>
      </c>
      <c r="I330">
        <v>3573</v>
      </c>
      <c r="J330">
        <v>3573</v>
      </c>
      <c r="L330" s="3">
        <v>0</v>
      </c>
      <c r="M330" s="3">
        <v>0</v>
      </c>
      <c r="N330" s="3">
        <v>0</v>
      </c>
      <c r="O330" s="3">
        <v>7.93</v>
      </c>
      <c r="P330" s="3">
        <v>0</v>
      </c>
      <c r="Q330" s="3">
        <v>0</v>
      </c>
      <c r="R330" s="3">
        <v>0</v>
      </c>
      <c r="S330" s="3">
        <v>0</v>
      </c>
      <c r="T330" s="3">
        <v>0</v>
      </c>
      <c r="U330" s="3">
        <v>7.93</v>
      </c>
      <c r="V330" t="s">
        <v>55</v>
      </c>
    </row>
    <row r="331" spans="1:22" hidden="1" x14ac:dyDescent="0.25">
      <c r="A331" t="s">
        <v>8609</v>
      </c>
      <c r="B331" t="s">
        <v>8780</v>
      </c>
      <c r="C331" t="s">
        <v>1</v>
      </c>
      <c r="D331" t="s">
        <v>8526</v>
      </c>
      <c r="E331" t="s">
        <v>8147</v>
      </c>
      <c r="F331" t="s">
        <v>8146</v>
      </c>
      <c r="G331">
        <v>3574</v>
      </c>
      <c r="H331">
        <v>3574</v>
      </c>
      <c r="I331">
        <v>3574</v>
      </c>
      <c r="J331">
        <v>3574</v>
      </c>
      <c r="L331" s="3">
        <v>0</v>
      </c>
      <c r="M331" s="3">
        <v>0</v>
      </c>
      <c r="N331" s="3">
        <v>0</v>
      </c>
      <c r="O331" s="3">
        <v>970.93</v>
      </c>
      <c r="P331" s="3">
        <v>0</v>
      </c>
      <c r="Q331" s="3">
        <v>0</v>
      </c>
      <c r="R331" s="3">
        <v>0</v>
      </c>
      <c r="S331" s="3">
        <v>0</v>
      </c>
      <c r="T331" s="3">
        <v>0</v>
      </c>
      <c r="U331" s="3">
        <v>970.93</v>
      </c>
      <c r="V331" t="s">
        <v>55</v>
      </c>
    </row>
    <row r="332" spans="1:22" hidden="1" x14ac:dyDescent="0.25">
      <c r="A332" t="s">
        <v>8609</v>
      </c>
      <c r="B332" t="s">
        <v>8780</v>
      </c>
      <c r="C332" t="s">
        <v>1</v>
      </c>
      <c r="D332" t="s">
        <v>8526</v>
      </c>
      <c r="E332" t="s">
        <v>8147</v>
      </c>
      <c r="F332" t="s">
        <v>8146</v>
      </c>
      <c r="G332">
        <v>3575</v>
      </c>
      <c r="H332">
        <v>3575</v>
      </c>
      <c r="I332">
        <v>3575</v>
      </c>
      <c r="J332">
        <v>3575</v>
      </c>
      <c r="L332" s="3">
        <v>0</v>
      </c>
      <c r="M332" s="3">
        <v>0</v>
      </c>
      <c r="N332" s="3">
        <v>0</v>
      </c>
      <c r="O332" s="3">
        <v>225</v>
      </c>
      <c r="P332" s="3">
        <v>0</v>
      </c>
      <c r="Q332" s="3">
        <v>0</v>
      </c>
      <c r="R332" s="3">
        <v>0</v>
      </c>
      <c r="S332" s="3">
        <v>0</v>
      </c>
      <c r="T332" s="3">
        <v>0</v>
      </c>
      <c r="U332" s="3">
        <v>225</v>
      </c>
      <c r="V332" t="s">
        <v>55</v>
      </c>
    </row>
    <row r="333" spans="1:22" hidden="1" x14ac:dyDescent="0.25">
      <c r="A333" t="s">
        <v>8609</v>
      </c>
      <c r="B333" t="s">
        <v>8780</v>
      </c>
      <c r="C333" t="s">
        <v>1</v>
      </c>
      <c r="D333" t="s">
        <v>8526</v>
      </c>
      <c r="E333" t="s">
        <v>8147</v>
      </c>
      <c r="F333" t="s">
        <v>8146</v>
      </c>
      <c r="G333">
        <v>3576</v>
      </c>
      <c r="H333">
        <v>3576</v>
      </c>
      <c r="I333">
        <v>3576</v>
      </c>
      <c r="J333">
        <v>3576</v>
      </c>
      <c r="L333" s="3">
        <v>0</v>
      </c>
      <c r="M333" s="3">
        <v>0</v>
      </c>
      <c r="N333" s="3">
        <v>0</v>
      </c>
      <c r="O333" s="3">
        <v>92</v>
      </c>
      <c r="P333" s="3">
        <v>0</v>
      </c>
      <c r="Q333" s="3">
        <v>0</v>
      </c>
      <c r="R333" s="3">
        <v>0</v>
      </c>
      <c r="S333" s="3">
        <v>0</v>
      </c>
      <c r="T333" s="3">
        <v>0</v>
      </c>
      <c r="U333" s="3">
        <v>92</v>
      </c>
      <c r="V333" t="s">
        <v>55</v>
      </c>
    </row>
    <row r="334" spans="1:22" hidden="1" x14ac:dyDescent="0.25">
      <c r="A334" t="s">
        <v>8609</v>
      </c>
      <c r="B334" t="s">
        <v>8780</v>
      </c>
      <c r="C334" t="s">
        <v>1</v>
      </c>
      <c r="D334" t="s">
        <v>8526</v>
      </c>
      <c r="E334" t="s">
        <v>8147</v>
      </c>
      <c r="F334" t="s">
        <v>8146</v>
      </c>
      <c r="G334">
        <v>3577</v>
      </c>
      <c r="H334">
        <v>3577</v>
      </c>
      <c r="I334">
        <v>3577</v>
      </c>
      <c r="J334">
        <v>3577</v>
      </c>
      <c r="L334" s="3">
        <v>0</v>
      </c>
      <c r="M334" s="3">
        <v>0</v>
      </c>
      <c r="N334" s="3">
        <v>0</v>
      </c>
      <c r="O334" s="3">
        <v>164.1</v>
      </c>
      <c r="P334" s="3">
        <v>0</v>
      </c>
      <c r="Q334" s="3">
        <v>0</v>
      </c>
      <c r="R334" s="3">
        <v>0</v>
      </c>
      <c r="S334" s="3">
        <v>0</v>
      </c>
      <c r="T334" s="3">
        <v>0</v>
      </c>
      <c r="U334" s="3">
        <v>164.1</v>
      </c>
      <c r="V334" t="s">
        <v>55</v>
      </c>
    </row>
    <row r="335" spans="1:22" hidden="1" x14ac:dyDescent="0.25">
      <c r="A335" t="s">
        <v>8609</v>
      </c>
      <c r="B335" t="s">
        <v>8780</v>
      </c>
      <c r="C335" t="s">
        <v>1</v>
      </c>
      <c r="D335" t="s">
        <v>8526</v>
      </c>
      <c r="E335" t="s">
        <v>8147</v>
      </c>
      <c r="F335" t="s">
        <v>8146</v>
      </c>
      <c r="G335">
        <v>3578</v>
      </c>
      <c r="H335">
        <v>3578</v>
      </c>
      <c r="I335">
        <v>3578</v>
      </c>
      <c r="J335">
        <v>3578</v>
      </c>
      <c r="L335" s="3">
        <v>0</v>
      </c>
      <c r="M335" s="3">
        <v>0</v>
      </c>
      <c r="N335" s="3">
        <v>0</v>
      </c>
      <c r="O335" s="3">
        <v>174.87</v>
      </c>
      <c r="P335" s="3">
        <v>0</v>
      </c>
      <c r="Q335" s="3">
        <v>0</v>
      </c>
      <c r="R335" s="3">
        <v>0</v>
      </c>
      <c r="S335" s="3">
        <v>0</v>
      </c>
      <c r="T335" s="3">
        <v>0</v>
      </c>
      <c r="U335" s="3">
        <v>174.87</v>
      </c>
      <c r="V335" t="s">
        <v>55</v>
      </c>
    </row>
    <row r="336" spans="1:22" hidden="1" x14ac:dyDescent="0.25">
      <c r="A336" t="s">
        <v>8609</v>
      </c>
      <c r="B336" t="s">
        <v>8768</v>
      </c>
      <c r="C336" t="s">
        <v>1</v>
      </c>
      <c r="D336" t="s">
        <v>8526</v>
      </c>
      <c r="E336" t="s">
        <v>8147</v>
      </c>
      <c r="F336" t="s">
        <v>8146</v>
      </c>
      <c r="G336">
        <v>3579</v>
      </c>
      <c r="H336">
        <v>3579</v>
      </c>
      <c r="I336">
        <v>3579</v>
      </c>
      <c r="J336">
        <v>3579</v>
      </c>
      <c r="L336" s="3">
        <v>0</v>
      </c>
      <c r="M336" s="3">
        <v>0</v>
      </c>
      <c r="N336" s="3">
        <v>0</v>
      </c>
      <c r="O336" s="3">
        <v>105.98</v>
      </c>
      <c r="P336" s="3">
        <v>0</v>
      </c>
      <c r="Q336" s="3">
        <v>0</v>
      </c>
      <c r="R336" s="3">
        <v>0</v>
      </c>
      <c r="S336" s="3">
        <v>0</v>
      </c>
      <c r="T336" s="3">
        <v>0</v>
      </c>
      <c r="U336" s="3">
        <v>105.98</v>
      </c>
      <c r="V336" t="s">
        <v>55</v>
      </c>
    </row>
    <row r="337" spans="1:22" hidden="1" x14ac:dyDescent="0.25">
      <c r="A337" t="s">
        <v>8609</v>
      </c>
      <c r="B337" t="s">
        <v>8768</v>
      </c>
      <c r="C337" t="s">
        <v>1</v>
      </c>
      <c r="D337" t="s">
        <v>8526</v>
      </c>
      <c r="E337" t="s">
        <v>8147</v>
      </c>
      <c r="F337" t="s">
        <v>8146</v>
      </c>
      <c r="G337">
        <v>3580</v>
      </c>
      <c r="H337">
        <v>3580</v>
      </c>
      <c r="I337">
        <v>3580</v>
      </c>
      <c r="J337">
        <v>3580</v>
      </c>
      <c r="L337" s="3">
        <v>0</v>
      </c>
      <c r="M337" s="3">
        <v>0</v>
      </c>
      <c r="N337" s="3">
        <v>0</v>
      </c>
      <c r="O337" s="3">
        <v>2000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2000</v>
      </c>
      <c r="V337" t="s">
        <v>55</v>
      </c>
    </row>
    <row r="338" spans="1:22" hidden="1" x14ac:dyDescent="0.25">
      <c r="A338" t="s">
        <v>8609</v>
      </c>
      <c r="B338" t="s">
        <v>8768</v>
      </c>
      <c r="C338" t="s">
        <v>1</v>
      </c>
      <c r="D338" t="s">
        <v>8526</v>
      </c>
      <c r="E338" t="s">
        <v>8147</v>
      </c>
      <c r="F338" t="s">
        <v>8146</v>
      </c>
      <c r="G338">
        <v>3581</v>
      </c>
      <c r="H338">
        <v>3581</v>
      </c>
      <c r="I338">
        <v>3581</v>
      </c>
      <c r="J338">
        <v>3581</v>
      </c>
      <c r="L338" s="3">
        <v>0</v>
      </c>
      <c r="M338" s="3">
        <v>0</v>
      </c>
      <c r="N338" s="3">
        <v>0</v>
      </c>
      <c r="O338" s="3">
        <v>130.75</v>
      </c>
      <c r="P338" s="3">
        <v>0</v>
      </c>
      <c r="Q338" s="3">
        <v>0</v>
      </c>
      <c r="R338" s="3">
        <v>0</v>
      </c>
      <c r="S338" s="3">
        <v>0</v>
      </c>
      <c r="T338" s="3">
        <v>0</v>
      </c>
      <c r="U338" s="3">
        <v>130.75</v>
      </c>
      <c r="V338" t="s">
        <v>55</v>
      </c>
    </row>
    <row r="339" spans="1:22" hidden="1" x14ac:dyDescent="0.25">
      <c r="A339" t="s">
        <v>8609</v>
      </c>
      <c r="B339" t="s">
        <v>8768</v>
      </c>
      <c r="C339" t="s">
        <v>1</v>
      </c>
      <c r="D339" t="s">
        <v>8526</v>
      </c>
      <c r="E339" t="s">
        <v>8147</v>
      </c>
      <c r="F339" t="s">
        <v>8146</v>
      </c>
      <c r="G339">
        <v>3582</v>
      </c>
      <c r="H339">
        <v>3582</v>
      </c>
      <c r="I339">
        <v>3582</v>
      </c>
      <c r="J339">
        <v>3582</v>
      </c>
      <c r="L339" s="3">
        <v>0</v>
      </c>
      <c r="M339" s="3">
        <v>0</v>
      </c>
      <c r="N339" s="3">
        <v>0</v>
      </c>
      <c r="O339" s="3">
        <v>173.6</v>
      </c>
      <c r="P339" s="3">
        <v>0</v>
      </c>
      <c r="Q339" s="3">
        <v>0</v>
      </c>
      <c r="R339" s="3">
        <v>0</v>
      </c>
      <c r="S339" s="3">
        <v>0</v>
      </c>
      <c r="T339" s="3">
        <v>0</v>
      </c>
      <c r="U339" s="3">
        <v>173.6</v>
      </c>
      <c r="V339" t="s">
        <v>55</v>
      </c>
    </row>
    <row r="340" spans="1:22" hidden="1" x14ac:dyDescent="0.25">
      <c r="A340" t="s">
        <v>8609</v>
      </c>
      <c r="B340" t="s">
        <v>8769</v>
      </c>
      <c r="C340" t="s">
        <v>1</v>
      </c>
      <c r="D340" t="s">
        <v>8526</v>
      </c>
      <c r="E340" t="s">
        <v>8147</v>
      </c>
      <c r="F340" t="s">
        <v>8146</v>
      </c>
      <c r="G340">
        <v>3583</v>
      </c>
      <c r="H340">
        <v>3583</v>
      </c>
      <c r="I340">
        <v>3583</v>
      </c>
      <c r="J340">
        <v>3583</v>
      </c>
      <c r="L340" s="3">
        <v>0</v>
      </c>
      <c r="M340" s="3">
        <v>0</v>
      </c>
      <c r="N340" s="3">
        <v>0</v>
      </c>
      <c r="O340" s="3">
        <v>48</v>
      </c>
      <c r="P340" s="3">
        <v>0</v>
      </c>
      <c r="Q340" s="3">
        <v>0</v>
      </c>
      <c r="R340" s="3">
        <v>0</v>
      </c>
      <c r="S340" s="3">
        <v>0</v>
      </c>
      <c r="T340" s="3">
        <v>0</v>
      </c>
      <c r="U340" s="3">
        <v>48</v>
      </c>
      <c r="V340" t="s">
        <v>55</v>
      </c>
    </row>
    <row r="341" spans="1:22" hidden="1" x14ac:dyDescent="0.25">
      <c r="A341" t="s">
        <v>8609</v>
      </c>
      <c r="B341" t="s">
        <v>8769</v>
      </c>
      <c r="C341" t="s">
        <v>1</v>
      </c>
      <c r="D341" t="s">
        <v>8526</v>
      </c>
      <c r="E341" t="s">
        <v>8147</v>
      </c>
      <c r="F341" t="s">
        <v>8146</v>
      </c>
      <c r="G341">
        <v>3584</v>
      </c>
      <c r="H341">
        <v>3584</v>
      </c>
      <c r="I341">
        <v>3584</v>
      </c>
      <c r="J341">
        <v>3584</v>
      </c>
      <c r="L341" s="3">
        <v>0</v>
      </c>
      <c r="M341" s="3">
        <v>0</v>
      </c>
      <c r="N341" s="3">
        <v>0</v>
      </c>
      <c r="O341" s="3">
        <v>35.619999999999997</v>
      </c>
      <c r="P341" s="3">
        <v>0</v>
      </c>
      <c r="Q341" s="3">
        <v>0</v>
      </c>
      <c r="R341" s="3">
        <v>0</v>
      </c>
      <c r="S341" s="3">
        <v>0</v>
      </c>
      <c r="T341" s="3">
        <v>0</v>
      </c>
      <c r="U341" s="3">
        <v>35.619999999999997</v>
      </c>
      <c r="V341" t="s">
        <v>55</v>
      </c>
    </row>
    <row r="342" spans="1:22" hidden="1" x14ac:dyDescent="0.25">
      <c r="A342" t="s">
        <v>8609</v>
      </c>
      <c r="B342" t="s">
        <v>8769</v>
      </c>
      <c r="C342" t="s">
        <v>1</v>
      </c>
      <c r="D342" t="s">
        <v>8526</v>
      </c>
      <c r="E342" t="s">
        <v>8147</v>
      </c>
      <c r="F342" t="s">
        <v>8146</v>
      </c>
      <c r="G342">
        <v>3585</v>
      </c>
      <c r="H342">
        <v>3585</v>
      </c>
      <c r="I342">
        <v>3585</v>
      </c>
      <c r="J342">
        <v>3585</v>
      </c>
      <c r="L342" s="3">
        <v>0</v>
      </c>
      <c r="M342" s="3">
        <v>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t="s">
        <v>55</v>
      </c>
    </row>
    <row r="343" spans="1:22" hidden="1" x14ac:dyDescent="0.25">
      <c r="A343" t="s">
        <v>8609</v>
      </c>
      <c r="B343" t="s">
        <v>8769</v>
      </c>
      <c r="C343" t="s">
        <v>1</v>
      </c>
      <c r="D343" t="s">
        <v>8526</v>
      </c>
      <c r="E343" t="s">
        <v>8147</v>
      </c>
      <c r="F343" t="s">
        <v>8146</v>
      </c>
      <c r="G343">
        <v>3586</v>
      </c>
      <c r="H343">
        <v>3586</v>
      </c>
      <c r="I343">
        <v>3586</v>
      </c>
      <c r="J343">
        <v>3586</v>
      </c>
      <c r="L343" s="3">
        <v>0</v>
      </c>
      <c r="M343" s="3">
        <v>0</v>
      </c>
      <c r="N343" s="3">
        <v>0</v>
      </c>
      <c r="O343" s="3">
        <v>216</v>
      </c>
      <c r="P343" s="3">
        <v>0</v>
      </c>
      <c r="Q343" s="3">
        <v>0</v>
      </c>
      <c r="R343" s="3">
        <v>0</v>
      </c>
      <c r="S343" s="3">
        <v>0</v>
      </c>
      <c r="T343" s="3">
        <v>0</v>
      </c>
      <c r="U343" s="3">
        <v>216</v>
      </c>
      <c r="V343" t="s">
        <v>55</v>
      </c>
    </row>
    <row r="344" spans="1:22" hidden="1" x14ac:dyDescent="0.25">
      <c r="A344" t="s">
        <v>8609</v>
      </c>
      <c r="B344" t="s">
        <v>8769</v>
      </c>
      <c r="C344" t="s">
        <v>1</v>
      </c>
      <c r="D344" t="s">
        <v>8526</v>
      </c>
      <c r="E344" t="s">
        <v>8147</v>
      </c>
      <c r="F344" t="s">
        <v>8146</v>
      </c>
      <c r="G344">
        <v>3587</v>
      </c>
      <c r="H344">
        <v>3587</v>
      </c>
      <c r="I344">
        <v>3587</v>
      </c>
      <c r="J344">
        <v>3587</v>
      </c>
      <c r="L344" s="3">
        <v>0</v>
      </c>
      <c r="M344" s="3">
        <v>0</v>
      </c>
      <c r="N344" s="3">
        <v>0</v>
      </c>
      <c r="O344" s="3">
        <v>247.19</v>
      </c>
      <c r="P344" s="3">
        <v>0</v>
      </c>
      <c r="Q344" s="3">
        <v>0</v>
      </c>
      <c r="R344" s="3">
        <v>0</v>
      </c>
      <c r="S344" s="3">
        <v>0</v>
      </c>
      <c r="T344" s="3">
        <v>0</v>
      </c>
      <c r="U344" s="3">
        <v>247.19</v>
      </c>
      <c r="V344" t="s">
        <v>55</v>
      </c>
    </row>
    <row r="345" spans="1:22" hidden="1" x14ac:dyDescent="0.25">
      <c r="A345" t="s">
        <v>8609</v>
      </c>
      <c r="B345" t="s">
        <v>8769</v>
      </c>
      <c r="C345" t="s">
        <v>1</v>
      </c>
      <c r="D345" t="s">
        <v>8526</v>
      </c>
      <c r="E345" t="s">
        <v>8147</v>
      </c>
      <c r="F345" t="s">
        <v>8146</v>
      </c>
      <c r="G345">
        <v>3588</v>
      </c>
      <c r="H345">
        <v>3588</v>
      </c>
      <c r="I345">
        <v>3588</v>
      </c>
      <c r="J345">
        <v>3588</v>
      </c>
      <c r="L345" s="3">
        <v>0</v>
      </c>
      <c r="M345" s="3">
        <v>0</v>
      </c>
      <c r="N345" s="3">
        <v>0</v>
      </c>
      <c r="O345" s="3">
        <v>353.13</v>
      </c>
      <c r="P345" s="3">
        <v>0</v>
      </c>
      <c r="Q345" s="3">
        <v>0</v>
      </c>
      <c r="R345" s="3">
        <v>0</v>
      </c>
      <c r="S345" s="3">
        <v>0</v>
      </c>
      <c r="T345" s="3">
        <v>0</v>
      </c>
      <c r="U345" s="3">
        <v>353.13</v>
      </c>
      <c r="V345" t="s">
        <v>55</v>
      </c>
    </row>
    <row r="346" spans="1:22" hidden="1" x14ac:dyDescent="0.25">
      <c r="A346" t="s">
        <v>8609</v>
      </c>
      <c r="B346" t="s">
        <v>8769</v>
      </c>
      <c r="C346" t="s">
        <v>1</v>
      </c>
      <c r="D346" t="s">
        <v>8526</v>
      </c>
      <c r="E346" t="s">
        <v>8147</v>
      </c>
      <c r="F346" t="s">
        <v>8146</v>
      </c>
      <c r="G346">
        <v>3589</v>
      </c>
      <c r="H346">
        <v>3589</v>
      </c>
      <c r="I346">
        <v>3589</v>
      </c>
      <c r="J346">
        <v>3589</v>
      </c>
      <c r="L346" s="3">
        <v>0</v>
      </c>
      <c r="M346" s="3">
        <v>0</v>
      </c>
      <c r="N346" s="3">
        <v>0</v>
      </c>
      <c r="O346" s="3">
        <v>194.9</v>
      </c>
      <c r="P346" s="3">
        <v>0</v>
      </c>
      <c r="Q346" s="3">
        <v>0</v>
      </c>
      <c r="R346" s="3">
        <v>0</v>
      </c>
      <c r="S346" s="3">
        <v>0</v>
      </c>
      <c r="T346" s="3">
        <v>0</v>
      </c>
      <c r="U346" s="3">
        <v>194.9</v>
      </c>
      <c r="V346" t="s">
        <v>55</v>
      </c>
    </row>
    <row r="347" spans="1:22" hidden="1" x14ac:dyDescent="0.25">
      <c r="A347" t="s">
        <v>8609</v>
      </c>
      <c r="B347" t="s">
        <v>8769</v>
      </c>
      <c r="C347" t="s">
        <v>1</v>
      </c>
      <c r="D347" t="s">
        <v>8526</v>
      </c>
      <c r="E347" t="s">
        <v>8147</v>
      </c>
      <c r="F347" t="s">
        <v>8146</v>
      </c>
      <c r="G347">
        <v>3590</v>
      </c>
      <c r="H347">
        <v>3590</v>
      </c>
      <c r="I347">
        <v>3590</v>
      </c>
      <c r="J347">
        <v>3590</v>
      </c>
      <c r="L347" s="3">
        <v>0</v>
      </c>
      <c r="M347" s="3">
        <v>0</v>
      </c>
      <c r="N347" s="3">
        <v>0</v>
      </c>
      <c r="O347" s="3">
        <v>36.9</v>
      </c>
      <c r="P347" s="3">
        <v>0</v>
      </c>
      <c r="Q347" s="3">
        <v>0</v>
      </c>
      <c r="R347" s="3">
        <v>0</v>
      </c>
      <c r="S347" s="3">
        <v>0</v>
      </c>
      <c r="T347" s="3">
        <v>0</v>
      </c>
      <c r="U347" s="3">
        <v>36.9</v>
      </c>
      <c r="V347" t="s">
        <v>55</v>
      </c>
    </row>
    <row r="348" spans="1:22" hidden="1" x14ac:dyDescent="0.25">
      <c r="A348" t="s">
        <v>8609</v>
      </c>
      <c r="B348" t="s">
        <v>8769</v>
      </c>
      <c r="C348" t="s">
        <v>1</v>
      </c>
      <c r="D348" t="s">
        <v>8526</v>
      </c>
      <c r="E348" t="s">
        <v>8147</v>
      </c>
      <c r="F348" t="s">
        <v>8146</v>
      </c>
      <c r="G348">
        <v>3591</v>
      </c>
      <c r="H348">
        <v>3591</v>
      </c>
      <c r="I348">
        <v>3591</v>
      </c>
      <c r="J348">
        <v>3591</v>
      </c>
      <c r="L348" s="3">
        <v>0</v>
      </c>
      <c r="M348" s="3">
        <v>0</v>
      </c>
      <c r="N348" s="3">
        <v>0</v>
      </c>
      <c r="O348" s="3">
        <v>99.03</v>
      </c>
      <c r="P348" s="3">
        <v>0</v>
      </c>
      <c r="Q348" s="3">
        <v>0</v>
      </c>
      <c r="R348" s="3">
        <v>0</v>
      </c>
      <c r="S348" s="3">
        <v>0</v>
      </c>
      <c r="T348" s="3">
        <v>0</v>
      </c>
      <c r="U348" s="3">
        <v>99.03</v>
      </c>
      <c r="V348" t="s">
        <v>55</v>
      </c>
    </row>
    <row r="349" spans="1:22" hidden="1" x14ac:dyDescent="0.25">
      <c r="A349" t="s">
        <v>8609</v>
      </c>
      <c r="B349" t="s">
        <v>8769</v>
      </c>
      <c r="C349" t="s">
        <v>1</v>
      </c>
      <c r="D349" t="s">
        <v>8526</v>
      </c>
      <c r="E349" t="s">
        <v>8147</v>
      </c>
      <c r="F349" t="s">
        <v>8146</v>
      </c>
      <c r="G349">
        <v>3592</v>
      </c>
      <c r="H349">
        <v>3592</v>
      </c>
      <c r="I349">
        <v>3592</v>
      </c>
      <c r="J349">
        <v>3592</v>
      </c>
      <c r="L349" s="3">
        <v>0</v>
      </c>
      <c r="M349" s="3">
        <v>0</v>
      </c>
      <c r="N349" s="3">
        <v>0</v>
      </c>
      <c r="O349" s="3">
        <v>1529.02</v>
      </c>
      <c r="P349" s="3">
        <v>0</v>
      </c>
      <c r="Q349" s="3">
        <v>0</v>
      </c>
      <c r="R349" s="3">
        <v>0</v>
      </c>
      <c r="S349" s="3">
        <v>0</v>
      </c>
      <c r="T349" s="3">
        <v>0</v>
      </c>
      <c r="U349" s="3">
        <v>1529.02</v>
      </c>
      <c r="V349" t="s">
        <v>55</v>
      </c>
    </row>
    <row r="350" spans="1:22" hidden="1" x14ac:dyDescent="0.25">
      <c r="A350" t="s">
        <v>8609</v>
      </c>
      <c r="B350" t="s">
        <v>8769</v>
      </c>
      <c r="C350" t="s">
        <v>1</v>
      </c>
      <c r="D350" t="s">
        <v>8526</v>
      </c>
      <c r="E350" t="s">
        <v>8147</v>
      </c>
      <c r="F350" t="s">
        <v>8146</v>
      </c>
      <c r="G350">
        <v>3593</v>
      </c>
      <c r="H350">
        <v>3593</v>
      </c>
      <c r="I350">
        <v>3593</v>
      </c>
      <c r="J350">
        <v>3593</v>
      </c>
      <c r="L350" s="3">
        <v>0</v>
      </c>
      <c r="M350" s="3">
        <v>0</v>
      </c>
      <c r="N350" s="3">
        <v>0</v>
      </c>
      <c r="O350" s="3">
        <v>107.06</v>
      </c>
      <c r="P350" s="3">
        <v>0</v>
      </c>
      <c r="Q350" s="3">
        <v>0</v>
      </c>
      <c r="R350" s="3">
        <v>0</v>
      </c>
      <c r="S350" s="3">
        <v>0</v>
      </c>
      <c r="T350" s="3">
        <v>0</v>
      </c>
      <c r="U350" s="3">
        <v>107.06</v>
      </c>
      <c r="V350" t="s">
        <v>55</v>
      </c>
    </row>
    <row r="351" spans="1:22" hidden="1" x14ac:dyDescent="0.25">
      <c r="A351" t="s">
        <v>8609</v>
      </c>
      <c r="B351" t="s">
        <v>8779</v>
      </c>
      <c r="C351" t="s">
        <v>1</v>
      </c>
      <c r="D351" t="s">
        <v>8526</v>
      </c>
      <c r="E351" t="s">
        <v>8147</v>
      </c>
      <c r="F351" t="s">
        <v>8146</v>
      </c>
      <c r="G351">
        <v>3594</v>
      </c>
      <c r="H351">
        <v>3594</v>
      </c>
      <c r="I351">
        <v>3594</v>
      </c>
      <c r="J351">
        <v>3594</v>
      </c>
      <c r="L351" s="3">
        <v>0</v>
      </c>
      <c r="M351" s="3">
        <v>0</v>
      </c>
      <c r="N351" s="3">
        <v>0</v>
      </c>
      <c r="O351" s="3">
        <v>302.19</v>
      </c>
      <c r="P351" s="3">
        <v>0</v>
      </c>
      <c r="Q351" s="3">
        <v>0</v>
      </c>
      <c r="R351" s="3">
        <v>0</v>
      </c>
      <c r="S351" s="3">
        <v>0</v>
      </c>
      <c r="T351" s="3">
        <v>0</v>
      </c>
      <c r="U351" s="3">
        <v>302.19</v>
      </c>
      <c r="V351" t="s">
        <v>55</v>
      </c>
    </row>
    <row r="352" spans="1:22" hidden="1" x14ac:dyDescent="0.25">
      <c r="A352" t="s">
        <v>8609</v>
      </c>
      <c r="B352" t="s">
        <v>8779</v>
      </c>
      <c r="C352" t="s">
        <v>1</v>
      </c>
      <c r="D352" t="s">
        <v>8526</v>
      </c>
      <c r="E352" t="s">
        <v>8147</v>
      </c>
      <c r="F352" t="s">
        <v>8146</v>
      </c>
      <c r="G352">
        <v>3595</v>
      </c>
      <c r="H352">
        <v>3595</v>
      </c>
      <c r="I352">
        <v>3595</v>
      </c>
      <c r="J352">
        <v>3595</v>
      </c>
      <c r="L352" s="3">
        <v>0</v>
      </c>
      <c r="M352" s="3">
        <v>0</v>
      </c>
      <c r="N352" s="3">
        <v>0</v>
      </c>
      <c r="O352" s="3">
        <v>81.5</v>
      </c>
      <c r="P352" s="3">
        <v>0</v>
      </c>
      <c r="Q352" s="3">
        <v>0</v>
      </c>
      <c r="R352" s="3">
        <v>0</v>
      </c>
      <c r="S352" s="3">
        <v>0</v>
      </c>
      <c r="T352" s="3">
        <v>0</v>
      </c>
      <c r="U352" s="3">
        <v>81.5</v>
      </c>
      <c r="V352" t="s">
        <v>55</v>
      </c>
    </row>
    <row r="353" spans="1:22" hidden="1" x14ac:dyDescent="0.25">
      <c r="A353" t="s">
        <v>8609</v>
      </c>
      <c r="B353" t="s">
        <v>8779</v>
      </c>
      <c r="C353" t="s">
        <v>1</v>
      </c>
      <c r="D353" t="s">
        <v>8526</v>
      </c>
      <c r="E353" t="s">
        <v>8147</v>
      </c>
      <c r="F353" t="s">
        <v>8146</v>
      </c>
      <c r="G353">
        <v>3596</v>
      </c>
      <c r="H353">
        <v>3596</v>
      </c>
      <c r="I353">
        <v>3596</v>
      </c>
      <c r="J353">
        <v>3596</v>
      </c>
      <c r="L353" s="3">
        <v>0</v>
      </c>
      <c r="M353" s="3">
        <v>0</v>
      </c>
      <c r="N353" s="3">
        <v>0</v>
      </c>
      <c r="O353" s="3">
        <v>105.4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105.4</v>
      </c>
      <c r="V353" t="s">
        <v>55</v>
      </c>
    </row>
    <row r="354" spans="1:22" hidden="1" x14ac:dyDescent="0.25">
      <c r="A354" t="s">
        <v>8609</v>
      </c>
      <c r="B354" t="s">
        <v>8779</v>
      </c>
      <c r="C354" t="s">
        <v>1</v>
      </c>
      <c r="D354" t="s">
        <v>8526</v>
      </c>
      <c r="E354" t="s">
        <v>8147</v>
      </c>
      <c r="F354" t="s">
        <v>8146</v>
      </c>
      <c r="G354">
        <v>3597</v>
      </c>
      <c r="H354">
        <v>3597</v>
      </c>
      <c r="I354">
        <v>3597</v>
      </c>
      <c r="J354">
        <v>3597</v>
      </c>
      <c r="L354" s="3">
        <v>0</v>
      </c>
      <c r="M354" s="3">
        <v>0</v>
      </c>
      <c r="N354" s="3">
        <v>0</v>
      </c>
      <c r="O354" s="3">
        <v>706.25</v>
      </c>
      <c r="P354" s="3">
        <v>0</v>
      </c>
      <c r="Q354" s="3">
        <v>0</v>
      </c>
      <c r="R354" s="3">
        <v>0</v>
      </c>
      <c r="S354" s="3">
        <v>0</v>
      </c>
      <c r="T354" s="3">
        <v>0</v>
      </c>
      <c r="U354" s="3">
        <v>706.25</v>
      </c>
      <c r="V354" t="s">
        <v>55</v>
      </c>
    </row>
    <row r="355" spans="1:22" hidden="1" x14ac:dyDescent="0.25">
      <c r="A355" t="s">
        <v>8609</v>
      </c>
      <c r="B355" t="s">
        <v>8779</v>
      </c>
      <c r="C355" t="s">
        <v>1</v>
      </c>
      <c r="D355" t="s">
        <v>8526</v>
      </c>
      <c r="E355" t="s">
        <v>8147</v>
      </c>
      <c r="F355" t="s">
        <v>8146</v>
      </c>
      <c r="G355">
        <v>3598</v>
      </c>
      <c r="H355">
        <v>3598</v>
      </c>
      <c r="I355">
        <v>3598</v>
      </c>
      <c r="J355">
        <v>3598</v>
      </c>
      <c r="L355" s="3">
        <v>0</v>
      </c>
      <c r="M355" s="3">
        <v>0</v>
      </c>
      <c r="N355" s="3">
        <v>0</v>
      </c>
      <c r="O355" s="3">
        <v>54.82</v>
      </c>
      <c r="P355" s="3">
        <v>0</v>
      </c>
      <c r="Q355" s="3">
        <v>0</v>
      </c>
      <c r="R355" s="3">
        <v>0</v>
      </c>
      <c r="S355" s="3">
        <v>0</v>
      </c>
      <c r="T355" s="3">
        <v>0</v>
      </c>
      <c r="U355" s="3">
        <v>54.82</v>
      </c>
      <c r="V355" t="s">
        <v>55</v>
      </c>
    </row>
    <row r="356" spans="1:22" hidden="1" x14ac:dyDescent="0.25">
      <c r="A356" t="s">
        <v>8609</v>
      </c>
      <c r="B356" t="s">
        <v>8779</v>
      </c>
      <c r="C356" t="s">
        <v>1</v>
      </c>
      <c r="D356" t="s">
        <v>8526</v>
      </c>
      <c r="E356" t="s">
        <v>8147</v>
      </c>
      <c r="F356" t="s">
        <v>8146</v>
      </c>
      <c r="G356">
        <v>3599</v>
      </c>
      <c r="H356">
        <v>3599</v>
      </c>
      <c r="I356">
        <v>3599</v>
      </c>
      <c r="J356">
        <v>3599</v>
      </c>
      <c r="L356" s="3">
        <v>0</v>
      </c>
      <c r="M356" s="3">
        <v>0</v>
      </c>
      <c r="N356" s="3">
        <v>0</v>
      </c>
      <c r="O356" s="3">
        <v>8.2200000000000006</v>
      </c>
      <c r="P356" s="3">
        <v>0</v>
      </c>
      <c r="Q356" s="3">
        <v>0</v>
      </c>
      <c r="R356" s="3">
        <v>0</v>
      </c>
      <c r="S356" s="3">
        <v>0</v>
      </c>
      <c r="T356" s="3">
        <v>0</v>
      </c>
      <c r="U356" s="3">
        <v>8.2200000000000006</v>
      </c>
      <c r="V356" t="s">
        <v>55</v>
      </c>
    </row>
    <row r="357" spans="1:22" hidden="1" x14ac:dyDescent="0.25">
      <c r="A357" t="s">
        <v>8609</v>
      </c>
      <c r="B357" t="s">
        <v>8779</v>
      </c>
      <c r="C357" t="s">
        <v>1</v>
      </c>
      <c r="D357" t="s">
        <v>8526</v>
      </c>
      <c r="E357" t="s">
        <v>8147</v>
      </c>
      <c r="F357" t="s">
        <v>8146</v>
      </c>
      <c r="G357">
        <v>3600</v>
      </c>
      <c r="H357">
        <v>3600</v>
      </c>
      <c r="I357">
        <v>3600</v>
      </c>
      <c r="J357">
        <v>3600</v>
      </c>
      <c r="L357" s="3">
        <v>0</v>
      </c>
      <c r="M357" s="3">
        <v>0</v>
      </c>
      <c r="N357" s="3">
        <v>0</v>
      </c>
      <c r="O357" s="3">
        <v>25.5</v>
      </c>
      <c r="P357" s="3">
        <v>0</v>
      </c>
      <c r="Q357" s="3">
        <v>0</v>
      </c>
      <c r="R357" s="3">
        <v>0</v>
      </c>
      <c r="S357" s="3">
        <v>0</v>
      </c>
      <c r="T357" s="3">
        <v>0</v>
      </c>
      <c r="U357" s="3">
        <v>25.5</v>
      </c>
      <c r="V357" t="s">
        <v>55</v>
      </c>
    </row>
    <row r="358" spans="1:22" hidden="1" x14ac:dyDescent="0.25">
      <c r="A358" t="s">
        <v>8609</v>
      </c>
      <c r="B358" t="s">
        <v>8779</v>
      </c>
      <c r="C358" t="s">
        <v>1</v>
      </c>
      <c r="D358" t="s">
        <v>8526</v>
      </c>
      <c r="E358" t="s">
        <v>8147</v>
      </c>
      <c r="F358" t="s">
        <v>8146</v>
      </c>
      <c r="G358">
        <v>3601</v>
      </c>
      <c r="H358">
        <v>3601</v>
      </c>
      <c r="I358">
        <v>3601</v>
      </c>
      <c r="J358">
        <v>3601</v>
      </c>
      <c r="L358" s="3">
        <v>0</v>
      </c>
      <c r="M358" s="3">
        <v>0</v>
      </c>
      <c r="N358" s="3">
        <v>0</v>
      </c>
      <c r="O358" s="3">
        <v>225</v>
      </c>
      <c r="P358" s="3">
        <v>0</v>
      </c>
      <c r="Q358" s="3">
        <v>0</v>
      </c>
      <c r="R358" s="3">
        <v>0</v>
      </c>
      <c r="S358" s="3">
        <v>0</v>
      </c>
      <c r="T358" s="3">
        <v>0</v>
      </c>
      <c r="U358" s="3">
        <v>225</v>
      </c>
      <c r="V358" t="s">
        <v>55</v>
      </c>
    </row>
    <row r="359" spans="1:22" hidden="1" x14ac:dyDescent="0.25">
      <c r="A359" t="s">
        <v>8609</v>
      </c>
      <c r="B359" t="s">
        <v>8778</v>
      </c>
      <c r="C359" t="s">
        <v>1</v>
      </c>
      <c r="D359" t="s">
        <v>8526</v>
      </c>
      <c r="E359" t="s">
        <v>8147</v>
      </c>
      <c r="F359" t="s">
        <v>8146</v>
      </c>
      <c r="G359">
        <v>3602</v>
      </c>
      <c r="H359">
        <v>3602</v>
      </c>
      <c r="I359">
        <v>3602</v>
      </c>
      <c r="J359">
        <v>3602</v>
      </c>
      <c r="L359" s="3">
        <v>0</v>
      </c>
      <c r="M359" s="3">
        <v>0</v>
      </c>
      <c r="N359" s="3">
        <v>0</v>
      </c>
      <c r="O359" s="3">
        <v>687.6</v>
      </c>
      <c r="P359" s="3">
        <v>0</v>
      </c>
      <c r="Q359" s="3">
        <v>0</v>
      </c>
      <c r="R359" s="3">
        <v>0</v>
      </c>
      <c r="S359" s="3">
        <v>0</v>
      </c>
      <c r="T359" s="3">
        <v>0</v>
      </c>
      <c r="U359" s="3">
        <v>687.6</v>
      </c>
      <c r="V359" t="s">
        <v>55</v>
      </c>
    </row>
    <row r="360" spans="1:22" hidden="1" x14ac:dyDescent="0.25">
      <c r="A360" t="s">
        <v>8609</v>
      </c>
      <c r="B360" t="s">
        <v>8778</v>
      </c>
      <c r="C360" t="s">
        <v>1</v>
      </c>
      <c r="D360" t="s">
        <v>8526</v>
      </c>
      <c r="E360" t="s">
        <v>8147</v>
      </c>
      <c r="F360" t="s">
        <v>8146</v>
      </c>
      <c r="G360">
        <v>3603</v>
      </c>
      <c r="H360">
        <v>3603</v>
      </c>
      <c r="I360">
        <v>3603</v>
      </c>
      <c r="J360">
        <v>3603</v>
      </c>
      <c r="L360" s="3">
        <v>0</v>
      </c>
      <c r="M360" s="3">
        <v>0</v>
      </c>
      <c r="N360" s="3">
        <v>0</v>
      </c>
      <c r="O360" s="3">
        <v>369.1</v>
      </c>
      <c r="P360" s="3">
        <v>0</v>
      </c>
      <c r="Q360" s="3">
        <v>0</v>
      </c>
      <c r="R360" s="3">
        <v>0</v>
      </c>
      <c r="S360" s="3">
        <v>0</v>
      </c>
      <c r="T360" s="3">
        <v>0</v>
      </c>
      <c r="U360" s="3">
        <v>369.1</v>
      </c>
      <c r="V360" t="s">
        <v>55</v>
      </c>
    </row>
    <row r="361" spans="1:22" hidden="1" x14ac:dyDescent="0.25">
      <c r="A361" t="s">
        <v>8609</v>
      </c>
      <c r="B361" t="s">
        <v>8778</v>
      </c>
      <c r="C361" t="s">
        <v>1</v>
      </c>
      <c r="D361" t="s">
        <v>8526</v>
      </c>
      <c r="E361" t="s">
        <v>8147</v>
      </c>
      <c r="F361" t="s">
        <v>8146</v>
      </c>
      <c r="G361">
        <v>3604</v>
      </c>
      <c r="H361">
        <v>3604</v>
      </c>
      <c r="I361">
        <v>3604</v>
      </c>
      <c r="J361">
        <v>3604</v>
      </c>
      <c r="L361" s="3">
        <v>0</v>
      </c>
      <c r="M361" s="3">
        <v>0</v>
      </c>
      <c r="N361" s="3">
        <v>0</v>
      </c>
      <c r="O361" s="3">
        <v>39.5</v>
      </c>
      <c r="P361" s="3">
        <v>0</v>
      </c>
      <c r="Q361" s="3">
        <v>0</v>
      </c>
      <c r="R361" s="3">
        <v>0</v>
      </c>
      <c r="S361" s="3">
        <v>0</v>
      </c>
      <c r="T361" s="3">
        <v>0</v>
      </c>
      <c r="U361" s="3">
        <v>39.5</v>
      </c>
      <c r="V361" t="s">
        <v>55</v>
      </c>
    </row>
    <row r="362" spans="1:22" hidden="1" x14ac:dyDescent="0.25">
      <c r="A362" t="s">
        <v>8609</v>
      </c>
      <c r="B362" t="s">
        <v>8778</v>
      </c>
      <c r="C362" t="s">
        <v>1</v>
      </c>
      <c r="D362" t="s">
        <v>8526</v>
      </c>
      <c r="E362" t="s">
        <v>8147</v>
      </c>
      <c r="F362" t="s">
        <v>8146</v>
      </c>
      <c r="G362">
        <v>3605</v>
      </c>
      <c r="H362">
        <v>3605</v>
      </c>
      <c r="I362">
        <v>3605</v>
      </c>
      <c r="J362">
        <v>3605</v>
      </c>
      <c r="L362" s="3">
        <v>0</v>
      </c>
      <c r="M362" s="3">
        <v>0</v>
      </c>
      <c r="N362" s="3">
        <v>0</v>
      </c>
      <c r="O362" s="3">
        <v>124.41</v>
      </c>
      <c r="P362" s="3">
        <v>0</v>
      </c>
      <c r="Q362" s="3">
        <v>0</v>
      </c>
      <c r="R362" s="3">
        <v>0</v>
      </c>
      <c r="S362" s="3">
        <v>0</v>
      </c>
      <c r="T362" s="3">
        <v>0</v>
      </c>
      <c r="U362" s="3">
        <v>124.41</v>
      </c>
      <c r="V362" t="s">
        <v>55</v>
      </c>
    </row>
    <row r="363" spans="1:22" hidden="1" x14ac:dyDescent="0.25">
      <c r="A363" t="s">
        <v>8609</v>
      </c>
      <c r="B363" t="s">
        <v>8778</v>
      </c>
      <c r="C363" t="s">
        <v>1</v>
      </c>
      <c r="D363" t="s">
        <v>8526</v>
      </c>
      <c r="E363" t="s">
        <v>8147</v>
      </c>
      <c r="F363" t="s">
        <v>8146</v>
      </c>
      <c r="G363">
        <v>3606</v>
      </c>
      <c r="H363">
        <v>3606</v>
      </c>
      <c r="I363">
        <v>3606</v>
      </c>
      <c r="J363">
        <v>3606</v>
      </c>
      <c r="L363" s="3">
        <v>0</v>
      </c>
      <c r="M363" s="3">
        <v>0</v>
      </c>
      <c r="N363" s="3">
        <v>0</v>
      </c>
      <c r="O363" s="3">
        <v>70</v>
      </c>
      <c r="P363" s="3">
        <v>0</v>
      </c>
      <c r="Q363" s="3">
        <v>0</v>
      </c>
      <c r="R363" s="3">
        <v>0</v>
      </c>
      <c r="S363" s="3">
        <v>0</v>
      </c>
      <c r="T363" s="3">
        <v>0</v>
      </c>
      <c r="U363" s="3">
        <v>70</v>
      </c>
      <c r="V363" t="s">
        <v>55</v>
      </c>
    </row>
    <row r="364" spans="1:22" hidden="1" x14ac:dyDescent="0.25">
      <c r="A364" t="s">
        <v>8609</v>
      </c>
      <c r="B364" t="s">
        <v>8778</v>
      </c>
      <c r="C364" t="s">
        <v>1</v>
      </c>
      <c r="D364" t="s">
        <v>8526</v>
      </c>
      <c r="E364" t="s">
        <v>8147</v>
      </c>
      <c r="F364" t="s">
        <v>8146</v>
      </c>
      <c r="G364">
        <v>3607</v>
      </c>
      <c r="H364">
        <v>3607</v>
      </c>
      <c r="I364">
        <v>3607</v>
      </c>
      <c r="J364">
        <v>3607</v>
      </c>
      <c r="L364" s="3">
        <v>0</v>
      </c>
      <c r="M364" s="3">
        <v>0</v>
      </c>
      <c r="N364" s="3">
        <v>0</v>
      </c>
      <c r="O364" s="3">
        <v>0</v>
      </c>
      <c r="P364" s="3">
        <v>0</v>
      </c>
      <c r="Q364" s="3">
        <v>0</v>
      </c>
      <c r="R364" s="3">
        <v>0</v>
      </c>
      <c r="S364" s="3">
        <v>0</v>
      </c>
      <c r="T364" s="3">
        <v>0</v>
      </c>
      <c r="U364" s="3">
        <v>0</v>
      </c>
      <c r="V364" t="s">
        <v>55</v>
      </c>
    </row>
    <row r="365" spans="1:22" hidden="1" x14ac:dyDescent="0.25">
      <c r="A365" t="s">
        <v>8609</v>
      </c>
      <c r="B365" t="s">
        <v>8778</v>
      </c>
      <c r="C365" t="s">
        <v>1</v>
      </c>
      <c r="D365" t="s">
        <v>8526</v>
      </c>
      <c r="E365" t="s">
        <v>8147</v>
      </c>
      <c r="F365" t="s">
        <v>8146</v>
      </c>
      <c r="G365">
        <v>3608</v>
      </c>
      <c r="H365">
        <v>3608</v>
      </c>
      <c r="I365">
        <v>3608</v>
      </c>
      <c r="J365">
        <v>3608</v>
      </c>
      <c r="L365" s="3">
        <v>0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3">
        <v>0</v>
      </c>
      <c r="T365" s="3">
        <v>0</v>
      </c>
      <c r="U365" s="3">
        <v>0</v>
      </c>
      <c r="V365" t="s">
        <v>55</v>
      </c>
    </row>
    <row r="366" spans="1:22" hidden="1" x14ac:dyDescent="0.25">
      <c r="A366" t="s">
        <v>8609</v>
      </c>
      <c r="B366" t="s">
        <v>8778</v>
      </c>
      <c r="C366" t="s">
        <v>1</v>
      </c>
      <c r="D366" t="s">
        <v>8526</v>
      </c>
      <c r="E366" t="s">
        <v>8147</v>
      </c>
      <c r="F366" t="s">
        <v>8146</v>
      </c>
      <c r="G366">
        <v>3609</v>
      </c>
      <c r="H366">
        <v>3609</v>
      </c>
      <c r="I366">
        <v>3609</v>
      </c>
      <c r="J366">
        <v>3609</v>
      </c>
      <c r="L366" s="3">
        <v>0</v>
      </c>
      <c r="M366" s="3">
        <v>0</v>
      </c>
      <c r="N366" s="3">
        <v>0</v>
      </c>
      <c r="O366" s="3">
        <v>40</v>
      </c>
      <c r="P366" s="3">
        <v>0</v>
      </c>
      <c r="Q366" s="3">
        <v>0</v>
      </c>
      <c r="R366" s="3">
        <v>0</v>
      </c>
      <c r="S366" s="3">
        <v>0</v>
      </c>
      <c r="T366" s="3">
        <v>0</v>
      </c>
      <c r="U366" s="3">
        <v>40</v>
      </c>
      <c r="V366" t="s">
        <v>55</v>
      </c>
    </row>
    <row r="367" spans="1:22" hidden="1" x14ac:dyDescent="0.25">
      <c r="A367" t="s">
        <v>8609</v>
      </c>
      <c r="B367" t="s">
        <v>8777</v>
      </c>
      <c r="C367" t="s">
        <v>1</v>
      </c>
      <c r="D367" t="s">
        <v>8526</v>
      </c>
      <c r="E367" t="s">
        <v>8147</v>
      </c>
      <c r="F367" t="s">
        <v>8146</v>
      </c>
      <c r="G367">
        <v>3610</v>
      </c>
      <c r="H367">
        <v>3610</v>
      </c>
      <c r="I367">
        <v>3610</v>
      </c>
      <c r="J367">
        <v>3610</v>
      </c>
      <c r="L367" s="3">
        <v>0</v>
      </c>
      <c r="M367" s="3">
        <v>0</v>
      </c>
      <c r="N367" s="3">
        <v>0</v>
      </c>
      <c r="O367" s="3">
        <v>364</v>
      </c>
      <c r="P367" s="3">
        <v>0</v>
      </c>
      <c r="Q367" s="3">
        <v>0</v>
      </c>
      <c r="R367" s="3">
        <v>0</v>
      </c>
      <c r="S367" s="3">
        <v>0</v>
      </c>
      <c r="T367" s="3">
        <v>0</v>
      </c>
      <c r="U367" s="3">
        <v>364</v>
      </c>
      <c r="V367" t="s">
        <v>55</v>
      </c>
    </row>
    <row r="368" spans="1:22" hidden="1" x14ac:dyDescent="0.25">
      <c r="A368" t="s">
        <v>8609</v>
      </c>
      <c r="B368" t="s">
        <v>8777</v>
      </c>
      <c r="C368" t="s">
        <v>1</v>
      </c>
      <c r="D368" t="s">
        <v>8526</v>
      </c>
      <c r="E368" t="s">
        <v>8147</v>
      </c>
      <c r="F368" t="s">
        <v>8146</v>
      </c>
      <c r="G368">
        <v>3611</v>
      </c>
      <c r="H368">
        <v>3611</v>
      </c>
      <c r="I368">
        <v>3611</v>
      </c>
      <c r="J368">
        <v>3611</v>
      </c>
      <c r="L368" s="3">
        <v>0</v>
      </c>
      <c r="M368" s="3">
        <v>0</v>
      </c>
      <c r="N368" s="3">
        <v>0</v>
      </c>
      <c r="O368" s="3">
        <v>252.1</v>
      </c>
      <c r="P368" s="3">
        <v>0</v>
      </c>
      <c r="Q368" s="3">
        <v>0</v>
      </c>
      <c r="R368" s="3">
        <v>0</v>
      </c>
      <c r="S368" s="3">
        <v>0</v>
      </c>
      <c r="T368" s="3">
        <v>0</v>
      </c>
      <c r="U368" s="3">
        <v>252.1</v>
      </c>
      <c r="V368" t="s">
        <v>55</v>
      </c>
    </row>
    <row r="369" spans="1:22" hidden="1" x14ac:dyDescent="0.25">
      <c r="A369" t="s">
        <v>8609</v>
      </c>
      <c r="B369" t="s">
        <v>8777</v>
      </c>
      <c r="C369" t="s">
        <v>1</v>
      </c>
      <c r="D369" t="s">
        <v>8526</v>
      </c>
      <c r="E369" t="s">
        <v>8147</v>
      </c>
      <c r="F369" t="s">
        <v>8146</v>
      </c>
      <c r="G369">
        <v>3612</v>
      </c>
      <c r="H369">
        <v>3612</v>
      </c>
      <c r="I369">
        <v>3612</v>
      </c>
      <c r="J369">
        <v>3612</v>
      </c>
      <c r="L369" s="3">
        <v>0</v>
      </c>
      <c r="M369" s="3">
        <v>0</v>
      </c>
      <c r="N369" s="3">
        <v>0</v>
      </c>
      <c r="O369" s="3">
        <v>170</v>
      </c>
      <c r="P369" s="3">
        <v>0</v>
      </c>
      <c r="Q369" s="3">
        <v>0</v>
      </c>
      <c r="R369" s="3">
        <v>0</v>
      </c>
      <c r="S369" s="3">
        <v>0</v>
      </c>
      <c r="T369" s="3">
        <v>0</v>
      </c>
      <c r="U369" s="3">
        <v>170</v>
      </c>
      <c r="V369" t="s">
        <v>55</v>
      </c>
    </row>
    <row r="370" spans="1:22" hidden="1" x14ac:dyDescent="0.25">
      <c r="A370" t="s">
        <v>8609</v>
      </c>
      <c r="B370" t="s">
        <v>8776</v>
      </c>
      <c r="C370" t="s">
        <v>1</v>
      </c>
      <c r="D370" t="s">
        <v>8526</v>
      </c>
      <c r="E370" t="s">
        <v>8147</v>
      </c>
      <c r="F370" t="s">
        <v>8146</v>
      </c>
      <c r="G370">
        <v>3613</v>
      </c>
      <c r="H370">
        <v>3613</v>
      </c>
      <c r="I370">
        <v>3613</v>
      </c>
      <c r="J370">
        <v>3613</v>
      </c>
      <c r="L370" s="3">
        <v>0</v>
      </c>
      <c r="M370" s="3">
        <v>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3">
        <v>0</v>
      </c>
      <c r="T370" s="3">
        <v>0</v>
      </c>
      <c r="U370" s="3">
        <v>0</v>
      </c>
      <c r="V370" t="s">
        <v>55</v>
      </c>
    </row>
    <row r="371" spans="1:22" hidden="1" x14ac:dyDescent="0.25">
      <c r="A371" t="s">
        <v>8609</v>
      </c>
      <c r="B371" t="s">
        <v>8776</v>
      </c>
      <c r="C371" t="s">
        <v>1</v>
      </c>
      <c r="D371" t="s">
        <v>8526</v>
      </c>
      <c r="E371" t="s">
        <v>8147</v>
      </c>
      <c r="F371" t="s">
        <v>8146</v>
      </c>
      <c r="G371">
        <v>3614</v>
      </c>
      <c r="H371">
        <v>3614</v>
      </c>
      <c r="I371">
        <v>3614</v>
      </c>
      <c r="J371">
        <v>3614</v>
      </c>
      <c r="L371" s="3">
        <v>0</v>
      </c>
      <c r="M371" s="3">
        <v>0</v>
      </c>
      <c r="N371" s="3">
        <v>0</v>
      </c>
      <c r="O371" s="3">
        <v>25.5</v>
      </c>
      <c r="P371" s="3">
        <v>0</v>
      </c>
      <c r="Q371" s="3">
        <v>0</v>
      </c>
      <c r="R371" s="3">
        <v>0</v>
      </c>
      <c r="S371" s="3">
        <v>0</v>
      </c>
      <c r="T371" s="3">
        <v>0</v>
      </c>
      <c r="U371" s="3">
        <v>25.5</v>
      </c>
      <c r="V371" t="s">
        <v>55</v>
      </c>
    </row>
    <row r="372" spans="1:22" hidden="1" x14ac:dyDescent="0.25">
      <c r="A372" t="s">
        <v>8609</v>
      </c>
      <c r="B372" t="s">
        <v>8776</v>
      </c>
      <c r="C372" t="s">
        <v>1</v>
      </c>
      <c r="D372" t="s">
        <v>8526</v>
      </c>
      <c r="E372" t="s">
        <v>8147</v>
      </c>
      <c r="F372" t="s">
        <v>8146</v>
      </c>
      <c r="G372">
        <v>3615</v>
      </c>
      <c r="H372">
        <v>3615</v>
      </c>
      <c r="I372">
        <v>3615</v>
      </c>
      <c r="J372">
        <v>3615</v>
      </c>
      <c r="L372" s="3">
        <v>0</v>
      </c>
      <c r="M372" s="3">
        <v>0</v>
      </c>
      <c r="N372" s="3">
        <v>0</v>
      </c>
      <c r="O372" s="3">
        <v>0</v>
      </c>
      <c r="P372" s="3">
        <v>0</v>
      </c>
      <c r="Q372" s="3">
        <v>0</v>
      </c>
      <c r="R372" s="3">
        <v>0</v>
      </c>
      <c r="S372" s="3">
        <v>0</v>
      </c>
      <c r="T372" s="3">
        <v>0</v>
      </c>
      <c r="U372" s="3">
        <v>0</v>
      </c>
      <c r="V372" t="s">
        <v>55</v>
      </c>
    </row>
    <row r="373" spans="1:22" hidden="1" x14ac:dyDescent="0.25">
      <c r="A373" t="s">
        <v>8609</v>
      </c>
      <c r="B373" t="s">
        <v>8776</v>
      </c>
      <c r="C373" t="s">
        <v>1</v>
      </c>
      <c r="D373" t="s">
        <v>8526</v>
      </c>
      <c r="E373" t="s">
        <v>8147</v>
      </c>
      <c r="F373" t="s">
        <v>8146</v>
      </c>
      <c r="G373">
        <v>3616</v>
      </c>
      <c r="H373">
        <v>3616</v>
      </c>
      <c r="I373">
        <v>3616</v>
      </c>
      <c r="J373">
        <v>3616</v>
      </c>
      <c r="L373" s="3">
        <v>0</v>
      </c>
      <c r="M373" s="3">
        <v>0</v>
      </c>
      <c r="N373" s="3">
        <v>0</v>
      </c>
      <c r="O373" s="3">
        <v>137</v>
      </c>
      <c r="P373" s="3">
        <v>0</v>
      </c>
      <c r="Q373" s="3">
        <v>0</v>
      </c>
      <c r="R373" s="3">
        <v>0</v>
      </c>
      <c r="S373" s="3">
        <v>0</v>
      </c>
      <c r="T373" s="3">
        <v>0</v>
      </c>
      <c r="U373" s="3">
        <v>137</v>
      </c>
      <c r="V373" t="s">
        <v>55</v>
      </c>
    </row>
    <row r="374" spans="1:22" hidden="1" x14ac:dyDescent="0.25">
      <c r="A374" t="s">
        <v>8609</v>
      </c>
      <c r="B374" t="s">
        <v>8776</v>
      </c>
      <c r="C374" t="s">
        <v>1</v>
      </c>
      <c r="D374" t="s">
        <v>8526</v>
      </c>
      <c r="E374" t="s">
        <v>8147</v>
      </c>
      <c r="F374" t="s">
        <v>8146</v>
      </c>
      <c r="G374">
        <v>3617</v>
      </c>
      <c r="H374">
        <v>3617</v>
      </c>
      <c r="I374">
        <v>3617</v>
      </c>
      <c r="J374">
        <v>3617</v>
      </c>
      <c r="L374" s="3">
        <v>0</v>
      </c>
      <c r="M374" s="3">
        <v>0</v>
      </c>
      <c r="N374" s="3">
        <v>0</v>
      </c>
      <c r="O374" s="3">
        <v>257.41000000000003</v>
      </c>
      <c r="P374" s="3">
        <v>0</v>
      </c>
      <c r="Q374" s="3">
        <v>0</v>
      </c>
      <c r="R374" s="3">
        <v>0</v>
      </c>
      <c r="S374" s="3">
        <v>0</v>
      </c>
      <c r="T374" s="3">
        <v>0</v>
      </c>
      <c r="U374" s="3">
        <v>257.41000000000003</v>
      </c>
      <c r="V374" t="s">
        <v>55</v>
      </c>
    </row>
    <row r="375" spans="1:22" hidden="1" x14ac:dyDescent="0.25">
      <c r="A375" t="s">
        <v>8609</v>
      </c>
      <c r="B375" t="s">
        <v>8776</v>
      </c>
      <c r="C375" t="s">
        <v>1</v>
      </c>
      <c r="D375" t="s">
        <v>8526</v>
      </c>
      <c r="E375" t="s">
        <v>8147</v>
      </c>
      <c r="F375" t="s">
        <v>8146</v>
      </c>
      <c r="G375">
        <v>3618</v>
      </c>
      <c r="H375">
        <v>3618</v>
      </c>
      <c r="I375">
        <v>3618</v>
      </c>
      <c r="J375">
        <v>3618</v>
      </c>
      <c r="L375" s="3">
        <v>0</v>
      </c>
      <c r="M375" s="3">
        <v>0</v>
      </c>
      <c r="N375" s="3">
        <v>0</v>
      </c>
      <c r="O375" s="3">
        <v>299.86</v>
      </c>
      <c r="P375" s="3">
        <v>0</v>
      </c>
      <c r="Q375" s="3">
        <v>0</v>
      </c>
      <c r="R375" s="3">
        <v>0</v>
      </c>
      <c r="S375" s="3">
        <v>0</v>
      </c>
      <c r="T375" s="3">
        <v>0</v>
      </c>
      <c r="U375" s="3">
        <v>299.86</v>
      </c>
      <c r="V375" t="s">
        <v>55</v>
      </c>
    </row>
    <row r="376" spans="1:22" hidden="1" x14ac:dyDescent="0.25">
      <c r="A376" t="s">
        <v>8609</v>
      </c>
      <c r="B376" t="s">
        <v>8776</v>
      </c>
      <c r="C376" t="s">
        <v>1</v>
      </c>
      <c r="D376" t="s">
        <v>8526</v>
      </c>
      <c r="E376" t="s">
        <v>8147</v>
      </c>
      <c r="F376" t="s">
        <v>8146</v>
      </c>
      <c r="G376">
        <v>3619</v>
      </c>
      <c r="H376">
        <v>3619</v>
      </c>
      <c r="I376">
        <v>3619</v>
      </c>
      <c r="J376">
        <v>3619</v>
      </c>
      <c r="L376" s="3">
        <v>0</v>
      </c>
      <c r="M376" s="3">
        <v>0</v>
      </c>
      <c r="N376" s="3">
        <v>0</v>
      </c>
      <c r="O376" s="3">
        <v>1043.94</v>
      </c>
      <c r="P376" s="3">
        <v>0</v>
      </c>
      <c r="Q376" s="3">
        <v>0</v>
      </c>
      <c r="R376" s="3">
        <v>0</v>
      </c>
      <c r="S376" s="3">
        <v>0</v>
      </c>
      <c r="T376" s="3">
        <v>0</v>
      </c>
      <c r="U376" s="3">
        <v>1043.94</v>
      </c>
      <c r="V376" t="s">
        <v>55</v>
      </c>
    </row>
    <row r="377" spans="1:22" hidden="1" x14ac:dyDescent="0.25">
      <c r="A377" t="s">
        <v>8609</v>
      </c>
      <c r="B377" t="s">
        <v>8776</v>
      </c>
      <c r="C377" t="s">
        <v>1</v>
      </c>
      <c r="D377" t="s">
        <v>8526</v>
      </c>
      <c r="E377" t="s">
        <v>8147</v>
      </c>
      <c r="F377" t="s">
        <v>8146</v>
      </c>
      <c r="G377">
        <v>3620</v>
      </c>
      <c r="H377">
        <v>3620</v>
      </c>
      <c r="I377">
        <v>3620</v>
      </c>
      <c r="J377">
        <v>3620</v>
      </c>
      <c r="L377" s="3">
        <v>0</v>
      </c>
      <c r="M377" s="3">
        <v>0</v>
      </c>
      <c r="N377" s="3">
        <v>0</v>
      </c>
      <c r="O377" s="3">
        <v>69.16</v>
      </c>
      <c r="P377" s="3">
        <v>0</v>
      </c>
      <c r="Q377" s="3">
        <v>0</v>
      </c>
      <c r="R377" s="3">
        <v>0</v>
      </c>
      <c r="S377" s="3">
        <v>0</v>
      </c>
      <c r="T377" s="3">
        <v>0</v>
      </c>
      <c r="U377" s="3">
        <v>69.16</v>
      </c>
      <c r="V377" t="s">
        <v>55</v>
      </c>
    </row>
    <row r="378" spans="1:22" hidden="1" x14ac:dyDescent="0.25">
      <c r="A378" t="s">
        <v>8609</v>
      </c>
      <c r="B378" t="s">
        <v>8772</v>
      </c>
      <c r="C378" t="s">
        <v>1</v>
      </c>
      <c r="D378" t="s">
        <v>8526</v>
      </c>
      <c r="E378" t="s">
        <v>8147</v>
      </c>
      <c r="F378" t="s">
        <v>8146</v>
      </c>
      <c r="G378">
        <v>3621</v>
      </c>
      <c r="H378">
        <v>3621</v>
      </c>
      <c r="I378">
        <v>3621</v>
      </c>
      <c r="J378">
        <v>3621</v>
      </c>
      <c r="L378" s="3">
        <v>0</v>
      </c>
      <c r="M378" s="3">
        <v>0</v>
      </c>
      <c r="N378" s="3">
        <v>0</v>
      </c>
      <c r="O378" s="3">
        <v>342.5</v>
      </c>
      <c r="P378" s="3">
        <v>0</v>
      </c>
      <c r="Q378" s="3">
        <v>0</v>
      </c>
      <c r="R378" s="3">
        <v>0</v>
      </c>
      <c r="S378" s="3">
        <v>0</v>
      </c>
      <c r="T378" s="3">
        <v>0</v>
      </c>
      <c r="U378" s="3">
        <v>342.5</v>
      </c>
      <c r="V378" t="s">
        <v>55</v>
      </c>
    </row>
    <row r="379" spans="1:22" hidden="1" x14ac:dyDescent="0.25">
      <c r="A379" t="s">
        <v>8609</v>
      </c>
      <c r="B379" t="s">
        <v>8772</v>
      </c>
      <c r="C379" t="s">
        <v>1</v>
      </c>
      <c r="D379" t="s">
        <v>8526</v>
      </c>
      <c r="E379" t="s">
        <v>8147</v>
      </c>
      <c r="F379" t="s">
        <v>8146</v>
      </c>
      <c r="G379">
        <v>3622</v>
      </c>
      <c r="H379">
        <v>3622</v>
      </c>
      <c r="I379">
        <v>3622</v>
      </c>
      <c r="J379">
        <v>3622</v>
      </c>
      <c r="L379" s="3">
        <v>0</v>
      </c>
      <c r="M379" s="3">
        <v>0</v>
      </c>
      <c r="N379" s="3">
        <v>0</v>
      </c>
      <c r="O379" s="3">
        <v>138.30000000000001</v>
      </c>
      <c r="P379" s="3">
        <v>0</v>
      </c>
      <c r="Q379" s="3">
        <v>0</v>
      </c>
      <c r="R379" s="3">
        <v>0</v>
      </c>
      <c r="S379" s="3">
        <v>0</v>
      </c>
      <c r="T379" s="3">
        <v>0</v>
      </c>
      <c r="U379" s="3">
        <v>138.30000000000001</v>
      </c>
      <c r="V379" t="s">
        <v>55</v>
      </c>
    </row>
    <row r="380" spans="1:22" hidden="1" x14ac:dyDescent="0.25">
      <c r="A380" t="s">
        <v>8609</v>
      </c>
      <c r="B380" t="s">
        <v>8772</v>
      </c>
      <c r="C380" t="s">
        <v>1</v>
      </c>
      <c r="D380" t="s">
        <v>8526</v>
      </c>
      <c r="E380" t="s">
        <v>8147</v>
      </c>
      <c r="F380" t="s">
        <v>8146</v>
      </c>
      <c r="G380">
        <v>3623</v>
      </c>
      <c r="H380">
        <v>3623</v>
      </c>
      <c r="I380">
        <v>3623</v>
      </c>
      <c r="J380">
        <v>3623</v>
      </c>
      <c r="L380" s="3">
        <v>0</v>
      </c>
      <c r="M380" s="3">
        <v>0</v>
      </c>
      <c r="N380" s="3">
        <v>0</v>
      </c>
      <c r="O380" s="3">
        <v>69.180000000000007</v>
      </c>
      <c r="P380" s="3">
        <v>0</v>
      </c>
      <c r="Q380" s="3">
        <v>0</v>
      </c>
      <c r="R380" s="3">
        <v>0</v>
      </c>
      <c r="S380" s="3">
        <v>0</v>
      </c>
      <c r="T380" s="3">
        <v>0</v>
      </c>
      <c r="U380" s="3">
        <v>69.180000000000007</v>
      </c>
      <c r="V380" t="s">
        <v>55</v>
      </c>
    </row>
    <row r="381" spans="1:22" hidden="1" x14ac:dyDescent="0.25">
      <c r="A381" t="s">
        <v>8609</v>
      </c>
      <c r="B381" t="s">
        <v>8772</v>
      </c>
      <c r="C381" t="s">
        <v>1</v>
      </c>
      <c r="D381" t="s">
        <v>8526</v>
      </c>
      <c r="E381" t="s">
        <v>8147</v>
      </c>
      <c r="F381" t="s">
        <v>8146</v>
      </c>
      <c r="G381">
        <v>3624</v>
      </c>
      <c r="H381">
        <v>3624</v>
      </c>
      <c r="I381">
        <v>3624</v>
      </c>
      <c r="J381">
        <v>3624</v>
      </c>
      <c r="L381" s="3">
        <v>0</v>
      </c>
      <c r="M381" s="3">
        <v>0</v>
      </c>
      <c r="N381" s="3">
        <v>0</v>
      </c>
      <c r="O381" s="3">
        <v>75</v>
      </c>
      <c r="P381" s="3">
        <v>0</v>
      </c>
      <c r="Q381" s="3">
        <v>0</v>
      </c>
      <c r="R381" s="3">
        <v>0</v>
      </c>
      <c r="S381" s="3">
        <v>0</v>
      </c>
      <c r="T381" s="3">
        <v>0</v>
      </c>
      <c r="U381" s="3">
        <v>75</v>
      </c>
      <c r="V381" t="s">
        <v>55</v>
      </c>
    </row>
    <row r="382" spans="1:22" hidden="1" x14ac:dyDescent="0.25">
      <c r="A382" t="s">
        <v>8609</v>
      </c>
      <c r="B382" t="s">
        <v>8772</v>
      </c>
      <c r="C382" t="s">
        <v>1</v>
      </c>
      <c r="D382" t="s">
        <v>8526</v>
      </c>
      <c r="E382" t="s">
        <v>8147</v>
      </c>
      <c r="F382" t="s">
        <v>8146</v>
      </c>
      <c r="G382">
        <v>3625</v>
      </c>
      <c r="H382">
        <v>3625</v>
      </c>
      <c r="I382">
        <v>3625</v>
      </c>
      <c r="J382">
        <v>3625</v>
      </c>
      <c r="L382" s="3">
        <v>0</v>
      </c>
      <c r="M382" s="3">
        <v>0</v>
      </c>
      <c r="N382" s="3">
        <v>0</v>
      </c>
      <c r="O382" s="3">
        <v>20</v>
      </c>
      <c r="P382" s="3">
        <v>0</v>
      </c>
      <c r="Q382" s="3">
        <v>0</v>
      </c>
      <c r="R382" s="3">
        <v>0</v>
      </c>
      <c r="S382" s="3">
        <v>0</v>
      </c>
      <c r="T382" s="3">
        <v>0</v>
      </c>
      <c r="U382" s="3">
        <v>20</v>
      </c>
      <c r="V382" t="s">
        <v>55</v>
      </c>
    </row>
    <row r="383" spans="1:22" hidden="1" x14ac:dyDescent="0.25">
      <c r="A383" t="s">
        <v>8609</v>
      </c>
      <c r="B383" t="s">
        <v>8772</v>
      </c>
      <c r="C383" t="s">
        <v>1</v>
      </c>
      <c r="D383" t="s">
        <v>8526</v>
      </c>
      <c r="E383" t="s">
        <v>8147</v>
      </c>
      <c r="F383" t="s">
        <v>8146</v>
      </c>
      <c r="G383">
        <v>3626</v>
      </c>
      <c r="H383">
        <v>3626</v>
      </c>
      <c r="I383">
        <v>3626</v>
      </c>
      <c r="J383">
        <v>3626</v>
      </c>
      <c r="L383" s="3">
        <v>0</v>
      </c>
      <c r="M383" s="3">
        <v>0</v>
      </c>
      <c r="N383" s="3">
        <v>0</v>
      </c>
      <c r="O383" s="3">
        <v>269.19</v>
      </c>
      <c r="P383" s="3">
        <v>0</v>
      </c>
      <c r="Q383" s="3">
        <v>0</v>
      </c>
      <c r="R383" s="3">
        <v>0</v>
      </c>
      <c r="S383" s="3">
        <v>0</v>
      </c>
      <c r="T383" s="3">
        <v>0</v>
      </c>
      <c r="U383" s="3">
        <v>269.19</v>
      </c>
      <c r="V383" t="s">
        <v>55</v>
      </c>
    </row>
    <row r="384" spans="1:22" hidden="1" x14ac:dyDescent="0.25">
      <c r="A384" t="s">
        <v>8609</v>
      </c>
      <c r="B384" t="s">
        <v>8771</v>
      </c>
      <c r="C384" t="s">
        <v>1</v>
      </c>
      <c r="D384" t="s">
        <v>8526</v>
      </c>
      <c r="E384" t="s">
        <v>8147</v>
      </c>
      <c r="F384" t="s">
        <v>8146</v>
      </c>
      <c r="G384">
        <v>3627</v>
      </c>
      <c r="H384">
        <v>3627</v>
      </c>
      <c r="I384">
        <v>3627</v>
      </c>
      <c r="J384">
        <v>3627</v>
      </c>
      <c r="L384" s="3">
        <v>0</v>
      </c>
      <c r="M384" s="3">
        <v>0</v>
      </c>
      <c r="N384" s="3">
        <v>0</v>
      </c>
      <c r="O384" s="3">
        <v>146.9</v>
      </c>
      <c r="P384" s="3">
        <v>0</v>
      </c>
      <c r="Q384" s="3">
        <v>0</v>
      </c>
      <c r="R384" s="3">
        <v>0</v>
      </c>
      <c r="S384" s="3">
        <v>0</v>
      </c>
      <c r="T384" s="3">
        <v>0</v>
      </c>
      <c r="U384" s="3">
        <v>146.9</v>
      </c>
      <c r="V384" t="s">
        <v>55</v>
      </c>
    </row>
    <row r="385" spans="1:22" hidden="1" x14ac:dyDescent="0.25">
      <c r="A385" t="s">
        <v>8609</v>
      </c>
      <c r="B385" t="s">
        <v>8771</v>
      </c>
      <c r="C385" t="s">
        <v>1</v>
      </c>
      <c r="D385" t="s">
        <v>8526</v>
      </c>
      <c r="E385" t="s">
        <v>8147</v>
      </c>
      <c r="F385" t="s">
        <v>8146</v>
      </c>
      <c r="G385">
        <v>3628</v>
      </c>
      <c r="H385">
        <v>3628</v>
      </c>
      <c r="I385">
        <v>3628</v>
      </c>
      <c r="J385">
        <v>3628</v>
      </c>
      <c r="L385" s="3">
        <v>0</v>
      </c>
      <c r="M385" s="3">
        <v>0</v>
      </c>
      <c r="N385" s="3">
        <v>0</v>
      </c>
      <c r="O385" s="3">
        <v>135.6</v>
      </c>
      <c r="P385" s="3">
        <v>0</v>
      </c>
      <c r="Q385" s="3">
        <v>0</v>
      </c>
      <c r="R385" s="3">
        <v>0</v>
      </c>
      <c r="S385" s="3">
        <v>0</v>
      </c>
      <c r="T385" s="3">
        <v>0</v>
      </c>
      <c r="U385" s="3">
        <v>135.6</v>
      </c>
      <c r="V385" t="s">
        <v>55</v>
      </c>
    </row>
    <row r="386" spans="1:22" hidden="1" x14ac:dyDescent="0.25">
      <c r="A386" t="s">
        <v>8609</v>
      </c>
      <c r="B386" t="s">
        <v>8771</v>
      </c>
      <c r="C386" t="s">
        <v>1</v>
      </c>
      <c r="D386" t="s">
        <v>8526</v>
      </c>
      <c r="E386" t="s">
        <v>8147</v>
      </c>
      <c r="F386" t="s">
        <v>8146</v>
      </c>
      <c r="G386">
        <v>3629</v>
      </c>
      <c r="H386">
        <v>3629</v>
      </c>
      <c r="I386">
        <v>3629</v>
      </c>
      <c r="J386">
        <v>3629</v>
      </c>
      <c r="L386" s="3">
        <v>0</v>
      </c>
      <c r="M386" s="3">
        <v>0</v>
      </c>
      <c r="N386" s="3">
        <v>0</v>
      </c>
      <c r="O386" s="3">
        <v>23.04</v>
      </c>
      <c r="P386" s="3">
        <v>0</v>
      </c>
      <c r="Q386" s="3">
        <v>0</v>
      </c>
      <c r="R386" s="3">
        <v>0</v>
      </c>
      <c r="S386" s="3">
        <v>0</v>
      </c>
      <c r="T386" s="3">
        <v>0</v>
      </c>
      <c r="U386" s="3">
        <v>23.04</v>
      </c>
      <c r="V386" t="s">
        <v>55</v>
      </c>
    </row>
    <row r="387" spans="1:22" hidden="1" x14ac:dyDescent="0.25">
      <c r="A387" t="s">
        <v>8609</v>
      </c>
      <c r="B387" t="s">
        <v>8771</v>
      </c>
      <c r="C387" t="s">
        <v>1</v>
      </c>
      <c r="D387" t="s">
        <v>8526</v>
      </c>
      <c r="E387" t="s">
        <v>8147</v>
      </c>
      <c r="F387" t="s">
        <v>8146</v>
      </c>
      <c r="G387">
        <v>3630</v>
      </c>
      <c r="H387">
        <v>3630</v>
      </c>
      <c r="I387">
        <v>3630</v>
      </c>
      <c r="J387">
        <v>3630</v>
      </c>
      <c r="L387" s="3">
        <v>0</v>
      </c>
      <c r="M387" s="3">
        <v>0</v>
      </c>
      <c r="N387" s="3">
        <v>0</v>
      </c>
      <c r="O387" s="3">
        <v>45.2</v>
      </c>
      <c r="P387" s="3">
        <v>0</v>
      </c>
      <c r="Q387" s="3">
        <v>0</v>
      </c>
      <c r="R387" s="3">
        <v>0</v>
      </c>
      <c r="S387" s="3">
        <v>0</v>
      </c>
      <c r="T387" s="3">
        <v>0</v>
      </c>
      <c r="U387" s="3">
        <v>45.2</v>
      </c>
      <c r="V387" t="s">
        <v>55</v>
      </c>
    </row>
    <row r="388" spans="1:22" hidden="1" x14ac:dyDescent="0.25">
      <c r="A388" t="s">
        <v>8609</v>
      </c>
      <c r="B388" t="s">
        <v>8771</v>
      </c>
      <c r="C388" t="s">
        <v>1</v>
      </c>
      <c r="D388" t="s">
        <v>8526</v>
      </c>
      <c r="E388" t="s">
        <v>8147</v>
      </c>
      <c r="F388" t="s">
        <v>8146</v>
      </c>
      <c r="G388">
        <v>3631</v>
      </c>
      <c r="H388">
        <v>3631</v>
      </c>
      <c r="I388">
        <v>3631</v>
      </c>
      <c r="J388">
        <v>3631</v>
      </c>
      <c r="L388" s="3">
        <v>0</v>
      </c>
      <c r="M388" s="3">
        <v>0</v>
      </c>
      <c r="N388" s="3">
        <v>0</v>
      </c>
      <c r="O388" s="3">
        <v>261.35000000000002</v>
      </c>
      <c r="P388" s="3">
        <v>0</v>
      </c>
      <c r="Q388" s="3">
        <v>0</v>
      </c>
      <c r="R388" s="3">
        <v>0</v>
      </c>
      <c r="S388" s="3">
        <v>0</v>
      </c>
      <c r="T388" s="3">
        <v>0</v>
      </c>
      <c r="U388" s="3">
        <v>261.35000000000002</v>
      </c>
      <c r="V388" t="s">
        <v>55</v>
      </c>
    </row>
    <row r="389" spans="1:22" hidden="1" x14ac:dyDescent="0.25">
      <c r="A389" t="s">
        <v>8609</v>
      </c>
      <c r="B389" t="s">
        <v>8771</v>
      </c>
      <c r="C389" t="s">
        <v>1</v>
      </c>
      <c r="D389" t="s">
        <v>8526</v>
      </c>
      <c r="E389" t="s">
        <v>8147</v>
      </c>
      <c r="F389" t="s">
        <v>8146</v>
      </c>
      <c r="G389">
        <v>3632</v>
      </c>
      <c r="H389">
        <v>3632</v>
      </c>
      <c r="I389">
        <v>3632</v>
      </c>
      <c r="J389">
        <v>3632</v>
      </c>
      <c r="L389" s="3">
        <v>0</v>
      </c>
      <c r="M389" s="3">
        <v>0</v>
      </c>
      <c r="N389" s="3">
        <v>0</v>
      </c>
      <c r="O389" s="3">
        <v>19.04</v>
      </c>
      <c r="P389" s="3">
        <v>0</v>
      </c>
      <c r="Q389" s="3">
        <v>0</v>
      </c>
      <c r="R389" s="3">
        <v>0</v>
      </c>
      <c r="S389" s="3">
        <v>0</v>
      </c>
      <c r="T389" s="3">
        <v>0</v>
      </c>
      <c r="U389" s="3">
        <v>19.04</v>
      </c>
      <c r="V389" t="s">
        <v>55</v>
      </c>
    </row>
    <row r="390" spans="1:22" hidden="1" x14ac:dyDescent="0.25">
      <c r="A390" t="s">
        <v>8609</v>
      </c>
      <c r="B390" t="s">
        <v>8775</v>
      </c>
      <c r="C390" t="s">
        <v>1</v>
      </c>
      <c r="D390" t="s">
        <v>8526</v>
      </c>
      <c r="E390" t="s">
        <v>8147</v>
      </c>
      <c r="F390" t="s">
        <v>8146</v>
      </c>
      <c r="G390">
        <v>3633</v>
      </c>
      <c r="H390">
        <v>3633</v>
      </c>
      <c r="I390">
        <v>3633</v>
      </c>
      <c r="J390">
        <v>3633</v>
      </c>
      <c r="L390" s="3">
        <v>0</v>
      </c>
      <c r="M390" s="3">
        <v>0</v>
      </c>
      <c r="N390" s="3">
        <v>0</v>
      </c>
      <c r="O390" s="3">
        <v>69.150000000000006</v>
      </c>
      <c r="P390" s="3">
        <v>0</v>
      </c>
      <c r="Q390" s="3">
        <v>0</v>
      </c>
      <c r="R390" s="3">
        <v>0</v>
      </c>
      <c r="S390" s="3">
        <v>0</v>
      </c>
      <c r="T390" s="3">
        <v>0</v>
      </c>
      <c r="U390" s="3">
        <v>69.150000000000006</v>
      </c>
      <c r="V390" t="s">
        <v>55</v>
      </c>
    </row>
    <row r="391" spans="1:22" hidden="1" x14ac:dyDescent="0.25">
      <c r="A391" t="s">
        <v>8609</v>
      </c>
      <c r="B391" t="s">
        <v>8775</v>
      </c>
      <c r="C391" t="s">
        <v>1</v>
      </c>
      <c r="D391" t="s">
        <v>8526</v>
      </c>
      <c r="E391" t="s">
        <v>8147</v>
      </c>
      <c r="F391" t="s">
        <v>8146</v>
      </c>
      <c r="G391">
        <v>3634</v>
      </c>
      <c r="H391">
        <v>3634</v>
      </c>
      <c r="I391">
        <v>3634</v>
      </c>
      <c r="J391">
        <v>3634</v>
      </c>
      <c r="L391" s="3">
        <v>0</v>
      </c>
      <c r="M391" s="3">
        <v>0</v>
      </c>
      <c r="N391" s="3">
        <v>0</v>
      </c>
      <c r="O391" s="3">
        <v>32.33</v>
      </c>
      <c r="P391" s="3">
        <v>0</v>
      </c>
      <c r="Q391" s="3">
        <v>0</v>
      </c>
      <c r="R391" s="3">
        <v>0</v>
      </c>
      <c r="S391" s="3">
        <v>0</v>
      </c>
      <c r="T391" s="3">
        <v>0</v>
      </c>
      <c r="U391" s="3">
        <v>32.33</v>
      </c>
      <c r="V391" t="s">
        <v>55</v>
      </c>
    </row>
    <row r="392" spans="1:22" hidden="1" x14ac:dyDescent="0.25">
      <c r="A392" t="s">
        <v>8609</v>
      </c>
      <c r="B392" t="s">
        <v>8775</v>
      </c>
      <c r="C392" t="s">
        <v>1</v>
      </c>
      <c r="D392" t="s">
        <v>8526</v>
      </c>
      <c r="E392" t="s">
        <v>8147</v>
      </c>
      <c r="F392" t="s">
        <v>8146</v>
      </c>
      <c r="G392">
        <v>3635</v>
      </c>
      <c r="H392">
        <v>3635</v>
      </c>
      <c r="I392">
        <v>3635</v>
      </c>
      <c r="J392">
        <v>3635</v>
      </c>
      <c r="L392" s="3">
        <v>0</v>
      </c>
      <c r="M392" s="3">
        <v>0</v>
      </c>
      <c r="N392" s="3">
        <v>0</v>
      </c>
      <c r="O392" s="3">
        <v>382.5</v>
      </c>
      <c r="P392" s="3">
        <v>0</v>
      </c>
      <c r="Q392" s="3">
        <v>0</v>
      </c>
      <c r="R392" s="3">
        <v>0</v>
      </c>
      <c r="S392" s="3">
        <v>0</v>
      </c>
      <c r="T392" s="3">
        <v>0</v>
      </c>
      <c r="U392" s="3">
        <v>382.5</v>
      </c>
      <c r="V392" t="s">
        <v>55</v>
      </c>
    </row>
    <row r="393" spans="1:22" hidden="1" x14ac:dyDescent="0.25">
      <c r="A393" t="s">
        <v>8609</v>
      </c>
      <c r="B393" t="s">
        <v>8775</v>
      </c>
      <c r="C393" t="s">
        <v>1</v>
      </c>
      <c r="D393" t="s">
        <v>8526</v>
      </c>
      <c r="E393" t="s">
        <v>8147</v>
      </c>
      <c r="F393" t="s">
        <v>8146</v>
      </c>
      <c r="G393">
        <v>3636</v>
      </c>
      <c r="H393">
        <v>3636</v>
      </c>
      <c r="I393">
        <v>3636</v>
      </c>
      <c r="J393">
        <v>3636</v>
      </c>
      <c r="L393" s="3">
        <v>0</v>
      </c>
      <c r="M393" s="3">
        <v>0</v>
      </c>
      <c r="N393" s="3">
        <v>0</v>
      </c>
      <c r="O393" s="3">
        <v>33.9</v>
      </c>
      <c r="P393" s="3">
        <v>0</v>
      </c>
      <c r="Q393" s="3">
        <v>0</v>
      </c>
      <c r="R393" s="3">
        <v>0</v>
      </c>
      <c r="S393" s="3">
        <v>0</v>
      </c>
      <c r="T393" s="3">
        <v>0</v>
      </c>
      <c r="U393" s="3">
        <v>33.9</v>
      </c>
      <c r="V393" t="s">
        <v>55</v>
      </c>
    </row>
    <row r="394" spans="1:22" hidden="1" x14ac:dyDescent="0.25">
      <c r="A394" t="s">
        <v>8609</v>
      </c>
      <c r="B394" t="s">
        <v>8774</v>
      </c>
      <c r="C394" t="s">
        <v>1</v>
      </c>
      <c r="D394" s="33" t="s">
        <v>8127</v>
      </c>
      <c r="E394" t="s">
        <v>8128</v>
      </c>
      <c r="F394" t="s">
        <v>8129</v>
      </c>
      <c r="G394">
        <v>214</v>
      </c>
      <c r="H394">
        <v>214</v>
      </c>
      <c r="I394">
        <v>214</v>
      </c>
      <c r="J394">
        <v>214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3">
        <v>0</v>
      </c>
      <c r="T394" s="3">
        <v>0</v>
      </c>
      <c r="U394" s="3">
        <v>0</v>
      </c>
      <c r="V394" t="s">
        <v>55</v>
      </c>
    </row>
    <row r="395" spans="1:22" hidden="1" x14ac:dyDescent="0.25">
      <c r="A395" t="s">
        <v>8609</v>
      </c>
      <c r="B395" t="s">
        <v>8774</v>
      </c>
      <c r="C395" t="s">
        <v>1</v>
      </c>
      <c r="D395" s="33" t="s">
        <v>8127</v>
      </c>
      <c r="E395" t="s">
        <v>8128</v>
      </c>
      <c r="F395" t="s">
        <v>8129</v>
      </c>
      <c r="G395">
        <v>215</v>
      </c>
      <c r="H395">
        <v>215</v>
      </c>
      <c r="I395">
        <v>215</v>
      </c>
      <c r="J395">
        <v>215</v>
      </c>
      <c r="L395" s="3">
        <v>0</v>
      </c>
      <c r="M395" s="3">
        <v>0</v>
      </c>
      <c r="N395" s="3">
        <v>0</v>
      </c>
      <c r="O395" s="3">
        <v>0</v>
      </c>
      <c r="P395" s="3">
        <v>796.96</v>
      </c>
      <c r="Q395" s="3">
        <v>0</v>
      </c>
      <c r="R395" s="3">
        <v>0</v>
      </c>
      <c r="S395" s="3">
        <v>0</v>
      </c>
      <c r="T395" s="3">
        <v>0</v>
      </c>
      <c r="U395" s="3">
        <v>796.96</v>
      </c>
      <c r="V395" t="s">
        <v>55</v>
      </c>
    </row>
    <row r="396" spans="1:22" hidden="1" x14ac:dyDescent="0.25">
      <c r="A396" t="s">
        <v>8609</v>
      </c>
      <c r="B396" t="s">
        <v>8773</v>
      </c>
      <c r="C396" t="s">
        <v>1</v>
      </c>
      <c r="D396" s="33" t="s">
        <v>8127</v>
      </c>
      <c r="E396" t="s">
        <v>8128</v>
      </c>
      <c r="F396" t="s">
        <v>8129</v>
      </c>
      <c r="G396">
        <v>216</v>
      </c>
      <c r="H396">
        <v>216</v>
      </c>
      <c r="I396">
        <v>216</v>
      </c>
      <c r="J396">
        <v>216</v>
      </c>
      <c r="L396" s="3">
        <v>0</v>
      </c>
      <c r="M396" s="3">
        <v>0</v>
      </c>
      <c r="N396" s="3">
        <v>0</v>
      </c>
      <c r="O396" s="3">
        <v>0</v>
      </c>
      <c r="P396" s="3">
        <v>3393.74</v>
      </c>
      <c r="Q396" s="3">
        <v>0</v>
      </c>
      <c r="R396" s="3">
        <v>0</v>
      </c>
      <c r="S396" s="3">
        <v>0</v>
      </c>
      <c r="T396" s="3">
        <v>0</v>
      </c>
      <c r="U396" s="3">
        <v>3393.74</v>
      </c>
      <c r="V396" t="s">
        <v>55</v>
      </c>
    </row>
    <row r="397" spans="1:22" hidden="1" x14ac:dyDescent="0.25">
      <c r="A397" t="s">
        <v>8609</v>
      </c>
      <c r="B397" t="s">
        <v>8773</v>
      </c>
      <c r="C397" t="s">
        <v>1</v>
      </c>
      <c r="D397" s="33" t="s">
        <v>8127</v>
      </c>
      <c r="E397" t="s">
        <v>8128</v>
      </c>
      <c r="F397" t="s">
        <v>8129</v>
      </c>
      <c r="G397">
        <v>217</v>
      </c>
      <c r="H397">
        <v>217</v>
      </c>
      <c r="I397">
        <v>217</v>
      </c>
      <c r="J397">
        <v>217</v>
      </c>
      <c r="L397" s="3">
        <v>0</v>
      </c>
      <c r="M397" s="3">
        <v>0</v>
      </c>
      <c r="N397" s="3">
        <v>0</v>
      </c>
      <c r="O397" s="3">
        <v>0</v>
      </c>
      <c r="P397" s="3">
        <v>208.45</v>
      </c>
      <c r="Q397" s="3">
        <v>0</v>
      </c>
      <c r="R397" s="3">
        <v>0</v>
      </c>
      <c r="S397" s="3">
        <v>0</v>
      </c>
      <c r="T397" s="3">
        <v>0</v>
      </c>
      <c r="U397" s="3">
        <v>208.45</v>
      </c>
      <c r="V397" t="s">
        <v>55</v>
      </c>
    </row>
    <row r="398" spans="1:22" hidden="1" x14ac:dyDescent="0.25">
      <c r="A398" t="s">
        <v>8609</v>
      </c>
      <c r="B398" t="s">
        <v>8768</v>
      </c>
      <c r="C398" t="s">
        <v>1</v>
      </c>
      <c r="D398" s="33" t="s">
        <v>8127</v>
      </c>
      <c r="E398" t="s">
        <v>8128</v>
      </c>
      <c r="F398" t="s">
        <v>8129</v>
      </c>
      <c r="G398">
        <v>218</v>
      </c>
      <c r="H398">
        <v>218</v>
      </c>
      <c r="I398">
        <v>218</v>
      </c>
      <c r="J398">
        <v>218</v>
      </c>
      <c r="L398" s="3">
        <v>0</v>
      </c>
      <c r="M398" s="3">
        <v>0</v>
      </c>
      <c r="N398" s="3">
        <v>0</v>
      </c>
      <c r="O398" s="3">
        <v>0</v>
      </c>
      <c r="P398" s="3">
        <v>132.75</v>
      </c>
      <c r="Q398" s="3">
        <v>0</v>
      </c>
      <c r="R398" s="3">
        <v>0</v>
      </c>
      <c r="S398" s="3">
        <v>0</v>
      </c>
      <c r="T398" s="3">
        <v>0</v>
      </c>
      <c r="U398" s="3">
        <v>132.75</v>
      </c>
      <c r="V398" t="s">
        <v>55</v>
      </c>
    </row>
    <row r="399" spans="1:22" hidden="1" x14ac:dyDescent="0.25">
      <c r="A399" t="s">
        <v>8609</v>
      </c>
      <c r="B399" t="s">
        <v>8769</v>
      </c>
      <c r="C399" t="s">
        <v>1</v>
      </c>
      <c r="D399" s="33" t="s">
        <v>8127</v>
      </c>
      <c r="E399" t="s">
        <v>8128</v>
      </c>
      <c r="F399" t="s">
        <v>8129</v>
      </c>
      <c r="G399">
        <v>219</v>
      </c>
      <c r="H399">
        <v>219</v>
      </c>
      <c r="I399">
        <v>219</v>
      </c>
      <c r="J399">
        <v>219</v>
      </c>
      <c r="L399" s="3">
        <v>0</v>
      </c>
      <c r="M399" s="3">
        <v>0</v>
      </c>
      <c r="N399" s="3">
        <v>0</v>
      </c>
      <c r="O399" s="3">
        <v>0</v>
      </c>
      <c r="P399" s="3">
        <v>28.75</v>
      </c>
      <c r="Q399" s="3">
        <v>0</v>
      </c>
      <c r="R399" s="3">
        <v>0</v>
      </c>
      <c r="S399" s="3">
        <v>0</v>
      </c>
      <c r="T399" s="3">
        <v>0</v>
      </c>
      <c r="U399" s="3">
        <v>28.75</v>
      </c>
      <c r="V399" t="s">
        <v>55</v>
      </c>
    </row>
    <row r="400" spans="1:22" hidden="1" x14ac:dyDescent="0.25">
      <c r="A400" t="s">
        <v>8609</v>
      </c>
      <c r="B400" t="s">
        <v>8772</v>
      </c>
      <c r="C400" t="s">
        <v>1</v>
      </c>
      <c r="D400" s="33" t="s">
        <v>8127</v>
      </c>
      <c r="E400" t="s">
        <v>8128</v>
      </c>
      <c r="F400" t="s">
        <v>8129</v>
      </c>
      <c r="G400">
        <v>220</v>
      </c>
      <c r="H400">
        <v>220</v>
      </c>
      <c r="I400">
        <v>220</v>
      </c>
      <c r="J400">
        <v>220</v>
      </c>
      <c r="L400" s="3">
        <v>0</v>
      </c>
      <c r="M400" s="3">
        <v>0</v>
      </c>
      <c r="N400" s="3">
        <v>0</v>
      </c>
      <c r="O400" s="3">
        <v>0</v>
      </c>
      <c r="P400" s="3">
        <v>190.24</v>
      </c>
      <c r="Q400" s="3">
        <v>0</v>
      </c>
      <c r="R400" s="3">
        <v>0</v>
      </c>
      <c r="S400" s="3">
        <v>0</v>
      </c>
      <c r="T400" s="3">
        <v>0</v>
      </c>
      <c r="U400" s="3">
        <v>190.24</v>
      </c>
      <c r="V400" t="s">
        <v>55</v>
      </c>
    </row>
    <row r="401" spans="1:22" hidden="1" x14ac:dyDescent="0.25">
      <c r="A401" t="s">
        <v>8609</v>
      </c>
      <c r="B401" t="s">
        <v>8771</v>
      </c>
      <c r="C401" t="s">
        <v>1</v>
      </c>
      <c r="D401" s="33" t="s">
        <v>8127</v>
      </c>
      <c r="E401" t="s">
        <v>8128</v>
      </c>
      <c r="F401" t="s">
        <v>8129</v>
      </c>
      <c r="G401">
        <v>221</v>
      </c>
      <c r="H401">
        <v>221</v>
      </c>
      <c r="I401">
        <v>221</v>
      </c>
      <c r="J401">
        <v>221</v>
      </c>
      <c r="L401" s="3">
        <v>0</v>
      </c>
      <c r="M401" s="3">
        <v>0</v>
      </c>
      <c r="N401" s="3">
        <v>0</v>
      </c>
      <c r="O401" s="3">
        <v>0</v>
      </c>
      <c r="P401" s="3">
        <v>4.1900000000000004</v>
      </c>
      <c r="Q401" s="3">
        <v>0</v>
      </c>
      <c r="R401" s="3">
        <v>0</v>
      </c>
      <c r="S401" s="3">
        <v>0</v>
      </c>
      <c r="T401" s="3">
        <v>0</v>
      </c>
      <c r="U401" s="3">
        <v>4.1900000000000004</v>
      </c>
      <c r="V401" t="s">
        <v>55</v>
      </c>
    </row>
    <row r="402" spans="1:22" hidden="1" x14ac:dyDescent="0.25">
      <c r="A402" t="s">
        <v>8609</v>
      </c>
      <c r="B402" t="s">
        <v>8770</v>
      </c>
      <c r="C402" t="s">
        <v>1</v>
      </c>
      <c r="D402" t="s">
        <v>8526</v>
      </c>
      <c r="E402" t="s">
        <v>8137</v>
      </c>
      <c r="F402" t="s">
        <v>8138</v>
      </c>
      <c r="G402">
        <v>127</v>
      </c>
      <c r="H402">
        <v>127</v>
      </c>
      <c r="I402">
        <v>127</v>
      </c>
      <c r="J402">
        <v>127</v>
      </c>
      <c r="L402" s="3">
        <v>0</v>
      </c>
      <c r="M402" s="3">
        <v>0</v>
      </c>
      <c r="N402" s="3">
        <v>0</v>
      </c>
      <c r="O402" s="3">
        <v>12.75</v>
      </c>
      <c r="P402" s="3">
        <v>0</v>
      </c>
      <c r="Q402" s="3">
        <v>0</v>
      </c>
      <c r="R402" s="3">
        <v>0</v>
      </c>
      <c r="S402" s="3">
        <v>0</v>
      </c>
      <c r="T402" s="3">
        <v>0</v>
      </c>
      <c r="U402" s="3">
        <v>12.75</v>
      </c>
      <c r="V402" t="s">
        <v>55</v>
      </c>
    </row>
    <row r="403" spans="1:22" hidden="1" x14ac:dyDescent="0.25">
      <c r="A403" t="s">
        <v>8609</v>
      </c>
      <c r="B403" t="s">
        <v>8770</v>
      </c>
      <c r="C403" t="s">
        <v>1</v>
      </c>
      <c r="D403" t="s">
        <v>8526</v>
      </c>
      <c r="E403" t="s">
        <v>8137</v>
      </c>
      <c r="F403" t="s">
        <v>8138</v>
      </c>
      <c r="G403">
        <v>126</v>
      </c>
      <c r="H403">
        <v>126</v>
      </c>
      <c r="I403">
        <v>126</v>
      </c>
      <c r="J403">
        <v>126</v>
      </c>
      <c r="L403" s="3">
        <v>0</v>
      </c>
      <c r="M403" s="3">
        <v>0</v>
      </c>
      <c r="N403" s="3">
        <v>0</v>
      </c>
      <c r="O403" s="3">
        <v>10.65</v>
      </c>
      <c r="P403" s="3">
        <v>0</v>
      </c>
      <c r="Q403" s="3">
        <v>0</v>
      </c>
      <c r="R403" s="3">
        <v>0</v>
      </c>
      <c r="S403" s="3">
        <v>0</v>
      </c>
      <c r="T403" s="3">
        <v>0</v>
      </c>
      <c r="U403" s="3">
        <v>10.65</v>
      </c>
      <c r="V403" t="s">
        <v>55</v>
      </c>
    </row>
    <row r="404" spans="1:22" hidden="1" x14ac:dyDescent="0.25">
      <c r="A404" t="s">
        <v>8609</v>
      </c>
      <c r="B404" t="s">
        <v>8769</v>
      </c>
      <c r="C404" t="s">
        <v>1</v>
      </c>
      <c r="D404" t="s">
        <v>8526</v>
      </c>
      <c r="E404" t="s">
        <v>8137</v>
      </c>
      <c r="F404" t="s">
        <v>8138</v>
      </c>
      <c r="G404">
        <v>125</v>
      </c>
      <c r="H404">
        <v>125</v>
      </c>
      <c r="I404">
        <v>125</v>
      </c>
      <c r="J404">
        <v>125</v>
      </c>
      <c r="L404" s="3">
        <v>0</v>
      </c>
      <c r="M404" s="3">
        <v>0</v>
      </c>
      <c r="N404" s="3">
        <v>0</v>
      </c>
      <c r="O404" s="3">
        <v>15</v>
      </c>
      <c r="P404" s="3">
        <v>0</v>
      </c>
      <c r="Q404" s="3">
        <v>0</v>
      </c>
      <c r="R404" s="3">
        <v>0</v>
      </c>
      <c r="S404" s="3">
        <v>0</v>
      </c>
      <c r="T404" s="3">
        <v>0</v>
      </c>
      <c r="U404" s="3">
        <v>15</v>
      </c>
      <c r="V404" t="s">
        <v>55</v>
      </c>
    </row>
    <row r="405" spans="1:22" hidden="1" x14ac:dyDescent="0.25">
      <c r="A405" t="s">
        <v>8609</v>
      </c>
      <c r="B405" t="s">
        <v>8769</v>
      </c>
      <c r="C405" t="s">
        <v>1</v>
      </c>
      <c r="D405" t="s">
        <v>8526</v>
      </c>
      <c r="E405" t="s">
        <v>8137</v>
      </c>
      <c r="F405" t="s">
        <v>8138</v>
      </c>
      <c r="G405">
        <v>124</v>
      </c>
      <c r="H405">
        <v>124</v>
      </c>
      <c r="I405">
        <v>124</v>
      </c>
      <c r="J405">
        <v>124</v>
      </c>
      <c r="L405" s="3">
        <v>0</v>
      </c>
      <c r="M405" s="3">
        <v>0</v>
      </c>
      <c r="N405" s="3">
        <v>0</v>
      </c>
      <c r="O405" s="3">
        <v>2.5499999999999998</v>
      </c>
      <c r="P405" s="3">
        <v>0</v>
      </c>
      <c r="Q405" s="3">
        <v>0</v>
      </c>
      <c r="R405" s="3">
        <v>0</v>
      </c>
      <c r="S405" s="3">
        <v>0</v>
      </c>
      <c r="T405" s="3">
        <v>0</v>
      </c>
      <c r="U405" s="3">
        <v>2.5499999999999998</v>
      </c>
      <c r="V405" t="s">
        <v>55</v>
      </c>
    </row>
    <row r="406" spans="1:22" hidden="1" x14ac:dyDescent="0.25">
      <c r="A406" t="s">
        <v>8609</v>
      </c>
      <c r="B406" t="s">
        <v>8768</v>
      </c>
      <c r="C406" t="s">
        <v>1</v>
      </c>
      <c r="D406" t="s">
        <v>8526</v>
      </c>
      <c r="E406" t="s">
        <v>8137</v>
      </c>
      <c r="F406" t="s">
        <v>8138</v>
      </c>
      <c r="G406">
        <v>123</v>
      </c>
      <c r="H406">
        <v>123</v>
      </c>
      <c r="I406">
        <v>123</v>
      </c>
      <c r="J406">
        <v>123</v>
      </c>
      <c r="L406" s="3">
        <v>0</v>
      </c>
      <c r="M406" s="3">
        <v>0</v>
      </c>
      <c r="N406" s="3">
        <v>0</v>
      </c>
      <c r="O406" s="3">
        <v>98.2</v>
      </c>
      <c r="P406" s="3">
        <v>0</v>
      </c>
      <c r="Q406" s="3">
        <v>0</v>
      </c>
      <c r="R406" s="3">
        <v>0</v>
      </c>
      <c r="S406" s="3">
        <v>0</v>
      </c>
      <c r="T406" s="3">
        <v>0</v>
      </c>
      <c r="U406" s="3">
        <v>98.2</v>
      </c>
      <c r="V406" t="s">
        <v>55</v>
      </c>
    </row>
    <row r="407" spans="1:22" hidden="1" x14ac:dyDescent="0.25">
      <c r="A407" t="s">
        <v>8609</v>
      </c>
      <c r="B407" t="s">
        <v>8767</v>
      </c>
      <c r="C407" t="s">
        <v>1</v>
      </c>
      <c r="D407" t="s">
        <v>8526</v>
      </c>
      <c r="E407" t="s">
        <v>8137</v>
      </c>
      <c r="F407" t="s">
        <v>8138</v>
      </c>
      <c r="G407">
        <v>122</v>
      </c>
      <c r="H407">
        <v>122</v>
      </c>
      <c r="I407">
        <v>122</v>
      </c>
      <c r="J407">
        <v>122</v>
      </c>
      <c r="L407" s="3">
        <v>0</v>
      </c>
      <c r="M407" s="3">
        <v>0</v>
      </c>
      <c r="N407" s="3">
        <v>0</v>
      </c>
      <c r="O407" s="3">
        <v>14.4</v>
      </c>
      <c r="P407" s="3">
        <v>0</v>
      </c>
      <c r="Q407" s="3">
        <v>0</v>
      </c>
      <c r="R407" s="3">
        <v>0</v>
      </c>
      <c r="S407" s="3">
        <v>0</v>
      </c>
      <c r="T407" s="3">
        <v>0</v>
      </c>
      <c r="U407" s="3">
        <v>14.4</v>
      </c>
      <c r="V407" t="s">
        <v>55</v>
      </c>
    </row>
    <row r="408" spans="1:22" hidden="1" x14ac:dyDescent="0.25">
      <c r="A408" t="s">
        <v>8609</v>
      </c>
      <c r="B408" t="s">
        <v>8767</v>
      </c>
      <c r="C408" t="s">
        <v>1</v>
      </c>
      <c r="D408" t="s">
        <v>8526</v>
      </c>
      <c r="E408" t="s">
        <v>8137</v>
      </c>
      <c r="F408" t="s">
        <v>8138</v>
      </c>
      <c r="G408">
        <v>121</v>
      </c>
      <c r="H408">
        <v>121</v>
      </c>
      <c r="I408">
        <v>121</v>
      </c>
      <c r="J408">
        <v>121</v>
      </c>
      <c r="L408" s="3">
        <v>0</v>
      </c>
      <c r="M408" s="3">
        <v>0</v>
      </c>
      <c r="N408" s="3">
        <v>0</v>
      </c>
      <c r="O408" s="3">
        <v>1.8</v>
      </c>
      <c r="P408" s="3">
        <v>0</v>
      </c>
      <c r="Q408" s="3">
        <v>0</v>
      </c>
      <c r="R408" s="3">
        <v>0</v>
      </c>
      <c r="S408" s="3">
        <v>0</v>
      </c>
      <c r="T408" s="3">
        <v>0</v>
      </c>
      <c r="U408" s="3">
        <v>1.8</v>
      </c>
      <c r="V408" t="s">
        <v>55</v>
      </c>
    </row>
    <row r="409" spans="1:22" hidden="1" x14ac:dyDescent="0.25">
      <c r="A409" t="s">
        <v>8609</v>
      </c>
      <c r="B409" t="s">
        <v>8766</v>
      </c>
      <c r="C409" t="s">
        <v>1</v>
      </c>
      <c r="D409" t="s">
        <v>8526</v>
      </c>
      <c r="E409" t="s">
        <v>8137</v>
      </c>
      <c r="F409" t="s">
        <v>8138</v>
      </c>
      <c r="G409">
        <v>120</v>
      </c>
      <c r="H409">
        <v>120</v>
      </c>
      <c r="I409">
        <v>120</v>
      </c>
      <c r="J409">
        <v>120</v>
      </c>
      <c r="L409" s="3">
        <v>0</v>
      </c>
      <c r="M409" s="3">
        <v>0</v>
      </c>
      <c r="N409" s="3">
        <v>0</v>
      </c>
      <c r="O409" s="3">
        <v>15</v>
      </c>
      <c r="P409" s="3">
        <v>0</v>
      </c>
      <c r="Q409" s="3">
        <v>0</v>
      </c>
      <c r="R409" s="3">
        <v>0</v>
      </c>
      <c r="S409" s="3">
        <v>0</v>
      </c>
      <c r="T409" s="3">
        <v>0</v>
      </c>
      <c r="U409" s="3">
        <v>15</v>
      </c>
      <c r="V409" t="s">
        <v>55</v>
      </c>
    </row>
    <row r="410" spans="1:22" hidden="1" x14ac:dyDescent="0.25">
      <c r="A410" t="s">
        <v>8609</v>
      </c>
      <c r="B410" t="s">
        <v>8765</v>
      </c>
      <c r="C410" t="s">
        <v>1</v>
      </c>
      <c r="D410" t="s">
        <v>8526</v>
      </c>
      <c r="E410" t="s">
        <v>8137</v>
      </c>
      <c r="F410" t="s">
        <v>8138</v>
      </c>
      <c r="G410">
        <v>119</v>
      </c>
      <c r="H410">
        <v>119</v>
      </c>
      <c r="I410">
        <v>119</v>
      </c>
      <c r="J410">
        <v>119</v>
      </c>
      <c r="L410" s="3">
        <v>0</v>
      </c>
      <c r="M410" s="3">
        <v>0</v>
      </c>
      <c r="N410" s="3">
        <v>0</v>
      </c>
      <c r="O410" s="3">
        <v>22.65</v>
      </c>
      <c r="P410" s="3">
        <v>0</v>
      </c>
      <c r="Q410" s="3">
        <v>0</v>
      </c>
      <c r="R410" s="3">
        <v>0</v>
      </c>
      <c r="S410" s="3">
        <v>0</v>
      </c>
      <c r="T410" s="3">
        <v>0</v>
      </c>
      <c r="U410" s="3">
        <v>22.65</v>
      </c>
      <c r="V410" t="s">
        <v>55</v>
      </c>
    </row>
    <row r="411" spans="1:22" hidden="1" x14ac:dyDescent="0.25">
      <c r="A411" t="s">
        <v>8609</v>
      </c>
      <c r="B411" t="s">
        <v>8765</v>
      </c>
      <c r="C411" t="s">
        <v>1</v>
      </c>
      <c r="D411" t="s">
        <v>8526</v>
      </c>
      <c r="E411" t="s">
        <v>8137</v>
      </c>
      <c r="F411" t="s">
        <v>8138</v>
      </c>
      <c r="G411">
        <v>118</v>
      </c>
      <c r="H411">
        <v>118</v>
      </c>
      <c r="I411">
        <v>118</v>
      </c>
      <c r="J411">
        <v>118</v>
      </c>
      <c r="L411" s="3">
        <v>0</v>
      </c>
      <c r="M411" s="3">
        <v>0</v>
      </c>
      <c r="N411" s="3">
        <v>0</v>
      </c>
      <c r="O411" s="3">
        <v>19</v>
      </c>
      <c r="P411" s="3">
        <v>0</v>
      </c>
      <c r="Q411" s="3">
        <v>0</v>
      </c>
      <c r="R411" s="3">
        <v>0</v>
      </c>
      <c r="S411" s="3">
        <v>0</v>
      </c>
      <c r="T411" s="3">
        <v>0</v>
      </c>
      <c r="U411" s="3">
        <v>19</v>
      </c>
      <c r="V411" t="s">
        <v>55</v>
      </c>
    </row>
    <row r="412" spans="1:22" hidden="1" x14ac:dyDescent="0.25">
      <c r="A412" t="s">
        <v>8609</v>
      </c>
      <c r="B412" t="s">
        <v>8764</v>
      </c>
      <c r="C412" t="s">
        <v>1</v>
      </c>
      <c r="D412" t="s">
        <v>8526</v>
      </c>
      <c r="E412" t="s">
        <v>8137</v>
      </c>
      <c r="F412" t="s">
        <v>8138</v>
      </c>
      <c r="G412">
        <v>117</v>
      </c>
      <c r="H412">
        <v>117</v>
      </c>
      <c r="I412">
        <v>117</v>
      </c>
      <c r="J412">
        <v>117</v>
      </c>
      <c r="L412" s="3">
        <v>0</v>
      </c>
      <c r="M412" s="3">
        <v>0</v>
      </c>
      <c r="N412" s="3">
        <v>0</v>
      </c>
      <c r="O412" s="3">
        <v>4</v>
      </c>
      <c r="P412" s="3">
        <v>0</v>
      </c>
      <c r="Q412" s="3">
        <v>0</v>
      </c>
      <c r="R412" s="3">
        <v>0</v>
      </c>
      <c r="S412" s="3">
        <v>0</v>
      </c>
      <c r="T412" s="3">
        <v>0</v>
      </c>
      <c r="U412" s="3">
        <v>4</v>
      </c>
      <c r="V412" t="s">
        <v>55</v>
      </c>
    </row>
    <row r="413" spans="1:22" hidden="1" x14ac:dyDescent="0.25">
      <c r="A413" t="s">
        <v>8608</v>
      </c>
      <c r="B413" t="s">
        <v>8682</v>
      </c>
      <c r="C413" t="s">
        <v>1</v>
      </c>
      <c r="D413" t="s">
        <v>8526</v>
      </c>
      <c r="E413" t="s">
        <v>8137</v>
      </c>
      <c r="F413" t="s">
        <v>8138</v>
      </c>
      <c r="G413">
        <v>116</v>
      </c>
      <c r="H413">
        <v>116</v>
      </c>
      <c r="I413">
        <v>116</v>
      </c>
      <c r="J413">
        <v>116</v>
      </c>
      <c r="L413" s="3">
        <v>0</v>
      </c>
      <c r="M413" s="3">
        <v>0</v>
      </c>
      <c r="N413" s="3">
        <v>0</v>
      </c>
      <c r="O413" s="3">
        <v>20.05</v>
      </c>
      <c r="P413" s="3">
        <v>0</v>
      </c>
      <c r="Q413" s="3">
        <v>0</v>
      </c>
      <c r="R413" s="3">
        <v>0</v>
      </c>
      <c r="S413" s="3">
        <v>0</v>
      </c>
      <c r="T413" s="3">
        <v>0</v>
      </c>
      <c r="U413" s="3">
        <v>20.05</v>
      </c>
      <c r="V413" t="s">
        <v>55</v>
      </c>
    </row>
    <row r="414" spans="1:22" hidden="1" x14ac:dyDescent="0.25">
      <c r="A414" t="s">
        <v>8608</v>
      </c>
      <c r="B414" t="s">
        <v>8683</v>
      </c>
      <c r="C414" t="s">
        <v>1</v>
      </c>
      <c r="D414" t="s">
        <v>8526</v>
      </c>
      <c r="E414" t="s">
        <v>8137</v>
      </c>
      <c r="F414" t="s">
        <v>8138</v>
      </c>
      <c r="G414">
        <v>114</v>
      </c>
      <c r="H414">
        <v>114</v>
      </c>
      <c r="I414">
        <v>114</v>
      </c>
      <c r="J414">
        <v>114</v>
      </c>
      <c r="L414" s="3">
        <v>0</v>
      </c>
      <c r="M414" s="3">
        <v>0</v>
      </c>
      <c r="N414" s="3">
        <v>0</v>
      </c>
      <c r="O414" s="3">
        <v>8.6999999999999993</v>
      </c>
      <c r="P414" s="3">
        <v>0</v>
      </c>
      <c r="Q414" s="3">
        <v>0</v>
      </c>
      <c r="R414" s="3">
        <v>0</v>
      </c>
      <c r="S414" s="3">
        <v>0</v>
      </c>
      <c r="T414" s="3">
        <v>0</v>
      </c>
      <c r="U414" s="3">
        <v>8.6999999999999993</v>
      </c>
      <c r="V414" t="s">
        <v>55</v>
      </c>
    </row>
    <row r="415" spans="1:22" hidden="1" x14ac:dyDescent="0.25">
      <c r="A415" t="s">
        <v>8608</v>
      </c>
      <c r="B415" t="s">
        <v>8696</v>
      </c>
      <c r="C415" t="s">
        <v>1</v>
      </c>
      <c r="D415" t="s">
        <v>8526</v>
      </c>
      <c r="E415" t="s">
        <v>8137</v>
      </c>
      <c r="F415" t="s">
        <v>8138</v>
      </c>
      <c r="G415">
        <v>113</v>
      </c>
      <c r="H415">
        <v>113</v>
      </c>
      <c r="I415">
        <v>113</v>
      </c>
      <c r="J415">
        <v>113</v>
      </c>
      <c r="L415" s="3">
        <v>0</v>
      </c>
      <c r="M415" s="3">
        <v>0</v>
      </c>
      <c r="N415" s="3">
        <v>0</v>
      </c>
      <c r="O415" s="3">
        <v>28.3</v>
      </c>
      <c r="P415" s="3">
        <v>0</v>
      </c>
      <c r="Q415" s="3">
        <v>0</v>
      </c>
      <c r="R415" s="3">
        <v>0</v>
      </c>
      <c r="S415" s="3">
        <v>0</v>
      </c>
      <c r="T415" s="3">
        <v>0</v>
      </c>
      <c r="U415" s="3">
        <v>28.3</v>
      </c>
      <c r="V415" t="s">
        <v>55</v>
      </c>
    </row>
    <row r="416" spans="1:22" hidden="1" x14ac:dyDescent="0.25">
      <c r="A416" t="s">
        <v>8608</v>
      </c>
      <c r="B416" t="s">
        <v>8696</v>
      </c>
      <c r="C416" t="s">
        <v>1</v>
      </c>
      <c r="D416" t="s">
        <v>8526</v>
      </c>
      <c r="E416" t="s">
        <v>8137</v>
      </c>
      <c r="F416" t="s">
        <v>8138</v>
      </c>
      <c r="G416">
        <v>112</v>
      </c>
      <c r="H416">
        <v>112</v>
      </c>
      <c r="I416">
        <v>112</v>
      </c>
      <c r="J416">
        <v>112</v>
      </c>
      <c r="L416" s="3">
        <v>0</v>
      </c>
      <c r="M416" s="3">
        <v>0</v>
      </c>
      <c r="N416" s="3">
        <v>0</v>
      </c>
      <c r="O416" s="3">
        <v>3.75</v>
      </c>
      <c r="P416" s="3">
        <v>0</v>
      </c>
      <c r="Q416" s="3">
        <v>0</v>
      </c>
      <c r="R416" s="3">
        <v>0</v>
      </c>
      <c r="S416" s="3">
        <v>0</v>
      </c>
      <c r="T416" s="3">
        <v>0</v>
      </c>
      <c r="U416" s="3">
        <v>3.75</v>
      </c>
      <c r="V416" t="s">
        <v>55</v>
      </c>
    </row>
    <row r="417" spans="1:22" hidden="1" x14ac:dyDescent="0.25">
      <c r="A417" t="s">
        <v>8608</v>
      </c>
      <c r="B417" t="s">
        <v>8696</v>
      </c>
      <c r="C417" t="s">
        <v>1</v>
      </c>
      <c r="D417" t="s">
        <v>8526</v>
      </c>
      <c r="E417" t="s">
        <v>8137</v>
      </c>
      <c r="F417" t="s">
        <v>8138</v>
      </c>
      <c r="G417">
        <v>111</v>
      </c>
      <c r="H417">
        <v>111</v>
      </c>
      <c r="I417">
        <v>111</v>
      </c>
      <c r="J417">
        <v>111</v>
      </c>
      <c r="L417" s="3">
        <v>0</v>
      </c>
      <c r="M417" s="3">
        <v>0</v>
      </c>
      <c r="N417" s="3">
        <v>0</v>
      </c>
      <c r="O417" s="3">
        <v>60</v>
      </c>
      <c r="P417" s="3">
        <v>0</v>
      </c>
      <c r="Q417" s="3">
        <v>0</v>
      </c>
      <c r="R417" s="3">
        <v>0</v>
      </c>
      <c r="S417" s="3">
        <v>0</v>
      </c>
      <c r="T417" s="3">
        <v>0</v>
      </c>
      <c r="U417" s="3">
        <v>60</v>
      </c>
      <c r="V417" t="s">
        <v>55</v>
      </c>
    </row>
    <row r="418" spans="1:22" hidden="1" x14ac:dyDescent="0.25">
      <c r="A418" t="s">
        <v>8608</v>
      </c>
      <c r="B418" t="s">
        <v>8696</v>
      </c>
      <c r="C418" t="s">
        <v>1</v>
      </c>
      <c r="D418" t="s">
        <v>8526</v>
      </c>
      <c r="E418" t="s">
        <v>8137</v>
      </c>
      <c r="F418" t="s">
        <v>8138</v>
      </c>
      <c r="G418">
        <v>110</v>
      </c>
      <c r="H418">
        <v>110</v>
      </c>
      <c r="I418">
        <v>110</v>
      </c>
      <c r="J418">
        <v>110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3">
        <v>0</v>
      </c>
      <c r="T418" s="3">
        <v>0</v>
      </c>
      <c r="U418" s="3">
        <v>0</v>
      </c>
      <c r="V418" t="s">
        <v>55</v>
      </c>
    </row>
    <row r="419" spans="1:22" hidden="1" x14ac:dyDescent="0.25">
      <c r="A419" t="s">
        <v>8608</v>
      </c>
      <c r="B419" t="s">
        <v>8696</v>
      </c>
      <c r="C419" t="s">
        <v>1</v>
      </c>
      <c r="D419" t="s">
        <v>8526</v>
      </c>
      <c r="E419" t="s">
        <v>8137</v>
      </c>
      <c r="F419" t="s">
        <v>8138</v>
      </c>
      <c r="G419">
        <v>109</v>
      </c>
      <c r="H419">
        <v>109</v>
      </c>
      <c r="I419">
        <v>109</v>
      </c>
      <c r="J419">
        <v>109</v>
      </c>
      <c r="L419" s="3">
        <v>0</v>
      </c>
      <c r="M419" s="3">
        <v>0</v>
      </c>
      <c r="N419" s="3">
        <v>0</v>
      </c>
      <c r="O419" s="3">
        <v>580.05999999999995</v>
      </c>
      <c r="P419" s="3">
        <v>0</v>
      </c>
      <c r="Q419" s="3">
        <v>0</v>
      </c>
      <c r="R419" s="3">
        <v>0</v>
      </c>
      <c r="S419" s="3">
        <v>0</v>
      </c>
      <c r="T419" s="3">
        <v>0</v>
      </c>
      <c r="U419" s="3">
        <v>580.05999999999995</v>
      </c>
      <c r="V419" t="s">
        <v>55</v>
      </c>
    </row>
    <row r="420" spans="1:22" hidden="1" x14ac:dyDescent="0.25">
      <c r="A420" t="s">
        <v>8608</v>
      </c>
      <c r="B420" t="s">
        <v>8749</v>
      </c>
      <c r="C420" t="s">
        <v>1</v>
      </c>
      <c r="D420" t="s">
        <v>8526</v>
      </c>
      <c r="E420" t="s">
        <v>8137</v>
      </c>
      <c r="F420" t="s">
        <v>8138</v>
      </c>
      <c r="G420">
        <v>108</v>
      </c>
      <c r="H420">
        <v>108</v>
      </c>
      <c r="I420">
        <v>108</v>
      </c>
      <c r="J420">
        <v>108</v>
      </c>
      <c r="L420" s="3">
        <v>0</v>
      </c>
      <c r="M420" s="3">
        <v>0</v>
      </c>
      <c r="N420" s="3">
        <v>0</v>
      </c>
      <c r="O420" s="3">
        <v>1008</v>
      </c>
      <c r="P420" s="3">
        <v>0</v>
      </c>
      <c r="Q420" s="3">
        <v>0</v>
      </c>
      <c r="R420" s="3">
        <v>0</v>
      </c>
      <c r="S420" s="3">
        <v>0</v>
      </c>
      <c r="T420" s="3">
        <v>0</v>
      </c>
      <c r="U420" s="3">
        <v>1008</v>
      </c>
      <c r="V420" t="s">
        <v>55</v>
      </c>
    </row>
    <row r="421" spans="1:22" hidden="1" x14ac:dyDescent="0.25">
      <c r="A421" t="s">
        <v>8608</v>
      </c>
      <c r="B421" t="s">
        <v>8697</v>
      </c>
      <c r="C421" t="s">
        <v>1</v>
      </c>
      <c r="D421" t="s">
        <v>8526</v>
      </c>
      <c r="E421" t="s">
        <v>8137</v>
      </c>
      <c r="F421" t="s">
        <v>8138</v>
      </c>
      <c r="G421">
        <v>107</v>
      </c>
      <c r="H421">
        <v>107</v>
      </c>
      <c r="I421">
        <v>107</v>
      </c>
      <c r="J421">
        <v>107</v>
      </c>
      <c r="L421" s="3">
        <v>0</v>
      </c>
      <c r="M421" s="3">
        <v>0</v>
      </c>
      <c r="N421" s="3">
        <v>0</v>
      </c>
      <c r="O421" s="3">
        <v>246.8</v>
      </c>
      <c r="P421" s="3">
        <v>0</v>
      </c>
      <c r="Q421" s="3">
        <v>0</v>
      </c>
      <c r="R421" s="3">
        <v>0</v>
      </c>
      <c r="S421" s="3">
        <v>0</v>
      </c>
      <c r="T421" s="3">
        <v>0</v>
      </c>
      <c r="U421" s="3">
        <v>246.8</v>
      </c>
      <c r="V421" t="s">
        <v>55</v>
      </c>
    </row>
    <row r="422" spans="1:22" hidden="1" x14ac:dyDescent="0.25">
      <c r="A422" t="s">
        <v>8608</v>
      </c>
      <c r="B422" t="s">
        <v>8699</v>
      </c>
      <c r="C422" t="s">
        <v>1</v>
      </c>
      <c r="D422" t="s">
        <v>8526</v>
      </c>
      <c r="E422" t="s">
        <v>8137</v>
      </c>
      <c r="F422" t="s">
        <v>8138</v>
      </c>
      <c r="G422">
        <v>106</v>
      </c>
      <c r="H422">
        <v>106</v>
      </c>
      <c r="I422">
        <v>106</v>
      </c>
      <c r="J422">
        <v>106</v>
      </c>
      <c r="L422" s="3">
        <v>0</v>
      </c>
      <c r="M422" s="3">
        <v>0</v>
      </c>
      <c r="N422" s="3">
        <v>0</v>
      </c>
      <c r="O422" s="3">
        <v>0.48</v>
      </c>
      <c r="P422" s="3">
        <v>0</v>
      </c>
      <c r="Q422" s="3">
        <v>0</v>
      </c>
      <c r="R422" s="3">
        <v>0</v>
      </c>
      <c r="S422" s="3">
        <v>0</v>
      </c>
      <c r="T422" s="3">
        <v>0</v>
      </c>
      <c r="U422" s="3">
        <v>0.48</v>
      </c>
      <c r="V422" t="s">
        <v>55</v>
      </c>
    </row>
    <row r="423" spans="1:22" hidden="1" x14ac:dyDescent="0.25">
      <c r="A423" t="s">
        <v>8608</v>
      </c>
      <c r="B423" t="s">
        <v>8699</v>
      </c>
      <c r="C423" t="s">
        <v>1</v>
      </c>
      <c r="D423" t="s">
        <v>8526</v>
      </c>
      <c r="E423" t="s">
        <v>8137</v>
      </c>
      <c r="F423" t="s">
        <v>8138</v>
      </c>
      <c r="G423">
        <v>105</v>
      </c>
      <c r="H423">
        <v>105</v>
      </c>
      <c r="I423">
        <v>105</v>
      </c>
      <c r="J423">
        <v>105</v>
      </c>
      <c r="L423" s="3">
        <v>0</v>
      </c>
      <c r="M423" s="3">
        <v>0</v>
      </c>
      <c r="N423" s="3">
        <v>0</v>
      </c>
      <c r="O423" s="3">
        <v>49.65</v>
      </c>
      <c r="P423" s="3">
        <v>0</v>
      </c>
      <c r="Q423" s="3">
        <v>0</v>
      </c>
      <c r="R423" s="3">
        <v>0</v>
      </c>
      <c r="S423" s="3">
        <v>0</v>
      </c>
      <c r="T423" s="3">
        <v>0</v>
      </c>
      <c r="U423" s="3">
        <v>49.65</v>
      </c>
      <c r="V423" t="s">
        <v>55</v>
      </c>
    </row>
    <row r="424" spans="1:22" hidden="1" x14ac:dyDescent="0.25">
      <c r="A424" t="s">
        <v>8608</v>
      </c>
      <c r="B424" t="s">
        <v>8701</v>
      </c>
      <c r="C424" t="s">
        <v>1</v>
      </c>
      <c r="D424" t="s">
        <v>8526</v>
      </c>
      <c r="E424" t="s">
        <v>8137</v>
      </c>
      <c r="F424" t="s">
        <v>8138</v>
      </c>
      <c r="G424">
        <v>104</v>
      </c>
      <c r="H424">
        <v>104</v>
      </c>
      <c r="I424">
        <v>104</v>
      </c>
      <c r="J424">
        <v>104</v>
      </c>
      <c r="L424" s="3">
        <v>0</v>
      </c>
      <c r="M424" s="3">
        <v>0</v>
      </c>
      <c r="N424" s="3">
        <v>0</v>
      </c>
      <c r="O424" s="3">
        <v>17.45</v>
      </c>
      <c r="P424" s="3">
        <v>0</v>
      </c>
      <c r="Q424" s="3">
        <v>0</v>
      </c>
      <c r="R424" s="3">
        <v>0</v>
      </c>
      <c r="S424" s="3">
        <v>0</v>
      </c>
      <c r="T424" s="3">
        <v>0</v>
      </c>
      <c r="U424" s="3">
        <v>17.45</v>
      </c>
      <c r="V424" t="s">
        <v>55</v>
      </c>
    </row>
    <row r="425" spans="1:22" hidden="1" x14ac:dyDescent="0.25">
      <c r="A425" t="s">
        <v>8608</v>
      </c>
      <c r="B425" t="s">
        <v>8694</v>
      </c>
      <c r="C425" t="s">
        <v>1</v>
      </c>
      <c r="D425" t="s">
        <v>8127</v>
      </c>
      <c r="E425" t="s">
        <v>8128</v>
      </c>
      <c r="F425" t="s">
        <v>8129</v>
      </c>
      <c r="G425">
        <v>205</v>
      </c>
      <c r="H425">
        <v>205</v>
      </c>
      <c r="I425">
        <v>205</v>
      </c>
      <c r="J425">
        <v>205</v>
      </c>
      <c r="L425" s="3">
        <v>0</v>
      </c>
      <c r="M425" s="3">
        <v>0</v>
      </c>
      <c r="N425" s="3">
        <v>0</v>
      </c>
      <c r="O425" s="3">
        <v>0</v>
      </c>
      <c r="P425" s="3">
        <v>694.36</v>
      </c>
      <c r="Q425" s="3">
        <v>0</v>
      </c>
      <c r="R425" s="3">
        <v>0</v>
      </c>
      <c r="S425" s="3">
        <v>0</v>
      </c>
      <c r="T425" s="3">
        <v>0</v>
      </c>
      <c r="U425" s="3">
        <v>694.36</v>
      </c>
      <c r="V425" t="s">
        <v>55</v>
      </c>
    </row>
    <row r="426" spans="1:22" hidden="1" x14ac:dyDescent="0.25">
      <c r="A426" t="s">
        <v>8608</v>
      </c>
      <c r="B426" t="s">
        <v>8694</v>
      </c>
      <c r="C426" t="s">
        <v>1</v>
      </c>
      <c r="D426" t="s">
        <v>8127</v>
      </c>
      <c r="E426" t="s">
        <v>8128</v>
      </c>
      <c r="F426" t="s">
        <v>8129</v>
      </c>
      <c r="G426">
        <v>206</v>
      </c>
      <c r="H426">
        <v>206</v>
      </c>
      <c r="I426">
        <v>206</v>
      </c>
      <c r="J426">
        <v>206</v>
      </c>
      <c r="L426" s="3">
        <v>0</v>
      </c>
      <c r="M426" s="3">
        <v>0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3">
        <v>0</v>
      </c>
      <c r="T426" s="3">
        <v>0</v>
      </c>
      <c r="U426" s="3">
        <v>0</v>
      </c>
      <c r="V426" t="s">
        <v>55</v>
      </c>
    </row>
    <row r="427" spans="1:22" hidden="1" x14ac:dyDescent="0.25">
      <c r="A427" t="s">
        <v>8608</v>
      </c>
      <c r="B427" t="s">
        <v>8694</v>
      </c>
      <c r="C427" t="s">
        <v>1</v>
      </c>
      <c r="D427" t="s">
        <v>8127</v>
      </c>
      <c r="E427" t="s">
        <v>8128</v>
      </c>
      <c r="F427" t="s">
        <v>8129</v>
      </c>
      <c r="G427">
        <v>207</v>
      </c>
      <c r="H427">
        <v>207</v>
      </c>
      <c r="I427">
        <v>207</v>
      </c>
      <c r="J427">
        <v>207</v>
      </c>
      <c r="L427" s="3">
        <v>0</v>
      </c>
      <c r="M427" s="3">
        <v>0</v>
      </c>
      <c r="N427" s="3">
        <v>0</v>
      </c>
      <c r="O427" s="3">
        <v>0</v>
      </c>
      <c r="P427" s="3">
        <v>636.96</v>
      </c>
      <c r="Q427" s="3">
        <v>0</v>
      </c>
      <c r="R427" s="3">
        <v>0</v>
      </c>
      <c r="S427" s="3">
        <v>0</v>
      </c>
      <c r="T427" s="3">
        <v>0</v>
      </c>
      <c r="U427" s="3">
        <v>636.96</v>
      </c>
      <c r="V427" t="s">
        <v>55</v>
      </c>
    </row>
    <row r="428" spans="1:22" hidden="1" x14ac:dyDescent="0.25">
      <c r="A428" t="s">
        <v>8608</v>
      </c>
      <c r="B428" t="s">
        <v>8694</v>
      </c>
      <c r="C428" t="s">
        <v>1</v>
      </c>
      <c r="D428" t="s">
        <v>8127</v>
      </c>
      <c r="E428" t="s">
        <v>8128</v>
      </c>
      <c r="F428" t="s">
        <v>8129</v>
      </c>
      <c r="G428">
        <v>208</v>
      </c>
      <c r="H428">
        <v>208</v>
      </c>
      <c r="I428">
        <v>208</v>
      </c>
      <c r="J428">
        <v>208</v>
      </c>
      <c r="L428" s="3">
        <v>0</v>
      </c>
      <c r="M428" s="3">
        <v>0</v>
      </c>
      <c r="N428" s="3">
        <v>0</v>
      </c>
      <c r="O428" s="3">
        <v>0</v>
      </c>
      <c r="P428" s="3">
        <v>182.67</v>
      </c>
      <c r="Q428" s="3">
        <v>0</v>
      </c>
      <c r="R428" s="3">
        <v>0</v>
      </c>
      <c r="S428" s="3">
        <v>0</v>
      </c>
      <c r="T428" s="3">
        <v>0</v>
      </c>
      <c r="U428" s="3">
        <v>182.67</v>
      </c>
      <c r="V428" t="s">
        <v>55</v>
      </c>
    </row>
    <row r="429" spans="1:22" hidden="1" x14ac:dyDescent="0.25">
      <c r="A429" t="s">
        <v>8608</v>
      </c>
      <c r="B429" t="s">
        <v>8694</v>
      </c>
      <c r="C429" t="s">
        <v>1</v>
      </c>
      <c r="D429" t="s">
        <v>8127</v>
      </c>
      <c r="E429" t="s">
        <v>8128</v>
      </c>
      <c r="F429" t="s">
        <v>8129</v>
      </c>
      <c r="G429">
        <v>209</v>
      </c>
      <c r="H429">
        <v>209</v>
      </c>
      <c r="I429">
        <v>209</v>
      </c>
      <c r="J429">
        <v>209</v>
      </c>
      <c r="L429" s="3">
        <v>0</v>
      </c>
      <c r="M429" s="3">
        <v>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3">
        <v>0</v>
      </c>
      <c r="T429" s="3">
        <v>0</v>
      </c>
      <c r="U429" s="3">
        <v>0</v>
      </c>
      <c r="V429" t="s">
        <v>55</v>
      </c>
    </row>
    <row r="430" spans="1:22" hidden="1" x14ac:dyDescent="0.25">
      <c r="A430" t="s">
        <v>8608</v>
      </c>
      <c r="B430" t="s">
        <v>8694</v>
      </c>
      <c r="C430" t="s">
        <v>1</v>
      </c>
      <c r="D430" t="s">
        <v>8127</v>
      </c>
      <c r="E430" t="s">
        <v>8128</v>
      </c>
      <c r="F430" t="s">
        <v>8129</v>
      </c>
      <c r="G430">
        <v>210</v>
      </c>
      <c r="H430">
        <v>210</v>
      </c>
      <c r="I430">
        <v>210</v>
      </c>
      <c r="J430">
        <v>210</v>
      </c>
      <c r="L430" s="3">
        <v>0</v>
      </c>
      <c r="M430" s="3">
        <v>0</v>
      </c>
      <c r="N430" s="3">
        <v>0</v>
      </c>
      <c r="O430" s="3">
        <v>0</v>
      </c>
      <c r="P430" s="3">
        <v>179.84</v>
      </c>
      <c r="Q430" s="3">
        <v>0</v>
      </c>
      <c r="R430" s="3">
        <v>0</v>
      </c>
      <c r="S430" s="3">
        <v>0</v>
      </c>
      <c r="T430" s="3">
        <v>0</v>
      </c>
      <c r="U430" s="3">
        <v>179.84</v>
      </c>
      <c r="V430" t="s">
        <v>55</v>
      </c>
    </row>
    <row r="431" spans="1:22" hidden="1" x14ac:dyDescent="0.25">
      <c r="A431" t="s">
        <v>8608</v>
      </c>
      <c r="B431" t="s">
        <v>8686</v>
      </c>
      <c r="C431" t="s">
        <v>1</v>
      </c>
      <c r="D431" t="s">
        <v>8127</v>
      </c>
      <c r="E431" t="s">
        <v>8128</v>
      </c>
      <c r="F431" t="s">
        <v>8129</v>
      </c>
      <c r="G431">
        <v>211</v>
      </c>
      <c r="H431">
        <v>211</v>
      </c>
      <c r="I431">
        <v>211</v>
      </c>
      <c r="J431">
        <v>211</v>
      </c>
      <c r="L431" s="3">
        <v>0</v>
      </c>
      <c r="M431" s="3">
        <v>0</v>
      </c>
      <c r="N431" s="3">
        <v>0</v>
      </c>
      <c r="O431" s="3">
        <v>0</v>
      </c>
      <c r="P431" s="3">
        <v>213.7</v>
      </c>
      <c r="Q431" s="3">
        <v>0</v>
      </c>
      <c r="R431" s="3">
        <v>0</v>
      </c>
      <c r="S431" s="3">
        <v>0</v>
      </c>
      <c r="T431" s="3">
        <v>0</v>
      </c>
      <c r="U431" s="3">
        <v>213.7</v>
      </c>
      <c r="V431" t="s">
        <v>55</v>
      </c>
    </row>
    <row r="432" spans="1:22" hidden="1" x14ac:dyDescent="0.25">
      <c r="A432" t="s">
        <v>8608</v>
      </c>
      <c r="B432" t="s">
        <v>8685</v>
      </c>
      <c r="C432" t="s">
        <v>1</v>
      </c>
      <c r="D432" t="s">
        <v>8127</v>
      </c>
      <c r="E432" t="s">
        <v>8128</v>
      </c>
      <c r="F432" t="s">
        <v>8129</v>
      </c>
      <c r="G432">
        <v>212</v>
      </c>
      <c r="H432">
        <v>212</v>
      </c>
      <c r="I432">
        <v>212</v>
      </c>
      <c r="J432">
        <v>212</v>
      </c>
      <c r="L432" s="3">
        <v>0</v>
      </c>
      <c r="M432" s="3">
        <v>0</v>
      </c>
      <c r="N432" s="3">
        <v>0</v>
      </c>
      <c r="O432" s="3">
        <v>0</v>
      </c>
      <c r="P432" s="3">
        <v>493.95</v>
      </c>
      <c r="Q432" s="3">
        <v>0</v>
      </c>
      <c r="R432" s="3">
        <v>0</v>
      </c>
      <c r="S432" s="3">
        <v>0</v>
      </c>
      <c r="T432" s="3">
        <v>0</v>
      </c>
      <c r="U432" s="3">
        <v>493.95</v>
      </c>
      <c r="V432" t="s">
        <v>55</v>
      </c>
    </row>
    <row r="433" spans="1:22" hidden="1" x14ac:dyDescent="0.25">
      <c r="A433" t="s">
        <v>8608</v>
      </c>
      <c r="B433" t="s">
        <v>8682</v>
      </c>
      <c r="C433" t="s">
        <v>1</v>
      </c>
      <c r="D433" t="s">
        <v>8127</v>
      </c>
      <c r="E433" t="s">
        <v>8128</v>
      </c>
      <c r="F433" t="s">
        <v>8129</v>
      </c>
      <c r="G433">
        <v>213</v>
      </c>
      <c r="H433">
        <v>213</v>
      </c>
      <c r="I433">
        <v>213</v>
      </c>
      <c r="J433">
        <v>213</v>
      </c>
      <c r="L433" s="3">
        <v>0</v>
      </c>
      <c r="M433" s="3">
        <v>0</v>
      </c>
      <c r="N433" s="3">
        <v>0</v>
      </c>
      <c r="O433" s="3">
        <v>0</v>
      </c>
      <c r="P433" s="3">
        <v>479.35</v>
      </c>
      <c r="Q433" s="3">
        <v>0</v>
      </c>
      <c r="R433" s="3">
        <v>0</v>
      </c>
      <c r="S433" s="3">
        <v>0</v>
      </c>
      <c r="T433" s="3">
        <v>0</v>
      </c>
      <c r="U433" s="3">
        <v>479.35</v>
      </c>
      <c r="V433" t="s">
        <v>55</v>
      </c>
    </row>
    <row r="434" spans="1:22" hidden="1" x14ac:dyDescent="0.25">
      <c r="A434" t="s">
        <v>8608</v>
      </c>
      <c r="B434" t="s">
        <v>8701</v>
      </c>
      <c r="C434" t="s">
        <v>1</v>
      </c>
      <c r="D434" t="s">
        <v>8526</v>
      </c>
      <c r="E434" t="s">
        <v>8147</v>
      </c>
      <c r="F434" t="s">
        <v>8146</v>
      </c>
      <c r="G434">
        <v>3405</v>
      </c>
      <c r="H434">
        <v>3405</v>
      </c>
      <c r="I434">
        <v>3405</v>
      </c>
      <c r="J434">
        <v>3405</v>
      </c>
      <c r="L434" s="3">
        <v>0</v>
      </c>
      <c r="M434" s="3">
        <v>0</v>
      </c>
      <c r="N434" s="3">
        <v>0</v>
      </c>
      <c r="O434" s="3">
        <v>77.36</v>
      </c>
      <c r="P434" s="3">
        <v>0</v>
      </c>
      <c r="Q434" s="3">
        <v>0</v>
      </c>
      <c r="R434" s="3">
        <v>0</v>
      </c>
      <c r="S434" s="3">
        <v>0</v>
      </c>
      <c r="T434" s="3">
        <v>0</v>
      </c>
      <c r="U434" s="3">
        <v>77.36</v>
      </c>
      <c r="V434" t="s">
        <v>55</v>
      </c>
    </row>
    <row r="435" spans="1:22" hidden="1" x14ac:dyDescent="0.25">
      <c r="A435" t="s">
        <v>8608</v>
      </c>
      <c r="B435" t="s">
        <v>8701</v>
      </c>
      <c r="C435" t="s">
        <v>1</v>
      </c>
      <c r="D435" t="s">
        <v>8526</v>
      </c>
      <c r="E435" t="s">
        <v>8147</v>
      </c>
      <c r="F435" t="s">
        <v>8146</v>
      </c>
      <c r="G435">
        <v>3406</v>
      </c>
      <c r="H435">
        <v>3406</v>
      </c>
      <c r="I435">
        <v>3406</v>
      </c>
      <c r="J435">
        <v>3406</v>
      </c>
      <c r="L435" s="3">
        <v>0</v>
      </c>
      <c r="M435" s="3">
        <v>0</v>
      </c>
      <c r="N435" s="3">
        <v>0</v>
      </c>
      <c r="O435" s="3">
        <v>85.05</v>
      </c>
      <c r="P435" s="3">
        <v>0</v>
      </c>
      <c r="Q435" s="3">
        <v>0</v>
      </c>
      <c r="R435" s="3">
        <v>0</v>
      </c>
      <c r="S435" s="3">
        <v>0</v>
      </c>
      <c r="T435" s="3">
        <v>0</v>
      </c>
      <c r="U435" s="3">
        <v>85.05</v>
      </c>
      <c r="V435" t="s">
        <v>55</v>
      </c>
    </row>
    <row r="436" spans="1:22" hidden="1" x14ac:dyDescent="0.25">
      <c r="A436" t="s">
        <v>8608</v>
      </c>
      <c r="B436" t="s">
        <v>8701</v>
      </c>
      <c r="C436" t="s">
        <v>1</v>
      </c>
      <c r="D436" t="s">
        <v>8526</v>
      </c>
      <c r="E436" t="s">
        <v>8147</v>
      </c>
      <c r="F436" t="s">
        <v>8146</v>
      </c>
      <c r="G436">
        <v>3407</v>
      </c>
      <c r="H436">
        <v>3407</v>
      </c>
      <c r="I436">
        <v>3407</v>
      </c>
      <c r="J436">
        <v>3407</v>
      </c>
      <c r="L436" s="3">
        <v>0</v>
      </c>
      <c r="M436" s="3">
        <v>0</v>
      </c>
      <c r="N436" s="3">
        <v>0</v>
      </c>
      <c r="O436" s="3">
        <v>10</v>
      </c>
      <c r="P436" s="3">
        <v>0</v>
      </c>
      <c r="Q436" s="3">
        <v>0</v>
      </c>
      <c r="R436" s="3">
        <v>0</v>
      </c>
      <c r="S436" s="3">
        <v>0</v>
      </c>
      <c r="T436" s="3">
        <v>0</v>
      </c>
      <c r="U436" s="3">
        <v>10</v>
      </c>
      <c r="V436" t="s">
        <v>55</v>
      </c>
    </row>
    <row r="437" spans="1:22" hidden="1" x14ac:dyDescent="0.25">
      <c r="A437" t="s">
        <v>8608</v>
      </c>
      <c r="B437" t="s">
        <v>8701</v>
      </c>
      <c r="C437" t="s">
        <v>1</v>
      </c>
      <c r="D437" t="s">
        <v>8526</v>
      </c>
      <c r="E437" t="s">
        <v>8147</v>
      </c>
      <c r="F437" t="s">
        <v>8146</v>
      </c>
      <c r="G437">
        <v>3408</v>
      </c>
      <c r="H437">
        <v>3408</v>
      </c>
      <c r="I437">
        <v>3408</v>
      </c>
      <c r="J437">
        <v>3408</v>
      </c>
      <c r="L437" s="3">
        <v>0</v>
      </c>
      <c r="M437" s="3">
        <v>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3">
        <v>0</v>
      </c>
      <c r="T437" s="3">
        <v>0</v>
      </c>
      <c r="U437" s="3">
        <v>0</v>
      </c>
      <c r="V437" t="s">
        <v>55</v>
      </c>
    </row>
    <row r="438" spans="1:22" hidden="1" x14ac:dyDescent="0.25">
      <c r="A438" t="s">
        <v>8608</v>
      </c>
      <c r="B438" t="s">
        <v>8701</v>
      </c>
      <c r="C438" t="s">
        <v>1</v>
      </c>
      <c r="D438" t="s">
        <v>8526</v>
      </c>
      <c r="E438" t="s">
        <v>8147</v>
      </c>
      <c r="F438" t="s">
        <v>8146</v>
      </c>
      <c r="G438">
        <v>3409</v>
      </c>
      <c r="H438">
        <v>3409</v>
      </c>
      <c r="I438">
        <v>3409</v>
      </c>
      <c r="J438">
        <v>3409</v>
      </c>
      <c r="L438" s="3">
        <v>0</v>
      </c>
      <c r="M438" s="3">
        <v>0</v>
      </c>
      <c r="N438" s="3">
        <v>0</v>
      </c>
      <c r="O438" s="3">
        <v>587.55999999999995</v>
      </c>
      <c r="P438" s="3">
        <v>0</v>
      </c>
      <c r="Q438" s="3">
        <v>0</v>
      </c>
      <c r="R438" s="3">
        <v>0</v>
      </c>
      <c r="S438" s="3">
        <v>0</v>
      </c>
      <c r="T438" s="3">
        <v>0</v>
      </c>
      <c r="U438" s="3">
        <v>587.55999999999995</v>
      </c>
      <c r="V438" t="s">
        <v>55</v>
      </c>
    </row>
    <row r="439" spans="1:22" hidden="1" x14ac:dyDescent="0.25">
      <c r="A439" t="s">
        <v>8608</v>
      </c>
      <c r="B439" t="s">
        <v>8701</v>
      </c>
      <c r="C439" t="s">
        <v>1</v>
      </c>
      <c r="D439" t="s">
        <v>8526</v>
      </c>
      <c r="E439" t="s">
        <v>8147</v>
      </c>
      <c r="F439" t="s">
        <v>8146</v>
      </c>
      <c r="G439">
        <v>3410</v>
      </c>
      <c r="H439">
        <v>3410</v>
      </c>
      <c r="I439">
        <v>3410</v>
      </c>
      <c r="J439">
        <v>3410</v>
      </c>
      <c r="L439" s="3">
        <v>0</v>
      </c>
      <c r="M439" s="3">
        <v>0</v>
      </c>
      <c r="N439" s="3">
        <v>0</v>
      </c>
      <c r="O439" s="3">
        <v>23.06</v>
      </c>
      <c r="P439" s="3">
        <v>0</v>
      </c>
      <c r="Q439" s="3">
        <v>0</v>
      </c>
      <c r="R439" s="3">
        <v>0</v>
      </c>
      <c r="S439" s="3">
        <v>0</v>
      </c>
      <c r="T439" s="3">
        <v>0</v>
      </c>
      <c r="U439" s="3">
        <v>23.06</v>
      </c>
      <c r="V439" t="s">
        <v>55</v>
      </c>
    </row>
    <row r="440" spans="1:22" hidden="1" x14ac:dyDescent="0.25">
      <c r="A440" t="s">
        <v>8608</v>
      </c>
      <c r="B440" t="s">
        <v>8700</v>
      </c>
      <c r="C440" t="s">
        <v>1</v>
      </c>
      <c r="D440" t="s">
        <v>8526</v>
      </c>
      <c r="E440" t="s">
        <v>8147</v>
      </c>
      <c r="F440" t="s">
        <v>8146</v>
      </c>
      <c r="G440">
        <v>3411</v>
      </c>
      <c r="H440">
        <v>3411</v>
      </c>
      <c r="I440">
        <v>3411</v>
      </c>
      <c r="J440">
        <v>3411</v>
      </c>
      <c r="L440" s="3">
        <v>0</v>
      </c>
      <c r="M440" s="3">
        <v>0</v>
      </c>
      <c r="N440" s="3">
        <v>0</v>
      </c>
      <c r="O440" s="3">
        <v>22.26</v>
      </c>
      <c r="P440" s="3">
        <v>0</v>
      </c>
      <c r="Q440" s="3">
        <v>0</v>
      </c>
      <c r="R440" s="3">
        <v>0</v>
      </c>
      <c r="S440" s="3">
        <v>0</v>
      </c>
      <c r="T440" s="3">
        <v>0</v>
      </c>
      <c r="U440" s="3">
        <v>22.26</v>
      </c>
      <c r="V440" t="s">
        <v>55</v>
      </c>
    </row>
    <row r="441" spans="1:22" hidden="1" x14ac:dyDescent="0.25">
      <c r="A441" t="s">
        <v>8608</v>
      </c>
      <c r="B441" t="s">
        <v>8700</v>
      </c>
      <c r="C441" t="s">
        <v>1</v>
      </c>
      <c r="D441" t="s">
        <v>8526</v>
      </c>
      <c r="E441" t="s">
        <v>8147</v>
      </c>
      <c r="F441" t="s">
        <v>8146</v>
      </c>
      <c r="G441">
        <v>3412</v>
      </c>
      <c r="H441">
        <v>3412</v>
      </c>
      <c r="I441">
        <v>3412</v>
      </c>
      <c r="J441">
        <v>3412</v>
      </c>
      <c r="L441" s="3">
        <v>0</v>
      </c>
      <c r="M441" s="3">
        <v>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3">
        <v>0</v>
      </c>
      <c r="T441" s="3">
        <v>0</v>
      </c>
      <c r="U441" s="3">
        <v>0</v>
      </c>
      <c r="V441" t="s">
        <v>55</v>
      </c>
    </row>
    <row r="442" spans="1:22" hidden="1" x14ac:dyDescent="0.25">
      <c r="A442" t="s">
        <v>8608</v>
      </c>
      <c r="B442" t="s">
        <v>8700</v>
      </c>
      <c r="C442" t="s">
        <v>1</v>
      </c>
      <c r="D442" t="s">
        <v>8526</v>
      </c>
      <c r="E442" t="s">
        <v>8147</v>
      </c>
      <c r="F442" t="s">
        <v>8146</v>
      </c>
      <c r="G442">
        <v>3413</v>
      </c>
      <c r="H442">
        <v>3413</v>
      </c>
      <c r="I442">
        <v>3413</v>
      </c>
      <c r="J442">
        <v>3413</v>
      </c>
      <c r="L442" s="3">
        <v>0</v>
      </c>
      <c r="M442" s="3">
        <v>0</v>
      </c>
      <c r="N442" s="3">
        <v>0</v>
      </c>
      <c r="O442" s="3">
        <v>357.46</v>
      </c>
      <c r="P442" s="3">
        <v>0</v>
      </c>
      <c r="Q442" s="3">
        <v>0</v>
      </c>
      <c r="R442" s="3">
        <v>0</v>
      </c>
      <c r="S442" s="3">
        <v>0</v>
      </c>
      <c r="T442" s="3">
        <v>0</v>
      </c>
      <c r="U442" s="3">
        <v>357.46</v>
      </c>
      <c r="V442" t="s">
        <v>55</v>
      </c>
    </row>
    <row r="443" spans="1:22" hidden="1" x14ac:dyDescent="0.25">
      <c r="A443" t="s">
        <v>8608</v>
      </c>
      <c r="B443" t="s">
        <v>8700</v>
      </c>
      <c r="C443" t="s">
        <v>1</v>
      </c>
      <c r="D443" t="s">
        <v>8526</v>
      </c>
      <c r="E443" t="s">
        <v>8147</v>
      </c>
      <c r="F443" t="s">
        <v>8146</v>
      </c>
      <c r="G443">
        <v>3414</v>
      </c>
      <c r="H443">
        <v>3414</v>
      </c>
      <c r="I443">
        <v>3414</v>
      </c>
      <c r="J443">
        <v>3414</v>
      </c>
      <c r="L443" s="3">
        <v>0</v>
      </c>
      <c r="M443" s="3">
        <v>0</v>
      </c>
      <c r="N443" s="3">
        <v>0</v>
      </c>
      <c r="O443" s="3">
        <v>81.599999999999994</v>
      </c>
      <c r="P443" s="3">
        <v>0</v>
      </c>
      <c r="Q443" s="3">
        <v>0</v>
      </c>
      <c r="R443" s="3">
        <v>0</v>
      </c>
      <c r="S443" s="3">
        <v>0</v>
      </c>
      <c r="T443" s="3">
        <v>0</v>
      </c>
      <c r="U443" s="3">
        <v>81.599999999999994</v>
      </c>
      <c r="V443" t="s">
        <v>55</v>
      </c>
    </row>
    <row r="444" spans="1:22" hidden="1" x14ac:dyDescent="0.25">
      <c r="A444" t="s">
        <v>8608</v>
      </c>
      <c r="B444" t="s">
        <v>8699</v>
      </c>
      <c r="C444" t="s">
        <v>1</v>
      </c>
      <c r="D444" t="s">
        <v>8526</v>
      </c>
      <c r="E444" t="s">
        <v>8147</v>
      </c>
      <c r="F444" t="s">
        <v>8146</v>
      </c>
      <c r="G444">
        <v>3416</v>
      </c>
      <c r="H444">
        <v>3416</v>
      </c>
      <c r="I444">
        <v>3416</v>
      </c>
      <c r="J444">
        <v>3416</v>
      </c>
      <c r="L444" s="3">
        <v>0</v>
      </c>
      <c r="M444" s="3">
        <v>0</v>
      </c>
      <c r="N444" s="3">
        <v>0</v>
      </c>
      <c r="O444" s="3">
        <v>14.3</v>
      </c>
      <c r="P444" s="3">
        <v>0</v>
      </c>
      <c r="Q444" s="3">
        <v>0</v>
      </c>
      <c r="R444" s="3">
        <v>0</v>
      </c>
      <c r="S444" s="3">
        <v>0</v>
      </c>
      <c r="T444" s="3">
        <v>0</v>
      </c>
      <c r="U444" s="3">
        <v>14.3</v>
      </c>
      <c r="V444" t="s">
        <v>55</v>
      </c>
    </row>
    <row r="445" spans="1:22" hidden="1" x14ac:dyDescent="0.25">
      <c r="A445" t="s">
        <v>8608</v>
      </c>
      <c r="B445" t="s">
        <v>8699</v>
      </c>
      <c r="C445" t="s">
        <v>1</v>
      </c>
      <c r="D445" t="s">
        <v>8526</v>
      </c>
      <c r="E445" t="s">
        <v>8147</v>
      </c>
      <c r="F445" t="s">
        <v>8146</v>
      </c>
      <c r="G445">
        <v>3417</v>
      </c>
      <c r="H445">
        <v>3417</v>
      </c>
      <c r="I445">
        <v>3417</v>
      </c>
      <c r="J445">
        <v>3417</v>
      </c>
      <c r="L445" s="3">
        <v>0</v>
      </c>
      <c r="M445" s="3">
        <v>0</v>
      </c>
      <c r="N445" s="3">
        <v>0</v>
      </c>
      <c r="O445" s="3">
        <v>36.82</v>
      </c>
      <c r="P445" s="3">
        <v>0</v>
      </c>
      <c r="Q445" s="3">
        <v>0</v>
      </c>
      <c r="R445" s="3">
        <v>0</v>
      </c>
      <c r="S445" s="3">
        <v>0</v>
      </c>
      <c r="T445" s="3">
        <v>0</v>
      </c>
      <c r="U445" s="3">
        <v>36.82</v>
      </c>
      <c r="V445" t="s">
        <v>55</v>
      </c>
    </row>
    <row r="446" spans="1:22" hidden="1" x14ac:dyDescent="0.25">
      <c r="A446" t="s">
        <v>8608</v>
      </c>
      <c r="B446" t="s">
        <v>8699</v>
      </c>
      <c r="C446" t="s">
        <v>1</v>
      </c>
      <c r="D446" t="s">
        <v>8526</v>
      </c>
      <c r="E446" t="s">
        <v>8147</v>
      </c>
      <c r="F446" t="s">
        <v>8146</v>
      </c>
      <c r="G446">
        <v>3418</v>
      </c>
      <c r="H446">
        <v>3418</v>
      </c>
      <c r="I446">
        <v>3418</v>
      </c>
      <c r="J446">
        <v>3418</v>
      </c>
      <c r="L446" s="3">
        <v>0</v>
      </c>
      <c r="M446" s="3">
        <v>0</v>
      </c>
      <c r="N446" s="3">
        <v>0</v>
      </c>
      <c r="O446" s="3">
        <v>46.08</v>
      </c>
      <c r="P446" s="3">
        <v>0</v>
      </c>
      <c r="Q446" s="3">
        <v>0</v>
      </c>
      <c r="R446" s="3">
        <v>0</v>
      </c>
      <c r="S446" s="3">
        <v>0</v>
      </c>
      <c r="T446" s="3">
        <v>0</v>
      </c>
      <c r="U446" s="3">
        <v>46.08</v>
      </c>
      <c r="V446" t="s">
        <v>55</v>
      </c>
    </row>
    <row r="447" spans="1:22" hidden="1" x14ac:dyDescent="0.25">
      <c r="A447" t="s">
        <v>8608</v>
      </c>
      <c r="B447" t="s">
        <v>8699</v>
      </c>
      <c r="C447" t="s">
        <v>1</v>
      </c>
      <c r="D447" t="s">
        <v>8526</v>
      </c>
      <c r="E447" t="s">
        <v>8147</v>
      </c>
      <c r="F447" t="s">
        <v>8146</v>
      </c>
      <c r="G447">
        <v>3419</v>
      </c>
      <c r="H447">
        <v>3419</v>
      </c>
      <c r="I447">
        <v>3419</v>
      </c>
      <c r="J447">
        <v>3419</v>
      </c>
      <c r="L447" s="3">
        <v>0</v>
      </c>
      <c r="M447" s="3">
        <v>0</v>
      </c>
      <c r="N447" s="3">
        <v>0</v>
      </c>
      <c r="O447" s="3">
        <v>68.760000000000005</v>
      </c>
      <c r="P447" s="3">
        <v>0</v>
      </c>
      <c r="Q447" s="3">
        <v>0</v>
      </c>
      <c r="R447" s="3">
        <v>0</v>
      </c>
      <c r="S447" s="3">
        <v>0</v>
      </c>
      <c r="T447" s="3">
        <v>0</v>
      </c>
      <c r="U447" s="3">
        <v>68.760000000000005</v>
      </c>
      <c r="V447" t="s">
        <v>55</v>
      </c>
    </row>
    <row r="448" spans="1:22" hidden="1" x14ac:dyDescent="0.25">
      <c r="A448" t="s">
        <v>8608</v>
      </c>
      <c r="B448" t="s">
        <v>8699</v>
      </c>
      <c r="C448" t="s">
        <v>1</v>
      </c>
      <c r="D448" t="s">
        <v>8526</v>
      </c>
      <c r="E448" t="s">
        <v>8147</v>
      </c>
      <c r="F448" t="s">
        <v>8146</v>
      </c>
      <c r="G448">
        <v>3420</v>
      </c>
      <c r="H448">
        <v>3420</v>
      </c>
      <c r="I448">
        <v>3420</v>
      </c>
      <c r="J448">
        <v>3420</v>
      </c>
      <c r="L448" s="3">
        <v>0</v>
      </c>
      <c r="M448" s="3">
        <v>0</v>
      </c>
      <c r="N448" s="3">
        <v>0</v>
      </c>
      <c r="O448" s="3">
        <v>56.5</v>
      </c>
      <c r="P448" s="3">
        <v>0</v>
      </c>
      <c r="Q448" s="3">
        <v>0</v>
      </c>
      <c r="R448" s="3">
        <v>0</v>
      </c>
      <c r="S448" s="3">
        <v>0</v>
      </c>
      <c r="T448" s="3">
        <v>0</v>
      </c>
      <c r="U448" s="3">
        <v>56.5</v>
      </c>
      <c r="V448" t="s">
        <v>55</v>
      </c>
    </row>
    <row r="449" spans="1:22" hidden="1" x14ac:dyDescent="0.25">
      <c r="A449" t="s">
        <v>8608</v>
      </c>
      <c r="B449" t="s">
        <v>8699</v>
      </c>
      <c r="C449" t="s">
        <v>1</v>
      </c>
      <c r="D449" t="s">
        <v>8526</v>
      </c>
      <c r="E449" t="s">
        <v>8147</v>
      </c>
      <c r="F449" t="s">
        <v>8146</v>
      </c>
      <c r="G449">
        <v>3421</v>
      </c>
      <c r="H449">
        <v>3421</v>
      </c>
      <c r="I449">
        <v>3421</v>
      </c>
      <c r="J449">
        <v>3421</v>
      </c>
      <c r="L449" s="3">
        <v>0</v>
      </c>
      <c r="M449" s="3">
        <v>0</v>
      </c>
      <c r="N449" s="3">
        <v>0</v>
      </c>
      <c r="O449" s="3">
        <v>225</v>
      </c>
      <c r="P449" s="3">
        <v>0</v>
      </c>
      <c r="Q449" s="3">
        <v>0</v>
      </c>
      <c r="R449" s="3">
        <v>0</v>
      </c>
      <c r="S449" s="3">
        <v>0</v>
      </c>
      <c r="T449" s="3">
        <v>0</v>
      </c>
      <c r="U449" s="3">
        <v>225</v>
      </c>
      <c r="V449" t="s">
        <v>55</v>
      </c>
    </row>
    <row r="450" spans="1:22" hidden="1" x14ac:dyDescent="0.25">
      <c r="A450" t="s">
        <v>8608</v>
      </c>
      <c r="B450" t="s">
        <v>8699</v>
      </c>
      <c r="C450" t="s">
        <v>1</v>
      </c>
      <c r="D450" t="s">
        <v>8526</v>
      </c>
      <c r="E450" t="s">
        <v>8147</v>
      </c>
      <c r="F450" t="s">
        <v>8146</v>
      </c>
      <c r="G450">
        <v>3422</v>
      </c>
      <c r="H450">
        <v>3422</v>
      </c>
      <c r="I450">
        <v>3422</v>
      </c>
      <c r="J450">
        <v>3422</v>
      </c>
      <c r="L450" s="3">
        <v>0</v>
      </c>
      <c r="M450" s="3">
        <v>0</v>
      </c>
      <c r="N450" s="3">
        <v>0</v>
      </c>
      <c r="O450" s="3">
        <v>54</v>
      </c>
      <c r="P450" s="3">
        <v>0</v>
      </c>
      <c r="Q450" s="3">
        <v>0</v>
      </c>
      <c r="R450" s="3">
        <v>0</v>
      </c>
      <c r="S450" s="3">
        <v>0</v>
      </c>
      <c r="T450" s="3">
        <v>0</v>
      </c>
      <c r="U450" s="3">
        <v>54</v>
      </c>
      <c r="V450" t="s">
        <v>55</v>
      </c>
    </row>
    <row r="451" spans="1:22" hidden="1" x14ac:dyDescent="0.25">
      <c r="A451" t="s">
        <v>8608</v>
      </c>
      <c r="B451" t="s">
        <v>8699</v>
      </c>
      <c r="C451" t="s">
        <v>1</v>
      </c>
      <c r="D451" t="s">
        <v>8526</v>
      </c>
      <c r="E451" t="s">
        <v>8147</v>
      </c>
      <c r="F451" t="s">
        <v>8146</v>
      </c>
      <c r="G451">
        <v>3423</v>
      </c>
      <c r="H451">
        <v>3423</v>
      </c>
      <c r="I451">
        <v>3423</v>
      </c>
      <c r="J451">
        <v>3423</v>
      </c>
      <c r="L451" s="3">
        <v>0</v>
      </c>
      <c r="M451" s="3">
        <v>0</v>
      </c>
      <c r="N451" s="3">
        <v>0</v>
      </c>
      <c r="O451" s="3">
        <v>222</v>
      </c>
      <c r="P451" s="3">
        <v>0</v>
      </c>
      <c r="Q451" s="3">
        <v>0</v>
      </c>
      <c r="R451" s="3">
        <v>0</v>
      </c>
      <c r="S451" s="3">
        <v>0</v>
      </c>
      <c r="T451" s="3">
        <v>0</v>
      </c>
      <c r="U451" s="3">
        <v>222</v>
      </c>
      <c r="V451" t="s">
        <v>55</v>
      </c>
    </row>
    <row r="452" spans="1:22" hidden="1" x14ac:dyDescent="0.25">
      <c r="A452" t="s">
        <v>8608</v>
      </c>
      <c r="B452" t="s">
        <v>8698</v>
      </c>
      <c r="C452" t="s">
        <v>1</v>
      </c>
      <c r="D452" t="s">
        <v>8526</v>
      </c>
      <c r="E452" t="s">
        <v>8147</v>
      </c>
      <c r="F452" t="s">
        <v>8146</v>
      </c>
      <c r="G452">
        <v>3424</v>
      </c>
      <c r="H452">
        <v>3424</v>
      </c>
      <c r="I452">
        <v>3424</v>
      </c>
      <c r="J452">
        <v>3424</v>
      </c>
      <c r="L452" s="3">
        <v>0</v>
      </c>
      <c r="M452" s="3">
        <v>0</v>
      </c>
      <c r="N452" s="3">
        <v>0</v>
      </c>
      <c r="O452" s="3">
        <v>364.99</v>
      </c>
      <c r="P452" s="3">
        <v>0</v>
      </c>
      <c r="Q452" s="3">
        <v>0</v>
      </c>
      <c r="R452" s="3">
        <v>0</v>
      </c>
      <c r="S452" s="3">
        <v>0</v>
      </c>
      <c r="T452" s="3">
        <v>0</v>
      </c>
      <c r="U452" s="3">
        <v>364.99</v>
      </c>
      <c r="V452" t="s">
        <v>55</v>
      </c>
    </row>
    <row r="453" spans="1:22" hidden="1" x14ac:dyDescent="0.25">
      <c r="A453" t="s">
        <v>8608</v>
      </c>
      <c r="B453" t="s">
        <v>8698</v>
      </c>
      <c r="C453" t="s">
        <v>1</v>
      </c>
      <c r="D453" t="s">
        <v>8526</v>
      </c>
      <c r="E453" t="s">
        <v>8147</v>
      </c>
      <c r="F453" t="s">
        <v>8146</v>
      </c>
      <c r="G453">
        <v>3425</v>
      </c>
      <c r="H453">
        <v>3425</v>
      </c>
      <c r="I453">
        <v>3425</v>
      </c>
      <c r="J453">
        <v>3425</v>
      </c>
      <c r="L453" s="3">
        <v>0</v>
      </c>
      <c r="M453" s="3">
        <v>0</v>
      </c>
      <c r="N453" s="3">
        <v>0</v>
      </c>
      <c r="O453" s="3">
        <v>255</v>
      </c>
      <c r="P453" s="3">
        <v>0</v>
      </c>
      <c r="Q453" s="3">
        <v>0</v>
      </c>
      <c r="R453" s="3">
        <v>0</v>
      </c>
      <c r="S453" s="3">
        <v>0</v>
      </c>
      <c r="T453" s="3">
        <v>0</v>
      </c>
      <c r="U453" s="3">
        <v>255</v>
      </c>
      <c r="V453" t="s">
        <v>55</v>
      </c>
    </row>
    <row r="454" spans="1:22" hidden="1" x14ac:dyDescent="0.25">
      <c r="A454" t="s">
        <v>8608</v>
      </c>
      <c r="B454" t="s">
        <v>8698</v>
      </c>
      <c r="C454" t="s">
        <v>1</v>
      </c>
      <c r="D454" t="s">
        <v>8526</v>
      </c>
      <c r="E454" t="s">
        <v>8147</v>
      </c>
      <c r="F454" t="s">
        <v>8146</v>
      </c>
      <c r="G454">
        <v>3426</v>
      </c>
      <c r="H454">
        <v>3426</v>
      </c>
      <c r="I454">
        <v>3426</v>
      </c>
      <c r="J454">
        <v>3426</v>
      </c>
      <c r="L454" s="3">
        <v>0</v>
      </c>
      <c r="M454" s="3">
        <v>0</v>
      </c>
      <c r="N454" s="3">
        <v>0</v>
      </c>
      <c r="O454" s="3">
        <v>839.18</v>
      </c>
      <c r="P454" s="3">
        <v>0</v>
      </c>
      <c r="Q454" s="3">
        <v>0</v>
      </c>
      <c r="R454" s="3">
        <v>0</v>
      </c>
      <c r="S454" s="3">
        <v>0</v>
      </c>
      <c r="T454" s="3">
        <v>0</v>
      </c>
      <c r="U454" s="3">
        <v>839.18</v>
      </c>
      <c r="V454" t="s">
        <v>55</v>
      </c>
    </row>
    <row r="455" spans="1:22" hidden="1" x14ac:dyDescent="0.25">
      <c r="A455" t="s">
        <v>8608</v>
      </c>
      <c r="B455" t="s">
        <v>8697</v>
      </c>
      <c r="C455" t="s">
        <v>1</v>
      </c>
      <c r="D455" t="s">
        <v>8526</v>
      </c>
      <c r="E455" t="s">
        <v>8147</v>
      </c>
      <c r="F455" t="s">
        <v>8146</v>
      </c>
      <c r="G455">
        <v>3427</v>
      </c>
      <c r="H455">
        <v>3427</v>
      </c>
      <c r="I455">
        <v>3427</v>
      </c>
      <c r="J455">
        <v>3427</v>
      </c>
      <c r="L455" s="3">
        <v>0</v>
      </c>
      <c r="M455" s="3">
        <v>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3">
        <v>0</v>
      </c>
      <c r="T455" s="3">
        <v>0</v>
      </c>
      <c r="U455" s="3">
        <v>0</v>
      </c>
      <c r="V455" t="s">
        <v>55</v>
      </c>
    </row>
    <row r="456" spans="1:22" hidden="1" x14ac:dyDescent="0.25">
      <c r="A456" t="s">
        <v>8608</v>
      </c>
      <c r="B456" t="s">
        <v>8696</v>
      </c>
      <c r="C456" t="s">
        <v>1</v>
      </c>
      <c r="D456" t="s">
        <v>8526</v>
      </c>
      <c r="E456" t="s">
        <v>8147</v>
      </c>
      <c r="F456" t="s">
        <v>8146</v>
      </c>
      <c r="G456">
        <v>3428</v>
      </c>
      <c r="H456">
        <v>3428</v>
      </c>
      <c r="I456">
        <v>3428</v>
      </c>
      <c r="J456">
        <v>3428</v>
      </c>
      <c r="L456" s="3">
        <v>0</v>
      </c>
      <c r="M456" s="3">
        <v>0</v>
      </c>
      <c r="N456" s="3">
        <v>0</v>
      </c>
      <c r="O456" s="3">
        <v>202.85</v>
      </c>
      <c r="P456" s="3">
        <v>0</v>
      </c>
      <c r="Q456" s="3">
        <v>0</v>
      </c>
      <c r="R456" s="3">
        <v>0</v>
      </c>
      <c r="S456" s="3">
        <v>0</v>
      </c>
      <c r="T456" s="3">
        <v>0</v>
      </c>
      <c r="U456" s="3">
        <v>202.85</v>
      </c>
      <c r="V456" t="s">
        <v>55</v>
      </c>
    </row>
    <row r="457" spans="1:22" hidden="1" x14ac:dyDescent="0.25">
      <c r="A457" t="s">
        <v>8608</v>
      </c>
      <c r="B457" t="s">
        <v>8696</v>
      </c>
      <c r="C457" t="s">
        <v>1</v>
      </c>
      <c r="D457" t="s">
        <v>8526</v>
      </c>
      <c r="E457" t="s">
        <v>8147</v>
      </c>
      <c r="F457" t="s">
        <v>8146</v>
      </c>
      <c r="G457">
        <v>3429</v>
      </c>
      <c r="H457">
        <v>3429</v>
      </c>
      <c r="I457">
        <v>3429</v>
      </c>
      <c r="J457">
        <v>3429</v>
      </c>
      <c r="L457" s="3">
        <v>0</v>
      </c>
      <c r="M457" s="3">
        <v>0</v>
      </c>
      <c r="N457" s="3">
        <v>0</v>
      </c>
      <c r="O457" s="3">
        <v>48.64</v>
      </c>
      <c r="P457" s="3">
        <v>0</v>
      </c>
      <c r="Q457" s="3">
        <v>0</v>
      </c>
      <c r="R457" s="3">
        <v>0</v>
      </c>
      <c r="S457" s="3">
        <v>0</v>
      </c>
      <c r="T457" s="3">
        <v>0</v>
      </c>
      <c r="U457" s="3">
        <v>48.64</v>
      </c>
      <c r="V457" t="s">
        <v>55</v>
      </c>
    </row>
    <row r="458" spans="1:22" hidden="1" x14ac:dyDescent="0.25">
      <c r="A458" t="s">
        <v>8608</v>
      </c>
      <c r="B458" t="s">
        <v>8696</v>
      </c>
      <c r="C458" t="s">
        <v>1</v>
      </c>
      <c r="D458" t="s">
        <v>8526</v>
      </c>
      <c r="E458" t="s">
        <v>8147</v>
      </c>
      <c r="F458" t="s">
        <v>8146</v>
      </c>
      <c r="G458">
        <v>3430</v>
      </c>
      <c r="H458">
        <v>3430</v>
      </c>
      <c r="I458">
        <v>3430</v>
      </c>
      <c r="J458">
        <v>3430</v>
      </c>
      <c r="L458" s="3">
        <v>0</v>
      </c>
      <c r="M458" s="3">
        <v>0</v>
      </c>
      <c r="N458" s="3">
        <v>0</v>
      </c>
      <c r="O458" s="3">
        <v>363.05</v>
      </c>
      <c r="P458" s="3">
        <v>0</v>
      </c>
      <c r="Q458" s="3">
        <v>0</v>
      </c>
      <c r="R458" s="3">
        <v>0</v>
      </c>
      <c r="S458" s="3">
        <v>0</v>
      </c>
      <c r="T458" s="3">
        <v>0</v>
      </c>
      <c r="U458" s="3">
        <v>363.05</v>
      </c>
      <c r="V458" t="s">
        <v>55</v>
      </c>
    </row>
    <row r="459" spans="1:22" hidden="1" x14ac:dyDescent="0.25">
      <c r="A459" t="s">
        <v>8608</v>
      </c>
      <c r="B459" t="s">
        <v>8696</v>
      </c>
      <c r="C459" t="s">
        <v>1</v>
      </c>
      <c r="D459" t="s">
        <v>8526</v>
      </c>
      <c r="E459" t="s">
        <v>8147</v>
      </c>
      <c r="F459" t="s">
        <v>8146</v>
      </c>
      <c r="G459">
        <v>3431</v>
      </c>
      <c r="H459">
        <v>3431</v>
      </c>
      <c r="I459">
        <v>3431</v>
      </c>
      <c r="J459">
        <v>3431</v>
      </c>
      <c r="L459" s="3">
        <v>0</v>
      </c>
      <c r="M459" s="3">
        <v>0</v>
      </c>
      <c r="N459" s="3">
        <v>0</v>
      </c>
      <c r="O459" s="3">
        <v>37.39</v>
      </c>
      <c r="P459" s="3">
        <v>0</v>
      </c>
      <c r="Q459" s="3">
        <v>0</v>
      </c>
      <c r="R459" s="3">
        <v>0</v>
      </c>
      <c r="S459" s="3">
        <v>0</v>
      </c>
      <c r="T459" s="3">
        <v>0</v>
      </c>
      <c r="U459" s="3">
        <v>37.39</v>
      </c>
      <c r="V459" t="s">
        <v>55</v>
      </c>
    </row>
    <row r="460" spans="1:22" hidden="1" x14ac:dyDescent="0.25">
      <c r="A460" t="s">
        <v>8608</v>
      </c>
      <c r="B460" t="s">
        <v>8696</v>
      </c>
      <c r="C460" t="s">
        <v>1</v>
      </c>
      <c r="D460" t="s">
        <v>8526</v>
      </c>
      <c r="E460" t="s">
        <v>8147</v>
      </c>
      <c r="F460" t="s">
        <v>8146</v>
      </c>
      <c r="G460">
        <v>3432</v>
      </c>
      <c r="H460">
        <v>3432</v>
      </c>
      <c r="I460">
        <v>3432</v>
      </c>
      <c r="J460">
        <v>3432</v>
      </c>
      <c r="L460" s="3">
        <v>0</v>
      </c>
      <c r="M460" s="3">
        <v>0</v>
      </c>
      <c r="N460" s="3">
        <v>0</v>
      </c>
      <c r="O460" s="3">
        <v>395.22</v>
      </c>
      <c r="P460" s="3">
        <v>0</v>
      </c>
      <c r="Q460" s="3">
        <v>0</v>
      </c>
      <c r="R460" s="3">
        <v>0</v>
      </c>
      <c r="S460" s="3">
        <v>0</v>
      </c>
      <c r="T460" s="3">
        <v>0</v>
      </c>
      <c r="U460" s="3">
        <v>395.22</v>
      </c>
      <c r="V460" t="s">
        <v>55</v>
      </c>
    </row>
    <row r="461" spans="1:22" hidden="1" x14ac:dyDescent="0.25">
      <c r="A461" t="s">
        <v>8608</v>
      </c>
      <c r="B461" t="s">
        <v>8696</v>
      </c>
      <c r="C461" t="s">
        <v>1</v>
      </c>
      <c r="D461" t="s">
        <v>8526</v>
      </c>
      <c r="E461" t="s">
        <v>8147</v>
      </c>
      <c r="F461" t="s">
        <v>8146</v>
      </c>
      <c r="G461">
        <v>3433</v>
      </c>
      <c r="H461">
        <v>3433</v>
      </c>
      <c r="I461">
        <v>3433</v>
      </c>
      <c r="J461">
        <v>3433</v>
      </c>
      <c r="L461" s="3">
        <v>0</v>
      </c>
      <c r="M461" s="3">
        <v>0</v>
      </c>
      <c r="N461" s="3">
        <v>0</v>
      </c>
      <c r="O461" s="3">
        <v>48</v>
      </c>
      <c r="P461" s="3">
        <v>0</v>
      </c>
      <c r="Q461" s="3">
        <v>0</v>
      </c>
      <c r="R461" s="3">
        <v>0</v>
      </c>
      <c r="S461" s="3">
        <v>0</v>
      </c>
      <c r="T461" s="3">
        <v>0</v>
      </c>
      <c r="U461" s="3">
        <v>48</v>
      </c>
      <c r="V461" t="s">
        <v>55</v>
      </c>
    </row>
    <row r="462" spans="1:22" hidden="1" x14ac:dyDescent="0.25">
      <c r="A462" t="s">
        <v>8608</v>
      </c>
      <c r="B462" t="s">
        <v>8696</v>
      </c>
      <c r="C462" t="s">
        <v>1</v>
      </c>
      <c r="D462" t="s">
        <v>8526</v>
      </c>
      <c r="E462" t="s">
        <v>8147</v>
      </c>
      <c r="F462" t="s">
        <v>8146</v>
      </c>
      <c r="G462">
        <v>3434</v>
      </c>
      <c r="H462">
        <v>3434</v>
      </c>
      <c r="I462">
        <v>3434</v>
      </c>
      <c r="J462">
        <v>3434</v>
      </c>
      <c r="L462" s="3">
        <v>0</v>
      </c>
      <c r="M462" s="3">
        <v>0</v>
      </c>
      <c r="N462" s="3">
        <v>0</v>
      </c>
      <c r="O462" s="3">
        <v>1008</v>
      </c>
      <c r="P462" s="3">
        <v>0</v>
      </c>
      <c r="Q462" s="3">
        <v>0</v>
      </c>
      <c r="R462" s="3">
        <v>0</v>
      </c>
      <c r="S462" s="3">
        <v>0</v>
      </c>
      <c r="T462" s="3">
        <v>0</v>
      </c>
      <c r="U462" s="3">
        <v>1008</v>
      </c>
      <c r="V462" t="s">
        <v>55</v>
      </c>
    </row>
    <row r="463" spans="1:22" hidden="1" x14ac:dyDescent="0.25">
      <c r="A463" t="s">
        <v>8608</v>
      </c>
      <c r="B463" t="s">
        <v>8695</v>
      </c>
      <c r="C463" t="s">
        <v>1</v>
      </c>
      <c r="D463" t="s">
        <v>8526</v>
      </c>
      <c r="E463" t="s">
        <v>8147</v>
      </c>
      <c r="F463" t="s">
        <v>8146</v>
      </c>
      <c r="G463">
        <v>3435</v>
      </c>
      <c r="H463">
        <v>3435</v>
      </c>
      <c r="I463">
        <v>3435</v>
      </c>
      <c r="J463">
        <v>3435</v>
      </c>
      <c r="L463" s="3">
        <v>0</v>
      </c>
      <c r="M463" s="3">
        <v>0</v>
      </c>
      <c r="N463" s="3">
        <v>0</v>
      </c>
      <c r="O463" s="3">
        <v>107.26</v>
      </c>
      <c r="P463" s="3">
        <v>0</v>
      </c>
      <c r="Q463" s="3">
        <v>0</v>
      </c>
      <c r="R463" s="3">
        <v>0</v>
      </c>
      <c r="S463" s="3">
        <v>0</v>
      </c>
      <c r="T463" s="3">
        <v>0</v>
      </c>
      <c r="U463" s="3">
        <v>107.26</v>
      </c>
      <c r="V463" t="s">
        <v>55</v>
      </c>
    </row>
    <row r="464" spans="1:22" hidden="1" x14ac:dyDescent="0.25">
      <c r="A464" t="s">
        <v>8608</v>
      </c>
      <c r="B464" t="s">
        <v>8695</v>
      </c>
      <c r="C464" t="s">
        <v>1</v>
      </c>
      <c r="D464" t="s">
        <v>8526</v>
      </c>
      <c r="E464" t="s">
        <v>8147</v>
      </c>
      <c r="F464" t="s">
        <v>8146</v>
      </c>
      <c r="G464">
        <v>3436</v>
      </c>
      <c r="H464">
        <v>3436</v>
      </c>
      <c r="I464">
        <v>3436</v>
      </c>
      <c r="J464">
        <v>3436</v>
      </c>
      <c r="L464" s="3">
        <v>0</v>
      </c>
      <c r="M464" s="3">
        <v>0</v>
      </c>
      <c r="N464" s="3">
        <v>0</v>
      </c>
      <c r="O464" s="3">
        <v>629.36</v>
      </c>
      <c r="P464" s="3">
        <v>0</v>
      </c>
      <c r="Q464" s="3">
        <v>0</v>
      </c>
      <c r="R464" s="3">
        <v>0</v>
      </c>
      <c r="S464" s="3">
        <v>0</v>
      </c>
      <c r="T464" s="3">
        <v>0</v>
      </c>
      <c r="U464" s="3">
        <v>629.36</v>
      </c>
      <c r="V464" t="s">
        <v>55</v>
      </c>
    </row>
    <row r="465" spans="1:22" hidden="1" x14ac:dyDescent="0.25">
      <c r="A465" t="s">
        <v>8608</v>
      </c>
      <c r="B465" t="s">
        <v>8695</v>
      </c>
      <c r="C465" t="s">
        <v>1</v>
      </c>
      <c r="D465" t="s">
        <v>8526</v>
      </c>
      <c r="E465" t="s">
        <v>8147</v>
      </c>
      <c r="F465" t="s">
        <v>8146</v>
      </c>
      <c r="G465">
        <v>3437</v>
      </c>
      <c r="H465">
        <v>3437</v>
      </c>
      <c r="I465">
        <v>3437</v>
      </c>
      <c r="J465">
        <v>3437</v>
      </c>
      <c r="L465" s="3">
        <v>0</v>
      </c>
      <c r="M465" s="3">
        <v>0</v>
      </c>
      <c r="N465" s="3">
        <v>0</v>
      </c>
      <c r="O465" s="3">
        <v>166.5</v>
      </c>
      <c r="P465" s="3">
        <v>0</v>
      </c>
      <c r="Q465" s="3">
        <v>0</v>
      </c>
      <c r="R465" s="3">
        <v>0</v>
      </c>
      <c r="S465" s="3">
        <v>0</v>
      </c>
      <c r="T465" s="3">
        <v>0</v>
      </c>
      <c r="U465" s="3">
        <v>166.5</v>
      </c>
      <c r="V465" t="s">
        <v>55</v>
      </c>
    </row>
    <row r="466" spans="1:22" hidden="1" x14ac:dyDescent="0.25">
      <c r="A466" t="s">
        <v>8608</v>
      </c>
      <c r="B466" t="s">
        <v>8695</v>
      </c>
      <c r="C466" t="s">
        <v>1</v>
      </c>
      <c r="D466" t="s">
        <v>8526</v>
      </c>
      <c r="E466" t="s">
        <v>8147</v>
      </c>
      <c r="F466" t="s">
        <v>8146</v>
      </c>
      <c r="G466">
        <v>3438</v>
      </c>
      <c r="H466">
        <v>3438</v>
      </c>
      <c r="I466">
        <v>3438</v>
      </c>
      <c r="J466">
        <v>3438</v>
      </c>
      <c r="L466" s="3">
        <v>0</v>
      </c>
      <c r="M466" s="3">
        <v>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3">
        <v>0</v>
      </c>
      <c r="T466" s="3">
        <v>0</v>
      </c>
      <c r="U466" s="3">
        <v>0</v>
      </c>
      <c r="V466" t="s">
        <v>55</v>
      </c>
    </row>
    <row r="467" spans="1:22" hidden="1" x14ac:dyDescent="0.25">
      <c r="A467" t="s">
        <v>8608</v>
      </c>
      <c r="B467" t="s">
        <v>8695</v>
      </c>
      <c r="C467" t="s">
        <v>1</v>
      </c>
      <c r="D467" t="s">
        <v>8526</v>
      </c>
      <c r="E467" t="s">
        <v>8147</v>
      </c>
      <c r="F467" t="s">
        <v>8146</v>
      </c>
      <c r="G467">
        <v>3439</v>
      </c>
      <c r="H467">
        <v>3439</v>
      </c>
      <c r="I467">
        <v>3439</v>
      </c>
      <c r="J467">
        <v>3439</v>
      </c>
      <c r="L467" s="3">
        <v>0</v>
      </c>
      <c r="M467" s="3">
        <v>0</v>
      </c>
      <c r="N467" s="3">
        <v>0</v>
      </c>
      <c r="O467" s="3">
        <v>858.19</v>
      </c>
      <c r="P467" s="3">
        <v>0</v>
      </c>
      <c r="Q467" s="3">
        <v>0</v>
      </c>
      <c r="R467" s="3">
        <v>0</v>
      </c>
      <c r="S467" s="3">
        <v>0</v>
      </c>
      <c r="T467" s="3">
        <v>0</v>
      </c>
      <c r="U467" s="3">
        <v>858.19</v>
      </c>
      <c r="V467" t="s">
        <v>55</v>
      </c>
    </row>
    <row r="468" spans="1:22" hidden="1" x14ac:dyDescent="0.25">
      <c r="A468" t="s">
        <v>8608</v>
      </c>
      <c r="B468" t="s">
        <v>8695</v>
      </c>
      <c r="C468" t="s">
        <v>1</v>
      </c>
      <c r="D468" t="s">
        <v>8526</v>
      </c>
      <c r="E468" t="s">
        <v>8147</v>
      </c>
      <c r="F468" t="s">
        <v>8146</v>
      </c>
      <c r="G468">
        <v>3440</v>
      </c>
      <c r="H468">
        <v>3440</v>
      </c>
      <c r="I468">
        <v>3440</v>
      </c>
      <c r="J468">
        <v>3440</v>
      </c>
      <c r="L468" s="3">
        <v>0</v>
      </c>
      <c r="M468" s="3">
        <v>0</v>
      </c>
      <c r="N468" s="3">
        <v>0</v>
      </c>
      <c r="O468" s="3">
        <v>177.81</v>
      </c>
      <c r="P468" s="3">
        <v>0</v>
      </c>
      <c r="Q468" s="3">
        <v>0</v>
      </c>
      <c r="R468" s="3">
        <v>0</v>
      </c>
      <c r="S468" s="3">
        <v>0</v>
      </c>
      <c r="T468" s="3">
        <v>0</v>
      </c>
      <c r="U468" s="3">
        <v>177.81</v>
      </c>
      <c r="V468" t="s">
        <v>55</v>
      </c>
    </row>
    <row r="469" spans="1:22" hidden="1" x14ac:dyDescent="0.25">
      <c r="A469" t="s">
        <v>8608</v>
      </c>
      <c r="B469" t="s">
        <v>8695</v>
      </c>
      <c r="C469" t="s">
        <v>1</v>
      </c>
      <c r="D469" t="s">
        <v>8526</v>
      </c>
      <c r="E469" t="s">
        <v>8147</v>
      </c>
      <c r="F469" t="s">
        <v>8146</v>
      </c>
      <c r="G469">
        <v>3441</v>
      </c>
      <c r="H469">
        <v>3441</v>
      </c>
      <c r="I469">
        <v>3441</v>
      </c>
      <c r="J469">
        <v>3441</v>
      </c>
      <c r="L469" s="3">
        <v>0</v>
      </c>
      <c r="M469" s="3">
        <v>0</v>
      </c>
      <c r="N469" s="3">
        <v>0</v>
      </c>
      <c r="O469" s="3">
        <v>11.3</v>
      </c>
      <c r="P469" s="3">
        <v>0</v>
      </c>
      <c r="Q469" s="3">
        <v>0</v>
      </c>
      <c r="R469" s="3">
        <v>0</v>
      </c>
      <c r="S469" s="3">
        <v>0</v>
      </c>
      <c r="T469" s="3">
        <v>0</v>
      </c>
      <c r="U469" s="3">
        <v>11.3</v>
      </c>
      <c r="V469" t="s">
        <v>55</v>
      </c>
    </row>
    <row r="470" spans="1:22" hidden="1" x14ac:dyDescent="0.25">
      <c r="A470" t="s">
        <v>8608</v>
      </c>
      <c r="B470" t="s">
        <v>8694</v>
      </c>
      <c r="C470" t="s">
        <v>1</v>
      </c>
      <c r="D470" t="s">
        <v>8526</v>
      </c>
      <c r="E470" t="s">
        <v>8147</v>
      </c>
      <c r="F470" t="s">
        <v>8146</v>
      </c>
      <c r="G470">
        <v>3442</v>
      </c>
      <c r="H470">
        <v>3442</v>
      </c>
      <c r="I470">
        <v>3442</v>
      </c>
      <c r="J470">
        <v>3442</v>
      </c>
      <c r="L470" s="3">
        <v>0</v>
      </c>
      <c r="M470" s="3">
        <v>0</v>
      </c>
      <c r="N470" s="3">
        <v>0</v>
      </c>
      <c r="O470" s="3">
        <v>655.46</v>
      </c>
      <c r="P470" s="3">
        <v>0</v>
      </c>
      <c r="Q470" s="3">
        <v>0</v>
      </c>
      <c r="R470" s="3">
        <v>0</v>
      </c>
      <c r="S470" s="3">
        <v>0</v>
      </c>
      <c r="T470" s="3">
        <v>0</v>
      </c>
      <c r="U470" s="3">
        <v>655.46</v>
      </c>
      <c r="V470" t="s">
        <v>55</v>
      </c>
    </row>
    <row r="471" spans="1:22" hidden="1" x14ac:dyDescent="0.25">
      <c r="A471" t="s">
        <v>8608</v>
      </c>
      <c r="B471" t="s">
        <v>8694</v>
      </c>
      <c r="C471" t="s">
        <v>1</v>
      </c>
      <c r="D471" t="s">
        <v>8526</v>
      </c>
      <c r="E471" t="s">
        <v>8147</v>
      </c>
      <c r="F471" t="s">
        <v>8146</v>
      </c>
      <c r="G471">
        <v>3443</v>
      </c>
      <c r="H471">
        <v>3443</v>
      </c>
      <c r="I471">
        <v>3443</v>
      </c>
      <c r="J471">
        <v>3443</v>
      </c>
      <c r="L471" s="3">
        <v>0</v>
      </c>
      <c r="M471" s="3">
        <v>0</v>
      </c>
      <c r="N471" s="3">
        <v>0</v>
      </c>
      <c r="O471" s="3">
        <v>125.28</v>
      </c>
      <c r="P471" s="3">
        <v>0</v>
      </c>
      <c r="Q471" s="3">
        <v>0</v>
      </c>
      <c r="R471" s="3">
        <v>0</v>
      </c>
      <c r="S471" s="3">
        <v>0</v>
      </c>
      <c r="T471" s="3">
        <v>0</v>
      </c>
      <c r="U471" s="3">
        <v>125.28</v>
      </c>
      <c r="V471" t="s">
        <v>55</v>
      </c>
    </row>
    <row r="472" spans="1:22" hidden="1" x14ac:dyDescent="0.25">
      <c r="A472" t="s">
        <v>8608</v>
      </c>
      <c r="B472" t="s">
        <v>8694</v>
      </c>
      <c r="C472" t="s">
        <v>1</v>
      </c>
      <c r="D472" t="s">
        <v>8526</v>
      </c>
      <c r="E472" t="s">
        <v>8147</v>
      </c>
      <c r="F472" t="s">
        <v>8146</v>
      </c>
      <c r="G472">
        <v>3444</v>
      </c>
      <c r="H472">
        <v>3444</v>
      </c>
      <c r="I472">
        <v>3444</v>
      </c>
      <c r="J472">
        <v>3444</v>
      </c>
      <c r="L472" s="3">
        <v>0</v>
      </c>
      <c r="M472" s="3">
        <v>0</v>
      </c>
      <c r="N472" s="3">
        <v>0</v>
      </c>
      <c r="O472" s="3">
        <v>156.36000000000001</v>
      </c>
      <c r="P472" s="3">
        <v>0</v>
      </c>
      <c r="Q472" s="3">
        <v>0</v>
      </c>
      <c r="R472" s="3">
        <v>0</v>
      </c>
      <c r="S472" s="3">
        <v>0</v>
      </c>
      <c r="T472" s="3">
        <v>0</v>
      </c>
      <c r="U472" s="3">
        <v>156.36000000000001</v>
      </c>
      <c r="V472" t="s">
        <v>55</v>
      </c>
    </row>
    <row r="473" spans="1:22" hidden="1" x14ac:dyDescent="0.25">
      <c r="A473" t="s">
        <v>8608</v>
      </c>
      <c r="B473" t="s">
        <v>8694</v>
      </c>
      <c r="C473" t="s">
        <v>1</v>
      </c>
      <c r="D473" t="s">
        <v>8526</v>
      </c>
      <c r="E473" t="s">
        <v>8147</v>
      </c>
      <c r="F473" t="s">
        <v>8146</v>
      </c>
      <c r="G473">
        <v>3445</v>
      </c>
      <c r="H473">
        <v>3445</v>
      </c>
      <c r="I473">
        <v>3445</v>
      </c>
      <c r="J473">
        <v>3445</v>
      </c>
      <c r="L473" s="3">
        <v>0</v>
      </c>
      <c r="M473" s="3">
        <v>0</v>
      </c>
      <c r="N473" s="3">
        <v>0</v>
      </c>
      <c r="O473" s="3">
        <v>588.88</v>
      </c>
      <c r="P473" s="3">
        <v>0</v>
      </c>
      <c r="Q473" s="3">
        <v>0</v>
      </c>
      <c r="R473" s="3">
        <v>0</v>
      </c>
      <c r="S473" s="3">
        <v>0</v>
      </c>
      <c r="T473" s="3">
        <v>0</v>
      </c>
      <c r="U473" s="3">
        <v>588.88</v>
      </c>
      <c r="V473" t="s">
        <v>55</v>
      </c>
    </row>
    <row r="474" spans="1:22" hidden="1" x14ac:dyDescent="0.25">
      <c r="A474" t="s">
        <v>8608</v>
      </c>
      <c r="B474" t="s">
        <v>8694</v>
      </c>
      <c r="C474" t="s">
        <v>1</v>
      </c>
      <c r="D474" t="s">
        <v>8526</v>
      </c>
      <c r="E474" t="s">
        <v>8147</v>
      </c>
      <c r="F474" t="s">
        <v>8146</v>
      </c>
      <c r="G474">
        <v>3446</v>
      </c>
      <c r="H474">
        <v>3446</v>
      </c>
      <c r="I474">
        <v>3446</v>
      </c>
      <c r="J474">
        <v>3446</v>
      </c>
      <c r="L474" s="3">
        <v>0</v>
      </c>
      <c r="M474" s="3">
        <v>0</v>
      </c>
      <c r="N474" s="3">
        <v>0</v>
      </c>
      <c r="O474" s="3">
        <v>414.36</v>
      </c>
      <c r="P474" s="3">
        <v>0</v>
      </c>
      <c r="Q474" s="3">
        <v>0</v>
      </c>
      <c r="R474" s="3">
        <v>0</v>
      </c>
      <c r="S474" s="3">
        <v>0</v>
      </c>
      <c r="T474" s="3">
        <v>0</v>
      </c>
      <c r="U474" s="3">
        <v>414.36</v>
      </c>
      <c r="V474" t="s">
        <v>55</v>
      </c>
    </row>
    <row r="475" spans="1:22" hidden="1" x14ac:dyDescent="0.25">
      <c r="A475" t="s">
        <v>8608</v>
      </c>
      <c r="B475" t="s">
        <v>8694</v>
      </c>
      <c r="C475" t="s">
        <v>1</v>
      </c>
      <c r="D475" t="s">
        <v>8526</v>
      </c>
      <c r="E475" t="s">
        <v>8147</v>
      </c>
      <c r="F475" t="s">
        <v>8146</v>
      </c>
      <c r="G475">
        <v>3447</v>
      </c>
      <c r="H475">
        <v>3447</v>
      </c>
      <c r="I475">
        <v>3447</v>
      </c>
      <c r="J475">
        <v>3447</v>
      </c>
      <c r="L475" s="3">
        <v>0</v>
      </c>
      <c r="M475" s="3">
        <v>0</v>
      </c>
      <c r="N475" s="3">
        <v>0</v>
      </c>
      <c r="O475" s="3">
        <v>596</v>
      </c>
      <c r="P475" s="3">
        <v>0</v>
      </c>
      <c r="Q475" s="3">
        <v>0</v>
      </c>
      <c r="R475" s="3">
        <v>0</v>
      </c>
      <c r="S475" s="3">
        <v>0</v>
      </c>
      <c r="T475" s="3">
        <v>0</v>
      </c>
      <c r="U475" s="3">
        <v>596</v>
      </c>
      <c r="V475" t="s">
        <v>55</v>
      </c>
    </row>
    <row r="476" spans="1:22" hidden="1" x14ac:dyDescent="0.25">
      <c r="A476" t="s">
        <v>8608</v>
      </c>
      <c r="B476" t="s">
        <v>8694</v>
      </c>
      <c r="C476" t="s">
        <v>1</v>
      </c>
      <c r="D476" t="s">
        <v>8526</v>
      </c>
      <c r="E476" t="s">
        <v>8147</v>
      </c>
      <c r="F476" t="s">
        <v>8146</v>
      </c>
      <c r="G476">
        <v>3448</v>
      </c>
      <c r="H476">
        <v>3448</v>
      </c>
      <c r="I476">
        <v>3448</v>
      </c>
      <c r="J476">
        <v>3448</v>
      </c>
      <c r="L476" s="3">
        <v>0</v>
      </c>
      <c r="M476" s="3">
        <v>0</v>
      </c>
      <c r="N476" s="3">
        <v>0</v>
      </c>
      <c r="O476" s="3">
        <v>195.55</v>
      </c>
      <c r="P476" s="3">
        <v>0</v>
      </c>
      <c r="Q476" s="3">
        <v>0</v>
      </c>
      <c r="R476" s="3">
        <v>0</v>
      </c>
      <c r="S476" s="3">
        <v>0</v>
      </c>
      <c r="T476" s="3">
        <v>0</v>
      </c>
      <c r="U476" s="3">
        <v>195.55</v>
      </c>
      <c r="V476" t="s">
        <v>55</v>
      </c>
    </row>
    <row r="477" spans="1:22" hidden="1" x14ac:dyDescent="0.25">
      <c r="A477" t="s">
        <v>8608</v>
      </c>
      <c r="B477" t="s">
        <v>8694</v>
      </c>
      <c r="C477" t="s">
        <v>1</v>
      </c>
      <c r="D477" t="s">
        <v>8526</v>
      </c>
      <c r="E477" t="s">
        <v>8147</v>
      </c>
      <c r="F477" t="s">
        <v>8146</v>
      </c>
      <c r="G477">
        <v>3449</v>
      </c>
      <c r="H477">
        <v>3449</v>
      </c>
      <c r="I477">
        <v>3449</v>
      </c>
      <c r="J477">
        <v>3449</v>
      </c>
      <c r="L477" s="3">
        <v>0</v>
      </c>
      <c r="M477" s="3">
        <v>0</v>
      </c>
      <c r="N477" s="3">
        <v>0</v>
      </c>
      <c r="O477" s="3">
        <v>105</v>
      </c>
      <c r="P477" s="3">
        <v>0</v>
      </c>
      <c r="Q477" s="3">
        <v>0</v>
      </c>
      <c r="R477" s="3">
        <v>0</v>
      </c>
      <c r="S477" s="3">
        <v>0</v>
      </c>
      <c r="T477" s="3">
        <v>0</v>
      </c>
      <c r="U477" s="3">
        <v>105</v>
      </c>
      <c r="V477" t="s">
        <v>55</v>
      </c>
    </row>
    <row r="478" spans="1:22" hidden="1" x14ac:dyDescent="0.25">
      <c r="A478" t="s">
        <v>8608</v>
      </c>
      <c r="B478" t="s">
        <v>8694</v>
      </c>
      <c r="C478" t="s">
        <v>1</v>
      </c>
      <c r="D478" t="s">
        <v>8526</v>
      </c>
      <c r="E478" t="s">
        <v>8147</v>
      </c>
      <c r="F478" t="s">
        <v>8146</v>
      </c>
      <c r="G478">
        <v>3450</v>
      </c>
      <c r="H478">
        <v>3450</v>
      </c>
      <c r="I478">
        <v>3450</v>
      </c>
      <c r="J478">
        <v>3450</v>
      </c>
      <c r="L478" s="3">
        <v>0</v>
      </c>
      <c r="M478" s="3">
        <v>0</v>
      </c>
      <c r="N478" s="3">
        <v>0</v>
      </c>
      <c r="O478" s="3">
        <v>22.17</v>
      </c>
      <c r="P478" s="3">
        <v>0</v>
      </c>
      <c r="Q478" s="3">
        <v>0</v>
      </c>
      <c r="R478" s="3">
        <v>0</v>
      </c>
      <c r="S478" s="3">
        <v>0</v>
      </c>
      <c r="T478" s="3">
        <v>0</v>
      </c>
      <c r="U478" s="3">
        <v>22.17</v>
      </c>
      <c r="V478" t="s">
        <v>55</v>
      </c>
    </row>
    <row r="479" spans="1:22" hidden="1" x14ac:dyDescent="0.25">
      <c r="A479" t="s">
        <v>8608</v>
      </c>
      <c r="B479" t="s">
        <v>8693</v>
      </c>
      <c r="C479" t="s">
        <v>1</v>
      </c>
      <c r="D479" t="s">
        <v>8526</v>
      </c>
      <c r="E479" t="s">
        <v>8147</v>
      </c>
      <c r="F479" t="s">
        <v>8146</v>
      </c>
      <c r="G479">
        <v>3451</v>
      </c>
      <c r="H479">
        <v>3451</v>
      </c>
      <c r="I479">
        <v>3451</v>
      </c>
      <c r="J479">
        <v>3451</v>
      </c>
      <c r="L479" s="3">
        <v>0</v>
      </c>
      <c r="M479" s="3">
        <v>0</v>
      </c>
      <c r="N479" s="3">
        <v>0</v>
      </c>
      <c r="O479" s="3">
        <v>20</v>
      </c>
      <c r="P479" s="3">
        <v>0</v>
      </c>
      <c r="Q479" s="3">
        <v>0</v>
      </c>
      <c r="R479" s="3">
        <v>0</v>
      </c>
      <c r="S479" s="3">
        <v>0</v>
      </c>
      <c r="T479" s="3">
        <v>0</v>
      </c>
      <c r="U479" s="3">
        <v>20</v>
      </c>
      <c r="V479" t="s">
        <v>55</v>
      </c>
    </row>
    <row r="480" spans="1:22" hidden="1" x14ac:dyDescent="0.25">
      <c r="A480" t="s">
        <v>8608</v>
      </c>
      <c r="B480" t="s">
        <v>8693</v>
      </c>
      <c r="C480" t="s">
        <v>1</v>
      </c>
      <c r="D480" t="s">
        <v>8526</v>
      </c>
      <c r="E480" t="s">
        <v>8147</v>
      </c>
      <c r="F480" t="s">
        <v>8146</v>
      </c>
      <c r="G480">
        <v>3452</v>
      </c>
      <c r="H480">
        <v>3452</v>
      </c>
      <c r="I480">
        <v>3452</v>
      </c>
      <c r="J480">
        <v>3452</v>
      </c>
      <c r="L480" s="3">
        <v>0</v>
      </c>
      <c r="M480" s="3">
        <v>0</v>
      </c>
      <c r="N480" s="3">
        <v>0</v>
      </c>
      <c r="O480" s="3">
        <v>96</v>
      </c>
      <c r="P480" s="3">
        <v>0</v>
      </c>
      <c r="Q480" s="3">
        <v>0</v>
      </c>
      <c r="R480" s="3">
        <v>0</v>
      </c>
      <c r="S480" s="3">
        <v>0</v>
      </c>
      <c r="T480" s="3">
        <v>0</v>
      </c>
      <c r="U480" s="3">
        <v>96</v>
      </c>
      <c r="V480" t="s">
        <v>55</v>
      </c>
    </row>
    <row r="481" spans="1:22" hidden="1" x14ac:dyDescent="0.25">
      <c r="A481" t="s">
        <v>8608</v>
      </c>
      <c r="B481" t="s">
        <v>8692</v>
      </c>
      <c r="C481" t="s">
        <v>1</v>
      </c>
      <c r="D481" t="s">
        <v>8526</v>
      </c>
      <c r="E481" t="s">
        <v>8147</v>
      </c>
      <c r="F481" t="s">
        <v>8146</v>
      </c>
      <c r="G481">
        <v>3453</v>
      </c>
      <c r="H481">
        <v>3453</v>
      </c>
      <c r="I481">
        <v>3453</v>
      </c>
      <c r="J481">
        <v>3453</v>
      </c>
      <c r="L481" s="3">
        <v>0</v>
      </c>
      <c r="M481" s="3">
        <v>0</v>
      </c>
      <c r="N481" s="3">
        <v>0</v>
      </c>
      <c r="O481" s="3">
        <v>180.55</v>
      </c>
      <c r="P481" s="3">
        <v>0</v>
      </c>
      <c r="Q481" s="3">
        <v>0</v>
      </c>
      <c r="R481" s="3">
        <v>0</v>
      </c>
      <c r="S481" s="3">
        <v>0</v>
      </c>
      <c r="T481" s="3">
        <v>0</v>
      </c>
      <c r="U481" s="3">
        <v>180.55</v>
      </c>
      <c r="V481" t="s">
        <v>55</v>
      </c>
    </row>
    <row r="482" spans="1:22" hidden="1" x14ac:dyDescent="0.25">
      <c r="A482" t="s">
        <v>8608</v>
      </c>
      <c r="B482" t="s">
        <v>8692</v>
      </c>
      <c r="C482" t="s">
        <v>1</v>
      </c>
      <c r="D482" t="s">
        <v>8526</v>
      </c>
      <c r="E482" t="s">
        <v>8147</v>
      </c>
      <c r="F482" t="s">
        <v>8146</v>
      </c>
      <c r="G482">
        <v>3454</v>
      </c>
      <c r="H482">
        <v>3454</v>
      </c>
      <c r="I482">
        <v>3454</v>
      </c>
      <c r="J482">
        <v>3454</v>
      </c>
      <c r="L482" s="3">
        <v>0</v>
      </c>
      <c r="M482" s="3">
        <v>0</v>
      </c>
      <c r="N482" s="3">
        <v>0</v>
      </c>
      <c r="O482" s="3">
        <v>225</v>
      </c>
      <c r="P482" s="3">
        <v>0</v>
      </c>
      <c r="Q482" s="3">
        <v>0</v>
      </c>
      <c r="R482" s="3">
        <v>0</v>
      </c>
      <c r="S482" s="3">
        <v>0</v>
      </c>
      <c r="T482" s="3">
        <v>0</v>
      </c>
      <c r="U482" s="3">
        <v>225</v>
      </c>
      <c r="V482" t="s">
        <v>55</v>
      </c>
    </row>
    <row r="483" spans="1:22" hidden="1" x14ac:dyDescent="0.25">
      <c r="A483" t="s">
        <v>8608</v>
      </c>
      <c r="B483" t="s">
        <v>8692</v>
      </c>
      <c r="C483" t="s">
        <v>1</v>
      </c>
      <c r="D483" t="s">
        <v>8526</v>
      </c>
      <c r="E483" t="s">
        <v>8147</v>
      </c>
      <c r="F483" t="s">
        <v>8146</v>
      </c>
      <c r="G483">
        <v>3455</v>
      </c>
      <c r="H483">
        <v>3455</v>
      </c>
      <c r="I483">
        <v>3455</v>
      </c>
      <c r="J483">
        <v>3455</v>
      </c>
      <c r="L483" s="3">
        <v>0</v>
      </c>
      <c r="M483" s="3">
        <v>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3">
        <v>0</v>
      </c>
      <c r="T483" s="3">
        <v>0</v>
      </c>
      <c r="U483" s="3">
        <v>0</v>
      </c>
      <c r="V483" t="s">
        <v>55</v>
      </c>
    </row>
    <row r="484" spans="1:22" hidden="1" x14ac:dyDescent="0.25">
      <c r="A484" t="s">
        <v>8608</v>
      </c>
      <c r="B484" t="s">
        <v>8692</v>
      </c>
      <c r="C484" t="s">
        <v>1</v>
      </c>
      <c r="D484" t="s">
        <v>8526</v>
      </c>
      <c r="E484" t="s">
        <v>8147</v>
      </c>
      <c r="F484" t="s">
        <v>8146</v>
      </c>
      <c r="G484">
        <v>3456</v>
      </c>
      <c r="H484">
        <v>3456</v>
      </c>
      <c r="I484">
        <v>3456</v>
      </c>
      <c r="J484">
        <v>3456</v>
      </c>
      <c r="L484" s="3">
        <v>0</v>
      </c>
      <c r="M484" s="3">
        <v>0</v>
      </c>
      <c r="N484" s="3">
        <v>0</v>
      </c>
      <c r="O484" s="3">
        <v>164.44</v>
      </c>
      <c r="P484" s="3">
        <v>0</v>
      </c>
      <c r="Q484" s="3">
        <v>0</v>
      </c>
      <c r="R484" s="3">
        <v>0</v>
      </c>
      <c r="S484" s="3">
        <v>0</v>
      </c>
      <c r="T484" s="3">
        <v>0</v>
      </c>
      <c r="U484" s="3">
        <v>164.44</v>
      </c>
      <c r="V484" t="s">
        <v>55</v>
      </c>
    </row>
    <row r="485" spans="1:22" hidden="1" x14ac:dyDescent="0.25">
      <c r="A485" t="s">
        <v>8608</v>
      </c>
      <c r="B485" t="s">
        <v>8692</v>
      </c>
      <c r="C485" t="s">
        <v>1</v>
      </c>
      <c r="D485" t="s">
        <v>8526</v>
      </c>
      <c r="E485" t="s">
        <v>8147</v>
      </c>
      <c r="F485" t="s">
        <v>8146</v>
      </c>
      <c r="G485">
        <v>3457</v>
      </c>
      <c r="H485">
        <v>3457</v>
      </c>
      <c r="I485">
        <v>3457</v>
      </c>
      <c r="J485">
        <v>3457</v>
      </c>
      <c r="L485" s="3">
        <v>0</v>
      </c>
      <c r="M485" s="3">
        <v>0</v>
      </c>
      <c r="N485" s="3">
        <v>0</v>
      </c>
      <c r="O485" s="3">
        <v>51</v>
      </c>
      <c r="P485" s="3">
        <v>0</v>
      </c>
      <c r="Q485" s="3">
        <v>0</v>
      </c>
      <c r="R485" s="3">
        <v>0</v>
      </c>
      <c r="S485" s="3">
        <v>0</v>
      </c>
      <c r="T485" s="3">
        <v>0</v>
      </c>
      <c r="U485" s="3">
        <v>51</v>
      </c>
      <c r="V485" t="s">
        <v>55</v>
      </c>
    </row>
    <row r="486" spans="1:22" hidden="1" x14ac:dyDescent="0.25">
      <c r="A486" t="s">
        <v>8608</v>
      </c>
      <c r="B486" t="s">
        <v>8692</v>
      </c>
      <c r="C486" t="s">
        <v>1</v>
      </c>
      <c r="D486" t="s">
        <v>8526</v>
      </c>
      <c r="E486" t="s">
        <v>8147</v>
      </c>
      <c r="F486" t="s">
        <v>8146</v>
      </c>
      <c r="G486">
        <v>3458</v>
      </c>
      <c r="H486">
        <v>3458</v>
      </c>
      <c r="I486">
        <v>3458</v>
      </c>
      <c r="J486">
        <v>3458</v>
      </c>
      <c r="L486" s="3">
        <v>0</v>
      </c>
      <c r="M486" s="3">
        <v>0</v>
      </c>
      <c r="N486" s="3">
        <v>0</v>
      </c>
      <c r="O486" s="3">
        <v>10.76</v>
      </c>
      <c r="P486" s="3">
        <v>0</v>
      </c>
      <c r="Q486" s="3">
        <v>0</v>
      </c>
      <c r="R486" s="3">
        <v>0</v>
      </c>
      <c r="S486" s="3">
        <v>0</v>
      </c>
      <c r="T486" s="3">
        <v>0</v>
      </c>
      <c r="U486" s="3">
        <v>10.76</v>
      </c>
      <c r="V486" t="s">
        <v>55</v>
      </c>
    </row>
    <row r="487" spans="1:22" hidden="1" x14ac:dyDescent="0.25">
      <c r="A487" t="s">
        <v>8608</v>
      </c>
      <c r="B487" t="s">
        <v>8692</v>
      </c>
      <c r="C487" t="s">
        <v>1</v>
      </c>
      <c r="D487" t="s">
        <v>8526</v>
      </c>
      <c r="E487" t="s">
        <v>8147</v>
      </c>
      <c r="F487" t="s">
        <v>8146</v>
      </c>
      <c r="G487">
        <v>3459</v>
      </c>
      <c r="H487">
        <v>3459</v>
      </c>
      <c r="I487">
        <v>3459</v>
      </c>
      <c r="J487">
        <v>3459</v>
      </c>
      <c r="L487" s="3">
        <v>0</v>
      </c>
      <c r="M487" s="3">
        <v>0</v>
      </c>
      <c r="N487" s="3">
        <v>0</v>
      </c>
      <c r="O487" s="3">
        <v>148.97999999999999</v>
      </c>
      <c r="P487" s="3">
        <v>0</v>
      </c>
      <c r="Q487" s="3">
        <v>0</v>
      </c>
      <c r="R487" s="3">
        <v>0</v>
      </c>
      <c r="S487" s="3">
        <v>0</v>
      </c>
      <c r="T487" s="3">
        <v>0</v>
      </c>
      <c r="U487" s="3">
        <v>148.97999999999999</v>
      </c>
      <c r="V487" t="s">
        <v>55</v>
      </c>
    </row>
    <row r="488" spans="1:22" hidden="1" x14ac:dyDescent="0.25">
      <c r="A488" t="s">
        <v>8608</v>
      </c>
      <c r="B488" t="s">
        <v>8692</v>
      </c>
      <c r="C488" t="s">
        <v>1</v>
      </c>
      <c r="D488" t="s">
        <v>8526</v>
      </c>
      <c r="E488" t="s">
        <v>8147</v>
      </c>
      <c r="F488" t="s">
        <v>8146</v>
      </c>
      <c r="G488">
        <v>3460</v>
      </c>
      <c r="H488">
        <v>3460</v>
      </c>
      <c r="I488">
        <v>3460</v>
      </c>
      <c r="J488">
        <v>3460</v>
      </c>
      <c r="L488" s="3">
        <v>0</v>
      </c>
      <c r="M488" s="3">
        <v>0</v>
      </c>
      <c r="N488" s="3">
        <v>0</v>
      </c>
      <c r="O488" s="3">
        <v>15.71</v>
      </c>
      <c r="P488" s="3">
        <v>0</v>
      </c>
      <c r="Q488" s="3">
        <v>0</v>
      </c>
      <c r="R488" s="3">
        <v>0</v>
      </c>
      <c r="S488" s="3">
        <v>0</v>
      </c>
      <c r="T488" s="3">
        <v>0</v>
      </c>
      <c r="U488" s="3">
        <v>15.71</v>
      </c>
      <c r="V488" t="s">
        <v>55</v>
      </c>
    </row>
    <row r="489" spans="1:22" hidden="1" x14ac:dyDescent="0.25">
      <c r="A489" t="s">
        <v>8608</v>
      </c>
      <c r="B489" t="s">
        <v>8692</v>
      </c>
      <c r="C489" t="s">
        <v>1</v>
      </c>
      <c r="D489" t="s">
        <v>8526</v>
      </c>
      <c r="E489" t="s">
        <v>8147</v>
      </c>
      <c r="F489" t="s">
        <v>8146</v>
      </c>
      <c r="G489">
        <v>3461</v>
      </c>
      <c r="H489">
        <v>3461</v>
      </c>
      <c r="I489">
        <v>3461</v>
      </c>
      <c r="J489">
        <v>3461</v>
      </c>
      <c r="L489" s="3">
        <v>0</v>
      </c>
      <c r="M489" s="3">
        <v>0</v>
      </c>
      <c r="N489" s="3">
        <v>0</v>
      </c>
      <c r="O489" s="3">
        <v>45.28</v>
      </c>
      <c r="P489" s="3">
        <v>0</v>
      </c>
      <c r="Q489" s="3">
        <v>0</v>
      </c>
      <c r="R489" s="3">
        <v>0</v>
      </c>
      <c r="S489" s="3">
        <v>0</v>
      </c>
      <c r="T489" s="3">
        <v>0</v>
      </c>
      <c r="U489" s="3">
        <v>45.28</v>
      </c>
      <c r="V489" t="s">
        <v>55</v>
      </c>
    </row>
    <row r="490" spans="1:22" hidden="1" x14ac:dyDescent="0.25">
      <c r="A490" t="s">
        <v>8608</v>
      </c>
      <c r="B490" t="s">
        <v>8692</v>
      </c>
      <c r="C490" t="s">
        <v>1</v>
      </c>
      <c r="D490" t="s">
        <v>8526</v>
      </c>
      <c r="E490" t="s">
        <v>8147</v>
      </c>
      <c r="F490" t="s">
        <v>8146</v>
      </c>
      <c r="G490">
        <v>3462</v>
      </c>
      <c r="H490">
        <v>3462</v>
      </c>
      <c r="I490">
        <v>3462</v>
      </c>
      <c r="J490">
        <v>3462</v>
      </c>
      <c r="L490" s="3">
        <v>0</v>
      </c>
      <c r="M490" s="3">
        <v>0</v>
      </c>
      <c r="N490" s="3">
        <v>0</v>
      </c>
      <c r="O490" s="3">
        <v>2219</v>
      </c>
      <c r="P490" s="3">
        <v>0</v>
      </c>
      <c r="Q490" s="3">
        <v>0</v>
      </c>
      <c r="R490" s="3">
        <v>0</v>
      </c>
      <c r="S490" s="3">
        <v>0</v>
      </c>
      <c r="T490" s="3">
        <v>0</v>
      </c>
      <c r="U490" s="3">
        <v>2219</v>
      </c>
      <c r="V490" t="s">
        <v>55</v>
      </c>
    </row>
    <row r="491" spans="1:22" hidden="1" x14ac:dyDescent="0.25">
      <c r="A491" t="s">
        <v>8608</v>
      </c>
      <c r="B491" t="s">
        <v>8691</v>
      </c>
      <c r="C491" t="s">
        <v>1</v>
      </c>
      <c r="D491" t="s">
        <v>8526</v>
      </c>
      <c r="E491" t="s">
        <v>8147</v>
      </c>
      <c r="F491" t="s">
        <v>8146</v>
      </c>
      <c r="G491">
        <v>3463</v>
      </c>
      <c r="H491">
        <v>3463</v>
      </c>
      <c r="I491">
        <v>3463</v>
      </c>
      <c r="J491">
        <v>3463</v>
      </c>
      <c r="L491" s="3">
        <v>0</v>
      </c>
      <c r="M491" s="3">
        <v>0</v>
      </c>
      <c r="N491" s="3">
        <v>0</v>
      </c>
      <c r="O491" s="3">
        <v>493</v>
      </c>
      <c r="P491" s="3">
        <v>0</v>
      </c>
      <c r="Q491" s="3">
        <v>0</v>
      </c>
      <c r="R491" s="3">
        <v>0</v>
      </c>
      <c r="S491" s="3">
        <v>0</v>
      </c>
      <c r="T491" s="3">
        <v>0</v>
      </c>
      <c r="U491" s="3">
        <v>493</v>
      </c>
      <c r="V491" t="s">
        <v>55</v>
      </c>
    </row>
    <row r="492" spans="1:22" hidden="1" x14ac:dyDescent="0.25">
      <c r="A492" t="s">
        <v>8608</v>
      </c>
      <c r="B492" t="s">
        <v>8691</v>
      </c>
      <c r="C492" t="s">
        <v>1</v>
      </c>
      <c r="D492" t="s">
        <v>8526</v>
      </c>
      <c r="E492" t="s">
        <v>8147</v>
      </c>
      <c r="F492" t="s">
        <v>8146</v>
      </c>
      <c r="G492">
        <v>3464</v>
      </c>
      <c r="H492">
        <v>3464</v>
      </c>
      <c r="I492">
        <v>3464</v>
      </c>
      <c r="J492">
        <v>3464</v>
      </c>
      <c r="L492" s="3">
        <v>0</v>
      </c>
      <c r="M492" s="3">
        <v>0</v>
      </c>
      <c r="N492" s="3">
        <v>0</v>
      </c>
      <c r="O492" s="3">
        <v>170</v>
      </c>
      <c r="P492" s="3">
        <v>0</v>
      </c>
      <c r="Q492" s="3">
        <v>0</v>
      </c>
      <c r="R492" s="3">
        <v>0</v>
      </c>
      <c r="S492" s="3">
        <v>0</v>
      </c>
      <c r="T492" s="3">
        <v>0</v>
      </c>
      <c r="U492" s="3">
        <v>170</v>
      </c>
      <c r="V492" t="s">
        <v>55</v>
      </c>
    </row>
    <row r="493" spans="1:22" hidden="1" x14ac:dyDescent="0.25">
      <c r="A493" t="s">
        <v>8608</v>
      </c>
      <c r="B493" t="s">
        <v>8690</v>
      </c>
      <c r="C493" t="s">
        <v>1</v>
      </c>
      <c r="D493" t="s">
        <v>8526</v>
      </c>
      <c r="E493" t="s">
        <v>8147</v>
      </c>
      <c r="F493" t="s">
        <v>8146</v>
      </c>
      <c r="G493">
        <v>3465</v>
      </c>
      <c r="H493">
        <v>3465</v>
      </c>
      <c r="I493">
        <v>3465</v>
      </c>
      <c r="J493">
        <v>3465</v>
      </c>
      <c r="L493" s="3">
        <v>0</v>
      </c>
      <c r="M493" s="3">
        <v>0</v>
      </c>
      <c r="N493" s="3">
        <v>0</v>
      </c>
      <c r="O493" s="3">
        <v>207.4</v>
      </c>
      <c r="P493" s="3">
        <v>0</v>
      </c>
      <c r="Q493" s="3">
        <v>0</v>
      </c>
      <c r="R493" s="3">
        <v>0</v>
      </c>
      <c r="S493" s="3">
        <v>0</v>
      </c>
      <c r="T493" s="3">
        <v>0</v>
      </c>
      <c r="U493" s="3">
        <v>207.4</v>
      </c>
      <c r="V493" t="s">
        <v>55</v>
      </c>
    </row>
    <row r="494" spans="1:22" hidden="1" x14ac:dyDescent="0.25">
      <c r="A494" t="s">
        <v>8608</v>
      </c>
      <c r="B494" t="s">
        <v>8690</v>
      </c>
      <c r="C494" t="s">
        <v>1</v>
      </c>
      <c r="D494" t="s">
        <v>8526</v>
      </c>
      <c r="E494" t="s">
        <v>8147</v>
      </c>
      <c r="F494" t="s">
        <v>8146</v>
      </c>
      <c r="G494">
        <v>3466</v>
      </c>
      <c r="H494">
        <v>3466</v>
      </c>
      <c r="I494">
        <v>3466</v>
      </c>
      <c r="J494">
        <v>3466</v>
      </c>
      <c r="L494" s="3">
        <v>0</v>
      </c>
      <c r="M494" s="3">
        <v>0</v>
      </c>
      <c r="N494" s="3">
        <v>0</v>
      </c>
      <c r="O494" s="3">
        <v>835.35</v>
      </c>
      <c r="P494" s="3">
        <v>0</v>
      </c>
      <c r="Q494" s="3">
        <v>0</v>
      </c>
      <c r="R494" s="3">
        <v>0</v>
      </c>
      <c r="S494" s="3">
        <v>0</v>
      </c>
      <c r="T494" s="3">
        <v>0</v>
      </c>
      <c r="U494" s="3">
        <v>835.35</v>
      </c>
      <c r="V494" t="s">
        <v>55</v>
      </c>
    </row>
    <row r="495" spans="1:22" hidden="1" x14ac:dyDescent="0.25">
      <c r="A495" t="s">
        <v>8608</v>
      </c>
      <c r="B495" t="s">
        <v>8690</v>
      </c>
      <c r="C495" t="s">
        <v>1</v>
      </c>
      <c r="D495" t="s">
        <v>8526</v>
      </c>
      <c r="E495" t="s">
        <v>8147</v>
      </c>
      <c r="F495" t="s">
        <v>8146</v>
      </c>
      <c r="G495">
        <v>3467</v>
      </c>
      <c r="H495">
        <v>3467</v>
      </c>
      <c r="I495">
        <v>3467</v>
      </c>
      <c r="J495">
        <v>3467</v>
      </c>
      <c r="L495" s="3">
        <v>0</v>
      </c>
      <c r="M495" s="3">
        <v>0</v>
      </c>
      <c r="N495" s="3">
        <v>0</v>
      </c>
      <c r="O495" s="3">
        <v>26</v>
      </c>
      <c r="P495" s="3">
        <v>0</v>
      </c>
      <c r="Q495" s="3">
        <v>0</v>
      </c>
      <c r="R495" s="3">
        <v>0</v>
      </c>
      <c r="S495" s="3">
        <v>0</v>
      </c>
      <c r="T495" s="3">
        <v>0</v>
      </c>
      <c r="U495" s="3">
        <v>26</v>
      </c>
      <c r="V495" t="s">
        <v>55</v>
      </c>
    </row>
    <row r="496" spans="1:22" hidden="1" x14ac:dyDescent="0.25">
      <c r="A496" t="s">
        <v>8608</v>
      </c>
      <c r="B496" t="s">
        <v>8690</v>
      </c>
      <c r="C496" t="s">
        <v>1</v>
      </c>
      <c r="D496" t="s">
        <v>8526</v>
      </c>
      <c r="E496" t="s">
        <v>8147</v>
      </c>
      <c r="F496" t="s">
        <v>8146</v>
      </c>
      <c r="G496">
        <v>3468</v>
      </c>
      <c r="H496">
        <v>3468</v>
      </c>
      <c r="I496">
        <v>3468</v>
      </c>
      <c r="J496">
        <v>3468</v>
      </c>
      <c r="L496" s="3">
        <v>0</v>
      </c>
      <c r="M496" s="3">
        <v>0</v>
      </c>
      <c r="N496" s="3">
        <v>0</v>
      </c>
      <c r="O496" s="3">
        <v>1.1499999999999999</v>
      </c>
      <c r="P496" s="3">
        <v>0</v>
      </c>
      <c r="Q496" s="3">
        <v>0</v>
      </c>
      <c r="R496" s="3">
        <v>0</v>
      </c>
      <c r="S496" s="3">
        <v>0</v>
      </c>
      <c r="T496" s="3">
        <v>0</v>
      </c>
      <c r="U496" s="3">
        <v>1.1499999999999999</v>
      </c>
      <c r="V496" t="s">
        <v>55</v>
      </c>
    </row>
    <row r="497" spans="1:22" hidden="1" x14ac:dyDescent="0.25">
      <c r="A497" t="s">
        <v>8608</v>
      </c>
      <c r="B497" t="s">
        <v>8690</v>
      </c>
      <c r="C497" t="s">
        <v>1</v>
      </c>
      <c r="D497" t="s">
        <v>8526</v>
      </c>
      <c r="E497" t="s">
        <v>8147</v>
      </c>
      <c r="F497" t="s">
        <v>8146</v>
      </c>
      <c r="G497">
        <v>3469</v>
      </c>
      <c r="H497">
        <v>3469</v>
      </c>
      <c r="I497">
        <v>3469</v>
      </c>
      <c r="J497">
        <v>3469</v>
      </c>
      <c r="L497" s="3">
        <v>0</v>
      </c>
      <c r="M497" s="3">
        <v>0</v>
      </c>
      <c r="N497" s="3">
        <v>0</v>
      </c>
      <c r="O497" s="3">
        <v>8.1999999999999993</v>
      </c>
      <c r="P497" s="3">
        <v>0</v>
      </c>
      <c r="Q497" s="3">
        <v>0</v>
      </c>
      <c r="R497" s="3">
        <v>0</v>
      </c>
      <c r="S497" s="3">
        <v>0</v>
      </c>
      <c r="T497" s="3">
        <v>0</v>
      </c>
      <c r="U497" s="3">
        <v>8.1999999999999993</v>
      </c>
      <c r="V497" t="s">
        <v>55</v>
      </c>
    </row>
    <row r="498" spans="1:22" hidden="1" x14ac:dyDescent="0.25">
      <c r="A498" t="s">
        <v>8608</v>
      </c>
      <c r="B498" t="s">
        <v>8689</v>
      </c>
      <c r="C498" t="s">
        <v>1</v>
      </c>
      <c r="D498" t="s">
        <v>8526</v>
      </c>
      <c r="E498" t="s">
        <v>8147</v>
      </c>
      <c r="F498" t="s">
        <v>8146</v>
      </c>
      <c r="G498">
        <v>3470</v>
      </c>
      <c r="H498">
        <v>3470</v>
      </c>
      <c r="I498">
        <v>3470</v>
      </c>
      <c r="J498">
        <v>3470</v>
      </c>
      <c r="L498" s="3">
        <v>0</v>
      </c>
      <c r="M498" s="3">
        <v>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3">
        <v>0</v>
      </c>
      <c r="T498" s="3">
        <v>0</v>
      </c>
      <c r="U498" s="3">
        <v>0</v>
      </c>
      <c r="V498" t="s">
        <v>55</v>
      </c>
    </row>
    <row r="499" spans="1:22" hidden="1" x14ac:dyDescent="0.25">
      <c r="A499" t="s">
        <v>8608</v>
      </c>
      <c r="B499" t="s">
        <v>8689</v>
      </c>
      <c r="C499" t="s">
        <v>1</v>
      </c>
      <c r="D499" t="s">
        <v>8526</v>
      </c>
      <c r="E499" t="s">
        <v>8147</v>
      </c>
      <c r="F499" t="s">
        <v>8146</v>
      </c>
      <c r="G499">
        <v>3471</v>
      </c>
      <c r="H499">
        <v>3471</v>
      </c>
      <c r="I499">
        <v>3471</v>
      </c>
      <c r="J499">
        <v>3471</v>
      </c>
      <c r="L499" s="3">
        <v>0</v>
      </c>
      <c r="M499" s="3">
        <v>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3">
        <v>0</v>
      </c>
      <c r="T499" s="3">
        <v>0</v>
      </c>
      <c r="U499" s="3">
        <v>0</v>
      </c>
      <c r="V499" t="s">
        <v>55</v>
      </c>
    </row>
    <row r="500" spans="1:22" hidden="1" x14ac:dyDescent="0.25">
      <c r="A500" t="s">
        <v>8608</v>
      </c>
      <c r="B500" t="s">
        <v>8689</v>
      </c>
      <c r="C500" t="s">
        <v>1</v>
      </c>
      <c r="D500" t="s">
        <v>8526</v>
      </c>
      <c r="E500" t="s">
        <v>8147</v>
      </c>
      <c r="F500" t="s">
        <v>8146</v>
      </c>
      <c r="G500">
        <v>3472</v>
      </c>
      <c r="H500">
        <v>3472</v>
      </c>
      <c r="I500">
        <v>3472</v>
      </c>
      <c r="J500">
        <v>3472</v>
      </c>
      <c r="L500" s="3">
        <v>0</v>
      </c>
      <c r="M500" s="3">
        <v>0</v>
      </c>
      <c r="N500" s="3">
        <v>0</v>
      </c>
      <c r="O500" s="3">
        <v>120.01</v>
      </c>
      <c r="P500" s="3">
        <v>0</v>
      </c>
      <c r="Q500" s="3">
        <v>0</v>
      </c>
      <c r="R500" s="3">
        <v>0</v>
      </c>
      <c r="S500" s="3">
        <v>0</v>
      </c>
      <c r="T500" s="3">
        <v>0</v>
      </c>
      <c r="U500" s="3">
        <v>120.01</v>
      </c>
      <c r="V500" t="s">
        <v>55</v>
      </c>
    </row>
    <row r="501" spans="1:22" hidden="1" x14ac:dyDescent="0.25">
      <c r="A501" t="s">
        <v>8608</v>
      </c>
      <c r="B501" t="s">
        <v>8689</v>
      </c>
      <c r="C501" t="s">
        <v>1</v>
      </c>
      <c r="D501" t="s">
        <v>8526</v>
      </c>
      <c r="E501" t="s">
        <v>8147</v>
      </c>
      <c r="F501" t="s">
        <v>8146</v>
      </c>
      <c r="G501">
        <v>3473</v>
      </c>
      <c r="H501">
        <v>3473</v>
      </c>
      <c r="I501">
        <v>3473</v>
      </c>
      <c r="J501">
        <v>3473</v>
      </c>
      <c r="L501" s="3">
        <v>0</v>
      </c>
      <c r="M501" s="3">
        <v>0</v>
      </c>
      <c r="N501" s="3">
        <v>0</v>
      </c>
      <c r="O501" s="3">
        <v>10.76</v>
      </c>
      <c r="P501" s="3">
        <v>0</v>
      </c>
      <c r="Q501" s="3">
        <v>0</v>
      </c>
      <c r="R501" s="3">
        <v>0</v>
      </c>
      <c r="S501" s="3">
        <v>0</v>
      </c>
      <c r="T501" s="3">
        <v>0</v>
      </c>
      <c r="U501" s="3">
        <v>10.76</v>
      </c>
      <c r="V501" t="s">
        <v>55</v>
      </c>
    </row>
    <row r="502" spans="1:22" hidden="1" x14ac:dyDescent="0.25">
      <c r="A502" t="s">
        <v>8608</v>
      </c>
      <c r="B502" t="s">
        <v>8689</v>
      </c>
      <c r="C502" t="s">
        <v>1</v>
      </c>
      <c r="D502" t="s">
        <v>8526</v>
      </c>
      <c r="E502" t="s">
        <v>8147</v>
      </c>
      <c r="F502" t="s">
        <v>8146</v>
      </c>
      <c r="G502">
        <v>3474</v>
      </c>
      <c r="H502">
        <v>3474</v>
      </c>
      <c r="I502">
        <v>3474</v>
      </c>
      <c r="J502">
        <v>3474</v>
      </c>
      <c r="L502" s="3">
        <v>0</v>
      </c>
      <c r="M502" s="3">
        <v>0</v>
      </c>
      <c r="N502" s="3">
        <v>0</v>
      </c>
      <c r="O502" s="3">
        <v>42.36</v>
      </c>
      <c r="P502" s="3">
        <v>0</v>
      </c>
      <c r="Q502" s="3">
        <v>0</v>
      </c>
      <c r="R502" s="3">
        <v>0</v>
      </c>
      <c r="S502" s="3">
        <v>0</v>
      </c>
      <c r="T502" s="3">
        <v>0</v>
      </c>
      <c r="U502" s="3">
        <v>42.36</v>
      </c>
      <c r="V502" t="s">
        <v>55</v>
      </c>
    </row>
    <row r="503" spans="1:22" hidden="1" x14ac:dyDescent="0.25">
      <c r="A503" t="s">
        <v>8608</v>
      </c>
      <c r="B503" t="s">
        <v>8689</v>
      </c>
      <c r="C503" t="s">
        <v>1</v>
      </c>
      <c r="D503" t="s">
        <v>8526</v>
      </c>
      <c r="E503" t="s">
        <v>8147</v>
      </c>
      <c r="F503" t="s">
        <v>8146</v>
      </c>
      <c r="G503">
        <v>3475</v>
      </c>
      <c r="H503">
        <v>3475</v>
      </c>
      <c r="I503">
        <v>3475</v>
      </c>
      <c r="J503">
        <v>3475</v>
      </c>
      <c r="L503" s="3">
        <v>0</v>
      </c>
      <c r="M503" s="3">
        <v>0</v>
      </c>
      <c r="N503" s="3">
        <v>0</v>
      </c>
      <c r="O503" s="3">
        <v>225</v>
      </c>
      <c r="P503" s="3">
        <v>0</v>
      </c>
      <c r="Q503" s="3">
        <v>0</v>
      </c>
      <c r="R503" s="3">
        <v>0</v>
      </c>
      <c r="S503" s="3">
        <v>0</v>
      </c>
      <c r="T503" s="3">
        <v>0</v>
      </c>
      <c r="U503" s="3">
        <v>225</v>
      </c>
      <c r="V503" t="s">
        <v>55</v>
      </c>
    </row>
    <row r="504" spans="1:22" hidden="1" x14ac:dyDescent="0.25">
      <c r="A504" t="s">
        <v>8608</v>
      </c>
      <c r="B504" t="s">
        <v>8688</v>
      </c>
      <c r="C504" t="s">
        <v>1</v>
      </c>
      <c r="D504" t="s">
        <v>8526</v>
      </c>
      <c r="E504" t="s">
        <v>8147</v>
      </c>
      <c r="F504" t="s">
        <v>8146</v>
      </c>
      <c r="G504">
        <v>3476</v>
      </c>
      <c r="H504">
        <v>3476</v>
      </c>
      <c r="I504">
        <v>3476</v>
      </c>
      <c r="J504">
        <v>3476</v>
      </c>
      <c r="L504" s="3">
        <v>0</v>
      </c>
      <c r="M504" s="3">
        <v>0</v>
      </c>
      <c r="N504" s="3">
        <v>0</v>
      </c>
      <c r="O504" s="3">
        <v>27.5</v>
      </c>
      <c r="P504" s="3">
        <v>0</v>
      </c>
      <c r="Q504" s="3">
        <v>0</v>
      </c>
      <c r="R504" s="3">
        <v>0</v>
      </c>
      <c r="S504" s="3">
        <v>0</v>
      </c>
      <c r="T504" s="3">
        <v>0</v>
      </c>
      <c r="U504" s="3">
        <v>27.5</v>
      </c>
      <c r="V504" t="s">
        <v>55</v>
      </c>
    </row>
    <row r="505" spans="1:22" hidden="1" x14ac:dyDescent="0.25">
      <c r="A505" t="s">
        <v>8608</v>
      </c>
      <c r="B505" t="s">
        <v>8688</v>
      </c>
      <c r="C505" t="s">
        <v>1</v>
      </c>
      <c r="D505" t="s">
        <v>8526</v>
      </c>
      <c r="E505" t="s">
        <v>8147</v>
      </c>
      <c r="F505" t="s">
        <v>8146</v>
      </c>
      <c r="G505">
        <v>3477</v>
      </c>
      <c r="H505">
        <v>3477</v>
      </c>
      <c r="I505">
        <v>3477</v>
      </c>
      <c r="J505">
        <v>3477</v>
      </c>
      <c r="L505" s="3">
        <v>0</v>
      </c>
      <c r="M505" s="3">
        <v>0</v>
      </c>
      <c r="N505" s="3">
        <v>0</v>
      </c>
      <c r="O505" s="3">
        <v>29.38</v>
      </c>
      <c r="P505" s="3">
        <v>0</v>
      </c>
      <c r="Q505" s="3">
        <v>0</v>
      </c>
      <c r="R505" s="3">
        <v>0</v>
      </c>
      <c r="S505" s="3">
        <v>0</v>
      </c>
      <c r="T505" s="3">
        <v>0</v>
      </c>
      <c r="U505" s="3">
        <v>29.38</v>
      </c>
      <c r="V505" t="s">
        <v>55</v>
      </c>
    </row>
    <row r="506" spans="1:22" hidden="1" x14ac:dyDescent="0.25">
      <c r="A506" t="s">
        <v>8608</v>
      </c>
      <c r="B506" t="s">
        <v>8688</v>
      </c>
      <c r="C506" t="s">
        <v>1</v>
      </c>
      <c r="D506" t="s">
        <v>8526</v>
      </c>
      <c r="E506" t="s">
        <v>8147</v>
      </c>
      <c r="F506" t="s">
        <v>8146</v>
      </c>
      <c r="G506">
        <v>3478</v>
      </c>
      <c r="H506">
        <v>3478</v>
      </c>
      <c r="I506">
        <v>3478</v>
      </c>
      <c r="J506">
        <v>3478</v>
      </c>
      <c r="L506" s="3">
        <v>0</v>
      </c>
      <c r="M506" s="3">
        <v>0</v>
      </c>
      <c r="N506" s="3">
        <v>0</v>
      </c>
      <c r="O506" s="3">
        <v>25.46</v>
      </c>
      <c r="P506" s="3">
        <v>0</v>
      </c>
      <c r="Q506" s="3">
        <v>0</v>
      </c>
      <c r="R506" s="3">
        <v>0</v>
      </c>
      <c r="S506" s="3">
        <v>0</v>
      </c>
      <c r="T506" s="3">
        <v>0</v>
      </c>
      <c r="U506" s="3">
        <v>25.46</v>
      </c>
      <c r="V506" t="s">
        <v>55</v>
      </c>
    </row>
    <row r="507" spans="1:22" hidden="1" x14ac:dyDescent="0.25">
      <c r="A507" t="s">
        <v>8608</v>
      </c>
      <c r="B507" t="s">
        <v>8688</v>
      </c>
      <c r="C507" t="s">
        <v>1</v>
      </c>
      <c r="D507" t="s">
        <v>8526</v>
      </c>
      <c r="E507" t="s">
        <v>8147</v>
      </c>
      <c r="F507" t="s">
        <v>8146</v>
      </c>
      <c r="G507">
        <v>3479</v>
      </c>
      <c r="H507">
        <v>3479</v>
      </c>
      <c r="I507">
        <v>3479</v>
      </c>
      <c r="J507">
        <v>3479</v>
      </c>
      <c r="L507" s="3">
        <v>0</v>
      </c>
      <c r="M507" s="3">
        <v>0</v>
      </c>
      <c r="N507" s="3">
        <v>0</v>
      </c>
      <c r="O507" s="3">
        <v>0.98</v>
      </c>
      <c r="P507" s="3">
        <v>0</v>
      </c>
      <c r="Q507" s="3">
        <v>0</v>
      </c>
      <c r="R507" s="3">
        <v>0</v>
      </c>
      <c r="S507" s="3">
        <v>0</v>
      </c>
      <c r="T507" s="3">
        <v>0</v>
      </c>
      <c r="U507" s="3">
        <v>0.98</v>
      </c>
      <c r="V507" t="s">
        <v>55</v>
      </c>
    </row>
    <row r="508" spans="1:22" hidden="1" x14ac:dyDescent="0.25">
      <c r="A508" t="s">
        <v>8608</v>
      </c>
      <c r="B508" t="s">
        <v>8688</v>
      </c>
      <c r="C508" t="s">
        <v>1</v>
      </c>
      <c r="D508" t="s">
        <v>8526</v>
      </c>
      <c r="E508" t="s">
        <v>8147</v>
      </c>
      <c r="F508" t="s">
        <v>8146</v>
      </c>
      <c r="G508">
        <v>3480</v>
      </c>
      <c r="H508">
        <v>3480</v>
      </c>
      <c r="I508">
        <v>3480</v>
      </c>
      <c r="J508">
        <v>3480</v>
      </c>
      <c r="L508" s="3">
        <v>0</v>
      </c>
      <c r="M508" s="3">
        <v>0</v>
      </c>
      <c r="N508" s="3">
        <v>0</v>
      </c>
      <c r="O508" s="3">
        <v>98</v>
      </c>
      <c r="P508" s="3">
        <v>0</v>
      </c>
      <c r="Q508" s="3">
        <v>0</v>
      </c>
      <c r="R508" s="3">
        <v>0</v>
      </c>
      <c r="S508" s="3">
        <v>0</v>
      </c>
      <c r="T508" s="3">
        <v>0</v>
      </c>
      <c r="U508" s="3">
        <v>98</v>
      </c>
      <c r="V508" t="s">
        <v>55</v>
      </c>
    </row>
    <row r="509" spans="1:22" hidden="1" x14ac:dyDescent="0.25">
      <c r="A509" t="s">
        <v>8608</v>
      </c>
      <c r="B509" t="s">
        <v>8688</v>
      </c>
      <c r="C509" t="s">
        <v>1</v>
      </c>
      <c r="D509" t="s">
        <v>8526</v>
      </c>
      <c r="E509" t="s">
        <v>8147</v>
      </c>
      <c r="F509" t="s">
        <v>8146</v>
      </c>
      <c r="G509">
        <v>3481</v>
      </c>
      <c r="H509">
        <v>3481</v>
      </c>
      <c r="I509">
        <v>3481</v>
      </c>
      <c r="J509">
        <v>3481</v>
      </c>
      <c r="L509" s="3">
        <v>0</v>
      </c>
      <c r="M509" s="3">
        <v>0</v>
      </c>
      <c r="N509" s="3">
        <v>0</v>
      </c>
      <c r="O509" s="3">
        <v>254.62</v>
      </c>
      <c r="P509" s="3">
        <v>0</v>
      </c>
      <c r="Q509" s="3">
        <v>0</v>
      </c>
      <c r="R509" s="3">
        <v>0</v>
      </c>
      <c r="S509" s="3">
        <v>0</v>
      </c>
      <c r="T509" s="3">
        <v>0</v>
      </c>
      <c r="U509" s="3">
        <v>254.62</v>
      </c>
      <c r="V509" t="s">
        <v>55</v>
      </c>
    </row>
    <row r="510" spans="1:22" hidden="1" x14ac:dyDescent="0.25">
      <c r="A510" t="s">
        <v>8608</v>
      </c>
      <c r="B510" t="s">
        <v>8687</v>
      </c>
      <c r="C510" t="s">
        <v>1</v>
      </c>
      <c r="D510" t="s">
        <v>8526</v>
      </c>
      <c r="E510" t="s">
        <v>8147</v>
      </c>
      <c r="F510" t="s">
        <v>8146</v>
      </c>
      <c r="G510">
        <v>3482</v>
      </c>
      <c r="H510">
        <v>3482</v>
      </c>
      <c r="I510">
        <v>3482</v>
      </c>
      <c r="J510">
        <v>3482</v>
      </c>
      <c r="L510" s="3">
        <v>0</v>
      </c>
      <c r="M510" s="3">
        <v>0</v>
      </c>
      <c r="N510" s="3">
        <v>0</v>
      </c>
      <c r="O510" s="3">
        <v>27.6</v>
      </c>
      <c r="P510" s="3">
        <v>0</v>
      </c>
      <c r="Q510" s="3">
        <v>0</v>
      </c>
      <c r="R510" s="3">
        <v>0</v>
      </c>
      <c r="S510" s="3">
        <v>0</v>
      </c>
      <c r="T510" s="3">
        <v>0</v>
      </c>
      <c r="U510" s="3">
        <v>27.6</v>
      </c>
      <c r="V510" t="s">
        <v>55</v>
      </c>
    </row>
    <row r="511" spans="1:22" hidden="1" x14ac:dyDescent="0.25">
      <c r="A511" t="s">
        <v>8608</v>
      </c>
      <c r="B511" t="s">
        <v>8687</v>
      </c>
      <c r="C511" t="s">
        <v>1</v>
      </c>
      <c r="D511" t="s">
        <v>8526</v>
      </c>
      <c r="E511" t="s">
        <v>8147</v>
      </c>
      <c r="F511" t="s">
        <v>8146</v>
      </c>
      <c r="G511">
        <v>3483</v>
      </c>
      <c r="H511">
        <v>3483</v>
      </c>
      <c r="I511">
        <v>3483</v>
      </c>
      <c r="J511">
        <v>3483</v>
      </c>
      <c r="L511" s="3">
        <v>0</v>
      </c>
      <c r="M511" s="3">
        <v>0</v>
      </c>
      <c r="N511" s="3">
        <v>0</v>
      </c>
      <c r="O511" s="3">
        <v>170</v>
      </c>
      <c r="P511" s="3">
        <v>0</v>
      </c>
      <c r="Q511" s="3">
        <v>0</v>
      </c>
      <c r="R511" s="3">
        <v>0</v>
      </c>
      <c r="S511" s="3">
        <v>0</v>
      </c>
      <c r="T511" s="3">
        <v>0</v>
      </c>
      <c r="U511" s="3">
        <v>170</v>
      </c>
      <c r="V511" t="s">
        <v>55</v>
      </c>
    </row>
    <row r="512" spans="1:22" hidden="1" x14ac:dyDescent="0.25">
      <c r="A512" t="s">
        <v>8608</v>
      </c>
      <c r="B512" t="s">
        <v>8687</v>
      </c>
      <c r="C512" t="s">
        <v>1</v>
      </c>
      <c r="D512" t="s">
        <v>8526</v>
      </c>
      <c r="E512" t="s">
        <v>8147</v>
      </c>
      <c r="F512" t="s">
        <v>8146</v>
      </c>
      <c r="G512">
        <v>3484</v>
      </c>
      <c r="H512">
        <v>3484</v>
      </c>
      <c r="I512">
        <v>3484</v>
      </c>
      <c r="J512">
        <v>3484</v>
      </c>
      <c r="L512" s="3">
        <v>0</v>
      </c>
      <c r="M512" s="3">
        <v>0</v>
      </c>
      <c r="N512" s="3">
        <v>0</v>
      </c>
      <c r="O512" s="3">
        <v>364.99</v>
      </c>
      <c r="P512" s="3">
        <v>0</v>
      </c>
      <c r="Q512" s="3">
        <v>0</v>
      </c>
      <c r="R512" s="3">
        <v>0</v>
      </c>
      <c r="S512" s="3">
        <v>0</v>
      </c>
      <c r="T512" s="3">
        <v>0</v>
      </c>
      <c r="U512" s="3">
        <v>364.99</v>
      </c>
      <c r="V512" t="s">
        <v>55</v>
      </c>
    </row>
    <row r="513" spans="1:22" hidden="1" x14ac:dyDescent="0.25">
      <c r="A513" t="s">
        <v>8608</v>
      </c>
      <c r="B513" t="s">
        <v>8687</v>
      </c>
      <c r="C513" t="s">
        <v>1</v>
      </c>
      <c r="D513" t="s">
        <v>8526</v>
      </c>
      <c r="E513" t="s">
        <v>8147</v>
      </c>
      <c r="F513" t="s">
        <v>8146</v>
      </c>
      <c r="G513">
        <v>3485</v>
      </c>
      <c r="H513">
        <v>3485</v>
      </c>
      <c r="I513">
        <v>3485</v>
      </c>
      <c r="J513">
        <v>3485</v>
      </c>
      <c r="L513" s="3">
        <v>0</v>
      </c>
      <c r="M513" s="3">
        <v>0</v>
      </c>
      <c r="N513" s="3">
        <v>0</v>
      </c>
      <c r="O513" s="3">
        <v>64.56</v>
      </c>
      <c r="P513" s="3">
        <v>0</v>
      </c>
      <c r="Q513" s="3">
        <v>0</v>
      </c>
      <c r="R513" s="3">
        <v>0</v>
      </c>
      <c r="S513" s="3">
        <v>0</v>
      </c>
      <c r="T513" s="3">
        <v>0</v>
      </c>
      <c r="U513" s="3">
        <v>64.56</v>
      </c>
      <c r="V513" t="s">
        <v>55</v>
      </c>
    </row>
    <row r="514" spans="1:22" hidden="1" x14ac:dyDescent="0.25">
      <c r="A514" t="s">
        <v>8608</v>
      </c>
      <c r="B514" t="s">
        <v>8687</v>
      </c>
      <c r="C514" t="s">
        <v>1</v>
      </c>
      <c r="D514" t="s">
        <v>8526</v>
      </c>
      <c r="E514" t="s">
        <v>8147</v>
      </c>
      <c r="F514" t="s">
        <v>8146</v>
      </c>
      <c r="G514">
        <v>3486</v>
      </c>
      <c r="H514">
        <v>3486</v>
      </c>
      <c r="I514">
        <v>3486</v>
      </c>
      <c r="J514">
        <v>3486</v>
      </c>
      <c r="L514" s="3">
        <v>0</v>
      </c>
      <c r="M514" s="3">
        <v>0</v>
      </c>
      <c r="N514" s="3">
        <v>0</v>
      </c>
      <c r="O514" s="3">
        <v>717.1</v>
      </c>
      <c r="P514" s="3">
        <v>0</v>
      </c>
      <c r="Q514" s="3">
        <v>0</v>
      </c>
      <c r="R514" s="3">
        <v>0</v>
      </c>
      <c r="S514" s="3">
        <v>0</v>
      </c>
      <c r="T514" s="3">
        <v>0</v>
      </c>
      <c r="U514" s="3">
        <v>717.1</v>
      </c>
      <c r="V514" t="s">
        <v>55</v>
      </c>
    </row>
    <row r="515" spans="1:22" hidden="1" x14ac:dyDescent="0.25">
      <c r="A515" t="s">
        <v>8608</v>
      </c>
      <c r="B515" t="s">
        <v>8687</v>
      </c>
      <c r="C515" t="s">
        <v>1</v>
      </c>
      <c r="D515" t="s">
        <v>8526</v>
      </c>
      <c r="E515" t="s">
        <v>8147</v>
      </c>
      <c r="F515" t="s">
        <v>8146</v>
      </c>
      <c r="G515">
        <v>3487</v>
      </c>
      <c r="H515">
        <v>3487</v>
      </c>
      <c r="I515">
        <v>3487</v>
      </c>
      <c r="J515">
        <v>3487</v>
      </c>
      <c r="L515" s="3">
        <v>0</v>
      </c>
      <c r="M515" s="3">
        <v>0</v>
      </c>
      <c r="N515" s="3">
        <v>0</v>
      </c>
      <c r="O515" s="3">
        <v>325.51</v>
      </c>
      <c r="P515" s="3">
        <v>0</v>
      </c>
      <c r="Q515" s="3">
        <v>0</v>
      </c>
      <c r="R515" s="3">
        <v>0</v>
      </c>
      <c r="S515" s="3">
        <v>0</v>
      </c>
      <c r="T515" s="3">
        <v>0</v>
      </c>
      <c r="U515" s="3">
        <v>325.51</v>
      </c>
      <c r="V515" t="s">
        <v>55</v>
      </c>
    </row>
    <row r="516" spans="1:22" hidden="1" x14ac:dyDescent="0.25">
      <c r="A516" t="s">
        <v>8608</v>
      </c>
      <c r="B516" t="s">
        <v>8687</v>
      </c>
      <c r="C516" t="s">
        <v>1</v>
      </c>
      <c r="D516" t="s">
        <v>8526</v>
      </c>
      <c r="E516" t="s">
        <v>8147</v>
      </c>
      <c r="F516" t="s">
        <v>8146</v>
      </c>
      <c r="G516">
        <v>3488</v>
      </c>
      <c r="H516">
        <v>3488</v>
      </c>
      <c r="I516">
        <v>3488</v>
      </c>
      <c r="J516">
        <v>3488</v>
      </c>
      <c r="L516" s="3">
        <v>0</v>
      </c>
      <c r="M516" s="3">
        <v>0</v>
      </c>
      <c r="N516" s="3">
        <v>0</v>
      </c>
      <c r="O516" s="3">
        <v>14.46</v>
      </c>
      <c r="P516" s="3">
        <v>0</v>
      </c>
      <c r="Q516" s="3">
        <v>0</v>
      </c>
      <c r="R516" s="3">
        <v>0</v>
      </c>
      <c r="S516" s="3">
        <v>0</v>
      </c>
      <c r="T516" s="3">
        <v>0</v>
      </c>
      <c r="U516" s="3">
        <v>14.46</v>
      </c>
      <c r="V516" t="s">
        <v>55</v>
      </c>
    </row>
    <row r="517" spans="1:22" hidden="1" x14ac:dyDescent="0.25">
      <c r="A517" t="s">
        <v>8608</v>
      </c>
      <c r="B517" t="s">
        <v>8687</v>
      </c>
      <c r="C517" t="s">
        <v>1</v>
      </c>
      <c r="D517" t="s">
        <v>8526</v>
      </c>
      <c r="E517" t="s">
        <v>8147</v>
      </c>
      <c r="F517" t="s">
        <v>8146</v>
      </c>
      <c r="G517">
        <v>3489</v>
      </c>
      <c r="H517">
        <v>3489</v>
      </c>
      <c r="I517">
        <v>3489</v>
      </c>
      <c r="J517">
        <v>3489</v>
      </c>
      <c r="L517" s="3">
        <v>0</v>
      </c>
      <c r="M517" s="3">
        <v>0</v>
      </c>
      <c r="N517" s="3">
        <v>0</v>
      </c>
      <c r="O517" s="3">
        <v>30.18</v>
      </c>
      <c r="P517" s="3">
        <v>0</v>
      </c>
      <c r="Q517" s="3">
        <v>0</v>
      </c>
      <c r="R517" s="3">
        <v>0</v>
      </c>
      <c r="S517" s="3">
        <v>0</v>
      </c>
      <c r="T517" s="3">
        <v>0</v>
      </c>
      <c r="U517" s="3">
        <v>30.18</v>
      </c>
      <c r="V517" t="s">
        <v>55</v>
      </c>
    </row>
    <row r="518" spans="1:22" hidden="1" x14ac:dyDescent="0.25">
      <c r="A518" t="s">
        <v>8608</v>
      </c>
      <c r="B518" t="s">
        <v>8686</v>
      </c>
      <c r="C518" t="s">
        <v>1</v>
      </c>
      <c r="D518" t="s">
        <v>8526</v>
      </c>
      <c r="E518" t="s">
        <v>8147</v>
      </c>
      <c r="F518" t="s">
        <v>8146</v>
      </c>
      <c r="G518">
        <v>3491</v>
      </c>
      <c r="H518">
        <v>3491</v>
      </c>
      <c r="I518">
        <v>3491</v>
      </c>
      <c r="J518">
        <v>3491</v>
      </c>
      <c r="L518" s="3">
        <v>0</v>
      </c>
      <c r="M518" s="3">
        <v>0</v>
      </c>
      <c r="N518" s="3">
        <v>0</v>
      </c>
      <c r="O518" s="3">
        <v>69.12</v>
      </c>
      <c r="P518" s="3">
        <v>0</v>
      </c>
      <c r="Q518" s="3">
        <v>0</v>
      </c>
      <c r="R518" s="3">
        <v>0</v>
      </c>
      <c r="S518" s="3">
        <v>0</v>
      </c>
      <c r="T518" s="3">
        <v>0</v>
      </c>
      <c r="U518" s="3">
        <v>69.12</v>
      </c>
      <c r="V518" t="s">
        <v>55</v>
      </c>
    </row>
    <row r="519" spans="1:22" hidden="1" x14ac:dyDescent="0.25">
      <c r="A519" t="s">
        <v>8608</v>
      </c>
      <c r="B519" t="s">
        <v>8685</v>
      </c>
      <c r="C519" t="s">
        <v>1</v>
      </c>
      <c r="D519" t="s">
        <v>8526</v>
      </c>
      <c r="E519" t="s">
        <v>8147</v>
      </c>
      <c r="F519" t="s">
        <v>8146</v>
      </c>
      <c r="G519">
        <v>3491</v>
      </c>
      <c r="H519">
        <v>3491</v>
      </c>
      <c r="I519">
        <v>3491</v>
      </c>
      <c r="J519">
        <v>3491</v>
      </c>
      <c r="L519" s="3">
        <v>0</v>
      </c>
      <c r="M519" s="3">
        <v>0</v>
      </c>
      <c r="N519" s="3">
        <v>0</v>
      </c>
      <c r="O519" s="3">
        <v>274</v>
      </c>
      <c r="P519" s="3">
        <v>0</v>
      </c>
      <c r="Q519" s="3">
        <v>0</v>
      </c>
      <c r="R519" s="3">
        <v>0</v>
      </c>
      <c r="S519" s="3">
        <v>0</v>
      </c>
      <c r="T519" s="3">
        <v>0</v>
      </c>
      <c r="U519" s="3">
        <v>274</v>
      </c>
      <c r="V519" t="s">
        <v>55</v>
      </c>
    </row>
    <row r="520" spans="1:22" hidden="1" x14ac:dyDescent="0.25">
      <c r="A520" t="s">
        <v>8608</v>
      </c>
      <c r="B520" t="s">
        <v>8685</v>
      </c>
      <c r="C520" t="s">
        <v>1</v>
      </c>
      <c r="D520" t="s">
        <v>8526</v>
      </c>
      <c r="E520" t="s">
        <v>8147</v>
      </c>
      <c r="F520" t="s">
        <v>8146</v>
      </c>
      <c r="G520">
        <v>3492</v>
      </c>
      <c r="H520">
        <v>3492</v>
      </c>
      <c r="I520">
        <v>3492</v>
      </c>
      <c r="J520">
        <v>3492</v>
      </c>
      <c r="L520" s="3">
        <v>0</v>
      </c>
      <c r="M520" s="3">
        <v>0</v>
      </c>
      <c r="N520" s="3">
        <v>0</v>
      </c>
      <c r="O520" s="3">
        <v>637.41</v>
      </c>
      <c r="P520" s="3">
        <v>0</v>
      </c>
      <c r="Q520" s="3">
        <v>0</v>
      </c>
      <c r="R520" s="3">
        <v>0</v>
      </c>
      <c r="S520" s="3">
        <v>0</v>
      </c>
      <c r="T520" s="3">
        <v>0</v>
      </c>
      <c r="U520" s="3">
        <v>637.41</v>
      </c>
      <c r="V520" t="s">
        <v>55</v>
      </c>
    </row>
    <row r="521" spans="1:22" hidden="1" x14ac:dyDescent="0.25">
      <c r="A521" t="s">
        <v>8608</v>
      </c>
      <c r="B521" t="s">
        <v>8685</v>
      </c>
      <c r="C521" t="s">
        <v>1</v>
      </c>
      <c r="D521" t="s">
        <v>8526</v>
      </c>
      <c r="E521" t="s">
        <v>8147</v>
      </c>
      <c r="F521" t="s">
        <v>8146</v>
      </c>
      <c r="G521">
        <v>3493</v>
      </c>
      <c r="H521">
        <v>3493</v>
      </c>
      <c r="I521">
        <v>3493</v>
      </c>
      <c r="J521">
        <v>3493</v>
      </c>
      <c r="L521" s="3">
        <v>0</v>
      </c>
      <c r="M521" s="3">
        <v>0</v>
      </c>
      <c r="N521" s="3">
        <v>0</v>
      </c>
      <c r="O521" s="3">
        <v>25.42</v>
      </c>
      <c r="P521" s="3">
        <v>0</v>
      </c>
      <c r="Q521" s="3">
        <v>0</v>
      </c>
      <c r="R521" s="3">
        <v>0</v>
      </c>
      <c r="S521" s="3">
        <v>0</v>
      </c>
      <c r="T521" s="3">
        <v>0</v>
      </c>
      <c r="U521" s="3">
        <v>25.42</v>
      </c>
      <c r="V521" t="s">
        <v>55</v>
      </c>
    </row>
    <row r="522" spans="1:22" hidden="1" x14ac:dyDescent="0.25">
      <c r="A522" t="s">
        <v>8608</v>
      </c>
      <c r="B522" t="s">
        <v>8685</v>
      </c>
      <c r="C522" t="s">
        <v>1</v>
      </c>
      <c r="D522" t="s">
        <v>8526</v>
      </c>
      <c r="E522" t="s">
        <v>8147</v>
      </c>
      <c r="F522" t="s">
        <v>8146</v>
      </c>
      <c r="G522">
        <v>3494</v>
      </c>
      <c r="H522">
        <v>3494</v>
      </c>
      <c r="I522">
        <v>3494</v>
      </c>
      <c r="J522">
        <v>3494</v>
      </c>
      <c r="L522" s="3">
        <v>0</v>
      </c>
      <c r="M522" s="3">
        <v>0</v>
      </c>
      <c r="N522" s="3">
        <v>0</v>
      </c>
      <c r="O522" s="3">
        <v>77.5</v>
      </c>
      <c r="P522" s="3">
        <v>0</v>
      </c>
      <c r="Q522" s="3">
        <v>0</v>
      </c>
      <c r="R522" s="3">
        <v>0</v>
      </c>
      <c r="S522" s="3">
        <v>0</v>
      </c>
      <c r="T522" s="3">
        <v>0</v>
      </c>
      <c r="U522" s="3">
        <v>77.5</v>
      </c>
      <c r="V522" t="s">
        <v>55</v>
      </c>
    </row>
    <row r="523" spans="1:22" hidden="1" x14ac:dyDescent="0.25">
      <c r="A523" t="s">
        <v>8608</v>
      </c>
      <c r="B523" t="s">
        <v>8685</v>
      </c>
      <c r="C523" t="s">
        <v>1</v>
      </c>
      <c r="D523" t="s">
        <v>8526</v>
      </c>
      <c r="E523" t="s">
        <v>8147</v>
      </c>
      <c r="F523" t="s">
        <v>8146</v>
      </c>
      <c r="G523">
        <v>3495</v>
      </c>
      <c r="H523">
        <v>3495</v>
      </c>
      <c r="I523">
        <v>3495</v>
      </c>
      <c r="J523">
        <v>3495</v>
      </c>
      <c r="L523" s="3">
        <v>0</v>
      </c>
      <c r="M523" s="3">
        <v>0</v>
      </c>
      <c r="N523" s="3">
        <v>0</v>
      </c>
      <c r="O523" s="3">
        <v>1162.07</v>
      </c>
      <c r="P523" s="3">
        <v>0</v>
      </c>
      <c r="Q523" s="3">
        <v>0</v>
      </c>
      <c r="R523" s="3">
        <v>0</v>
      </c>
      <c r="S523" s="3">
        <v>0</v>
      </c>
      <c r="T523" s="3">
        <v>0</v>
      </c>
      <c r="U523" s="3">
        <v>1162.07</v>
      </c>
      <c r="V523" t="s">
        <v>55</v>
      </c>
    </row>
    <row r="524" spans="1:22" hidden="1" x14ac:dyDescent="0.25">
      <c r="A524" t="s">
        <v>8608</v>
      </c>
      <c r="B524" t="s">
        <v>8684</v>
      </c>
      <c r="C524" t="s">
        <v>1</v>
      </c>
      <c r="D524" t="s">
        <v>8526</v>
      </c>
      <c r="E524" t="s">
        <v>8147</v>
      </c>
      <c r="F524" t="s">
        <v>8146</v>
      </c>
      <c r="G524">
        <v>3496</v>
      </c>
      <c r="H524">
        <v>3496</v>
      </c>
      <c r="I524">
        <v>3496</v>
      </c>
      <c r="J524">
        <v>3496</v>
      </c>
      <c r="L524" s="3">
        <v>0</v>
      </c>
      <c r="M524" s="3">
        <v>0</v>
      </c>
      <c r="N524" s="3">
        <v>0</v>
      </c>
      <c r="O524" s="3">
        <v>46.12</v>
      </c>
      <c r="P524" s="3">
        <v>0</v>
      </c>
      <c r="Q524" s="3">
        <v>0</v>
      </c>
      <c r="R524" s="3">
        <v>0</v>
      </c>
      <c r="S524" s="3">
        <v>0</v>
      </c>
      <c r="T524" s="3">
        <v>0</v>
      </c>
      <c r="U524" s="3">
        <v>46.12</v>
      </c>
      <c r="V524" t="s">
        <v>55</v>
      </c>
    </row>
    <row r="525" spans="1:22" hidden="1" x14ac:dyDescent="0.25">
      <c r="A525" t="s">
        <v>8608</v>
      </c>
      <c r="B525" t="s">
        <v>8684</v>
      </c>
      <c r="C525" t="s">
        <v>1</v>
      </c>
      <c r="D525" t="s">
        <v>8526</v>
      </c>
      <c r="E525" t="s">
        <v>8147</v>
      </c>
      <c r="F525" t="s">
        <v>8146</v>
      </c>
      <c r="G525">
        <v>3497</v>
      </c>
      <c r="H525">
        <v>3497</v>
      </c>
      <c r="I525">
        <v>3497</v>
      </c>
      <c r="J525">
        <v>3497</v>
      </c>
      <c r="L525" s="3">
        <v>0</v>
      </c>
      <c r="M525" s="3">
        <v>0</v>
      </c>
      <c r="N525" s="3">
        <v>0</v>
      </c>
      <c r="O525" s="3">
        <v>137.52000000000001</v>
      </c>
      <c r="P525" s="3">
        <v>0</v>
      </c>
      <c r="Q525" s="3">
        <v>0</v>
      </c>
      <c r="R525" s="3">
        <v>0</v>
      </c>
      <c r="S525" s="3">
        <v>0</v>
      </c>
      <c r="T525" s="3">
        <v>0</v>
      </c>
      <c r="U525" s="3">
        <v>137.52000000000001</v>
      </c>
      <c r="V525" t="s">
        <v>55</v>
      </c>
    </row>
    <row r="526" spans="1:22" hidden="1" x14ac:dyDescent="0.25">
      <c r="A526" t="s">
        <v>8608</v>
      </c>
      <c r="B526" t="s">
        <v>8683</v>
      </c>
      <c r="C526" t="s">
        <v>1</v>
      </c>
      <c r="D526" t="s">
        <v>8526</v>
      </c>
      <c r="E526" t="s">
        <v>8147</v>
      </c>
      <c r="F526" t="s">
        <v>8146</v>
      </c>
      <c r="G526">
        <v>3498</v>
      </c>
      <c r="H526">
        <v>3498</v>
      </c>
      <c r="I526">
        <v>3498</v>
      </c>
      <c r="J526">
        <v>3498</v>
      </c>
      <c r="L526" s="3">
        <v>0</v>
      </c>
      <c r="M526" s="3">
        <v>0</v>
      </c>
      <c r="N526" s="3">
        <v>0</v>
      </c>
      <c r="O526" s="3">
        <v>277.7</v>
      </c>
      <c r="P526" s="3">
        <v>0</v>
      </c>
      <c r="Q526" s="3">
        <v>0</v>
      </c>
      <c r="R526" s="3">
        <v>0</v>
      </c>
      <c r="S526" s="3">
        <v>0</v>
      </c>
      <c r="T526" s="3">
        <v>0</v>
      </c>
      <c r="U526" s="3">
        <v>277.7</v>
      </c>
      <c r="V526" t="s">
        <v>55</v>
      </c>
    </row>
    <row r="527" spans="1:22" hidden="1" x14ac:dyDescent="0.25">
      <c r="A527" t="s">
        <v>8608</v>
      </c>
      <c r="B527" t="s">
        <v>8683</v>
      </c>
      <c r="C527" t="s">
        <v>1</v>
      </c>
      <c r="D527" t="s">
        <v>8526</v>
      </c>
      <c r="E527" t="s">
        <v>8147</v>
      </c>
      <c r="F527" t="s">
        <v>8146</v>
      </c>
      <c r="G527">
        <v>3499</v>
      </c>
      <c r="H527">
        <v>3499</v>
      </c>
      <c r="I527">
        <v>3499</v>
      </c>
      <c r="J527">
        <v>3499</v>
      </c>
      <c r="L527" s="3">
        <v>0</v>
      </c>
      <c r="M527" s="3">
        <v>0</v>
      </c>
      <c r="N527" s="3">
        <v>0</v>
      </c>
      <c r="O527" s="3">
        <v>235.72</v>
      </c>
      <c r="P527" s="3">
        <v>0</v>
      </c>
      <c r="Q527" s="3">
        <v>0</v>
      </c>
      <c r="R527" s="3">
        <v>0</v>
      </c>
      <c r="S527" s="3">
        <v>0</v>
      </c>
      <c r="T527" s="3">
        <v>0</v>
      </c>
      <c r="U527" s="3">
        <v>235.72</v>
      </c>
      <c r="V527" t="s">
        <v>55</v>
      </c>
    </row>
    <row r="528" spans="1:22" hidden="1" x14ac:dyDescent="0.25">
      <c r="A528" t="s">
        <v>8608</v>
      </c>
      <c r="B528" t="s">
        <v>8683</v>
      </c>
      <c r="C528" t="s">
        <v>1</v>
      </c>
      <c r="D528" t="s">
        <v>8526</v>
      </c>
      <c r="E528" t="s">
        <v>8147</v>
      </c>
      <c r="F528" t="s">
        <v>8146</v>
      </c>
      <c r="G528">
        <v>3500</v>
      </c>
      <c r="H528">
        <v>3500</v>
      </c>
      <c r="I528">
        <v>3500</v>
      </c>
      <c r="J528">
        <v>3500</v>
      </c>
      <c r="L528" s="3">
        <v>0</v>
      </c>
      <c r="M528" s="3">
        <v>0</v>
      </c>
      <c r="N528" s="3">
        <v>0</v>
      </c>
      <c r="O528" s="3">
        <v>23.04</v>
      </c>
      <c r="P528" s="3">
        <v>0</v>
      </c>
      <c r="Q528" s="3">
        <v>0</v>
      </c>
      <c r="R528" s="3">
        <v>0</v>
      </c>
      <c r="S528" s="3">
        <v>0</v>
      </c>
      <c r="T528" s="3">
        <v>0</v>
      </c>
      <c r="U528" s="3">
        <v>23.04</v>
      </c>
      <c r="V528" t="s">
        <v>55</v>
      </c>
    </row>
    <row r="529" spans="1:22" hidden="1" x14ac:dyDescent="0.25">
      <c r="A529" t="s">
        <v>8608</v>
      </c>
      <c r="B529" t="s">
        <v>8683</v>
      </c>
      <c r="C529" t="s">
        <v>1</v>
      </c>
      <c r="D529" t="s">
        <v>8526</v>
      </c>
      <c r="E529" t="s">
        <v>8147</v>
      </c>
      <c r="F529" t="s">
        <v>8146</v>
      </c>
      <c r="G529">
        <v>3501</v>
      </c>
      <c r="H529">
        <v>3501</v>
      </c>
      <c r="I529">
        <v>3501</v>
      </c>
      <c r="J529">
        <v>3501</v>
      </c>
      <c r="L529" s="3">
        <v>0</v>
      </c>
      <c r="M529" s="3">
        <v>0</v>
      </c>
      <c r="N529" s="3">
        <v>0</v>
      </c>
      <c r="O529" s="3">
        <v>42.5</v>
      </c>
      <c r="P529" s="3">
        <v>0</v>
      </c>
      <c r="Q529" s="3">
        <v>0</v>
      </c>
      <c r="R529" s="3">
        <v>0</v>
      </c>
      <c r="S529" s="3">
        <v>0</v>
      </c>
      <c r="T529" s="3">
        <v>0</v>
      </c>
      <c r="U529" s="3">
        <v>42.5</v>
      </c>
      <c r="V529" t="s">
        <v>55</v>
      </c>
    </row>
    <row r="530" spans="1:22" hidden="1" x14ac:dyDescent="0.25">
      <c r="A530" t="s">
        <v>8608</v>
      </c>
      <c r="B530" t="s">
        <v>8682</v>
      </c>
      <c r="C530" t="s">
        <v>1</v>
      </c>
      <c r="D530" t="s">
        <v>8526</v>
      </c>
      <c r="E530" t="s">
        <v>8147</v>
      </c>
      <c r="F530" t="s">
        <v>8146</v>
      </c>
      <c r="G530">
        <v>3502</v>
      </c>
      <c r="H530">
        <v>3502</v>
      </c>
      <c r="I530">
        <v>3502</v>
      </c>
      <c r="J530">
        <v>3502</v>
      </c>
      <c r="L530" s="3">
        <v>0</v>
      </c>
      <c r="M530" s="3">
        <v>0</v>
      </c>
      <c r="N530" s="3">
        <v>0</v>
      </c>
      <c r="O530" s="3">
        <v>131.82</v>
      </c>
      <c r="P530" s="3">
        <v>0</v>
      </c>
      <c r="Q530" s="3">
        <v>0</v>
      </c>
      <c r="R530" s="3">
        <v>0</v>
      </c>
      <c r="S530" s="3">
        <v>0</v>
      </c>
      <c r="T530" s="3">
        <v>0</v>
      </c>
      <c r="U530" s="3">
        <v>131.82</v>
      </c>
      <c r="V530" t="s">
        <v>55</v>
      </c>
    </row>
    <row r="531" spans="1:22" hidden="1" x14ac:dyDescent="0.25">
      <c r="A531" t="s">
        <v>8608</v>
      </c>
      <c r="B531" t="s">
        <v>8682</v>
      </c>
      <c r="C531" t="s">
        <v>1</v>
      </c>
      <c r="D531" t="s">
        <v>8526</v>
      </c>
      <c r="E531" t="s">
        <v>8147</v>
      </c>
      <c r="F531" t="s">
        <v>8146</v>
      </c>
      <c r="G531">
        <v>3503</v>
      </c>
      <c r="H531">
        <v>3503</v>
      </c>
      <c r="I531">
        <v>3503</v>
      </c>
      <c r="J531">
        <v>3503</v>
      </c>
      <c r="L531" s="3">
        <v>0</v>
      </c>
      <c r="M531" s="3">
        <v>0</v>
      </c>
      <c r="N531" s="3">
        <v>0</v>
      </c>
      <c r="O531" s="3">
        <v>1162.07</v>
      </c>
      <c r="P531" s="3">
        <v>0</v>
      </c>
      <c r="Q531" s="3">
        <v>0</v>
      </c>
      <c r="R531" s="3">
        <v>0</v>
      </c>
      <c r="S531" s="3">
        <v>0</v>
      </c>
      <c r="T531" s="3">
        <v>0</v>
      </c>
      <c r="U531" s="3">
        <v>1162.07</v>
      </c>
      <c r="V531" t="s">
        <v>55</v>
      </c>
    </row>
    <row r="532" spans="1:22" hidden="1" x14ac:dyDescent="0.25">
      <c r="A532" t="s">
        <v>8608</v>
      </c>
      <c r="B532" t="s">
        <v>8682</v>
      </c>
      <c r="C532" t="s">
        <v>1</v>
      </c>
      <c r="D532" t="s">
        <v>8526</v>
      </c>
      <c r="E532" t="s">
        <v>8147</v>
      </c>
      <c r="F532" t="s">
        <v>8146</v>
      </c>
      <c r="G532">
        <v>3504</v>
      </c>
      <c r="H532">
        <v>3504</v>
      </c>
      <c r="I532">
        <v>3504</v>
      </c>
      <c r="J532">
        <v>3504</v>
      </c>
      <c r="L532" s="3">
        <v>0</v>
      </c>
      <c r="M532" s="3">
        <v>0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3">
        <v>0</v>
      </c>
      <c r="T532" s="3">
        <v>0</v>
      </c>
      <c r="U532" s="3">
        <v>0</v>
      </c>
      <c r="V532" t="s">
        <v>55</v>
      </c>
    </row>
    <row r="533" spans="1:22" hidden="1" x14ac:dyDescent="0.25">
      <c r="A533" t="s">
        <v>8608</v>
      </c>
      <c r="B533" t="s">
        <v>8682</v>
      </c>
      <c r="C533" t="s">
        <v>1</v>
      </c>
      <c r="D533" t="s">
        <v>8526</v>
      </c>
      <c r="E533" t="s">
        <v>8147</v>
      </c>
      <c r="F533" t="s">
        <v>8146</v>
      </c>
      <c r="G533">
        <v>3505</v>
      </c>
      <c r="H533">
        <v>3505</v>
      </c>
      <c r="I533">
        <v>3505</v>
      </c>
      <c r="J533">
        <v>3505</v>
      </c>
      <c r="L533" s="3">
        <v>0</v>
      </c>
      <c r="M533" s="3">
        <v>0</v>
      </c>
      <c r="N533" s="3">
        <v>0</v>
      </c>
      <c r="O533" s="3">
        <v>51</v>
      </c>
      <c r="P533" s="3">
        <v>0</v>
      </c>
      <c r="Q533" s="3">
        <v>0</v>
      </c>
      <c r="R533" s="3">
        <v>0</v>
      </c>
      <c r="S533" s="3">
        <v>0</v>
      </c>
      <c r="T533" s="3">
        <v>0</v>
      </c>
      <c r="U533" s="3">
        <v>51</v>
      </c>
      <c r="V533" t="s">
        <v>55</v>
      </c>
    </row>
    <row r="534" spans="1:22" hidden="1" x14ac:dyDescent="0.25">
      <c r="A534" t="s">
        <v>8608</v>
      </c>
      <c r="B534" t="s">
        <v>8682</v>
      </c>
      <c r="C534" t="s">
        <v>1</v>
      </c>
      <c r="D534" t="s">
        <v>8526</v>
      </c>
      <c r="E534" t="s">
        <v>8147</v>
      </c>
      <c r="F534" t="s">
        <v>8146</v>
      </c>
      <c r="G534">
        <v>3506</v>
      </c>
      <c r="H534">
        <v>3506</v>
      </c>
      <c r="I534">
        <v>3506</v>
      </c>
      <c r="J534">
        <v>3506</v>
      </c>
      <c r="L534" s="3">
        <v>0</v>
      </c>
      <c r="M534" s="3">
        <v>0</v>
      </c>
      <c r="N534" s="3">
        <v>0</v>
      </c>
      <c r="O534" s="3">
        <v>170</v>
      </c>
      <c r="P534" s="3">
        <v>0</v>
      </c>
      <c r="Q534" s="3">
        <v>0</v>
      </c>
      <c r="R534" s="3">
        <v>0</v>
      </c>
      <c r="S534" s="3">
        <v>0</v>
      </c>
      <c r="T534" s="3">
        <v>0</v>
      </c>
      <c r="U534" s="3">
        <v>170</v>
      </c>
      <c r="V534" t="s">
        <v>55</v>
      </c>
    </row>
    <row r="535" spans="1:22" hidden="1" x14ac:dyDescent="0.25">
      <c r="A535" t="s">
        <v>8608</v>
      </c>
      <c r="B535" t="s">
        <v>8682</v>
      </c>
      <c r="C535" t="s">
        <v>1</v>
      </c>
      <c r="D535" t="s">
        <v>8526</v>
      </c>
      <c r="E535" t="s">
        <v>8147</v>
      </c>
      <c r="F535" t="s">
        <v>8146</v>
      </c>
      <c r="G535">
        <v>3507</v>
      </c>
      <c r="H535">
        <v>3507</v>
      </c>
      <c r="I535">
        <v>3507</v>
      </c>
      <c r="J535">
        <v>3507</v>
      </c>
      <c r="L535" s="3">
        <v>0</v>
      </c>
      <c r="M535" s="3">
        <v>0</v>
      </c>
      <c r="N535" s="3">
        <v>0</v>
      </c>
      <c r="O535" s="3">
        <v>111</v>
      </c>
      <c r="P535" s="3">
        <v>0</v>
      </c>
      <c r="Q535" s="3">
        <v>0</v>
      </c>
      <c r="R535" s="3">
        <v>0</v>
      </c>
      <c r="S535" s="3">
        <v>0</v>
      </c>
      <c r="T535" s="3">
        <v>0</v>
      </c>
      <c r="U535" s="3">
        <v>111</v>
      </c>
      <c r="V535" t="s">
        <v>55</v>
      </c>
    </row>
    <row r="536" spans="1:22" hidden="1" x14ac:dyDescent="0.25">
      <c r="A536" t="s">
        <v>8608</v>
      </c>
      <c r="B536" t="s">
        <v>8681</v>
      </c>
      <c r="C536" t="s">
        <v>1</v>
      </c>
      <c r="D536" t="s">
        <v>8526</v>
      </c>
      <c r="E536" t="s">
        <v>8147</v>
      </c>
      <c r="F536" t="s">
        <v>8146</v>
      </c>
      <c r="G536">
        <v>3508</v>
      </c>
      <c r="H536">
        <v>3508</v>
      </c>
      <c r="I536">
        <v>3508</v>
      </c>
      <c r="J536">
        <v>3508</v>
      </c>
      <c r="L536" s="3">
        <v>0</v>
      </c>
      <c r="M536" s="3">
        <v>0</v>
      </c>
      <c r="N536" s="3">
        <v>0</v>
      </c>
      <c r="O536" s="3">
        <v>410.41</v>
      </c>
      <c r="P536" s="3">
        <v>0</v>
      </c>
      <c r="Q536" s="3">
        <v>0</v>
      </c>
      <c r="R536" s="3">
        <v>0</v>
      </c>
      <c r="S536" s="3">
        <v>0</v>
      </c>
      <c r="T536" s="3">
        <v>0</v>
      </c>
      <c r="U536" s="3">
        <v>410.41</v>
      </c>
      <c r="V536" t="s">
        <v>55</v>
      </c>
    </row>
    <row r="537" spans="1:22" hidden="1" x14ac:dyDescent="0.25">
      <c r="A537" t="s">
        <v>8608</v>
      </c>
      <c r="B537" t="s">
        <v>8681</v>
      </c>
      <c r="C537" t="s">
        <v>1</v>
      </c>
      <c r="D537" t="s">
        <v>8526</v>
      </c>
      <c r="E537" t="s">
        <v>8147</v>
      </c>
      <c r="F537" t="s">
        <v>8146</v>
      </c>
      <c r="G537">
        <v>3509</v>
      </c>
      <c r="H537">
        <v>3509</v>
      </c>
      <c r="I537">
        <v>3509</v>
      </c>
      <c r="J537">
        <v>3509</v>
      </c>
      <c r="L537" s="3">
        <v>0</v>
      </c>
      <c r="M537" s="3">
        <v>0</v>
      </c>
      <c r="N537" s="3">
        <v>0</v>
      </c>
      <c r="O537" s="3">
        <v>244.49</v>
      </c>
      <c r="P537" s="3">
        <v>0</v>
      </c>
      <c r="Q537" s="3">
        <v>0</v>
      </c>
      <c r="R537" s="3">
        <v>0</v>
      </c>
      <c r="S537" s="3">
        <v>0</v>
      </c>
      <c r="T537" s="3">
        <v>0</v>
      </c>
      <c r="U537" s="3">
        <v>244.49</v>
      </c>
      <c r="V537" t="s">
        <v>55</v>
      </c>
    </row>
    <row r="538" spans="1:22" hidden="1" x14ac:dyDescent="0.25">
      <c r="A538" t="s">
        <v>8608</v>
      </c>
      <c r="B538" t="s">
        <v>8681</v>
      </c>
      <c r="C538" t="s">
        <v>1</v>
      </c>
      <c r="D538" t="s">
        <v>8526</v>
      </c>
      <c r="E538" t="s">
        <v>8147</v>
      </c>
      <c r="F538" t="s">
        <v>8146</v>
      </c>
      <c r="G538">
        <v>3510</v>
      </c>
      <c r="H538">
        <v>3510</v>
      </c>
      <c r="I538">
        <v>3510</v>
      </c>
      <c r="J538">
        <v>3510</v>
      </c>
      <c r="L538" s="3">
        <v>0</v>
      </c>
      <c r="M538" s="3">
        <v>0</v>
      </c>
      <c r="N538" s="3">
        <v>0</v>
      </c>
      <c r="O538" s="3">
        <v>111</v>
      </c>
      <c r="P538" s="3">
        <v>0</v>
      </c>
      <c r="Q538" s="3">
        <v>0</v>
      </c>
      <c r="R538" s="3">
        <v>0</v>
      </c>
      <c r="S538" s="3">
        <v>0</v>
      </c>
      <c r="T538" s="3">
        <v>0</v>
      </c>
      <c r="U538" s="3">
        <v>111</v>
      </c>
      <c r="V538" t="s">
        <v>55</v>
      </c>
    </row>
    <row r="539" spans="1:22" hidden="1" x14ac:dyDescent="0.25">
      <c r="A539" t="s">
        <v>8608</v>
      </c>
      <c r="B539" t="s">
        <v>8681</v>
      </c>
      <c r="C539" t="s">
        <v>1</v>
      </c>
      <c r="D539" t="s">
        <v>8526</v>
      </c>
      <c r="E539" t="s">
        <v>8147</v>
      </c>
      <c r="F539" t="s">
        <v>8146</v>
      </c>
      <c r="G539">
        <v>3511</v>
      </c>
      <c r="H539">
        <v>3511</v>
      </c>
      <c r="I539">
        <v>3511</v>
      </c>
      <c r="J539">
        <v>3511</v>
      </c>
      <c r="L539" s="3">
        <v>0</v>
      </c>
      <c r="M539" s="3">
        <v>0</v>
      </c>
      <c r="N539" s="3">
        <v>0</v>
      </c>
      <c r="O539" s="3">
        <v>1162.07</v>
      </c>
      <c r="P539" s="3">
        <v>0</v>
      </c>
      <c r="Q539" s="3">
        <v>0</v>
      </c>
      <c r="R539" s="3">
        <v>0</v>
      </c>
      <c r="S539" s="3">
        <v>0</v>
      </c>
      <c r="T539" s="3">
        <v>0</v>
      </c>
      <c r="U539" s="3">
        <v>1162.07</v>
      </c>
      <c r="V539" t="s">
        <v>55</v>
      </c>
    </row>
    <row r="540" spans="1:22" hidden="1" x14ac:dyDescent="0.25">
      <c r="A540" t="s">
        <v>8608</v>
      </c>
      <c r="B540" t="s">
        <v>8681</v>
      </c>
      <c r="C540" t="s">
        <v>1</v>
      </c>
      <c r="D540" t="s">
        <v>8526</v>
      </c>
      <c r="E540" t="s">
        <v>8147</v>
      </c>
      <c r="F540" t="s">
        <v>8146</v>
      </c>
      <c r="G540">
        <v>3512</v>
      </c>
      <c r="H540">
        <v>3512</v>
      </c>
      <c r="I540">
        <v>3512</v>
      </c>
      <c r="J540">
        <v>3512</v>
      </c>
      <c r="L540" s="3">
        <v>0</v>
      </c>
      <c r="M540" s="3">
        <v>0</v>
      </c>
      <c r="N540" s="3">
        <v>0</v>
      </c>
      <c r="O540" s="3">
        <v>12.73</v>
      </c>
      <c r="P540" s="3">
        <v>0</v>
      </c>
      <c r="Q540" s="3">
        <v>0</v>
      </c>
      <c r="R540" s="3">
        <v>0</v>
      </c>
      <c r="S540" s="3">
        <v>0</v>
      </c>
      <c r="T540" s="3">
        <v>0</v>
      </c>
      <c r="U540" s="3">
        <v>12.73</v>
      </c>
      <c r="V540" t="s">
        <v>55</v>
      </c>
    </row>
    <row r="541" spans="1:22" hidden="1" x14ac:dyDescent="0.25">
      <c r="A541" t="s">
        <v>8607</v>
      </c>
      <c r="B541" t="s">
        <v>8634</v>
      </c>
      <c r="C541" t="s">
        <v>1</v>
      </c>
      <c r="D541" t="s">
        <v>8526</v>
      </c>
      <c r="E541" t="s">
        <v>8147</v>
      </c>
      <c r="F541" t="s">
        <v>8146</v>
      </c>
      <c r="G541">
        <v>3124</v>
      </c>
      <c r="H541">
        <v>3124</v>
      </c>
      <c r="I541">
        <v>3124</v>
      </c>
      <c r="J541">
        <v>3124</v>
      </c>
      <c r="L541" s="3">
        <v>0</v>
      </c>
      <c r="M541" s="3">
        <v>0</v>
      </c>
      <c r="N541" s="3">
        <v>0</v>
      </c>
      <c r="O541" s="3">
        <v>0</v>
      </c>
      <c r="P541" s="3">
        <v>0</v>
      </c>
      <c r="Q541" s="3">
        <v>0</v>
      </c>
      <c r="R541" s="3">
        <v>0</v>
      </c>
      <c r="S541" s="3">
        <v>0</v>
      </c>
      <c r="T541" s="3">
        <v>0</v>
      </c>
      <c r="U541" s="3">
        <v>0</v>
      </c>
      <c r="V541" t="s">
        <v>55</v>
      </c>
    </row>
    <row r="542" spans="1:22" hidden="1" x14ac:dyDescent="0.25">
      <c r="A542" t="s">
        <v>8607</v>
      </c>
      <c r="B542" t="s">
        <v>8634</v>
      </c>
      <c r="C542" t="s">
        <v>1</v>
      </c>
      <c r="D542" t="s">
        <v>8526</v>
      </c>
      <c r="E542" t="s">
        <v>8147</v>
      </c>
      <c r="F542" t="s">
        <v>8146</v>
      </c>
      <c r="G542">
        <v>3299</v>
      </c>
      <c r="H542">
        <v>3299</v>
      </c>
      <c r="I542">
        <v>3299</v>
      </c>
      <c r="J542">
        <v>3299</v>
      </c>
      <c r="L542" s="3">
        <v>0</v>
      </c>
      <c r="M542" s="3">
        <v>0</v>
      </c>
      <c r="N542" s="3">
        <v>0</v>
      </c>
      <c r="O542" s="3">
        <v>85.8</v>
      </c>
      <c r="P542" s="3">
        <v>0</v>
      </c>
      <c r="Q542" s="3">
        <v>0</v>
      </c>
      <c r="R542" s="3">
        <v>0</v>
      </c>
      <c r="S542" s="3">
        <v>0</v>
      </c>
      <c r="T542" s="3">
        <v>0</v>
      </c>
      <c r="U542" s="3">
        <v>85.8</v>
      </c>
      <c r="V542" t="s">
        <v>55</v>
      </c>
    </row>
    <row r="543" spans="1:22" hidden="1" x14ac:dyDescent="0.25">
      <c r="A543" t="s">
        <v>8607</v>
      </c>
      <c r="B543" t="s">
        <v>8634</v>
      </c>
      <c r="C543" t="s">
        <v>1</v>
      </c>
      <c r="D543" t="s">
        <v>8526</v>
      </c>
      <c r="E543" t="s">
        <v>8147</v>
      </c>
      <c r="F543" t="s">
        <v>8146</v>
      </c>
      <c r="G543">
        <v>3300</v>
      </c>
      <c r="H543">
        <v>3300</v>
      </c>
      <c r="I543">
        <v>3300</v>
      </c>
      <c r="J543">
        <v>3300</v>
      </c>
      <c r="L543" s="3">
        <v>0</v>
      </c>
      <c r="M543" s="3">
        <v>0</v>
      </c>
      <c r="N543" s="3">
        <v>0</v>
      </c>
      <c r="O543" s="3">
        <v>51.38</v>
      </c>
      <c r="P543" s="3">
        <v>0</v>
      </c>
      <c r="Q543" s="3">
        <v>0</v>
      </c>
      <c r="R543" s="3">
        <v>0</v>
      </c>
      <c r="S543" s="3">
        <v>0</v>
      </c>
      <c r="T543" s="3">
        <v>0</v>
      </c>
      <c r="U543" s="3">
        <v>51.38</v>
      </c>
      <c r="V543" t="s">
        <v>55</v>
      </c>
    </row>
    <row r="544" spans="1:22" hidden="1" x14ac:dyDescent="0.25">
      <c r="A544" t="s">
        <v>8607</v>
      </c>
      <c r="B544" t="s">
        <v>8633</v>
      </c>
      <c r="C544" t="s">
        <v>1</v>
      </c>
      <c r="D544" t="s">
        <v>8526</v>
      </c>
      <c r="E544" t="s">
        <v>8147</v>
      </c>
      <c r="F544" t="s">
        <v>8146</v>
      </c>
      <c r="G544">
        <v>3301</v>
      </c>
      <c r="H544">
        <v>3301</v>
      </c>
      <c r="I544">
        <v>3301</v>
      </c>
      <c r="J544">
        <v>3301</v>
      </c>
      <c r="L544" s="3">
        <v>0</v>
      </c>
      <c r="M544" s="3">
        <v>0</v>
      </c>
      <c r="N544" s="3">
        <v>0</v>
      </c>
      <c r="O544" s="3">
        <v>225</v>
      </c>
      <c r="P544" s="3">
        <v>0</v>
      </c>
      <c r="Q544" s="3">
        <v>0</v>
      </c>
      <c r="R544" s="3">
        <v>0</v>
      </c>
      <c r="S544" s="3">
        <v>0</v>
      </c>
      <c r="T544" s="3">
        <v>0</v>
      </c>
      <c r="U544" s="3">
        <v>225</v>
      </c>
      <c r="V544" t="s">
        <v>55</v>
      </c>
    </row>
    <row r="545" spans="1:22" hidden="1" x14ac:dyDescent="0.25">
      <c r="A545" t="s">
        <v>8607</v>
      </c>
      <c r="B545" t="s">
        <v>8633</v>
      </c>
      <c r="C545" t="s">
        <v>1</v>
      </c>
      <c r="D545" t="s">
        <v>8526</v>
      </c>
      <c r="E545" t="s">
        <v>8147</v>
      </c>
      <c r="F545" t="s">
        <v>8146</v>
      </c>
      <c r="G545">
        <v>3302</v>
      </c>
      <c r="H545">
        <v>3302</v>
      </c>
      <c r="I545">
        <v>3302</v>
      </c>
      <c r="J545">
        <v>3302</v>
      </c>
      <c r="L545" s="3">
        <v>0</v>
      </c>
      <c r="M545" s="3">
        <v>0</v>
      </c>
      <c r="N545" s="3">
        <v>0</v>
      </c>
      <c r="O545" s="3">
        <v>29.86</v>
      </c>
      <c r="P545" s="3">
        <v>0</v>
      </c>
      <c r="Q545" s="3">
        <v>0</v>
      </c>
      <c r="R545" s="3">
        <v>0</v>
      </c>
      <c r="S545" s="3">
        <v>0</v>
      </c>
      <c r="T545" s="3">
        <v>0</v>
      </c>
      <c r="U545" s="3">
        <v>29.86</v>
      </c>
      <c r="V545" t="s">
        <v>55</v>
      </c>
    </row>
    <row r="546" spans="1:22" hidden="1" x14ac:dyDescent="0.25">
      <c r="A546" t="s">
        <v>8607</v>
      </c>
      <c r="B546" t="s">
        <v>8632</v>
      </c>
      <c r="C546" t="s">
        <v>1</v>
      </c>
      <c r="D546" t="s">
        <v>8526</v>
      </c>
      <c r="E546" t="s">
        <v>8147</v>
      </c>
      <c r="F546" t="s">
        <v>8146</v>
      </c>
      <c r="G546">
        <v>3303</v>
      </c>
      <c r="H546">
        <v>3303</v>
      </c>
      <c r="I546">
        <v>3303</v>
      </c>
      <c r="J546">
        <v>3303</v>
      </c>
      <c r="L546" s="3">
        <v>0</v>
      </c>
      <c r="M546" s="3">
        <v>0</v>
      </c>
      <c r="N546" s="3">
        <v>0</v>
      </c>
      <c r="O546" s="3">
        <v>10.61</v>
      </c>
      <c r="P546" s="3">
        <v>0</v>
      </c>
      <c r="Q546" s="3">
        <v>0</v>
      </c>
      <c r="R546" s="3">
        <v>0</v>
      </c>
      <c r="S546" s="3">
        <v>0</v>
      </c>
      <c r="T546" s="3">
        <v>0</v>
      </c>
      <c r="U546" s="3">
        <v>10.61</v>
      </c>
      <c r="V546" t="s">
        <v>55</v>
      </c>
    </row>
    <row r="547" spans="1:22" hidden="1" x14ac:dyDescent="0.25">
      <c r="A547" t="s">
        <v>8607</v>
      </c>
      <c r="B547" t="s">
        <v>8632</v>
      </c>
      <c r="C547" t="s">
        <v>1</v>
      </c>
      <c r="D547" t="s">
        <v>8526</v>
      </c>
      <c r="E547" t="s">
        <v>8147</v>
      </c>
      <c r="F547" t="s">
        <v>8146</v>
      </c>
      <c r="G547">
        <v>3304</v>
      </c>
      <c r="H547">
        <v>3304</v>
      </c>
      <c r="I547">
        <v>3304</v>
      </c>
      <c r="J547">
        <v>3304</v>
      </c>
      <c r="L547" s="3">
        <v>0</v>
      </c>
      <c r="M547" s="3">
        <v>0</v>
      </c>
      <c r="N547" s="3">
        <v>0</v>
      </c>
      <c r="O547" s="3">
        <v>4.34</v>
      </c>
      <c r="P547" s="3">
        <v>0</v>
      </c>
      <c r="Q547" s="3">
        <v>0</v>
      </c>
      <c r="R547" s="3">
        <v>0</v>
      </c>
      <c r="S547" s="3">
        <v>0</v>
      </c>
      <c r="T547" s="3">
        <v>0</v>
      </c>
      <c r="U547" s="3">
        <v>4.34</v>
      </c>
      <c r="V547" t="s">
        <v>55</v>
      </c>
    </row>
    <row r="548" spans="1:22" hidden="1" x14ac:dyDescent="0.25">
      <c r="A548" t="s">
        <v>8607</v>
      </c>
      <c r="B548" t="s">
        <v>8632</v>
      </c>
      <c r="C548" t="s">
        <v>1</v>
      </c>
      <c r="D548" t="s">
        <v>8526</v>
      </c>
      <c r="E548" t="s">
        <v>8147</v>
      </c>
      <c r="F548" t="s">
        <v>8146</v>
      </c>
      <c r="G548">
        <v>3305</v>
      </c>
      <c r="H548">
        <v>3305</v>
      </c>
      <c r="I548">
        <v>3305</v>
      </c>
      <c r="J548">
        <v>3305</v>
      </c>
      <c r="L548" s="3">
        <v>0</v>
      </c>
      <c r="M548" s="3">
        <v>0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3">
        <v>0</v>
      </c>
      <c r="T548" s="3">
        <v>0</v>
      </c>
      <c r="U548" s="3">
        <v>0</v>
      </c>
      <c r="V548" t="s">
        <v>55</v>
      </c>
    </row>
    <row r="549" spans="1:22" hidden="1" x14ac:dyDescent="0.25">
      <c r="A549" t="s">
        <v>8607</v>
      </c>
      <c r="B549" t="s">
        <v>8632</v>
      </c>
      <c r="C549" t="s">
        <v>1</v>
      </c>
      <c r="D549" t="s">
        <v>8526</v>
      </c>
      <c r="E549" t="s">
        <v>8147</v>
      </c>
      <c r="F549" t="s">
        <v>8146</v>
      </c>
      <c r="G549">
        <v>3306</v>
      </c>
      <c r="H549">
        <v>3306</v>
      </c>
      <c r="I549">
        <v>3306</v>
      </c>
      <c r="J549">
        <v>3306</v>
      </c>
      <c r="L549" s="3">
        <v>0</v>
      </c>
      <c r="M549" s="3">
        <v>0</v>
      </c>
      <c r="N549" s="3">
        <v>0</v>
      </c>
      <c r="O549" s="3">
        <v>23.04</v>
      </c>
      <c r="P549" s="3">
        <v>0</v>
      </c>
      <c r="Q549" s="3">
        <v>0</v>
      </c>
      <c r="R549" s="3">
        <v>0</v>
      </c>
      <c r="S549" s="3">
        <v>0</v>
      </c>
      <c r="T549" s="3">
        <v>0</v>
      </c>
      <c r="U549" s="3">
        <v>23.04</v>
      </c>
      <c r="V549" t="s">
        <v>55</v>
      </c>
    </row>
    <row r="550" spans="1:22" hidden="1" x14ac:dyDescent="0.25">
      <c r="A550" t="s">
        <v>8607</v>
      </c>
      <c r="B550" t="s">
        <v>8632</v>
      </c>
      <c r="C550" t="s">
        <v>1</v>
      </c>
      <c r="D550" t="s">
        <v>8526</v>
      </c>
      <c r="E550" t="s">
        <v>8147</v>
      </c>
      <c r="F550" t="s">
        <v>8146</v>
      </c>
      <c r="G550">
        <v>3307</v>
      </c>
      <c r="H550">
        <v>3307</v>
      </c>
      <c r="I550">
        <v>3307</v>
      </c>
      <c r="J550">
        <v>3307</v>
      </c>
      <c r="L550" s="3">
        <v>0</v>
      </c>
      <c r="M550" s="3">
        <v>0</v>
      </c>
      <c r="N550" s="3">
        <v>0</v>
      </c>
      <c r="O550" s="3">
        <v>25.43</v>
      </c>
      <c r="P550" s="3">
        <v>0</v>
      </c>
      <c r="Q550" s="3">
        <v>0</v>
      </c>
      <c r="R550" s="3">
        <v>0</v>
      </c>
      <c r="S550" s="3">
        <v>0</v>
      </c>
      <c r="T550" s="3">
        <v>0</v>
      </c>
      <c r="U550" s="3">
        <v>25.43</v>
      </c>
      <c r="V550" t="s">
        <v>55</v>
      </c>
    </row>
    <row r="551" spans="1:22" hidden="1" x14ac:dyDescent="0.25">
      <c r="A551" t="s">
        <v>8607</v>
      </c>
      <c r="B551" t="s">
        <v>8632</v>
      </c>
      <c r="C551" t="s">
        <v>1</v>
      </c>
      <c r="D551" t="s">
        <v>8526</v>
      </c>
      <c r="E551" t="s">
        <v>8147</v>
      </c>
      <c r="F551" t="s">
        <v>8146</v>
      </c>
      <c r="G551">
        <v>3308</v>
      </c>
      <c r="H551">
        <v>3308</v>
      </c>
      <c r="I551">
        <v>3308</v>
      </c>
      <c r="J551">
        <v>3308</v>
      </c>
      <c r="L551" s="3">
        <v>0</v>
      </c>
      <c r="M551" s="3">
        <v>0</v>
      </c>
      <c r="N551" s="3">
        <v>0</v>
      </c>
      <c r="O551" s="3">
        <v>531.99</v>
      </c>
      <c r="P551" s="3">
        <v>0</v>
      </c>
      <c r="Q551" s="3">
        <v>0</v>
      </c>
      <c r="R551" s="3">
        <v>0</v>
      </c>
      <c r="S551" s="3">
        <v>0</v>
      </c>
      <c r="T551" s="3">
        <v>0</v>
      </c>
      <c r="U551" s="3">
        <v>531.99</v>
      </c>
      <c r="V551" t="s">
        <v>55</v>
      </c>
    </row>
    <row r="552" spans="1:22" hidden="1" x14ac:dyDescent="0.25">
      <c r="A552" t="s">
        <v>8607</v>
      </c>
      <c r="B552" t="s">
        <v>8632</v>
      </c>
      <c r="C552" t="s">
        <v>1</v>
      </c>
      <c r="D552" t="s">
        <v>8526</v>
      </c>
      <c r="E552" t="s">
        <v>8147</v>
      </c>
      <c r="F552" t="s">
        <v>8146</v>
      </c>
      <c r="G552">
        <v>3309</v>
      </c>
      <c r="H552">
        <v>3309</v>
      </c>
      <c r="I552">
        <v>3309</v>
      </c>
      <c r="J552">
        <v>3309</v>
      </c>
      <c r="L552" s="3">
        <v>0</v>
      </c>
      <c r="M552" s="3">
        <v>0</v>
      </c>
      <c r="N552" s="3">
        <v>0</v>
      </c>
      <c r="O552" s="3">
        <v>1008</v>
      </c>
      <c r="P552" s="3">
        <v>0</v>
      </c>
      <c r="Q552" s="3">
        <v>0</v>
      </c>
      <c r="R552" s="3">
        <v>0</v>
      </c>
      <c r="S552" s="3">
        <v>0</v>
      </c>
      <c r="T552" s="3">
        <v>0</v>
      </c>
      <c r="U552" s="3">
        <v>1008</v>
      </c>
      <c r="V552" t="s">
        <v>55</v>
      </c>
    </row>
    <row r="553" spans="1:22" hidden="1" x14ac:dyDescent="0.25">
      <c r="A553" t="s">
        <v>8607</v>
      </c>
      <c r="B553" t="s">
        <v>8632</v>
      </c>
      <c r="C553" t="s">
        <v>1</v>
      </c>
      <c r="D553" t="s">
        <v>8526</v>
      </c>
      <c r="E553" t="s">
        <v>8147</v>
      </c>
      <c r="F553" t="s">
        <v>8146</v>
      </c>
      <c r="G553">
        <v>3310</v>
      </c>
      <c r="H553">
        <v>3310</v>
      </c>
      <c r="I553">
        <v>3310</v>
      </c>
      <c r="J553">
        <v>3310</v>
      </c>
      <c r="L553" s="3">
        <v>0</v>
      </c>
      <c r="M553" s="3">
        <v>0</v>
      </c>
      <c r="N553" s="3">
        <v>0</v>
      </c>
      <c r="O553" s="3">
        <v>269.3</v>
      </c>
      <c r="P553" s="3">
        <v>0</v>
      </c>
      <c r="Q553" s="3">
        <v>0</v>
      </c>
      <c r="R553" s="3">
        <v>0</v>
      </c>
      <c r="S553" s="3">
        <v>0</v>
      </c>
      <c r="T553" s="3">
        <v>0</v>
      </c>
      <c r="U553" s="3">
        <v>269.3</v>
      </c>
      <c r="V553" t="s">
        <v>55</v>
      </c>
    </row>
    <row r="554" spans="1:22" hidden="1" x14ac:dyDescent="0.25">
      <c r="A554" t="s">
        <v>8607</v>
      </c>
      <c r="B554" t="s">
        <v>8632</v>
      </c>
      <c r="C554" t="s">
        <v>1</v>
      </c>
      <c r="D554" t="s">
        <v>8526</v>
      </c>
      <c r="E554" t="s">
        <v>8147</v>
      </c>
      <c r="F554" t="s">
        <v>8146</v>
      </c>
      <c r="G554">
        <v>3311</v>
      </c>
      <c r="H554">
        <v>3311</v>
      </c>
      <c r="I554">
        <v>3311</v>
      </c>
      <c r="J554">
        <v>3311</v>
      </c>
      <c r="L554" s="3">
        <v>0</v>
      </c>
      <c r="M554" s="3">
        <v>0</v>
      </c>
      <c r="N554" s="3">
        <v>0</v>
      </c>
      <c r="O554" s="3">
        <v>212.5</v>
      </c>
      <c r="P554" s="3">
        <v>0</v>
      </c>
      <c r="Q554" s="3">
        <v>0</v>
      </c>
      <c r="R554" s="3">
        <v>0</v>
      </c>
      <c r="S554" s="3">
        <v>0</v>
      </c>
      <c r="T554" s="3">
        <v>0</v>
      </c>
      <c r="U554" s="3">
        <v>212.5</v>
      </c>
      <c r="V554" t="s">
        <v>55</v>
      </c>
    </row>
    <row r="555" spans="1:22" hidden="1" x14ac:dyDescent="0.25">
      <c r="A555" t="s">
        <v>8607</v>
      </c>
      <c r="B555" t="s">
        <v>8632</v>
      </c>
      <c r="C555" t="s">
        <v>1</v>
      </c>
      <c r="D555" t="s">
        <v>8526</v>
      </c>
      <c r="E555" t="s">
        <v>8147</v>
      </c>
      <c r="F555" t="s">
        <v>8146</v>
      </c>
      <c r="G555">
        <v>3312</v>
      </c>
      <c r="H555">
        <v>3312</v>
      </c>
      <c r="I555">
        <v>3312</v>
      </c>
      <c r="J555">
        <v>3312</v>
      </c>
      <c r="L555" s="3">
        <v>0</v>
      </c>
      <c r="M555" s="3">
        <v>0</v>
      </c>
      <c r="N555" s="3">
        <v>0</v>
      </c>
      <c r="O555" s="3">
        <v>221.44</v>
      </c>
      <c r="P555" s="3">
        <v>0</v>
      </c>
      <c r="Q555" s="3">
        <v>0</v>
      </c>
      <c r="R555" s="3">
        <v>0</v>
      </c>
      <c r="S555" s="3">
        <v>0</v>
      </c>
      <c r="T555" s="3">
        <v>0</v>
      </c>
      <c r="U555" s="3">
        <v>221.44</v>
      </c>
      <c r="V555" t="s">
        <v>55</v>
      </c>
    </row>
    <row r="556" spans="1:22" hidden="1" x14ac:dyDescent="0.25">
      <c r="A556" t="s">
        <v>8607</v>
      </c>
      <c r="B556" t="s">
        <v>8631</v>
      </c>
      <c r="C556" t="s">
        <v>1</v>
      </c>
      <c r="D556" t="s">
        <v>8526</v>
      </c>
      <c r="E556" t="s">
        <v>8147</v>
      </c>
      <c r="F556" t="s">
        <v>8146</v>
      </c>
      <c r="G556">
        <v>3313</v>
      </c>
      <c r="H556">
        <v>3313</v>
      </c>
      <c r="I556">
        <v>3313</v>
      </c>
      <c r="J556">
        <v>3313</v>
      </c>
      <c r="L556" s="3">
        <v>0</v>
      </c>
      <c r="M556" s="3">
        <v>0</v>
      </c>
      <c r="N556" s="3">
        <v>0</v>
      </c>
      <c r="O556" s="3">
        <v>827.89</v>
      </c>
      <c r="P556" s="3">
        <v>0</v>
      </c>
      <c r="Q556" s="3">
        <v>0</v>
      </c>
      <c r="R556" s="3">
        <v>0</v>
      </c>
      <c r="S556" s="3">
        <v>0</v>
      </c>
      <c r="T556" s="3">
        <v>0</v>
      </c>
      <c r="U556" s="3">
        <v>827.89</v>
      </c>
      <c r="V556" t="s">
        <v>55</v>
      </c>
    </row>
    <row r="557" spans="1:22" hidden="1" x14ac:dyDescent="0.25">
      <c r="A557" t="s">
        <v>8607</v>
      </c>
      <c r="B557" t="s">
        <v>8631</v>
      </c>
      <c r="C557" t="s">
        <v>1</v>
      </c>
      <c r="D557" t="s">
        <v>8526</v>
      </c>
      <c r="E557" t="s">
        <v>8147</v>
      </c>
      <c r="F557" t="s">
        <v>8146</v>
      </c>
      <c r="G557">
        <v>3314</v>
      </c>
      <c r="H557">
        <v>3314</v>
      </c>
      <c r="I557">
        <v>3314</v>
      </c>
      <c r="J557">
        <v>3314</v>
      </c>
      <c r="L557" s="3">
        <v>0</v>
      </c>
      <c r="M557" s="3">
        <v>0</v>
      </c>
      <c r="N557" s="3">
        <v>0</v>
      </c>
      <c r="O557" s="3">
        <v>269.39999999999998</v>
      </c>
      <c r="P557" s="3">
        <v>0</v>
      </c>
      <c r="Q557" s="3">
        <v>0</v>
      </c>
      <c r="R557" s="3">
        <v>0</v>
      </c>
      <c r="S557" s="3">
        <v>0</v>
      </c>
      <c r="T557" s="3">
        <v>0</v>
      </c>
      <c r="U557" s="3">
        <v>269.39999999999998</v>
      </c>
      <c r="V557" t="s">
        <v>55</v>
      </c>
    </row>
    <row r="558" spans="1:22" hidden="1" x14ac:dyDescent="0.25">
      <c r="A558" t="s">
        <v>8607</v>
      </c>
      <c r="B558" t="s">
        <v>8630</v>
      </c>
      <c r="C558" t="s">
        <v>1</v>
      </c>
      <c r="D558" t="s">
        <v>8526</v>
      </c>
      <c r="E558" t="s">
        <v>8147</v>
      </c>
      <c r="F558" t="s">
        <v>8146</v>
      </c>
      <c r="G558">
        <v>3315</v>
      </c>
      <c r="H558">
        <v>3315</v>
      </c>
      <c r="I558">
        <v>3315</v>
      </c>
      <c r="J558">
        <v>3315</v>
      </c>
      <c r="L558" s="3">
        <v>0</v>
      </c>
      <c r="M558" s="3">
        <v>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3">
        <v>0</v>
      </c>
      <c r="T558" s="3">
        <v>0</v>
      </c>
      <c r="U558" s="3">
        <v>0</v>
      </c>
      <c r="V558" t="s">
        <v>55</v>
      </c>
    </row>
    <row r="559" spans="1:22" hidden="1" x14ac:dyDescent="0.25">
      <c r="A559" t="s">
        <v>8607</v>
      </c>
      <c r="B559" t="s">
        <v>8630</v>
      </c>
      <c r="C559" t="s">
        <v>1</v>
      </c>
      <c r="D559" t="s">
        <v>8526</v>
      </c>
      <c r="E559" t="s">
        <v>8147</v>
      </c>
      <c r="F559" t="s">
        <v>8146</v>
      </c>
      <c r="G559">
        <v>3316</v>
      </c>
      <c r="H559">
        <v>3316</v>
      </c>
      <c r="I559">
        <v>3316</v>
      </c>
      <c r="J559">
        <v>3316</v>
      </c>
      <c r="L559" s="3">
        <v>0</v>
      </c>
      <c r="M559" s="3">
        <v>0</v>
      </c>
      <c r="N559" s="3">
        <v>0</v>
      </c>
      <c r="O559" s="3">
        <v>54.77</v>
      </c>
      <c r="P559" s="3">
        <v>0</v>
      </c>
      <c r="Q559" s="3">
        <v>0</v>
      </c>
      <c r="R559" s="3">
        <v>0</v>
      </c>
      <c r="S559" s="3">
        <v>0</v>
      </c>
      <c r="T559" s="3">
        <v>0</v>
      </c>
      <c r="U559" s="3">
        <v>54.77</v>
      </c>
      <c r="V559" t="s">
        <v>55</v>
      </c>
    </row>
    <row r="560" spans="1:22" hidden="1" x14ac:dyDescent="0.25">
      <c r="A560" t="s">
        <v>8607</v>
      </c>
      <c r="B560" t="s">
        <v>8630</v>
      </c>
      <c r="C560" t="s">
        <v>1</v>
      </c>
      <c r="D560" t="s">
        <v>8526</v>
      </c>
      <c r="E560" t="s">
        <v>8147</v>
      </c>
      <c r="F560" t="s">
        <v>8146</v>
      </c>
      <c r="G560">
        <v>3317</v>
      </c>
      <c r="H560">
        <v>3317</v>
      </c>
      <c r="I560">
        <v>3317</v>
      </c>
      <c r="J560">
        <v>3317</v>
      </c>
      <c r="L560" s="3">
        <v>0</v>
      </c>
      <c r="M560" s="3">
        <v>0</v>
      </c>
      <c r="N560" s="3">
        <v>0</v>
      </c>
      <c r="O560" s="3">
        <v>1031.4000000000001</v>
      </c>
      <c r="P560" s="3">
        <v>0</v>
      </c>
      <c r="Q560" s="3">
        <v>0</v>
      </c>
      <c r="R560" s="3">
        <v>0</v>
      </c>
      <c r="S560" s="3">
        <v>0</v>
      </c>
      <c r="T560" s="3">
        <v>0</v>
      </c>
      <c r="U560" s="3">
        <v>1031.4000000000001</v>
      </c>
      <c r="V560" t="s">
        <v>55</v>
      </c>
    </row>
    <row r="561" spans="1:22" hidden="1" x14ac:dyDescent="0.25">
      <c r="A561" t="s">
        <v>8607</v>
      </c>
      <c r="B561" t="s">
        <v>8630</v>
      </c>
      <c r="C561" t="s">
        <v>1</v>
      </c>
      <c r="D561" t="s">
        <v>8526</v>
      </c>
      <c r="E561" t="s">
        <v>8147</v>
      </c>
      <c r="F561" t="s">
        <v>8146</v>
      </c>
      <c r="G561">
        <v>3318</v>
      </c>
      <c r="H561">
        <v>3318</v>
      </c>
      <c r="I561">
        <v>3318</v>
      </c>
      <c r="J561">
        <v>3318</v>
      </c>
      <c r="L561" s="3">
        <v>0</v>
      </c>
      <c r="M561" s="3">
        <v>0</v>
      </c>
      <c r="N561" s="3">
        <v>0</v>
      </c>
      <c r="O561" s="3">
        <v>9.42</v>
      </c>
      <c r="P561" s="3">
        <v>0</v>
      </c>
      <c r="Q561" s="3">
        <v>0</v>
      </c>
      <c r="R561" s="3">
        <v>0</v>
      </c>
      <c r="S561" s="3">
        <v>0</v>
      </c>
      <c r="T561" s="3">
        <v>0</v>
      </c>
      <c r="U561" s="3">
        <v>9.42</v>
      </c>
      <c r="V561" t="s">
        <v>55</v>
      </c>
    </row>
    <row r="562" spans="1:22" hidden="1" x14ac:dyDescent="0.25">
      <c r="A562" t="s">
        <v>8607</v>
      </c>
      <c r="B562" t="s">
        <v>8630</v>
      </c>
      <c r="C562" t="s">
        <v>1</v>
      </c>
      <c r="D562" t="s">
        <v>8526</v>
      </c>
      <c r="E562" t="s">
        <v>8147</v>
      </c>
      <c r="F562" t="s">
        <v>8146</v>
      </c>
      <c r="G562">
        <v>3319</v>
      </c>
      <c r="H562">
        <v>3319</v>
      </c>
      <c r="I562">
        <v>3319</v>
      </c>
      <c r="J562">
        <v>3319</v>
      </c>
      <c r="L562" s="3">
        <v>0</v>
      </c>
      <c r="M562" s="3">
        <v>0</v>
      </c>
      <c r="N562" s="3">
        <v>0</v>
      </c>
      <c r="O562" s="3">
        <v>350</v>
      </c>
      <c r="P562" s="3">
        <v>0</v>
      </c>
      <c r="Q562" s="3">
        <v>0</v>
      </c>
      <c r="R562" s="3">
        <v>0</v>
      </c>
      <c r="S562" s="3">
        <v>0</v>
      </c>
      <c r="T562" s="3">
        <v>0</v>
      </c>
      <c r="U562" s="3">
        <v>350</v>
      </c>
      <c r="V562" t="s">
        <v>55</v>
      </c>
    </row>
    <row r="563" spans="1:22" hidden="1" x14ac:dyDescent="0.25">
      <c r="A563" t="s">
        <v>8607</v>
      </c>
      <c r="B563" t="s">
        <v>8630</v>
      </c>
      <c r="C563" t="s">
        <v>1</v>
      </c>
      <c r="D563" t="s">
        <v>8526</v>
      </c>
      <c r="E563" t="s">
        <v>8147</v>
      </c>
      <c r="F563" t="s">
        <v>8146</v>
      </c>
      <c r="G563">
        <v>3320</v>
      </c>
      <c r="H563">
        <v>3320</v>
      </c>
      <c r="I563">
        <v>3320</v>
      </c>
      <c r="J563">
        <v>3320</v>
      </c>
      <c r="L563" s="3">
        <v>0</v>
      </c>
      <c r="M563" s="3">
        <v>0</v>
      </c>
      <c r="N563" s="3">
        <v>0</v>
      </c>
      <c r="O563" s="3">
        <v>110.06</v>
      </c>
      <c r="P563" s="3">
        <v>0</v>
      </c>
      <c r="Q563" s="3">
        <v>0</v>
      </c>
      <c r="R563" s="3">
        <v>0</v>
      </c>
      <c r="S563" s="3">
        <v>0</v>
      </c>
      <c r="T563" s="3">
        <v>0</v>
      </c>
      <c r="U563" s="3">
        <v>110.06</v>
      </c>
      <c r="V563" t="s">
        <v>55</v>
      </c>
    </row>
    <row r="564" spans="1:22" hidden="1" x14ac:dyDescent="0.25">
      <c r="A564" t="s">
        <v>8607</v>
      </c>
      <c r="B564" t="s">
        <v>8630</v>
      </c>
      <c r="C564" t="s">
        <v>1</v>
      </c>
      <c r="D564" t="s">
        <v>8526</v>
      </c>
      <c r="E564" t="s">
        <v>8147</v>
      </c>
      <c r="F564" t="s">
        <v>8146</v>
      </c>
      <c r="G564">
        <v>3321</v>
      </c>
      <c r="H564">
        <v>3321</v>
      </c>
      <c r="I564">
        <v>3321</v>
      </c>
      <c r="J564">
        <v>3321</v>
      </c>
      <c r="L564" s="3">
        <v>0</v>
      </c>
      <c r="M564" s="3">
        <v>0</v>
      </c>
      <c r="N564" s="3">
        <v>0</v>
      </c>
      <c r="O564" s="3">
        <v>107.26</v>
      </c>
      <c r="P564" s="3">
        <v>0</v>
      </c>
      <c r="Q564" s="3">
        <v>0</v>
      </c>
      <c r="R564" s="3">
        <v>0</v>
      </c>
      <c r="S564" s="3">
        <v>0</v>
      </c>
      <c r="T564" s="3">
        <v>0</v>
      </c>
      <c r="U564" s="3">
        <v>107.26</v>
      </c>
      <c r="V564" t="s">
        <v>55</v>
      </c>
    </row>
    <row r="565" spans="1:22" hidden="1" x14ac:dyDescent="0.25">
      <c r="A565" t="s">
        <v>8607</v>
      </c>
      <c r="B565" t="s">
        <v>8629</v>
      </c>
      <c r="C565" t="s">
        <v>1</v>
      </c>
      <c r="D565" t="s">
        <v>8526</v>
      </c>
      <c r="E565" t="s">
        <v>8147</v>
      </c>
      <c r="F565" t="s">
        <v>8146</v>
      </c>
      <c r="G565">
        <v>3322</v>
      </c>
      <c r="H565">
        <v>3322</v>
      </c>
      <c r="I565">
        <v>3322</v>
      </c>
      <c r="J565">
        <v>3322</v>
      </c>
      <c r="L565" s="3">
        <v>0</v>
      </c>
      <c r="M565" s="3">
        <v>0</v>
      </c>
      <c r="N565" s="3">
        <v>0</v>
      </c>
      <c r="O565" s="3">
        <v>48</v>
      </c>
      <c r="P565" s="3">
        <v>0</v>
      </c>
      <c r="Q565" s="3">
        <v>0</v>
      </c>
      <c r="R565" s="3">
        <v>0</v>
      </c>
      <c r="S565" s="3">
        <v>0</v>
      </c>
      <c r="T565" s="3">
        <v>0</v>
      </c>
      <c r="U565" s="3">
        <v>48</v>
      </c>
      <c r="V565" t="s">
        <v>55</v>
      </c>
    </row>
    <row r="566" spans="1:22" hidden="1" x14ac:dyDescent="0.25">
      <c r="A566" t="s">
        <v>8607</v>
      </c>
      <c r="B566" t="s">
        <v>8629</v>
      </c>
      <c r="C566" t="s">
        <v>1</v>
      </c>
      <c r="D566" t="s">
        <v>8526</v>
      </c>
      <c r="E566" t="s">
        <v>8147</v>
      </c>
      <c r="F566" t="s">
        <v>8146</v>
      </c>
      <c r="G566">
        <v>3323</v>
      </c>
      <c r="H566">
        <v>3323</v>
      </c>
      <c r="I566">
        <v>3323</v>
      </c>
      <c r="J566">
        <v>3323</v>
      </c>
      <c r="L566" s="3">
        <v>0</v>
      </c>
      <c r="M566" s="3">
        <v>0</v>
      </c>
      <c r="N566" s="3">
        <v>0</v>
      </c>
      <c r="O566" s="3">
        <v>33.75</v>
      </c>
      <c r="P566" s="3">
        <v>0</v>
      </c>
      <c r="Q566" s="3">
        <v>0</v>
      </c>
      <c r="R566" s="3">
        <v>0</v>
      </c>
      <c r="S566" s="3">
        <v>0</v>
      </c>
      <c r="T566" s="3">
        <v>0</v>
      </c>
      <c r="U566" s="3">
        <v>33.75</v>
      </c>
      <c r="V566" t="s">
        <v>55</v>
      </c>
    </row>
    <row r="567" spans="1:22" hidden="1" x14ac:dyDescent="0.25">
      <c r="A567" t="s">
        <v>8607</v>
      </c>
      <c r="B567" t="s">
        <v>8629</v>
      </c>
      <c r="C567" t="s">
        <v>1</v>
      </c>
      <c r="D567" t="s">
        <v>8526</v>
      </c>
      <c r="E567" t="s">
        <v>8147</v>
      </c>
      <c r="F567" t="s">
        <v>8146</v>
      </c>
      <c r="G567">
        <v>3324</v>
      </c>
      <c r="H567">
        <v>3324</v>
      </c>
      <c r="I567">
        <v>3324</v>
      </c>
      <c r="J567">
        <v>3324</v>
      </c>
      <c r="L567" s="3">
        <v>0</v>
      </c>
      <c r="M567" s="3">
        <v>0</v>
      </c>
      <c r="N567" s="3">
        <v>0</v>
      </c>
      <c r="O567" s="3">
        <v>24.2</v>
      </c>
      <c r="P567" s="3">
        <v>0</v>
      </c>
      <c r="Q567" s="3">
        <v>0</v>
      </c>
      <c r="R567" s="3">
        <v>0</v>
      </c>
      <c r="S567" s="3">
        <v>0</v>
      </c>
      <c r="T567" s="3">
        <v>0</v>
      </c>
      <c r="U567" s="3">
        <v>24.2</v>
      </c>
      <c r="V567" t="s">
        <v>55</v>
      </c>
    </row>
    <row r="568" spans="1:22" hidden="1" x14ac:dyDescent="0.25">
      <c r="A568" t="s">
        <v>8607</v>
      </c>
      <c r="B568" t="s">
        <v>8628</v>
      </c>
      <c r="C568" t="s">
        <v>1</v>
      </c>
      <c r="D568" t="s">
        <v>8526</v>
      </c>
      <c r="E568" t="s">
        <v>8147</v>
      </c>
      <c r="F568" t="s">
        <v>8146</v>
      </c>
      <c r="G568">
        <v>3325</v>
      </c>
      <c r="H568">
        <v>3325</v>
      </c>
      <c r="I568">
        <v>3325</v>
      </c>
      <c r="J568">
        <v>3325</v>
      </c>
      <c r="L568" s="3">
        <v>0</v>
      </c>
      <c r="M568" s="3">
        <v>0</v>
      </c>
      <c r="N568" s="3">
        <v>0</v>
      </c>
      <c r="O568" s="3">
        <v>42.37</v>
      </c>
      <c r="P568" s="3">
        <v>0</v>
      </c>
      <c r="Q568" s="3">
        <v>0</v>
      </c>
      <c r="R568" s="3">
        <v>0</v>
      </c>
      <c r="S568" s="3">
        <v>0</v>
      </c>
      <c r="T568" s="3">
        <v>0</v>
      </c>
      <c r="U568" s="3">
        <v>42.37</v>
      </c>
      <c r="V568" t="s">
        <v>55</v>
      </c>
    </row>
    <row r="569" spans="1:22" hidden="1" x14ac:dyDescent="0.25">
      <c r="A569" t="s">
        <v>8607</v>
      </c>
      <c r="B569" t="s">
        <v>8628</v>
      </c>
      <c r="C569" t="s">
        <v>1</v>
      </c>
      <c r="D569" t="s">
        <v>8526</v>
      </c>
      <c r="E569" t="s">
        <v>8147</v>
      </c>
      <c r="F569" t="s">
        <v>8146</v>
      </c>
      <c r="G569">
        <v>3326</v>
      </c>
      <c r="H569">
        <v>3326</v>
      </c>
      <c r="I569">
        <v>3326</v>
      </c>
      <c r="J569">
        <v>3326</v>
      </c>
      <c r="L569" s="3">
        <v>0</v>
      </c>
      <c r="M569" s="3">
        <v>0</v>
      </c>
      <c r="N569" s="3">
        <v>0</v>
      </c>
      <c r="O569" s="3">
        <v>112.5</v>
      </c>
      <c r="P569" s="3">
        <v>0</v>
      </c>
      <c r="Q569" s="3">
        <v>0</v>
      </c>
      <c r="R569" s="3">
        <v>0</v>
      </c>
      <c r="S569" s="3">
        <v>0</v>
      </c>
      <c r="T569" s="3">
        <v>0</v>
      </c>
      <c r="U569" s="3">
        <v>112.5</v>
      </c>
      <c r="V569" t="s">
        <v>55</v>
      </c>
    </row>
    <row r="570" spans="1:22" hidden="1" x14ac:dyDescent="0.25">
      <c r="A570" t="s">
        <v>8607</v>
      </c>
      <c r="B570" t="s">
        <v>8628</v>
      </c>
      <c r="C570" t="s">
        <v>1</v>
      </c>
      <c r="D570" t="s">
        <v>8526</v>
      </c>
      <c r="E570" t="s">
        <v>8147</v>
      </c>
      <c r="F570" t="s">
        <v>8146</v>
      </c>
      <c r="G570">
        <v>3327</v>
      </c>
      <c r="H570">
        <v>3327</v>
      </c>
      <c r="I570">
        <v>3327</v>
      </c>
      <c r="J570">
        <v>3327</v>
      </c>
      <c r="L570" s="3">
        <v>0</v>
      </c>
      <c r="M570" s="3">
        <v>0</v>
      </c>
      <c r="N570" s="3">
        <v>0</v>
      </c>
      <c r="O570" s="3">
        <v>337.5</v>
      </c>
      <c r="P570" s="3">
        <v>0</v>
      </c>
      <c r="Q570" s="3">
        <v>0</v>
      </c>
      <c r="R570" s="3">
        <v>0</v>
      </c>
      <c r="S570" s="3">
        <v>0</v>
      </c>
      <c r="T570" s="3">
        <v>0</v>
      </c>
      <c r="U570" s="3">
        <v>337.5</v>
      </c>
      <c r="V570" t="s">
        <v>55</v>
      </c>
    </row>
    <row r="571" spans="1:22" hidden="1" x14ac:dyDescent="0.25">
      <c r="A571" t="s">
        <v>8607</v>
      </c>
      <c r="B571" t="s">
        <v>8628</v>
      </c>
      <c r="C571" t="s">
        <v>1</v>
      </c>
      <c r="D571" t="s">
        <v>8526</v>
      </c>
      <c r="E571" t="s">
        <v>8147</v>
      </c>
      <c r="F571" t="s">
        <v>8146</v>
      </c>
      <c r="G571">
        <v>3328</v>
      </c>
      <c r="H571">
        <v>3328</v>
      </c>
      <c r="I571">
        <v>3328</v>
      </c>
      <c r="J571">
        <v>3328</v>
      </c>
      <c r="L571" s="3">
        <v>0</v>
      </c>
      <c r="M571" s="3">
        <v>0</v>
      </c>
      <c r="N571" s="3">
        <v>0</v>
      </c>
      <c r="O571" s="3">
        <v>51</v>
      </c>
      <c r="P571" s="3">
        <v>0</v>
      </c>
      <c r="Q571" s="3">
        <v>0</v>
      </c>
      <c r="R571" s="3">
        <v>0</v>
      </c>
      <c r="S571" s="3">
        <v>0</v>
      </c>
      <c r="T571" s="3">
        <v>0</v>
      </c>
      <c r="U571" s="3">
        <v>51</v>
      </c>
      <c r="V571" t="s">
        <v>55</v>
      </c>
    </row>
    <row r="572" spans="1:22" hidden="1" x14ac:dyDescent="0.25">
      <c r="A572" t="s">
        <v>8607</v>
      </c>
      <c r="B572" t="s">
        <v>8628</v>
      </c>
      <c r="C572" t="s">
        <v>1</v>
      </c>
      <c r="D572" t="s">
        <v>8526</v>
      </c>
      <c r="E572" t="s">
        <v>8147</v>
      </c>
      <c r="F572" t="s">
        <v>8146</v>
      </c>
      <c r="G572">
        <v>3329</v>
      </c>
      <c r="H572">
        <v>3329</v>
      </c>
      <c r="I572">
        <v>3329</v>
      </c>
      <c r="J572">
        <v>3329</v>
      </c>
      <c r="L572" s="3">
        <v>0</v>
      </c>
      <c r="M572" s="3">
        <v>0</v>
      </c>
      <c r="N572" s="3">
        <v>0</v>
      </c>
      <c r="O572" s="3">
        <v>25.43</v>
      </c>
      <c r="P572" s="3">
        <v>0</v>
      </c>
      <c r="Q572" s="3">
        <v>0</v>
      </c>
      <c r="R572" s="3">
        <v>0</v>
      </c>
      <c r="S572" s="3">
        <v>0</v>
      </c>
      <c r="T572" s="3">
        <v>0</v>
      </c>
      <c r="U572" s="3">
        <v>25.43</v>
      </c>
      <c r="V572" t="s">
        <v>55</v>
      </c>
    </row>
    <row r="573" spans="1:22" hidden="1" x14ac:dyDescent="0.25">
      <c r="A573" t="s">
        <v>8607</v>
      </c>
      <c r="B573" t="s">
        <v>8628</v>
      </c>
      <c r="C573" t="s">
        <v>1</v>
      </c>
      <c r="D573" t="s">
        <v>8526</v>
      </c>
      <c r="E573" t="s">
        <v>8147</v>
      </c>
      <c r="F573" t="s">
        <v>8146</v>
      </c>
      <c r="G573">
        <v>3330</v>
      </c>
      <c r="H573">
        <v>3330</v>
      </c>
      <c r="I573">
        <v>3330</v>
      </c>
      <c r="J573">
        <v>3330</v>
      </c>
      <c r="L573" s="3">
        <v>0</v>
      </c>
      <c r="M573" s="3">
        <v>0</v>
      </c>
      <c r="N573" s="3">
        <v>0</v>
      </c>
      <c r="O573" s="3">
        <v>448.23</v>
      </c>
      <c r="P573" s="3">
        <v>0</v>
      </c>
      <c r="Q573" s="3">
        <v>0</v>
      </c>
      <c r="R573" s="3">
        <v>0</v>
      </c>
      <c r="S573" s="3">
        <v>0</v>
      </c>
      <c r="T573" s="3">
        <v>0</v>
      </c>
      <c r="U573" s="3">
        <v>448.23</v>
      </c>
      <c r="V573" t="s">
        <v>55</v>
      </c>
    </row>
    <row r="574" spans="1:22" hidden="1" x14ac:dyDescent="0.25">
      <c r="A574" t="s">
        <v>8607</v>
      </c>
      <c r="B574" t="s">
        <v>8628</v>
      </c>
      <c r="C574" t="s">
        <v>1</v>
      </c>
      <c r="D574" t="s">
        <v>8526</v>
      </c>
      <c r="E574" t="s">
        <v>8147</v>
      </c>
      <c r="F574" t="s">
        <v>8146</v>
      </c>
      <c r="G574">
        <v>3331</v>
      </c>
      <c r="H574">
        <v>3331</v>
      </c>
      <c r="I574">
        <v>3331</v>
      </c>
      <c r="J574">
        <v>3331</v>
      </c>
      <c r="L574" s="3">
        <v>0</v>
      </c>
      <c r="M574" s="3">
        <v>0</v>
      </c>
      <c r="N574" s="3">
        <v>0</v>
      </c>
      <c r="O574" s="3">
        <v>69.180000000000007</v>
      </c>
      <c r="P574" s="3">
        <v>0</v>
      </c>
      <c r="Q574" s="3">
        <v>0</v>
      </c>
      <c r="R574" s="3">
        <v>0</v>
      </c>
      <c r="S574" s="3">
        <v>0</v>
      </c>
      <c r="T574" s="3">
        <v>0</v>
      </c>
      <c r="U574" s="3">
        <v>69.180000000000007</v>
      </c>
      <c r="V574" t="s">
        <v>55</v>
      </c>
    </row>
    <row r="575" spans="1:22" hidden="1" x14ac:dyDescent="0.25">
      <c r="A575" t="s">
        <v>8607</v>
      </c>
      <c r="B575" t="s">
        <v>8628</v>
      </c>
      <c r="C575" t="s">
        <v>1</v>
      </c>
      <c r="D575" t="s">
        <v>8526</v>
      </c>
      <c r="E575" t="s">
        <v>8147</v>
      </c>
      <c r="F575" t="s">
        <v>8146</v>
      </c>
      <c r="G575">
        <v>3332</v>
      </c>
      <c r="H575">
        <v>3332</v>
      </c>
      <c r="I575">
        <v>3332</v>
      </c>
      <c r="J575">
        <v>3332</v>
      </c>
      <c r="L575" s="3">
        <v>0</v>
      </c>
      <c r="M575" s="3">
        <v>0</v>
      </c>
      <c r="N575" s="3">
        <v>0</v>
      </c>
      <c r="O575" s="3">
        <v>79.67</v>
      </c>
      <c r="P575" s="3">
        <v>0</v>
      </c>
      <c r="Q575" s="3">
        <v>0</v>
      </c>
      <c r="R575" s="3">
        <v>0</v>
      </c>
      <c r="S575" s="3">
        <v>0</v>
      </c>
      <c r="T575" s="3">
        <v>0</v>
      </c>
      <c r="U575" s="3">
        <v>79.67</v>
      </c>
      <c r="V575" t="s">
        <v>55</v>
      </c>
    </row>
    <row r="576" spans="1:22" hidden="1" x14ac:dyDescent="0.25">
      <c r="A576" t="s">
        <v>8607</v>
      </c>
      <c r="B576" t="s">
        <v>8628</v>
      </c>
      <c r="C576" t="s">
        <v>1</v>
      </c>
      <c r="D576" t="s">
        <v>8526</v>
      </c>
      <c r="E576" t="s">
        <v>8147</v>
      </c>
      <c r="F576" t="s">
        <v>8146</v>
      </c>
      <c r="G576">
        <v>3333</v>
      </c>
      <c r="H576">
        <v>3333</v>
      </c>
      <c r="I576">
        <v>3333</v>
      </c>
      <c r="J576">
        <v>3333</v>
      </c>
      <c r="L576" s="3">
        <v>0</v>
      </c>
      <c r="M576" s="3">
        <v>0</v>
      </c>
      <c r="N576" s="3">
        <v>0</v>
      </c>
      <c r="O576" s="3">
        <v>10.98</v>
      </c>
      <c r="P576" s="3">
        <v>0</v>
      </c>
      <c r="Q576" s="3">
        <v>0</v>
      </c>
      <c r="R576" s="3">
        <v>0</v>
      </c>
      <c r="S576" s="3">
        <v>0</v>
      </c>
      <c r="T576" s="3">
        <v>0</v>
      </c>
      <c r="U576" s="3">
        <v>10.98</v>
      </c>
      <c r="V576" t="s">
        <v>55</v>
      </c>
    </row>
    <row r="577" spans="1:22" hidden="1" x14ac:dyDescent="0.25">
      <c r="A577" t="s">
        <v>8607</v>
      </c>
      <c r="B577" t="s">
        <v>8628</v>
      </c>
      <c r="C577" t="s">
        <v>1</v>
      </c>
      <c r="D577" t="s">
        <v>8526</v>
      </c>
      <c r="E577" t="s">
        <v>8147</v>
      </c>
      <c r="F577" t="s">
        <v>8146</v>
      </c>
      <c r="G577">
        <v>3334</v>
      </c>
      <c r="H577">
        <v>3334</v>
      </c>
      <c r="I577">
        <v>3334</v>
      </c>
      <c r="J577">
        <v>3334</v>
      </c>
      <c r="L577" s="3">
        <v>0</v>
      </c>
      <c r="M577" s="3">
        <v>0</v>
      </c>
      <c r="N577" s="3">
        <v>0</v>
      </c>
      <c r="O577" s="3">
        <v>0</v>
      </c>
      <c r="P577" s="3">
        <v>0</v>
      </c>
      <c r="Q577" s="3">
        <v>0</v>
      </c>
      <c r="R577" s="3">
        <v>0</v>
      </c>
      <c r="S577" s="3">
        <v>0</v>
      </c>
      <c r="T577" s="3">
        <v>0</v>
      </c>
      <c r="U577" s="3">
        <v>0</v>
      </c>
      <c r="V577" t="s">
        <v>55</v>
      </c>
    </row>
    <row r="578" spans="1:22" hidden="1" x14ac:dyDescent="0.25">
      <c r="A578" t="s">
        <v>8607</v>
      </c>
      <c r="B578" t="s">
        <v>8628</v>
      </c>
      <c r="C578" t="s">
        <v>1</v>
      </c>
      <c r="D578" t="s">
        <v>8526</v>
      </c>
      <c r="E578" t="s">
        <v>8147</v>
      </c>
      <c r="F578" t="s">
        <v>8146</v>
      </c>
      <c r="G578">
        <v>3335</v>
      </c>
      <c r="H578">
        <v>3335</v>
      </c>
      <c r="I578">
        <v>3335</v>
      </c>
      <c r="J578">
        <v>3335</v>
      </c>
      <c r="L578" s="3">
        <v>0</v>
      </c>
      <c r="M578" s="3">
        <v>0</v>
      </c>
      <c r="N578" s="3">
        <v>0</v>
      </c>
      <c r="O578" s="3">
        <v>23.73</v>
      </c>
      <c r="P578" s="3">
        <v>0</v>
      </c>
      <c r="Q578" s="3">
        <v>0</v>
      </c>
      <c r="R578" s="3">
        <v>0</v>
      </c>
      <c r="S578" s="3">
        <v>0</v>
      </c>
      <c r="T578" s="3">
        <v>0</v>
      </c>
      <c r="U578" s="3">
        <v>23.73</v>
      </c>
      <c r="V578" t="s">
        <v>55</v>
      </c>
    </row>
    <row r="579" spans="1:22" hidden="1" x14ac:dyDescent="0.25">
      <c r="A579" t="s">
        <v>8607</v>
      </c>
      <c r="B579" t="s">
        <v>8627</v>
      </c>
      <c r="C579" t="s">
        <v>1</v>
      </c>
      <c r="D579" t="s">
        <v>8526</v>
      </c>
      <c r="E579" t="s">
        <v>8147</v>
      </c>
      <c r="F579" t="s">
        <v>8146</v>
      </c>
      <c r="G579">
        <v>3336</v>
      </c>
      <c r="H579">
        <v>3336</v>
      </c>
      <c r="I579">
        <v>3336</v>
      </c>
      <c r="J579">
        <v>3336</v>
      </c>
      <c r="L579" s="3">
        <v>0</v>
      </c>
      <c r="M579" s="3">
        <v>0</v>
      </c>
      <c r="N579" s="3">
        <v>0</v>
      </c>
      <c r="O579" s="3">
        <v>318.66000000000003</v>
      </c>
      <c r="P579" s="3">
        <v>0</v>
      </c>
      <c r="Q579" s="3">
        <v>0</v>
      </c>
      <c r="R579" s="3">
        <v>0</v>
      </c>
      <c r="S579" s="3">
        <v>0</v>
      </c>
      <c r="T579" s="3">
        <v>0</v>
      </c>
      <c r="U579" s="3">
        <v>318.66000000000003</v>
      </c>
      <c r="V579" t="s">
        <v>55</v>
      </c>
    </row>
    <row r="580" spans="1:22" hidden="1" x14ac:dyDescent="0.25">
      <c r="A580" t="s">
        <v>8607</v>
      </c>
      <c r="B580" t="s">
        <v>8627</v>
      </c>
      <c r="C580" t="s">
        <v>1</v>
      </c>
      <c r="D580" t="s">
        <v>8526</v>
      </c>
      <c r="E580" t="s">
        <v>8147</v>
      </c>
      <c r="F580" t="s">
        <v>8146</v>
      </c>
      <c r="G580">
        <v>3337</v>
      </c>
      <c r="H580">
        <v>3337</v>
      </c>
      <c r="I580">
        <v>3337</v>
      </c>
      <c r="J580">
        <v>3337</v>
      </c>
      <c r="L580" s="3">
        <v>0</v>
      </c>
      <c r="M580" s="3">
        <v>0</v>
      </c>
      <c r="N580" s="3">
        <v>0</v>
      </c>
      <c r="O580" s="3">
        <v>506.6</v>
      </c>
      <c r="P580" s="3">
        <v>0</v>
      </c>
      <c r="Q580" s="3">
        <v>0</v>
      </c>
      <c r="R580" s="3">
        <v>0</v>
      </c>
      <c r="S580" s="3">
        <v>0</v>
      </c>
      <c r="T580" s="3">
        <v>0</v>
      </c>
      <c r="U580" s="3">
        <v>506.6</v>
      </c>
      <c r="V580" t="s">
        <v>55</v>
      </c>
    </row>
    <row r="581" spans="1:22" hidden="1" x14ac:dyDescent="0.25">
      <c r="A581" t="s">
        <v>8607</v>
      </c>
      <c r="B581" t="s">
        <v>8627</v>
      </c>
      <c r="C581" t="s">
        <v>1</v>
      </c>
      <c r="D581" t="s">
        <v>8526</v>
      </c>
      <c r="E581" t="s">
        <v>8147</v>
      </c>
      <c r="F581" t="s">
        <v>8146</v>
      </c>
      <c r="G581">
        <v>3338</v>
      </c>
      <c r="H581">
        <v>3338</v>
      </c>
      <c r="I581">
        <v>3338</v>
      </c>
      <c r="J581">
        <v>3338</v>
      </c>
      <c r="L581" s="3">
        <v>0</v>
      </c>
      <c r="M581" s="3">
        <v>0</v>
      </c>
      <c r="N581" s="3">
        <v>0</v>
      </c>
      <c r="O581" s="3">
        <v>88.98</v>
      </c>
      <c r="P581" s="3">
        <v>0</v>
      </c>
      <c r="Q581" s="3">
        <v>0</v>
      </c>
      <c r="R581" s="3">
        <v>0</v>
      </c>
      <c r="S581" s="3">
        <v>0</v>
      </c>
      <c r="T581" s="3">
        <v>0</v>
      </c>
      <c r="U581" s="3">
        <v>88.98</v>
      </c>
      <c r="V581" t="s">
        <v>55</v>
      </c>
    </row>
    <row r="582" spans="1:22" hidden="1" x14ac:dyDescent="0.25">
      <c r="A582" t="s">
        <v>8607</v>
      </c>
      <c r="B582" t="s">
        <v>8627</v>
      </c>
      <c r="C582" t="s">
        <v>1</v>
      </c>
      <c r="D582" t="s">
        <v>8526</v>
      </c>
      <c r="E582" t="s">
        <v>8147</v>
      </c>
      <c r="F582" t="s">
        <v>8146</v>
      </c>
      <c r="G582">
        <v>3339</v>
      </c>
      <c r="H582">
        <v>3339</v>
      </c>
      <c r="I582">
        <v>3339</v>
      </c>
      <c r="J582">
        <v>3339</v>
      </c>
      <c r="L582" s="3">
        <v>0</v>
      </c>
      <c r="M582" s="3">
        <v>0</v>
      </c>
      <c r="N582" s="3">
        <v>0</v>
      </c>
      <c r="O582" s="3">
        <v>10.34</v>
      </c>
      <c r="P582" s="3">
        <v>0</v>
      </c>
      <c r="Q582" s="3">
        <v>0</v>
      </c>
      <c r="R582" s="3">
        <v>0</v>
      </c>
      <c r="S582" s="3">
        <v>0</v>
      </c>
      <c r="T582" s="3">
        <v>0</v>
      </c>
      <c r="U582" s="3">
        <v>10.34</v>
      </c>
      <c r="V582" t="s">
        <v>55</v>
      </c>
    </row>
    <row r="583" spans="1:22" hidden="1" x14ac:dyDescent="0.25">
      <c r="A583" t="s">
        <v>8607</v>
      </c>
      <c r="B583" s="33" t="s">
        <v>8626</v>
      </c>
      <c r="C583" t="s">
        <v>1</v>
      </c>
      <c r="D583" t="s">
        <v>8526</v>
      </c>
      <c r="E583" t="s">
        <v>8147</v>
      </c>
      <c r="F583" t="s">
        <v>8146</v>
      </c>
      <c r="G583">
        <v>3340</v>
      </c>
      <c r="H583">
        <v>3340</v>
      </c>
      <c r="I583">
        <v>3340</v>
      </c>
      <c r="J583">
        <v>3340</v>
      </c>
      <c r="L583" s="3">
        <v>0</v>
      </c>
      <c r="M583" s="3">
        <v>0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3">
        <v>0</v>
      </c>
      <c r="T583" s="3">
        <v>0</v>
      </c>
      <c r="U583" s="3">
        <v>0</v>
      </c>
      <c r="V583" t="s">
        <v>55</v>
      </c>
    </row>
    <row r="584" spans="1:22" hidden="1" x14ac:dyDescent="0.25">
      <c r="A584" t="s">
        <v>8607</v>
      </c>
      <c r="B584" t="s">
        <v>8625</v>
      </c>
      <c r="C584" t="s">
        <v>1</v>
      </c>
      <c r="D584" t="s">
        <v>8526</v>
      </c>
      <c r="E584" t="s">
        <v>8147</v>
      </c>
      <c r="F584" t="s">
        <v>8146</v>
      </c>
      <c r="G584">
        <v>3341</v>
      </c>
      <c r="H584">
        <v>3341</v>
      </c>
      <c r="I584">
        <v>3341</v>
      </c>
      <c r="J584">
        <v>3341</v>
      </c>
      <c r="L584" s="3">
        <v>0</v>
      </c>
      <c r="M584" s="3">
        <v>0</v>
      </c>
      <c r="N584" s="3">
        <v>0</v>
      </c>
      <c r="O584" s="3">
        <v>195</v>
      </c>
      <c r="P584" s="3">
        <v>0</v>
      </c>
      <c r="Q584" s="3">
        <v>0</v>
      </c>
      <c r="R584" s="3">
        <v>0</v>
      </c>
      <c r="S584" s="3">
        <v>0</v>
      </c>
      <c r="T584" s="3">
        <v>0</v>
      </c>
      <c r="U584" s="3">
        <v>195</v>
      </c>
      <c r="V584" t="s">
        <v>55</v>
      </c>
    </row>
    <row r="585" spans="1:22" hidden="1" x14ac:dyDescent="0.25">
      <c r="A585" t="s">
        <v>8607</v>
      </c>
      <c r="B585" t="s">
        <v>8625</v>
      </c>
      <c r="C585" t="s">
        <v>1</v>
      </c>
      <c r="D585" t="s">
        <v>8526</v>
      </c>
      <c r="E585" t="s">
        <v>8147</v>
      </c>
      <c r="F585" t="s">
        <v>8146</v>
      </c>
      <c r="G585">
        <v>3342</v>
      </c>
      <c r="H585">
        <v>3342</v>
      </c>
      <c r="I585">
        <v>3342</v>
      </c>
      <c r="J585">
        <v>3342</v>
      </c>
      <c r="L585" s="3">
        <v>0</v>
      </c>
      <c r="M585" s="3">
        <v>0</v>
      </c>
      <c r="N585" s="3">
        <v>0</v>
      </c>
      <c r="O585" s="3">
        <v>57.77</v>
      </c>
      <c r="P585" s="3">
        <v>0</v>
      </c>
      <c r="Q585" s="3">
        <v>0</v>
      </c>
      <c r="R585" s="3">
        <v>0</v>
      </c>
      <c r="S585" s="3">
        <v>0</v>
      </c>
      <c r="T585" s="3">
        <v>0</v>
      </c>
      <c r="U585" s="3">
        <v>57.77</v>
      </c>
      <c r="V585" t="s">
        <v>55</v>
      </c>
    </row>
    <row r="586" spans="1:22" hidden="1" x14ac:dyDescent="0.25">
      <c r="A586" t="s">
        <v>8607</v>
      </c>
      <c r="B586" t="s">
        <v>8625</v>
      </c>
      <c r="C586" t="s">
        <v>1</v>
      </c>
      <c r="D586" t="s">
        <v>8526</v>
      </c>
      <c r="E586" t="s">
        <v>8147</v>
      </c>
      <c r="F586" t="s">
        <v>8146</v>
      </c>
      <c r="G586">
        <v>3343</v>
      </c>
      <c r="H586">
        <v>3343</v>
      </c>
      <c r="I586">
        <v>3343</v>
      </c>
      <c r="J586">
        <v>3343</v>
      </c>
      <c r="L586" s="3">
        <v>0</v>
      </c>
      <c r="M586" s="3">
        <v>0</v>
      </c>
      <c r="N586" s="3">
        <v>0</v>
      </c>
      <c r="O586" s="3">
        <v>0</v>
      </c>
      <c r="P586" s="3">
        <v>0</v>
      </c>
      <c r="Q586" s="3">
        <v>0</v>
      </c>
      <c r="R586" s="3">
        <v>0</v>
      </c>
      <c r="S586" s="3">
        <v>0</v>
      </c>
      <c r="T586" s="3">
        <v>0</v>
      </c>
      <c r="U586" s="3">
        <v>0</v>
      </c>
      <c r="V586" t="s">
        <v>55</v>
      </c>
    </row>
    <row r="587" spans="1:22" hidden="1" x14ac:dyDescent="0.25">
      <c r="A587" t="s">
        <v>8607</v>
      </c>
      <c r="B587" t="s">
        <v>8625</v>
      </c>
      <c r="C587" t="s">
        <v>1</v>
      </c>
      <c r="D587" t="s">
        <v>8526</v>
      </c>
      <c r="E587" t="s">
        <v>8147</v>
      </c>
      <c r="F587" t="s">
        <v>8146</v>
      </c>
      <c r="G587">
        <v>3344</v>
      </c>
      <c r="H587">
        <v>3344</v>
      </c>
      <c r="I587">
        <v>3344</v>
      </c>
      <c r="J587">
        <v>3344</v>
      </c>
      <c r="L587" s="3">
        <v>0</v>
      </c>
      <c r="M587" s="3">
        <v>0</v>
      </c>
      <c r="N587" s="3">
        <v>0</v>
      </c>
      <c r="O587" s="3">
        <v>152</v>
      </c>
      <c r="P587" s="3">
        <v>0</v>
      </c>
      <c r="Q587" s="3">
        <v>0</v>
      </c>
      <c r="R587" s="3">
        <v>0</v>
      </c>
      <c r="S587" s="3">
        <v>0</v>
      </c>
      <c r="T587" s="3">
        <v>0</v>
      </c>
      <c r="U587" s="3">
        <v>152</v>
      </c>
      <c r="V587" t="s">
        <v>55</v>
      </c>
    </row>
    <row r="588" spans="1:22" hidden="1" x14ac:dyDescent="0.25">
      <c r="A588" t="s">
        <v>8607</v>
      </c>
      <c r="B588" t="s">
        <v>8625</v>
      </c>
      <c r="C588" t="s">
        <v>1</v>
      </c>
      <c r="D588" t="s">
        <v>8526</v>
      </c>
      <c r="E588" t="s">
        <v>8147</v>
      </c>
      <c r="F588" t="s">
        <v>8146</v>
      </c>
      <c r="G588">
        <v>3345</v>
      </c>
      <c r="H588">
        <v>3345</v>
      </c>
      <c r="I588">
        <v>3345</v>
      </c>
      <c r="J588">
        <v>3345</v>
      </c>
      <c r="L588" s="3">
        <v>0</v>
      </c>
      <c r="M588" s="3">
        <v>0</v>
      </c>
      <c r="N588" s="3">
        <v>0</v>
      </c>
      <c r="O588" s="3">
        <v>626.28</v>
      </c>
      <c r="P588" s="3">
        <v>0</v>
      </c>
      <c r="Q588" s="3">
        <v>0</v>
      </c>
      <c r="R588" s="3">
        <v>0</v>
      </c>
      <c r="S588" s="3">
        <v>0</v>
      </c>
      <c r="T588" s="3">
        <v>0</v>
      </c>
      <c r="U588" s="3">
        <v>626.28</v>
      </c>
      <c r="V588" t="s">
        <v>55</v>
      </c>
    </row>
    <row r="589" spans="1:22" hidden="1" x14ac:dyDescent="0.25">
      <c r="A589" t="s">
        <v>8607</v>
      </c>
      <c r="B589" t="s">
        <v>8624</v>
      </c>
      <c r="C589" t="s">
        <v>1</v>
      </c>
      <c r="D589" t="s">
        <v>8526</v>
      </c>
      <c r="E589" t="s">
        <v>8147</v>
      </c>
      <c r="F589" t="s">
        <v>8146</v>
      </c>
      <c r="G589">
        <v>3346</v>
      </c>
      <c r="H589">
        <v>3346</v>
      </c>
      <c r="I589">
        <v>3346</v>
      </c>
      <c r="J589">
        <v>3346</v>
      </c>
      <c r="L589" s="3">
        <v>0</v>
      </c>
      <c r="M589" s="3">
        <v>0</v>
      </c>
      <c r="N589" s="3">
        <v>0</v>
      </c>
      <c r="O589" s="3">
        <v>42</v>
      </c>
      <c r="P589" s="3">
        <v>0</v>
      </c>
      <c r="Q589" s="3">
        <v>0</v>
      </c>
      <c r="R589" s="3">
        <v>0</v>
      </c>
      <c r="S589" s="3">
        <v>0</v>
      </c>
      <c r="T589" s="3">
        <v>0</v>
      </c>
      <c r="U589" s="3">
        <v>42</v>
      </c>
      <c r="V589" t="s">
        <v>55</v>
      </c>
    </row>
    <row r="590" spans="1:22" hidden="1" x14ac:dyDescent="0.25">
      <c r="A590" t="s">
        <v>8607</v>
      </c>
      <c r="B590" t="s">
        <v>8624</v>
      </c>
      <c r="C590" t="s">
        <v>1</v>
      </c>
      <c r="D590" t="s">
        <v>8526</v>
      </c>
      <c r="E590" t="s">
        <v>8147</v>
      </c>
      <c r="F590" t="s">
        <v>8146</v>
      </c>
      <c r="G590">
        <v>3347</v>
      </c>
      <c r="H590">
        <v>3347</v>
      </c>
      <c r="I590">
        <v>3347</v>
      </c>
      <c r="J590">
        <v>3347</v>
      </c>
      <c r="L590" s="3">
        <v>0</v>
      </c>
      <c r="M590" s="3">
        <v>0</v>
      </c>
      <c r="N590" s="3">
        <v>0</v>
      </c>
      <c r="O590" s="3">
        <v>900.19</v>
      </c>
      <c r="P590" s="3">
        <v>0</v>
      </c>
      <c r="Q590" s="3">
        <v>0</v>
      </c>
      <c r="R590" s="3">
        <v>0</v>
      </c>
      <c r="S590" s="3">
        <v>0</v>
      </c>
      <c r="T590" s="3">
        <v>0</v>
      </c>
      <c r="U590" s="3">
        <v>900.19</v>
      </c>
      <c r="V590" t="s">
        <v>55</v>
      </c>
    </row>
    <row r="591" spans="1:22" hidden="1" x14ac:dyDescent="0.25">
      <c r="A591" t="s">
        <v>8607</v>
      </c>
      <c r="B591" t="s">
        <v>8624</v>
      </c>
      <c r="C591" t="s">
        <v>1</v>
      </c>
      <c r="D591" t="s">
        <v>8526</v>
      </c>
      <c r="E591" t="s">
        <v>8147</v>
      </c>
      <c r="F591" t="s">
        <v>8146</v>
      </c>
      <c r="G591">
        <v>3348</v>
      </c>
      <c r="H591">
        <v>3348</v>
      </c>
      <c r="I591">
        <v>3348</v>
      </c>
      <c r="J591">
        <v>3348</v>
      </c>
      <c r="L591" s="3">
        <v>0</v>
      </c>
      <c r="M591" s="3">
        <v>0</v>
      </c>
      <c r="N591" s="3">
        <v>0</v>
      </c>
      <c r="O591" s="3">
        <v>49.26</v>
      </c>
      <c r="P591" s="3">
        <v>0</v>
      </c>
      <c r="Q591" s="3">
        <v>0</v>
      </c>
      <c r="R591" s="3">
        <v>0</v>
      </c>
      <c r="S591" s="3">
        <v>0</v>
      </c>
      <c r="T591" s="3">
        <v>0</v>
      </c>
      <c r="U591" s="3">
        <v>49.26</v>
      </c>
      <c r="V591" t="s">
        <v>55</v>
      </c>
    </row>
    <row r="592" spans="1:22" hidden="1" x14ac:dyDescent="0.25">
      <c r="A592" t="s">
        <v>8607</v>
      </c>
      <c r="B592" t="s">
        <v>8624</v>
      </c>
      <c r="C592" t="s">
        <v>1</v>
      </c>
      <c r="D592" t="s">
        <v>8526</v>
      </c>
      <c r="E592" t="s">
        <v>8147</v>
      </c>
      <c r="F592" t="s">
        <v>8146</v>
      </c>
      <c r="G592">
        <v>3349</v>
      </c>
      <c r="H592">
        <v>3349</v>
      </c>
      <c r="I592">
        <v>3349</v>
      </c>
      <c r="J592">
        <v>3349</v>
      </c>
      <c r="L592" s="3">
        <v>0</v>
      </c>
      <c r="M592" s="3">
        <v>0</v>
      </c>
      <c r="N592" s="3">
        <v>0</v>
      </c>
      <c r="O592" s="3">
        <v>825.12</v>
      </c>
      <c r="P592" s="3">
        <v>0</v>
      </c>
      <c r="Q592" s="3">
        <v>0</v>
      </c>
      <c r="R592" s="3">
        <v>0</v>
      </c>
      <c r="S592" s="3">
        <v>0</v>
      </c>
      <c r="T592" s="3">
        <v>0</v>
      </c>
      <c r="U592" s="3">
        <v>825.12</v>
      </c>
      <c r="V592" t="s">
        <v>55</v>
      </c>
    </row>
    <row r="593" spans="1:22" hidden="1" x14ac:dyDescent="0.25">
      <c r="A593" t="s">
        <v>8607</v>
      </c>
      <c r="B593" t="s">
        <v>8624</v>
      </c>
      <c r="C593" t="s">
        <v>1</v>
      </c>
      <c r="D593" t="s">
        <v>8526</v>
      </c>
      <c r="E593" t="s">
        <v>8147</v>
      </c>
      <c r="F593" t="s">
        <v>8146</v>
      </c>
      <c r="G593">
        <v>3350</v>
      </c>
      <c r="H593">
        <v>3350</v>
      </c>
      <c r="I593">
        <v>3350</v>
      </c>
      <c r="J593">
        <v>3350</v>
      </c>
      <c r="L593" s="3">
        <v>0</v>
      </c>
      <c r="M593" s="3">
        <v>0</v>
      </c>
      <c r="N593" s="3">
        <v>0</v>
      </c>
      <c r="O593" s="3">
        <v>387.03</v>
      </c>
      <c r="P593" s="3">
        <v>0</v>
      </c>
      <c r="Q593" s="3">
        <v>0</v>
      </c>
      <c r="R593" s="3">
        <v>0</v>
      </c>
      <c r="S593" s="3">
        <v>0</v>
      </c>
      <c r="T593" s="3">
        <v>0</v>
      </c>
      <c r="U593" s="3">
        <v>387.03</v>
      </c>
      <c r="V593" t="s">
        <v>55</v>
      </c>
    </row>
    <row r="594" spans="1:22" hidden="1" x14ac:dyDescent="0.25">
      <c r="A594" t="s">
        <v>8607</v>
      </c>
      <c r="B594" t="s">
        <v>8624</v>
      </c>
      <c r="C594" t="s">
        <v>1</v>
      </c>
      <c r="D594" t="s">
        <v>8526</v>
      </c>
      <c r="E594" t="s">
        <v>8147</v>
      </c>
      <c r="F594" t="s">
        <v>8146</v>
      </c>
      <c r="G594">
        <v>3351</v>
      </c>
      <c r="H594">
        <v>3351</v>
      </c>
      <c r="I594">
        <v>3351</v>
      </c>
      <c r="J594">
        <v>3351</v>
      </c>
      <c r="L594" s="3">
        <v>0</v>
      </c>
      <c r="M594" s="3">
        <v>0</v>
      </c>
      <c r="N594" s="3">
        <v>0</v>
      </c>
      <c r="O594" s="3">
        <v>200.01</v>
      </c>
      <c r="P594" s="3">
        <v>0</v>
      </c>
      <c r="Q594" s="3">
        <v>0</v>
      </c>
      <c r="R594" s="3">
        <v>0</v>
      </c>
      <c r="S594" s="3">
        <v>0</v>
      </c>
      <c r="T594" s="3">
        <v>0</v>
      </c>
      <c r="U594" s="3">
        <v>200.01</v>
      </c>
      <c r="V594" t="s">
        <v>55</v>
      </c>
    </row>
    <row r="595" spans="1:22" hidden="1" x14ac:dyDescent="0.25">
      <c r="A595" t="s">
        <v>8607</v>
      </c>
      <c r="B595" t="s">
        <v>8623</v>
      </c>
      <c r="C595" t="s">
        <v>1</v>
      </c>
      <c r="D595" t="s">
        <v>8526</v>
      </c>
      <c r="E595" t="s">
        <v>8147</v>
      </c>
      <c r="F595" t="s">
        <v>8146</v>
      </c>
      <c r="G595">
        <v>3352</v>
      </c>
      <c r="H595">
        <v>3352</v>
      </c>
      <c r="I595">
        <v>3352</v>
      </c>
      <c r="J595">
        <v>3352</v>
      </c>
      <c r="L595" s="3">
        <v>0</v>
      </c>
      <c r="M595" s="3">
        <v>0</v>
      </c>
      <c r="N595" s="3">
        <v>0</v>
      </c>
      <c r="O595" s="3">
        <v>1008</v>
      </c>
      <c r="P595" s="3">
        <v>0</v>
      </c>
      <c r="Q595" s="3">
        <v>0</v>
      </c>
      <c r="R595" s="3">
        <v>0</v>
      </c>
      <c r="S595" s="3">
        <v>0</v>
      </c>
      <c r="T595" s="3">
        <v>0</v>
      </c>
      <c r="U595" s="3">
        <v>1008</v>
      </c>
      <c r="V595" t="s">
        <v>55</v>
      </c>
    </row>
    <row r="596" spans="1:22" hidden="1" x14ac:dyDescent="0.25">
      <c r="A596" t="s">
        <v>8607</v>
      </c>
      <c r="B596" t="s">
        <v>8623</v>
      </c>
      <c r="C596" t="s">
        <v>1</v>
      </c>
      <c r="D596" t="s">
        <v>8526</v>
      </c>
      <c r="E596" t="s">
        <v>8147</v>
      </c>
      <c r="F596" t="s">
        <v>8146</v>
      </c>
      <c r="G596">
        <v>3353</v>
      </c>
      <c r="H596">
        <v>3353</v>
      </c>
      <c r="I596">
        <v>3353</v>
      </c>
      <c r="J596">
        <v>3353</v>
      </c>
      <c r="L596" s="3">
        <v>0</v>
      </c>
      <c r="M596" s="3">
        <v>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3">
        <v>0</v>
      </c>
      <c r="T596" s="3">
        <v>0</v>
      </c>
      <c r="U596" s="3">
        <v>0</v>
      </c>
      <c r="V596" t="s">
        <v>55</v>
      </c>
    </row>
    <row r="597" spans="1:22" hidden="1" x14ac:dyDescent="0.25">
      <c r="A597" t="s">
        <v>8607</v>
      </c>
      <c r="B597" t="s">
        <v>8623</v>
      </c>
      <c r="C597" t="s">
        <v>1</v>
      </c>
      <c r="D597" t="s">
        <v>8526</v>
      </c>
      <c r="E597" t="s">
        <v>8147</v>
      </c>
      <c r="F597" t="s">
        <v>8146</v>
      </c>
      <c r="G597">
        <v>3354</v>
      </c>
      <c r="H597">
        <v>3354</v>
      </c>
      <c r="I597">
        <v>3354</v>
      </c>
      <c r="J597">
        <v>3354</v>
      </c>
      <c r="L597" s="3">
        <v>0</v>
      </c>
      <c r="M597" s="3">
        <v>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3">
        <v>0</v>
      </c>
      <c r="T597" s="3">
        <v>0</v>
      </c>
      <c r="U597" s="3">
        <v>0</v>
      </c>
      <c r="V597" t="s">
        <v>55</v>
      </c>
    </row>
    <row r="598" spans="1:22" hidden="1" x14ac:dyDescent="0.25">
      <c r="A598" t="s">
        <v>8607</v>
      </c>
      <c r="B598" t="s">
        <v>8623</v>
      </c>
      <c r="C598" t="s">
        <v>1</v>
      </c>
      <c r="D598" t="s">
        <v>8526</v>
      </c>
      <c r="E598" t="s">
        <v>8147</v>
      </c>
      <c r="F598" t="s">
        <v>8146</v>
      </c>
      <c r="G598">
        <v>3355</v>
      </c>
      <c r="H598">
        <v>3355</v>
      </c>
      <c r="I598">
        <v>3355</v>
      </c>
      <c r="J598">
        <v>3355</v>
      </c>
      <c r="L598" s="3">
        <v>0</v>
      </c>
      <c r="M598" s="3">
        <v>0</v>
      </c>
      <c r="N598" s="3">
        <v>0</v>
      </c>
      <c r="O598" s="3">
        <v>27</v>
      </c>
      <c r="P598" s="3">
        <v>0</v>
      </c>
      <c r="Q598" s="3">
        <v>0</v>
      </c>
      <c r="R598" s="3">
        <v>0</v>
      </c>
      <c r="S598" s="3">
        <v>0</v>
      </c>
      <c r="T598" s="3">
        <v>0</v>
      </c>
      <c r="U598" s="3">
        <v>27</v>
      </c>
      <c r="V598" t="s">
        <v>55</v>
      </c>
    </row>
    <row r="599" spans="1:22" hidden="1" x14ac:dyDescent="0.25">
      <c r="A599" t="s">
        <v>8607</v>
      </c>
      <c r="B599" t="s">
        <v>8623</v>
      </c>
      <c r="C599" t="s">
        <v>1</v>
      </c>
      <c r="D599" t="s">
        <v>8526</v>
      </c>
      <c r="E599" t="s">
        <v>8147</v>
      </c>
      <c r="F599" t="s">
        <v>8146</v>
      </c>
      <c r="G599">
        <v>3356</v>
      </c>
      <c r="H599">
        <v>3356</v>
      </c>
      <c r="I599">
        <v>3356</v>
      </c>
      <c r="J599">
        <v>3356</v>
      </c>
      <c r="L599" s="3">
        <v>0</v>
      </c>
      <c r="M599" s="3">
        <v>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3">
        <v>0</v>
      </c>
      <c r="T599" s="3">
        <v>0</v>
      </c>
      <c r="U599" s="3">
        <v>0</v>
      </c>
      <c r="V599" t="s">
        <v>55</v>
      </c>
    </row>
    <row r="600" spans="1:22" hidden="1" x14ac:dyDescent="0.25">
      <c r="A600" t="s">
        <v>8607</v>
      </c>
      <c r="B600" t="s">
        <v>8623</v>
      </c>
      <c r="C600" t="s">
        <v>1</v>
      </c>
      <c r="D600" t="s">
        <v>8526</v>
      </c>
      <c r="E600" t="s">
        <v>8147</v>
      </c>
      <c r="F600" t="s">
        <v>8146</v>
      </c>
      <c r="G600">
        <v>3357</v>
      </c>
      <c r="H600">
        <v>3357</v>
      </c>
      <c r="I600">
        <v>3357</v>
      </c>
      <c r="J600">
        <v>3357</v>
      </c>
      <c r="L600" s="3">
        <v>0</v>
      </c>
      <c r="M600" s="3">
        <v>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3">
        <v>0</v>
      </c>
      <c r="T600" s="3">
        <v>0</v>
      </c>
      <c r="U600" s="3">
        <v>0</v>
      </c>
      <c r="V600" t="s">
        <v>55</v>
      </c>
    </row>
    <row r="601" spans="1:22" hidden="1" x14ac:dyDescent="0.25">
      <c r="A601" t="s">
        <v>8607</v>
      </c>
      <c r="B601" t="s">
        <v>8623</v>
      </c>
      <c r="C601" t="s">
        <v>1</v>
      </c>
      <c r="D601" t="s">
        <v>8526</v>
      </c>
      <c r="E601" t="s">
        <v>8147</v>
      </c>
      <c r="F601" t="s">
        <v>8146</v>
      </c>
      <c r="G601">
        <v>3358</v>
      </c>
      <c r="H601">
        <v>3358</v>
      </c>
      <c r="I601">
        <v>3358</v>
      </c>
      <c r="J601">
        <v>3358</v>
      </c>
      <c r="L601" s="3">
        <v>0</v>
      </c>
      <c r="M601" s="3">
        <v>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3">
        <v>0</v>
      </c>
      <c r="T601" s="3">
        <v>0</v>
      </c>
      <c r="U601" s="3">
        <v>0</v>
      </c>
      <c r="V601" t="s">
        <v>55</v>
      </c>
    </row>
    <row r="602" spans="1:22" hidden="1" x14ac:dyDescent="0.25">
      <c r="A602" t="s">
        <v>8607</v>
      </c>
      <c r="B602" t="s">
        <v>8623</v>
      </c>
      <c r="C602" t="s">
        <v>1</v>
      </c>
      <c r="D602" t="s">
        <v>8526</v>
      </c>
      <c r="E602" t="s">
        <v>8147</v>
      </c>
      <c r="F602" t="s">
        <v>8146</v>
      </c>
      <c r="G602">
        <v>3359</v>
      </c>
      <c r="H602">
        <v>3359</v>
      </c>
      <c r="I602">
        <v>3359</v>
      </c>
      <c r="J602">
        <v>3359</v>
      </c>
      <c r="L602" s="3">
        <v>0</v>
      </c>
      <c r="M602" s="3">
        <v>0</v>
      </c>
      <c r="N602" s="3">
        <v>0</v>
      </c>
      <c r="O602" s="3">
        <v>10.44</v>
      </c>
      <c r="P602" s="3">
        <v>0</v>
      </c>
      <c r="Q602" s="3">
        <v>0</v>
      </c>
      <c r="R602" s="3">
        <v>0</v>
      </c>
      <c r="S602" s="3">
        <v>0</v>
      </c>
      <c r="T602" s="3">
        <v>0</v>
      </c>
      <c r="U602" s="3">
        <v>10.44</v>
      </c>
      <c r="V602" t="s">
        <v>55</v>
      </c>
    </row>
    <row r="603" spans="1:22" hidden="1" x14ac:dyDescent="0.25">
      <c r="A603" t="s">
        <v>8607</v>
      </c>
      <c r="B603" t="s">
        <v>8623</v>
      </c>
      <c r="C603" t="s">
        <v>1</v>
      </c>
      <c r="D603" t="s">
        <v>8526</v>
      </c>
      <c r="E603" t="s">
        <v>8147</v>
      </c>
      <c r="F603" t="s">
        <v>8146</v>
      </c>
      <c r="G603">
        <v>3360</v>
      </c>
      <c r="H603">
        <v>3360</v>
      </c>
      <c r="I603">
        <v>3360</v>
      </c>
      <c r="J603">
        <v>3360</v>
      </c>
      <c r="L603" s="3">
        <v>0</v>
      </c>
      <c r="M603" s="3">
        <v>0</v>
      </c>
      <c r="N603" s="3">
        <v>0</v>
      </c>
      <c r="O603" s="3">
        <v>0</v>
      </c>
      <c r="P603" s="3">
        <v>0</v>
      </c>
      <c r="Q603" s="3">
        <v>0</v>
      </c>
      <c r="R603" s="3">
        <v>0</v>
      </c>
      <c r="S603" s="3">
        <v>0</v>
      </c>
      <c r="T603" s="3">
        <v>0</v>
      </c>
      <c r="U603" s="3">
        <v>0</v>
      </c>
      <c r="V603" t="s">
        <v>55</v>
      </c>
    </row>
    <row r="604" spans="1:22" hidden="1" x14ac:dyDescent="0.25">
      <c r="A604" t="s">
        <v>8607</v>
      </c>
      <c r="B604" t="s">
        <v>8623</v>
      </c>
      <c r="C604" t="s">
        <v>1</v>
      </c>
      <c r="D604" t="s">
        <v>8526</v>
      </c>
      <c r="E604" t="s">
        <v>8147</v>
      </c>
      <c r="F604" t="s">
        <v>8146</v>
      </c>
      <c r="G604">
        <v>3361</v>
      </c>
      <c r="H604">
        <v>3361</v>
      </c>
      <c r="I604">
        <v>3361</v>
      </c>
      <c r="J604">
        <v>3361</v>
      </c>
      <c r="L604" s="3">
        <v>0</v>
      </c>
      <c r="M604" s="3">
        <v>0</v>
      </c>
      <c r="N604" s="3">
        <v>0</v>
      </c>
      <c r="O604" s="3">
        <v>179.07</v>
      </c>
      <c r="P604" s="3">
        <v>0</v>
      </c>
      <c r="Q604" s="3">
        <v>0</v>
      </c>
      <c r="R604" s="3">
        <v>0</v>
      </c>
      <c r="S604" s="3">
        <v>0</v>
      </c>
      <c r="T604" s="3">
        <v>0</v>
      </c>
      <c r="U604" s="3">
        <v>179.07</v>
      </c>
      <c r="V604" t="s">
        <v>55</v>
      </c>
    </row>
    <row r="605" spans="1:22" hidden="1" x14ac:dyDescent="0.25">
      <c r="A605" t="s">
        <v>8607</v>
      </c>
      <c r="B605" t="s">
        <v>8622</v>
      </c>
      <c r="C605" t="s">
        <v>1</v>
      </c>
      <c r="D605" t="s">
        <v>8526</v>
      </c>
      <c r="E605" t="s">
        <v>8147</v>
      </c>
      <c r="F605" t="s">
        <v>8146</v>
      </c>
      <c r="G605">
        <v>3362</v>
      </c>
      <c r="H605">
        <v>3362</v>
      </c>
      <c r="I605">
        <v>3362</v>
      </c>
      <c r="J605">
        <v>3362</v>
      </c>
      <c r="L605" s="3">
        <v>0</v>
      </c>
      <c r="M605" s="3">
        <v>0</v>
      </c>
      <c r="N605" s="3">
        <v>0</v>
      </c>
      <c r="O605" s="3">
        <v>287.02</v>
      </c>
      <c r="P605" s="3">
        <v>0</v>
      </c>
      <c r="Q605" s="3">
        <v>0</v>
      </c>
      <c r="R605" s="3">
        <v>0</v>
      </c>
      <c r="S605" s="3">
        <v>0</v>
      </c>
      <c r="T605" s="3">
        <v>0</v>
      </c>
      <c r="U605" s="3">
        <v>287.02</v>
      </c>
      <c r="V605" t="s">
        <v>55</v>
      </c>
    </row>
    <row r="606" spans="1:22" hidden="1" x14ac:dyDescent="0.25">
      <c r="A606" t="s">
        <v>8607</v>
      </c>
      <c r="B606" t="s">
        <v>8622</v>
      </c>
      <c r="C606" t="s">
        <v>1</v>
      </c>
      <c r="D606" t="s">
        <v>8526</v>
      </c>
      <c r="E606" t="s">
        <v>8147</v>
      </c>
      <c r="F606" t="s">
        <v>8146</v>
      </c>
      <c r="G606">
        <v>3363</v>
      </c>
      <c r="H606">
        <v>3363</v>
      </c>
      <c r="I606">
        <v>3363</v>
      </c>
      <c r="J606">
        <v>3363</v>
      </c>
      <c r="L606" s="3">
        <v>0</v>
      </c>
      <c r="M606" s="3">
        <v>0</v>
      </c>
      <c r="N606" s="3">
        <v>0</v>
      </c>
      <c r="O606" s="3">
        <v>680.82</v>
      </c>
      <c r="P606" s="3">
        <v>0</v>
      </c>
      <c r="Q606" s="3">
        <v>0</v>
      </c>
      <c r="R606" s="3">
        <v>0</v>
      </c>
      <c r="S606" s="3">
        <v>0</v>
      </c>
      <c r="T606" s="3">
        <v>0</v>
      </c>
      <c r="U606" s="3">
        <v>680.82</v>
      </c>
      <c r="V606" t="s">
        <v>55</v>
      </c>
    </row>
    <row r="607" spans="1:22" hidden="1" x14ac:dyDescent="0.25">
      <c r="A607" t="s">
        <v>8607</v>
      </c>
      <c r="B607" t="s">
        <v>8622</v>
      </c>
      <c r="C607" t="s">
        <v>1</v>
      </c>
      <c r="D607" t="s">
        <v>8526</v>
      </c>
      <c r="E607" t="s">
        <v>8147</v>
      </c>
      <c r="F607" t="s">
        <v>8146</v>
      </c>
      <c r="G607">
        <v>3364</v>
      </c>
      <c r="H607">
        <v>3364</v>
      </c>
      <c r="I607">
        <v>3364</v>
      </c>
      <c r="J607">
        <v>3364</v>
      </c>
      <c r="L607" s="3">
        <v>0</v>
      </c>
      <c r="M607" s="3">
        <v>0</v>
      </c>
      <c r="N607" s="3">
        <v>0</v>
      </c>
      <c r="O607" s="3">
        <v>257.95999999999998</v>
      </c>
      <c r="P607" s="3">
        <v>0</v>
      </c>
      <c r="Q607" s="3">
        <v>0</v>
      </c>
      <c r="R607" s="3">
        <v>0</v>
      </c>
      <c r="S607" s="3">
        <v>0</v>
      </c>
      <c r="T607" s="3">
        <v>0</v>
      </c>
      <c r="U607" s="3">
        <v>257.95999999999998</v>
      </c>
      <c r="V607" t="s">
        <v>55</v>
      </c>
    </row>
    <row r="608" spans="1:22" hidden="1" x14ac:dyDescent="0.25">
      <c r="A608" t="s">
        <v>8607</v>
      </c>
      <c r="B608" t="s">
        <v>8622</v>
      </c>
      <c r="C608" t="s">
        <v>1</v>
      </c>
      <c r="D608" t="s">
        <v>8526</v>
      </c>
      <c r="E608" t="s">
        <v>8147</v>
      </c>
      <c r="F608" t="s">
        <v>8146</v>
      </c>
      <c r="G608">
        <v>3365</v>
      </c>
      <c r="H608">
        <v>3365</v>
      </c>
      <c r="I608">
        <v>3365</v>
      </c>
      <c r="J608">
        <v>3365</v>
      </c>
      <c r="L608" s="3">
        <v>0</v>
      </c>
      <c r="M608" s="3">
        <v>0</v>
      </c>
      <c r="N608" s="3">
        <v>0</v>
      </c>
      <c r="O608" s="3">
        <v>1019.46</v>
      </c>
      <c r="P608" s="3">
        <v>0</v>
      </c>
      <c r="Q608" s="3">
        <v>0</v>
      </c>
      <c r="R608" s="3">
        <v>0</v>
      </c>
      <c r="S608" s="3">
        <v>0</v>
      </c>
      <c r="T608" s="3">
        <v>0</v>
      </c>
      <c r="U608" s="3">
        <v>1019.46</v>
      </c>
      <c r="V608" t="s">
        <v>55</v>
      </c>
    </row>
    <row r="609" spans="1:22" hidden="1" x14ac:dyDescent="0.25">
      <c r="A609" t="s">
        <v>8607</v>
      </c>
      <c r="B609" t="s">
        <v>8622</v>
      </c>
      <c r="C609" t="s">
        <v>1</v>
      </c>
      <c r="D609" t="s">
        <v>8526</v>
      </c>
      <c r="E609" t="s">
        <v>8147</v>
      </c>
      <c r="F609" t="s">
        <v>8146</v>
      </c>
      <c r="G609">
        <v>3366</v>
      </c>
      <c r="H609">
        <v>3366</v>
      </c>
      <c r="I609">
        <v>3366</v>
      </c>
      <c r="J609">
        <v>3366</v>
      </c>
      <c r="L609" s="3">
        <v>0</v>
      </c>
      <c r="M609" s="3">
        <v>0</v>
      </c>
      <c r="N609" s="3">
        <v>0</v>
      </c>
      <c r="O609" s="3">
        <v>0</v>
      </c>
      <c r="P609" s="3">
        <v>0</v>
      </c>
      <c r="Q609" s="3">
        <v>0</v>
      </c>
      <c r="R609" s="3">
        <v>0</v>
      </c>
      <c r="S609" s="3">
        <v>0</v>
      </c>
      <c r="T609" s="3">
        <v>0</v>
      </c>
      <c r="U609" s="3">
        <v>0</v>
      </c>
      <c r="V609" t="s">
        <v>55</v>
      </c>
    </row>
    <row r="610" spans="1:22" hidden="1" x14ac:dyDescent="0.25">
      <c r="A610" t="s">
        <v>8607</v>
      </c>
      <c r="B610" t="s">
        <v>8622</v>
      </c>
      <c r="C610" t="s">
        <v>1</v>
      </c>
      <c r="D610" t="s">
        <v>8526</v>
      </c>
      <c r="E610" t="s">
        <v>8147</v>
      </c>
      <c r="F610" t="s">
        <v>8146</v>
      </c>
      <c r="G610">
        <v>3367</v>
      </c>
      <c r="H610">
        <v>3367</v>
      </c>
      <c r="I610">
        <v>3367</v>
      </c>
      <c r="J610">
        <v>3367</v>
      </c>
      <c r="L610" s="3">
        <v>0</v>
      </c>
      <c r="M610" s="3">
        <v>0</v>
      </c>
      <c r="N610" s="3">
        <v>0</v>
      </c>
      <c r="O610" s="3">
        <v>11.31</v>
      </c>
      <c r="P610" s="3">
        <v>0</v>
      </c>
      <c r="Q610" s="3">
        <v>0</v>
      </c>
      <c r="R610" s="3">
        <v>0</v>
      </c>
      <c r="S610" s="3">
        <v>0</v>
      </c>
      <c r="T610" s="3">
        <v>0</v>
      </c>
      <c r="U610" s="3">
        <v>11.31</v>
      </c>
      <c r="V610" t="s">
        <v>55</v>
      </c>
    </row>
    <row r="611" spans="1:22" hidden="1" x14ac:dyDescent="0.25">
      <c r="A611" t="s">
        <v>8607</v>
      </c>
      <c r="B611" t="s">
        <v>8622</v>
      </c>
      <c r="C611" t="s">
        <v>1</v>
      </c>
      <c r="D611" t="s">
        <v>8526</v>
      </c>
      <c r="E611" t="s">
        <v>8147</v>
      </c>
      <c r="F611" t="s">
        <v>8146</v>
      </c>
      <c r="G611">
        <v>3368</v>
      </c>
      <c r="H611">
        <v>3368</v>
      </c>
      <c r="I611">
        <v>3368</v>
      </c>
      <c r="J611">
        <v>3368</v>
      </c>
      <c r="L611" s="3">
        <v>0</v>
      </c>
      <c r="M611" s="3">
        <v>0</v>
      </c>
      <c r="N611" s="3">
        <v>0</v>
      </c>
      <c r="O611" s="3">
        <v>197.03</v>
      </c>
      <c r="P611" s="3">
        <v>0</v>
      </c>
      <c r="Q611" s="3">
        <v>0</v>
      </c>
      <c r="R611" s="3">
        <v>0</v>
      </c>
      <c r="S611" s="3">
        <v>0</v>
      </c>
      <c r="T611" s="3">
        <v>0</v>
      </c>
      <c r="U611" s="3">
        <v>197.03</v>
      </c>
      <c r="V611" t="s">
        <v>55</v>
      </c>
    </row>
    <row r="612" spans="1:22" hidden="1" x14ac:dyDescent="0.25">
      <c r="A612" t="s">
        <v>8607</v>
      </c>
      <c r="B612" t="s">
        <v>8622</v>
      </c>
      <c r="C612" t="s">
        <v>1</v>
      </c>
      <c r="D612" t="s">
        <v>8526</v>
      </c>
      <c r="E612" t="s">
        <v>8147</v>
      </c>
      <c r="F612" t="s">
        <v>8146</v>
      </c>
      <c r="G612">
        <v>3369</v>
      </c>
      <c r="H612">
        <v>3369</v>
      </c>
      <c r="I612">
        <v>3369</v>
      </c>
      <c r="J612">
        <v>3369</v>
      </c>
      <c r="L612" s="3">
        <v>0</v>
      </c>
      <c r="M612" s="3">
        <v>0</v>
      </c>
      <c r="N612" s="3">
        <v>0</v>
      </c>
      <c r="O612" s="3">
        <v>0</v>
      </c>
      <c r="P612" s="3">
        <v>0</v>
      </c>
      <c r="Q612" s="3">
        <v>0</v>
      </c>
      <c r="R612" s="3">
        <v>0</v>
      </c>
      <c r="S612" s="3">
        <v>0</v>
      </c>
      <c r="T612" s="3">
        <v>0</v>
      </c>
      <c r="U612" s="3">
        <v>0</v>
      </c>
      <c r="V612" t="s">
        <v>55</v>
      </c>
    </row>
    <row r="613" spans="1:22" hidden="1" x14ac:dyDescent="0.25">
      <c r="A613" t="s">
        <v>8607</v>
      </c>
      <c r="B613" t="s">
        <v>8622</v>
      </c>
      <c r="C613" t="s">
        <v>1</v>
      </c>
      <c r="D613" t="s">
        <v>8526</v>
      </c>
      <c r="E613" t="s">
        <v>8147</v>
      </c>
      <c r="F613" t="s">
        <v>8146</v>
      </c>
      <c r="G613">
        <v>3370</v>
      </c>
      <c r="H613">
        <v>3370</v>
      </c>
      <c r="I613">
        <v>3370</v>
      </c>
      <c r="J613">
        <v>3370</v>
      </c>
      <c r="L613" s="3">
        <v>0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3">
        <v>0</v>
      </c>
      <c r="T613" s="3">
        <v>0</v>
      </c>
      <c r="U613" s="3">
        <v>0</v>
      </c>
      <c r="V613" t="s">
        <v>55</v>
      </c>
    </row>
    <row r="614" spans="1:22" hidden="1" x14ac:dyDescent="0.25">
      <c r="A614" t="s">
        <v>8607</v>
      </c>
      <c r="B614" t="s">
        <v>8622</v>
      </c>
      <c r="C614" t="s">
        <v>1</v>
      </c>
      <c r="D614" t="s">
        <v>8526</v>
      </c>
      <c r="E614" t="s">
        <v>8147</v>
      </c>
      <c r="F614" t="s">
        <v>8146</v>
      </c>
      <c r="G614">
        <v>3371</v>
      </c>
      <c r="H614">
        <v>3371</v>
      </c>
      <c r="I614">
        <v>3371</v>
      </c>
      <c r="J614">
        <v>3371</v>
      </c>
      <c r="L614" s="3">
        <v>0</v>
      </c>
      <c r="M614" s="3">
        <v>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3">
        <v>0</v>
      </c>
      <c r="T614" s="3">
        <v>0</v>
      </c>
      <c r="U614" s="3">
        <v>0</v>
      </c>
      <c r="V614" t="s">
        <v>55</v>
      </c>
    </row>
    <row r="615" spans="1:22" hidden="1" x14ac:dyDescent="0.25">
      <c r="A615" t="s">
        <v>8607</v>
      </c>
      <c r="B615" t="s">
        <v>8622</v>
      </c>
      <c r="C615" t="s">
        <v>1</v>
      </c>
      <c r="D615" t="s">
        <v>8526</v>
      </c>
      <c r="E615" t="s">
        <v>8147</v>
      </c>
      <c r="F615" t="s">
        <v>8146</v>
      </c>
      <c r="G615">
        <v>3372</v>
      </c>
      <c r="H615">
        <v>3372</v>
      </c>
      <c r="I615">
        <v>3372</v>
      </c>
      <c r="J615">
        <v>3372</v>
      </c>
      <c r="L615" s="3">
        <v>0</v>
      </c>
      <c r="M615" s="3">
        <v>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3">
        <v>0</v>
      </c>
      <c r="T615" s="3">
        <v>0</v>
      </c>
      <c r="U615" s="3">
        <v>0</v>
      </c>
      <c r="V615" t="s">
        <v>55</v>
      </c>
    </row>
    <row r="616" spans="1:22" hidden="1" x14ac:dyDescent="0.25">
      <c r="A616" t="s">
        <v>8607</v>
      </c>
      <c r="B616" t="s">
        <v>8622</v>
      </c>
      <c r="C616" t="s">
        <v>1</v>
      </c>
      <c r="D616" t="s">
        <v>8526</v>
      </c>
      <c r="E616" t="s">
        <v>8147</v>
      </c>
      <c r="F616" t="s">
        <v>8146</v>
      </c>
      <c r="G616">
        <v>3373</v>
      </c>
      <c r="H616">
        <v>3373</v>
      </c>
      <c r="I616">
        <v>3373</v>
      </c>
      <c r="J616">
        <v>3373</v>
      </c>
      <c r="L616" s="3">
        <v>0</v>
      </c>
      <c r="M616" s="3">
        <v>0</v>
      </c>
      <c r="N616" s="3">
        <v>0</v>
      </c>
      <c r="O616" s="3">
        <v>18.89</v>
      </c>
      <c r="P616" s="3">
        <v>0</v>
      </c>
      <c r="Q616" s="3">
        <v>0</v>
      </c>
      <c r="R616" s="3">
        <v>0</v>
      </c>
      <c r="S616" s="3">
        <v>0</v>
      </c>
      <c r="T616" s="3">
        <v>0</v>
      </c>
      <c r="U616" s="3">
        <v>18.89</v>
      </c>
      <c r="V616" t="s">
        <v>55</v>
      </c>
    </row>
    <row r="617" spans="1:22" hidden="1" x14ac:dyDescent="0.25">
      <c r="A617" t="s">
        <v>8607</v>
      </c>
      <c r="B617" t="s">
        <v>8622</v>
      </c>
      <c r="C617" t="s">
        <v>1</v>
      </c>
      <c r="D617" t="s">
        <v>8526</v>
      </c>
      <c r="E617" t="s">
        <v>8147</v>
      </c>
      <c r="F617" t="s">
        <v>8146</v>
      </c>
      <c r="G617">
        <v>3374</v>
      </c>
      <c r="H617">
        <v>3374</v>
      </c>
      <c r="I617">
        <v>3374</v>
      </c>
      <c r="J617">
        <v>3374</v>
      </c>
      <c r="L617" s="3">
        <v>0</v>
      </c>
      <c r="M617" s="3">
        <v>0</v>
      </c>
      <c r="N617" s="3">
        <v>0</v>
      </c>
      <c r="O617" s="3">
        <v>12.43</v>
      </c>
      <c r="P617" s="3">
        <v>0</v>
      </c>
      <c r="Q617" s="3">
        <v>0</v>
      </c>
      <c r="R617" s="3">
        <v>0</v>
      </c>
      <c r="S617" s="3">
        <v>0</v>
      </c>
      <c r="T617" s="3">
        <v>0</v>
      </c>
      <c r="U617" s="3">
        <v>12.43</v>
      </c>
      <c r="V617" t="s">
        <v>55</v>
      </c>
    </row>
    <row r="618" spans="1:22" hidden="1" x14ac:dyDescent="0.25">
      <c r="A618" t="s">
        <v>8607</v>
      </c>
      <c r="B618" t="s">
        <v>8622</v>
      </c>
      <c r="C618" t="s">
        <v>1</v>
      </c>
      <c r="D618" t="s">
        <v>8526</v>
      </c>
      <c r="E618" t="s">
        <v>8147</v>
      </c>
      <c r="F618" t="s">
        <v>8146</v>
      </c>
      <c r="G618">
        <v>3375</v>
      </c>
      <c r="H618">
        <v>3375</v>
      </c>
      <c r="I618">
        <v>3375</v>
      </c>
      <c r="J618">
        <v>3375</v>
      </c>
      <c r="L618" s="3">
        <v>0</v>
      </c>
      <c r="M618" s="3">
        <v>0</v>
      </c>
      <c r="N618" s="3">
        <v>0</v>
      </c>
      <c r="O618" s="3">
        <v>34.26</v>
      </c>
      <c r="P618" s="3">
        <v>0</v>
      </c>
      <c r="Q618" s="3">
        <v>0</v>
      </c>
      <c r="R618" s="3">
        <v>0</v>
      </c>
      <c r="S618" s="3">
        <v>0</v>
      </c>
      <c r="T618" s="3">
        <v>0</v>
      </c>
      <c r="U618" s="3">
        <v>34.26</v>
      </c>
      <c r="V618" t="s">
        <v>55</v>
      </c>
    </row>
    <row r="619" spans="1:22" hidden="1" x14ac:dyDescent="0.25">
      <c r="A619" t="s">
        <v>8607</v>
      </c>
      <c r="B619" t="s">
        <v>8622</v>
      </c>
      <c r="C619" t="s">
        <v>1</v>
      </c>
      <c r="D619" t="s">
        <v>8526</v>
      </c>
      <c r="E619" t="s">
        <v>8147</v>
      </c>
      <c r="F619" t="s">
        <v>8146</v>
      </c>
      <c r="G619">
        <v>3376</v>
      </c>
      <c r="H619">
        <v>3376</v>
      </c>
      <c r="I619">
        <v>3376</v>
      </c>
      <c r="J619">
        <v>3376</v>
      </c>
      <c r="L619" s="3">
        <v>0</v>
      </c>
      <c r="M619" s="3">
        <v>0</v>
      </c>
      <c r="N619" s="3">
        <v>0</v>
      </c>
      <c r="O619" s="3">
        <v>27.63</v>
      </c>
      <c r="P619" s="3">
        <v>0</v>
      </c>
      <c r="Q619" s="3">
        <v>0</v>
      </c>
      <c r="R619" s="3">
        <v>0</v>
      </c>
      <c r="S619" s="3">
        <v>0</v>
      </c>
      <c r="T619" s="3">
        <v>0</v>
      </c>
      <c r="U619" s="3">
        <v>27.63</v>
      </c>
      <c r="V619" t="s">
        <v>55</v>
      </c>
    </row>
    <row r="620" spans="1:22" hidden="1" x14ac:dyDescent="0.25">
      <c r="A620" t="s">
        <v>8607</v>
      </c>
      <c r="B620" t="s">
        <v>8622</v>
      </c>
      <c r="C620" t="s">
        <v>1</v>
      </c>
      <c r="D620" t="s">
        <v>8526</v>
      </c>
      <c r="E620" t="s">
        <v>8147</v>
      </c>
      <c r="F620" t="s">
        <v>8146</v>
      </c>
      <c r="G620">
        <v>3377</v>
      </c>
      <c r="H620">
        <v>3377</v>
      </c>
      <c r="I620">
        <v>3377</v>
      </c>
      <c r="J620">
        <v>3377</v>
      </c>
      <c r="L620" s="3">
        <v>0</v>
      </c>
      <c r="M620" s="3">
        <v>0</v>
      </c>
      <c r="N620" s="3">
        <v>0</v>
      </c>
      <c r="O620" s="3">
        <v>514.73</v>
      </c>
      <c r="P620" s="3">
        <v>0</v>
      </c>
      <c r="Q620" s="3">
        <v>0</v>
      </c>
      <c r="R620" s="3">
        <v>0</v>
      </c>
      <c r="S620" s="3">
        <v>0</v>
      </c>
      <c r="T620" s="3">
        <v>0</v>
      </c>
      <c r="U620" s="3">
        <v>514.73</v>
      </c>
      <c r="V620" t="s">
        <v>55</v>
      </c>
    </row>
    <row r="621" spans="1:22" hidden="1" x14ac:dyDescent="0.25">
      <c r="A621" t="s">
        <v>8607</v>
      </c>
      <c r="B621" t="s">
        <v>8621</v>
      </c>
      <c r="C621" t="s">
        <v>1</v>
      </c>
      <c r="D621" t="s">
        <v>8526</v>
      </c>
      <c r="E621" t="s">
        <v>8147</v>
      </c>
      <c r="F621" t="s">
        <v>8146</v>
      </c>
      <c r="G621">
        <v>3378</v>
      </c>
      <c r="H621">
        <v>3378</v>
      </c>
      <c r="I621">
        <v>3378</v>
      </c>
      <c r="J621">
        <v>3378</v>
      </c>
      <c r="L621" s="3">
        <v>0</v>
      </c>
      <c r="M621" s="3">
        <v>0</v>
      </c>
      <c r="N621" s="3">
        <v>0</v>
      </c>
      <c r="O621" s="3">
        <v>630.1</v>
      </c>
      <c r="P621" s="3">
        <v>0</v>
      </c>
      <c r="Q621" s="3">
        <v>0</v>
      </c>
      <c r="R621" s="3">
        <v>0</v>
      </c>
      <c r="S621" s="3">
        <v>0</v>
      </c>
      <c r="T621" s="3">
        <v>0</v>
      </c>
      <c r="U621" s="3">
        <v>630.1</v>
      </c>
      <c r="V621" t="s">
        <v>55</v>
      </c>
    </row>
    <row r="622" spans="1:22" hidden="1" x14ac:dyDescent="0.25">
      <c r="A622" t="s">
        <v>8607</v>
      </c>
      <c r="B622" t="s">
        <v>8621</v>
      </c>
      <c r="C622" t="s">
        <v>1</v>
      </c>
      <c r="D622" t="s">
        <v>8526</v>
      </c>
      <c r="E622" t="s">
        <v>8147</v>
      </c>
      <c r="F622" t="s">
        <v>8146</v>
      </c>
      <c r="G622">
        <v>3379</v>
      </c>
      <c r="H622">
        <v>3379</v>
      </c>
      <c r="I622">
        <v>3379</v>
      </c>
      <c r="J622">
        <v>3379</v>
      </c>
      <c r="L622" s="3">
        <v>0</v>
      </c>
      <c r="M622" s="3">
        <v>0</v>
      </c>
      <c r="N622" s="3">
        <v>0</v>
      </c>
      <c r="O622" s="3">
        <v>96</v>
      </c>
      <c r="P622" s="3">
        <v>0</v>
      </c>
      <c r="Q622" s="3">
        <v>0</v>
      </c>
      <c r="R622" s="3">
        <v>0</v>
      </c>
      <c r="S622" s="3">
        <v>0</v>
      </c>
      <c r="T622" s="3">
        <v>0</v>
      </c>
      <c r="U622" s="3">
        <v>96</v>
      </c>
      <c r="V622" t="s">
        <v>55</v>
      </c>
    </row>
    <row r="623" spans="1:22" hidden="1" x14ac:dyDescent="0.25">
      <c r="A623" t="s">
        <v>8607</v>
      </c>
      <c r="B623" t="s">
        <v>8621</v>
      </c>
      <c r="C623" t="s">
        <v>1</v>
      </c>
      <c r="D623" t="s">
        <v>8526</v>
      </c>
      <c r="E623" t="s">
        <v>8147</v>
      </c>
      <c r="F623" t="s">
        <v>8146</v>
      </c>
      <c r="G623">
        <v>3380</v>
      </c>
      <c r="H623">
        <v>3380</v>
      </c>
      <c r="I623">
        <v>3380</v>
      </c>
      <c r="J623">
        <v>3380</v>
      </c>
      <c r="L623" s="3">
        <v>0</v>
      </c>
      <c r="M623" s="3">
        <v>0</v>
      </c>
      <c r="N623" s="3">
        <v>0</v>
      </c>
      <c r="O623" s="3">
        <v>86.58</v>
      </c>
      <c r="P623" s="3">
        <v>0</v>
      </c>
      <c r="Q623" s="3">
        <v>0</v>
      </c>
      <c r="R623" s="3">
        <v>0</v>
      </c>
      <c r="S623" s="3">
        <v>0</v>
      </c>
      <c r="T623" s="3">
        <v>0</v>
      </c>
      <c r="U623" s="3">
        <v>86.58</v>
      </c>
      <c r="V623" t="s">
        <v>55</v>
      </c>
    </row>
    <row r="624" spans="1:22" hidden="1" x14ac:dyDescent="0.25">
      <c r="A624" t="s">
        <v>8607</v>
      </c>
      <c r="B624" t="s">
        <v>8620</v>
      </c>
      <c r="C624" t="s">
        <v>1</v>
      </c>
      <c r="D624" t="s">
        <v>8526</v>
      </c>
      <c r="E624" t="s">
        <v>8147</v>
      </c>
      <c r="F624" t="s">
        <v>8146</v>
      </c>
      <c r="G624">
        <v>3381</v>
      </c>
      <c r="H624">
        <v>3381</v>
      </c>
      <c r="I624">
        <v>3381</v>
      </c>
      <c r="J624">
        <v>3381</v>
      </c>
      <c r="L624" s="3">
        <v>0</v>
      </c>
      <c r="M624" s="3">
        <v>0</v>
      </c>
      <c r="N624" s="3">
        <v>0</v>
      </c>
      <c r="O624" s="3">
        <v>23.04</v>
      </c>
      <c r="P624" s="3">
        <v>0</v>
      </c>
      <c r="Q624" s="3">
        <v>0</v>
      </c>
      <c r="R624" s="3">
        <v>0</v>
      </c>
      <c r="S624" s="3">
        <v>0</v>
      </c>
      <c r="T624" s="3">
        <v>0</v>
      </c>
      <c r="U624" s="3">
        <v>23.04</v>
      </c>
      <c r="V624" t="s">
        <v>55</v>
      </c>
    </row>
    <row r="625" spans="1:22" hidden="1" x14ac:dyDescent="0.25">
      <c r="A625" t="s">
        <v>8607</v>
      </c>
      <c r="B625" t="s">
        <v>8619</v>
      </c>
      <c r="C625" t="s">
        <v>1</v>
      </c>
      <c r="D625" t="s">
        <v>8526</v>
      </c>
      <c r="E625" t="s">
        <v>8147</v>
      </c>
      <c r="F625" t="s">
        <v>8146</v>
      </c>
      <c r="G625">
        <v>3382</v>
      </c>
      <c r="H625">
        <v>3382</v>
      </c>
      <c r="I625">
        <v>3382</v>
      </c>
      <c r="J625">
        <v>3382</v>
      </c>
      <c r="L625" s="3">
        <v>0</v>
      </c>
      <c r="M625" s="3">
        <v>0</v>
      </c>
      <c r="N625" s="3">
        <v>0</v>
      </c>
      <c r="O625" s="3">
        <v>275.04000000000002</v>
      </c>
      <c r="P625" s="3">
        <v>0</v>
      </c>
      <c r="Q625" s="3">
        <v>0</v>
      </c>
      <c r="R625" s="3">
        <v>0</v>
      </c>
      <c r="S625" s="3">
        <v>0</v>
      </c>
      <c r="T625" s="3">
        <v>0</v>
      </c>
      <c r="U625" s="3">
        <v>275.04000000000002</v>
      </c>
      <c r="V625" t="s">
        <v>55</v>
      </c>
    </row>
    <row r="626" spans="1:22" hidden="1" x14ac:dyDescent="0.25">
      <c r="A626" t="s">
        <v>8607</v>
      </c>
      <c r="B626" t="s">
        <v>8619</v>
      </c>
      <c r="C626" t="s">
        <v>1</v>
      </c>
      <c r="D626" t="s">
        <v>8526</v>
      </c>
      <c r="E626" t="s">
        <v>8147</v>
      </c>
      <c r="F626" t="s">
        <v>8146</v>
      </c>
      <c r="G626">
        <v>3383</v>
      </c>
      <c r="H626">
        <v>3383</v>
      </c>
      <c r="I626">
        <v>3383</v>
      </c>
      <c r="J626">
        <v>3383</v>
      </c>
      <c r="L626" s="3">
        <v>0</v>
      </c>
      <c r="M626" s="3">
        <v>0</v>
      </c>
      <c r="N626" s="3">
        <v>0</v>
      </c>
      <c r="O626" s="3">
        <v>34</v>
      </c>
      <c r="P626" s="3">
        <v>0</v>
      </c>
      <c r="Q626" s="3">
        <v>0</v>
      </c>
      <c r="R626" s="3">
        <v>0</v>
      </c>
      <c r="S626" s="3">
        <v>0</v>
      </c>
      <c r="T626" s="3">
        <v>0</v>
      </c>
      <c r="U626" s="3">
        <v>34</v>
      </c>
      <c r="V626" t="s">
        <v>55</v>
      </c>
    </row>
    <row r="627" spans="1:22" hidden="1" x14ac:dyDescent="0.25">
      <c r="A627" t="s">
        <v>8607</v>
      </c>
      <c r="B627" t="s">
        <v>8619</v>
      </c>
      <c r="C627" t="s">
        <v>1</v>
      </c>
      <c r="D627" t="s">
        <v>8526</v>
      </c>
      <c r="E627" t="s">
        <v>8147</v>
      </c>
      <c r="F627" t="s">
        <v>8146</v>
      </c>
      <c r="G627">
        <v>3384</v>
      </c>
      <c r="H627">
        <v>3384</v>
      </c>
      <c r="I627">
        <v>3384</v>
      </c>
      <c r="J627">
        <v>3384</v>
      </c>
      <c r="L627" s="3">
        <v>0</v>
      </c>
      <c r="M627" s="3">
        <v>0</v>
      </c>
      <c r="N627" s="3">
        <v>0</v>
      </c>
      <c r="O627" s="3">
        <v>8.2200000000000006</v>
      </c>
      <c r="P627" s="3">
        <v>0</v>
      </c>
      <c r="Q627" s="3">
        <v>0</v>
      </c>
      <c r="R627" s="3">
        <v>0</v>
      </c>
      <c r="S627" s="3">
        <v>0</v>
      </c>
      <c r="T627" s="3">
        <v>0</v>
      </c>
      <c r="U627" s="3">
        <v>8.2200000000000006</v>
      </c>
      <c r="V627" t="s">
        <v>55</v>
      </c>
    </row>
    <row r="628" spans="1:22" hidden="1" x14ac:dyDescent="0.25">
      <c r="A628" t="s">
        <v>8607</v>
      </c>
      <c r="B628" t="s">
        <v>8618</v>
      </c>
      <c r="C628" t="s">
        <v>1</v>
      </c>
      <c r="D628" t="s">
        <v>8526</v>
      </c>
      <c r="E628" t="s">
        <v>8147</v>
      </c>
      <c r="F628" t="s">
        <v>8146</v>
      </c>
      <c r="G628">
        <v>3385</v>
      </c>
      <c r="H628">
        <v>3385</v>
      </c>
      <c r="I628">
        <v>3385</v>
      </c>
      <c r="J628">
        <v>3385</v>
      </c>
      <c r="L628" s="3">
        <v>0</v>
      </c>
      <c r="M628" s="3">
        <v>0</v>
      </c>
      <c r="N628" s="3">
        <v>0</v>
      </c>
      <c r="O628" s="3">
        <v>46.12</v>
      </c>
      <c r="P628" s="3">
        <v>0</v>
      </c>
      <c r="Q628" s="3">
        <v>0</v>
      </c>
      <c r="R628" s="3">
        <v>0</v>
      </c>
      <c r="S628" s="3">
        <v>0</v>
      </c>
      <c r="T628" s="3">
        <v>0</v>
      </c>
      <c r="U628" s="3">
        <v>46.12</v>
      </c>
      <c r="V628" t="s">
        <v>55</v>
      </c>
    </row>
    <row r="629" spans="1:22" hidden="1" x14ac:dyDescent="0.25">
      <c r="A629" t="s">
        <v>8607</v>
      </c>
      <c r="B629" t="s">
        <v>8618</v>
      </c>
      <c r="C629" t="s">
        <v>1</v>
      </c>
      <c r="D629" t="s">
        <v>8526</v>
      </c>
      <c r="E629" t="s">
        <v>8147</v>
      </c>
      <c r="F629" t="s">
        <v>8146</v>
      </c>
      <c r="G629">
        <v>3383</v>
      </c>
      <c r="H629">
        <v>3383</v>
      </c>
      <c r="I629">
        <v>3383</v>
      </c>
      <c r="J629">
        <v>3383</v>
      </c>
      <c r="L629" s="3">
        <v>0</v>
      </c>
      <c r="M629" s="3">
        <v>0</v>
      </c>
      <c r="N629" s="3">
        <v>0</v>
      </c>
      <c r="O629" s="3">
        <v>127.5</v>
      </c>
      <c r="P629" s="3">
        <v>0</v>
      </c>
      <c r="Q629" s="3">
        <v>0</v>
      </c>
      <c r="R629" s="3">
        <v>0</v>
      </c>
      <c r="S629" s="3">
        <v>0</v>
      </c>
      <c r="T629" s="3">
        <v>0</v>
      </c>
      <c r="U629" s="3">
        <v>127.5</v>
      </c>
      <c r="V629" t="s">
        <v>55</v>
      </c>
    </row>
    <row r="630" spans="1:22" hidden="1" x14ac:dyDescent="0.25">
      <c r="A630" t="s">
        <v>8607</v>
      </c>
      <c r="B630" t="s">
        <v>8618</v>
      </c>
      <c r="C630" t="s">
        <v>1</v>
      </c>
      <c r="D630" t="s">
        <v>8526</v>
      </c>
      <c r="E630" t="s">
        <v>8147</v>
      </c>
      <c r="F630" t="s">
        <v>8146</v>
      </c>
      <c r="G630">
        <v>3387</v>
      </c>
      <c r="H630">
        <v>3387</v>
      </c>
      <c r="I630">
        <v>3387</v>
      </c>
      <c r="J630">
        <v>3387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3">
        <v>0</v>
      </c>
      <c r="T630" s="3">
        <v>0</v>
      </c>
      <c r="U630" s="3">
        <v>0</v>
      </c>
      <c r="V630" t="s">
        <v>55</v>
      </c>
    </row>
    <row r="631" spans="1:22" hidden="1" x14ac:dyDescent="0.25">
      <c r="A631" t="s">
        <v>8607</v>
      </c>
      <c r="B631" t="s">
        <v>8618</v>
      </c>
      <c r="C631" t="s">
        <v>1</v>
      </c>
      <c r="D631" t="s">
        <v>8526</v>
      </c>
      <c r="E631" t="s">
        <v>8147</v>
      </c>
      <c r="F631" t="s">
        <v>8146</v>
      </c>
      <c r="G631">
        <v>3388</v>
      </c>
      <c r="H631">
        <v>3388</v>
      </c>
      <c r="I631">
        <v>3388</v>
      </c>
      <c r="J631">
        <v>3388</v>
      </c>
      <c r="L631" s="3">
        <v>0</v>
      </c>
      <c r="M631" s="3">
        <v>0</v>
      </c>
      <c r="N631" s="3">
        <v>0</v>
      </c>
      <c r="O631" s="3">
        <v>11.24</v>
      </c>
      <c r="P631" s="3">
        <v>0</v>
      </c>
      <c r="Q631" s="3">
        <v>0</v>
      </c>
      <c r="R631" s="3">
        <v>0</v>
      </c>
      <c r="S631" s="3">
        <v>0</v>
      </c>
      <c r="T631" s="3">
        <v>0</v>
      </c>
      <c r="U631" s="3">
        <v>11.24</v>
      </c>
      <c r="V631" t="s">
        <v>55</v>
      </c>
    </row>
    <row r="632" spans="1:22" hidden="1" x14ac:dyDescent="0.25">
      <c r="A632" t="s">
        <v>8607</v>
      </c>
      <c r="B632" t="s">
        <v>8618</v>
      </c>
      <c r="C632" t="s">
        <v>1</v>
      </c>
      <c r="D632" t="s">
        <v>8526</v>
      </c>
      <c r="E632" t="s">
        <v>8147</v>
      </c>
      <c r="F632" t="s">
        <v>8146</v>
      </c>
      <c r="G632">
        <v>3389</v>
      </c>
      <c r="H632">
        <v>3389</v>
      </c>
      <c r="I632">
        <v>3389</v>
      </c>
      <c r="J632">
        <v>3389</v>
      </c>
      <c r="L632" s="3">
        <v>0</v>
      </c>
      <c r="M632" s="3">
        <v>0</v>
      </c>
      <c r="N632" s="3">
        <v>0</v>
      </c>
      <c r="O632" s="3">
        <v>180.4</v>
      </c>
      <c r="P632" s="3">
        <v>0</v>
      </c>
      <c r="Q632" s="3">
        <v>0</v>
      </c>
      <c r="R632" s="3">
        <v>0</v>
      </c>
      <c r="S632" s="3">
        <v>0</v>
      </c>
      <c r="T632" s="3">
        <v>0</v>
      </c>
      <c r="U632" s="3">
        <v>180.4</v>
      </c>
      <c r="V632" t="s">
        <v>55</v>
      </c>
    </row>
    <row r="633" spans="1:22" hidden="1" x14ac:dyDescent="0.25">
      <c r="A633" t="s">
        <v>8607</v>
      </c>
      <c r="B633" t="s">
        <v>8618</v>
      </c>
      <c r="C633" t="s">
        <v>1</v>
      </c>
      <c r="D633" t="s">
        <v>8526</v>
      </c>
      <c r="E633" t="s">
        <v>8147</v>
      </c>
      <c r="F633" t="s">
        <v>8146</v>
      </c>
      <c r="G633">
        <v>3390</v>
      </c>
      <c r="H633">
        <v>3390</v>
      </c>
      <c r="I633">
        <v>3390</v>
      </c>
      <c r="J633">
        <v>3390</v>
      </c>
      <c r="L633" s="3">
        <v>0</v>
      </c>
      <c r="M633" s="3">
        <v>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3">
        <v>0</v>
      </c>
      <c r="T633" s="3">
        <v>0</v>
      </c>
      <c r="U633" s="3">
        <v>0</v>
      </c>
      <c r="V633" t="s">
        <v>55</v>
      </c>
    </row>
    <row r="634" spans="1:22" hidden="1" x14ac:dyDescent="0.25">
      <c r="A634" t="s">
        <v>8607</v>
      </c>
      <c r="B634" t="s">
        <v>8618</v>
      </c>
      <c r="C634" t="s">
        <v>1</v>
      </c>
      <c r="D634" t="s">
        <v>8526</v>
      </c>
      <c r="E634" t="s">
        <v>8147</v>
      </c>
      <c r="F634" t="s">
        <v>8146</v>
      </c>
      <c r="G634">
        <v>3391</v>
      </c>
      <c r="H634">
        <v>3391</v>
      </c>
      <c r="I634">
        <v>3391</v>
      </c>
      <c r="J634">
        <v>3391</v>
      </c>
      <c r="L634" s="3">
        <v>0</v>
      </c>
      <c r="M634" s="3">
        <v>0</v>
      </c>
      <c r="N634" s="3">
        <v>0</v>
      </c>
      <c r="O634" s="3">
        <v>6</v>
      </c>
      <c r="P634" s="3">
        <v>0</v>
      </c>
      <c r="Q634" s="3">
        <v>0</v>
      </c>
      <c r="R634" s="3">
        <v>0</v>
      </c>
      <c r="S634" s="3">
        <v>0</v>
      </c>
      <c r="T634" s="3">
        <v>0</v>
      </c>
      <c r="U634" s="3">
        <v>6</v>
      </c>
      <c r="V634" t="s">
        <v>55</v>
      </c>
    </row>
    <row r="635" spans="1:22" hidden="1" x14ac:dyDescent="0.25">
      <c r="A635" t="s">
        <v>8607</v>
      </c>
      <c r="B635" t="s">
        <v>8618</v>
      </c>
      <c r="C635" t="s">
        <v>1</v>
      </c>
      <c r="D635" t="s">
        <v>8526</v>
      </c>
      <c r="E635" t="s">
        <v>8147</v>
      </c>
      <c r="F635" t="s">
        <v>8146</v>
      </c>
      <c r="G635">
        <v>3392</v>
      </c>
      <c r="H635">
        <v>3392</v>
      </c>
      <c r="I635">
        <v>3392</v>
      </c>
      <c r="J635">
        <v>3392</v>
      </c>
      <c r="L635" s="3">
        <v>0</v>
      </c>
      <c r="M635" s="3">
        <v>0</v>
      </c>
      <c r="N635" s="3">
        <v>0</v>
      </c>
      <c r="O635" s="3">
        <v>17.399999999999999</v>
      </c>
      <c r="P635" s="3">
        <v>0</v>
      </c>
      <c r="Q635" s="3">
        <v>0</v>
      </c>
      <c r="R635" s="3">
        <v>0</v>
      </c>
      <c r="S635" s="3">
        <v>0</v>
      </c>
      <c r="T635" s="3">
        <v>0</v>
      </c>
      <c r="U635" s="3">
        <v>17.399999999999999</v>
      </c>
      <c r="V635" t="s">
        <v>55</v>
      </c>
    </row>
    <row r="636" spans="1:22" hidden="1" x14ac:dyDescent="0.25">
      <c r="A636" t="s">
        <v>8607</v>
      </c>
      <c r="B636" t="s">
        <v>8617</v>
      </c>
      <c r="C636" t="s">
        <v>1</v>
      </c>
      <c r="D636" t="s">
        <v>8526</v>
      </c>
      <c r="E636" t="s">
        <v>8147</v>
      </c>
      <c r="F636" t="s">
        <v>8146</v>
      </c>
      <c r="G636">
        <v>3393</v>
      </c>
      <c r="H636">
        <v>3393</v>
      </c>
      <c r="I636">
        <v>3393</v>
      </c>
      <c r="J636">
        <v>3393</v>
      </c>
      <c r="L636" s="3">
        <v>0</v>
      </c>
      <c r="M636" s="3">
        <v>0</v>
      </c>
      <c r="N636" s="3">
        <v>0</v>
      </c>
      <c r="O636" s="3">
        <v>45.1</v>
      </c>
      <c r="P636" s="3">
        <v>0</v>
      </c>
      <c r="Q636" s="3">
        <v>0</v>
      </c>
      <c r="R636" s="3">
        <v>0</v>
      </c>
      <c r="S636" s="3">
        <v>0</v>
      </c>
      <c r="T636" s="3">
        <v>0</v>
      </c>
      <c r="U636" s="3">
        <v>45.1</v>
      </c>
      <c r="V636" t="s">
        <v>55</v>
      </c>
    </row>
    <row r="637" spans="1:22" hidden="1" x14ac:dyDescent="0.25">
      <c r="A637" t="s">
        <v>8607</v>
      </c>
      <c r="B637" t="s">
        <v>8617</v>
      </c>
      <c r="C637" t="s">
        <v>1</v>
      </c>
      <c r="D637" t="s">
        <v>8526</v>
      </c>
      <c r="E637" t="s">
        <v>8147</v>
      </c>
      <c r="F637" t="s">
        <v>8146</v>
      </c>
      <c r="G637">
        <v>3394</v>
      </c>
      <c r="H637">
        <v>3394</v>
      </c>
      <c r="I637">
        <v>3394</v>
      </c>
      <c r="J637">
        <v>3394</v>
      </c>
      <c r="L637" s="3">
        <v>0</v>
      </c>
      <c r="M637" s="3">
        <v>0</v>
      </c>
      <c r="N637" s="3">
        <v>0</v>
      </c>
      <c r="O637" s="3">
        <v>382.5</v>
      </c>
      <c r="P637" s="3">
        <v>0</v>
      </c>
      <c r="Q637" s="3">
        <v>0</v>
      </c>
      <c r="R637" s="3">
        <v>0</v>
      </c>
      <c r="S637" s="3">
        <v>0</v>
      </c>
      <c r="T637" s="3">
        <v>0</v>
      </c>
      <c r="U637" s="3">
        <v>382.5</v>
      </c>
      <c r="V637" t="s">
        <v>55</v>
      </c>
    </row>
    <row r="638" spans="1:22" hidden="1" x14ac:dyDescent="0.25">
      <c r="A638" t="s">
        <v>8607</v>
      </c>
      <c r="B638" t="s">
        <v>8617</v>
      </c>
      <c r="C638" t="s">
        <v>1</v>
      </c>
      <c r="D638" t="s">
        <v>8526</v>
      </c>
      <c r="E638" t="s">
        <v>8147</v>
      </c>
      <c r="F638" t="s">
        <v>8146</v>
      </c>
      <c r="G638">
        <v>3395</v>
      </c>
      <c r="H638">
        <v>3395</v>
      </c>
      <c r="I638">
        <v>3395</v>
      </c>
      <c r="J638">
        <v>3395</v>
      </c>
      <c r="L638" s="3">
        <v>0</v>
      </c>
      <c r="M638" s="3">
        <v>0</v>
      </c>
      <c r="N638" s="3">
        <v>0</v>
      </c>
      <c r="O638" s="3">
        <v>221.2</v>
      </c>
      <c r="P638" s="3">
        <v>0</v>
      </c>
      <c r="Q638" s="3">
        <v>0</v>
      </c>
      <c r="R638" s="3">
        <v>0</v>
      </c>
      <c r="S638" s="3">
        <v>0</v>
      </c>
      <c r="T638" s="3">
        <v>0</v>
      </c>
      <c r="U638" s="3">
        <v>221.2</v>
      </c>
      <c r="V638" t="s">
        <v>55</v>
      </c>
    </row>
    <row r="639" spans="1:22" hidden="1" x14ac:dyDescent="0.25">
      <c r="A639" t="s">
        <v>8607</v>
      </c>
      <c r="B639" t="s">
        <v>8616</v>
      </c>
      <c r="C639" t="s">
        <v>1</v>
      </c>
      <c r="D639" t="s">
        <v>8526</v>
      </c>
      <c r="E639" t="s">
        <v>8147</v>
      </c>
      <c r="F639" t="s">
        <v>8146</v>
      </c>
      <c r="G639">
        <v>3396</v>
      </c>
      <c r="H639">
        <v>3396</v>
      </c>
      <c r="I639">
        <v>3396</v>
      </c>
      <c r="J639">
        <v>3396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3">
        <v>0</v>
      </c>
      <c r="T639" s="3">
        <v>0</v>
      </c>
      <c r="U639" s="3">
        <v>0</v>
      </c>
      <c r="V639" t="s">
        <v>55</v>
      </c>
    </row>
    <row r="640" spans="1:22" hidden="1" x14ac:dyDescent="0.25">
      <c r="A640" t="s">
        <v>8607</v>
      </c>
      <c r="B640" t="s">
        <v>8616</v>
      </c>
      <c r="C640" t="s">
        <v>1</v>
      </c>
      <c r="D640" t="s">
        <v>8526</v>
      </c>
      <c r="E640" t="s">
        <v>8147</v>
      </c>
      <c r="F640" t="s">
        <v>8146</v>
      </c>
      <c r="G640">
        <v>3397</v>
      </c>
      <c r="H640">
        <v>3397</v>
      </c>
      <c r="I640">
        <v>3397</v>
      </c>
      <c r="J640">
        <v>3397</v>
      </c>
      <c r="L640" s="3">
        <v>0</v>
      </c>
      <c r="M640" s="3">
        <v>0</v>
      </c>
      <c r="N640" s="3">
        <v>0</v>
      </c>
      <c r="O640" s="3">
        <v>300</v>
      </c>
      <c r="P640" s="3">
        <v>0</v>
      </c>
      <c r="Q640" s="3">
        <v>0</v>
      </c>
      <c r="R640" s="3">
        <v>0</v>
      </c>
      <c r="S640" s="3">
        <v>0</v>
      </c>
      <c r="T640" s="3">
        <v>0</v>
      </c>
      <c r="U640" s="3">
        <v>300</v>
      </c>
      <c r="V640" t="s">
        <v>55</v>
      </c>
    </row>
    <row r="641" spans="1:22" hidden="1" x14ac:dyDescent="0.25">
      <c r="A641" t="s">
        <v>8607</v>
      </c>
      <c r="B641" t="s">
        <v>8616</v>
      </c>
      <c r="C641" t="s">
        <v>1</v>
      </c>
      <c r="D641" t="s">
        <v>8526</v>
      </c>
      <c r="E641" t="s">
        <v>8147</v>
      </c>
      <c r="F641" t="s">
        <v>8146</v>
      </c>
      <c r="G641">
        <v>3398</v>
      </c>
      <c r="H641">
        <v>3398</v>
      </c>
      <c r="I641">
        <v>3398</v>
      </c>
      <c r="J641">
        <v>3398</v>
      </c>
      <c r="L641" s="3">
        <v>0</v>
      </c>
      <c r="M641" s="3">
        <v>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3">
        <v>0</v>
      </c>
      <c r="T641" s="3">
        <v>0</v>
      </c>
      <c r="U641" s="3">
        <v>0</v>
      </c>
      <c r="V641" t="s">
        <v>55</v>
      </c>
    </row>
    <row r="642" spans="1:22" hidden="1" x14ac:dyDescent="0.25">
      <c r="A642" t="s">
        <v>8607</v>
      </c>
      <c r="B642" t="s">
        <v>8616</v>
      </c>
      <c r="C642" t="s">
        <v>1</v>
      </c>
      <c r="D642" t="s">
        <v>8526</v>
      </c>
      <c r="E642" t="s">
        <v>8147</v>
      </c>
      <c r="F642" t="s">
        <v>8146</v>
      </c>
      <c r="G642">
        <v>3399</v>
      </c>
      <c r="H642">
        <v>3399</v>
      </c>
      <c r="I642">
        <v>3399</v>
      </c>
      <c r="J642">
        <v>3399</v>
      </c>
      <c r="L642" s="3">
        <v>0</v>
      </c>
      <c r="M642" s="3">
        <v>0</v>
      </c>
      <c r="N642" s="3">
        <v>0</v>
      </c>
      <c r="O642" s="3">
        <v>96</v>
      </c>
      <c r="P642" s="3">
        <v>0</v>
      </c>
      <c r="Q642" s="3">
        <v>0</v>
      </c>
      <c r="R642" s="3">
        <v>0</v>
      </c>
      <c r="S642" s="3">
        <v>0</v>
      </c>
      <c r="T642" s="3">
        <v>0</v>
      </c>
      <c r="U642" s="3">
        <v>96</v>
      </c>
      <c r="V642" t="s">
        <v>55</v>
      </c>
    </row>
    <row r="643" spans="1:22" hidden="1" x14ac:dyDescent="0.25">
      <c r="A643" t="s">
        <v>8607</v>
      </c>
      <c r="B643" t="s">
        <v>8616</v>
      </c>
      <c r="C643" t="s">
        <v>1</v>
      </c>
      <c r="D643" t="s">
        <v>8526</v>
      </c>
      <c r="E643" t="s">
        <v>8147</v>
      </c>
      <c r="F643" t="s">
        <v>8146</v>
      </c>
      <c r="G643">
        <v>3400</v>
      </c>
      <c r="H643">
        <v>3400</v>
      </c>
      <c r="I643">
        <v>3400</v>
      </c>
      <c r="J643">
        <v>3400</v>
      </c>
      <c r="L643" s="3">
        <v>0</v>
      </c>
      <c r="M643" s="3">
        <v>0</v>
      </c>
      <c r="N643" s="3">
        <v>0</v>
      </c>
      <c r="O643" s="3">
        <v>495.92</v>
      </c>
      <c r="P643" s="3">
        <v>0</v>
      </c>
      <c r="Q643" s="3">
        <v>0</v>
      </c>
      <c r="R643" s="3">
        <v>0</v>
      </c>
      <c r="S643" s="3">
        <v>0</v>
      </c>
      <c r="T643" s="3">
        <v>0</v>
      </c>
      <c r="U643" s="3">
        <v>495.92</v>
      </c>
      <c r="V643" t="s">
        <v>55</v>
      </c>
    </row>
    <row r="644" spans="1:22" hidden="1" x14ac:dyDescent="0.25">
      <c r="A644" t="s">
        <v>8607</v>
      </c>
      <c r="B644" t="s">
        <v>8616</v>
      </c>
      <c r="C644" t="s">
        <v>1</v>
      </c>
      <c r="D644" t="s">
        <v>8526</v>
      </c>
      <c r="E644" t="s">
        <v>8147</v>
      </c>
      <c r="F644" t="s">
        <v>8146</v>
      </c>
      <c r="G644">
        <v>3401</v>
      </c>
      <c r="H644">
        <v>3401</v>
      </c>
      <c r="I644">
        <v>3401</v>
      </c>
      <c r="J644">
        <v>3401</v>
      </c>
      <c r="L644" s="3">
        <v>0</v>
      </c>
      <c r="M644" s="3">
        <v>0</v>
      </c>
      <c r="N644" s="3">
        <v>0</v>
      </c>
      <c r="O644" s="3">
        <v>93.75</v>
      </c>
      <c r="P644" s="3">
        <v>0</v>
      </c>
      <c r="Q644" s="3">
        <v>0</v>
      </c>
      <c r="R644" s="3">
        <v>0</v>
      </c>
      <c r="S644" s="3">
        <v>0</v>
      </c>
      <c r="T644" s="3">
        <v>0</v>
      </c>
      <c r="U644" s="3">
        <v>93.75</v>
      </c>
      <c r="V644" t="s">
        <v>55</v>
      </c>
    </row>
    <row r="645" spans="1:22" hidden="1" x14ac:dyDescent="0.25">
      <c r="A645" t="s">
        <v>8607</v>
      </c>
      <c r="B645" t="s">
        <v>8616</v>
      </c>
      <c r="C645" t="s">
        <v>1</v>
      </c>
      <c r="D645" t="s">
        <v>8526</v>
      </c>
      <c r="E645" t="s">
        <v>8147</v>
      </c>
      <c r="F645" t="s">
        <v>8146</v>
      </c>
      <c r="G645">
        <v>3402</v>
      </c>
      <c r="H645">
        <v>3402</v>
      </c>
      <c r="I645">
        <v>3402</v>
      </c>
      <c r="J645">
        <v>3402</v>
      </c>
      <c r="L645" s="3">
        <v>0</v>
      </c>
      <c r="M645" s="3">
        <v>0</v>
      </c>
      <c r="N645" s="3">
        <v>0</v>
      </c>
      <c r="O645" s="3">
        <v>93.75</v>
      </c>
      <c r="P645" s="3">
        <v>0</v>
      </c>
      <c r="Q645" s="3">
        <v>0</v>
      </c>
      <c r="R645" s="3">
        <v>0</v>
      </c>
      <c r="S645" s="3">
        <v>0</v>
      </c>
      <c r="T645" s="3">
        <v>0</v>
      </c>
      <c r="U645" s="3">
        <v>93.75</v>
      </c>
      <c r="V645" t="s">
        <v>55</v>
      </c>
    </row>
    <row r="646" spans="1:22" hidden="1" x14ac:dyDescent="0.25">
      <c r="A646" t="s">
        <v>8607</v>
      </c>
      <c r="B646" t="s">
        <v>8616</v>
      </c>
      <c r="C646" t="s">
        <v>1</v>
      </c>
      <c r="D646" t="s">
        <v>8526</v>
      </c>
      <c r="E646" t="s">
        <v>8147</v>
      </c>
      <c r="F646" t="s">
        <v>8146</v>
      </c>
      <c r="G646">
        <v>3403</v>
      </c>
      <c r="H646">
        <v>3403</v>
      </c>
      <c r="I646">
        <v>3403</v>
      </c>
      <c r="J646">
        <v>3403</v>
      </c>
      <c r="L646" s="3">
        <v>0</v>
      </c>
      <c r="M646" s="3">
        <v>0</v>
      </c>
      <c r="N646" s="3">
        <v>0</v>
      </c>
      <c r="O646" s="3">
        <v>6.1</v>
      </c>
      <c r="P646" s="3">
        <v>0</v>
      </c>
      <c r="Q646" s="3">
        <v>0</v>
      </c>
      <c r="R646" s="3">
        <v>0</v>
      </c>
      <c r="S646" s="3">
        <v>0</v>
      </c>
      <c r="T646" s="3">
        <v>0</v>
      </c>
      <c r="U646" s="3">
        <v>6.1</v>
      </c>
      <c r="V646" t="s">
        <v>55</v>
      </c>
    </row>
    <row r="647" spans="1:22" hidden="1" x14ac:dyDescent="0.25">
      <c r="A647" t="s">
        <v>8607</v>
      </c>
      <c r="B647" t="s">
        <v>8616</v>
      </c>
      <c r="C647" t="s">
        <v>1</v>
      </c>
      <c r="D647" t="s">
        <v>8526</v>
      </c>
      <c r="E647" t="s">
        <v>8147</v>
      </c>
      <c r="F647" t="s">
        <v>8146</v>
      </c>
      <c r="G647">
        <v>3404</v>
      </c>
      <c r="H647">
        <v>3404</v>
      </c>
      <c r="I647">
        <v>3404</v>
      </c>
      <c r="J647">
        <v>3404</v>
      </c>
      <c r="L647" s="3">
        <v>0</v>
      </c>
      <c r="M647" s="3">
        <v>0</v>
      </c>
      <c r="N647" s="3">
        <v>0</v>
      </c>
      <c r="O647" s="3">
        <v>9.0299999999999994</v>
      </c>
      <c r="P647" s="3">
        <v>0</v>
      </c>
      <c r="Q647" s="3">
        <v>0</v>
      </c>
      <c r="R647" s="3">
        <v>0</v>
      </c>
      <c r="S647" s="3">
        <v>0</v>
      </c>
      <c r="T647" s="3">
        <v>0</v>
      </c>
      <c r="U647" s="3">
        <v>9.0299999999999994</v>
      </c>
      <c r="V647" t="s">
        <v>55</v>
      </c>
    </row>
    <row r="648" spans="1:22" hidden="1" x14ac:dyDescent="0.25">
      <c r="A648" t="s">
        <v>8388</v>
      </c>
      <c r="B648" t="s">
        <v>8389</v>
      </c>
      <c r="C648" t="s">
        <v>1</v>
      </c>
      <c r="D648" t="s">
        <v>8526</v>
      </c>
      <c r="E648" t="s">
        <v>8147</v>
      </c>
      <c r="F648" t="s">
        <v>8146</v>
      </c>
      <c r="G648">
        <v>3129</v>
      </c>
      <c r="H648">
        <v>3129</v>
      </c>
      <c r="I648">
        <v>3129</v>
      </c>
      <c r="J648">
        <v>3129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3">
        <v>0</v>
      </c>
      <c r="T648" s="3">
        <v>0</v>
      </c>
      <c r="U648" s="3">
        <v>0</v>
      </c>
      <c r="V648" t="s">
        <v>55</v>
      </c>
    </row>
    <row r="649" spans="1:22" hidden="1" x14ac:dyDescent="0.25">
      <c r="A649" t="s">
        <v>8388</v>
      </c>
      <c r="B649" t="s">
        <v>8389</v>
      </c>
      <c r="C649" t="s">
        <v>1</v>
      </c>
      <c r="D649" t="s">
        <v>8526</v>
      </c>
      <c r="E649" t="s">
        <v>8147</v>
      </c>
      <c r="F649" t="s">
        <v>8146</v>
      </c>
      <c r="G649">
        <v>3130</v>
      </c>
      <c r="H649">
        <v>3130</v>
      </c>
      <c r="I649">
        <v>3130</v>
      </c>
      <c r="J649">
        <v>3130</v>
      </c>
      <c r="L649" s="3">
        <v>0</v>
      </c>
      <c r="M649" s="3">
        <v>0</v>
      </c>
      <c r="N649" s="3">
        <v>0</v>
      </c>
      <c r="O649" s="3">
        <v>294.69</v>
      </c>
      <c r="P649" s="3">
        <v>0</v>
      </c>
      <c r="Q649" s="3">
        <v>0</v>
      </c>
      <c r="R649" s="3">
        <v>0</v>
      </c>
      <c r="S649" s="3">
        <v>0</v>
      </c>
      <c r="T649" s="3">
        <v>0</v>
      </c>
      <c r="U649" s="3">
        <v>294.69</v>
      </c>
      <c r="V649" t="s">
        <v>55</v>
      </c>
    </row>
    <row r="650" spans="1:22" hidden="1" x14ac:dyDescent="0.25">
      <c r="A650" t="s">
        <v>8388</v>
      </c>
      <c r="B650" t="s">
        <v>8389</v>
      </c>
      <c r="C650" t="s">
        <v>1</v>
      </c>
      <c r="D650" t="s">
        <v>8526</v>
      </c>
      <c r="E650" t="s">
        <v>8147</v>
      </c>
      <c r="F650" t="s">
        <v>8146</v>
      </c>
      <c r="G650">
        <v>3131</v>
      </c>
      <c r="H650">
        <v>3131</v>
      </c>
      <c r="I650">
        <v>3131</v>
      </c>
      <c r="J650">
        <v>3131</v>
      </c>
      <c r="L650" s="3">
        <v>0</v>
      </c>
      <c r="M650" s="3">
        <v>0</v>
      </c>
      <c r="N650" s="3">
        <v>0</v>
      </c>
      <c r="O650" s="3">
        <v>522.5</v>
      </c>
      <c r="P650" s="3">
        <v>0</v>
      </c>
      <c r="Q650" s="3">
        <v>0</v>
      </c>
      <c r="R650" s="3">
        <v>0</v>
      </c>
      <c r="S650" s="3">
        <v>0</v>
      </c>
      <c r="T650" s="3">
        <v>0</v>
      </c>
      <c r="U650" s="3">
        <v>522.5</v>
      </c>
      <c r="V650" t="s">
        <v>55</v>
      </c>
    </row>
    <row r="651" spans="1:22" hidden="1" x14ac:dyDescent="0.25">
      <c r="A651" t="s">
        <v>8388</v>
      </c>
      <c r="B651" t="s">
        <v>8389</v>
      </c>
      <c r="C651" t="s">
        <v>1</v>
      </c>
      <c r="D651" t="s">
        <v>8526</v>
      </c>
      <c r="E651" t="s">
        <v>8147</v>
      </c>
      <c r="F651" t="s">
        <v>8146</v>
      </c>
      <c r="G651">
        <v>3132</v>
      </c>
      <c r="H651">
        <v>3132</v>
      </c>
      <c r="I651">
        <v>3132</v>
      </c>
      <c r="J651">
        <v>3132</v>
      </c>
      <c r="L651" s="3">
        <v>0</v>
      </c>
      <c r="M651" s="3">
        <v>0</v>
      </c>
      <c r="N651" s="3">
        <v>0</v>
      </c>
      <c r="O651" s="3">
        <v>104.57</v>
      </c>
      <c r="P651" s="3">
        <v>0</v>
      </c>
      <c r="Q651" s="3">
        <v>0</v>
      </c>
      <c r="R651" s="3">
        <v>0</v>
      </c>
      <c r="S651" s="3">
        <v>0</v>
      </c>
      <c r="T651" s="3">
        <v>0</v>
      </c>
      <c r="U651" s="3">
        <v>104.57</v>
      </c>
      <c r="V651" t="s">
        <v>55</v>
      </c>
    </row>
    <row r="652" spans="1:22" hidden="1" x14ac:dyDescent="0.25">
      <c r="A652" t="s">
        <v>8388</v>
      </c>
      <c r="B652" t="s">
        <v>8389</v>
      </c>
      <c r="C652" t="s">
        <v>1</v>
      </c>
      <c r="D652" t="s">
        <v>8526</v>
      </c>
      <c r="E652" t="s">
        <v>8147</v>
      </c>
      <c r="F652" t="s">
        <v>8146</v>
      </c>
      <c r="G652">
        <v>3133</v>
      </c>
      <c r="H652">
        <v>3133</v>
      </c>
      <c r="I652">
        <v>3133</v>
      </c>
      <c r="J652">
        <v>3133</v>
      </c>
      <c r="L652" s="3">
        <v>0</v>
      </c>
      <c r="M652" s="3">
        <v>0</v>
      </c>
      <c r="N652" s="3">
        <v>0</v>
      </c>
      <c r="O652" s="3">
        <v>41.76</v>
      </c>
      <c r="P652" s="3">
        <v>0</v>
      </c>
      <c r="Q652" s="3">
        <v>0</v>
      </c>
      <c r="R652" s="3">
        <v>0</v>
      </c>
      <c r="S652" s="3">
        <v>0</v>
      </c>
      <c r="T652" s="3">
        <v>0</v>
      </c>
      <c r="U652" s="3">
        <v>41.76</v>
      </c>
      <c r="V652" t="s">
        <v>55</v>
      </c>
    </row>
    <row r="653" spans="1:22" hidden="1" x14ac:dyDescent="0.25">
      <c r="A653" t="s">
        <v>8388</v>
      </c>
      <c r="B653" t="s">
        <v>8389</v>
      </c>
      <c r="C653" t="s">
        <v>1</v>
      </c>
      <c r="D653" t="s">
        <v>8526</v>
      </c>
      <c r="E653" t="s">
        <v>8147</v>
      </c>
      <c r="F653" t="s">
        <v>8146</v>
      </c>
      <c r="G653">
        <v>3134</v>
      </c>
      <c r="H653">
        <v>3134</v>
      </c>
      <c r="I653">
        <v>3134</v>
      </c>
      <c r="J653">
        <v>3134</v>
      </c>
      <c r="L653" s="3">
        <v>0</v>
      </c>
      <c r="M653" s="3">
        <v>0</v>
      </c>
      <c r="N653" s="3">
        <v>0</v>
      </c>
      <c r="O653" s="3">
        <v>264.76</v>
      </c>
      <c r="P653" s="3">
        <v>0</v>
      </c>
      <c r="Q653" s="3">
        <v>0</v>
      </c>
      <c r="R653" s="3">
        <v>0</v>
      </c>
      <c r="S653" s="3">
        <v>0</v>
      </c>
      <c r="T653" s="3">
        <v>0</v>
      </c>
      <c r="U653" s="3">
        <v>264.76</v>
      </c>
      <c r="V653" t="s">
        <v>55</v>
      </c>
    </row>
    <row r="654" spans="1:22" hidden="1" x14ac:dyDescent="0.25">
      <c r="A654" t="s">
        <v>8388</v>
      </c>
      <c r="B654" t="s">
        <v>8389</v>
      </c>
      <c r="C654" t="s">
        <v>1</v>
      </c>
      <c r="D654" t="s">
        <v>8526</v>
      </c>
      <c r="E654" t="s">
        <v>8147</v>
      </c>
      <c r="F654" t="s">
        <v>8146</v>
      </c>
      <c r="G654">
        <v>3135</v>
      </c>
      <c r="H654">
        <v>3135</v>
      </c>
      <c r="I654">
        <v>3135</v>
      </c>
      <c r="J654">
        <v>3135</v>
      </c>
      <c r="L654" s="3">
        <v>0</v>
      </c>
      <c r="M654" s="3">
        <v>0</v>
      </c>
      <c r="N654" s="3">
        <v>0</v>
      </c>
      <c r="O654" s="3">
        <v>151</v>
      </c>
      <c r="P654" s="3">
        <v>0</v>
      </c>
      <c r="Q654" s="3">
        <v>0</v>
      </c>
      <c r="R654" s="3">
        <v>0</v>
      </c>
      <c r="S654" s="3">
        <v>0</v>
      </c>
      <c r="T654" s="3">
        <v>0</v>
      </c>
      <c r="U654" s="3">
        <v>151</v>
      </c>
      <c r="V654" t="s">
        <v>55</v>
      </c>
    </row>
    <row r="655" spans="1:22" hidden="1" x14ac:dyDescent="0.25">
      <c r="A655" t="s">
        <v>8388</v>
      </c>
      <c r="B655" t="s">
        <v>8539</v>
      </c>
      <c r="C655" t="s">
        <v>1</v>
      </c>
      <c r="D655" t="s">
        <v>8526</v>
      </c>
      <c r="E655" t="s">
        <v>8147</v>
      </c>
      <c r="F655" t="s">
        <v>8146</v>
      </c>
      <c r="G655">
        <v>3137</v>
      </c>
      <c r="H655">
        <v>3137</v>
      </c>
      <c r="I655">
        <v>3137</v>
      </c>
      <c r="J655">
        <v>3137</v>
      </c>
      <c r="L655" s="3">
        <v>0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3">
        <v>0</v>
      </c>
      <c r="T655" s="3">
        <v>0</v>
      </c>
      <c r="U655" s="3">
        <v>0</v>
      </c>
      <c r="V655" t="s">
        <v>55</v>
      </c>
    </row>
    <row r="656" spans="1:22" hidden="1" x14ac:dyDescent="0.25">
      <c r="A656" t="s">
        <v>8388</v>
      </c>
      <c r="B656" t="s">
        <v>8539</v>
      </c>
      <c r="C656" t="s">
        <v>1</v>
      </c>
      <c r="D656" t="s">
        <v>8526</v>
      </c>
      <c r="E656" t="s">
        <v>8147</v>
      </c>
      <c r="F656" t="s">
        <v>8146</v>
      </c>
      <c r="G656">
        <v>3138</v>
      </c>
      <c r="H656">
        <v>3138</v>
      </c>
      <c r="I656">
        <v>3138</v>
      </c>
      <c r="J656">
        <v>3138</v>
      </c>
      <c r="L656" s="3">
        <v>0</v>
      </c>
      <c r="M656" s="3">
        <v>0</v>
      </c>
      <c r="N656" s="3">
        <v>0</v>
      </c>
      <c r="O656" s="3">
        <v>211.88</v>
      </c>
      <c r="P656" s="3">
        <v>0</v>
      </c>
      <c r="Q656" s="3">
        <v>0</v>
      </c>
      <c r="R656" s="3">
        <v>0</v>
      </c>
      <c r="S656" s="3">
        <v>0</v>
      </c>
      <c r="T656" s="3">
        <v>0</v>
      </c>
      <c r="U656" s="3">
        <v>211.88</v>
      </c>
      <c r="V656" t="s">
        <v>55</v>
      </c>
    </row>
    <row r="657" spans="1:22" hidden="1" x14ac:dyDescent="0.25">
      <c r="A657" t="s">
        <v>8388</v>
      </c>
      <c r="B657" t="s">
        <v>8538</v>
      </c>
      <c r="C657" t="s">
        <v>1</v>
      </c>
      <c r="D657" t="s">
        <v>8526</v>
      </c>
      <c r="E657" t="s">
        <v>8147</v>
      </c>
      <c r="F657" t="s">
        <v>8146</v>
      </c>
      <c r="G657">
        <v>3139</v>
      </c>
      <c r="H657">
        <v>3139</v>
      </c>
      <c r="I657">
        <v>3139</v>
      </c>
      <c r="J657">
        <v>3139</v>
      </c>
      <c r="L657" s="3">
        <v>0</v>
      </c>
      <c r="M657" s="3">
        <v>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3">
        <v>0</v>
      </c>
      <c r="T657" s="3">
        <v>0</v>
      </c>
      <c r="U657" s="3">
        <v>0</v>
      </c>
      <c r="V657" t="s">
        <v>55</v>
      </c>
    </row>
    <row r="658" spans="1:22" hidden="1" x14ac:dyDescent="0.25">
      <c r="A658" t="s">
        <v>8388</v>
      </c>
      <c r="B658" t="s">
        <v>8538</v>
      </c>
      <c r="C658" t="s">
        <v>1</v>
      </c>
      <c r="D658" t="s">
        <v>8526</v>
      </c>
      <c r="E658" t="s">
        <v>8147</v>
      </c>
      <c r="F658" t="s">
        <v>8146</v>
      </c>
      <c r="G658">
        <v>3140</v>
      </c>
      <c r="H658">
        <v>3140</v>
      </c>
      <c r="I658">
        <v>3140</v>
      </c>
      <c r="J658">
        <v>3140</v>
      </c>
      <c r="L658" s="3">
        <v>0</v>
      </c>
      <c r="M658" s="3">
        <v>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3">
        <v>0</v>
      </c>
      <c r="T658" s="3">
        <v>0</v>
      </c>
      <c r="U658" s="3">
        <v>0</v>
      </c>
      <c r="V658" t="s">
        <v>55</v>
      </c>
    </row>
    <row r="659" spans="1:22" hidden="1" x14ac:dyDescent="0.25">
      <c r="A659" t="s">
        <v>8388</v>
      </c>
      <c r="B659" s="33" t="s">
        <v>8575</v>
      </c>
      <c r="C659" t="s">
        <v>1</v>
      </c>
      <c r="D659" t="s">
        <v>8526</v>
      </c>
      <c r="E659" t="s">
        <v>8147</v>
      </c>
      <c r="F659" t="s">
        <v>8146</v>
      </c>
      <c r="G659">
        <v>3140</v>
      </c>
      <c r="H659">
        <v>3140</v>
      </c>
      <c r="I659">
        <v>3140</v>
      </c>
      <c r="J659">
        <v>3140</v>
      </c>
      <c r="L659" s="3">
        <v>0</v>
      </c>
      <c r="M659" s="3">
        <v>0</v>
      </c>
      <c r="N659" s="3">
        <v>0</v>
      </c>
      <c r="O659" s="3">
        <v>849.44</v>
      </c>
      <c r="P659" s="3">
        <v>0</v>
      </c>
      <c r="Q659" s="3">
        <v>0</v>
      </c>
      <c r="R659" s="3">
        <v>0</v>
      </c>
      <c r="S659" s="3">
        <v>0</v>
      </c>
      <c r="T659" s="3">
        <v>0</v>
      </c>
      <c r="U659" s="3">
        <v>849.44</v>
      </c>
      <c r="V659" t="s">
        <v>55</v>
      </c>
    </row>
    <row r="660" spans="1:22" hidden="1" x14ac:dyDescent="0.25">
      <c r="A660" t="s">
        <v>8388</v>
      </c>
      <c r="B660" s="33" t="s">
        <v>8575</v>
      </c>
      <c r="C660" t="s">
        <v>1</v>
      </c>
      <c r="D660" t="s">
        <v>8526</v>
      </c>
      <c r="E660" t="s">
        <v>8147</v>
      </c>
      <c r="F660" t="s">
        <v>8146</v>
      </c>
      <c r="G660">
        <v>3141</v>
      </c>
      <c r="H660">
        <v>3141</v>
      </c>
      <c r="I660">
        <v>3141</v>
      </c>
      <c r="J660">
        <v>3141</v>
      </c>
      <c r="L660" s="3">
        <v>0</v>
      </c>
      <c r="M660" s="3">
        <v>0</v>
      </c>
      <c r="N660" s="3">
        <v>0</v>
      </c>
      <c r="O660" s="3">
        <v>1008</v>
      </c>
      <c r="P660" s="3">
        <v>0</v>
      </c>
      <c r="Q660" s="3">
        <v>0</v>
      </c>
      <c r="R660" s="3">
        <v>0</v>
      </c>
      <c r="S660" s="3">
        <v>0</v>
      </c>
      <c r="T660" s="3">
        <v>0</v>
      </c>
      <c r="U660" s="3">
        <v>1008</v>
      </c>
      <c r="V660" t="s">
        <v>55</v>
      </c>
    </row>
    <row r="661" spans="1:22" hidden="1" x14ac:dyDescent="0.25">
      <c r="A661" t="s">
        <v>8388</v>
      </c>
      <c r="B661" t="s">
        <v>8538</v>
      </c>
      <c r="C661" t="s">
        <v>1</v>
      </c>
      <c r="D661" t="s">
        <v>8526</v>
      </c>
      <c r="E661" t="s">
        <v>8147</v>
      </c>
      <c r="F661" t="s">
        <v>8146</v>
      </c>
      <c r="G661">
        <v>3142</v>
      </c>
      <c r="H661">
        <v>3142</v>
      </c>
      <c r="I661">
        <v>3142</v>
      </c>
      <c r="J661">
        <v>3142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3">
        <v>0</v>
      </c>
      <c r="T661" s="3">
        <v>0</v>
      </c>
      <c r="U661" s="3">
        <v>0</v>
      </c>
      <c r="V661" t="s">
        <v>55</v>
      </c>
    </row>
    <row r="662" spans="1:22" hidden="1" x14ac:dyDescent="0.25">
      <c r="A662" t="s">
        <v>8388</v>
      </c>
      <c r="B662" s="33" t="s">
        <v>8575</v>
      </c>
      <c r="C662" t="s">
        <v>1</v>
      </c>
      <c r="D662" t="s">
        <v>8526</v>
      </c>
      <c r="E662" t="s">
        <v>8147</v>
      </c>
      <c r="F662" t="s">
        <v>8146</v>
      </c>
      <c r="G662">
        <v>3143</v>
      </c>
      <c r="H662">
        <v>3143</v>
      </c>
      <c r="I662">
        <v>3143</v>
      </c>
      <c r="J662">
        <v>3143</v>
      </c>
      <c r="L662" s="3">
        <v>0</v>
      </c>
      <c r="M662" s="3">
        <v>0</v>
      </c>
      <c r="N662" s="3">
        <v>0</v>
      </c>
      <c r="O662" s="3">
        <v>2113.35</v>
      </c>
      <c r="P662" s="3">
        <v>0</v>
      </c>
      <c r="Q662" s="3">
        <v>0</v>
      </c>
      <c r="R662" s="3">
        <v>0</v>
      </c>
      <c r="S662" s="3">
        <v>0</v>
      </c>
      <c r="T662" s="3">
        <v>0</v>
      </c>
      <c r="U662" s="3">
        <v>2113.35</v>
      </c>
      <c r="V662" t="s">
        <v>55</v>
      </c>
    </row>
    <row r="663" spans="1:22" hidden="1" x14ac:dyDescent="0.25">
      <c r="A663" t="s">
        <v>8388</v>
      </c>
      <c r="B663" s="33" t="s">
        <v>8575</v>
      </c>
      <c r="C663" t="s">
        <v>1</v>
      </c>
      <c r="D663" t="s">
        <v>8526</v>
      </c>
      <c r="E663" t="s">
        <v>8147</v>
      </c>
      <c r="F663" t="s">
        <v>8146</v>
      </c>
      <c r="G663">
        <v>3144</v>
      </c>
      <c r="H663">
        <v>3144</v>
      </c>
      <c r="I663">
        <v>3144</v>
      </c>
      <c r="J663">
        <v>3144</v>
      </c>
      <c r="L663" s="3">
        <v>0</v>
      </c>
      <c r="M663" s="3">
        <v>0</v>
      </c>
      <c r="N663" s="3">
        <v>0</v>
      </c>
      <c r="O663" s="3">
        <v>820</v>
      </c>
      <c r="P663" s="3">
        <v>0</v>
      </c>
      <c r="Q663" s="3">
        <v>0</v>
      </c>
      <c r="R663" s="3">
        <v>0</v>
      </c>
      <c r="S663" s="3">
        <v>0</v>
      </c>
      <c r="T663" s="3">
        <v>0</v>
      </c>
      <c r="U663" s="3">
        <v>820</v>
      </c>
      <c r="V663" t="s">
        <v>55</v>
      </c>
    </row>
    <row r="664" spans="1:22" hidden="1" x14ac:dyDescent="0.25">
      <c r="A664" t="s">
        <v>8388</v>
      </c>
      <c r="B664" s="33" t="s">
        <v>8575</v>
      </c>
      <c r="C664" t="s">
        <v>1</v>
      </c>
      <c r="D664" t="s">
        <v>8526</v>
      </c>
      <c r="E664" t="s">
        <v>8147</v>
      </c>
      <c r="F664" t="s">
        <v>8146</v>
      </c>
      <c r="G664">
        <v>3145</v>
      </c>
      <c r="H664">
        <v>3145</v>
      </c>
      <c r="I664">
        <v>3145</v>
      </c>
      <c r="J664">
        <v>3145</v>
      </c>
      <c r="L664" s="3">
        <v>0</v>
      </c>
      <c r="M664" s="3">
        <v>0</v>
      </c>
      <c r="N664" s="3">
        <v>0</v>
      </c>
      <c r="O664" s="3">
        <v>883.94</v>
      </c>
      <c r="P664" s="3">
        <v>0</v>
      </c>
      <c r="Q664" s="3">
        <v>0</v>
      </c>
      <c r="R664" s="3">
        <v>0</v>
      </c>
      <c r="S664" s="3">
        <v>0</v>
      </c>
      <c r="T664" s="3">
        <v>0</v>
      </c>
      <c r="U664" s="3">
        <v>883.94</v>
      </c>
      <c r="V664" t="s">
        <v>55</v>
      </c>
    </row>
    <row r="665" spans="1:22" hidden="1" x14ac:dyDescent="0.25">
      <c r="A665" t="s">
        <v>8388</v>
      </c>
      <c r="B665" s="33" t="s">
        <v>8575</v>
      </c>
      <c r="C665" t="s">
        <v>1</v>
      </c>
      <c r="D665" t="s">
        <v>8526</v>
      </c>
      <c r="E665" t="s">
        <v>8147</v>
      </c>
      <c r="F665" t="s">
        <v>8146</v>
      </c>
      <c r="G665">
        <v>3146</v>
      </c>
      <c r="H665">
        <v>3146</v>
      </c>
      <c r="I665">
        <v>3146</v>
      </c>
      <c r="J665">
        <v>3146</v>
      </c>
      <c r="L665" s="3">
        <v>0</v>
      </c>
      <c r="M665" s="3">
        <v>0</v>
      </c>
      <c r="N665" s="3">
        <v>0</v>
      </c>
      <c r="O665" s="3">
        <v>174.19</v>
      </c>
      <c r="P665" s="3">
        <v>0</v>
      </c>
      <c r="Q665" s="3">
        <v>0</v>
      </c>
      <c r="R665" s="3">
        <v>0</v>
      </c>
      <c r="S665" s="3">
        <v>0</v>
      </c>
      <c r="T665" s="3">
        <v>0</v>
      </c>
      <c r="U665" s="3">
        <v>174.19</v>
      </c>
      <c r="V665" t="s">
        <v>55</v>
      </c>
    </row>
    <row r="666" spans="1:22" hidden="1" x14ac:dyDescent="0.25">
      <c r="A666" t="s">
        <v>8388</v>
      </c>
      <c r="B666" s="33" t="s">
        <v>8575</v>
      </c>
      <c r="C666" t="s">
        <v>1</v>
      </c>
      <c r="D666" t="s">
        <v>8526</v>
      </c>
      <c r="E666" t="s">
        <v>8147</v>
      </c>
      <c r="F666" t="s">
        <v>8146</v>
      </c>
      <c r="G666">
        <v>3147</v>
      </c>
      <c r="H666">
        <v>3147</v>
      </c>
      <c r="I666">
        <v>3147</v>
      </c>
      <c r="J666">
        <v>3147</v>
      </c>
      <c r="L666" s="3">
        <v>0</v>
      </c>
      <c r="M666" s="3">
        <v>0</v>
      </c>
      <c r="N666" s="3">
        <v>0</v>
      </c>
      <c r="O666" s="3">
        <v>65.540000000000006</v>
      </c>
      <c r="P666" s="3">
        <v>0</v>
      </c>
      <c r="Q666" s="3">
        <v>0</v>
      </c>
      <c r="R666" s="3">
        <v>0</v>
      </c>
      <c r="S666" s="3">
        <v>0</v>
      </c>
      <c r="T666" s="3">
        <v>0</v>
      </c>
      <c r="U666" s="3">
        <v>65.540000000000006</v>
      </c>
      <c r="V666" t="s">
        <v>55</v>
      </c>
    </row>
    <row r="667" spans="1:22" hidden="1" x14ac:dyDescent="0.25">
      <c r="A667" t="s">
        <v>8388</v>
      </c>
      <c r="B667" s="33" t="s">
        <v>8575</v>
      </c>
      <c r="C667" t="s">
        <v>1</v>
      </c>
      <c r="D667" t="s">
        <v>8526</v>
      </c>
      <c r="E667" t="s">
        <v>8147</v>
      </c>
      <c r="F667" t="s">
        <v>8146</v>
      </c>
      <c r="G667">
        <v>3148</v>
      </c>
      <c r="H667">
        <v>3148</v>
      </c>
      <c r="I667">
        <v>3148</v>
      </c>
      <c r="J667">
        <v>3148</v>
      </c>
      <c r="L667" s="3">
        <v>0</v>
      </c>
      <c r="M667" s="3">
        <v>0</v>
      </c>
      <c r="N667" s="3">
        <v>0</v>
      </c>
      <c r="O667" s="3">
        <v>25.99</v>
      </c>
      <c r="P667" s="3">
        <v>0</v>
      </c>
      <c r="Q667" s="3">
        <v>0</v>
      </c>
      <c r="R667" s="3">
        <v>0</v>
      </c>
      <c r="S667" s="3">
        <v>0</v>
      </c>
      <c r="T667" s="3">
        <v>0</v>
      </c>
      <c r="U667" s="3">
        <v>25.99</v>
      </c>
      <c r="V667" t="s">
        <v>55</v>
      </c>
    </row>
    <row r="668" spans="1:22" hidden="1" x14ac:dyDescent="0.25">
      <c r="A668" t="s">
        <v>8388</v>
      </c>
      <c r="B668" t="s">
        <v>8538</v>
      </c>
      <c r="C668" t="s">
        <v>1</v>
      </c>
      <c r="D668" t="s">
        <v>8526</v>
      </c>
      <c r="E668" t="s">
        <v>8147</v>
      </c>
      <c r="F668" t="s">
        <v>8146</v>
      </c>
      <c r="G668">
        <v>3149</v>
      </c>
      <c r="H668">
        <v>3149</v>
      </c>
      <c r="I668">
        <v>3149</v>
      </c>
      <c r="J668">
        <v>3149</v>
      </c>
      <c r="L668" s="3">
        <v>0</v>
      </c>
      <c r="M668" s="3">
        <v>0</v>
      </c>
      <c r="N668" s="3">
        <v>0</v>
      </c>
      <c r="O668" s="3">
        <v>0</v>
      </c>
      <c r="P668" s="3">
        <v>0</v>
      </c>
      <c r="Q668" s="3">
        <v>0</v>
      </c>
      <c r="R668" s="3">
        <v>0</v>
      </c>
      <c r="S668" s="3">
        <v>0</v>
      </c>
      <c r="T668" s="3">
        <v>0</v>
      </c>
      <c r="U668" s="3">
        <v>0</v>
      </c>
      <c r="V668" t="s">
        <v>55</v>
      </c>
    </row>
    <row r="669" spans="1:22" hidden="1" x14ac:dyDescent="0.25">
      <c r="A669" t="s">
        <v>8388</v>
      </c>
      <c r="B669" t="s">
        <v>8538</v>
      </c>
      <c r="C669" t="s">
        <v>1</v>
      </c>
      <c r="D669" t="s">
        <v>8526</v>
      </c>
      <c r="E669" t="s">
        <v>8147</v>
      </c>
      <c r="F669" t="s">
        <v>8146</v>
      </c>
      <c r="G669">
        <v>3150</v>
      </c>
      <c r="H669">
        <v>3150</v>
      </c>
      <c r="I669">
        <v>3150</v>
      </c>
      <c r="J669">
        <v>3150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3">
        <v>0</v>
      </c>
      <c r="T669" s="3">
        <v>0</v>
      </c>
      <c r="U669" s="3">
        <v>0</v>
      </c>
      <c r="V669" t="s">
        <v>55</v>
      </c>
    </row>
    <row r="670" spans="1:22" hidden="1" x14ac:dyDescent="0.25">
      <c r="A670" t="s">
        <v>8388</v>
      </c>
      <c r="B670" s="33" t="s">
        <v>8575</v>
      </c>
      <c r="C670" t="s">
        <v>1</v>
      </c>
      <c r="D670" t="s">
        <v>8526</v>
      </c>
      <c r="E670" t="s">
        <v>8147</v>
      </c>
      <c r="F670" t="s">
        <v>8146</v>
      </c>
      <c r="G670">
        <v>3151</v>
      </c>
      <c r="H670">
        <v>3151</v>
      </c>
      <c r="I670">
        <v>3151</v>
      </c>
      <c r="J670">
        <v>3151</v>
      </c>
      <c r="L670" s="3">
        <v>0</v>
      </c>
      <c r="M670" s="3">
        <v>0</v>
      </c>
      <c r="N670" s="3">
        <v>0</v>
      </c>
      <c r="O670" s="3">
        <v>4.63</v>
      </c>
      <c r="P670" s="3">
        <v>0</v>
      </c>
      <c r="Q670" s="3">
        <v>0</v>
      </c>
      <c r="R670" s="3">
        <v>0</v>
      </c>
      <c r="S670" s="3">
        <v>0</v>
      </c>
      <c r="T670" s="3">
        <v>0</v>
      </c>
      <c r="U670" s="3">
        <v>4.63</v>
      </c>
      <c r="V670" t="s">
        <v>55</v>
      </c>
    </row>
    <row r="671" spans="1:22" hidden="1" x14ac:dyDescent="0.25">
      <c r="A671" t="s">
        <v>8388</v>
      </c>
      <c r="B671" t="s">
        <v>8525</v>
      </c>
      <c r="C671" t="s">
        <v>1</v>
      </c>
      <c r="D671" t="s">
        <v>8526</v>
      </c>
      <c r="E671" t="s">
        <v>8147</v>
      </c>
      <c r="F671" t="s">
        <v>8146</v>
      </c>
      <c r="G671">
        <v>3152</v>
      </c>
      <c r="H671">
        <v>3152</v>
      </c>
      <c r="I671">
        <v>3152</v>
      </c>
      <c r="J671">
        <v>3152</v>
      </c>
      <c r="L671" s="3">
        <v>0</v>
      </c>
      <c r="M671" s="3">
        <v>0</v>
      </c>
      <c r="N671" s="3">
        <v>0</v>
      </c>
      <c r="O671" s="3">
        <v>4.5199999999999996</v>
      </c>
      <c r="P671" s="3">
        <v>0</v>
      </c>
      <c r="Q671" s="3">
        <v>0</v>
      </c>
      <c r="R671" s="3">
        <v>0</v>
      </c>
      <c r="S671" s="3">
        <v>0</v>
      </c>
      <c r="T671" s="3">
        <v>0</v>
      </c>
      <c r="U671" s="3">
        <v>4.5199999999999996</v>
      </c>
      <c r="V671" t="s">
        <v>55</v>
      </c>
    </row>
    <row r="672" spans="1:22" hidden="1" x14ac:dyDescent="0.25">
      <c r="A672" t="s">
        <v>8388</v>
      </c>
      <c r="B672" t="s">
        <v>8525</v>
      </c>
      <c r="C672" t="s">
        <v>1</v>
      </c>
      <c r="D672" t="s">
        <v>8526</v>
      </c>
      <c r="E672" t="s">
        <v>8147</v>
      </c>
      <c r="F672" t="s">
        <v>8146</v>
      </c>
      <c r="G672">
        <v>3153</v>
      </c>
      <c r="H672">
        <v>3153</v>
      </c>
      <c r="I672">
        <v>3153</v>
      </c>
      <c r="J672">
        <v>3153</v>
      </c>
      <c r="L672" s="3">
        <v>0</v>
      </c>
      <c r="M672" s="3">
        <v>0</v>
      </c>
      <c r="N672" s="3">
        <v>0</v>
      </c>
      <c r="O672" s="3">
        <v>49</v>
      </c>
      <c r="P672" s="3">
        <v>0</v>
      </c>
      <c r="Q672" s="3">
        <v>0</v>
      </c>
      <c r="R672" s="3">
        <v>0</v>
      </c>
      <c r="S672" s="3">
        <v>0</v>
      </c>
      <c r="T672" s="3">
        <v>0</v>
      </c>
      <c r="U672" s="3">
        <v>49</v>
      </c>
      <c r="V672" t="s">
        <v>55</v>
      </c>
    </row>
    <row r="673" spans="1:22" hidden="1" x14ac:dyDescent="0.25">
      <c r="A673" t="s">
        <v>8388</v>
      </c>
      <c r="B673" t="s">
        <v>8525</v>
      </c>
      <c r="C673" t="s">
        <v>1</v>
      </c>
      <c r="D673" t="s">
        <v>8526</v>
      </c>
      <c r="E673" t="s">
        <v>8147</v>
      </c>
      <c r="F673" t="s">
        <v>8146</v>
      </c>
      <c r="G673">
        <v>3154</v>
      </c>
      <c r="H673">
        <v>3154</v>
      </c>
      <c r="I673">
        <v>3154</v>
      </c>
      <c r="J673">
        <v>3154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3">
        <v>0</v>
      </c>
      <c r="T673" s="3">
        <v>0</v>
      </c>
      <c r="U673" s="3">
        <v>0</v>
      </c>
      <c r="V673" t="s">
        <v>55</v>
      </c>
    </row>
    <row r="674" spans="1:22" hidden="1" x14ac:dyDescent="0.25">
      <c r="A674" t="s">
        <v>8388</v>
      </c>
      <c r="B674" t="s">
        <v>8525</v>
      </c>
      <c r="C674" t="s">
        <v>1</v>
      </c>
      <c r="D674" t="s">
        <v>8526</v>
      </c>
      <c r="E674" t="s">
        <v>8147</v>
      </c>
      <c r="F674" t="s">
        <v>8146</v>
      </c>
      <c r="G674">
        <v>3155</v>
      </c>
      <c r="H674">
        <v>3155</v>
      </c>
      <c r="I674">
        <v>3155</v>
      </c>
      <c r="J674">
        <v>3155</v>
      </c>
      <c r="L674" s="3">
        <v>0</v>
      </c>
      <c r="M674" s="3">
        <v>0</v>
      </c>
      <c r="N674" s="3">
        <v>0</v>
      </c>
      <c r="O674" s="3">
        <v>280</v>
      </c>
      <c r="P674" s="3">
        <v>0</v>
      </c>
      <c r="Q674" s="3">
        <v>0</v>
      </c>
      <c r="R674" s="3">
        <v>0</v>
      </c>
      <c r="S674" s="3">
        <v>0</v>
      </c>
      <c r="T674" s="3">
        <v>0</v>
      </c>
      <c r="U674" s="3">
        <v>280</v>
      </c>
      <c r="V674" t="s">
        <v>55</v>
      </c>
    </row>
    <row r="675" spans="1:22" hidden="1" x14ac:dyDescent="0.25">
      <c r="A675" t="s">
        <v>8388</v>
      </c>
      <c r="B675" t="s">
        <v>8525</v>
      </c>
      <c r="C675" t="s">
        <v>1</v>
      </c>
      <c r="D675" t="s">
        <v>8526</v>
      </c>
      <c r="E675" t="s">
        <v>8147</v>
      </c>
      <c r="F675" t="s">
        <v>8146</v>
      </c>
      <c r="G675">
        <v>3156</v>
      </c>
      <c r="H675">
        <v>3156</v>
      </c>
      <c r="I675">
        <v>3156</v>
      </c>
      <c r="J675">
        <v>3156</v>
      </c>
      <c r="L675" s="3">
        <v>0</v>
      </c>
      <c r="M675" s="3">
        <v>0</v>
      </c>
      <c r="N675" s="3">
        <v>0</v>
      </c>
      <c r="O675" s="3">
        <v>57.63</v>
      </c>
      <c r="P675" s="3">
        <v>0</v>
      </c>
      <c r="Q675" s="3">
        <v>0</v>
      </c>
      <c r="R675" s="3">
        <v>0</v>
      </c>
      <c r="S675" s="3">
        <v>0</v>
      </c>
      <c r="T675" s="3">
        <v>0</v>
      </c>
      <c r="U675" s="3">
        <v>57.63</v>
      </c>
      <c r="V675" t="s">
        <v>55</v>
      </c>
    </row>
    <row r="676" spans="1:22" hidden="1" x14ac:dyDescent="0.25">
      <c r="A676" t="s">
        <v>8388</v>
      </c>
      <c r="B676" t="s">
        <v>8525</v>
      </c>
      <c r="C676" t="s">
        <v>1</v>
      </c>
      <c r="D676" t="s">
        <v>8526</v>
      </c>
      <c r="E676" t="s">
        <v>8147</v>
      </c>
      <c r="F676" t="s">
        <v>8146</v>
      </c>
      <c r="G676">
        <v>3157</v>
      </c>
      <c r="H676">
        <v>3157</v>
      </c>
      <c r="I676">
        <v>3157</v>
      </c>
      <c r="J676">
        <v>3157</v>
      </c>
      <c r="L676" s="3">
        <v>0</v>
      </c>
      <c r="M676" s="3">
        <v>0</v>
      </c>
      <c r="N676" s="3">
        <v>0</v>
      </c>
      <c r="O676" s="3">
        <v>471.92</v>
      </c>
      <c r="P676" s="3">
        <v>0</v>
      </c>
      <c r="Q676" s="3">
        <v>0</v>
      </c>
      <c r="R676" s="3">
        <v>0</v>
      </c>
      <c r="S676" s="3">
        <v>0</v>
      </c>
      <c r="T676" s="3">
        <v>0</v>
      </c>
      <c r="U676" s="3">
        <v>471.92</v>
      </c>
      <c r="V676" t="s">
        <v>55</v>
      </c>
    </row>
    <row r="677" spans="1:22" hidden="1" x14ac:dyDescent="0.25">
      <c r="A677" t="s">
        <v>8388</v>
      </c>
      <c r="B677" t="s">
        <v>8525</v>
      </c>
      <c r="C677" t="s">
        <v>1</v>
      </c>
      <c r="D677" t="s">
        <v>8526</v>
      </c>
      <c r="E677" t="s">
        <v>8147</v>
      </c>
      <c r="F677" t="s">
        <v>8146</v>
      </c>
      <c r="G677">
        <v>3159</v>
      </c>
      <c r="H677">
        <v>3159</v>
      </c>
      <c r="I677">
        <v>3159</v>
      </c>
      <c r="J677">
        <v>3159</v>
      </c>
      <c r="L677" s="3">
        <v>0</v>
      </c>
      <c r="M677" s="3">
        <v>0</v>
      </c>
      <c r="N677" s="3">
        <v>0</v>
      </c>
      <c r="O677" s="3">
        <v>15.49</v>
      </c>
      <c r="P677" s="3">
        <v>0</v>
      </c>
      <c r="Q677" s="3">
        <v>0</v>
      </c>
      <c r="R677" s="3">
        <v>0</v>
      </c>
      <c r="S677" s="3">
        <v>0</v>
      </c>
      <c r="T677" s="3">
        <v>0</v>
      </c>
      <c r="U677" s="3">
        <v>15.49</v>
      </c>
      <c r="V677" t="s">
        <v>55</v>
      </c>
    </row>
    <row r="678" spans="1:22" hidden="1" x14ac:dyDescent="0.25">
      <c r="A678" t="s">
        <v>8388</v>
      </c>
      <c r="B678" t="s">
        <v>8525</v>
      </c>
      <c r="C678" t="s">
        <v>1</v>
      </c>
      <c r="D678" t="s">
        <v>8526</v>
      </c>
      <c r="E678" t="s">
        <v>8147</v>
      </c>
      <c r="F678" t="s">
        <v>8146</v>
      </c>
      <c r="G678">
        <v>3160</v>
      </c>
      <c r="H678">
        <v>3160</v>
      </c>
      <c r="I678">
        <v>3160</v>
      </c>
      <c r="J678">
        <v>3160</v>
      </c>
      <c r="L678" s="3">
        <v>0</v>
      </c>
      <c r="M678" s="3">
        <v>0</v>
      </c>
      <c r="N678" s="3">
        <v>0</v>
      </c>
      <c r="O678" s="3">
        <v>23.42</v>
      </c>
      <c r="P678" s="3">
        <v>0</v>
      </c>
      <c r="Q678" s="3">
        <v>0</v>
      </c>
      <c r="R678" s="3">
        <v>0</v>
      </c>
      <c r="S678" s="3">
        <v>0</v>
      </c>
      <c r="T678" s="3">
        <v>0</v>
      </c>
      <c r="U678" s="3">
        <v>23.42</v>
      </c>
      <c r="V678" t="s">
        <v>55</v>
      </c>
    </row>
    <row r="679" spans="1:22" hidden="1" x14ac:dyDescent="0.25">
      <c r="A679" t="s">
        <v>8388</v>
      </c>
      <c r="B679" t="s">
        <v>8525</v>
      </c>
      <c r="C679" t="s">
        <v>1</v>
      </c>
      <c r="D679" t="s">
        <v>8526</v>
      </c>
      <c r="E679" t="s">
        <v>8147</v>
      </c>
      <c r="F679" t="s">
        <v>8146</v>
      </c>
      <c r="G679">
        <v>3161</v>
      </c>
      <c r="H679">
        <v>3161</v>
      </c>
      <c r="I679">
        <v>3161</v>
      </c>
      <c r="J679">
        <v>3161</v>
      </c>
      <c r="L679" s="3">
        <v>0</v>
      </c>
      <c r="M679" s="3">
        <v>0</v>
      </c>
      <c r="N679" s="3">
        <v>0</v>
      </c>
      <c r="O679" s="3">
        <v>266</v>
      </c>
      <c r="P679" s="3">
        <v>0</v>
      </c>
      <c r="Q679" s="3">
        <v>0</v>
      </c>
      <c r="R679" s="3">
        <v>0</v>
      </c>
      <c r="S679" s="3">
        <v>0</v>
      </c>
      <c r="T679" s="3">
        <v>0</v>
      </c>
      <c r="U679" s="3">
        <v>266</v>
      </c>
      <c r="V679" t="s">
        <v>55</v>
      </c>
    </row>
    <row r="680" spans="1:22" hidden="1" x14ac:dyDescent="0.25">
      <c r="A680" t="s">
        <v>8388</v>
      </c>
      <c r="B680" t="s">
        <v>8525</v>
      </c>
      <c r="C680" t="s">
        <v>1</v>
      </c>
      <c r="D680" t="s">
        <v>8526</v>
      </c>
      <c r="E680" t="s">
        <v>8147</v>
      </c>
      <c r="F680" t="s">
        <v>8146</v>
      </c>
      <c r="G680">
        <v>3162</v>
      </c>
      <c r="H680">
        <v>3162</v>
      </c>
      <c r="I680">
        <v>3162</v>
      </c>
      <c r="J680">
        <v>3162</v>
      </c>
      <c r="L680" s="3">
        <v>0</v>
      </c>
      <c r="M680" s="3">
        <v>0</v>
      </c>
      <c r="N680" s="3">
        <v>0</v>
      </c>
      <c r="O680" s="3">
        <v>1145.52</v>
      </c>
      <c r="P680" s="3">
        <v>0</v>
      </c>
      <c r="Q680" s="3">
        <v>0</v>
      </c>
      <c r="R680" s="3">
        <v>0</v>
      </c>
      <c r="S680" s="3">
        <v>0</v>
      </c>
      <c r="T680" s="3">
        <v>0</v>
      </c>
      <c r="U680" s="3">
        <v>1145.52</v>
      </c>
      <c r="V680" t="s">
        <v>55</v>
      </c>
    </row>
    <row r="681" spans="1:22" hidden="1" x14ac:dyDescent="0.25">
      <c r="A681" t="s">
        <v>8388</v>
      </c>
      <c r="B681" t="s">
        <v>8524</v>
      </c>
      <c r="C681" t="s">
        <v>1</v>
      </c>
      <c r="D681" t="s">
        <v>8526</v>
      </c>
      <c r="E681" t="s">
        <v>8147</v>
      </c>
      <c r="F681" t="s">
        <v>8146</v>
      </c>
      <c r="G681">
        <v>3163</v>
      </c>
      <c r="H681">
        <v>3163</v>
      </c>
      <c r="I681">
        <v>3163</v>
      </c>
      <c r="J681">
        <v>3163</v>
      </c>
      <c r="L681" s="3">
        <v>0</v>
      </c>
      <c r="M681" s="3">
        <v>0</v>
      </c>
      <c r="N681" s="3">
        <v>0</v>
      </c>
      <c r="O681" s="3">
        <v>16.79</v>
      </c>
      <c r="P681" s="3">
        <v>0</v>
      </c>
      <c r="Q681" s="3">
        <v>0</v>
      </c>
      <c r="R681" s="3">
        <v>0</v>
      </c>
      <c r="S681" s="3">
        <v>0</v>
      </c>
      <c r="T681" s="3">
        <v>0</v>
      </c>
      <c r="U681" s="3">
        <v>16.79</v>
      </c>
      <c r="V681" t="s">
        <v>55</v>
      </c>
    </row>
    <row r="682" spans="1:22" hidden="1" x14ac:dyDescent="0.25">
      <c r="A682" t="s">
        <v>8388</v>
      </c>
      <c r="B682" t="s">
        <v>8524</v>
      </c>
      <c r="C682" t="s">
        <v>1</v>
      </c>
      <c r="D682" t="s">
        <v>8526</v>
      </c>
      <c r="E682" t="s">
        <v>8147</v>
      </c>
      <c r="F682" t="s">
        <v>8146</v>
      </c>
      <c r="G682">
        <v>3164</v>
      </c>
      <c r="H682">
        <v>3164</v>
      </c>
      <c r="I682">
        <v>3164</v>
      </c>
      <c r="J682">
        <v>3164</v>
      </c>
      <c r="L682" s="3">
        <v>0</v>
      </c>
      <c r="M682" s="3">
        <v>0</v>
      </c>
      <c r="N682" s="3">
        <v>0</v>
      </c>
      <c r="O682" s="3">
        <v>98.26</v>
      </c>
      <c r="P682" s="3">
        <v>0</v>
      </c>
      <c r="Q682" s="3">
        <v>0</v>
      </c>
      <c r="R682" s="3">
        <v>0</v>
      </c>
      <c r="S682" s="3">
        <v>0</v>
      </c>
      <c r="T682" s="3">
        <v>0</v>
      </c>
      <c r="U682" s="3">
        <v>98.26</v>
      </c>
      <c r="V682" t="s">
        <v>55</v>
      </c>
    </row>
    <row r="683" spans="1:22" hidden="1" x14ac:dyDescent="0.25">
      <c r="A683" t="s">
        <v>8388</v>
      </c>
      <c r="B683" t="s">
        <v>8524</v>
      </c>
      <c r="C683" t="s">
        <v>1</v>
      </c>
      <c r="D683" t="s">
        <v>8526</v>
      </c>
      <c r="E683" t="s">
        <v>8147</v>
      </c>
      <c r="F683" t="s">
        <v>8146</v>
      </c>
      <c r="G683">
        <v>3165</v>
      </c>
      <c r="H683">
        <v>3165</v>
      </c>
      <c r="I683">
        <v>3165</v>
      </c>
      <c r="J683">
        <v>3165</v>
      </c>
      <c r="L683" s="3">
        <v>0</v>
      </c>
      <c r="M683" s="3">
        <v>0</v>
      </c>
      <c r="N683" s="3">
        <v>0</v>
      </c>
      <c r="O683" s="3">
        <v>304.68</v>
      </c>
      <c r="P683" s="3">
        <v>0</v>
      </c>
      <c r="Q683" s="3">
        <v>0</v>
      </c>
      <c r="R683" s="3">
        <v>0</v>
      </c>
      <c r="S683" s="3">
        <v>0</v>
      </c>
      <c r="T683" s="3">
        <v>0</v>
      </c>
      <c r="U683" s="3">
        <v>304.68</v>
      </c>
      <c r="V683" t="s">
        <v>55</v>
      </c>
    </row>
    <row r="684" spans="1:22" hidden="1" x14ac:dyDescent="0.25">
      <c r="A684" t="s">
        <v>8388</v>
      </c>
      <c r="B684" t="s">
        <v>8524</v>
      </c>
      <c r="C684" t="s">
        <v>1</v>
      </c>
      <c r="D684" t="s">
        <v>8526</v>
      </c>
      <c r="E684" t="s">
        <v>8147</v>
      </c>
      <c r="F684" t="s">
        <v>8146</v>
      </c>
      <c r="G684">
        <v>3166</v>
      </c>
      <c r="H684">
        <v>3166</v>
      </c>
      <c r="I684">
        <v>3166</v>
      </c>
      <c r="J684">
        <v>3166</v>
      </c>
      <c r="L684" s="3">
        <v>0</v>
      </c>
      <c r="M684" s="3">
        <v>0</v>
      </c>
      <c r="N684" s="3">
        <v>0</v>
      </c>
      <c r="O684" s="3">
        <v>95.94</v>
      </c>
      <c r="P684" s="3">
        <v>0</v>
      </c>
      <c r="Q684" s="3">
        <v>0</v>
      </c>
      <c r="R684" s="3">
        <v>0</v>
      </c>
      <c r="S684" s="3">
        <v>0</v>
      </c>
      <c r="T684" s="3">
        <v>0</v>
      </c>
      <c r="U684" s="3">
        <v>95.94</v>
      </c>
      <c r="V684" t="s">
        <v>55</v>
      </c>
    </row>
    <row r="685" spans="1:22" hidden="1" x14ac:dyDescent="0.25">
      <c r="A685" t="s">
        <v>8388</v>
      </c>
      <c r="B685" t="s">
        <v>8524</v>
      </c>
      <c r="C685" t="s">
        <v>1</v>
      </c>
      <c r="D685" t="s">
        <v>8526</v>
      </c>
      <c r="E685" t="s">
        <v>8147</v>
      </c>
      <c r="F685" t="s">
        <v>8146</v>
      </c>
      <c r="G685">
        <v>3167</v>
      </c>
      <c r="H685">
        <v>3167</v>
      </c>
      <c r="I685">
        <v>3167</v>
      </c>
      <c r="J685">
        <v>3167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3">
        <v>0</v>
      </c>
      <c r="T685" s="3">
        <v>0</v>
      </c>
      <c r="U685" s="3">
        <v>0</v>
      </c>
      <c r="V685" t="s">
        <v>55</v>
      </c>
    </row>
    <row r="686" spans="1:22" hidden="1" x14ac:dyDescent="0.25">
      <c r="A686" t="s">
        <v>8388</v>
      </c>
      <c r="B686" t="s">
        <v>8524</v>
      </c>
      <c r="C686" t="s">
        <v>1</v>
      </c>
      <c r="D686" t="s">
        <v>8526</v>
      </c>
      <c r="E686" t="s">
        <v>8147</v>
      </c>
      <c r="F686" t="s">
        <v>8146</v>
      </c>
      <c r="G686">
        <v>3168</v>
      </c>
      <c r="H686">
        <v>3168</v>
      </c>
      <c r="I686">
        <v>3168</v>
      </c>
      <c r="J686">
        <v>3168</v>
      </c>
      <c r="L686" s="3">
        <v>0</v>
      </c>
      <c r="M686" s="3">
        <v>0</v>
      </c>
      <c r="N686" s="3">
        <v>0</v>
      </c>
      <c r="O686" s="3">
        <v>431.66</v>
      </c>
      <c r="P686" s="3">
        <v>0</v>
      </c>
      <c r="Q686" s="3">
        <v>0</v>
      </c>
      <c r="R686" s="3">
        <v>0</v>
      </c>
      <c r="S686" s="3">
        <v>0</v>
      </c>
      <c r="T686" s="3">
        <v>0</v>
      </c>
      <c r="U686" s="3">
        <v>431.66</v>
      </c>
      <c r="V686" t="s">
        <v>55</v>
      </c>
    </row>
    <row r="687" spans="1:22" hidden="1" x14ac:dyDescent="0.25">
      <c r="A687" t="s">
        <v>8388</v>
      </c>
      <c r="B687" t="s">
        <v>8524</v>
      </c>
      <c r="C687" t="s">
        <v>1</v>
      </c>
      <c r="D687" t="s">
        <v>8526</v>
      </c>
      <c r="E687" t="s">
        <v>8147</v>
      </c>
      <c r="F687" t="s">
        <v>8146</v>
      </c>
      <c r="G687">
        <v>3169</v>
      </c>
      <c r="H687">
        <v>3169</v>
      </c>
      <c r="I687">
        <v>3169</v>
      </c>
      <c r="J687">
        <v>3169</v>
      </c>
      <c r="L687" s="3">
        <v>0</v>
      </c>
      <c r="M687" s="3">
        <v>0</v>
      </c>
      <c r="N687" s="3">
        <v>0</v>
      </c>
      <c r="O687" s="3">
        <v>212.17</v>
      </c>
      <c r="P687" s="3">
        <v>0</v>
      </c>
      <c r="Q687" s="3">
        <v>0</v>
      </c>
      <c r="R687" s="3">
        <v>0</v>
      </c>
      <c r="S687" s="3">
        <v>0</v>
      </c>
      <c r="T687" s="3">
        <v>0</v>
      </c>
      <c r="U687" s="3">
        <v>212.17</v>
      </c>
      <c r="V687" t="s">
        <v>55</v>
      </c>
    </row>
    <row r="688" spans="1:22" hidden="1" x14ac:dyDescent="0.25">
      <c r="A688" t="s">
        <v>8388</v>
      </c>
      <c r="B688" t="s">
        <v>8524</v>
      </c>
      <c r="C688" t="s">
        <v>1</v>
      </c>
      <c r="D688" t="s">
        <v>8526</v>
      </c>
      <c r="E688" t="s">
        <v>8147</v>
      </c>
      <c r="F688" t="s">
        <v>8146</v>
      </c>
      <c r="G688">
        <v>3170</v>
      </c>
      <c r="H688">
        <v>3170</v>
      </c>
      <c r="I688">
        <v>3170</v>
      </c>
      <c r="J688">
        <v>3170</v>
      </c>
      <c r="L688" s="3">
        <v>0</v>
      </c>
      <c r="M688" s="3">
        <v>0</v>
      </c>
      <c r="N688" s="3">
        <v>0</v>
      </c>
      <c r="O688" s="3">
        <v>625.70000000000005</v>
      </c>
      <c r="P688" s="3">
        <v>0</v>
      </c>
      <c r="Q688" s="3">
        <v>0</v>
      </c>
      <c r="R688" s="3">
        <v>0</v>
      </c>
      <c r="S688" s="3">
        <v>0</v>
      </c>
      <c r="T688" s="3">
        <v>0</v>
      </c>
      <c r="U688" s="3">
        <v>625.70000000000005</v>
      </c>
      <c r="V688" t="s">
        <v>55</v>
      </c>
    </row>
    <row r="689" spans="1:22" hidden="1" x14ac:dyDescent="0.25">
      <c r="A689" t="s">
        <v>8388</v>
      </c>
      <c r="B689" t="s">
        <v>8523</v>
      </c>
      <c r="C689" t="s">
        <v>1</v>
      </c>
      <c r="D689" t="s">
        <v>8526</v>
      </c>
      <c r="E689" t="s">
        <v>8147</v>
      </c>
      <c r="F689" t="s">
        <v>8146</v>
      </c>
      <c r="G689">
        <v>3171</v>
      </c>
      <c r="H689">
        <v>3171</v>
      </c>
      <c r="I689">
        <v>3171</v>
      </c>
      <c r="J689">
        <v>3171</v>
      </c>
      <c r="L689" s="3">
        <v>0</v>
      </c>
      <c r="M689" s="3">
        <v>0</v>
      </c>
      <c r="N689" s="3">
        <v>0</v>
      </c>
      <c r="O689" s="3">
        <v>105.82</v>
      </c>
      <c r="P689" s="3">
        <v>0</v>
      </c>
      <c r="Q689" s="3">
        <v>0</v>
      </c>
      <c r="R689" s="3">
        <v>0</v>
      </c>
      <c r="S689" s="3">
        <v>0</v>
      </c>
      <c r="T689" s="3">
        <v>0</v>
      </c>
      <c r="U689" s="3">
        <v>105.82</v>
      </c>
      <c r="V689" t="s">
        <v>55</v>
      </c>
    </row>
    <row r="690" spans="1:22" hidden="1" x14ac:dyDescent="0.25">
      <c r="A690" t="s">
        <v>8388</v>
      </c>
      <c r="B690" t="s">
        <v>8523</v>
      </c>
      <c r="C690" t="s">
        <v>1</v>
      </c>
      <c r="D690" t="s">
        <v>8526</v>
      </c>
      <c r="E690" t="s">
        <v>8147</v>
      </c>
      <c r="F690" t="s">
        <v>8146</v>
      </c>
      <c r="G690">
        <v>3172</v>
      </c>
      <c r="H690">
        <v>3172</v>
      </c>
      <c r="I690">
        <v>3172</v>
      </c>
      <c r="J690">
        <v>3172</v>
      </c>
      <c r="L690" s="3">
        <v>0</v>
      </c>
      <c r="M690" s="3">
        <v>0</v>
      </c>
      <c r="N690" s="3">
        <v>0</v>
      </c>
      <c r="O690" s="3">
        <v>66.040000000000006</v>
      </c>
      <c r="P690" s="3">
        <v>0</v>
      </c>
      <c r="Q690" s="3">
        <v>0</v>
      </c>
      <c r="R690" s="3">
        <v>0</v>
      </c>
      <c r="S690" s="3">
        <v>0</v>
      </c>
      <c r="T690" s="3">
        <v>0</v>
      </c>
      <c r="U690" s="3">
        <v>66.040000000000006</v>
      </c>
      <c r="V690" t="s">
        <v>55</v>
      </c>
    </row>
    <row r="691" spans="1:22" hidden="1" x14ac:dyDescent="0.25">
      <c r="A691" t="s">
        <v>8388</v>
      </c>
      <c r="B691" t="s">
        <v>8523</v>
      </c>
      <c r="C691" t="s">
        <v>1</v>
      </c>
      <c r="D691" t="s">
        <v>8526</v>
      </c>
      <c r="E691" t="s">
        <v>8147</v>
      </c>
      <c r="F691" t="s">
        <v>8146</v>
      </c>
      <c r="G691">
        <v>3173</v>
      </c>
      <c r="H691">
        <v>3173</v>
      </c>
      <c r="I691">
        <v>3173</v>
      </c>
      <c r="J691">
        <v>3173</v>
      </c>
      <c r="L691" s="3">
        <v>0</v>
      </c>
      <c r="M691" s="3">
        <v>0</v>
      </c>
      <c r="N691" s="3">
        <v>0</v>
      </c>
      <c r="O691" s="3">
        <v>90</v>
      </c>
      <c r="P691" s="3">
        <v>0</v>
      </c>
      <c r="Q691" s="3">
        <v>0</v>
      </c>
      <c r="R691" s="3">
        <v>0</v>
      </c>
      <c r="S691" s="3">
        <v>0</v>
      </c>
      <c r="T691" s="3">
        <v>0</v>
      </c>
      <c r="U691" s="3">
        <v>90</v>
      </c>
      <c r="V691" t="s">
        <v>55</v>
      </c>
    </row>
    <row r="692" spans="1:22" hidden="1" x14ac:dyDescent="0.25">
      <c r="A692" t="s">
        <v>8388</v>
      </c>
      <c r="B692" t="s">
        <v>8523</v>
      </c>
      <c r="C692" t="s">
        <v>1</v>
      </c>
      <c r="D692" t="s">
        <v>8526</v>
      </c>
      <c r="E692" t="s">
        <v>8147</v>
      </c>
      <c r="F692" t="s">
        <v>8146</v>
      </c>
      <c r="G692">
        <v>3174</v>
      </c>
      <c r="H692">
        <v>3174</v>
      </c>
      <c r="I692">
        <v>3174</v>
      </c>
      <c r="J692">
        <v>3174</v>
      </c>
      <c r="L692" s="3">
        <v>0</v>
      </c>
      <c r="M692" s="3">
        <v>0</v>
      </c>
      <c r="N692" s="3">
        <v>0</v>
      </c>
      <c r="O692" s="3">
        <v>200</v>
      </c>
      <c r="P692" s="3">
        <v>0</v>
      </c>
      <c r="Q692" s="3">
        <v>0</v>
      </c>
      <c r="R692" s="3">
        <v>0</v>
      </c>
      <c r="S692" s="3">
        <v>0</v>
      </c>
      <c r="T692" s="3">
        <v>0</v>
      </c>
      <c r="U692" s="3">
        <v>200</v>
      </c>
      <c r="V692" t="s">
        <v>55</v>
      </c>
    </row>
    <row r="693" spans="1:22" hidden="1" x14ac:dyDescent="0.25">
      <c r="A693" t="s">
        <v>8388</v>
      </c>
      <c r="B693" t="s">
        <v>8523</v>
      </c>
      <c r="C693" t="s">
        <v>1</v>
      </c>
      <c r="D693" t="s">
        <v>8526</v>
      </c>
      <c r="E693" t="s">
        <v>8147</v>
      </c>
      <c r="F693" t="s">
        <v>8146</v>
      </c>
      <c r="G693">
        <v>3175</v>
      </c>
      <c r="H693">
        <v>3175</v>
      </c>
      <c r="I693">
        <v>3175</v>
      </c>
      <c r="J693">
        <v>3175</v>
      </c>
      <c r="L693" s="3">
        <v>0</v>
      </c>
      <c r="M693" s="3">
        <v>0</v>
      </c>
      <c r="N693" s="3">
        <v>0</v>
      </c>
      <c r="O693" s="3">
        <v>16.09</v>
      </c>
      <c r="P693" s="3">
        <v>0</v>
      </c>
      <c r="Q693" s="3">
        <v>0</v>
      </c>
      <c r="R693" s="3">
        <v>0</v>
      </c>
      <c r="S693" s="3">
        <v>0</v>
      </c>
      <c r="T693" s="3">
        <v>0</v>
      </c>
      <c r="U693" s="3">
        <v>16.09</v>
      </c>
      <c r="V693" t="s">
        <v>55</v>
      </c>
    </row>
    <row r="694" spans="1:22" hidden="1" x14ac:dyDescent="0.25">
      <c r="A694" t="s">
        <v>8388</v>
      </c>
      <c r="B694" t="s">
        <v>8523</v>
      </c>
      <c r="C694" t="s">
        <v>1</v>
      </c>
      <c r="D694" t="s">
        <v>8526</v>
      </c>
      <c r="E694" t="s">
        <v>8147</v>
      </c>
      <c r="F694" t="s">
        <v>8146</v>
      </c>
      <c r="G694">
        <v>3176</v>
      </c>
      <c r="H694">
        <v>3176</v>
      </c>
      <c r="I694">
        <v>3176</v>
      </c>
      <c r="J694">
        <v>3176</v>
      </c>
      <c r="L694" s="3">
        <v>0</v>
      </c>
      <c r="M694" s="3">
        <v>0</v>
      </c>
      <c r="N694" s="3">
        <v>0</v>
      </c>
      <c r="O694" s="3">
        <v>178.9</v>
      </c>
      <c r="P694" s="3">
        <v>0</v>
      </c>
      <c r="Q694" s="3">
        <v>0</v>
      </c>
      <c r="R694" s="3">
        <v>0</v>
      </c>
      <c r="S694" s="3">
        <v>0</v>
      </c>
      <c r="T694" s="3">
        <v>0</v>
      </c>
      <c r="U694" s="3">
        <v>178.9</v>
      </c>
      <c r="V694" t="s">
        <v>55</v>
      </c>
    </row>
    <row r="695" spans="1:22" hidden="1" x14ac:dyDescent="0.25">
      <c r="A695" t="s">
        <v>8388</v>
      </c>
      <c r="B695" t="s">
        <v>8523</v>
      </c>
      <c r="C695" t="s">
        <v>1</v>
      </c>
      <c r="D695" t="s">
        <v>8526</v>
      </c>
      <c r="E695" t="s">
        <v>8147</v>
      </c>
      <c r="F695" t="s">
        <v>8146</v>
      </c>
      <c r="G695">
        <v>3177</v>
      </c>
      <c r="H695">
        <v>3177</v>
      </c>
      <c r="I695">
        <v>3177</v>
      </c>
      <c r="J695">
        <v>3177</v>
      </c>
      <c r="L695" s="3">
        <v>0</v>
      </c>
      <c r="M695" s="3">
        <v>0</v>
      </c>
      <c r="N695" s="3">
        <v>0</v>
      </c>
      <c r="O695" s="3">
        <v>0</v>
      </c>
      <c r="P695" s="3">
        <v>0</v>
      </c>
      <c r="Q695" s="3">
        <v>0</v>
      </c>
      <c r="R695" s="3">
        <v>0</v>
      </c>
      <c r="S695" s="3">
        <v>0</v>
      </c>
      <c r="T695" s="3">
        <v>0</v>
      </c>
      <c r="U695" s="3">
        <v>0</v>
      </c>
      <c r="V695" t="s">
        <v>55</v>
      </c>
    </row>
    <row r="696" spans="1:22" hidden="1" x14ac:dyDescent="0.25">
      <c r="A696" t="s">
        <v>8388</v>
      </c>
      <c r="B696" t="s">
        <v>8523</v>
      </c>
      <c r="C696" t="s">
        <v>1</v>
      </c>
      <c r="D696" t="s">
        <v>8526</v>
      </c>
      <c r="E696" t="s">
        <v>8147</v>
      </c>
      <c r="F696" t="s">
        <v>8146</v>
      </c>
      <c r="G696">
        <v>3178</v>
      </c>
      <c r="H696">
        <v>3178</v>
      </c>
      <c r="I696">
        <v>3178</v>
      </c>
      <c r="J696">
        <v>3178</v>
      </c>
      <c r="L696" s="3">
        <v>0</v>
      </c>
      <c r="M696" s="3">
        <v>0</v>
      </c>
      <c r="N696" s="3">
        <v>0</v>
      </c>
      <c r="O696" s="3">
        <v>184.42</v>
      </c>
      <c r="P696" s="3">
        <v>0</v>
      </c>
      <c r="Q696" s="3">
        <v>0</v>
      </c>
      <c r="R696" s="3">
        <v>0</v>
      </c>
      <c r="S696" s="3">
        <v>0</v>
      </c>
      <c r="T696" s="3">
        <v>0</v>
      </c>
      <c r="U696" s="3">
        <v>184.42</v>
      </c>
      <c r="V696" t="s">
        <v>55</v>
      </c>
    </row>
    <row r="697" spans="1:22" hidden="1" x14ac:dyDescent="0.25">
      <c r="A697" t="s">
        <v>8388</v>
      </c>
      <c r="B697" t="s">
        <v>8523</v>
      </c>
      <c r="C697" t="s">
        <v>1</v>
      </c>
      <c r="D697" t="s">
        <v>8526</v>
      </c>
      <c r="E697" t="s">
        <v>8147</v>
      </c>
      <c r="F697" t="s">
        <v>8146</v>
      </c>
      <c r="G697">
        <v>3179</v>
      </c>
      <c r="H697">
        <v>3179</v>
      </c>
      <c r="I697">
        <v>3179</v>
      </c>
      <c r="J697">
        <v>3179</v>
      </c>
      <c r="L697" s="3">
        <v>0</v>
      </c>
      <c r="M697" s="3">
        <v>0</v>
      </c>
      <c r="N697" s="3">
        <v>0</v>
      </c>
      <c r="O697" s="3">
        <v>115.6</v>
      </c>
      <c r="P697" s="3">
        <v>0</v>
      </c>
      <c r="Q697" s="3">
        <v>0</v>
      </c>
      <c r="R697" s="3">
        <v>0</v>
      </c>
      <c r="S697" s="3">
        <v>0</v>
      </c>
      <c r="T697" s="3">
        <v>0</v>
      </c>
      <c r="U697" s="3">
        <v>115.6</v>
      </c>
      <c r="V697" t="s">
        <v>55</v>
      </c>
    </row>
    <row r="698" spans="1:22" hidden="1" x14ac:dyDescent="0.25">
      <c r="A698" t="s">
        <v>8388</v>
      </c>
      <c r="B698" t="s">
        <v>8523</v>
      </c>
      <c r="C698" t="s">
        <v>1</v>
      </c>
      <c r="D698" t="s">
        <v>8526</v>
      </c>
      <c r="E698" t="s">
        <v>8147</v>
      </c>
      <c r="F698" t="s">
        <v>8146</v>
      </c>
      <c r="G698">
        <v>3180</v>
      </c>
      <c r="H698">
        <v>3180</v>
      </c>
      <c r="I698">
        <v>3180</v>
      </c>
      <c r="J698">
        <v>3180</v>
      </c>
      <c r="L698" s="3">
        <v>0</v>
      </c>
      <c r="M698" s="3">
        <v>0</v>
      </c>
      <c r="N698" s="3">
        <v>0</v>
      </c>
      <c r="O698" s="3">
        <v>41.76</v>
      </c>
      <c r="P698" s="3">
        <v>0</v>
      </c>
      <c r="Q698" s="3">
        <v>0</v>
      </c>
      <c r="R698" s="3">
        <v>0</v>
      </c>
      <c r="S698" s="3">
        <v>0</v>
      </c>
      <c r="T698" s="3">
        <v>0</v>
      </c>
      <c r="U698" s="3">
        <v>41.76</v>
      </c>
      <c r="V698" t="s">
        <v>55</v>
      </c>
    </row>
    <row r="699" spans="1:22" hidden="1" x14ac:dyDescent="0.25">
      <c r="A699" t="s">
        <v>8388</v>
      </c>
      <c r="B699" t="s">
        <v>8523</v>
      </c>
      <c r="C699" t="s">
        <v>1</v>
      </c>
      <c r="D699" t="s">
        <v>8526</v>
      </c>
      <c r="E699" t="s">
        <v>8147</v>
      </c>
      <c r="F699" t="s">
        <v>8146</v>
      </c>
      <c r="G699">
        <v>3181</v>
      </c>
      <c r="H699">
        <v>3181</v>
      </c>
      <c r="I699">
        <v>3181</v>
      </c>
      <c r="J699">
        <v>3181</v>
      </c>
      <c r="L699" s="3">
        <v>0</v>
      </c>
      <c r="M699" s="3">
        <v>0</v>
      </c>
      <c r="N699" s="3">
        <v>0</v>
      </c>
      <c r="O699" s="3">
        <v>170</v>
      </c>
      <c r="P699" s="3">
        <v>0</v>
      </c>
      <c r="Q699" s="3">
        <v>0</v>
      </c>
      <c r="R699" s="3">
        <v>0</v>
      </c>
      <c r="S699" s="3">
        <v>0</v>
      </c>
      <c r="T699" s="3">
        <v>0</v>
      </c>
      <c r="U699" s="3">
        <v>170</v>
      </c>
      <c r="V699" t="s">
        <v>55</v>
      </c>
    </row>
    <row r="700" spans="1:22" hidden="1" x14ac:dyDescent="0.25">
      <c r="A700" t="s">
        <v>8388</v>
      </c>
      <c r="B700" t="s">
        <v>8537</v>
      </c>
      <c r="C700" t="s">
        <v>1</v>
      </c>
      <c r="D700" t="s">
        <v>8526</v>
      </c>
      <c r="E700" t="s">
        <v>8147</v>
      </c>
      <c r="F700" t="s">
        <v>8146</v>
      </c>
      <c r="G700">
        <v>3182</v>
      </c>
      <c r="H700">
        <v>3182</v>
      </c>
      <c r="I700">
        <v>3182</v>
      </c>
      <c r="J700">
        <v>3182</v>
      </c>
      <c r="L700" s="3">
        <v>0</v>
      </c>
      <c r="M700" s="3">
        <v>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3">
        <v>0</v>
      </c>
      <c r="T700" s="3">
        <v>0</v>
      </c>
      <c r="U700" s="3">
        <v>0</v>
      </c>
      <c r="V700" t="s">
        <v>55</v>
      </c>
    </row>
    <row r="701" spans="1:22" hidden="1" x14ac:dyDescent="0.25">
      <c r="A701" t="s">
        <v>8388</v>
      </c>
      <c r="B701" t="s">
        <v>8537</v>
      </c>
      <c r="C701" t="s">
        <v>1</v>
      </c>
      <c r="D701" t="s">
        <v>8526</v>
      </c>
      <c r="E701" t="s">
        <v>8147</v>
      </c>
      <c r="F701" t="s">
        <v>8146</v>
      </c>
      <c r="G701">
        <v>3183</v>
      </c>
      <c r="H701">
        <v>3183</v>
      </c>
      <c r="I701">
        <v>3183</v>
      </c>
      <c r="J701">
        <v>3183</v>
      </c>
      <c r="L701" s="3">
        <v>0</v>
      </c>
      <c r="M701" s="3">
        <v>0</v>
      </c>
      <c r="N701" s="3">
        <v>0</v>
      </c>
      <c r="O701" s="3">
        <v>38.04</v>
      </c>
      <c r="P701" s="3">
        <v>0</v>
      </c>
      <c r="Q701" s="3">
        <v>0</v>
      </c>
      <c r="R701" s="3">
        <v>0</v>
      </c>
      <c r="S701" s="3">
        <v>0</v>
      </c>
      <c r="T701" s="3">
        <v>0</v>
      </c>
      <c r="U701" s="3">
        <v>38.04</v>
      </c>
      <c r="V701" t="s">
        <v>55</v>
      </c>
    </row>
    <row r="702" spans="1:22" hidden="1" x14ac:dyDescent="0.25">
      <c r="A702" t="s">
        <v>8388</v>
      </c>
      <c r="B702" t="s">
        <v>8537</v>
      </c>
      <c r="C702" t="s">
        <v>1</v>
      </c>
      <c r="D702" t="s">
        <v>8526</v>
      </c>
      <c r="E702" t="s">
        <v>8147</v>
      </c>
      <c r="F702" t="s">
        <v>8146</v>
      </c>
      <c r="G702">
        <v>3184</v>
      </c>
      <c r="H702">
        <v>3184</v>
      </c>
      <c r="I702">
        <v>3184</v>
      </c>
      <c r="J702">
        <v>3184</v>
      </c>
      <c r="L702" s="3">
        <v>0</v>
      </c>
      <c r="M702" s="3">
        <v>0</v>
      </c>
      <c r="N702" s="3">
        <v>0</v>
      </c>
      <c r="O702" s="3">
        <v>153.96</v>
      </c>
      <c r="P702" s="3">
        <v>0</v>
      </c>
      <c r="Q702" s="3">
        <v>0</v>
      </c>
      <c r="R702" s="3">
        <v>0</v>
      </c>
      <c r="S702" s="3">
        <v>0</v>
      </c>
      <c r="T702" s="3">
        <v>0</v>
      </c>
      <c r="U702" s="3">
        <v>153.96</v>
      </c>
      <c r="V702" t="s">
        <v>55</v>
      </c>
    </row>
    <row r="703" spans="1:22" hidden="1" x14ac:dyDescent="0.25">
      <c r="A703" t="s">
        <v>8388</v>
      </c>
      <c r="B703" t="s">
        <v>8522</v>
      </c>
      <c r="C703" t="s">
        <v>1</v>
      </c>
      <c r="D703" t="s">
        <v>8526</v>
      </c>
      <c r="E703" t="s">
        <v>8147</v>
      </c>
      <c r="F703" t="s">
        <v>8146</v>
      </c>
      <c r="G703">
        <v>3185</v>
      </c>
      <c r="H703">
        <v>3185</v>
      </c>
      <c r="I703">
        <v>3185</v>
      </c>
      <c r="J703">
        <v>3185</v>
      </c>
      <c r="L703" s="3">
        <v>0</v>
      </c>
      <c r="M703" s="3">
        <v>0</v>
      </c>
      <c r="N703" s="3">
        <v>0</v>
      </c>
      <c r="O703" s="3">
        <v>8.4</v>
      </c>
      <c r="P703" s="3">
        <v>0</v>
      </c>
      <c r="Q703" s="3">
        <v>0</v>
      </c>
      <c r="R703" s="3">
        <v>0</v>
      </c>
      <c r="S703" s="3">
        <v>0</v>
      </c>
      <c r="T703" s="3">
        <v>0</v>
      </c>
      <c r="U703" s="3">
        <v>8.4</v>
      </c>
      <c r="V703" t="s">
        <v>55</v>
      </c>
    </row>
    <row r="704" spans="1:22" hidden="1" x14ac:dyDescent="0.25">
      <c r="A704" t="s">
        <v>8388</v>
      </c>
      <c r="B704" t="s">
        <v>8522</v>
      </c>
      <c r="C704" t="s">
        <v>1</v>
      </c>
      <c r="D704" t="s">
        <v>8526</v>
      </c>
      <c r="E704" t="s">
        <v>8147</v>
      </c>
      <c r="F704" t="s">
        <v>8146</v>
      </c>
      <c r="G704">
        <v>3186</v>
      </c>
      <c r="H704">
        <v>3186</v>
      </c>
      <c r="I704">
        <v>3186</v>
      </c>
      <c r="J704">
        <v>3186</v>
      </c>
      <c r="L704" s="3">
        <v>0</v>
      </c>
      <c r="M704" s="3">
        <v>0</v>
      </c>
      <c r="N704" s="3">
        <v>0</v>
      </c>
      <c r="O704" s="3">
        <v>103.73</v>
      </c>
      <c r="P704" s="3">
        <v>0</v>
      </c>
      <c r="Q704" s="3">
        <v>0</v>
      </c>
      <c r="R704" s="3">
        <v>0</v>
      </c>
      <c r="S704" s="3">
        <v>0</v>
      </c>
      <c r="T704" s="3">
        <v>0</v>
      </c>
      <c r="U704" s="3">
        <v>103.73</v>
      </c>
      <c r="V704" t="s">
        <v>55</v>
      </c>
    </row>
    <row r="705" spans="1:22" hidden="1" x14ac:dyDescent="0.25">
      <c r="A705" t="s">
        <v>8388</v>
      </c>
      <c r="B705" t="s">
        <v>8522</v>
      </c>
      <c r="C705" t="s">
        <v>1</v>
      </c>
      <c r="D705" t="s">
        <v>8526</v>
      </c>
      <c r="E705" t="s">
        <v>8147</v>
      </c>
      <c r="F705" t="s">
        <v>8146</v>
      </c>
      <c r="G705">
        <v>3187</v>
      </c>
      <c r="H705">
        <v>3187</v>
      </c>
      <c r="I705">
        <v>3187</v>
      </c>
      <c r="J705">
        <v>3187</v>
      </c>
      <c r="L705" s="3">
        <v>0</v>
      </c>
      <c r="M705" s="3">
        <v>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3">
        <v>0</v>
      </c>
      <c r="T705" s="3">
        <v>0</v>
      </c>
      <c r="U705" s="3">
        <v>0</v>
      </c>
      <c r="V705" t="s">
        <v>55</v>
      </c>
    </row>
    <row r="706" spans="1:22" hidden="1" x14ac:dyDescent="0.25">
      <c r="A706" t="s">
        <v>8388</v>
      </c>
      <c r="B706" t="s">
        <v>8522</v>
      </c>
      <c r="C706" t="s">
        <v>1</v>
      </c>
      <c r="D706" t="s">
        <v>8526</v>
      </c>
      <c r="E706" t="s">
        <v>8147</v>
      </c>
      <c r="F706" t="s">
        <v>8146</v>
      </c>
      <c r="G706">
        <v>3188</v>
      </c>
      <c r="H706">
        <v>3188</v>
      </c>
      <c r="I706">
        <v>3188</v>
      </c>
      <c r="J706">
        <v>3188</v>
      </c>
      <c r="L706" s="3">
        <v>0</v>
      </c>
      <c r="M706" s="3">
        <v>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3">
        <v>0</v>
      </c>
      <c r="T706" s="3">
        <v>0</v>
      </c>
      <c r="U706" s="3">
        <v>0</v>
      </c>
      <c r="V706" t="s">
        <v>55</v>
      </c>
    </row>
    <row r="707" spans="1:22" hidden="1" x14ac:dyDescent="0.25">
      <c r="A707" t="s">
        <v>8388</v>
      </c>
      <c r="B707" t="s">
        <v>8522</v>
      </c>
      <c r="C707" t="s">
        <v>1</v>
      </c>
      <c r="D707" t="s">
        <v>8526</v>
      </c>
      <c r="E707" t="s">
        <v>8147</v>
      </c>
      <c r="F707" t="s">
        <v>8146</v>
      </c>
      <c r="G707">
        <v>3189</v>
      </c>
      <c r="H707">
        <v>3189</v>
      </c>
      <c r="I707">
        <v>3189</v>
      </c>
      <c r="J707">
        <v>3189</v>
      </c>
      <c r="L707" s="3">
        <v>0</v>
      </c>
      <c r="M707" s="3">
        <v>0</v>
      </c>
      <c r="N707" s="3">
        <v>0</v>
      </c>
      <c r="O707" s="3">
        <v>272.17</v>
      </c>
      <c r="P707" s="3">
        <v>0</v>
      </c>
      <c r="Q707" s="3">
        <v>0</v>
      </c>
      <c r="R707" s="3">
        <v>0</v>
      </c>
      <c r="S707" s="3">
        <v>0</v>
      </c>
      <c r="T707" s="3">
        <v>0</v>
      </c>
      <c r="U707" s="3">
        <v>272.17</v>
      </c>
      <c r="V707" t="s">
        <v>55</v>
      </c>
    </row>
    <row r="708" spans="1:22" hidden="1" x14ac:dyDescent="0.25">
      <c r="A708" t="s">
        <v>8388</v>
      </c>
      <c r="B708" t="s">
        <v>8522</v>
      </c>
      <c r="C708" t="s">
        <v>1</v>
      </c>
      <c r="D708" t="s">
        <v>8526</v>
      </c>
      <c r="E708" t="s">
        <v>8147</v>
      </c>
      <c r="F708" t="s">
        <v>8146</v>
      </c>
      <c r="G708">
        <v>3190</v>
      </c>
      <c r="H708">
        <v>3190</v>
      </c>
      <c r="I708">
        <v>3190</v>
      </c>
      <c r="J708">
        <v>3190</v>
      </c>
      <c r="L708" s="3">
        <v>0</v>
      </c>
      <c r="M708" s="3">
        <v>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3">
        <v>0</v>
      </c>
      <c r="T708" s="3">
        <v>0</v>
      </c>
      <c r="U708" s="3">
        <v>0</v>
      </c>
      <c r="V708" t="s">
        <v>55</v>
      </c>
    </row>
    <row r="709" spans="1:22" hidden="1" x14ac:dyDescent="0.25">
      <c r="A709" t="s">
        <v>8388</v>
      </c>
      <c r="B709" t="s">
        <v>8522</v>
      </c>
      <c r="C709" t="s">
        <v>1</v>
      </c>
      <c r="D709" t="s">
        <v>8526</v>
      </c>
      <c r="E709" t="s">
        <v>8147</v>
      </c>
      <c r="F709" t="s">
        <v>8146</v>
      </c>
      <c r="G709">
        <v>3191</v>
      </c>
      <c r="H709">
        <v>3191</v>
      </c>
      <c r="I709">
        <v>3191</v>
      </c>
      <c r="J709">
        <v>3191</v>
      </c>
      <c r="L709" s="3">
        <v>0</v>
      </c>
      <c r="M709" s="3">
        <v>0</v>
      </c>
      <c r="N709" s="3">
        <v>0</v>
      </c>
      <c r="O709" s="3">
        <v>138</v>
      </c>
      <c r="P709" s="3">
        <v>0</v>
      </c>
      <c r="Q709" s="3">
        <v>0</v>
      </c>
      <c r="R709" s="3">
        <v>0</v>
      </c>
      <c r="S709" s="3">
        <v>0</v>
      </c>
      <c r="T709" s="3">
        <v>0</v>
      </c>
      <c r="U709" s="3">
        <v>138</v>
      </c>
      <c r="V709" t="s">
        <v>55</v>
      </c>
    </row>
    <row r="710" spans="1:22" hidden="1" x14ac:dyDescent="0.25">
      <c r="A710" t="s">
        <v>8388</v>
      </c>
      <c r="B710" t="s">
        <v>8522</v>
      </c>
      <c r="C710" t="s">
        <v>1</v>
      </c>
      <c r="D710" t="s">
        <v>8526</v>
      </c>
      <c r="E710" t="s">
        <v>8147</v>
      </c>
      <c r="F710" t="s">
        <v>8146</v>
      </c>
      <c r="G710">
        <v>3192</v>
      </c>
      <c r="H710">
        <v>3192</v>
      </c>
      <c r="I710">
        <v>3192</v>
      </c>
      <c r="J710">
        <v>3192</v>
      </c>
      <c r="L710" s="3">
        <v>0</v>
      </c>
      <c r="M710" s="3">
        <v>0</v>
      </c>
      <c r="N710" s="3">
        <v>0</v>
      </c>
      <c r="O710" s="3">
        <v>45.26</v>
      </c>
      <c r="P710" s="3">
        <v>0</v>
      </c>
      <c r="Q710" s="3">
        <v>0</v>
      </c>
      <c r="R710" s="3">
        <v>0</v>
      </c>
      <c r="S710" s="3">
        <v>0</v>
      </c>
      <c r="T710" s="3">
        <v>0</v>
      </c>
      <c r="U710" s="3">
        <v>45.26</v>
      </c>
      <c r="V710" t="s">
        <v>55</v>
      </c>
    </row>
    <row r="711" spans="1:22" hidden="1" x14ac:dyDescent="0.25">
      <c r="A711" t="s">
        <v>8388</v>
      </c>
      <c r="B711" t="s">
        <v>8522</v>
      </c>
      <c r="C711" t="s">
        <v>1</v>
      </c>
      <c r="D711" t="s">
        <v>8526</v>
      </c>
      <c r="E711" t="s">
        <v>8147</v>
      </c>
      <c r="F711" t="s">
        <v>8146</v>
      </c>
      <c r="G711">
        <v>3193</v>
      </c>
      <c r="H711">
        <v>3193</v>
      </c>
      <c r="I711">
        <v>3193</v>
      </c>
      <c r="J711">
        <v>3193</v>
      </c>
      <c r="L711" s="3">
        <v>0</v>
      </c>
      <c r="M711" s="3">
        <v>0</v>
      </c>
      <c r="N711" s="3">
        <v>0</v>
      </c>
      <c r="O711" s="3">
        <v>4.7300000000000004</v>
      </c>
      <c r="P711" s="3">
        <v>0</v>
      </c>
      <c r="Q711" s="3">
        <v>0</v>
      </c>
      <c r="R711" s="3">
        <v>0</v>
      </c>
      <c r="S711" s="3">
        <v>0</v>
      </c>
      <c r="T711" s="3">
        <v>0</v>
      </c>
      <c r="U711" s="3">
        <v>4.7300000000000004</v>
      </c>
      <c r="V711" t="s">
        <v>55</v>
      </c>
    </row>
    <row r="712" spans="1:22" hidden="1" x14ac:dyDescent="0.25">
      <c r="A712" t="s">
        <v>8388</v>
      </c>
      <c r="B712" t="s">
        <v>8536</v>
      </c>
      <c r="C712" t="s">
        <v>1</v>
      </c>
      <c r="D712" t="s">
        <v>8526</v>
      </c>
      <c r="E712" t="s">
        <v>8147</v>
      </c>
      <c r="F712" t="s">
        <v>8146</v>
      </c>
      <c r="G712">
        <v>3194</v>
      </c>
      <c r="H712">
        <v>3194</v>
      </c>
      <c r="I712">
        <v>3194</v>
      </c>
      <c r="J712">
        <v>3194</v>
      </c>
      <c r="L712" s="3">
        <v>0</v>
      </c>
      <c r="M712" s="3">
        <v>0</v>
      </c>
      <c r="N712" s="3">
        <v>0</v>
      </c>
      <c r="O712" s="3">
        <v>11.85</v>
      </c>
      <c r="P712" s="3">
        <v>0</v>
      </c>
      <c r="Q712" s="3">
        <v>0</v>
      </c>
      <c r="R712" s="3">
        <v>0</v>
      </c>
      <c r="S712" s="3">
        <v>0</v>
      </c>
      <c r="T712" s="3">
        <v>0</v>
      </c>
      <c r="U712" s="3">
        <v>11.85</v>
      </c>
      <c r="V712" t="s">
        <v>55</v>
      </c>
    </row>
    <row r="713" spans="1:22" hidden="1" x14ac:dyDescent="0.25">
      <c r="A713" t="s">
        <v>8388</v>
      </c>
      <c r="B713" t="s">
        <v>8536</v>
      </c>
      <c r="C713" t="s">
        <v>1</v>
      </c>
      <c r="D713" t="s">
        <v>8526</v>
      </c>
      <c r="E713" t="s">
        <v>8147</v>
      </c>
      <c r="F713" t="s">
        <v>8146</v>
      </c>
      <c r="G713">
        <v>3195</v>
      </c>
      <c r="H713">
        <v>3195</v>
      </c>
      <c r="I713">
        <v>3195</v>
      </c>
      <c r="J713">
        <v>3195</v>
      </c>
      <c r="L713" s="3">
        <v>0</v>
      </c>
      <c r="M713" s="3">
        <v>0</v>
      </c>
      <c r="N713" s="3">
        <v>0</v>
      </c>
      <c r="O713" s="3">
        <v>90.27</v>
      </c>
      <c r="P713" s="3">
        <v>0</v>
      </c>
      <c r="Q713" s="3">
        <v>0</v>
      </c>
      <c r="R713" s="3">
        <v>0</v>
      </c>
      <c r="S713" s="3">
        <v>0</v>
      </c>
      <c r="T713" s="3">
        <v>0</v>
      </c>
      <c r="U713" s="3">
        <v>90.27</v>
      </c>
      <c r="V713" t="s">
        <v>55</v>
      </c>
    </row>
    <row r="714" spans="1:22" hidden="1" x14ac:dyDescent="0.25">
      <c r="A714" t="s">
        <v>8388</v>
      </c>
      <c r="B714" t="s">
        <v>8536</v>
      </c>
      <c r="C714" t="s">
        <v>1</v>
      </c>
      <c r="D714" t="s">
        <v>8526</v>
      </c>
      <c r="E714" t="s">
        <v>8147</v>
      </c>
      <c r="F714" t="s">
        <v>8146</v>
      </c>
      <c r="G714">
        <v>3196</v>
      </c>
      <c r="H714">
        <v>3196</v>
      </c>
      <c r="I714">
        <v>3196</v>
      </c>
      <c r="J714">
        <v>3196</v>
      </c>
      <c r="L714" s="3">
        <v>0</v>
      </c>
      <c r="M714" s="3">
        <v>0</v>
      </c>
      <c r="N714" s="3">
        <v>0</v>
      </c>
      <c r="O714" s="3">
        <v>51</v>
      </c>
      <c r="P714" s="3">
        <v>0</v>
      </c>
      <c r="Q714" s="3">
        <v>0</v>
      </c>
      <c r="R714" s="3">
        <v>0</v>
      </c>
      <c r="S714" s="3">
        <v>0</v>
      </c>
      <c r="T714" s="3">
        <v>0</v>
      </c>
      <c r="U714" s="3">
        <v>51</v>
      </c>
      <c r="V714" t="s">
        <v>55</v>
      </c>
    </row>
    <row r="715" spans="1:22" hidden="1" x14ac:dyDescent="0.25">
      <c r="A715" t="s">
        <v>8388</v>
      </c>
      <c r="B715" t="s">
        <v>8536</v>
      </c>
      <c r="C715" t="s">
        <v>1</v>
      </c>
      <c r="D715" t="s">
        <v>8526</v>
      </c>
      <c r="E715" t="s">
        <v>8147</v>
      </c>
      <c r="F715" t="s">
        <v>8146</v>
      </c>
      <c r="G715">
        <v>3197</v>
      </c>
      <c r="H715">
        <v>3197</v>
      </c>
      <c r="I715">
        <v>3197</v>
      </c>
      <c r="J715">
        <v>3197</v>
      </c>
      <c r="L715" s="3">
        <v>0</v>
      </c>
      <c r="M715" s="3">
        <v>0</v>
      </c>
      <c r="N715" s="3">
        <v>0</v>
      </c>
      <c r="O715" s="3">
        <v>212.5</v>
      </c>
      <c r="P715" s="3">
        <v>0</v>
      </c>
      <c r="Q715" s="3">
        <v>0</v>
      </c>
      <c r="R715" s="3">
        <v>0</v>
      </c>
      <c r="S715" s="3">
        <v>0</v>
      </c>
      <c r="T715" s="3">
        <v>0</v>
      </c>
      <c r="U715" s="3">
        <v>212.5</v>
      </c>
      <c r="V715" t="s">
        <v>55</v>
      </c>
    </row>
    <row r="716" spans="1:22" hidden="1" x14ac:dyDescent="0.25">
      <c r="A716" t="s">
        <v>8388</v>
      </c>
      <c r="B716" t="s">
        <v>8536</v>
      </c>
      <c r="C716" t="s">
        <v>1</v>
      </c>
      <c r="D716" t="s">
        <v>8526</v>
      </c>
      <c r="E716" t="s">
        <v>8147</v>
      </c>
      <c r="F716" t="s">
        <v>8146</v>
      </c>
      <c r="G716">
        <v>3198</v>
      </c>
      <c r="H716">
        <v>3198</v>
      </c>
      <c r="I716">
        <v>3198</v>
      </c>
      <c r="J716">
        <v>3198</v>
      </c>
      <c r="L716" s="3">
        <v>0</v>
      </c>
      <c r="M716" s="3">
        <v>0</v>
      </c>
      <c r="N716" s="3">
        <v>0</v>
      </c>
      <c r="O716" s="3">
        <v>127.9</v>
      </c>
      <c r="P716" s="3">
        <v>0</v>
      </c>
      <c r="Q716" s="3">
        <v>0</v>
      </c>
      <c r="R716" s="3">
        <v>0</v>
      </c>
      <c r="S716" s="3">
        <v>0</v>
      </c>
      <c r="T716" s="3">
        <v>0</v>
      </c>
      <c r="U716" s="3">
        <v>127.9</v>
      </c>
      <c r="V716" t="s">
        <v>55</v>
      </c>
    </row>
    <row r="717" spans="1:22" hidden="1" x14ac:dyDescent="0.25">
      <c r="A717" t="s">
        <v>8388</v>
      </c>
      <c r="B717" t="s">
        <v>8536</v>
      </c>
      <c r="C717" t="s">
        <v>1</v>
      </c>
      <c r="D717" t="s">
        <v>8526</v>
      </c>
      <c r="E717" t="s">
        <v>8147</v>
      </c>
      <c r="F717" t="s">
        <v>8146</v>
      </c>
      <c r="G717">
        <v>3199</v>
      </c>
      <c r="H717">
        <v>3199</v>
      </c>
      <c r="I717">
        <v>3199</v>
      </c>
      <c r="J717">
        <v>3199</v>
      </c>
      <c r="L717" s="3">
        <v>0</v>
      </c>
      <c r="M717" s="3">
        <v>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3">
        <v>0</v>
      </c>
      <c r="T717" s="3">
        <v>0</v>
      </c>
      <c r="U717" s="3">
        <v>0</v>
      </c>
      <c r="V717" t="s">
        <v>55</v>
      </c>
    </row>
    <row r="718" spans="1:22" hidden="1" x14ac:dyDescent="0.25">
      <c r="A718" t="s">
        <v>8388</v>
      </c>
      <c r="B718" t="s">
        <v>8536</v>
      </c>
      <c r="C718" t="s">
        <v>1</v>
      </c>
      <c r="D718" t="s">
        <v>8526</v>
      </c>
      <c r="E718" t="s">
        <v>8147</v>
      </c>
      <c r="F718" t="s">
        <v>8146</v>
      </c>
      <c r="G718">
        <v>3200</v>
      </c>
      <c r="H718">
        <v>3200</v>
      </c>
      <c r="I718">
        <v>3200</v>
      </c>
      <c r="J718">
        <v>3200</v>
      </c>
      <c r="L718" s="3">
        <v>0</v>
      </c>
      <c r="M718" s="3">
        <v>0</v>
      </c>
      <c r="N718" s="3">
        <v>0</v>
      </c>
      <c r="O718" s="3">
        <v>277.5</v>
      </c>
      <c r="P718" s="3">
        <v>0</v>
      </c>
      <c r="Q718" s="3">
        <v>0</v>
      </c>
      <c r="R718" s="3">
        <v>0</v>
      </c>
      <c r="S718" s="3">
        <v>0</v>
      </c>
      <c r="T718" s="3">
        <v>0</v>
      </c>
      <c r="U718" s="3">
        <v>277.5</v>
      </c>
      <c r="V718" t="s">
        <v>55</v>
      </c>
    </row>
    <row r="719" spans="1:22" hidden="1" x14ac:dyDescent="0.25">
      <c r="A719" t="s">
        <v>8388</v>
      </c>
      <c r="B719" t="s">
        <v>8536</v>
      </c>
      <c r="C719" t="s">
        <v>1</v>
      </c>
      <c r="D719" t="s">
        <v>8526</v>
      </c>
      <c r="E719" t="s">
        <v>8147</v>
      </c>
      <c r="F719" t="s">
        <v>8146</v>
      </c>
      <c r="G719">
        <v>3201</v>
      </c>
      <c r="H719">
        <v>3201</v>
      </c>
      <c r="I719">
        <v>3201</v>
      </c>
      <c r="J719">
        <v>3201</v>
      </c>
      <c r="L719" s="3">
        <v>0</v>
      </c>
      <c r="M719" s="3">
        <v>0</v>
      </c>
      <c r="N719" s="3">
        <v>0</v>
      </c>
      <c r="O719" s="3">
        <v>31.09</v>
      </c>
      <c r="P719" s="3">
        <v>0</v>
      </c>
      <c r="Q719" s="3">
        <v>0</v>
      </c>
      <c r="R719" s="3">
        <v>0</v>
      </c>
      <c r="S719" s="3">
        <v>0</v>
      </c>
      <c r="T719" s="3">
        <v>0</v>
      </c>
      <c r="U719" s="3">
        <v>31.09</v>
      </c>
      <c r="V719" t="s">
        <v>55</v>
      </c>
    </row>
    <row r="720" spans="1:22" hidden="1" x14ac:dyDescent="0.25">
      <c r="A720" t="s">
        <v>8388</v>
      </c>
      <c r="B720" t="s">
        <v>8535</v>
      </c>
      <c r="C720" t="s">
        <v>1</v>
      </c>
      <c r="D720" t="s">
        <v>8526</v>
      </c>
      <c r="E720" t="s">
        <v>8147</v>
      </c>
      <c r="F720" t="s">
        <v>8146</v>
      </c>
      <c r="G720">
        <v>3202</v>
      </c>
      <c r="H720">
        <v>3202</v>
      </c>
      <c r="I720">
        <v>3202</v>
      </c>
      <c r="J720">
        <v>3202</v>
      </c>
      <c r="L720" s="3">
        <v>0</v>
      </c>
      <c r="M720" s="3">
        <v>0</v>
      </c>
      <c r="N720" s="3">
        <v>0</v>
      </c>
      <c r="O720" s="3">
        <v>34.799999999999997</v>
      </c>
      <c r="P720" s="3">
        <v>0</v>
      </c>
      <c r="Q720" s="3">
        <v>0</v>
      </c>
      <c r="R720" s="3">
        <v>0</v>
      </c>
      <c r="S720" s="3">
        <v>0</v>
      </c>
      <c r="T720" s="3">
        <v>0</v>
      </c>
      <c r="U720" s="3">
        <v>34.799999999999997</v>
      </c>
      <c r="V720" t="s">
        <v>55</v>
      </c>
    </row>
    <row r="721" spans="1:22" hidden="1" x14ac:dyDescent="0.25">
      <c r="A721" t="s">
        <v>8388</v>
      </c>
      <c r="B721" t="s">
        <v>8535</v>
      </c>
      <c r="C721" t="s">
        <v>1</v>
      </c>
      <c r="D721" t="s">
        <v>8526</v>
      </c>
      <c r="E721" t="s">
        <v>8147</v>
      </c>
      <c r="F721" t="s">
        <v>8146</v>
      </c>
      <c r="G721">
        <v>3203</v>
      </c>
      <c r="H721">
        <v>3203</v>
      </c>
      <c r="I721">
        <v>3203</v>
      </c>
      <c r="J721">
        <v>3203</v>
      </c>
      <c r="L721" s="3">
        <v>0</v>
      </c>
      <c r="M721" s="3">
        <v>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3">
        <v>0</v>
      </c>
      <c r="T721" s="3">
        <v>0</v>
      </c>
      <c r="U721" s="3">
        <v>0</v>
      </c>
      <c r="V721" t="s">
        <v>55</v>
      </c>
    </row>
    <row r="722" spans="1:22" hidden="1" x14ac:dyDescent="0.25">
      <c r="A722" t="s">
        <v>8388</v>
      </c>
      <c r="B722" t="s">
        <v>8535</v>
      </c>
      <c r="C722" t="s">
        <v>1</v>
      </c>
      <c r="D722" t="s">
        <v>8526</v>
      </c>
      <c r="E722" t="s">
        <v>8147</v>
      </c>
      <c r="F722" t="s">
        <v>8146</v>
      </c>
      <c r="G722">
        <v>3204</v>
      </c>
      <c r="H722">
        <v>3204</v>
      </c>
      <c r="I722">
        <v>3204</v>
      </c>
      <c r="J722">
        <v>3204</v>
      </c>
      <c r="L722" s="3">
        <v>0</v>
      </c>
      <c r="M722" s="3">
        <v>0</v>
      </c>
      <c r="N722" s="3">
        <v>0</v>
      </c>
      <c r="O722" s="3">
        <v>48.59</v>
      </c>
      <c r="P722" s="3">
        <v>0</v>
      </c>
      <c r="Q722" s="3">
        <v>0</v>
      </c>
      <c r="R722" s="3">
        <v>0</v>
      </c>
      <c r="S722" s="3">
        <v>0</v>
      </c>
      <c r="T722" s="3">
        <v>0</v>
      </c>
      <c r="U722" s="3">
        <v>48.59</v>
      </c>
      <c r="V722" t="s">
        <v>55</v>
      </c>
    </row>
    <row r="723" spans="1:22" hidden="1" x14ac:dyDescent="0.25">
      <c r="A723" t="s">
        <v>8388</v>
      </c>
      <c r="B723" t="s">
        <v>8535</v>
      </c>
      <c r="C723" t="s">
        <v>1</v>
      </c>
      <c r="D723" t="s">
        <v>8526</v>
      </c>
      <c r="E723" t="s">
        <v>8147</v>
      </c>
      <c r="F723" t="s">
        <v>8146</v>
      </c>
      <c r="G723">
        <v>3205</v>
      </c>
      <c r="H723">
        <v>3205</v>
      </c>
      <c r="I723">
        <v>3205</v>
      </c>
      <c r="J723">
        <v>3205</v>
      </c>
      <c r="L723" s="3">
        <v>0</v>
      </c>
      <c r="M723" s="3">
        <v>0</v>
      </c>
      <c r="N723" s="3">
        <v>0</v>
      </c>
      <c r="O723" s="3">
        <v>17.399999999999999</v>
      </c>
      <c r="P723" s="3">
        <v>0</v>
      </c>
      <c r="Q723" s="3">
        <v>0</v>
      </c>
      <c r="R723" s="3">
        <v>0</v>
      </c>
      <c r="S723" s="3">
        <v>0</v>
      </c>
      <c r="T723" s="3">
        <v>0</v>
      </c>
      <c r="U723" s="3">
        <v>17.399999999999999</v>
      </c>
      <c r="V723" t="s">
        <v>55</v>
      </c>
    </row>
    <row r="724" spans="1:22" hidden="1" x14ac:dyDescent="0.25">
      <c r="A724" t="s">
        <v>8388</v>
      </c>
      <c r="B724" t="s">
        <v>8535</v>
      </c>
      <c r="C724" t="s">
        <v>1</v>
      </c>
      <c r="D724" t="s">
        <v>8526</v>
      </c>
      <c r="E724" t="s">
        <v>8147</v>
      </c>
      <c r="F724" t="s">
        <v>8146</v>
      </c>
      <c r="G724">
        <v>3206</v>
      </c>
      <c r="H724">
        <v>3206</v>
      </c>
      <c r="I724">
        <v>3206</v>
      </c>
      <c r="J724">
        <v>3206</v>
      </c>
      <c r="L724" s="3">
        <v>0</v>
      </c>
      <c r="M724" s="3">
        <v>0</v>
      </c>
      <c r="N724" s="3">
        <v>0</v>
      </c>
      <c r="O724" s="3">
        <v>208.8</v>
      </c>
      <c r="P724" s="3">
        <v>0</v>
      </c>
      <c r="Q724" s="3">
        <v>0</v>
      </c>
      <c r="R724" s="3">
        <v>0</v>
      </c>
      <c r="S724" s="3">
        <v>0</v>
      </c>
      <c r="T724" s="3">
        <v>0</v>
      </c>
      <c r="U724" s="3">
        <v>208.8</v>
      </c>
      <c r="V724" t="s">
        <v>55</v>
      </c>
    </row>
    <row r="725" spans="1:22" hidden="1" x14ac:dyDescent="0.25">
      <c r="A725" t="s">
        <v>8388</v>
      </c>
      <c r="B725" t="s">
        <v>8535</v>
      </c>
      <c r="C725" t="s">
        <v>1</v>
      </c>
      <c r="D725" t="s">
        <v>8526</v>
      </c>
      <c r="E725" t="s">
        <v>8147</v>
      </c>
      <c r="F725" t="s">
        <v>8146</v>
      </c>
      <c r="G725">
        <v>3207</v>
      </c>
      <c r="H725">
        <v>3207</v>
      </c>
      <c r="I725">
        <v>3207</v>
      </c>
      <c r="J725">
        <v>3207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3">
        <v>0</v>
      </c>
      <c r="T725" s="3">
        <v>0</v>
      </c>
      <c r="U725" s="3">
        <v>0</v>
      </c>
      <c r="V725" t="s">
        <v>55</v>
      </c>
    </row>
    <row r="726" spans="1:22" hidden="1" x14ac:dyDescent="0.25">
      <c r="A726" t="s">
        <v>8388</v>
      </c>
      <c r="B726" t="s">
        <v>8535</v>
      </c>
      <c r="C726" t="s">
        <v>1</v>
      </c>
      <c r="D726" t="s">
        <v>8526</v>
      </c>
      <c r="E726" t="s">
        <v>8147</v>
      </c>
      <c r="F726" t="s">
        <v>8146</v>
      </c>
      <c r="G726">
        <v>3208</v>
      </c>
      <c r="H726">
        <v>3208</v>
      </c>
      <c r="I726">
        <v>3208</v>
      </c>
      <c r="J726">
        <v>3208</v>
      </c>
      <c r="L726" s="3">
        <v>0</v>
      </c>
      <c r="M726" s="3">
        <v>0</v>
      </c>
      <c r="N726" s="3">
        <v>0</v>
      </c>
      <c r="O726" s="3">
        <v>269.39999999999998</v>
      </c>
      <c r="P726" s="3">
        <v>0</v>
      </c>
      <c r="Q726" s="3">
        <v>0</v>
      </c>
      <c r="R726" s="3">
        <v>0</v>
      </c>
      <c r="S726" s="3">
        <v>0</v>
      </c>
      <c r="T726" s="3">
        <v>0</v>
      </c>
      <c r="U726" s="3">
        <v>269.39999999999998</v>
      </c>
      <c r="V726" t="s">
        <v>55</v>
      </c>
    </row>
    <row r="727" spans="1:22" hidden="1" x14ac:dyDescent="0.25">
      <c r="A727" t="s">
        <v>8388</v>
      </c>
      <c r="B727" t="s">
        <v>8535</v>
      </c>
      <c r="C727" t="s">
        <v>1</v>
      </c>
      <c r="D727" t="s">
        <v>8526</v>
      </c>
      <c r="E727" t="s">
        <v>8147</v>
      </c>
      <c r="F727" t="s">
        <v>8146</v>
      </c>
      <c r="G727">
        <v>3209</v>
      </c>
      <c r="H727">
        <v>3209</v>
      </c>
      <c r="I727">
        <v>3209</v>
      </c>
      <c r="J727">
        <v>3209</v>
      </c>
      <c r="L727" s="3">
        <v>0</v>
      </c>
      <c r="M727" s="3">
        <v>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3">
        <v>0</v>
      </c>
      <c r="T727" s="3">
        <v>0</v>
      </c>
      <c r="U727" s="3">
        <v>0</v>
      </c>
      <c r="V727" t="s">
        <v>55</v>
      </c>
    </row>
    <row r="728" spans="1:22" hidden="1" x14ac:dyDescent="0.25">
      <c r="A728" t="s">
        <v>8388</v>
      </c>
      <c r="B728" t="s">
        <v>8535</v>
      </c>
      <c r="C728" t="s">
        <v>1</v>
      </c>
      <c r="D728" t="s">
        <v>8526</v>
      </c>
      <c r="E728" t="s">
        <v>8147</v>
      </c>
      <c r="F728" t="s">
        <v>8146</v>
      </c>
      <c r="G728">
        <v>3210</v>
      </c>
      <c r="H728">
        <v>3210</v>
      </c>
      <c r="I728">
        <v>3210</v>
      </c>
      <c r="J728">
        <v>3210</v>
      </c>
      <c r="L728" s="3">
        <v>0</v>
      </c>
      <c r="M728" s="3">
        <v>0</v>
      </c>
      <c r="N728" s="3">
        <v>0</v>
      </c>
      <c r="O728" s="3">
        <v>674.97</v>
      </c>
      <c r="P728" s="3">
        <v>0</v>
      </c>
      <c r="Q728" s="3">
        <v>0</v>
      </c>
      <c r="R728" s="3">
        <v>0</v>
      </c>
      <c r="S728" s="3">
        <v>0</v>
      </c>
      <c r="T728" s="3">
        <v>0</v>
      </c>
      <c r="U728" s="3">
        <v>674.97</v>
      </c>
      <c r="V728" t="s">
        <v>55</v>
      </c>
    </row>
    <row r="729" spans="1:22" hidden="1" x14ac:dyDescent="0.25">
      <c r="A729" t="s">
        <v>8388</v>
      </c>
      <c r="B729" t="s">
        <v>8535</v>
      </c>
      <c r="C729" t="s">
        <v>1</v>
      </c>
      <c r="D729" t="s">
        <v>8526</v>
      </c>
      <c r="E729" t="s">
        <v>8147</v>
      </c>
      <c r="F729" t="s">
        <v>8146</v>
      </c>
      <c r="G729">
        <v>3211</v>
      </c>
      <c r="H729">
        <v>3211</v>
      </c>
      <c r="I729">
        <v>3211</v>
      </c>
      <c r="J729">
        <v>3211</v>
      </c>
      <c r="L729" s="3">
        <v>0</v>
      </c>
      <c r="M729" s="3">
        <v>0</v>
      </c>
      <c r="N729" s="3">
        <v>0</v>
      </c>
      <c r="O729" s="3">
        <v>381.28</v>
      </c>
      <c r="P729" s="3">
        <v>0</v>
      </c>
      <c r="Q729" s="3">
        <v>0</v>
      </c>
      <c r="R729" s="3">
        <v>0</v>
      </c>
      <c r="S729" s="3">
        <v>0</v>
      </c>
      <c r="T729" s="3">
        <v>0</v>
      </c>
      <c r="U729" s="3">
        <v>381.28</v>
      </c>
      <c r="V729" t="s">
        <v>55</v>
      </c>
    </row>
    <row r="730" spans="1:22" hidden="1" x14ac:dyDescent="0.25">
      <c r="A730" t="s">
        <v>8388</v>
      </c>
      <c r="B730" t="s">
        <v>8535</v>
      </c>
      <c r="C730" t="s">
        <v>1</v>
      </c>
      <c r="D730" t="s">
        <v>8526</v>
      </c>
      <c r="E730" t="s">
        <v>8147</v>
      </c>
      <c r="F730" t="s">
        <v>8146</v>
      </c>
      <c r="G730">
        <v>3212</v>
      </c>
      <c r="H730">
        <v>3212</v>
      </c>
      <c r="I730">
        <v>3212</v>
      </c>
      <c r="J730">
        <v>3212</v>
      </c>
      <c r="L730" s="3">
        <v>0</v>
      </c>
      <c r="M730" s="3">
        <v>0</v>
      </c>
      <c r="N730" s="3">
        <v>0</v>
      </c>
      <c r="O730" s="3">
        <v>377.5</v>
      </c>
      <c r="P730" s="3">
        <v>0</v>
      </c>
      <c r="Q730" s="3">
        <v>0</v>
      </c>
      <c r="R730" s="3">
        <v>0</v>
      </c>
      <c r="S730" s="3">
        <v>0</v>
      </c>
      <c r="T730" s="3">
        <v>0</v>
      </c>
      <c r="U730" s="3">
        <v>377.5</v>
      </c>
      <c r="V730" t="s">
        <v>55</v>
      </c>
    </row>
    <row r="731" spans="1:22" hidden="1" x14ac:dyDescent="0.25">
      <c r="A731" t="s">
        <v>8388</v>
      </c>
      <c r="B731" t="s">
        <v>8521</v>
      </c>
      <c r="C731" t="s">
        <v>1</v>
      </c>
      <c r="D731" t="s">
        <v>8526</v>
      </c>
      <c r="E731" t="s">
        <v>8147</v>
      </c>
      <c r="F731" t="s">
        <v>8146</v>
      </c>
      <c r="G731">
        <v>3213</v>
      </c>
      <c r="H731">
        <v>3213</v>
      </c>
      <c r="I731">
        <v>3213</v>
      </c>
      <c r="J731">
        <v>3213</v>
      </c>
      <c r="L731" s="3">
        <v>0</v>
      </c>
      <c r="M731" s="3">
        <v>0</v>
      </c>
      <c r="N731" s="3">
        <v>0</v>
      </c>
      <c r="O731" s="3">
        <v>40</v>
      </c>
      <c r="P731" s="3">
        <v>0</v>
      </c>
      <c r="Q731" s="3">
        <v>0</v>
      </c>
      <c r="R731" s="3">
        <v>0</v>
      </c>
      <c r="S731" s="3">
        <v>0</v>
      </c>
      <c r="T731" s="3">
        <v>0</v>
      </c>
      <c r="U731" s="3">
        <v>40</v>
      </c>
      <c r="V731" t="s">
        <v>55</v>
      </c>
    </row>
    <row r="732" spans="1:22" hidden="1" x14ac:dyDescent="0.25">
      <c r="A732" t="s">
        <v>8388</v>
      </c>
      <c r="B732" t="s">
        <v>8521</v>
      </c>
      <c r="C732" t="s">
        <v>1</v>
      </c>
      <c r="D732" t="s">
        <v>8526</v>
      </c>
      <c r="E732" t="s">
        <v>8147</v>
      </c>
      <c r="F732" t="s">
        <v>8146</v>
      </c>
      <c r="G732">
        <v>3214</v>
      </c>
      <c r="H732">
        <v>3214</v>
      </c>
      <c r="I732">
        <v>3214</v>
      </c>
      <c r="J732">
        <v>3214</v>
      </c>
      <c r="L732" s="3">
        <v>0</v>
      </c>
      <c r="M732" s="3">
        <v>0</v>
      </c>
      <c r="N732" s="3">
        <v>0</v>
      </c>
      <c r="O732" s="3">
        <v>24.21</v>
      </c>
      <c r="P732" s="3">
        <v>0</v>
      </c>
      <c r="Q732" s="3">
        <v>0</v>
      </c>
      <c r="R732" s="3">
        <v>0</v>
      </c>
      <c r="S732" s="3">
        <v>0</v>
      </c>
      <c r="T732" s="3">
        <v>0</v>
      </c>
      <c r="U732" s="3">
        <v>24.21</v>
      </c>
      <c r="V732" t="s">
        <v>55</v>
      </c>
    </row>
    <row r="733" spans="1:22" hidden="1" x14ac:dyDescent="0.25">
      <c r="A733" t="s">
        <v>8388</v>
      </c>
      <c r="B733" t="s">
        <v>8521</v>
      </c>
      <c r="C733" t="s">
        <v>1</v>
      </c>
      <c r="D733" t="s">
        <v>8526</v>
      </c>
      <c r="E733" t="s">
        <v>8147</v>
      </c>
      <c r="F733" t="s">
        <v>8146</v>
      </c>
      <c r="G733">
        <v>3215</v>
      </c>
      <c r="H733">
        <v>3215</v>
      </c>
      <c r="I733">
        <v>3215</v>
      </c>
      <c r="J733">
        <v>3215</v>
      </c>
      <c r="L733" s="3">
        <v>0</v>
      </c>
      <c r="M733" s="3">
        <v>0</v>
      </c>
      <c r="N733" s="3">
        <v>0</v>
      </c>
      <c r="O733" s="3">
        <v>21</v>
      </c>
      <c r="P733" s="3">
        <v>0</v>
      </c>
      <c r="Q733" s="3">
        <v>0</v>
      </c>
      <c r="R733" s="3">
        <v>0</v>
      </c>
      <c r="S733" s="3">
        <v>0</v>
      </c>
      <c r="T733" s="3">
        <v>0</v>
      </c>
      <c r="U733" s="3">
        <v>21</v>
      </c>
      <c r="V733" t="s">
        <v>55</v>
      </c>
    </row>
    <row r="734" spans="1:22" hidden="1" x14ac:dyDescent="0.25">
      <c r="A734" t="s">
        <v>8388</v>
      </c>
      <c r="B734" t="s">
        <v>8521</v>
      </c>
      <c r="C734" t="s">
        <v>1</v>
      </c>
      <c r="D734" t="s">
        <v>8526</v>
      </c>
      <c r="E734" t="s">
        <v>8147</v>
      </c>
      <c r="F734" t="s">
        <v>8146</v>
      </c>
      <c r="G734">
        <v>3216</v>
      </c>
      <c r="H734">
        <v>3216</v>
      </c>
      <c r="I734">
        <v>3216</v>
      </c>
      <c r="J734">
        <v>3216</v>
      </c>
      <c r="L734" s="3">
        <v>0</v>
      </c>
      <c r="M734" s="3">
        <v>0</v>
      </c>
      <c r="N734" s="3">
        <v>0</v>
      </c>
      <c r="O734" s="3">
        <v>322.41000000000003</v>
      </c>
      <c r="P734" s="3">
        <v>0</v>
      </c>
      <c r="Q734" s="3">
        <v>0</v>
      </c>
      <c r="R734" s="3">
        <v>0</v>
      </c>
      <c r="S734" s="3">
        <v>0</v>
      </c>
      <c r="T734" s="3">
        <v>0</v>
      </c>
      <c r="U734" s="3">
        <v>322.41000000000003</v>
      </c>
      <c r="V734" t="s">
        <v>55</v>
      </c>
    </row>
    <row r="735" spans="1:22" hidden="1" x14ac:dyDescent="0.25">
      <c r="A735" t="s">
        <v>8388</v>
      </c>
      <c r="B735" t="s">
        <v>8521</v>
      </c>
      <c r="C735" t="s">
        <v>1</v>
      </c>
      <c r="D735" t="s">
        <v>8526</v>
      </c>
      <c r="E735" t="s">
        <v>8147</v>
      </c>
      <c r="F735" t="s">
        <v>8146</v>
      </c>
      <c r="G735">
        <v>3217</v>
      </c>
      <c r="H735">
        <v>3217</v>
      </c>
      <c r="I735">
        <v>3217</v>
      </c>
      <c r="J735">
        <v>3217</v>
      </c>
      <c r="L735" s="3">
        <v>0</v>
      </c>
      <c r="M735" s="3">
        <v>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3">
        <v>0</v>
      </c>
      <c r="T735" s="3">
        <v>0</v>
      </c>
      <c r="U735" s="3">
        <v>0</v>
      </c>
      <c r="V735" t="s">
        <v>55</v>
      </c>
    </row>
    <row r="736" spans="1:22" hidden="1" x14ac:dyDescent="0.25">
      <c r="A736" t="s">
        <v>8388</v>
      </c>
      <c r="B736" t="s">
        <v>8521</v>
      </c>
      <c r="C736" t="s">
        <v>1</v>
      </c>
      <c r="D736" t="s">
        <v>8526</v>
      </c>
      <c r="E736" t="s">
        <v>8147</v>
      </c>
      <c r="F736" t="s">
        <v>8146</v>
      </c>
      <c r="G736">
        <v>3218</v>
      </c>
      <c r="H736">
        <v>3218</v>
      </c>
      <c r="I736">
        <v>3218</v>
      </c>
      <c r="J736">
        <v>3218</v>
      </c>
      <c r="L736" s="3">
        <v>0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3">
        <v>0</v>
      </c>
      <c r="T736" s="3">
        <v>0</v>
      </c>
      <c r="U736" s="3">
        <v>0</v>
      </c>
      <c r="V736" t="s">
        <v>55</v>
      </c>
    </row>
    <row r="737" spans="1:22" hidden="1" x14ac:dyDescent="0.25">
      <c r="A737" t="s">
        <v>8388</v>
      </c>
      <c r="B737" t="s">
        <v>8521</v>
      </c>
      <c r="C737" t="s">
        <v>1</v>
      </c>
      <c r="D737" t="s">
        <v>8526</v>
      </c>
      <c r="E737" t="s">
        <v>8147</v>
      </c>
      <c r="F737" t="s">
        <v>8146</v>
      </c>
      <c r="G737">
        <v>3219</v>
      </c>
      <c r="H737">
        <v>3219</v>
      </c>
      <c r="I737">
        <v>3219</v>
      </c>
      <c r="J737">
        <v>3219</v>
      </c>
      <c r="L737" s="3">
        <v>0</v>
      </c>
      <c r="M737" s="3">
        <v>0</v>
      </c>
      <c r="N737" s="3">
        <v>0</v>
      </c>
      <c r="O737" s="3">
        <v>1210.4000000000001</v>
      </c>
      <c r="P737" s="3">
        <v>0</v>
      </c>
      <c r="Q737" s="3">
        <v>0</v>
      </c>
      <c r="R737" s="3">
        <v>0</v>
      </c>
      <c r="S737" s="3">
        <v>0</v>
      </c>
      <c r="T737" s="3">
        <v>0</v>
      </c>
      <c r="U737" s="3">
        <v>1210.4000000000001</v>
      </c>
      <c r="V737" t="s">
        <v>55</v>
      </c>
    </row>
    <row r="738" spans="1:22" hidden="1" x14ac:dyDescent="0.25">
      <c r="A738" t="s">
        <v>8388</v>
      </c>
      <c r="B738" t="s">
        <v>8521</v>
      </c>
      <c r="C738" t="s">
        <v>1</v>
      </c>
      <c r="D738" t="s">
        <v>8526</v>
      </c>
      <c r="E738" t="s">
        <v>8147</v>
      </c>
      <c r="F738" t="s">
        <v>8146</v>
      </c>
      <c r="G738">
        <v>3220</v>
      </c>
      <c r="H738">
        <v>3220</v>
      </c>
      <c r="I738">
        <v>3220</v>
      </c>
      <c r="J738">
        <v>3220</v>
      </c>
      <c r="L738" s="3">
        <v>0</v>
      </c>
      <c r="M738" s="3">
        <v>0</v>
      </c>
      <c r="N738" s="3">
        <v>0</v>
      </c>
      <c r="O738" s="3">
        <v>196.91</v>
      </c>
      <c r="P738" s="3">
        <v>0</v>
      </c>
      <c r="Q738" s="3">
        <v>0</v>
      </c>
      <c r="R738" s="3">
        <v>0</v>
      </c>
      <c r="S738" s="3">
        <v>0</v>
      </c>
      <c r="T738" s="3">
        <v>0</v>
      </c>
      <c r="U738" s="3">
        <v>196.91</v>
      </c>
      <c r="V738" t="s">
        <v>55</v>
      </c>
    </row>
    <row r="739" spans="1:22" hidden="1" x14ac:dyDescent="0.25">
      <c r="A739" t="s">
        <v>8388</v>
      </c>
      <c r="B739" t="s">
        <v>8521</v>
      </c>
      <c r="C739" t="s">
        <v>1</v>
      </c>
      <c r="D739" t="s">
        <v>8526</v>
      </c>
      <c r="E739" t="s">
        <v>8147</v>
      </c>
      <c r="F739" t="s">
        <v>8146</v>
      </c>
      <c r="G739">
        <v>3221</v>
      </c>
      <c r="H739">
        <v>3221</v>
      </c>
      <c r="I739">
        <v>3221</v>
      </c>
      <c r="J739">
        <v>3221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3">
        <v>0</v>
      </c>
      <c r="T739" s="3">
        <v>0</v>
      </c>
      <c r="U739" s="3">
        <v>0</v>
      </c>
      <c r="V739" t="s">
        <v>55</v>
      </c>
    </row>
    <row r="740" spans="1:22" hidden="1" x14ac:dyDescent="0.25">
      <c r="A740" t="s">
        <v>8388</v>
      </c>
      <c r="B740" t="s">
        <v>8521</v>
      </c>
      <c r="C740" t="s">
        <v>1</v>
      </c>
      <c r="D740" t="s">
        <v>8526</v>
      </c>
      <c r="E740" t="s">
        <v>8147</v>
      </c>
      <c r="F740" t="s">
        <v>8146</v>
      </c>
      <c r="G740">
        <v>3222</v>
      </c>
      <c r="H740">
        <v>3222</v>
      </c>
      <c r="I740">
        <v>3222</v>
      </c>
      <c r="J740">
        <v>3222</v>
      </c>
      <c r="L740" s="3">
        <v>0</v>
      </c>
      <c r="M740" s="3">
        <v>0</v>
      </c>
      <c r="N740" s="3">
        <v>0</v>
      </c>
      <c r="O740" s="3">
        <v>314</v>
      </c>
      <c r="P740" s="3">
        <v>0</v>
      </c>
      <c r="Q740" s="3">
        <v>0</v>
      </c>
      <c r="R740" s="3">
        <v>0</v>
      </c>
      <c r="S740" s="3">
        <v>0</v>
      </c>
      <c r="T740" s="3">
        <v>0</v>
      </c>
      <c r="U740" s="3">
        <v>314</v>
      </c>
      <c r="V740" t="s">
        <v>55</v>
      </c>
    </row>
    <row r="741" spans="1:22" hidden="1" x14ac:dyDescent="0.25">
      <c r="A741" t="s">
        <v>8388</v>
      </c>
      <c r="B741" t="s">
        <v>8521</v>
      </c>
      <c r="C741" t="s">
        <v>1</v>
      </c>
      <c r="D741" t="s">
        <v>8526</v>
      </c>
      <c r="E741" t="s">
        <v>8147</v>
      </c>
      <c r="F741" t="s">
        <v>8146</v>
      </c>
      <c r="G741">
        <v>3223</v>
      </c>
      <c r="H741">
        <v>3223</v>
      </c>
      <c r="I741">
        <v>3223</v>
      </c>
      <c r="J741">
        <v>3223</v>
      </c>
      <c r="L741" s="3">
        <v>0</v>
      </c>
      <c r="M741" s="3">
        <v>0</v>
      </c>
      <c r="N741" s="3">
        <v>0</v>
      </c>
      <c r="O741" s="3">
        <v>513.88</v>
      </c>
      <c r="P741" s="3">
        <v>0</v>
      </c>
      <c r="Q741" s="3">
        <v>0</v>
      </c>
      <c r="R741" s="3">
        <v>0</v>
      </c>
      <c r="S741" s="3">
        <v>0</v>
      </c>
      <c r="T741" s="3">
        <v>0</v>
      </c>
      <c r="U741" s="3">
        <v>513.88</v>
      </c>
      <c r="V741" t="s">
        <v>55</v>
      </c>
    </row>
    <row r="742" spans="1:22" hidden="1" x14ac:dyDescent="0.25">
      <c r="A742" t="s">
        <v>8388</v>
      </c>
      <c r="B742" t="s">
        <v>8521</v>
      </c>
      <c r="C742" t="s">
        <v>1</v>
      </c>
      <c r="D742" t="s">
        <v>8526</v>
      </c>
      <c r="E742" t="s">
        <v>8147</v>
      </c>
      <c r="F742" t="s">
        <v>8146</v>
      </c>
      <c r="G742">
        <v>3224</v>
      </c>
      <c r="H742">
        <v>3224</v>
      </c>
      <c r="I742">
        <v>3224</v>
      </c>
      <c r="J742">
        <v>3224</v>
      </c>
      <c r="L742" s="3">
        <v>0</v>
      </c>
      <c r="M742" s="3">
        <v>0</v>
      </c>
      <c r="N742" s="3">
        <v>0</v>
      </c>
      <c r="O742" s="3">
        <v>35.799999999999997</v>
      </c>
      <c r="P742" s="3">
        <v>0</v>
      </c>
      <c r="Q742" s="3">
        <v>0</v>
      </c>
      <c r="R742" s="3">
        <v>0</v>
      </c>
      <c r="S742" s="3">
        <v>0</v>
      </c>
      <c r="T742" s="3">
        <v>0</v>
      </c>
      <c r="U742" s="3">
        <v>35.799999999999997</v>
      </c>
      <c r="V742" t="s">
        <v>55</v>
      </c>
    </row>
    <row r="743" spans="1:22" hidden="1" x14ac:dyDescent="0.25">
      <c r="A743" t="s">
        <v>8388</v>
      </c>
      <c r="B743" t="s">
        <v>8518</v>
      </c>
      <c r="C743" t="s">
        <v>1</v>
      </c>
      <c r="D743" t="s">
        <v>8526</v>
      </c>
      <c r="E743" t="s">
        <v>8147</v>
      </c>
      <c r="F743" t="s">
        <v>8146</v>
      </c>
      <c r="G743">
        <v>3225</v>
      </c>
      <c r="H743">
        <v>3225</v>
      </c>
      <c r="I743">
        <v>3225</v>
      </c>
      <c r="J743">
        <v>3225</v>
      </c>
      <c r="L743" s="3">
        <v>0</v>
      </c>
      <c r="M743" s="3">
        <v>0</v>
      </c>
      <c r="N743" s="3">
        <v>0</v>
      </c>
      <c r="O743" s="3">
        <v>31.9</v>
      </c>
      <c r="P743" s="3">
        <v>0</v>
      </c>
      <c r="Q743" s="3">
        <v>0</v>
      </c>
      <c r="R743" s="3">
        <v>0</v>
      </c>
      <c r="S743" s="3">
        <v>0</v>
      </c>
      <c r="T743" s="3">
        <v>0</v>
      </c>
      <c r="U743" s="3">
        <v>31.9</v>
      </c>
      <c r="V743" t="s">
        <v>55</v>
      </c>
    </row>
    <row r="744" spans="1:22" hidden="1" x14ac:dyDescent="0.25">
      <c r="A744" t="s">
        <v>8388</v>
      </c>
      <c r="B744" t="s">
        <v>8518</v>
      </c>
      <c r="C744" t="s">
        <v>1</v>
      </c>
      <c r="D744" t="s">
        <v>8526</v>
      </c>
      <c r="E744" t="s">
        <v>8147</v>
      </c>
      <c r="F744" t="s">
        <v>8146</v>
      </c>
      <c r="G744">
        <v>3226</v>
      </c>
      <c r="H744">
        <v>3226</v>
      </c>
      <c r="I744">
        <v>3226</v>
      </c>
      <c r="J744">
        <v>3226</v>
      </c>
      <c r="L744" s="3">
        <v>0</v>
      </c>
      <c r="M744" s="3">
        <v>0</v>
      </c>
      <c r="N744" s="3">
        <v>0</v>
      </c>
      <c r="O744" s="3">
        <v>25.5</v>
      </c>
      <c r="P744" s="3">
        <v>0</v>
      </c>
      <c r="Q744" s="3">
        <v>0</v>
      </c>
      <c r="R744" s="3">
        <v>0</v>
      </c>
      <c r="S744" s="3">
        <v>0</v>
      </c>
      <c r="T744" s="3">
        <v>0</v>
      </c>
      <c r="U744" s="3">
        <v>25.5</v>
      </c>
      <c r="V744" t="s">
        <v>55</v>
      </c>
    </row>
    <row r="745" spans="1:22" hidden="1" x14ac:dyDescent="0.25">
      <c r="A745" t="s">
        <v>8388</v>
      </c>
      <c r="B745" t="s">
        <v>8518</v>
      </c>
      <c r="C745" t="s">
        <v>1</v>
      </c>
      <c r="D745" t="s">
        <v>8526</v>
      </c>
      <c r="E745" t="s">
        <v>8147</v>
      </c>
      <c r="F745" t="s">
        <v>8146</v>
      </c>
      <c r="G745">
        <v>3227</v>
      </c>
      <c r="H745">
        <v>3227</v>
      </c>
      <c r="I745">
        <v>3227</v>
      </c>
      <c r="J745">
        <v>3227</v>
      </c>
      <c r="L745" s="3">
        <v>0</v>
      </c>
      <c r="M745" s="3">
        <v>0</v>
      </c>
      <c r="N745" s="3">
        <v>0</v>
      </c>
      <c r="O745" s="3">
        <v>536.25</v>
      </c>
      <c r="P745" s="3">
        <v>0</v>
      </c>
      <c r="Q745" s="3">
        <v>0</v>
      </c>
      <c r="R745" s="3">
        <v>0</v>
      </c>
      <c r="S745" s="3">
        <v>0</v>
      </c>
      <c r="T745" s="3">
        <v>0</v>
      </c>
      <c r="U745" s="3">
        <v>536.25</v>
      </c>
      <c r="V745" t="s">
        <v>55</v>
      </c>
    </row>
    <row r="746" spans="1:22" hidden="1" x14ac:dyDescent="0.25">
      <c r="A746" t="s">
        <v>8388</v>
      </c>
      <c r="B746" t="s">
        <v>8534</v>
      </c>
      <c r="C746" t="s">
        <v>1</v>
      </c>
      <c r="D746" t="s">
        <v>8526</v>
      </c>
      <c r="E746" t="s">
        <v>8147</v>
      </c>
      <c r="F746" t="s">
        <v>8146</v>
      </c>
      <c r="G746">
        <v>3228</v>
      </c>
      <c r="H746">
        <v>3228</v>
      </c>
      <c r="I746">
        <v>3228</v>
      </c>
      <c r="J746">
        <v>3228</v>
      </c>
      <c r="L746" s="3">
        <v>0</v>
      </c>
      <c r="M746" s="3">
        <v>0</v>
      </c>
      <c r="N746" s="3">
        <v>0</v>
      </c>
      <c r="O746" s="3">
        <v>836.33</v>
      </c>
      <c r="P746" s="3">
        <v>0</v>
      </c>
      <c r="Q746" s="3">
        <v>0</v>
      </c>
      <c r="R746" s="3">
        <v>0</v>
      </c>
      <c r="S746" s="3">
        <v>0</v>
      </c>
      <c r="T746" s="3">
        <v>0</v>
      </c>
      <c r="U746" s="3">
        <v>836.33</v>
      </c>
      <c r="V746" t="s">
        <v>55</v>
      </c>
    </row>
    <row r="747" spans="1:22" hidden="1" x14ac:dyDescent="0.25">
      <c r="A747" t="s">
        <v>8388</v>
      </c>
      <c r="B747" t="s">
        <v>8534</v>
      </c>
      <c r="C747" t="s">
        <v>1</v>
      </c>
      <c r="D747" t="s">
        <v>8526</v>
      </c>
      <c r="E747" t="s">
        <v>8147</v>
      </c>
      <c r="F747" t="s">
        <v>8146</v>
      </c>
      <c r="G747">
        <v>3229</v>
      </c>
      <c r="H747">
        <v>3229</v>
      </c>
      <c r="I747">
        <v>3229</v>
      </c>
      <c r="J747">
        <v>3229</v>
      </c>
      <c r="L747" s="3">
        <v>0</v>
      </c>
      <c r="M747" s="3">
        <v>0</v>
      </c>
      <c r="N747" s="3">
        <v>0</v>
      </c>
      <c r="O747" s="3">
        <v>77.45</v>
      </c>
      <c r="P747" s="3">
        <v>0</v>
      </c>
      <c r="Q747" s="3">
        <v>0</v>
      </c>
      <c r="R747" s="3">
        <v>0</v>
      </c>
      <c r="S747" s="3">
        <v>0</v>
      </c>
      <c r="T747" s="3">
        <v>0</v>
      </c>
      <c r="U747" s="3">
        <v>77.45</v>
      </c>
      <c r="V747" t="s">
        <v>55</v>
      </c>
    </row>
    <row r="748" spans="1:22" hidden="1" x14ac:dyDescent="0.25">
      <c r="A748" t="s">
        <v>8388</v>
      </c>
      <c r="B748" t="s">
        <v>8534</v>
      </c>
      <c r="C748" t="s">
        <v>1</v>
      </c>
      <c r="D748" t="s">
        <v>8526</v>
      </c>
      <c r="E748" t="s">
        <v>8147</v>
      </c>
      <c r="F748" t="s">
        <v>8146</v>
      </c>
      <c r="G748">
        <v>3230</v>
      </c>
      <c r="H748">
        <v>3230</v>
      </c>
      <c r="I748">
        <v>3230</v>
      </c>
      <c r="J748">
        <v>3230</v>
      </c>
      <c r="L748" s="3">
        <v>0</v>
      </c>
      <c r="M748" s="3">
        <v>0</v>
      </c>
      <c r="N748" s="3">
        <v>0</v>
      </c>
      <c r="O748" s="3">
        <v>340</v>
      </c>
      <c r="P748" s="3">
        <v>0</v>
      </c>
      <c r="Q748" s="3">
        <v>0</v>
      </c>
      <c r="R748" s="3">
        <v>0</v>
      </c>
      <c r="S748" s="3">
        <v>0</v>
      </c>
      <c r="T748" s="3">
        <v>0</v>
      </c>
      <c r="U748" s="3">
        <v>340</v>
      </c>
      <c r="V748" t="s">
        <v>55</v>
      </c>
    </row>
    <row r="749" spans="1:22" hidden="1" x14ac:dyDescent="0.25">
      <c r="A749" t="s">
        <v>8388</v>
      </c>
      <c r="B749" t="s">
        <v>8534</v>
      </c>
      <c r="C749" t="s">
        <v>1</v>
      </c>
      <c r="D749" t="s">
        <v>8526</v>
      </c>
      <c r="E749" t="s">
        <v>8147</v>
      </c>
      <c r="F749" t="s">
        <v>8146</v>
      </c>
      <c r="G749">
        <v>3231</v>
      </c>
      <c r="H749">
        <v>3231</v>
      </c>
      <c r="I749">
        <v>3231</v>
      </c>
      <c r="J749">
        <v>3231</v>
      </c>
      <c r="L749" s="3">
        <v>0</v>
      </c>
      <c r="M749" s="3">
        <v>0</v>
      </c>
      <c r="N749" s="3">
        <v>0</v>
      </c>
      <c r="O749" s="3">
        <v>71.67</v>
      </c>
      <c r="P749" s="3">
        <v>0</v>
      </c>
      <c r="Q749" s="3">
        <v>0</v>
      </c>
      <c r="R749" s="3">
        <v>0</v>
      </c>
      <c r="S749" s="3">
        <v>0</v>
      </c>
      <c r="T749" s="3">
        <v>0</v>
      </c>
      <c r="U749" s="3">
        <v>71.67</v>
      </c>
      <c r="V749" t="s">
        <v>55</v>
      </c>
    </row>
    <row r="750" spans="1:22" hidden="1" x14ac:dyDescent="0.25">
      <c r="A750" t="s">
        <v>8388</v>
      </c>
      <c r="B750" t="s">
        <v>8534</v>
      </c>
      <c r="C750" t="s">
        <v>1</v>
      </c>
      <c r="D750" t="s">
        <v>8526</v>
      </c>
      <c r="E750" t="s">
        <v>8147</v>
      </c>
      <c r="F750" t="s">
        <v>8146</v>
      </c>
      <c r="G750">
        <v>3232</v>
      </c>
      <c r="H750">
        <v>3232</v>
      </c>
      <c r="I750">
        <v>3232</v>
      </c>
      <c r="J750">
        <v>3232</v>
      </c>
      <c r="L750" s="3">
        <v>0</v>
      </c>
      <c r="M750" s="3">
        <v>0</v>
      </c>
      <c r="N750" s="3">
        <v>0</v>
      </c>
      <c r="O750" s="3">
        <v>14.06</v>
      </c>
      <c r="P750" s="3">
        <v>0</v>
      </c>
      <c r="Q750" s="3">
        <v>0</v>
      </c>
      <c r="R750" s="3">
        <v>0</v>
      </c>
      <c r="S750" s="3">
        <v>0</v>
      </c>
      <c r="T750" s="3">
        <v>0</v>
      </c>
      <c r="U750" s="3">
        <v>14.06</v>
      </c>
      <c r="V750" t="s">
        <v>55</v>
      </c>
    </row>
    <row r="751" spans="1:22" hidden="1" x14ac:dyDescent="0.25">
      <c r="A751" t="s">
        <v>8388</v>
      </c>
      <c r="B751" t="s">
        <v>8533</v>
      </c>
      <c r="C751" t="s">
        <v>1</v>
      </c>
      <c r="D751" t="s">
        <v>8526</v>
      </c>
      <c r="E751" t="s">
        <v>8147</v>
      </c>
      <c r="F751" t="s">
        <v>8146</v>
      </c>
      <c r="G751">
        <v>3233</v>
      </c>
      <c r="H751">
        <v>3233</v>
      </c>
      <c r="I751">
        <v>3233</v>
      </c>
      <c r="J751">
        <v>3233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3">
        <v>0</v>
      </c>
      <c r="T751" s="3">
        <v>0</v>
      </c>
      <c r="U751" s="3">
        <v>0</v>
      </c>
      <c r="V751" t="s">
        <v>55</v>
      </c>
    </row>
    <row r="752" spans="1:22" hidden="1" x14ac:dyDescent="0.25">
      <c r="A752" t="s">
        <v>8388</v>
      </c>
      <c r="B752" t="s">
        <v>8533</v>
      </c>
      <c r="C752" t="s">
        <v>1</v>
      </c>
      <c r="D752" t="s">
        <v>8526</v>
      </c>
      <c r="E752" t="s">
        <v>8147</v>
      </c>
      <c r="F752" t="s">
        <v>8146</v>
      </c>
      <c r="G752">
        <v>3234</v>
      </c>
      <c r="H752">
        <v>3234</v>
      </c>
      <c r="I752">
        <v>3234</v>
      </c>
      <c r="J752">
        <v>3234</v>
      </c>
      <c r="L752" s="3">
        <v>0</v>
      </c>
      <c r="M752" s="3">
        <v>0</v>
      </c>
      <c r="N752" s="3">
        <v>0</v>
      </c>
      <c r="O752" s="3">
        <v>190.29</v>
      </c>
      <c r="P752" s="3">
        <v>0</v>
      </c>
      <c r="Q752" s="3">
        <v>0</v>
      </c>
      <c r="R752" s="3">
        <v>0</v>
      </c>
      <c r="S752" s="3">
        <v>0</v>
      </c>
      <c r="T752" s="3">
        <v>0</v>
      </c>
      <c r="U752" s="3">
        <v>190.29</v>
      </c>
      <c r="V752" t="s">
        <v>55</v>
      </c>
    </row>
    <row r="753" spans="1:22" hidden="1" x14ac:dyDescent="0.25">
      <c r="A753" t="s">
        <v>8388</v>
      </c>
      <c r="B753" t="s">
        <v>8533</v>
      </c>
      <c r="C753" t="s">
        <v>1</v>
      </c>
      <c r="D753" t="s">
        <v>8526</v>
      </c>
      <c r="E753" t="s">
        <v>8147</v>
      </c>
      <c r="F753" t="s">
        <v>8146</v>
      </c>
      <c r="G753">
        <v>3235</v>
      </c>
      <c r="H753">
        <v>3235</v>
      </c>
      <c r="I753">
        <v>3235</v>
      </c>
      <c r="J753">
        <v>3235</v>
      </c>
      <c r="L753" s="3">
        <v>0</v>
      </c>
      <c r="M753" s="3">
        <v>0</v>
      </c>
      <c r="N753" s="3">
        <v>0</v>
      </c>
      <c r="O753" s="3">
        <v>432.5</v>
      </c>
      <c r="P753" s="3">
        <v>0</v>
      </c>
      <c r="Q753" s="3">
        <v>0</v>
      </c>
      <c r="R753" s="3">
        <v>0</v>
      </c>
      <c r="S753" s="3">
        <v>0</v>
      </c>
      <c r="T753" s="3">
        <v>0</v>
      </c>
      <c r="U753" s="3">
        <v>432.5</v>
      </c>
      <c r="V753" t="s">
        <v>55</v>
      </c>
    </row>
    <row r="754" spans="1:22" hidden="1" x14ac:dyDescent="0.25">
      <c r="A754" t="s">
        <v>8388</v>
      </c>
      <c r="B754" t="s">
        <v>8533</v>
      </c>
      <c r="C754" t="s">
        <v>1</v>
      </c>
      <c r="D754" t="s">
        <v>8526</v>
      </c>
      <c r="E754" t="s">
        <v>8147</v>
      </c>
      <c r="F754" t="s">
        <v>8146</v>
      </c>
      <c r="G754">
        <v>3236</v>
      </c>
      <c r="H754">
        <v>3236</v>
      </c>
      <c r="I754">
        <v>3236</v>
      </c>
      <c r="J754">
        <v>3236</v>
      </c>
      <c r="L754" s="3">
        <v>0</v>
      </c>
      <c r="M754" s="3">
        <v>0</v>
      </c>
      <c r="N754" s="3">
        <v>0</v>
      </c>
      <c r="O754" s="3">
        <v>254.74</v>
      </c>
      <c r="P754" s="3">
        <v>0</v>
      </c>
      <c r="Q754" s="3">
        <v>0</v>
      </c>
      <c r="R754" s="3">
        <v>0</v>
      </c>
      <c r="S754" s="3">
        <v>0</v>
      </c>
      <c r="T754" s="3">
        <v>0</v>
      </c>
      <c r="U754" s="3">
        <v>254.74</v>
      </c>
      <c r="V754" t="s">
        <v>55</v>
      </c>
    </row>
    <row r="755" spans="1:22" hidden="1" x14ac:dyDescent="0.25">
      <c r="A755" t="s">
        <v>8388</v>
      </c>
      <c r="B755" t="s">
        <v>8533</v>
      </c>
      <c r="C755" t="s">
        <v>1</v>
      </c>
      <c r="D755" t="s">
        <v>8526</v>
      </c>
      <c r="E755" t="s">
        <v>8147</v>
      </c>
      <c r="F755" t="s">
        <v>8146</v>
      </c>
      <c r="G755">
        <v>3237</v>
      </c>
      <c r="H755">
        <v>3237</v>
      </c>
      <c r="I755">
        <v>3237</v>
      </c>
      <c r="J755">
        <v>3237</v>
      </c>
      <c r="L755" s="3">
        <v>0</v>
      </c>
      <c r="M755" s="3">
        <v>0</v>
      </c>
      <c r="N755" s="3">
        <v>0</v>
      </c>
      <c r="O755" s="3">
        <v>103.73</v>
      </c>
      <c r="P755" s="3">
        <v>0</v>
      </c>
      <c r="Q755" s="3">
        <v>0</v>
      </c>
      <c r="R755" s="3">
        <v>0</v>
      </c>
      <c r="S755" s="3">
        <v>0</v>
      </c>
      <c r="T755" s="3">
        <v>0</v>
      </c>
      <c r="U755" s="3">
        <v>103.73</v>
      </c>
      <c r="V755" t="s">
        <v>55</v>
      </c>
    </row>
    <row r="756" spans="1:22" hidden="1" x14ac:dyDescent="0.25">
      <c r="A756" t="s">
        <v>8388</v>
      </c>
      <c r="B756" t="s">
        <v>8533</v>
      </c>
      <c r="C756" t="s">
        <v>1</v>
      </c>
      <c r="D756" t="s">
        <v>8526</v>
      </c>
      <c r="E756" t="s">
        <v>8147</v>
      </c>
      <c r="F756" t="s">
        <v>8146</v>
      </c>
      <c r="G756">
        <v>3238</v>
      </c>
      <c r="H756">
        <v>3238</v>
      </c>
      <c r="I756">
        <v>3238</v>
      </c>
      <c r="J756">
        <v>3238</v>
      </c>
      <c r="L756" s="3">
        <v>0</v>
      </c>
      <c r="M756" s="3">
        <v>0</v>
      </c>
      <c r="N756" s="3">
        <v>0</v>
      </c>
      <c r="O756" s="3">
        <v>132.07</v>
      </c>
      <c r="P756" s="3">
        <v>0</v>
      </c>
      <c r="Q756" s="3">
        <v>0</v>
      </c>
      <c r="R756" s="3">
        <v>0</v>
      </c>
      <c r="S756" s="3">
        <v>0</v>
      </c>
      <c r="T756" s="3">
        <v>0</v>
      </c>
      <c r="U756" s="3">
        <v>132.07</v>
      </c>
      <c r="V756" t="s">
        <v>55</v>
      </c>
    </row>
    <row r="757" spans="1:22" hidden="1" x14ac:dyDescent="0.25">
      <c r="A757" t="s">
        <v>8388</v>
      </c>
      <c r="B757" t="s">
        <v>8533</v>
      </c>
      <c r="C757" t="s">
        <v>1</v>
      </c>
      <c r="D757" t="s">
        <v>8526</v>
      </c>
      <c r="E757" t="s">
        <v>8147</v>
      </c>
      <c r="F757" t="s">
        <v>8146</v>
      </c>
      <c r="G757">
        <v>3239</v>
      </c>
      <c r="H757">
        <v>3239</v>
      </c>
      <c r="I757">
        <v>3239</v>
      </c>
      <c r="J757">
        <v>3239</v>
      </c>
      <c r="L757" s="3">
        <v>0</v>
      </c>
      <c r="M757" s="3">
        <v>0</v>
      </c>
      <c r="N757" s="3">
        <v>0</v>
      </c>
      <c r="O757" s="3">
        <v>16.39</v>
      </c>
      <c r="P757" s="3">
        <v>0</v>
      </c>
      <c r="Q757" s="3">
        <v>0</v>
      </c>
      <c r="R757" s="3">
        <v>0</v>
      </c>
      <c r="S757" s="3">
        <v>0</v>
      </c>
      <c r="T757" s="3">
        <v>0</v>
      </c>
      <c r="U757" s="3">
        <v>16.39</v>
      </c>
      <c r="V757" t="s">
        <v>55</v>
      </c>
    </row>
    <row r="758" spans="1:22" hidden="1" x14ac:dyDescent="0.25">
      <c r="A758" t="s">
        <v>8388</v>
      </c>
      <c r="B758" t="s">
        <v>8533</v>
      </c>
      <c r="C758" t="s">
        <v>1</v>
      </c>
      <c r="D758" t="s">
        <v>8526</v>
      </c>
      <c r="E758" t="s">
        <v>8147</v>
      </c>
      <c r="F758" t="s">
        <v>8146</v>
      </c>
      <c r="G758">
        <v>3240</v>
      </c>
      <c r="H758">
        <v>3240</v>
      </c>
      <c r="I758">
        <v>3240</v>
      </c>
      <c r="J758">
        <v>3240</v>
      </c>
      <c r="L758" s="3">
        <v>0</v>
      </c>
      <c r="M758" s="3">
        <v>0</v>
      </c>
      <c r="N758" s="3">
        <v>0</v>
      </c>
      <c r="O758" s="3">
        <v>118</v>
      </c>
      <c r="P758" s="3">
        <v>0</v>
      </c>
      <c r="Q758" s="3">
        <v>0</v>
      </c>
      <c r="R758" s="3">
        <v>0</v>
      </c>
      <c r="S758" s="3">
        <v>0</v>
      </c>
      <c r="T758" s="3">
        <v>0</v>
      </c>
      <c r="U758" s="3">
        <v>118</v>
      </c>
      <c r="V758" t="s">
        <v>55</v>
      </c>
    </row>
    <row r="759" spans="1:22" hidden="1" x14ac:dyDescent="0.25">
      <c r="A759" t="s">
        <v>8388</v>
      </c>
      <c r="B759" t="s">
        <v>8533</v>
      </c>
      <c r="C759" t="s">
        <v>1</v>
      </c>
      <c r="D759" t="s">
        <v>8526</v>
      </c>
      <c r="E759" t="s">
        <v>8147</v>
      </c>
      <c r="F759" t="s">
        <v>8146</v>
      </c>
      <c r="G759">
        <v>3241</v>
      </c>
      <c r="H759">
        <v>3241</v>
      </c>
      <c r="I759">
        <v>3241</v>
      </c>
      <c r="J759">
        <v>3241</v>
      </c>
      <c r="L759" s="3">
        <v>0</v>
      </c>
      <c r="M759" s="3">
        <v>0</v>
      </c>
      <c r="N759" s="3">
        <v>0</v>
      </c>
      <c r="O759" s="3">
        <v>251.65</v>
      </c>
      <c r="P759" s="3">
        <v>0</v>
      </c>
      <c r="Q759" s="3">
        <v>0</v>
      </c>
      <c r="R759" s="3">
        <v>0</v>
      </c>
      <c r="S759" s="3">
        <v>0</v>
      </c>
      <c r="T759" s="3">
        <v>0</v>
      </c>
      <c r="U759" s="3">
        <v>251.65</v>
      </c>
      <c r="V759" t="s">
        <v>55</v>
      </c>
    </row>
    <row r="760" spans="1:22" hidden="1" x14ac:dyDescent="0.25">
      <c r="A760" t="s">
        <v>8388</v>
      </c>
      <c r="B760" t="s">
        <v>8533</v>
      </c>
      <c r="C760" t="s">
        <v>1</v>
      </c>
      <c r="D760" t="s">
        <v>8526</v>
      </c>
      <c r="E760" t="s">
        <v>8147</v>
      </c>
      <c r="F760" t="s">
        <v>8146</v>
      </c>
      <c r="G760">
        <v>3242</v>
      </c>
      <c r="H760">
        <v>3242</v>
      </c>
      <c r="I760">
        <v>3242</v>
      </c>
      <c r="J760">
        <v>3242</v>
      </c>
      <c r="L760" s="3">
        <v>0</v>
      </c>
      <c r="M760" s="3">
        <v>0</v>
      </c>
      <c r="N760" s="3">
        <v>0</v>
      </c>
      <c r="O760" s="3">
        <v>264.14999999999998</v>
      </c>
      <c r="P760" s="3">
        <v>0</v>
      </c>
      <c r="Q760" s="3">
        <v>0</v>
      </c>
      <c r="R760" s="3">
        <v>0</v>
      </c>
      <c r="S760" s="3">
        <v>0</v>
      </c>
      <c r="T760" s="3">
        <v>0</v>
      </c>
      <c r="U760" s="3">
        <v>264.14999999999998</v>
      </c>
      <c r="V760" t="s">
        <v>55</v>
      </c>
    </row>
    <row r="761" spans="1:22" hidden="1" x14ac:dyDescent="0.25">
      <c r="A761" t="s">
        <v>8388</v>
      </c>
      <c r="B761" t="s">
        <v>8533</v>
      </c>
      <c r="C761" t="s">
        <v>1</v>
      </c>
      <c r="D761" t="s">
        <v>8526</v>
      </c>
      <c r="E761" t="s">
        <v>8147</v>
      </c>
      <c r="F761" t="s">
        <v>8146</v>
      </c>
      <c r="G761">
        <v>3243</v>
      </c>
      <c r="H761">
        <v>3243</v>
      </c>
      <c r="I761">
        <v>3243</v>
      </c>
      <c r="J761">
        <v>3243</v>
      </c>
      <c r="L761" s="3">
        <v>0</v>
      </c>
      <c r="M761" s="3">
        <v>0</v>
      </c>
      <c r="N761" s="3">
        <v>0</v>
      </c>
      <c r="O761" s="3">
        <v>614.51</v>
      </c>
      <c r="P761" s="3">
        <v>0</v>
      </c>
      <c r="Q761" s="3">
        <v>0</v>
      </c>
      <c r="R761" s="3">
        <v>0</v>
      </c>
      <c r="S761" s="3">
        <v>0</v>
      </c>
      <c r="T761" s="3">
        <v>0</v>
      </c>
      <c r="U761" s="3">
        <v>614.51</v>
      </c>
      <c r="V761" t="s">
        <v>55</v>
      </c>
    </row>
    <row r="762" spans="1:22" hidden="1" x14ac:dyDescent="0.25">
      <c r="A762" t="s">
        <v>8388</v>
      </c>
      <c r="B762" t="s">
        <v>8533</v>
      </c>
      <c r="C762" t="s">
        <v>1</v>
      </c>
      <c r="D762" t="s">
        <v>8526</v>
      </c>
      <c r="E762" t="s">
        <v>8147</v>
      </c>
      <c r="F762" t="s">
        <v>8146</v>
      </c>
      <c r="G762">
        <v>3244</v>
      </c>
      <c r="H762">
        <v>3244</v>
      </c>
      <c r="I762">
        <v>3244</v>
      </c>
      <c r="J762">
        <v>3244</v>
      </c>
      <c r="L762" s="3">
        <v>0</v>
      </c>
      <c r="M762" s="3">
        <v>0</v>
      </c>
      <c r="N762" s="3">
        <v>0</v>
      </c>
      <c r="O762" s="3">
        <v>88.43</v>
      </c>
      <c r="P762" s="3">
        <v>0</v>
      </c>
      <c r="Q762" s="3">
        <v>0</v>
      </c>
      <c r="R762" s="3">
        <v>0</v>
      </c>
      <c r="S762" s="3">
        <v>0</v>
      </c>
      <c r="T762" s="3">
        <v>0</v>
      </c>
      <c r="U762" s="3">
        <v>88.43</v>
      </c>
      <c r="V762" t="s">
        <v>55</v>
      </c>
    </row>
    <row r="763" spans="1:22" hidden="1" x14ac:dyDescent="0.25">
      <c r="A763" t="s">
        <v>8388</v>
      </c>
      <c r="B763" t="s">
        <v>8532</v>
      </c>
      <c r="C763" t="s">
        <v>1</v>
      </c>
      <c r="D763" t="s">
        <v>8526</v>
      </c>
      <c r="E763" t="s">
        <v>8147</v>
      </c>
      <c r="F763" t="s">
        <v>8146</v>
      </c>
      <c r="G763">
        <v>3245</v>
      </c>
      <c r="H763">
        <v>3245</v>
      </c>
      <c r="I763">
        <v>3245</v>
      </c>
      <c r="J763">
        <v>3245</v>
      </c>
      <c r="L763" s="3">
        <v>0</v>
      </c>
      <c r="M763" s="3">
        <v>0</v>
      </c>
      <c r="N763" s="3">
        <v>0</v>
      </c>
      <c r="O763" s="3">
        <v>0</v>
      </c>
      <c r="P763" s="3">
        <v>0</v>
      </c>
      <c r="Q763" s="3">
        <v>0</v>
      </c>
      <c r="R763" s="3">
        <v>0</v>
      </c>
      <c r="S763" s="3">
        <v>0</v>
      </c>
      <c r="T763" s="3">
        <v>0</v>
      </c>
      <c r="U763" s="3">
        <v>0</v>
      </c>
      <c r="V763" t="s">
        <v>55</v>
      </c>
    </row>
    <row r="764" spans="1:22" hidden="1" x14ac:dyDescent="0.25">
      <c r="A764" t="s">
        <v>8388</v>
      </c>
      <c r="B764" t="s">
        <v>8532</v>
      </c>
      <c r="C764" t="s">
        <v>1</v>
      </c>
      <c r="D764" t="s">
        <v>8526</v>
      </c>
      <c r="E764" t="s">
        <v>8147</v>
      </c>
      <c r="F764" t="s">
        <v>8146</v>
      </c>
      <c r="G764">
        <v>3246</v>
      </c>
      <c r="H764">
        <v>3246</v>
      </c>
      <c r="I764">
        <v>3246</v>
      </c>
      <c r="J764">
        <v>3246</v>
      </c>
      <c r="L764" s="3">
        <v>0</v>
      </c>
      <c r="M764" s="3">
        <v>0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3">
        <v>0</v>
      </c>
      <c r="T764" s="3">
        <v>0</v>
      </c>
      <c r="U764" s="3">
        <v>0</v>
      </c>
      <c r="V764" t="s">
        <v>55</v>
      </c>
    </row>
    <row r="765" spans="1:22" hidden="1" x14ac:dyDescent="0.25">
      <c r="A765" t="s">
        <v>8388</v>
      </c>
      <c r="B765" t="s">
        <v>8532</v>
      </c>
      <c r="C765" t="s">
        <v>1</v>
      </c>
      <c r="D765" t="s">
        <v>8526</v>
      </c>
      <c r="E765" t="s">
        <v>8147</v>
      </c>
      <c r="F765" t="s">
        <v>8146</v>
      </c>
      <c r="G765">
        <v>3247</v>
      </c>
      <c r="H765">
        <v>3247</v>
      </c>
      <c r="I765">
        <v>3247</v>
      </c>
      <c r="J765">
        <v>3247</v>
      </c>
      <c r="L765" s="3">
        <v>0</v>
      </c>
      <c r="M765" s="3">
        <v>0</v>
      </c>
      <c r="N765" s="3">
        <v>0</v>
      </c>
      <c r="O765" s="3">
        <v>225</v>
      </c>
      <c r="P765" s="3">
        <v>0</v>
      </c>
      <c r="Q765" s="3">
        <v>0</v>
      </c>
      <c r="R765" s="3">
        <v>0</v>
      </c>
      <c r="S765" s="3">
        <v>0</v>
      </c>
      <c r="T765" s="3">
        <v>0</v>
      </c>
      <c r="U765" s="3">
        <v>225</v>
      </c>
      <c r="V765" t="s">
        <v>55</v>
      </c>
    </row>
    <row r="766" spans="1:22" hidden="1" x14ac:dyDescent="0.25">
      <c r="A766" t="s">
        <v>8388</v>
      </c>
      <c r="B766" t="s">
        <v>8532</v>
      </c>
      <c r="C766" t="s">
        <v>1</v>
      </c>
      <c r="D766" t="s">
        <v>8526</v>
      </c>
      <c r="E766" t="s">
        <v>8147</v>
      </c>
      <c r="F766" t="s">
        <v>8146</v>
      </c>
      <c r="G766">
        <v>3248</v>
      </c>
      <c r="H766">
        <v>3248</v>
      </c>
      <c r="I766">
        <v>3248</v>
      </c>
      <c r="J766">
        <v>3248</v>
      </c>
      <c r="L766" s="3">
        <v>0</v>
      </c>
      <c r="M766" s="3">
        <v>0</v>
      </c>
      <c r="N766" s="3">
        <v>0</v>
      </c>
      <c r="O766" s="3">
        <v>25.5</v>
      </c>
      <c r="P766" s="3">
        <v>0</v>
      </c>
      <c r="Q766" s="3">
        <v>0</v>
      </c>
      <c r="R766" s="3">
        <v>0</v>
      </c>
      <c r="S766" s="3">
        <v>0</v>
      </c>
      <c r="T766" s="3">
        <v>0</v>
      </c>
      <c r="U766" s="3">
        <v>25.5</v>
      </c>
      <c r="V766" t="s">
        <v>55</v>
      </c>
    </row>
    <row r="767" spans="1:22" hidden="1" x14ac:dyDescent="0.25">
      <c r="A767" t="s">
        <v>8388</v>
      </c>
      <c r="B767" t="s">
        <v>8532</v>
      </c>
      <c r="C767" t="s">
        <v>1</v>
      </c>
      <c r="D767" t="s">
        <v>8526</v>
      </c>
      <c r="E767" t="s">
        <v>8147</v>
      </c>
      <c r="F767" t="s">
        <v>8146</v>
      </c>
      <c r="G767">
        <v>3249</v>
      </c>
      <c r="H767">
        <v>3249</v>
      </c>
      <c r="I767">
        <v>3249</v>
      </c>
      <c r="J767">
        <v>3249</v>
      </c>
      <c r="L767" s="3">
        <v>0</v>
      </c>
      <c r="M767" s="3">
        <v>0</v>
      </c>
      <c r="N767" s="3">
        <v>0</v>
      </c>
      <c r="O767" s="3">
        <v>42.5</v>
      </c>
      <c r="P767" s="3">
        <v>0</v>
      </c>
      <c r="Q767" s="3">
        <v>0</v>
      </c>
      <c r="R767" s="3">
        <v>0</v>
      </c>
      <c r="S767" s="3">
        <v>0</v>
      </c>
      <c r="T767" s="3">
        <v>0</v>
      </c>
      <c r="U767" s="3">
        <v>42.5</v>
      </c>
      <c r="V767" t="s">
        <v>55</v>
      </c>
    </row>
    <row r="768" spans="1:22" hidden="1" x14ac:dyDescent="0.25">
      <c r="A768" t="s">
        <v>8388</v>
      </c>
      <c r="B768" t="s">
        <v>8532</v>
      </c>
      <c r="C768" t="s">
        <v>1</v>
      </c>
      <c r="D768" t="s">
        <v>8526</v>
      </c>
      <c r="E768" t="s">
        <v>8147</v>
      </c>
      <c r="F768" t="s">
        <v>8146</v>
      </c>
      <c r="G768">
        <v>3250</v>
      </c>
      <c r="H768">
        <v>3250</v>
      </c>
      <c r="I768">
        <v>3250</v>
      </c>
      <c r="J768">
        <v>3250</v>
      </c>
      <c r="L768" s="3">
        <v>0</v>
      </c>
      <c r="M768" s="3">
        <v>0</v>
      </c>
      <c r="N768" s="3">
        <v>0</v>
      </c>
      <c r="O768" s="3">
        <v>266</v>
      </c>
      <c r="P768" s="3">
        <v>0</v>
      </c>
      <c r="Q768" s="3">
        <v>0</v>
      </c>
      <c r="R768" s="3">
        <v>0</v>
      </c>
      <c r="S768" s="3">
        <v>0</v>
      </c>
      <c r="T768" s="3">
        <v>0</v>
      </c>
      <c r="U768" s="3">
        <v>266</v>
      </c>
      <c r="V768" t="s">
        <v>55</v>
      </c>
    </row>
    <row r="769" spans="1:22" hidden="1" x14ac:dyDescent="0.25">
      <c r="A769" t="s">
        <v>8388</v>
      </c>
      <c r="B769" t="s">
        <v>8532</v>
      </c>
      <c r="C769" t="s">
        <v>1</v>
      </c>
      <c r="D769" t="s">
        <v>8526</v>
      </c>
      <c r="E769" t="s">
        <v>8147</v>
      </c>
      <c r="F769" t="s">
        <v>8146</v>
      </c>
      <c r="G769">
        <v>3251</v>
      </c>
      <c r="H769">
        <v>3251</v>
      </c>
      <c r="I769">
        <v>3251</v>
      </c>
      <c r="J769">
        <v>3251</v>
      </c>
      <c r="L769" s="3">
        <v>0</v>
      </c>
      <c r="M769" s="3">
        <v>0</v>
      </c>
      <c r="N769" s="3">
        <v>0</v>
      </c>
      <c r="O769" s="3">
        <v>282.74</v>
      </c>
      <c r="P769" s="3">
        <v>0</v>
      </c>
      <c r="Q769" s="3">
        <v>0</v>
      </c>
      <c r="R769" s="3">
        <v>0</v>
      </c>
      <c r="S769" s="3">
        <v>0</v>
      </c>
      <c r="T769" s="3">
        <v>0</v>
      </c>
      <c r="U769" s="3">
        <v>282.74</v>
      </c>
      <c r="V769" t="s">
        <v>55</v>
      </c>
    </row>
    <row r="770" spans="1:22" hidden="1" x14ac:dyDescent="0.25">
      <c r="A770" t="s">
        <v>8388</v>
      </c>
      <c r="B770" t="s">
        <v>8532</v>
      </c>
      <c r="C770" t="s">
        <v>1</v>
      </c>
      <c r="D770" t="s">
        <v>8526</v>
      </c>
      <c r="E770" t="s">
        <v>8147</v>
      </c>
      <c r="F770" t="s">
        <v>8146</v>
      </c>
      <c r="G770">
        <v>3252</v>
      </c>
      <c r="H770">
        <v>3252</v>
      </c>
      <c r="I770">
        <v>3252</v>
      </c>
      <c r="J770">
        <v>3252</v>
      </c>
      <c r="L770" s="3">
        <v>0</v>
      </c>
      <c r="M770" s="3">
        <v>0</v>
      </c>
      <c r="N770" s="3">
        <v>0</v>
      </c>
      <c r="O770" s="3">
        <v>61.02</v>
      </c>
      <c r="P770" s="3">
        <v>0</v>
      </c>
      <c r="Q770" s="3">
        <v>0</v>
      </c>
      <c r="R770" s="3">
        <v>0</v>
      </c>
      <c r="S770" s="3">
        <v>0</v>
      </c>
      <c r="T770" s="3">
        <v>0</v>
      </c>
      <c r="U770" s="3">
        <v>61.02</v>
      </c>
      <c r="V770" t="s">
        <v>55</v>
      </c>
    </row>
    <row r="771" spans="1:22" hidden="1" x14ac:dyDescent="0.25">
      <c r="A771" t="s">
        <v>8388</v>
      </c>
      <c r="B771" t="s">
        <v>8532</v>
      </c>
      <c r="C771" t="s">
        <v>1</v>
      </c>
      <c r="D771" t="s">
        <v>8526</v>
      </c>
      <c r="E771" t="s">
        <v>8147</v>
      </c>
      <c r="F771" t="s">
        <v>8146</v>
      </c>
      <c r="G771">
        <v>3253</v>
      </c>
      <c r="H771">
        <v>3253</v>
      </c>
      <c r="I771">
        <v>3253</v>
      </c>
      <c r="J771">
        <v>3253</v>
      </c>
      <c r="L771" s="3">
        <v>0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3">
        <v>0</v>
      </c>
      <c r="T771" s="3">
        <v>0</v>
      </c>
      <c r="U771" s="3">
        <v>0</v>
      </c>
      <c r="V771" t="s">
        <v>55</v>
      </c>
    </row>
    <row r="772" spans="1:22" hidden="1" x14ac:dyDescent="0.25">
      <c r="A772" t="s">
        <v>8388</v>
      </c>
      <c r="B772" t="s">
        <v>8532</v>
      </c>
      <c r="C772" t="s">
        <v>1</v>
      </c>
      <c r="D772" t="s">
        <v>8526</v>
      </c>
      <c r="E772" t="s">
        <v>8147</v>
      </c>
      <c r="F772" t="s">
        <v>8146</v>
      </c>
      <c r="G772">
        <v>3255</v>
      </c>
      <c r="H772">
        <v>3255</v>
      </c>
      <c r="I772">
        <v>3255</v>
      </c>
      <c r="J772">
        <v>3255</v>
      </c>
      <c r="L772" s="3">
        <v>0</v>
      </c>
      <c r="M772" s="3">
        <v>0</v>
      </c>
      <c r="N772" s="3">
        <v>0</v>
      </c>
      <c r="O772" s="3">
        <v>11.44</v>
      </c>
      <c r="P772" s="3">
        <v>0</v>
      </c>
      <c r="Q772" s="3">
        <v>0</v>
      </c>
      <c r="R772" s="3">
        <v>0</v>
      </c>
      <c r="S772" s="3">
        <v>0</v>
      </c>
      <c r="T772" s="3">
        <v>0</v>
      </c>
      <c r="U772" s="3">
        <v>11.44</v>
      </c>
      <c r="V772" t="s">
        <v>55</v>
      </c>
    </row>
    <row r="773" spans="1:22" hidden="1" x14ac:dyDescent="0.25">
      <c r="A773" t="s">
        <v>8388</v>
      </c>
      <c r="B773" t="s">
        <v>8520</v>
      </c>
      <c r="C773" t="s">
        <v>1</v>
      </c>
      <c r="D773" t="s">
        <v>8526</v>
      </c>
      <c r="E773" t="s">
        <v>8147</v>
      </c>
      <c r="F773" t="s">
        <v>8146</v>
      </c>
      <c r="G773">
        <v>3256</v>
      </c>
      <c r="H773">
        <v>3256</v>
      </c>
      <c r="I773">
        <v>3256</v>
      </c>
      <c r="J773">
        <v>3256</v>
      </c>
      <c r="L773" s="3">
        <v>0</v>
      </c>
      <c r="M773" s="3">
        <v>0</v>
      </c>
      <c r="N773" s="3">
        <v>0</v>
      </c>
      <c r="O773" s="3">
        <v>30.51</v>
      </c>
      <c r="P773" s="3">
        <v>0</v>
      </c>
      <c r="Q773" s="3">
        <v>0</v>
      </c>
      <c r="R773" s="3">
        <v>0</v>
      </c>
      <c r="S773" s="3">
        <v>0</v>
      </c>
      <c r="T773" s="3">
        <v>0</v>
      </c>
      <c r="U773" s="3">
        <v>30.51</v>
      </c>
      <c r="V773" t="s">
        <v>55</v>
      </c>
    </row>
    <row r="774" spans="1:22" hidden="1" x14ac:dyDescent="0.25">
      <c r="A774" t="s">
        <v>8388</v>
      </c>
      <c r="B774" t="s">
        <v>8520</v>
      </c>
      <c r="C774" t="s">
        <v>1</v>
      </c>
      <c r="D774" t="s">
        <v>8526</v>
      </c>
      <c r="E774" t="s">
        <v>8147</v>
      </c>
      <c r="F774" t="s">
        <v>8146</v>
      </c>
      <c r="G774">
        <v>3257</v>
      </c>
      <c r="H774">
        <v>3257</v>
      </c>
      <c r="I774">
        <v>3257</v>
      </c>
      <c r="J774">
        <v>3257</v>
      </c>
      <c r="L774" s="3">
        <v>0</v>
      </c>
      <c r="M774" s="3">
        <v>0</v>
      </c>
      <c r="N774" s="3">
        <v>0</v>
      </c>
      <c r="O774" s="3">
        <v>465.8</v>
      </c>
      <c r="P774" s="3">
        <v>0</v>
      </c>
      <c r="Q774" s="3">
        <v>0</v>
      </c>
      <c r="R774" s="3">
        <v>0</v>
      </c>
      <c r="S774" s="3">
        <v>0</v>
      </c>
      <c r="T774" s="3">
        <v>0</v>
      </c>
      <c r="U774" s="3">
        <v>465.8</v>
      </c>
      <c r="V774" t="s">
        <v>55</v>
      </c>
    </row>
    <row r="775" spans="1:22" hidden="1" x14ac:dyDescent="0.25">
      <c r="A775" t="s">
        <v>8388</v>
      </c>
      <c r="B775" t="s">
        <v>8520</v>
      </c>
      <c r="C775" t="s">
        <v>1</v>
      </c>
      <c r="D775" t="s">
        <v>8526</v>
      </c>
      <c r="E775" t="s">
        <v>8147</v>
      </c>
      <c r="F775" t="s">
        <v>8146</v>
      </c>
      <c r="G775">
        <v>3258</v>
      </c>
      <c r="H775">
        <v>3258</v>
      </c>
      <c r="I775">
        <v>3258</v>
      </c>
      <c r="J775">
        <v>3258</v>
      </c>
      <c r="L775" s="3">
        <v>0</v>
      </c>
      <c r="M775" s="3">
        <v>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3">
        <v>0</v>
      </c>
      <c r="T775" s="3">
        <v>0</v>
      </c>
      <c r="U775" s="3">
        <v>0</v>
      </c>
      <c r="V775" t="s">
        <v>55</v>
      </c>
    </row>
    <row r="776" spans="1:22" hidden="1" x14ac:dyDescent="0.25">
      <c r="A776" t="s">
        <v>8388</v>
      </c>
      <c r="B776" t="s">
        <v>8520</v>
      </c>
      <c r="C776" t="s">
        <v>1</v>
      </c>
      <c r="D776" t="s">
        <v>8526</v>
      </c>
      <c r="E776" t="s">
        <v>8147</v>
      </c>
      <c r="F776" t="s">
        <v>8146</v>
      </c>
      <c r="G776">
        <v>3259</v>
      </c>
      <c r="H776">
        <v>3259</v>
      </c>
      <c r="I776">
        <v>3259</v>
      </c>
      <c r="J776">
        <v>3259</v>
      </c>
      <c r="L776" s="3">
        <v>0</v>
      </c>
      <c r="M776" s="3">
        <v>0</v>
      </c>
      <c r="N776" s="3">
        <v>0</v>
      </c>
      <c r="O776" s="3">
        <v>360</v>
      </c>
      <c r="P776" s="3">
        <v>0</v>
      </c>
      <c r="Q776" s="3">
        <v>0</v>
      </c>
      <c r="R776" s="3">
        <v>0</v>
      </c>
      <c r="S776" s="3">
        <v>0</v>
      </c>
      <c r="T776" s="3">
        <v>0</v>
      </c>
      <c r="U776" s="3">
        <v>360</v>
      </c>
      <c r="V776" t="s">
        <v>55</v>
      </c>
    </row>
    <row r="777" spans="1:22" hidden="1" x14ac:dyDescent="0.25">
      <c r="A777" t="s">
        <v>8388</v>
      </c>
      <c r="B777" t="s">
        <v>8520</v>
      </c>
      <c r="C777" t="s">
        <v>1</v>
      </c>
      <c r="D777" t="s">
        <v>8526</v>
      </c>
      <c r="E777" t="s">
        <v>8147</v>
      </c>
      <c r="F777" t="s">
        <v>8146</v>
      </c>
      <c r="G777">
        <v>3260</v>
      </c>
      <c r="H777">
        <v>3260</v>
      </c>
      <c r="I777">
        <v>3260</v>
      </c>
      <c r="J777">
        <v>3260</v>
      </c>
      <c r="L777" s="3">
        <v>0</v>
      </c>
      <c r="M777" s="3">
        <v>0</v>
      </c>
      <c r="N777" s="3">
        <v>0</v>
      </c>
      <c r="O777" s="3">
        <v>138.30000000000001</v>
      </c>
      <c r="P777" s="3">
        <v>0</v>
      </c>
      <c r="Q777" s="3">
        <v>0</v>
      </c>
      <c r="R777" s="3">
        <v>0</v>
      </c>
      <c r="S777" s="3">
        <v>0</v>
      </c>
      <c r="T777" s="3">
        <v>0</v>
      </c>
      <c r="U777" s="3">
        <v>138.30000000000001</v>
      </c>
      <c r="V777" t="s">
        <v>55</v>
      </c>
    </row>
    <row r="778" spans="1:22" hidden="1" x14ac:dyDescent="0.25">
      <c r="A778" t="s">
        <v>8388</v>
      </c>
      <c r="B778" t="s">
        <v>8531</v>
      </c>
      <c r="C778" t="s">
        <v>1</v>
      </c>
      <c r="D778" t="s">
        <v>8526</v>
      </c>
      <c r="E778" t="s">
        <v>8147</v>
      </c>
      <c r="F778" t="s">
        <v>8146</v>
      </c>
      <c r="G778">
        <v>3261</v>
      </c>
      <c r="H778">
        <v>3261</v>
      </c>
      <c r="I778">
        <v>3261</v>
      </c>
      <c r="J778">
        <v>3261</v>
      </c>
      <c r="L778" s="3">
        <v>0</v>
      </c>
      <c r="M778" s="3">
        <v>0</v>
      </c>
      <c r="N778" s="3">
        <v>0</v>
      </c>
      <c r="O778" s="3">
        <v>85</v>
      </c>
      <c r="P778" s="3">
        <v>0</v>
      </c>
      <c r="Q778" s="3">
        <v>0</v>
      </c>
      <c r="R778" s="3">
        <v>0</v>
      </c>
      <c r="S778" s="3">
        <v>0</v>
      </c>
      <c r="T778" s="3">
        <v>0</v>
      </c>
      <c r="U778" s="3">
        <v>85</v>
      </c>
      <c r="V778" t="s">
        <v>55</v>
      </c>
    </row>
    <row r="779" spans="1:22" hidden="1" x14ac:dyDescent="0.25">
      <c r="A779" t="s">
        <v>8388</v>
      </c>
      <c r="B779" t="s">
        <v>8531</v>
      </c>
      <c r="C779" t="s">
        <v>1</v>
      </c>
      <c r="D779" t="s">
        <v>8526</v>
      </c>
      <c r="E779" t="s">
        <v>8147</v>
      </c>
      <c r="F779" t="s">
        <v>8146</v>
      </c>
      <c r="G779">
        <v>3262</v>
      </c>
      <c r="H779">
        <v>3262</v>
      </c>
      <c r="I779">
        <v>3262</v>
      </c>
      <c r="J779">
        <v>3262</v>
      </c>
      <c r="L779" s="3">
        <v>0</v>
      </c>
      <c r="M779" s="3">
        <v>0</v>
      </c>
      <c r="N779" s="3">
        <v>0</v>
      </c>
      <c r="O779" s="3">
        <v>370</v>
      </c>
      <c r="P779" s="3">
        <v>0</v>
      </c>
      <c r="Q779" s="3">
        <v>0</v>
      </c>
      <c r="R779" s="3">
        <v>0</v>
      </c>
      <c r="S779" s="3">
        <v>0</v>
      </c>
      <c r="T779" s="3">
        <v>0</v>
      </c>
      <c r="U779" s="3">
        <v>370</v>
      </c>
      <c r="V779" t="s">
        <v>55</v>
      </c>
    </row>
    <row r="780" spans="1:22" hidden="1" x14ac:dyDescent="0.25">
      <c r="A780" t="s">
        <v>8388</v>
      </c>
      <c r="B780" t="s">
        <v>8531</v>
      </c>
      <c r="C780" t="s">
        <v>1</v>
      </c>
      <c r="D780" t="s">
        <v>8526</v>
      </c>
      <c r="E780" t="s">
        <v>8147</v>
      </c>
      <c r="F780" t="s">
        <v>8146</v>
      </c>
      <c r="G780">
        <v>3263</v>
      </c>
      <c r="H780">
        <v>3263</v>
      </c>
      <c r="I780">
        <v>3263</v>
      </c>
      <c r="J780">
        <v>3263</v>
      </c>
      <c r="L780" s="3">
        <v>0</v>
      </c>
      <c r="M780" s="3">
        <v>0</v>
      </c>
      <c r="N780" s="3">
        <v>0</v>
      </c>
      <c r="O780" s="3">
        <v>183.01</v>
      </c>
      <c r="P780" s="3">
        <v>0</v>
      </c>
      <c r="Q780" s="3">
        <v>0</v>
      </c>
      <c r="R780" s="3">
        <v>0</v>
      </c>
      <c r="S780" s="3">
        <v>0</v>
      </c>
      <c r="T780" s="3">
        <v>0</v>
      </c>
      <c r="U780" s="3">
        <v>183.01</v>
      </c>
      <c r="V780" t="s">
        <v>55</v>
      </c>
    </row>
    <row r="781" spans="1:22" hidden="1" x14ac:dyDescent="0.25">
      <c r="A781" t="s">
        <v>8388</v>
      </c>
      <c r="B781" t="s">
        <v>8530</v>
      </c>
      <c r="C781" t="s">
        <v>1</v>
      </c>
      <c r="D781" t="s">
        <v>8526</v>
      </c>
      <c r="E781" t="s">
        <v>8147</v>
      </c>
      <c r="F781" t="s">
        <v>8146</v>
      </c>
      <c r="G781">
        <v>3264</v>
      </c>
      <c r="H781">
        <v>3264</v>
      </c>
      <c r="I781">
        <v>3264</v>
      </c>
      <c r="J781">
        <v>3264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3">
        <v>0</v>
      </c>
      <c r="T781" s="3">
        <v>0</v>
      </c>
      <c r="U781" s="3">
        <v>0</v>
      </c>
      <c r="V781" t="s">
        <v>55</v>
      </c>
    </row>
    <row r="782" spans="1:22" hidden="1" x14ac:dyDescent="0.25">
      <c r="A782" t="s">
        <v>8388</v>
      </c>
      <c r="B782" t="s">
        <v>8530</v>
      </c>
      <c r="C782" t="s">
        <v>1</v>
      </c>
      <c r="D782" t="s">
        <v>8526</v>
      </c>
      <c r="E782" t="s">
        <v>8147</v>
      </c>
      <c r="F782" t="s">
        <v>8146</v>
      </c>
      <c r="G782">
        <v>3265</v>
      </c>
      <c r="H782">
        <v>3265</v>
      </c>
      <c r="I782">
        <v>3265</v>
      </c>
      <c r="J782">
        <v>3265</v>
      </c>
      <c r="L782" s="3">
        <v>0</v>
      </c>
      <c r="M782" s="3">
        <v>0</v>
      </c>
      <c r="N782" s="3">
        <v>0</v>
      </c>
      <c r="O782" s="3">
        <v>215.98</v>
      </c>
      <c r="P782" s="3">
        <v>0</v>
      </c>
      <c r="Q782" s="3">
        <v>0</v>
      </c>
      <c r="R782" s="3">
        <v>0</v>
      </c>
      <c r="S782" s="3">
        <v>0</v>
      </c>
      <c r="T782" s="3">
        <v>0</v>
      </c>
      <c r="U782" s="3">
        <v>215.98</v>
      </c>
      <c r="V782" t="s">
        <v>55</v>
      </c>
    </row>
    <row r="783" spans="1:22" hidden="1" x14ac:dyDescent="0.25">
      <c r="A783" t="s">
        <v>8388</v>
      </c>
      <c r="B783" t="s">
        <v>8530</v>
      </c>
      <c r="C783" t="s">
        <v>1</v>
      </c>
      <c r="D783" t="s">
        <v>8526</v>
      </c>
      <c r="E783" t="s">
        <v>8147</v>
      </c>
      <c r="F783" t="s">
        <v>8146</v>
      </c>
      <c r="G783">
        <v>3266</v>
      </c>
      <c r="H783">
        <v>3266</v>
      </c>
      <c r="I783">
        <v>3266</v>
      </c>
      <c r="J783">
        <v>3266</v>
      </c>
      <c r="L783" s="3">
        <v>0</v>
      </c>
      <c r="M783" s="3">
        <v>0</v>
      </c>
      <c r="N783" s="3">
        <v>0</v>
      </c>
      <c r="O783" s="3">
        <v>146.66999999999999</v>
      </c>
      <c r="P783" s="3">
        <v>0</v>
      </c>
      <c r="Q783" s="3">
        <v>0</v>
      </c>
      <c r="R783" s="3">
        <v>0</v>
      </c>
      <c r="S783" s="3">
        <v>0</v>
      </c>
      <c r="T783" s="3">
        <v>0</v>
      </c>
      <c r="U783" s="3">
        <v>146.66999999999999</v>
      </c>
      <c r="V783" t="s">
        <v>55</v>
      </c>
    </row>
    <row r="784" spans="1:22" hidden="1" x14ac:dyDescent="0.25">
      <c r="A784" t="s">
        <v>8388</v>
      </c>
      <c r="B784" t="s">
        <v>8530</v>
      </c>
      <c r="C784" t="s">
        <v>1</v>
      </c>
      <c r="D784" t="s">
        <v>8526</v>
      </c>
      <c r="E784" t="s">
        <v>8147</v>
      </c>
      <c r="F784" t="s">
        <v>8146</v>
      </c>
      <c r="G784">
        <v>3267</v>
      </c>
      <c r="H784">
        <v>3267</v>
      </c>
      <c r="I784">
        <v>3267</v>
      </c>
      <c r="J784">
        <v>3267</v>
      </c>
      <c r="L784" s="3">
        <v>0</v>
      </c>
      <c r="M784" s="3">
        <v>0</v>
      </c>
      <c r="N784" s="3">
        <v>0</v>
      </c>
      <c r="O784" s="3">
        <v>377.5</v>
      </c>
      <c r="P784" s="3">
        <v>0</v>
      </c>
      <c r="Q784" s="3">
        <v>0</v>
      </c>
      <c r="R784" s="3">
        <v>0</v>
      </c>
      <c r="S784" s="3">
        <v>0</v>
      </c>
      <c r="T784" s="3">
        <v>0</v>
      </c>
      <c r="U784" s="3">
        <v>377.5</v>
      </c>
      <c r="V784" t="s">
        <v>55</v>
      </c>
    </row>
    <row r="785" spans="1:22" hidden="1" x14ac:dyDescent="0.25">
      <c r="A785" t="s">
        <v>8388</v>
      </c>
      <c r="B785" t="s">
        <v>8530</v>
      </c>
      <c r="C785" t="s">
        <v>1</v>
      </c>
      <c r="D785" t="s">
        <v>8526</v>
      </c>
      <c r="E785" t="s">
        <v>8147</v>
      </c>
      <c r="F785" t="s">
        <v>8146</v>
      </c>
      <c r="G785">
        <v>3268</v>
      </c>
      <c r="H785">
        <v>3268</v>
      </c>
      <c r="I785">
        <v>3268</v>
      </c>
      <c r="J785">
        <v>3268</v>
      </c>
      <c r="L785" s="3">
        <v>0</v>
      </c>
      <c r="M785" s="3">
        <v>0</v>
      </c>
      <c r="N785" s="3">
        <v>0</v>
      </c>
      <c r="O785" s="3">
        <v>293.8</v>
      </c>
      <c r="P785" s="3">
        <v>0</v>
      </c>
      <c r="Q785" s="3">
        <v>0</v>
      </c>
      <c r="R785" s="3">
        <v>0</v>
      </c>
      <c r="S785" s="3">
        <v>0</v>
      </c>
      <c r="T785" s="3">
        <v>0</v>
      </c>
      <c r="U785" s="3">
        <v>293.8</v>
      </c>
      <c r="V785" t="s">
        <v>55</v>
      </c>
    </row>
    <row r="786" spans="1:22" hidden="1" x14ac:dyDescent="0.25">
      <c r="A786" t="s">
        <v>8388</v>
      </c>
      <c r="B786" t="s">
        <v>8530</v>
      </c>
      <c r="C786" t="s">
        <v>1</v>
      </c>
      <c r="D786" t="s">
        <v>8526</v>
      </c>
      <c r="E786" t="s">
        <v>8147</v>
      </c>
      <c r="F786" t="s">
        <v>8146</v>
      </c>
      <c r="G786">
        <v>3269</v>
      </c>
      <c r="H786">
        <v>3269</v>
      </c>
      <c r="I786">
        <v>3269</v>
      </c>
      <c r="J786">
        <v>3269</v>
      </c>
      <c r="L786" s="3">
        <v>0</v>
      </c>
      <c r="M786" s="3">
        <v>0</v>
      </c>
      <c r="N786" s="3">
        <v>0</v>
      </c>
      <c r="O786" s="3">
        <v>501.68</v>
      </c>
      <c r="P786" s="3">
        <v>0</v>
      </c>
      <c r="Q786" s="3">
        <v>0</v>
      </c>
      <c r="R786" s="3">
        <v>0</v>
      </c>
      <c r="S786" s="3">
        <v>0</v>
      </c>
      <c r="T786" s="3">
        <v>0</v>
      </c>
      <c r="U786" s="3">
        <v>501.68</v>
      </c>
      <c r="V786" t="s">
        <v>55</v>
      </c>
    </row>
    <row r="787" spans="1:22" hidden="1" x14ac:dyDescent="0.25">
      <c r="A787" t="s">
        <v>8388</v>
      </c>
      <c r="B787" t="s">
        <v>8530</v>
      </c>
      <c r="C787" t="s">
        <v>1</v>
      </c>
      <c r="D787" t="s">
        <v>8526</v>
      </c>
      <c r="E787" t="s">
        <v>8147</v>
      </c>
      <c r="F787" t="s">
        <v>8146</v>
      </c>
      <c r="G787">
        <v>3270</v>
      </c>
      <c r="H787">
        <v>3270</v>
      </c>
      <c r="I787">
        <v>3270</v>
      </c>
      <c r="J787">
        <v>3270</v>
      </c>
      <c r="L787" s="3">
        <v>0</v>
      </c>
      <c r="M787" s="3">
        <v>0</v>
      </c>
      <c r="N787" s="3">
        <v>0</v>
      </c>
      <c r="O787" s="3">
        <v>13.56</v>
      </c>
      <c r="P787" s="3">
        <v>0</v>
      </c>
      <c r="Q787" s="3">
        <v>0</v>
      </c>
      <c r="R787" s="3">
        <v>0</v>
      </c>
      <c r="S787" s="3">
        <v>0</v>
      </c>
      <c r="T787" s="3">
        <v>0</v>
      </c>
      <c r="U787" s="3">
        <v>13.56</v>
      </c>
      <c r="V787" t="s">
        <v>55</v>
      </c>
    </row>
    <row r="788" spans="1:22" hidden="1" x14ac:dyDescent="0.25">
      <c r="A788" t="s">
        <v>8388</v>
      </c>
      <c r="B788" t="s">
        <v>8529</v>
      </c>
      <c r="C788" t="s">
        <v>1</v>
      </c>
      <c r="D788" t="s">
        <v>8526</v>
      </c>
      <c r="E788" t="s">
        <v>8147</v>
      </c>
      <c r="F788" t="s">
        <v>8146</v>
      </c>
      <c r="G788">
        <v>3272</v>
      </c>
      <c r="H788">
        <v>3272</v>
      </c>
      <c r="I788">
        <v>3272</v>
      </c>
      <c r="J788">
        <v>3272</v>
      </c>
      <c r="L788" s="3">
        <v>0</v>
      </c>
      <c r="M788" s="3">
        <v>0</v>
      </c>
      <c r="N788" s="3">
        <v>0</v>
      </c>
      <c r="O788" s="3">
        <v>35</v>
      </c>
      <c r="P788" s="3">
        <v>0</v>
      </c>
      <c r="Q788" s="3">
        <v>0</v>
      </c>
      <c r="R788" s="3">
        <v>0</v>
      </c>
      <c r="S788" s="3">
        <v>0</v>
      </c>
      <c r="T788" s="3">
        <v>0</v>
      </c>
      <c r="U788" s="3">
        <v>35</v>
      </c>
      <c r="V788" t="s">
        <v>55</v>
      </c>
    </row>
    <row r="789" spans="1:22" hidden="1" x14ac:dyDescent="0.25">
      <c r="A789" t="s">
        <v>8388</v>
      </c>
      <c r="B789" t="s">
        <v>8529</v>
      </c>
      <c r="C789" t="s">
        <v>1</v>
      </c>
      <c r="D789" t="s">
        <v>8526</v>
      </c>
      <c r="E789" t="s">
        <v>8147</v>
      </c>
      <c r="F789" t="s">
        <v>8146</v>
      </c>
      <c r="G789">
        <v>3273</v>
      </c>
      <c r="H789">
        <v>3273</v>
      </c>
      <c r="I789">
        <v>3273</v>
      </c>
      <c r="J789">
        <v>3273</v>
      </c>
      <c r="L789" s="3">
        <v>0</v>
      </c>
      <c r="M789" s="3">
        <v>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3">
        <v>0</v>
      </c>
      <c r="T789" s="3">
        <v>0</v>
      </c>
      <c r="U789" s="3">
        <v>0</v>
      </c>
      <c r="V789" t="s">
        <v>55</v>
      </c>
    </row>
    <row r="790" spans="1:22" hidden="1" x14ac:dyDescent="0.25">
      <c r="A790" t="s">
        <v>8388</v>
      </c>
      <c r="B790" t="s">
        <v>8529</v>
      </c>
      <c r="C790" t="s">
        <v>1</v>
      </c>
      <c r="D790" t="s">
        <v>8526</v>
      </c>
      <c r="E790" t="s">
        <v>8147</v>
      </c>
      <c r="F790" t="s">
        <v>8146</v>
      </c>
      <c r="G790">
        <v>3273</v>
      </c>
      <c r="H790">
        <v>3273</v>
      </c>
      <c r="I790">
        <v>3273</v>
      </c>
      <c r="J790">
        <v>3273</v>
      </c>
      <c r="L790" s="3">
        <v>0</v>
      </c>
      <c r="M790" s="3">
        <v>0</v>
      </c>
      <c r="N790" s="3">
        <v>0</v>
      </c>
      <c r="O790" s="3">
        <v>1395.18</v>
      </c>
      <c r="P790" s="3">
        <v>0</v>
      </c>
      <c r="Q790" s="3">
        <v>0</v>
      </c>
      <c r="R790" s="3">
        <v>0</v>
      </c>
      <c r="S790" s="3">
        <v>0</v>
      </c>
      <c r="T790" s="3">
        <v>0</v>
      </c>
      <c r="U790" s="3">
        <v>1395.18</v>
      </c>
      <c r="V790" t="s">
        <v>55</v>
      </c>
    </row>
    <row r="791" spans="1:22" hidden="1" x14ac:dyDescent="0.25">
      <c r="A791" t="s">
        <v>8388</v>
      </c>
      <c r="B791" t="s">
        <v>8529</v>
      </c>
      <c r="C791" t="s">
        <v>1</v>
      </c>
      <c r="D791" t="s">
        <v>8526</v>
      </c>
      <c r="E791" t="s">
        <v>8147</v>
      </c>
      <c r="F791" t="s">
        <v>8146</v>
      </c>
      <c r="G791">
        <v>3274</v>
      </c>
      <c r="H791">
        <v>3274</v>
      </c>
      <c r="I791">
        <v>3274</v>
      </c>
      <c r="J791">
        <v>3274</v>
      </c>
      <c r="L791" s="3">
        <v>0</v>
      </c>
      <c r="M791" s="3">
        <v>0</v>
      </c>
      <c r="N791" s="3">
        <v>0</v>
      </c>
      <c r="O791" s="3">
        <v>11</v>
      </c>
      <c r="P791" s="3">
        <v>0</v>
      </c>
      <c r="Q791" s="3">
        <v>0</v>
      </c>
      <c r="R791" s="3">
        <v>0</v>
      </c>
      <c r="S791" s="3">
        <v>0</v>
      </c>
      <c r="T791" s="3">
        <v>0</v>
      </c>
      <c r="U791" s="3">
        <v>11</v>
      </c>
      <c r="V791" t="s">
        <v>55</v>
      </c>
    </row>
    <row r="792" spans="1:22" hidden="1" x14ac:dyDescent="0.25">
      <c r="A792" t="s">
        <v>8388</v>
      </c>
      <c r="B792" t="s">
        <v>8529</v>
      </c>
      <c r="C792" t="s">
        <v>1</v>
      </c>
      <c r="D792" t="s">
        <v>8526</v>
      </c>
      <c r="E792" t="s">
        <v>8147</v>
      </c>
      <c r="F792" t="s">
        <v>8146</v>
      </c>
      <c r="G792">
        <v>3275</v>
      </c>
      <c r="H792">
        <v>3275</v>
      </c>
      <c r="I792">
        <v>3275</v>
      </c>
      <c r="J792">
        <v>3275</v>
      </c>
      <c r="L792" s="3">
        <v>0</v>
      </c>
      <c r="M792" s="3">
        <v>0</v>
      </c>
      <c r="N792" s="3">
        <v>0</v>
      </c>
      <c r="O792" s="3">
        <v>1285.5</v>
      </c>
      <c r="P792" s="3">
        <v>0</v>
      </c>
      <c r="Q792" s="3">
        <v>0</v>
      </c>
      <c r="R792" s="3">
        <v>0</v>
      </c>
      <c r="S792" s="3">
        <v>0</v>
      </c>
      <c r="T792" s="3">
        <v>0</v>
      </c>
      <c r="U792" s="3">
        <v>1285.5</v>
      </c>
      <c r="V792" t="s">
        <v>55</v>
      </c>
    </row>
    <row r="793" spans="1:22" hidden="1" x14ac:dyDescent="0.25">
      <c r="A793" t="s">
        <v>8388</v>
      </c>
      <c r="B793" t="s">
        <v>8529</v>
      </c>
      <c r="C793" t="s">
        <v>1</v>
      </c>
      <c r="D793" t="s">
        <v>8526</v>
      </c>
      <c r="E793" t="s">
        <v>8147</v>
      </c>
      <c r="F793" t="s">
        <v>8146</v>
      </c>
      <c r="G793">
        <v>3276</v>
      </c>
      <c r="H793">
        <v>3276</v>
      </c>
      <c r="I793">
        <v>3276</v>
      </c>
      <c r="J793">
        <v>3276</v>
      </c>
      <c r="L793" s="3">
        <v>0</v>
      </c>
      <c r="M793" s="3">
        <v>0</v>
      </c>
      <c r="N793" s="3">
        <v>0</v>
      </c>
      <c r="O793" s="3">
        <v>76.540000000000006</v>
      </c>
      <c r="P793" s="3">
        <v>0</v>
      </c>
      <c r="Q793" s="3">
        <v>0</v>
      </c>
      <c r="R793" s="3">
        <v>0</v>
      </c>
      <c r="S793" s="3">
        <v>0</v>
      </c>
      <c r="T793" s="3">
        <v>0</v>
      </c>
      <c r="U793" s="3">
        <v>76.540000000000006</v>
      </c>
      <c r="V793" t="s">
        <v>55</v>
      </c>
    </row>
    <row r="794" spans="1:22" hidden="1" x14ac:dyDescent="0.25">
      <c r="A794" t="s">
        <v>8388</v>
      </c>
      <c r="B794" t="s">
        <v>8529</v>
      </c>
      <c r="C794" t="s">
        <v>1</v>
      </c>
      <c r="D794" t="s">
        <v>8526</v>
      </c>
      <c r="E794" t="s">
        <v>8147</v>
      </c>
      <c r="F794" t="s">
        <v>8146</v>
      </c>
      <c r="G794">
        <v>3277</v>
      </c>
      <c r="H794">
        <v>3277</v>
      </c>
      <c r="I794">
        <v>3277</v>
      </c>
      <c r="J794">
        <v>3277</v>
      </c>
      <c r="L794" s="3">
        <v>0</v>
      </c>
      <c r="M794" s="3">
        <v>0</v>
      </c>
      <c r="N794" s="3">
        <v>0</v>
      </c>
      <c r="O794" s="3">
        <v>1395.18</v>
      </c>
      <c r="P794" s="3">
        <v>0</v>
      </c>
      <c r="Q794" s="3">
        <v>0</v>
      </c>
      <c r="R794" s="3">
        <v>0</v>
      </c>
      <c r="S794" s="3">
        <v>0</v>
      </c>
      <c r="T794" s="3">
        <v>0</v>
      </c>
      <c r="U794" s="3">
        <v>1395.18</v>
      </c>
      <c r="V794" t="s">
        <v>55</v>
      </c>
    </row>
    <row r="795" spans="1:22" hidden="1" x14ac:dyDescent="0.25">
      <c r="A795" t="s">
        <v>8388</v>
      </c>
      <c r="B795" t="s">
        <v>8529</v>
      </c>
      <c r="C795" t="s">
        <v>1</v>
      </c>
      <c r="D795" t="s">
        <v>8526</v>
      </c>
      <c r="E795" t="s">
        <v>8147</v>
      </c>
      <c r="F795" t="s">
        <v>8146</v>
      </c>
      <c r="G795">
        <v>3278</v>
      </c>
      <c r="H795">
        <v>3278</v>
      </c>
      <c r="I795">
        <v>3278</v>
      </c>
      <c r="J795">
        <v>3278</v>
      </c>
      <c r="L795" s="3">
        <v>0</v>
      </c>
      <c r="M795" s="3">
        <v>0</v>
      </c>
      <c r="N795" s="3">
        <v>0</v>
      </c>
      <c r="O795" s="3">
        <v>48.2</v>
      </c>
      <c r="P795" s="3">
        <v>0</v>
      </c>
      <c r="Q795" s="3">
        <v>0</v>
      </c>
      <c r="R795" s="3">
        <v>0</v>
      </c>
      <c r="S795" s="3">
        <v>0</v>
      </c>
      <c r="T795" s="3">
        <v>0</v>
      </c>
      <c r="U795" s="3">
        <v>48.2</v>
      </c>
      <c r="V795" t="s">
        <v>55</v>
      </c>
    </row>
    <row r="796" spans="1:22" hidden="1" x14ac:dyDescent="0.25">
      <c r="A796" t="s">
        <v>8388</v>
      </c>
      <c r="B796" t="s">
        <v>8529</v>
      </c>
      <c r="C796" t="s">
        <v>1</v>
      </c>
      <c r="D796" t="s">
        <v>8526</v>
      </c>
      <c r="E796" t="s">
        <v>8147</v>
      </c>
      <c r="F796" t="s">
        <v>8146</v>
      </c>
      <c r="G796">
        <v>3279</v>
      </c>
      <c r="H796">
        <v>3279</v>
      </c>
      <c r="I796">
        <v>3279</v>
      </c>
      <c r="J796">
        <v>3279</v>
      </c>
      <c r="L796" s="3">
        <v>0</v>
      </c>
      <c r="M796" s="3">
        <v>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3">
        <v>0</v>
      </c>
      <c r="T796" s="3">
        <v>0</v>
      </c>
      <c r="U796" s="3">
        <v>0</v>
      </c>
      <c r="V796" t="s">
        <v>55</v>
      </c>
    </row>
    <row r="797" spans="1:22" hidden="1" x14ac:dyDescent="0.25">
      <c r="A797" t="s">
        <v>8388</v>
      </c>
      <c r="B797" t="s">
        <v>8529</v>
      </c>
      <c r="C797" t="s">
        <v>1</v>
      </c>
      <c r="D797" t="s">
        <v>8526</v>
      </c>
      <c r="E797" t="s">
        <v>8147</v>
      </c>
      <c r="F797" t="s">
        <v>8146</v>
      </c>
      <c r="G797">
        <v>3280</v>
      </c>
      <c r="H797">
        <v>3280</v>
      </c>
      <c r="I797">
        <v>3280</v>
      </c>
      <c r="J797">
        <v>3280</v>
      </c>
      <c r="L797" s="3">
        <v>0</v>
      </c>
      <c r="M797" s="3">
        <v>0</v>
      </c>
      <c r="N797" s="3">
        <v>0</v>
      </c>
      <c r="O797" s="3">
        <v>87.53</v>
      </c>
      <c r="P797" s="3">
        <v>0</v>
      </c>
      <c r="Q797" s="3">
        <v>0</v>
      </c>
      <c r="R797" s="3">
        <v>0</v>
      </c>
      <c r="S797" s="3">
        <v>0</v>
      </c>
      <c r="T797" s="3">
        <v>0</v>
      </c>
      <c r="U797" s="3">
        <v>87.53</v>
      </c>
      <c r="V797" t="s">
        <v>55</v>
      </c>
    </row>
    <row r="798" spans="1:22" hidden="1" x14ac:dyDescent="0.25">
      <c r="A798" t="s">
        <v>8388</v>
      </c>
      <c r="B798" t="s">
        <v>8529</v>
      </c>
      <c r="C798" t="s">
        <v>1</v>
      </c>
      <c r="D798" t="s">
        <v>8526</v>
      </c>
      <c r="E798" t="s">
        <v>8147</v>
      </c>
      <c r="F798" t="s">
        <v>8146</v>
      </c>
      <c r="G798">
        <v>3281</v>
      </c>
      <c r="H798">
        <v>3281</v>
      </c>
      <c r="I798">
        <v>3281</v>
      </c>
      <c r="J798">
        <v>3281</v>
      </c>
      <c r="L798" s="3">
        <v>0</v>
      </c>
      <c r="M798" s="3">
        <v>0</v>
      </c>
      <c r="N798" s="3">
        <v>0</v>
      </c>
      <c r="O798" s="3">
        <v>157.9</v>
      </c>
      <c r="P798" s="3">
        <v>0</v>
      </c>
      <c r="Q798" s="3">
        <v>0</v>
      </c>
      <c r="R798" s="3">
        <v>0</v>
      </c>
      <c r="S798" s="3">
        <v>0</v>
      </c>
      <c r="T798" s="3">
        <v>0</v>
      </c>
      <c r="U798" s="3">
        <v>157.9</v>
      </c>
      <c r="V798" t="s">
        <v>55</v>
      </c>
    </row>
    <row r="799" spans="1:22" hidden="1" x14ac:dyDescent="0.25">
      <c r="A799" t="s">
        <v>8388</v>
      </c>
      <c r="B799" t="s">
        <v>8519</v>
      </c>
      <c r="C799" t="s">
        <v>1</v>
      </c>
      <c r="D799" t="s">
        <v>8526</v>
      </c>
      <c r="E799" t="s">
        <v>8147</v>
      </c>
      <c r="F799" t="s">
        <v>8146</v>
      </c>
      <c r="G799">
        <v>3282</v>
      </c>
      <c r="H799">
        <v>3282</v>
      </c>
      <c r="I799">
        <v>3282</v>
      </c>
      <c r="J799">
        <v>3282</v>
      </c>
      <c r="L799" s="3">
        <v>0</v>
      </c>
      <c r="M799" s="3">
        <v>0</v>
      </c>
      <c r="N799" s="3">
        <v>0</v>
      </c>
      <c r="O799" s="3">
        <v>297.5</v>
      </c>
      <c r="P799" s="3">
        <v>0</v>
      </c>
      <c r="Q799" s="3">
        <v>0</v>
      </c>
      <c r="R799" s="3">
        <v>0</v>
      </c>
      <c r="S799" s="3">
        <v>0</v>
      </c>
      <c r="T799" s="3">
        <v>0</v>
      </c>
      <c r="U799" s="3">
        <v>297.5</v>
      </c>
      <c r="V799" t="s">
        <v>55</v>
      </c>
    </row>
    <row r="800" spans="1:22" hidden="1" x14ac:dyDescent="0.25">
      <c r="A800" t="s">
        <v>8388</v>
      </c>
      <c r="B800" t="s">
        <v>8519</v>
      </c>
      <c r="C800" t="s">
        <v>1</v>
      </c>
      <c r="D800" t="s">
        <v>8526</v>
      </c>
      <c r="E800" t="s">
        <v>8147</v>
      </c>
      <c r="F800" t="s">
        <v>8146</v>
      </c>
      <c r="G800">
        <v>3283</v>
      </c>
      <c r="H800">
        <v>3283</v>
      </c>
      <c r="I800">
        <v>3283</v>
      </c>
      <c r="J800">
        <v>3283</v>
      </c>
      <c r="L800" s="3">
        <v>0</v>
      </c>
      <c r="M800" s="3">
        <v>0</v>
      </c>
      <c r="N800" s="3">
        <v>0</v>
      </c>
      <c r="O800" s="3">
        <v>366.14</v>
      </c>
      <c r="P800" s="3">
        <v>0</v>
      </c>
      <c r="Q800" s="3">
        <v>0</v>
      </c>
      <c r="R800" s="3">
        <v>0</v>
      </c>
      <c r="S800" s="3">
        <v>0</v>
      </c>
      <c r="T800" s="3">
        <v>0</v>
      </c>
      <c r="U800" s="3">
        <v>366.14</v>
      </c>
      <c r="V800" t="s">
        <v>55</v>
      </c>
    </row>
    <row r="801" spans="1:22" hidden="1" x14ac:dyDescent="0.25">
      <c r="A801" t="s">
        <v>8388</v>
      </c>
      <c r="B801" t="s">
        <v>8519</v>
      </c>
      <c r="C801" t="s">
        <v>1</v>
      </c>
      <c r="D801" t="s">
        <v>8526</v>
      </c>
      <c r="E801" t="s">
        <v>8147</v>
      </c>
      <c r="F801" t="s">
        <v>8146</v>
      </c>
      <c r="G801">
        <v>3284</v>
      </c>
      <c r="H801">
        <v>3284</v>
      </c>
      <c r="I801">
        <v>3284</v>
      </c>
      <c r="J801">
        <v>3284</v>
      </c>
      <c r="L801" s="3">
        <v>0</v>
      </c>
      <c r="M801" s="3">
        <v>0</v>
      </c>
      <c r="N801" s="3">
        <v>0</v>
      </c>
      <c r="O801" s="3">
        <v>1008</v>
      </c>
      <c r="P801" s="3">
        <v>0</v>
      </c>
      <c r="Q801" s="3">
        <v>0</v>
      </c>
      <c r="R801" s="3">
        <v>0</v>
      </c>
      <c r="S801" s="3">
        <v>0</v>
      </c>
      <c r="T801" s="3">
        <v>0</v>
      </c>
      <c r="U801" s="3">
        <v>1008</v>
      </c>
      <c r="V801" t="s">
        <v>55</v>
      </c>
    </row>
    <row r="802" spans="1:22" hidden="1" x14ac:dyDescent="0.25">
      <c r="A802" t="s">
        <v>8388</v>
      </c>
      <c r="B802" t="s">
        <v>8519</v>
      </c>
      <c r="C802" t="s">
        <v>1</v>
      </c>
      <c r="D802" t="s">
        <v>8526</v>
      </c>
      <c r="E802" t="s">
        <v>8147</v>
      </c>
      <c r="F802" t="s">
        <v>8146</v>
      </c>
      <c r="G802">
        <v>3285</v>
      </c>
      <c r="H802">
        <v>3285</v>
      </c>
      <c r="I802">
        <v>3285</v>
      </c>
      <c r="J802">
        <v>3285</v>
      </c>
      <c r="L802" s="3">
        <v>0</v>
      </c>
      <c r="M802" s="3">
        <v>0</v>
      </c>
      <c r="N802" s="3">
        <v>0</v>
      </c>
      <c r="O802" s="3">
        <v>19.84</v>
      </c>
      <c r="P802" s="3">
        <v>0</v>
      </c>
      <c r="Q802" s="3">
        <v>0</v>
      </c>
      <c r="R802" s="3">
        <v>0</v>
      </c>
      <c r="S802" s="3">
        <v>0</v>
      </c>
      <c r="T802" s="3">
        <v>0</v>
      </c>
      <c r="U802" s="3">
        <v>19.84</v>
      </c>
      <c r="V802" t="s">
        <v>55</v>
      </c>
    </row>
    <row r="803" spans="1:22" hidden="1" x14ac:dyDescent="0.25">
      <c r="A803" t="s">
        <v>8388</v>
      </c>
      <c r="B803" t="s">
        <v>8528</v>
      </c>
      <c r="C803" t="s">
        <v>1</v>
      </c>
      <c r="D803" t="s">
        <v>8526</v>
      </c>
      <c r="E803" t="s">
        <v>8147</v>
      </c>
      <c r="F803" t="s">
        <v>8146</v>
      </c>
      <c r="G803">
        <v>3286</v>
      </c>
      <c r="H803">
        <v>3286</v>
      </c>
      <c r="I803">
        <v>3286</v>
      </c>
      <c r="J803">
        <v>3286</v>
      </c>
      <c r="L803" s="3">
        <v>0</v>
      </c>
      <c r="M803" s="3">
        <v>0</v>
      </c>
      <c r="N803" s="3">
        <v>0</v>
      </c>
      <c r="O803" s="3">
        <v>42.26</v>
      </c>
      <c r="P803" s="3">
        <v>0</v>
      </c>
      <c r="Q803" s="3">
        <v>0</v>
      </c>
      <c r="R803" s="3">
        <v>0</v>
      </c>
      <c r="S803" s="3">
        <v>0</v>
      </c>
      <c r="T803" s="3">
        <v>0</v>
      </c>
      <c r="U803" s="3">
        <v>42.26</v>
      </c>
      <c r="V803" t="s">
        <v>55</v>
      </c>
    </row>
    <row r="804" spans="1:22" hidden="1" x14ac:dyDescent="0.25">
      <c r="A804" t="s">
        <v>8388</v>
      </c>
      <c r="B804" t="s">
        <v>8528</v>
      </c>
      <c r="C804" t="s">
        <v>1</v>
      </c>
      <c r="D804" t="s">
        <v>8526</v>
      </c>
      <c r="E804" t="s">
        <v>8147</v>
      </c>
      <c r="F804" t="s">
        <v>8146</v>
      </c>
      <c r="G804">
        <v>3288</v>
      </c>
      <c r="H804">
        <v>3288</v>
      </c>
      <c r="I804">
        <v>3288</v>
      </c>
      <c r="J804">
        <v>3288</v>
      </c>
      <c r="L804" s="3">
        <v>0</v>
      </c>
      <c r="M804" s="3">
        <v>0</v>
      </c>
      <c r="N804" s="3">
        <v>0</v>
      </c>
      <c r="O804" s="3">
        <v>17.399999999999999</v>
      </c>
      <c r="P804" s="3">
        <v>0</v>
      </c>
      <c r="Q804" s="3">
        <v>0</v>
      </c>
      <c r="R804" s="3">
        <v>0</v>
      </c>
      <c r="S804" s="3">
        <v>0</v>
      </c>
      <c r="T804" s="3">
        <v>0</v>
      </c>
      <c r="U804" s="3">
        <v>17.399999999999999</v>
      </c>
      <c r="V804" t="s">
        <v>55</v>
      </c>
    </row>
    <row r="805" spans="1:22" hidden="1" x14ac:dyDescent="0.25">
      <c r="A805" t="s">
        <v>8388</v>
      </c>
      <c r="B805" t="s">
        <v>8528</v>
      </c>
      <c r="C805" t="s">
        <v>1</v>
      </c>
      <c r="D805" t="s">
        <v>8526</v>
      </c>
      <c r="E805" t="s">
        <v>8147</v>
      </c>
      <c r="F805" t="s">
        <v>8146</v>
      </c>
      <c r="G805">
        <v>3289</v>
      </c>
      <c r="H805">
        <v>3289</v>
      </c>
      <c r="I805">
        <v>3289</v>
      </c>
      <c r="J805">
        <v>3289</v>
      </c>
      <c r="L805" s="3">
        <v>0</v>
      </c>
      <c r="M805" s="3">
        <v>0</v>
      </c>
      <c r="N805" s="3">
        <v>0</v>
      </c>
      <c r="O805" s="3">
        <v>55</v>
      </c>
      <c r="P805" s="3">
        <v>0</v>
      </c>
      <c r="Q805" s="3">
        <v>0</v>
      </c>
      <c r="R805" s="3">
        <v>0</v>
      </c>
      <c r="S805" s="3">
        <v>0</v>
      </c>
      <c r="T805" s="3">
        <v>0</v>
      </c>
      <c r="U805" s="3">
        <v>55</v>
      </c>
      <c r="V805" t="s">
        <v>55</v>
      </c>
    </row>
    <row r="806" spans="1:22" hidden="1" x14ac:dyDescent="0.25">
      <c r="A806" t="s">
        <v>8388</v>
      </c>
      <c r="B806" t="s">
        <v>8528</v>
      </c>
      <c r="C806" t="s">
        <v>1</v>
      </c>
      <c r="D806" t="s">
        <v>8526</v>
      </c>
      <c r="E806" t="s">
        <v>8147</v>
      </c>
      <c r="F806" t="s">
        <v>8146</v>
      </c>
      <c r="G806">
        <v>3290</v>
      </c>
      <c r="H806">
        <v>3290</v>
      </c>
      <c r="I806">
        <v>3290</v>
      </c>
      <c r="J806">
        <v>3290</v>
      </c>
      <c r="L806" s="3">
        <v>0</v>
      </c>
      <c r="M806" s="3">
        <v>0</v>
      </c>
      <c r="N806" s="3">
        <v>0</v>
      </c>
      <c r="O806" s="3">
        <v>214.91</v>
      </c>
      <c r="P806" s="3">
        <v>0</v>
      </c>
      <c r="Q806" s="3">
        <v>0</v>
      </c>
      <c r="R806" s="3">
        <v>0</v>
      </c>
      <c r="S806" s="3">
        <v>0</v>
      </c>
      <c r="T806" s="3">
        <v>0</v>
      </c>
      <c r="U806" s="3">
        <v>214.91</v>
      </c>
      <c r="V806" t="s">
        <v>55</v>
      </c>
    </row>
    <row r="807" spans="1:22" hidden="1" x14ac:dyDescent="0.25">
      <c r="A807" t="s">
        <v>8388</v>
      </c>
      <c r="B807" s="33" t="s">
        <v>8543</v>
      </c>
      <c r="C807" t="s">
        <v>1</v>
      </c>
      <c r="D807" t="s">
        <v>8526</v>
      </c>
      <c r="E807" t="s">
        <v>8147</v>
      </c>
      <c r="F807" t="s">
        <v>8146</v>
      </c>
      <c r="G807">
        <v>3291</v>
      </c>
      <c r="H807">
        <v>3291</v>
      </c>
      <c r="I807">
        <v>3291</v>
      </c>
      <c r="J807">
        <v>3291</v>
      </c>
      <c r="L807" s="3">
        <v>0</v>
      </c>
      <c r="M807" s="3">
        <v>0</v>
      </c>
      <c r="N807" s="3">
        <v>0</v>
      </c>
      <c r="O807" s="3">
        <v>272</v>
      </c>
      <c r="P807" s="3">
        <v>0</v>
      </c>
      <c r="Q807" s="3">
        <v>0</v>
      </c>
      <c r="R807" s="3">
        <v>0</v>
      </c>
      <c r="S807" s="3">
        <v>0</v>
      </c>
      <c r="T807" s="3">
        <v>0</v>
      </c>
      <c r="U807" s="3">
        <v>272</v>
      </c>
      <c r="V807" t="s">
        <v>55</v>
      </c>
    </row>
    <row r="808" spans="1:22" hidden="1" x14ac:dyDescent="0.25">
      <c r="A808" t="s">
        <v>8388</v>
      </c>
      <c r="B808" s="33" t="s">
        <v>8543</v>
      </c>
      <c r="C808" t="s">
        <v>1</v>
      </c>
      <c r="D808" t="s">
        <v>8526</v>
      </c>
      <c r="E808" t="s">
        <v>8147</v>
      </c>
      <c r="F808" t="s">
        <v>8146</v>
      </c>
      <c r="G808">
        <v>3292</v>
      </c>
      <c r="H808">
        <v>3292</v>
      </c>
      <c r="I808">
        <v>3292</v>
      </c>
      <c r="J808">
        <v>3292</v>
      </c>
      <c r="L808" s="3">
        <v>0</v>
      </c>
      <c r="M808" s="3">
        <v>0</v>
      </c>
      <c r="N808" s="3">
        <v>0</v>
      </c>
      <c r="O808" s="3">
        <v>42.5</v>
      </c>
      <c r="P808" s="3">
        <v>0</v>
      </c>
      <c r="Q808" s="3">
        <v>0</v>
      </c>
      <c r="R808" s="3">
        <v>0</v>
      </c>
      <c r="S808" s="3">
        <v>0</v>
      </c>
      <c r="T808" s="3">
        <v>0</v>
      </c>
      <c r="U808" s="3">
        <v>42.5</v>
      </c>
      <c r="V808" t="s">
        <v>55</v>
      </c>
    </row>
    <row r="809" spans="1:22" hidden="1" x14ac:dyDescent="0.25">
      <c r="A809" t="s">
        <v>8388</v>
      </c>
      <c r="B809" s="33" t="s">
        <v>8543</v>
      </c>
      <c r="C809" t="s">
        <v>1</v>
      </c>
      <c r="D809" t="s">
        <v>8526</v>
      </c>
      <c r="E809" t="s">
        <v>8147</v>
      </c>
      <c r="F809" t="s">
        <v>8146</v>
      </c>
      <c r="G809">
        <v>3293</v>
      </c>
      <c r="H809">
        <v>3293</v>
      </c>
      <c r="I809">
        <v>3293</v>
      </c>
      <c r="J809">
        <v>3293</v>
      </c>
      <c r="L809" s="3">
        <v>0</v>
      </c>
      <c r="M809" s="3">
        <v>0</v>
      </c>
      <c r="N809" s="3">
        <v>0</v>
      </c>
      <c r="O809" s="3">
        <v>11.41</v>
      </c>
      <c r="P809" s="3">
        <v>0</v>
      </c>
      <c r="Q809" s="3">
        <v>0</v>
      </c>
      <c r="R809" s="3">
        <v>0</v>
      </c>
      <c r="S809" s="3">
        <v>0</v>
      </c>
      <c r="T809" s="3">
        <v>0</v>
      </c>
      <c r="U809" s="3">
        <v>11.41</v>
      </c>
      <c r="V809" t="s">
        <v>55</v>
      </c>
    </row>
    <row r="810" spans="1:22" hidden="1" x14ac:dyDescent="0.25">
      <c r="A810" t="s">
        <v>8388</v>
      </c>
      <c r="B810" s="33" t="s">
        <v>8543</v>
      </c>
      <c r="C810" t="s">
        <v>1</v>
      </c>
      <c r="D810" t="s">
        <v>8526</v>
      </c>
      <c r="E810" t="s">
        <v>8147</v>
      </c>
      <c r="F810" t="s">
        <v>8146</v>
      </c>
      <c r="G810">
        <v>3294</v>
      </c>
      <c r="H810">
        <v>3294</v>
      </c>
      <c r="I810">
        <v>3294</v>
      </c>
      <c r="J810">
        <v>3294</v>
      </c>
      <c r="L810" s="3">
        <v>0</v>
      </c>
      <c r="M810" s="3">
        <v>0</v>
      </c>
      <c r="N810" s="3">
        <v>0</v>
      </c>
      <c r="O810" s="3">
        <v>15.82</v>
      </c>
      <c r="P810" s="3">
        <v>0</v>
      </c>
      <c r="Q810" s="3">
        <v>0</v>
      </c>
      <c r="R810" s="3">
        <v>0</v>
      </c>
      <c r="S810" s="3">
        <v>0</v>
      </c>
      <c r="T810" s="3">
        <v>0</v>
      </c>
      <c r="U810" s="3">
        <v>15.82</v>
      </c>
      <c r="V810" t="s">
        <v>55</v>
      </c>
    </row>
    <row r="811" spans="1:22" hidden="1" x14ac:dyDescent="0.25">
      <c r="A811" t="s">
        <v>8388</v>
      </c>
      <c r="B811" t="s">
        <v>8527</v>
      </c>
      <c r="C811" t="s">
        <v>1</v>
      </c>
      <c r="D811" t="s">
        <v>8526</v>
      </c>
      <c r="E811" t="s">
        <v>8147</v>
      </c>
      <c r="F811" t="s">
        <v>8146</v>
      </c>
      <c r="G811">
        <v>3295</v>
      </c>
      <c r="H811">
        <v>3295</v>
      </c>
      <c r="I811">
        <v>3295</v>
      </c>
      <c r="J811">
        <v>3295</v>
      </c>
      <c r="L811" s="3">
        <v>0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3">
        <v>0</v>
      </c>
      <c r="T811" s="3">
        <v>0</v>
      </c>
      <c r="U811" s="3">
        <v>0</v>
      </c>
      <c r="V811" t="s">
        <v>55</v>
      </c>
    </row>
    <row r="812" spans="1:22" hidden="1" x14ac:dyDescent="0.25">
      <c r="A812" t="s">
        <v>8388</v>
      </c>
      <c r="B812" t="s">
        <v>8527</v>
      </c>
      <c r="C812" t="s">
        <v>1</v>
      </c>
      <c r="D812" t="s">
        <v>8526</v>
      </c>
      <c r="E812" t="s">
        <v>8147</v>
      </c>
      <c r="F812" t="s">
        <v>8146</v>
      </c>
      <c r="G812">
        <v>3296</v>
      </c>
      <c r="H812">
        <v>3296</v>
      </c>
      <c r="I812">
        <v>3296</v>
      </c>
      <c r="J812">
        <v>3296</v>
      </c>
      <c r="L812" s="3">
        <v>0</v>
      </c>
      <c r="M812" s="3">
        <v>0</v>
      </c>
      <c r="N812" s="3">
        <v>0</v>
      </c>
      <c r="O812" s="3">
        <v>283.06</v>
      </c>
      <c r="P812" s="3">
        <v>0</v>
      </c>
      <c r="Q812" s="3">
        <v>0</v>
      </c>
      <c r="R812" s="3">
        <v>0</v>
      </c>
      <c r="S812" s="3">
        <v>0</v>
      </c>
      <c r="T812" s="3">
        <v>0</v>
      </c>
      <c r="U812" s="3">
        <v>283.06</v>
      </c>
      <c r="V812" t="s">
        <v>55</v>
      </c>
    </row>
    <row r="813" spans="1:22" hidden="1" x14ac:dyDescent="0.25">
      <c r="A813" t="s">
        <v>8388</v>
      </c>
      <c r="B813" t="s">
        <v>8527</v>
      </c>
      <c r="C813" t="s">
        <v>1</v>
      </c>
      <c r="D813" t="s">
        <v>8526</v>
      </c>
      <c r="E813" t="s">
        <v>8147</v>
      </c>
      <c r="F813" t="s">
        <v>8146</v>
      </c>
      <c r="G813">
        <v>3297</v>
      </c>
      <c r="H813">
        <v>3297</v>
      </c>
      <c r="I813">
        <v>3297</v>
      </c>
      <c r="J813">
        <v>3297</v>
      </c>
      <c r="L813" s="3">
        <v>0</v>
      </c>
      <c r="M813" s="3">
        <v>0</v>
      </c>
      <c r="N813" s="3">
        <v>0</v>
      </c>
      <c r="O813" s="3">
        <v>268.73</v>
      </c>
      <c r="P813" s="3">
        <v>0</v>
      </c>
      <c r="Q813" s="3">
        <v>0</v>
      </c>
      <c r="R813" s="3">
        <v>0</v>
      </c>
      <c r="S813" s="3">
        <v>0</v>
      </c>
      <c r="T813" s="3">
        <v>0</v>
      </c>
      <c r="U813" s="3">
        <v>268.73</v>
      </c>
      <c r="V813" t="s">
        <v>55</v>
      </c>
    </row>
    <row r="814" spans="1:22" hidden="1" x14ac:dyDescent="0.25">
      <c r="A814" t="s">
        <v>8388</v>
      </c>
      <c r="B814" t="s">
        <v>8527</v>
      </c>
      <c r="C814" t="s">
        <v>1</v>
      </c>
      <c r="D814" t="s">
        <v>8526</v>
      </c>
      <c r="E814" t="s">
        <v>8147</v>
      </c>
      <c r="F814" t="s">
        <v>8146</v>
      </c>
      <c r="G814">
        <v>3298</v>
      </c>
      <c r="H814">
        <v>3298</v>
      </c>
      <c r="I814">
        <v>3298</v>
      </c>
      <c r="J814">
        <v>3298</v>
      </c>
      <c r="L814" s="3">
        <v>0</v>
      </c>
      <c r="M814" s="3">
        <v>0</v>
      </c>
      <c r="N814" s="3">
        <v>0</v>
      </c>
      <c r="O814" s="3">
        <v>839.56</v>
      </c>
      <c r="P814" s="3">
        <v>0</v>
      </c>
      <c r="Q814" s="3">
        <v>0</v>
      </c>
      <c r="R814" s="3">
        <v>0</v>
      </c>
      <c r="S814" s="3">
        <v>0</v>
      </c>
      <c r="T814" s="3">
        <v>0</v>
      </c>
      <c r="U814" s="3">
        <v>839.56</v>
      </c>
      <c r="V814" t="s">
        <v>55</v>
      </c>
    </row>
    <row r="815" spans="1:22" hidden="1" x14ac:dyDescent="0.25">
      <c r="A815" t="s">
        <v>8387</v>
      </c>
      <c r="B815" t="s">
        <v>8485</v>
      </c>
      <c r="C815" t="s">
        <v>1</v>
      </c>
      <c r="D815" t="s">
        <v>1</v>
      </c>
      <c r="E815" t="s">
        <v>8147</v>
      </c>
      <c r="F815" t="s">
        <v>8146</v>
      </c>
      <c r="G815">
        <v>2987</v>
      </c>
      <c r="H815">
        <v>2987</v>
      </c>
      <c r="I815">
        <v>2987</v>
      </c>
      <c r="J815">
        <v>2987</v>
      </c>
      <c r="L815" s="3">
        <v>0</v>
      </c>
      <c r="M815" s="3">
        <v>0</v>
      </c>
      <c r="N815" s="3">
        <v>0</v>
      </c>
      <c r="O815" s="3">
        <v>300</v>
      </c>
      <c r="P815" s="3">
        <v>0</v>
      </c>
      <c r="Q815" s="3">
        <v>0</v>
      </c>
      <c r="R815" s="3">
        <v>0</v>
      </c>
      <c r="S815" s="3">
        <v>0</v>
      </c>
      <c r="T815" s="3">
        <v>0</v>
      </c>
      <c r="U815" s="3">
        <v>300</v>
      </c>
      <c r="V815" t="s">
        <v>55</v>
      </c>
    </row>
    <row r="816" spans="1:22" hidden="1" x14ac:dyDescent="0.25">
      <c r="A816" t="s">
        <v>8387</v>
      </c>
      <c r="B816" t="s">
        <v>8485</v>
      </c>
      <c r="C816" t="s">
        <v>1</v>
      </c>
      <c r="D816" t="s">
        <v>1</v>
      </c>
      <c r="E816" t="s">
        <v>8147</v>
      </c>
      <c r="F816" t="s">
        <v>8146</v>
      </c>
      <c r="G816">
        <v>2988</v>
      </c>
      <c r="H816">
        <v>2988</v>
      </c>
      <c r="I816">
        <v>2988</v>
      </c>
      <c r="J816">
        <v>2988</v>
      </c>
      <c r="L816" s="3">
        <v>0</v>
      </c>
      <c r="M816" s="3">
        <v>0</v>
      </c>
      <c r="N816" s="3">
        <v>0</v>
      </c>
      <c r="O816" s="3">
        <v>40.82</v>
      </c>
      <c r="P816" s="3">
        <v>0</v>
      </c>
      <c r="Q816" s="3">
        <v>0</v>
      </c>
      <c r="R816" s="3">
        <v>0</v>
      </c>
      <c r="S816" s="3">
        <v>0</v>
      </c>
      <c r="T816" s="3">
        <v>0</v>
      </c>
      <c r="U816" s="3">
        <v>40.82</v>
      </c>
      <c r="V816" t="s">
        <v>55</v>
      </c>
    </row>
    <row r="817" spans="1:22" hidden="1" x14ac:dyDescent="0.25">
      <c r="A817" t="s">
        <v>8387</v>
      </c>
      <c r="B817" t="s">
        <v>8479</v>
      </c>
      <c r="C817" t="s">
        <v>1</v>
      </c>
      <c r="D817" t="s">
        <v>1</v>
      </c>
      <c r="E817" t="s">
        <v>8147</v>
      </c>
      <c r="F817" t="s">
        <v>8146</v>
      </c>
      <c r="G817">
        <v>2989</v>
      </c>
      <c r="H817">
        <v>2989</v>
      </c>
      <c r="I817">
        <v>2989</v>
      </c>
      <c r="J817">
        <v>2989</v>
      </c>
      <c r="L817" s="3">
        <v>0</v>
      </c>
      <c r="M817" s="3">
        <v>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3">
        <v>0</v>
      </c>
      <c r="T817" s="3">
        <v>0</v>
      </c>
      <c r="U817" s="3">
        <v>0</v>
      </c>
      <c r="V817" t="s">
        <v>55</v>
      </c>
    </row>
    <row r="818" spans="1:22" hidden="1" x14ac:dyDescent="0.25">
      <c r="A818" t="s">
        <v>8387</v>
      </c>
      <c r="B818" t="s">
        <v>8479</v>
      </c>
      <c r="C818" t="s">
        <v>1</v>
      </c>
      <c r="D818" t="s">
        <v>1</v>
      </c>
      <c r="E818" t="s">
        <v>8147</v>
      </c>
      <c r="F818" t="s">
        <v>8146</v>
      </c>
      <c r="G818">
        <v>2990</v>
      </c>
      <c r="H818">
        <v>2990</v>
      </c>
      <c r="I818">
        <v>2990</v>
      </c>
      <c r="J818">
        <v>2990</v>
      </c>
      <c r="L818" s="3">
        <v>0</v>
      </c>
      <c r="M818" s="3">
        <v>0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3">
        <v>0</v>
      </c>
      <c r="T818" s="3">
        <v>0</v>
      </c>
      <c r="U818" s="3">
        <v>0</v>
      </c>
      <c r="V818" t="s">
        <v>55</v>
      </c>
    </row>
    <row r="819" spans="1:22" hidden="1" x14ac:dyDescent="0.25">
      <c r="A819" t="s">
        <v>8387</v>
      </c>
      <c r="B819" t="s">
        <v>8479</v>
      </c>
      <c r="C819" t="s">
        <v>1</v>
      </c>
      <c r="D819" t="s">
        <v>1</v>
      </c>
      <c r="E819" t="s">
        <v>8147</v>
      </c>
      <c r="F819" t="s">
        <v>8146</v>
      </c>
      <c r="G819">
        <v>2991</v>
      </c>
      <c r="H819">
        <v>2991</v>
      </c>
      <c r="I819">
        <v>2991</v>
      </c>
      <c r="J819">
        <v>2991</v>
      </c>
      <c r="L819" s="3">
        <v>0</v>
      </c>
      <c r="M819" s="3">
        <v>0</v>
      </c>
      <c r="N819" s="3">
        <v>0</v>
      </c>
      <c r="O819" s="3">
        <v>163.9</v>
      </c>
      <c r="P819" s="3">
        <v>0</v>
      </c>
      <c r="Q819" s="3">
        <v>0</v>
      </c>
      <c r="R819" s="3">
        <v>0</v>
      </c>
      <c r="S819" s="3">
        <v>0</v>
      </c>
      <c r="T819" s="3">
        <v>0</v>
      </c>
      <c r="U819" s="3">
        <v>163.9</v>
      </c>
      <c r="V819" t="s">
        <v>55</v>
      </c>
    </row>
    <row r="820" spans="1:22" hidden="1" x14ac:dyDescent="0.25">
      <c r="A820" t="s">
        <v>8387</v>
      </c>
      <c r="B820" t="s">
        <v>8479</v>
      </c>
      <c r="C820" t="s">
        <v>1</v>
      </c>
      <c r="D820" t="s">
        <v>1</v>
      </c>
      <c r="E820" t="s">
        <v>8147</v>
      </c>
      <c r="F820" t="s">
        <v>8146</v>
      </c>
      <c r="G820">
        <v>2992</v>
      </c>
      <c r="H820">
        <v>2992</v>
      </c>
      <c r="I820">
        <v>2992</v>
      </c>
      <c r="J820">
        <v>2992</v>
      </c>
      <c r="L820" s="3">
        <v>0</v>
      </c>
      <c r="M820" s="3">
        <v>0</v>
      </c>
      <c r="N820" s="3">
        <v>0</v>
      </c>
      <c r="O820" s="3">
        <v>103.73</v>
      </c>
      <c r="P820" s="3">
        <v>0</v>
      </c>
      <c r="Q820" s="3">
        <v>0</v>
      </c>
      <c r="R820" s="3">
        <v>0</v>
      </c>
      <c r="S820" s="3">
        <v>0</v>
      </c>
      <c r="T820" s="3">
        <v>0</v>
      </c>
      <c r="U820" s="3">
        <v>103.73</v>
      </c>
      <c r="V820" t="s">
        <v>55</v>
      </c>
    </row>
    <row r="821" spans="1:22" hidden="1" x14ac:dyDescent="0.25">
      <c r="A821" t="s">
        <v>8387</v>
      </c>
      <c r="B821" t="s">
        <v>8479</v>
      </c>
      <c r="C821" t="s">
        <v>1</v>
      </c>
      <c r="D821" t="s">
        <v>1</v>
      </c>
      <c r="E821" t="s">
        <v>8147</v>
      </c>
      <c r="F821" t="s">
        <v>8146</v>
      </c>
      <c r="G821">
        <v>2993</v>
      </c>
      <c r="H821">
        <v>2993</v>
      </c>
      <c r="I821">
        <v>2993</v>
      </c>
      <c r="J821">
        <v>2993</v>
      </c>
      <c r="L821" s="3">
        <v>0</v>
      </c>
      <c r="M821" s="3">
        <v>0</v>
      </c>
      <c r="N821" s="3">
        <v>0</v>
      </c>
      <c r="O821" s="3">
        <v>21.45</v>
      </c>
      <c r="P821" s="3">
        <v>0</v>
      </c>
      <c r="Q821" s="3">
        <v>0</v>
      </c>
      <c r="R821" s="3">
        <v>0</v>
      </c>
      <c r="S821" s="3">
        <v>0</v>
      </c>
      <c r="T821" s="3">
        <v>0</v>
      </c>
      <c r="U821" s="3">
        <v>21.45</v>
      </c>
      <c r="V821" t="s">
        <v>55</v>
      </c>
    </row>
    <row r="822" spans="1:22" hidden="1" x14ac:dyDescent="0.25">
      <c r="A822" t="s">
        <v>8387</v>
      </c>
      <c r="B822" t="s">
        <v>8479</v>
      </c>
      <c r="C822" t="s">
        <v>1</v>
      </c>
      <c r="D822" t="s">
        <v>1</v>
      </c>
      <c r="E822" t="s">
        <v>8147</v>
      </c>
      <c r="F822" t="s">
        <v>8146</v>
      </c>
      <c r="G822">
        <v>2994</v>
      </c>
      <c r="H822">
        <v>2994</v>
      </c>
      <c r="I822">
        <v>2994</v>
      </c>
      <c r="J822">
        <v>2994</v>
      </c>
      <c r="L822" s="3">
        <v>0</v>
      </c>
      <c r="M822" s="3">
        <v>0</v>
      </c>
      <c r="N822" s="3">
        <v>0</v>
      </c>
      <c r="O822" s="3">
        <v>1008</v>
      </c>
      <c r="P822" s="3">
        <v>0</v>
      </c>
      <c r="Q822" s="3">
        <v>0</v>
      </c>
      <c r="R822" s="3">
        <v>0</v>
      </c>
      <c r="S822" s="3">
        <v>0</v>
      </c>
      <c r="T822" s="3">
        <v>0</v>
      </c>
      <c r="U822" s="3">
        <v>1008</v>
      </c>
      <c r="V822" t="s">
        <v>55</v>
      </c>
    </row>
    <row r="823" spans="1:22" hidden="1" x14ac:dyDescent="0.25">
      <c r="A823" t="s">
        <v>8387</v>
      </c>
      <c r="B823" t="s">
        <v>8479</v>
      </c>
      <c r="C823" t="s">
        <v>1</v>
      </c>
      <c r="D823" t="s">
        <v>1</v>
      </c>
      <c r="E823" t="s">
        <v>8147</v>
      </c>
      <c r="F823" t="s">
        <v>8146</v>
      </c>
      <c r="G823">
        <v>2995</v>
      </c>
      <c r="H823">
        <v>2995</v>
      </c>
      <c r="I823">
        <v>2995</v>
      </c>
      <c r="J823">
        <v>2995</v>
      </c>
      <c r="L823" s="3">
        <v>0</v>
      </c>
      <c r="M823" s="3">
        <v>0</v>
      </c>
      <c r="N823" s="3">
        <v>0</v>
      </c>
      <c r="O823" s="3">
        <v>288.3</v>
      </c>
      <c r="P823" s="3">
        <v>0</v>
      </c>
      <c r="Q823" s="3">
        <v>0</v>
      </c>
      <c r="R823" s="3">
        <v>0</v>
      </c>
      <c r="S823" s="3">
        <v>0</v>
      </c>
      <c r="T823" s="3">
        <v>0</v>
      </c>
      <c r="U823" s="3">
        <v>288.3</v>
      </c>
      <c r="V823" t="s">
        <v>55</v>
      </c>
    </row>
    <row r="824" spans="1:22" hidden="1" x14ac:dyDescent="0.25">
      <c r="A824" t="s">
        <v>8387</v>
      </c>
      <c r="B824" t="s">
        <v>8479</v>
      </c>
      <c r="C824" t="s">
        <v>1</v>
      </c>
      <c r="D824" t="s">
        <v>1</v>
      </c>
      <c r="E824" t="s">
        <v>8147</v>
      </c>
      <c r="F824" t="s">
        <v>8146</v>
      </c>
      <c r="G824">
        <v>2996</v>
      </c>
      <c r="H824">
        <v>2996</v>
      </c>
      <c r="I824">
        <v>2996</v>
      </c>
      <c r="J824">
        <v>2996</v>
      </c>
      <c r="L824" s="3">
        <v>0</v>
      </c>
      <c r="M824" s="3">
        <v>0</v>
      </c>
      <c r="N824" s="3">
        <v>0</v>
      </c>
      <c r="O824" s="3">
        <v>104.14</v>
      </c>
      <c r="P824" s="3">
        <v>0</v>
      </c>
      <c r="Q824" s="3">
        <v>0</v>
      </c>
      <c r="R824" s="3">
        <v>0</v>
      </c>
      <c r="S824" s="3">
        <v>0</v>
      </c>
      <c r="T824" s="3">
        <v>0</v>
      </c>
      <c r="U824" s="3">
        <v>104.14</v>
      </c>
      <c r="V824" t="s">
        <v>55</v>
      </c>
    </row>
    <row r="825" spans="1:22" hidden="1" x14ac:dyDescent="0.25">
      <c r="A825" t="s">
        <v>8387</v>
      </c>
      <c r="B825" t="s">
        <v>8471</v>
      </c>
      <c r="C825" t="s">
        <v>1</v>
      </c>
      <c r="D825" t="s">
        <v>1</v>
      </c>
      <c r="E825" t="s">
        <v>8147</v>
      </c>
      <c r="F825" t="s">
        <v>8146</v>
      </c>
      <c r="G825">
        <v>2997</v>
      </c>
      <c r="H825">
        <v>2997</v>
      </c>
      <c r="I825">
        <v>2997</v>
      </c>
      <c r="J825">
        <v>2997</v>
      </c>
      <c r="L825" s="3">
        <v>0</v>
      </c>
      <c r="M825" s="3">
        <v>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3">
        <v>0</v>
      </c>
      <c r="T825" s="3">
        <v>0</v>
      </c>
      <c r="U825" s="3">
        <v>0</v>
      </c>
      <c r="V825" t="s">
        <v>55</v>
      </c>
    </row>
    <row r="826" spans="1:22" hidden="1" x14ac:dyDescent="0.25">
      <c r="A826" t="s">
        <v>8387</v>
      </c>
      <c r="B826" t="s">
        <v>8471</v>
      </c>
      <c r="C826" t="s">
        <v>1</v>
      </c>
      <c r="D826" t="s">
        <v>1</v>
      </c>
      <c r="E826" t="s">
        <v>8147</v>
      </c>
      <c r="F826" t="s">
        <v>8146</v>
      </c>
      <c r="G826">
        <v>2998</v>
      </c>
      <c r="H826">
        <v>2998</v>
      </c>
      <c r="I826">
        <v>2998</v>
      </c>
      <c r="J826">
        <v>2998</v>
      </c>
      <c r="L826" s="3">
        <v>0</v>
      </c>
      <c r="M826" s="3">
        <v>0</v>
      </c>
      <c r="N826" s="3">
        <v>0</v>
      </c>
      <c r="O826" s="3">
        <v>206.28</v>
      </c>
      <c r="P826" s="3">
        <v>0</v>
      </c>
      <c r="Q826" s="3">
        <v>0</v>
      </c>
      <c r="R826" s="3">
        <v>0</v>
      </c>
      <c r="S826" s="3">
        <v>0</v>
      </c>
      <c r="T826" s="3">
        <v>0</v>
      </c>
      <c r="U826" s="3">
        <v>206.28</v>
      </c>
      <c r="V826" t="s">
        <v>55</v>
      </c>
    </row>
    <row r="827" spans="1:22" hidden="1" x14ac:dyDescent="0.25">
      <c r="A827" t="s">
        <v>8387</v>
      </c>
      <c r="B827" t="s">
        <v>8471</v>
      </c>
      <c r="C827" t="s">
        <v>1</v>
      </c>
      <c r="D827" t="s">
        <v>1</v>
      </c>
      <c r="E827" t="s">
        <v>8147</v>
      </c>
      <c r="F827" t="s">
        <v>8146</v>
      </c>
      <c r="G827">
        <v>2999</v>
      </c>
      <c r="H827">
        <v>2999</v>
      </c>
      <c r="I827">
        <v>2999</v>
      </c>
      <c r="J827">
        <v>2999</v>
      </c>
      <c r="L827" s="3">
        <v>0</v>
      </c>
      <c r="M827" s="3">
        <v>0</v>
      </c>
      <c r="N827" s="3">
        <v>0</v>
      </c>
      <c r="O827" s="3">
        <v>68.760000000000005</v>
      </c>
      <c r="P827" s="3">
        <v>0</v>
      </c>
      <c r="Q827" s="3">
        <v>0</v>
      </c>
      <c r="R827" s="3">
        <v>0</v>
      </c>
      <c r="S827" s="3">
        <v>0</v>
      </c>
      <c r="T827" s="3">
        <v>0</v>
      </c>
      <c r="U827" s="3">
        <v>68.760000000000005</v>
      </c>
      <c r="V827" t="s">
        <v>55</v>
      </c>
    </row>
    <row r="828" spans="1:22" hidden="1" x14ac:dyDescent="0.25">
      <c r="A828" t="s">
        <v>8387</v>
      </c>
      <c r="B828" t="s">
        <v>8471</v>
      </c>
      <c r="C828" t="s">
        <v>1</v>
      </c>
      <c r="D828" t="s">
        <v>1</v>
      </c>
      <c r="E828" t="s">
        <v>8147</v>
      </c>
      <c r="F828" t="s">
        <v>8146</v>
      </c>
      <c r="G828">
        <v>3000</v>
      </c>
      <c r="H828">
        <v>3000</v>
      </c>
      <c r="I828">
        <v>3000</v>
      </c>
      <c r="J828">
        <v>3000</v>
      </c>
      <c r="L828" s="3">
        <v>0</v>
      </c>
      <c r="M828" s="3">
        <v>0</v>
      </c>
      <c r="N828" s="3">
        <v>0</v>
      </c>
      <c r="O828" s="3">
        <v>730.85</v>
      </c>
      <c r="P828" s="3">
        <v>0</v>
      </c>
      <c r="Q828" s="3">
        <v>0</v>
      </c>
      <c r="R828" s="3">
        <v>0</v>
      </c>
      <c r="S828" s="3">
        <v>0</v>
      </c>
      <c r="T828" s="3">
        <v>0</v>
      </c>
      <c r="U828" s="3">
        <v>730.85</v>
      </c>
      <c r="V828" t="s">
        <v>55</v>
      </c>
    </row>
    <row r="829" spans="1:22" hidden="1" x14ac:dyDescent="0.25">
      <c r="A829" t="s">
        <v>8387</v>
      </c>
      <c r="B829" t="s">
        <v>8471</v>
      </c>
      <c r="C829" t="s">
        <v>1</v>
      </c>
      <c r="D829" t="s">
        <v>1</v>
      </c>
      <c r="E829" t="s">
        <v>8147</v>
      </c>
      <c r="F829" t="s">
        <v>8146</v>
      </c>
      <c r="G829">
        <v>3001</v>
      </c>
      <c r="H829">
        <v>3001</v>
      </c>
      <c r="I829">
        <v>3001</v>
      </c>
      <c r="J829">
        <v>3001</v>
      </c>
      <c r="L829" s="3">
        <v>0</v>
      </c>
      <c r="M829" s="3">
        <v>0</v>
      </c>
      <c r="N829" s="3">
        <v>0</v>
      </c>
      <c r="O829" s="3">
        <v>145.46</v>
      </c>
      <c r="P829" s="3">
        <v>0</v>
      </c>
      <c r="Q829" s="3">
        <v>0</v>
      </c>
      <c r="R829" s="3">
        <v>0</v>
      </c>
      <c r="S829" s="3">
        <v>0</v>
      </c>
      <c r="T829" s="3">
        <v>0</v>
      </c>
      <c r="U829" s="3">
        <v>145.46</v>
      </c>
      <c r="V829" t="s">
        <v>55</v>
      </c>
    </row>
    <row r="830" spans="1:22" hidden="1" x14ac:dyDescent="0.25">
      <c r="A830" t="s">
        <v>8387</v>
      </c>
      <c r="B830" t="s">
        <v>8471</v>
      </c>
      <c r="C830" t="s">
        <v>1</v>
      </c>
      <c r="D830" t="s">
        <v>1</v>
      </c>
      <c r="E830" t="s">
        <v>8147</v>
      </c>
      <c r="F830" t="s">
        <v>8146</v>
      </c>
      <c r="G830">
        <v>3002</v>
      </c>
      <c r="H830">
        <v>3002</v>
      </c>
      <c r="I830">
        <v>3002</v>
      </c>
      <c r="J830">
        <v>3002</v>
      </c>
      <c r="L830" s="3">
        <v>0</v>
      </c>
      <c r="M830" s="3">
        <v>0</v>
      </c>
      <c r="N830" s="3">
        <v>0</v>
      </c>
      <c r="O830" s="3">
        <v>27.77</v>
      </c>
      <c r="P830" s="3">
        <v>0</v>
      </c>
      <c r="Q830" s="3">
        <v>0</v>
      </c>
      <c r="R830" s="3">
        <v>0</v>
      </c>
      <c r="S830" s="3">
        <v>0</v>
      </c>
      <c r="T830" s="3">
        <v>0</v>
      </c>
      <c r="U830" s="3">
        <v>27.77</v>
      </c>
      <c r="V830" t="s">
        <v>55</v>
      </c>
    </row>
    <row r="831" spans="1:22" hidden="1" x14ac:dyDescent="0.25">
      <c r="A831" t="s">
        <v>8387</v>
      </c>
      <c r="B831" t="s">
        <v>8471</v>
      </c>
      <c r="C831" t="s">
        <v>1</v>
      </c>
      <c r="D831" t="s">
        <v>1</v>
      </c>
      <c r="E831" t="s">
        <v>8147</v>
      </c>
      <c r="F831" t="s">
        <v>8146</v>
      </c>
      <c r="G831">
        <v>3003</v>
      </c>
      <c r="H831">
        <v>3003</v>
      </c>
      <c r="I831">
        <v>3003</v>
      </c>
      <c r="J831">
        <v>3003</v>
      </c>
      <c r="L831" s="3">
        <v>0</v>
      </c>
      <c r="M831" s="3">
        <v>0</v>
      </c>
      <c r="N831" s="3">
        <v>0</v>
      </c>
      <c r="O831" s="3">
        <v>1021.53</v>
      </c>
      <c r="P831" s="3">
        <v>0</v>
      </c>
      <c r="Q831" s="3">
        <v>0</v>
      </c>
      <c r="R831" s="3">
        <v>0</v>
      </c>
      <c r="S831" s="3">
        <v>0</v>
      </c>
      <c r="T831" s="3">
        <v>0</v>
      </c>
      <c r="U831" s="3">
        <v>1021.53</v>
      </c>
      <c r="V831" t="s">
        <v>55</v>
      </c>
    </row>
    <row r="832" spans="1:22" hidden="1" x14ac:dyDescent="0.25">
      <c r="A832" t="s">
        <v>8387</v>
      </c>
      <c r="B832" t="s">
        <v>8471</v>
      </c>
      <c r="C832" t="s">
        <v>1</v>
      </c>
      <c r="D832" t="s">
        <v>1</v>
      </c>
      <c r="E832" t="s">
        <v>8147</v>
      </c>
      <c r="F832" t="s">
        <v>8146</v>
      </c>
      <c r="G832">
        <v>3004</v>
      </c>
      <c r="H832">
        <v>3004</v>
      </c>
      <c r="I832">
        <v>3004</v>
      </c>
      <c r="J832">
        <v>3004</v>
      </c>
      <c r="L832" s="3">
        <v>0</v>
      </c>
      <c r="M832" s="3">
        <v>0</v>
      </c>
      <c r="N832" s="3">
        <v>0</v>
      </c>
      <c r="O832" s="3">
        <v>262.44</v>
      </c>
      <c r="P832" s="3">
        <v>0</v>
      </c>
      <c r="Q832" s="3">
        <v>0</v>
      </c>
      <c r="R832" s="3">
        <v>0</v>
      </c>
      <c r="S832" s="3">
        <v>0</v>
      </c>
      <c r="T832" s="3">
        <v>0</v>
      </c>
      <c r="U832" s="3">
        <v>262.44</v>
      </c>
      <c r="V832" t="s">
        <v>55</v>
      </c>
    </row>
    <row r="833" spans="1:22" hidden="1" x14ac:dyDescent="0.25">
      <c r="A833" t="s">
        <v>8387</v>
      </c>
      <c r="B833" t="s">
        <v>8471</v>
      </c>
      <c r="C833" t="s">
        <v>1</v>
      </c>
      <c r="D833" t="s">
        <v>1</v>
      </c>
      <c r="E833" t="s">
        <v>8147</v>
      </c>
      <c r="F833" t="s">
        <v>8146</v>
      </c>
      <c r="G833">
        <v>3005</v>
      </c>
      <c r="H833">
        <v>3005</v>
      </c>
      <c r="I833">
        <v>3005</v>
      </c>
      <c r="J833">
        <v>3005</v>
      </c>
      <c r="L833" s="3">
        <v>0</v>
      </c>
      <c r="M833" s="3">
        <v>0</v>
      </c>
      <c r="N833" s="3">
        <v>0</v>
      </c>
      <c r="O833" s="3">
        <v>89.72</v>
      </c>
      <c r="P833" s="3">
        <v>0</v>
      </c>
      <c r="Q833" s="3">
        <v>0</v>
      </c>
      <c r="R833" s="3">
        <v>0</v>
      </c>
      <c r="S833" s="3">
        <v>0</v>
      </c>
      <c r="T833" s="3">
        <v>0</v>
      </c>
      <c r="U833" s="3">
        <v>89.72</v>
      </c>
      <c r="V833" t="s">
        <v>55</v>
      </c>
    </row>
    <row r="834" spans="1:22" hidden="1" x14ac:dyDescent="0.25">
      <c r="A834" t="s">
        <v>8387</v>
      </c>
      <c r="B834" t="s">
        <v>8471</v>
      </c>
      <c r="C834" t="s">
        <v>1</v>
      </c>
      <c r="D834" t="s">
        <v>1</v>
      </c>
      <c r="E834" t="s">
        <v>8147</v>
      </c>
      <c r="F834" t="s">
        <v>8146</v>
      </c>
      <c r="G834">
        <v>3006</v>
      </c>
      <c r="H834">
        <v>3006</v>
      </c>
      <c r="I834">
        <v>3006</v>
      </c>
      <c r="J834">
        <v>3006</v>
      </c>
      <c r="L834" s="3">
        <v>0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3">
        <v>0</v>
      </c>
      <c r="T834" s="3">
        <v>0</v>
      </c>
      <c r="U834" s="3">
        <v>0</v>
      </c>
      <c r="V834" t="s">
        <v>55</v>
      </c>
    </row>
    <row r="835" spans="1:22" hidden="1" x14ac:dyDescent="0.25">
      <c r="A835" t="s">
        <v>8387</v>
      </c>
      <c r="B835" t="s">
        <v>8471</v>
      </c>
      <c r="C835" t="s">
        <v>1</v>
      </c>
      <c r="D835" t="s">
        <v>1</v>
      </c>
      <c r="E835" t="s">
        <v>8147</v>
      </c>
      <c r="F835" t="s">
        <v>8146</v>
      </c>
      <c r="G835">
        <v>3007</v>
      </c>
      <c r="H835">
        <v>3007</v>
      </c>
      <c r="I835">
        <v>3007</v>
      </c>
      <c r="J835">
        <v>3007</v>
      </c>
      <c r="L835" s="3">
        <v>0</v>
      </c>
      <c r="M835" s="3">
        <v>0</v>
      </c>
      <c r="N835" s="3">
        <v>0</v>
      </c>
      <c r="O835" s="3">
        <v>941.01</v>
      </c>
      <c r="P835" s="3">
        <v>0</v>
      </c>
      <c r="Q835" s="3">
        <v>0</v>
      </c>
      <c r="R835" s="3">
        <v>0</v>
      </c>
      <c r="S835" s="3">
        <v>0</v>
      </c>
      <c r="T835" s="3">
        <v>0</v>
      </c>
      <c r="U835" s="3">
        <v>941.01</v>
      </c>
      <c r="V835" t="s">
        <v>55</v>
      </c>
    </row>
    <row r="836" spans="1:22" hidden="1" x14ac:dyDescent="0.25">
      <c r="A836" t="s">
        <v>8387</v>
      </c>
      <c r="B836" t="s">
        <v>8471</v>
      </c>
      <c r="C836" t="s">
        <v>1</v>
      </c>
      <c r="D836" t="s">
        <v>1</v>
      </c>
      <c r="E836" t="s">
        <v>8147</v>
      </c>
      <c r="F836" t="s">
        <v>8146</v>
      </c>
      <c r="G836">
        <v>3008</v>
      </c>
      <c r="H836">
        <v>3008</v>
      </c>
      <c r="I836">
        <v>3008</v>
      </c>
      <c r="J836">
        <v>3008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3">
        <v>0</v>
      </c>
      <c r="T836" s="3">
        <v>0</v>
      </c>
      <c r="U836" s="3">
        <v>0</v>
      </c>
      <c r="V836" t="s">
        <v>55</v>
      </c>
    </row>
    <row r="837" spans="1:22" hidden="1" x14ac:dyDescent="0.25">
      <c r="A837" t="s">
        <v>8387</v>
      </c>
      <c r="B837" t="s">
        <v>8471</v>
      </c>
      <c r="C837" t="s">
        <v>1</v>
      </c>
      <c r="D837" t="s">
        <v>1</v>
      </c>
      <c r="E837" t="s">
        <v>8147</v>
      </c>
      <c r="F837" t="s">
        <v>8146</v>
      </c>
      <c r="G837">
        <v>3009</v>
      </c>
      <c r="H837">
        <v>3009</v>
      </c>
      <c r="I837">
        <v>3009</v>
      </c>
      <c r="J837">
        <v>3009</v>
      </c>
      <c r="L837" s="3">
        <v>0</v>
      </c>
      <c r="M837" s="3">
        <v>0</v>
      </c>
      <c r="N837" s="3">
        <v>0</v>
      </c>
      <c r="O837" s="3">
        <v>377.5</v>
      </c>
      <c r="P837" s="3">
        <v>0</v>
      </c>
      <c r="Q837" s="3">
        <v>0</v>
      </c>
      <c r="R837" s="3">
        <v>0</v>
      </c>
      <c r="S837" s="3">
        <v>0</v>
      </c>
      <c r="T837" s="3">
        <v>0</v>
      </c>
      <c r="U837" s="3">
        <v>377.5</v>
      </c>
      <c r="V837" t="s">
        <v>55</v>
      </c>
    </row>
    <row r="838" spans="1:22" hidden="1" x14ac:dyDescent="0.25">
      <c r="A838" t="s">
        <v>8387</v>
      </c>
      <c r="B838" t="s">
        <v>8471</v>
      </c>
      <c r="C838" t="s">
        <v>1</v>
      </c>
      <c r="D838" t="s">
        <v>1</v>
      </c>
      <c r="E838" t="s">
        <v>8147</v>
      </c>
      <c r="F838" t="s">
        <v>8146</v>
      </c>
      <c r="G838">
        <v>3010</v>
      </c>
      <c r="H838">
        <v>3010</v>
      </c>
      <c r="I838">
        <v>3010</v>
      </c>
      <c r="J838">
        <v>3010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3">
        <v>0</v>
      </c>
      <c r="T838" s="3">
        <v>0</v>
      </c>
      <c r="U838" s="3">
        <v>0</v>
      </c>
      <c r="V838" t="s">
        <v>55</v>
      </c>
    </row>
    <row r="839" spans="1:22" hidden="1" x14ac:dyDescent="0.25">
      <c r="A839" t="s">
        <v>8387</v>
      </c>
      <c r="B839" t="s">
        <v>8471</v>
      </c>
      <c r="C839" t="s">
        <v>1</v>
      </c>
      <c r="D839" t="s">
        <v>1</v>
      </c>
      <c r="E839" t="s">
        <v>8147</v>
      </c>
      <c r="F839" t="s">
        <v>8146</v>
      </c>
      <c r="G839">
        <v>3011</v>
      </c>
      <c r="H839">
        <v>3011</v>
      </c>
      <c r="I839">
        <v>3011</v>
      </c>
      <c r="J839">
        <v>3011</v>
      </c>
      <c r="L839" s="3">
        <v>0</v>
      </c>
      <c r="M839" s="3">
        <v>0</v>
      </c>
      <c r="N839" s="3">
        <v>0</v>
      </c>
      <c r="O839" s="3">
        <v>126.13</v>
      </c>
      <c r="P839" s="3">
        <v>0</v>
      </c>
      <c r="Q839" s="3">
        <v>0</v>
      </c>
      <c r="R839" s="3">
        <v>0</v>
      </c>
      <c r="S839" s="3">
        <v>0</v>
      </c>
      <c r="T839" s="3">
        <v>0</v>
      </c>
      <c r="U839" s="3">
        <v>126.13</v>
      </c>
      <c r="V839" t="s">
        <v>55</v>
      </c>
    </row>
    <row r="840" spans="1:22" hidden="1" x14ac:dyDescent="0.25">
      <c r="A840" t="s">
        <v>8387</v>
      </c>
      <c r="B840" t="s">
        <v>8466</v>
      </c>
      <c r="C840" t="s">
        <v>1</v>
      </c>
      <c r="D840" t="s">
        <v>1</v>
      </c>
      <c r="E840" t="s">
        <v>8147</v>
      </c>
      <c r="F840" t="s">
        <v>8146</v>
      </c>
      <c r="G840">
        <v>3012</v>
      </c>
      <c r="H840">
        <v>3012</v>
      </c>
      <c r="I840">
        <v>3012</v>
      </c>
      <c r="J840">
        <v>3012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3">
        <v>0</v>
      </c>
      <c r="T840" s="3">
        <v>0</v>
      </c>
      <c r="U840" s="3">
        <v>0</v>
      </c>
      <c r="V840" t="s">
        <v>55</v>
      </c>
    </row>
    <row r="841" spans="1:22" hidden="1" x14ac:dyDescent="0.25">
      <c r="A841" t="s">
        <v>8387</v>
      </c>
      <c r="B841" t="s">
        <v>8466</v>
      </c>
      <c r="C841" t="s">
        <v>1</v>
      </c>
      <c r="D841" t="s">
        <v>1</v>
      </c>
      <c r="E841" t="s">
        <v>8147</v>
      </c>
      <c r="F841" t="s">
        <v>8146</v>
      </c>
      <c r="G841">
        <v>3013</v>
      </c>
      <c r="H841">
        <v>3013</v>
      </c>
      <c r="I841">
        <v>3013</v>
      </c>
      <c r="J841">
        <v>3013</v>
      </c>
      <c r="L841" s="3">
        <v>0</v>
      </c>
      <c r="M841" s="3">
        <v>0</v>
      </c>
      <c r="N841" s="3">
        <v>0</v>
      </c>
      <c r="O841" s="3">
        <v>59.76</v>
      </c>
      <c r="P841" s="3">
        <v>0</v>
      </c>
      <c r="Q841" s="3">
        <v>0</v>
      </c>
      <c r="R841" s="3">
        <v>0</v>
      </c>
      <c r="S841" s="3">
        <v>0</v>
      </c>
      <c r="T841" s="3">
        <v>0</v>
      </c>
      <c r="U841" s="3">
        <v>59.76</v>
      </c>
      <c r="V841" t="s">
        <v>55</v>
      </c>
    </row>
    <row r="842" spans="1:22" hidden="1" x14ac:dyDescent="0.25">
      <c r="A842" t="s">
        <v>8387</v>
      </c>
      <c r="B842" t="s">
        <v>8466</v>
      </c>
      <c r="C842" t="s">
        <v>1</v>
      </c>
      <c r="D842" t="s">
        <v>1</v>
      </c>
      <c r="E842" t="s">
        <v>8147</v>
      </c>
      <c r="F842" t="s">
        <v>8146</v>
      </c>
      <c r="G842">
        <v>3014</v>
      </c>
      <c r="H842">
        <v>3014</v>
      </c>
      <c r="I842">
        <v>3014</v>
      </c>
      <c r="J842">
        <v>3014</v>
      </c>
      <c r="L842" s="3">
        <v>0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3">
        <v>0</v>
      </c>
      <c r="T842" s="3">
        <v>0</v>
      </c>
      <c r="U842" s="3">
        <v>0</v>
      </c>
      <c r="V842" t="s">
        <v>55</v>
      </c>
    </row>
    <row r="843" spans="1:22" hidden="1" x14ac:dyDescent="0.25">
      <c r="A843" t="s">
        <v>8387</v>
      </c>
      <c r="B843" t="s">
        <v>8466</v>
      </c>
      <c r="C843" t="s">
        <v>1</v>
      </c>
      <c r="D843" t="s">
        <v>1</v>
      </c>
      <c r="E843" t="s">
        <v>8147</v>
      </c>
      <c r="F843" t="s">
        <v>8146</v>
      </c>
      <c r="G843">
        <v>3015</v>
      </c>
      <c r="H843">
        <v>3015</v>
      </c>
      <c r="I843">
        <v>3015</v>
      </c>
      <c r="J843">
        <v>3015</v>
      </c>
      <c r="L843" s="3">
        <v>0</v>
      </c>
      <c r="M843" s="3">
        <v>0</v>
      </c>
      <c r="N843" s="3">
        <v>0</v>
      </c>
      <c r="O843" s="3">
        <v>226.54</v>
      </c>
      <c r="P843" s="3">
        <v>0</v>
      </c>
      <c r="Q843" s="3">
        <v>0</v>
      </c>
      <c r="R843" s="3">
        <v>0</v>
      </c>
      <c r="S843" s="3">
        <v>0</v>
      </c>
      <c r="T843" s="3">
        <v>0</v>
      </c>
      <c r="U843" s="3">
        <v>226.54</v>
      </c>
      <c r="V843" t="s">
        <v>55</v>
      </c>
    </row>
    <row r="844" spans="1:22" hidden="1" x14ac:dyDescent="0.25">
      <c r="A844" t="s">
        <v>8387</v>
      </c>
      <c r="B844" t="s">
        <v>8466</v>
      </c>
      <c r="C844" t="s">
        <v>1</v>
      </c>
      <c r="D844" t="s">
        <v>1</v>
      </c>
      <c r="E844" t="s">
        <v>8147</v>
      </c>
      <c r="F844" t="s">
        <v>8146</v>
      </c>
      <c r="G844">
        <v>3016</v>
      </c>
      <c r="H844">
        <v>3016</v>
      </c>
      <c r="I844">
        <v>3016</v>
      </c>
      <c r="J844">
        <v>3016</v>
      </c>
      <c r="L844" s="3">
        <v>0</v>
      </c>
      <c r="M844" s="3">
        <v>0</v>
      </c>
      <c r="N844" s="3">
        <v>0</v>
      </c>
      <c r="O844" s="3">
        <v>243.09</v>
      </c>
      <c r="P844" s="3">
        <v>0</v>
      </c>
      <c r="Q844" s="3">
        <v>0</v>
      </c>
      <c r="R844" s="3">
        <v>0</v>
      </c>
      <c r="S844" s="3">
        <v>0</v>
      </c>
      <c r="T844" s="3">
        <v>0</v>
      </c>
      <c r="U844" s="3">
        <v>243.09</v>
      </c>
      <c r="V844" t="s">
        <v>55</v>
      </c>
    </row>
    <row r="845" spans="1:22" hidden="1" x14ac:dyDescent="0.25">
      <c r="A845" t="s">
        <v>8387</v>
      </c>
      <c r="B845" t="s">
        <v>8466</v>
      </c>
      <c r="C845" t="s">
        <v>1</v>
      </c>
      <c r="D845" t="s">
        <v>1</v>
      </c>
      <c r="E845" t="s">
        <v>8147</v>
      </c>
      <c r="F845" t="s">
        <v>8146</v>
      </c>
      <c r="G845">
        <v>3017</v>
      </c>
      <c r="H845">
        <v>3017</v>
      </c>
      <c r="I845">
        <v>3017</v>
      </c>
      <c r="J845">
        <v>3017</v>
      </c>
      <c r="L845" s="3">
        <v>0</v>
      </c>
      <c r="M845" s="3">
        <v>0</v>
      </c>
      <c r="N845" s="3">
        <v>0</v>
      </c>
      <c r="O845" s="3">
        <v>16.39</v>
      </c>
      <c r="P845" s="3">
        <v>0</v>
      </c>
      <c r="Q845" s="3">
        <v>0</v>
      </c>
      <c r="R845" s="3">
        <v>0</v>
      </c>
      <c r="S845" s="3">
        <v>0</v>
      </c>
      <c r="T845" s="3">
        <v>0</v>
      </c>
      <c r="U845" s="3">
        <v>16.39</v>
      </c>
      <c r="V845" t="s">
        <v>55</v>
      </c>
    </row>
    <row r="846" spans="1:22" hidden="1" x14ac:dyDescent="0.25">
      <c r="A846" t="s">
        <v>8387</v>
      </c>
      <c r="B846" t="s">
        <v>8466</v>
      </c>
      <c r="C846" t="s">
        <v>1</v>
      </c>
      <c r="D846" t="s">
        <v>1</v>
      </c>
      <c r="E846" t="s">
        <v>8147</v>
      </c>
      <c r="F846" t="s">
        <v>8146</v>
      </c>
      <c r="G846">
        <v>3018</v>
      </c>
      <c r="H846">
        <v>3018</v>
      </c>
      <c r="I846">
        <v>3018</v>
      </c>
      <c r="J846">
        <v>3018</v>
      </c>
      <c r="L846" s="3">
        <v>0</v>
      </c>
      <c r="M846" s="3">
        <v>0</v>
      </c>
      <c r="N846" s="3">
        <v>0</v>
      </c>
      <c r="O846" s="3">
        <v>24.75</v>
      </c>
      <c r="P846" s="3">
        <v>0</v>
      </c>
      <c r="Q846" s="3">
        <v>0</v>
      </c>
      <c r="R846" s="3">
        <v>0</v>
      </c>
      <c r="S846" s="3">
        <v>0</v>
      </c>
      <c r="T846" s="3">
        <v>0</v>
      </c>
      <c r="U846" s="3">
        <v>24.75</v>
      </c>
      <c r="V846" t="s">
        <v>55</v>
      </c>
    </row>
    <row r="847" spans="1:22" hidden="1" x14ac:dyDescent="0.25">
      <c r="A847" t="s">
        <v>8387</v>
      </c>
      <c r="B847" t="s">
        <v>8464</v>
      </c>
      <c r="C847" t="s">
        <v>1</v>
      </c>
      <c r="D847" t="s">
        <v>1</v>
      </c>
      <c r="E847" t="s">
        <v>8147</v>
      </c>
      <c r="F847" t="s">
        <v>8146</v>
      </c>
      <c r="G847">
        <v>3019</v>
      </c>
      <c r="H847">
        <v>3019</v>
      </c>
      <c r="I847">
        <v>3019</v>
      </c>
      <c r="J847">
        <v>3019</v>
      </c>
      <c r="L847" s="3">
        <v>0</v>
      </c>
      <c r="M847" s="3">
        <v>0</v>
      </c>
      <c r="N847" s="3">
        <v>0</v>
      </c>
      <c r="O847" s="3">
        <v>602.5</v>
      </c>
      <c r="P847" s="3">
        <v>0</v>
      </c>
      <c r="Q847" s="3">
        <v>0</v>
      </c>
      <c r="R847" s="3">
        <v>0</v>
      </c>
      <c r="S847" s="3">
        <v>0</v>
      </c>
      <c r="T847" s="3">
        <v>0</v>
      </c>
      <c r="U847" s="3">
        <v>602.5</v>
      </c>
      <c r="V847" t="s">
        <v>55</v>
      </c>
    </row>
    <row r="848" spans="1:22" hidden="1" x14ac:dyDescent="0.25">
      <c r="A848" t="s">
        <v>8387</v>
      </c>
      <c r="B848" t="s">
        <v>8464</v>
      </c>
      <c r="C848" t="s">
        <v>1</v>
      </c>
      <c r="D848" t="s">
        <v>1</v>
      </c>
      <c r="E848" t="s">
        <v>8147</v>
      </c>
      <c r="F848" t="s">
        <v>8146</v>
      </c>
      <c r="G848">
        <v>3020</v>
      </c>
      <c r="H848">
        <v>3020</v>
      </c>
      <c r="I848">
        <v>3020</v>
      </c>
      <c r="J848">
        <v>3020</v>
      </c>
      <c r="L848" s="3">
        <v>0</v>
      </c>
      <c r="M848" s="3">
        <v>0</v>
      </c>
      <c r="N848" s="3">
        <v>0</v>
      </c>
      <c r="O848" s="3">
        <v>155.49</v>
      </c>
      <c r="P848" s="3">
        <v>0</v>
      </c>
      <c r="Q848" s="3">
        <v>0</v>
      </c>
      <c r="R848" s="3">
        <v>0</v>
      </c>
      <c r="S848" s="3">
        <v>0</v>
      </c>
      <c r="T848" s="3">
        <v>0</v>
      </c>
      <c r="U848" s="3">
        <v>155.49</v>
      </c>
      <c r="V848" t="s">
        <v>55</v>
      </c>
    </row>
    <row r="849" spans="1:22" hidden="1" x14ac:dyDescent="0.25">
      <c r="A849" t="s">
        <v>8387</v>
      </c>
      <c r="B849" t="s">
        <v>8464</v>
      </c>
      <c r="C849" t="s">
        <v>1</v>
      </c>
      <c r="D849" t="s">
        <v>1</v>
      </c>
      <c r="E849" t="s">
        <v>8147</v>
      </c>
      <c r="F849" t="s">
        <v>8146</v>
      </c>
      <c r="G849">
        <v>3021</v>
      </c>
      <c r="H849">
        <v>3021</v>
      </c>
      <c r="I849">
        <v>3021</v>
      </c>
      <c r="J849">
        <v>3021</v>
      </c>
      <c r="L849" s="3">
        <v>0</v>
      </c>
      <c r="M849" s="3">
        <v>0</v>
      </c>
      <c r="N849" s="3">
        <v>0</v>
      </c>
      <c r="O849" s="3">
        <v>68.48</v>
      </c>
      <c r="P849" s="3">
        <v>0</v>
      </c>
      <c r="Q849" s="3">
        <v>0</v>
      </c>
      <c r="R849" s="3">
        <v>0</v>
      </c>
      <c r="S849" s="3">
        <v>0</v>
      </c>
      <c r="T849" s="3">
        <v>0</v>
      </c>
      <c r="U849" s="3">
        <v>68.48</v>
      </c>
      <c r="V849" t="s">
        <v>55</v>
      </c>
    </row>
    <row r="850" spans="1:22" hidden="1" x14ac:dyDescent="0.25">
      <c r="A850" t="s">
        <v>8387</v>
      </c>
      <c r="B850" t="s">
        <v>8464</v>
      </c>
      <c r="C850" t="s">
        <v>1</v>
      </c>
      <c r="D850" t="s">
        <v>1</v>
      </c>
      <c r="E850" t="s">
        <v>8147</v>
      </c>
      <c r="F850" t="s">
        <v>8146</v>
      </c>
      <c r="G850">
        <v>3022</v>
      </c>
      <c r="H850">
        <v>3022</v>
      </c>
      <c r="I850">
        <v>3022</v>
      </c>
      <c r="J850">
        <v>3022</v>
      </c>
      <c r="L850" s="3">
        <v>0</v>
      </c>
      <c r="M850" s="3">
        <v>0</v>
      </c>
      <c r="N850" s="3">
        <v>0</v>
      </c>
      <c r="O850" s="3">
        <v>942.15</v>
      </c>
      <c r="P850" s="3">
        <v>0</v>
      </c>
      <c r="Q850" s="3">
        <v>0</v>
      </c>
      <c r="R850" s="3">
        <v>0</v>
      </c>
      <c r="S850" s="3">
        <v>0</v>
      </c>
      <c r="T850" s="3">
        <v>0</v>
      </c>
      <c r="U850" s="3">
        <v>942.15</v>
      </c>
      <c r="V850" t="s">
        <v>55</v>
      </c>
    </row>
    <row r="851" spans="1:22" hidden="1" x14ac:dyDescent="0.25">
      <c r="A851" t="s">
        <v>8387</v>
      </c>
      <c r="B851" t="s">
        <v>8464</v>
      </c>
      <c r="C851" t="s">
        <v>1</v>
      </c>
      <c r="D851" t="s">
        <v>1</v>
      </c>
      <c r="E851" t="s">
        <v>8147</v>
      </c>
      <c r="F851" t="s">
        <v>8146</v>
      </c>
      <c r="G851">
        <v>3023</v>
      </c>
      <c r="H851">
        <v>3023</v>
      </c>
      <c r="I851">
        <v>3023</v>
      </c>
      <c r="J851">
        <v>3023</v>
      </c>
      <c r="L851" s="3">
        <v>0</v>
      </c>
      <c r="M851" s="3">
        <v>0</v>
      </c>
      <c r="N851" s="3">
        <v>0</v>
      </c>
      <c r="O851" s="3">
        <v>15.53</v>
      </c>
      <c r="P851" s="3">
        <v>0</v>
      </c>
      <c r="Q851" s="3">
        <v>0</v>
      </c>
      <c r="R851" s="3">
        <v>0</v>
      </c>
      <c r="S851" s="3">
        <v>0</v>
      </c>
      <c r="T851" s="3">
        <v>0</v>
      </c>
      <c r="U851" s="3">
        <v>15.53</v>
      </c>
      <c r="V851" t="s">
        <v>55</v>
      </c>
    </row>
    <row r="852" spans="1:22" hidden="1" x14ac:dyDescent="0.25">
      <c r="A852" t="s">
        <v>8387</v>
      </c>
      <c r="B852" t="s">
        <v>8464</v>
      </c>
      <c r="C852" t="s">
        <v>1</v>
      </c>
      <c r="D852" t="s">
        <v>1</v>
      </c>
      <c r="E852" t="s">
        <v>8147</v>
      </c>
      <c r="F852" t="s">
        <v>8146</v>
      </c>
      <c r="G852">
        <v>3024</v>
      </c>
      <c r="H852">
        <v>3024</v>
      </c>
      <c r="I852">
        <v>3024</v>
      </c>
      <c r="J852">
        <v>3024</v>
      </c>
      <c r="L852" s="3">
        <v>0</v>
      </c>
      <c r="M852" s="3">
        <v>0</v>
      </c>
      <c r="N852" s="3">
        <v>0</v>
      </c>
      <c r="O852" s="3">
        <v>284.19</v>
      </c>
      <c r="P852" s="3">
        <v>0</v>
      </c>
      <c r="Q852" s="3">
        <v>0</v>
      </c>
      <c r="R852" s="3">
        <v>0</v>
      </c>
      <c r="S852" s="3">
        <v>0</v>
      </c>
      <c r="T852" s="3">
        <v>0</v>
      </c>
      <c r="U852" s="3">
        <v>284.19</v>
      </c>
      <c r="V852" t="s">
        <v>55</v>
      </c>
    </row>
    <row r="853" spans="1:22" hidden="1" x14ac:dyDescent="0.25">
      <c r="A853" t="s">
        <v>8387</v>
      </c>
      <c r="B853" t="s">
        <v>8464</v>
      </c>
      <c r="C853" t="s">
        <v>1</v>
      </c>
      <c r="D853" t="s">
        <v>1</v>
      </c>
      <c r="E853" t="s">
        <v>8147</v>
      </c>
      <c r="F853" t="s">
        <v>8146</v>
      </c>
      <c r="G853">
        <v>3025</v>
      </c>
      <c r="H853">
        <v>3025</v>
      </c>
      <c r="I853">
        <v>3025</v>
      </c>
      <c r="J853">
        <v>3025</v>
      </c>
      <c r="L853" s="3">
        <v>0</v>
      </c>
      <c r="M853" s="3">
        <v>0</v>
      </c>
      <c r="N853" s="3">
        <v>0</v>
      </c>
      <c r="O853" s="3">
        <v>105</v>
      </c>
      <c r="P853" s="3">
        <v>0</v>
      </c>
      <c r="Q853" s="3">
        <v>0</v>
      </c>
      <c r="R853" s="3">
        <v>0</v>
      </c>
      <c r="S853" s="3">
        <v>0</v>
      </c>
      <c r="T853" s="3">
        <v>0</v>
      </c>
      <c r="U853" s="3">
        <v>105</v>
      </c>
      <c r="V853" t="s">
        <v>55</v>
      </c>
    </row>
    <row r="854" spans="1:22" hidden="1" x14ac:dyDescent="0.25">
      <c r="A854" t="s">
        <v>8387</v>
      </c>
      <c r="B854" t="s">
        <v>8455</v>
      </c>
      <c r="C854" t="s">
        <v>1</v>
      </c>
      <c r="D854" t="s">
        <v>1</v>
      </c>
      <c r="E854" t="s">
        <v>8147</v>
      </c>
      <c r="F854" t="s">
        <v>8146</v>
      </c>
      <c r="G854">
        <v>3026</v>
      </c>
      <c r="H854">
        <v>3026</v>
      </c>
      <c r="I854">
        <v>3026</v>
      </c>
      <c r="J854">
        <v>3026</v>
      </c>
      <c r="L854" s="3">
        <v>0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3">
        <v>0</v>
      </c>
      <c r="T854" s="3">
        <v>0</v>
      </c>
      <c r="U854" s="3">
        <v>0</v>
      </c>
      <c r="V854" t="s">
        <v>55</v>
      </c>
    </row>
    <row r="855" spans="1:22" hidden="1" x14ac:dyDescent="0.25">
      <c r="A855" t="s">
        <v>8387</v>
      </c>
      <c r="B855" t="s">
        <v>8455</v>
      </c>
      <c r="C855" t="s">
        <v>1</v>
      </c>
      <c r="D855" t="s">
        <v>1</v>
      </c>
      <c r="E855" t="s">
        <v>8147</v>
      </c>
      <c r="F855" t="s">
        <v>8146</v>
      </c>
      <c r="G855">
        <v>3027</v>
      </c>
      <c r="H855">
        <v>3027</v>
      </c>
      <c r="I855">
        <v>3027</v>
      </c>
      <c r="J855">
        <v>3027</v>
      </c>
      <c r="L855" s="3">
        <v>0</v>
      </c>
      <c r="M855" s="3">
        <v>0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3">
        <v>0</v>
      </c>
      <c r="T855" s="3">
        <v>0</v>
      </c>
      <c r="U855" s="3">
        <v>0</v>
      </c>
      <c r="V855" t="s">
        <v>55</v>
      </c>
    </row>
    <row r="856" spans="1:22" hidden="1" x14ac:dyDescent="0.25">
      <c r="A856" t="s">
        <v>8387</v>
      </c>
      <c r="B856" t="s">
        <v>8455</v>
      </c>
      <c r="C856" t="s">
        <v>1</v>
      </c>
      <c r="D856" t="s">
        <v>1</v>
      </c>
      <c r="E856" t="s">
        <v>8147</v>
      </c>
      <c r="F856" t="s">
        <v>8146</v>
      </c>
      <c r="G856">
        <v>3028</v>
      </c>
      <c r="H856">
        <v>3028</v>
      </c>
      <c r="I856">
        <v>3028</v>
      </c>
      <c r="J856">
        <v>3028</v>
      </c>
      <c r="L856" s="3">
        <v>0</v>
      </c>
      <c r="M856" s="3">
        <v>0</v>
      </c>
      <c r="N856" s="3">
        <v>0</v>
      </c>
      <c r="O856" s="3">
        <v>1589.25</v>
      </c>
      <c r="P856" s="3">
        <v>0</v>
      </c>
      <c r="Q856" s="3">
        <v>0</v>
      </c>
      <c r="R856" s="3">
        <v>0</v>
      </c>
      <c r="S856" s="3">
        <v>0</v>
      </c>
      <c r="T856" s="3">
        <v>0</v>
      </c>
      <c r="U856" s="3">
        <v>1589.25</v>
      </c>
      <c r="V856" t="s">
        <v>55</v>
      </c>
    </row>
    <row r="857" spans="1:22" hidden="1" x14ac:dyDescent="0.25">
      <c r="A857" t="s">
        <v>8387</v>
      </c>
      <c r="B857" t="s">
        <v>8455</v>
      </c>
      <c r="C857" t="s">
        <v>1</v>
      </c>
      <c r="D857" t="s">
        <v>1</v>
      </c>
      <c r="E857" t="s">
        <v>8147</v>
      </c>
      <c r="F857" t="s">
        <v>8146</v>
      </c>
      <c r="G857">
        <v>3029</v>
      </c>
      <c r="H857">
        <v>3029</v>
      </c>
      <c r="I857">
        <v>3029</v>
      </c>
      <c r="J857">
        <v>3029</v>
      </c>
      <c r="L857" s="3">
        <v>0</v>
      </c>
      <c r="M857" s="3">
        <v>0</v>
      </c>
      <c r="N857" s="3">
        <v>0</v>
      </c>
      <c r="O857" s="3">
        <v>875.67</v>
      </c>
      <c r="P857" s="3">
        <v>0</v>
      </c>
      <c r="Q857" s="3">
        <v>0</v>
      </c>
      <c r="R857" s="3">
        <v>0</v>
      </c>
      <c r="S857" s="3">
        <v>0</v>
      </c>
      <c r="T857" s="3">
        <v>0</v>
      </c>
      <c r="U857" s="3">
        <v>875.67</v>
      </c>
      <c r="V857" t="s">
        <v>55</v>
      </c>
    </row>
    <row r="858" spans="1:22" hidden="1" x14ac:dyDescent="0.25">
      <c r="A858" t="s">
        <v>8387</v>
      </c>
      <c r="B858" t="s">
        <v>8455</v>
      </c>
      <c r="C858" t="s">
        <v>1</v>
      </c>
      <c r="D858" t="s">
        <v>1</v>
      </c>
      <c r="E858" t="s">
        <v>8147</v>
      </c>
      <c r="F858" t="s">
        <v>8146</v>
      </c>
      <c r="G858">
        <v>3030</v>
      </c>
      <c r="H858">
        <v>3030</v>
      </c>
      <c r="I858">
        <v>3030</v>
      </c>
      <c r="J858">
        <v>3030</v>
      </c>
      <c r="L858" s="3">
        <v>0</v>
      </c>
      <c r="M858" s="3">
        <v>0</v>
      </c>
      <c r="N858" s="3">
        <v>0</v>
      </c>
      <c r="O858" s="3">
        <v>1667.88</v>
      </c>
      <c r="P858" s="3">
        <v>0</v>
      </c>
      <c r="Q858" s="3">
        <v>0</v>
      </c>
      <c r="R858" s="3">
        <v>0</v>
      </c>
      <c r="S858" s="3">
        <v>0</v>
      </c>
      <c r="T858" s="3">
        <v>0</v>
      </c>
      <c r="U858" s="3">
        <v>1667.88</v>
      </c>
      <c r="V858" t="s">
        <v>55</v>
      </c>
    </row>
    <row r="859" spans="1:22" hidden="1" x14ac:dyDescent="0.25">
      <c r="A859" t="s">
        <v>8387</v>
      </c>
      <c r="B859" t="s">
        <v>8455</v>
      </c>
      <c r="C859" t="s">
        <v>1</v>
      </c>
      <c r="D859" t="s">
        <v>1</v>
      </c>
      <c r="E859" t="s">
        <v>8147</v>
      </c>
      <c r="F859" t="s">
        <v>8146</v>
      </c>
      <c r="G859">
        <v>3031</v>
      </c>
      <c r="H859">
        <v>3031</v>
      </c>
      <c r="I859">
        <v>3031</v>
      </c>
      <c r="J859">
        <v>3031</v>
      </c>
      <c r="L859" s="3">
        <v>0</v>
      </c>
      <c r="M859" s="3">
        <v>0</v>
      </c>
      <c r="N859" s="3">
        <v>0</v>
      </c>
      <c r="O859" s="3">
        <v>685.69</v>
      </c>
      <c r="P859" s="3">
        <v>0</v>
      </c>
      <c r="Q859" s="3">
        <v>0</v>
      </c>
      <c r="R859" s="3">
        <v>0</v>
      </c>
      <c r="S859" s="3">
        <v>0</v>
      </c>
      <c r="T859" s="3">
        <v>0</v>
      </c>
      <c r="U859" s="3">
        <v>685.69</v>
      </c>
      <c r="V859" t="s">
        <v>55</v>
      </c>
    </row>
    <row r="860" spans="1:22" hidden="1" x14ac:dyDescent="0.25">
      <c r="A860" t="s">
        <v>8387</v>
      </c>
      <c r="B860" t="s">
        <v>8455</v>
      </c>
      <c r="C860" t="s">
        <v>1</v>
      </c>
      <c r="D860" t="s">
        <v>1</v>
      </c>
      <c r="E860" t="s">
        <v>8147</v>
      </c>
      <c r="F860" t="s">
        <v>8146</v>
      </c>
      <c r="G860">
        <v>3032</v>
      </c>
      <c r="H860">
        <v>3032</v>
      </c>
      <c r="I860">
        <v>3032</v>
      </c>
      <c r="J860">
        <v>3032</v>
      </c>
      <c r="L860" s="3">
        <v>0</v>
      </c>
      <c r="M860" s="3">
        <v>0</v>
      </c>
      <c r="N860" s="3">
        <v>0</v>
      </c>
      <c r="O860" s="3">
        <v>121.59</v>
      </c>
      <c r="P860" s="3">
        <v>0</v>
      </c>
      <c r="Q860" s="3">
        <v>0</v>
      </c>
      <c r="R860" s="3">
        <v>0</v>
      </c>
      <c r="S860" s="3">
        <v>0</v>
      </c>
      <c r="T860" s="3">
        <v>0</v>
      </c>
      <c r="U860" s="3">
        <v>121.59</v>
      </c>
      <c r="V860" t="s">
        <v>55</v>
      </c>
    </row>
    <row r="861" spans="1:22" hidden="1" x14ac:dyDescent="0.25">
      <c r="A861" t="s">
        <v>8387</v>
      </c>
      <c r="B861" t="s">
        <v>8455</v>
      </c>
      <c r="C861" t="s">
        <v>1</v>
      </c>
      <c r="D861" t="s">
        <v>1</v>
      </c>
      <c r="E861" t="s">
        <v>8147</v>
      </c>
      <c r="F861" t="s">
        <v>8146</v>
      </c>
      <c r="G861">
        <v>3033</v>
      </c>
      <c r="H861">
        <v>3033</v>
      </c>
      <c r="I861">
        <v>3033</v>
      </c>
      <c r="J861">
        <v>3033</v>
      </c>
      <c r="L861" s="3">
        <v>0</v>
      </c>
      <c r="M861" s="3">
        <v>0</v>
      </c>
      <c r="N861" s="3">
        <v>0</v>
      </c>
      <c r="O861" s="3">
        <v>634.33000000000004</v>
      </c>
      <c r="P861" s="3">
        <v>0</v>
      </c>
      <c r="Q861" s="3">
        <v>0</v>
      </c>
      <c r="R861" s="3">
        <v>0</v>
      </c>
      <c r="S861" s="3">
        <v>0</v>
      </c>
      <c r="T861" s="3">
        <v>0</v>
      </c>
      <c r="U861" s="3">
        <v>634.33000000000004</v>
      </c>
      <c r="V861" t="s">
        <v>55</v>
      </c>
    </row>
    <row r="862" spans="1:22" hidden="1" x14ac:dyDescent="0.25">
      <c r="A862" t="s">
        <v>8387</v>
      </c>
      <c r="B862" t="s">
        <v>8455</v>
      </c>
      <c r="C862" t="s">
        <v>1</v>
      </c>
      <c r="D862" t="s">
        <v>1</v>
      </c>
      <c r="E862" t="s">
        <v>8147</v>
      </c>
      <c r="F862" t="s">
        <v>8146</v>
      </c>
      <c r="G862">
        <v>3034</v>
      </c>
      <c r="H862">
        <v>3034</v>
      </c>
      <c r="I862">
        <v>3034</v>
      </c>
      <c r="J862">
        <v>3034</v>
      </c>
      <c r="L862" s="3">
        <v>0</v>
      </c>
      <c r="M862" s="3">
        <v>0</v>
      </c>
      <c r="N862" s="3">
        <v>0</v>
      </c>
      <c r="O862" s="3">
        <v>6.44</v>
      </c>
      <c r="P862" s="3">
        <v>0</v>
      </c>
      <c r="Q862" s="3">
        <v>0</v>
      </c>
      <c r="R862" s="3">
        <v>0</v>
      </c>
      <c r="S862" s="3">
        <v>0</v>
      </c>
      <c r="T862" s="3">
        <v>0</v>
      </c>
      <c r="U862" s="3">
        <v>6.44</v>
      </c>
      <c r="V862" t="s">
        <v>55</v>
      </c>
    </row>
    <row r="863" spans="1:22" hidden="1" x14ac:dyDescent="0.25">
      <c r="A863" t="s">
        <v>8387</v>
      </c>
      <c r="B863" t="s">
        <v>8450</v>
      </c>
      <c r="C863" t="s">
        <v>1</v>
      </c>
      <c r="D863" t="s">
        <v>1</v>
      </c>
      <c r="E863" t="s">
        <v>8147</v>
      </c>
      <c r="F863" t="s">
        <v>8146</v>
      </c>
      <c r="G863">
        <v>3035</v>
      </c>
      <c r="H863">
        <v>3035</v>
      </c>
      <c r="I863">
        <v>3035</v>
      </c>
      <c r="J863">
        <v>3035</v>
      </c>
      <c r="L863" s="3">
        <v>0</v>
      </c>
      <c r="M863" s="3">
        <v>0</v>
      </c>
      <c r="N863" s="3">
        <v>0</v>
      </c>
      <c r="O863" s="3">
        <v>11.53</v>
      </c>
      <c r="P863" s="3">
        <v>0</v>
      </c>
      <c r="Q863" s="3">
        <v>0</v>
      </c>
      <c r="R863" s="3">
        <v>0</v>
      </c>
      <c r="S863" s="3">
        <v>0</v>
      </c>
      <c r="T863" s="3">
        <v>0</v>
      </c>
      <c r="U863" s="3">
        <v>11.53</v>
      </c>
      <c r="V863" t="s">
        <v>55</v>
      </c>
    </row>
    <row r="864" spans="1:22" hidden="1" x14ac:dyDescent="0.25">
      <c r="A864" t="s">
        <v>8387</v>
      </c>
      <c r="B864" t="s">
        <v>8450</v>
      </c>
      <c r="C864" t="s">
        <v>1</v>
      </c>
      <c r="D864" t="s">
        <v>1</v>
      </c>
      <c r="E864" t="s">
        <v>8147</v>
      </c>
      <c r="F864" t="s">
        <v>8146</v>
      </c>
      <c r="G864">
        <v>3036</v>
      </c>
      <c r="H864">
        <v>3036</v>
      </c>
      <c r="I864">
        <v>3036</v>
      </c>
      <c r="J864">
        <v>3036</v>
      </c>
      <c r="L864" s="3">
        <v>0</v>
      </c>
      <c r="M864" s="3">
        <v>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3">
        <v>0</v>
      </c>
      <c r="T864" s="3">
        <v>0</v>
      </c>
      <c r="U864" s="3">
        <v>0</v>
      </c>
      <c r="V864" t="s">
        <v>55</v>
      </c>
    </row>
    <row r="865" spans="1:22" hidden="1" x14ac:dyDescent="0.25">
      <c r="A865" t="s">
        <v>8387</v>
      </c>
      <c r="B865" t="s">
        <v>8450</v>
      </c>
      <c r="C865" t="s">
        <v>1</v>
      </c>
      <c r="D865" t="s">
        <v>1</v>
      </c>
      <c r="E865" t="s">
        <v>8147</v>
      </c>
      <c r="F865" t="s">
        <v>8146</v>
      </c>
      <c r="G865">
        <v>3037</v>
      </c>
      <c r="H865">
        <v>3037</v>
      </c>
      <c r="I865">
        <v>3037</v>
      </c>
      <c r="J865">
        <v>3037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3">
        <v>0</v>
      </c>
      <c r="T865" s="3">
        <v>0</v>
      </c>
      <c r="U865" s="3">
        <v>0</v>
      </c>
      <c r="V865" t="s">
        <v>55</v>
      </c>
    </row>
    <row r="866" spans="1:22" hidden="1" x14ac:dyDescent="0.25">
      <c r="A866" t="s">
        <v>8387</v>
      </c>
      <c r="B866" t="s">
        <v>8450</v>
      </c>
      <c r="C866" t="s">
        <v>1</v>
      </c>
      <c r="D866" t="s">
        <v>1</v>
      </c>
      <c r="E866" t="s">
        <v>8147</v>
      </c>
      <c r="F866" t="s">
        <v>8146</v>
      </c>
      <c r="G866">
        <v>3038</v>
      </c>
      <c r="H866">
        <v>3038</v>
      </c>
      <c r="I866">
        <v>3038</v>
      </c>
      <c r="J866">
        <v>3038</v>
      </c>
      <c r="L866" s="3">
        <v>0</v>
      </c>
      <c r="M866" s="3">
        <v>0</v>
      </c>
      <c r="N866" s="3">
        <v>0</v>
      </c>
      <c r="O866" s="3">
        <v>278.76</v>
      </c>
      <c r="P866" s="3">
        <v>0</v>
      </c>
      <c r="Q866" s="3">
        <v>0</v>
      </c>
      <c r="R866" s="3">
        <v>0</v>
      </c>
      <c r="S866" s="3">
        <v>0</v>
      </c>
      <c r="T866" s="3">
        <v>0</v>
      </c>
      <c r="U866" s="3">
        <v>278.76</v>
      </c>
      <c r="V866" t="s">
        <v>55</v>
      </c>
    </row>
    <row r="867" spans="1:22" hidden="1" x14ac:dyDescent="0.25">
      <c r="A867" t="s">
        <v>8387</v>
      </c>
      <c r="B867" t="s">
        <v>8450</v>
      </c>
      <c r="C867" t="s">
        <v>1</v>
      </c>
      <c r="D867" t="s">
        <v>1</v>
      </c>
      <c r="E867" t="s">
        <v>8147</v>
      </c>
      <c r="F867" t="s">
        <v>8146</v>
      </c>
      <c r="G867">
        <v>3039</v>
      </c>
      <c r="H867">
        <v>3039</v>
      </c>
      <c r="I867">
        <v>3039</v>
      </c>
      <c r="J867">
        <v>3039</v>
      </c>
      <c r="L867" s="3">
        <v>0</v>
      </c>
      <c r="M867" s="3">
        <v>0</v>
      </c>
      <c r="N867" s="3">
        <v>0</v>
      </c>
      <c r="O867" s="3">
        <v>75.5</v>
      </c>
      <c r="P867" s="3">
        <v>0</v>
      </c>
      <c r="Q867" s="3">
        <v>0</v>
      </c>
      <c r="R867" s="3">
        <v>0</v>
      </c>
      <c r="S867" s="3">
        <v>0</v>
      </c>
      <c r="T867" s="3">
        <v>0</v>
      </c>
      <c r="U867" s="3">
        <v>75.5</v>
      </c>
      <c r="V867" t="s">
        <v>55</v>
      </c>
    </row>
    <row r="868" spans="1:22" hidden="1" x14ac:dyDescent="0.25">
      <c r="A868" t="s">
        <v>8387</v>
      </c>
      <c r="B868" t="s">
        <v>8450</v>
      </c>
      <c r="C868" t="s">
        <v>1</v>
      </c>
      <c r="D868" t="s">
        <v>1</v>
      </c>
      <c r="E868" t="s">
        <v>8147</v>
      </c>
      <c r="F868" t="s">
        <v>8146</v>
      </c>
      <c r="G868">
        <v>3040</v>
      </c>
      <c r="H868">
        <v>3040</v>
      </c>
      <c r="I868">
        <v>3040</v>
      </c>
      <c r="J868">
        <v>3040</v>
      </c>
      <c r="L868" s="3">
        <v>0</v>
      </c>
      <c r="M868" s="3">
        <v>0</v>
      </c>
      <c r="N868" s="3">
        <v>0</v>
      </c>
      <c r="O868" s="3">
        <v>207.9</v>
      </c>
      <c r="P868" s="3">
        <v>0</v>
      </c>
      <c r="Q868" s="3">
        <v>0</v>
      </c>
      <c r="R868" s="3">
        <v>0</v>
      </c>
      <c r="S868" s="3">
        <v>0</v>
      </c>
      <c r="T868" s="3">
        <v>0</v>
      </c>
      <c r="U868" s="3">
        <v>207.9</v>
      </c>
      <c r="V868" t="s">
        <v>55</v>
      </c>
    </row>
    <row r="869" spans="1:22" hidden="1" x14ac:dyDescent="0.25">
      <c r="A869" t="s">
        <v>8387</v>
      </c>
      <c r="B869" t="s">
        <v>8447</v>
      </c>
      <c r="C869" t="s">
        <v>1</v>
      </c>
      <c r="D869" t="s">
        <v>1</v>
      </c>
      <c r="E869" t="s">
        <v>8147</v>
      </c>
      <c r="F869" t="s">
        <v>8146</v>
      </c>
      <c r="G869">
        <v>3041</v>
      </c>
      <c r="H869">
        <v>3041</v>
      </c>
      <c r="I869">
        <v>3041</v>
      </c>
      <c r="J869">
        <v>3041</v>
      </c>
      <c r="L869" s="3">
        <v>0</v>
      </c>
      <c r="M869" s="3">
        <v>0</v>
      </c>
      <c r="N869" s="3">
        <v>0</v>
      </c>
      <c r="O869" s="3">
        <v>33.9</v>
      </c>
      <c r="P869" s="3">
        <v>0</v>
      </c>
      <c r="Q869" s="3">
        <v>0</v>
      </c>
      <c r="R869" s="3">
        <v>0</v>
      </c>
      <c r="S869" s="3">
        <v>0</v>
      </c>
      <c r="T869" s="3">
        <v>0</v>
      </c>
      <c r="U869" s="3">
        <v>33.9</v>
      </c>
      <c r="V869" t="s">
        <v>55</v>
      </c>
    </row>
    <row r="870" spans="1:22" hidden="1" x14ac:dyDescent="0.25">
      <c r="A870" t="s">
        <v>8387</v>
      </c>
      <c r="B870" t="s">
        <v>8447</v>
      </c>
      <c r="C870" t="s">
        <v>1</v>
      </c>
      <c r="D870" t="s">
        <v>1</v>
      </c>
      <c r="E870" t="s">
        <v>8147</v>
      </c>
      <c r="F870" t="s">
        <v>8146</v>
      </c>
      <c r="G870">
        <v>3042</v>
      </c>
      <c r="H870">
        <v>3042</v>
      </c>
      <c r="I870">
        <v>3042</v>
      </c>
      <c r="J870">
        <v>3042</v>
      </c>
      <c r="L870" s="3">
        <v>0</v>
      </c>
      <c r="M870" s="3">
        <v>0</v>
      </c>
      <c r="N870" s="3">
        <v>0</v>
      </c>
      <c r="O870" s="3">
        <v>39.979999999999997</v>
      </c>
      <c r="P870" s="3">
        <v>0</v>
      </c>
      <c r="Q870" s="3">
        <v>0</v>
      </c>
      <c r="R870" s="3">
        <v>0</v>
      </c>
      <c r="S870" s="3">
        <v>0</v>
      </c>
      <c r="T870" s="3">
        <v>0</v>
      </c>
      <c r="U870" s="3">
        <v>39.979999999999997</v>
      </c>
      <c r="V870" t="s">
        <v>55</v>
      </c>
    </row>
    <row r="871" spans="1:22" hidden="1" x14ac:dyDescent="0.25">
      <c r="A871" t="s">
        <v>8387</v>
      </c>
      <c r="B871" t="s">
        <v>8447</v>
      </c>
      <c r="C871" t="s">
        <v>1</v>
      </c>
      <c r="D871" t="s">
        <v>1</v>
      </c>
      <c r="E871" t="s">
        <v>8147</v>
      </c>
      <c r="F871" t="s">
        <v>8146</v>
      </c>
      <c r="G871">
        <v>3043</v>
      </c>
      <c r="H871">
        <v>3043</v>
      </c>
      <c r="I871">
        <v>3043</v>
      </c>
      <c r="J871">
        <v>3043</v>
      </c>
      <c r="L871" s="3">
        <v>0</v>
      </c>
      <c r="M871" s="3">
        <v>0</v>
      </c>
      <c r="N871" s="3">
        <v>0</v>
      </c>
      <c r="O871" s="3">
        <v>360.5</v>
      </c>
      <c r="P871" s="3">
        <v>0</v>
      </c>
      <c r="Q871" s="3">
        <v>0</v>
      </c>
      <c r="R871" s="3">
        <v>0</v>
      </c>
      <c r="S871" s="3">
        <v>0</v>
      </c>
      <c r="T871" s="3">
        <v>0</v>
      </c>
      <c r="U871" s="3">
        <v>360.5</v>
      </c>
      <c r="V871" t="s">
        <v>55</v>
      </c>
    </row>
    <row r="872" spans="1:22" hidden="1" x14ac:dyDescent="0.25">
      <c r="A872" t="s">
        <v>8387</v>
      </c>
      <c r="B872" t="s">
        <v>8447</v>
      </c>
      <c r="C872" t="s">
        <v>1</v>
      </c>
      <c r="D872" t="s">
        <v>1</v>
      </c>
      <c r="E872" t="s">
        <v>8147</v>
      </c>
      <c r="F872" t="s">
        <v>8146</v>
      </c>
      <c r="G872">
        <v>3044</v>
      </c>
      <c r="H872">
        <v>3044</v>
      </c>
      <c r="I872">
        <v>3044</v>
      </c>
      <c r="J872">
        <v>3044</v>
      </c>
      <c r="L872" s="3">
        <v>0</v>
      </c>
      <c r="M872" s="3">
        <v>0</v>
      </c>
      <c r="N872" s="3">
        <v>0</v>
      </c>
      <c r="O872" s="3">
        <v>229.85</v>
      </c>
      <c r="P872" s="3">
        <v>0</v>
      </c>
      <c r="Q872" s="3">
        <v>0</v>
      </c>
      <c r="R872" s="3">
        <v>0</v>
      </c>
      <c r="S872" s="3">
        <v>0</v>
      </c>
      <c r="T872" s="3">
        <v>0</v>
      </c>
      <c r="U872" s="3">
        <v>229.85</v>
      </c>
      <c r="V872" t="s">
        <v>55</v>
      </c>
    </row>
    <row r="873" spans="1:22" hidden="1" x14ac:dyDescent="0.25">
      <c r="A873" t="s">
        <v>8387</v>
      </c>
      <c r="B873" t="s">
        <v>8447</v>
      </c>
      <c r="C873" t="s">
        <v>1</v>
      </c>
      <c r="D873" t="s">
        <v>1</v>
      </c>
      <c r="E873" t="s">
        <v>8147</v>
      </c>
      <c r="F873" t="s">
        <v>8146</v>
      </c>
      <c r="G873">
        <v>3045</v>
      </c>
      <c r="H873">
        <v>3045</v>
      </c>
      <c r="I873">
        <v>3045</v>
      </c>
      <c r="J873">
        <v>3045</v>
      </c>
      <c r="L873" s="3">
        <v>0</v>
      </c>
      <c r="M873" s="3">
        <v>0</v>
      </c>
      <c r="N873" s="3">
        <v>0</v>
      </c>
      <c r="O873" s="3">
        <v>274.93</v>
      </c>
      <c r="P873" s="3">
        <v>0</v>
      </c>
      <c r="Q873" s="3">
        <v>0</v>
      </c>
      <c r="R873" s="3">
        <v>0</v>
      </c>
      <c r="S873" s="3">
        <v>0</v>
      </c>
      <c r="T873" s="3">
        <v>0</v>
      </c>
      <c r="U873" s="3">
        <v>274.93</v>
      </c>
      <c r="V873" t="s">
        <v>55</v>
      </c>
    </row>
    <row r="874" spans="1:22" hidden="1" x14ac:dyDescent="0.25">
      <c r="A874" t="s">
        <v>8387</v>
      </c>
      <c r="B874" t="s">
        <v>8444</v>
      </c>
      <c r="C874" t="s">
        <v>1</v>
      </c>
      <c r="D874" t="s">
        <v>1</v>
      </c>
      <c r="E874" t="s">
        <v>8147</v>
      </c>
      <c r="F874" t="s">
        <v>8146</v>
      </c>
      <c r="G874">
        <v>3046</v>
      </c>
      <c r="H874">
        <v>3046</v>
      </c>
      <c r="I874">
        <v>3046</v>
      </c>
      <c r="J874">
        <v>3046</v>
      </c>
      <c r="L874" s="3">
        <v>0</v>
      </c>
      <c r="M874" s="3">
        <v>0</v>
      </c>
      <c r="N874" s="3">
        <v>0</v>
      </c>
      <c r="O874" s="3">
        <v>51</v>
      </c>
      <c r="P874" s="3">
        <v>0</v>
      </c>
      <c r="Q874" s="3">
        <v>0</v>
      </c>
      <c r="R874" s="3">
        <v>0</v>
      </c>
      <c r="S874" s="3">
        <v>0</v>
      </c>
      <c r="T874" s="3">
        <v>0</v>
      </c>
      <c r="U874" s="3">
        <v>51</v>
      </c>
      <c r="V874" t="s">
        <v>55</v>
      </c>
    </row>
    <row r="875" spans="1:22" hidden="1" x14ac:dyDescent="0.25">
      <c r="A875" t="s">
        <v>8387</v>
      </c>
      <c r="B875" t="s">
        <v>8444</v>
      </c>
      <c r="C875" t="s">
        <v>1</v>
      </c>
      <c r="D875" t="s">
        <v>1</v>
      </c>
      <c r="E875" t="s">
        <v>8147</v>
      </c>
      <c r="F875" t="s">
        <v>8146</v>
      </c>
      <c r="G875">
        <v>3047</v>
      </c>
      <c r="H875">
        <v>3047</v>
      </c>
      <c r="I875">
        <v>3047</v>
      </c>
      <c r="J875">
        <v>3047</v>
      </c>
      <c r="L875" s="3">
        <v>0</v>
      </c>
      <c r="M875" s="3">
        <v>0</v>
      </c>
      <c r="N875" s="3">
        <v>0</v>
      </c>
      <c r="O875" s="3">
        <v>377.5</v>
      </c>
      <c r="P875" s="3">
        <v>0</v>
      </c>
      <c r="Q875" s="3">
        <v>0</v>
      </c>
      <c r="R875" s="3">
        <v>0</v>
      </c>
      <c r="S875" s="3">
        <v>0</v>
      </c>
      <c r="T875" s="3">
        <v>0</v>
      </c>
      <c r="U875" s="3">
        <v>377.5</v>
      </c>
      <c r="V875" t="s">
        <v>55</v>
      </c>
    </row>
    <row r="876" spans="1:22" hidden="1" x14ac:dyDescent="0.25">
      <c r="A876" t="s">
        <v>8387</v>
      </c>
      <c r="B876" t="s">
        <v>8444</v>
      </c>
      <c r="C876" t="s">
        <v>1</v>
      </c>
      <c r="D876" t="s">
        <v>1</v>
      </c>
      <c r="E876" t="s">
        <v>8147</v>
      </c>
      <c r="F876" t="s">
        <v>8146</v>
      </c>
      <c r="G876">
        <v>3048</v>
      </c>
      <c r="H876">
        <v>3048</v>
      </c>
      <c r="I876">
        <v>3048</v>
      </c>
      <c r="J876">
        <v>3048</v>
      </c>
      <c r="L876" s="3">
        <v>0</v>
      </c>
      <c r="M876" s="3">
        <v>0</v>
      </c>
      <c r="N876" s="3">
        <v>0</v>
      </c>
      <c r="O876" s="3">
        <v>1288</v>
      </c>
      <c r="P876" s="3">
        <v>0</v>
      </c>
      <c r="Q876" s="3">
        <v>0</v>
      </c>
      <c r="R876" s="3">
        <v>0</v>
      </c>
      <c r="S876" s="3">
        <v>0</v>
      </c>
      <c r="T876" s="3">
        <v>0</v>
      </c>
      <c r="U876" s="3">
        <v>1288</v>
      </c>
      <c r="V876" t="s">
        <v>55</v>
      </c>
    </row>
    <row r="877" spans="1:22" hidden="1" x14ac:dyDescent="0.25">
      <c r="A877" t="s">
        <v>8387</v>
      </c>
      <c r="B877" t="s">
        <v>8444</v>
      </c>
      <c r="C877" t="s">
        <v>1</v>
      </c>
      <c r="D877" t="s">
        <v>1</v>
      </c>
      <c r="E877" t="s">
        <v>8147</v>
      </c>
      <c r="F877" t="s">
        <v>8146</v>
      </c>
      <c r="G877">
        <v>3049</v>
      </c>
      <c r="H877">
        <v>3049</v>
      </c>
      <c r="I877">
        <v>3049</v>
      </c>
      <c r="J877">
        <v>3049</v>
      </c>
      <c r="L877" s="3">
        <v>0</v>
      </c>
      <c r="M877" s="3">
        <v>0</v>
      </c>
      <c r="N877" s="3">
        <v>0</v>
      </c>
      <c r="O877" s="3">
        <v>131.53</v>
      </c>
      <c r="P877" s="3">
        <v>0</v>
      </c>
      <c r="Q877" s="3">
        <v>0</v>
      </c>
      <c r="R877" s="3">
        <v>0</v>
      </c>
      <c r="S877" s="3">
        <v>0</v>
      </c>
      <c r="T877" s="3">
        <v>0</v>
      </c>
      <c r="U877" s="3">
        <v>131.53</v>
      </c>
      <c r="V877" t="s">
        <v>55</v>
      </c>
    </row>
    <row r="878" spans="1:22" hidden="1" x14ac:dyDescent="0.25">
      <c r="A878" t="s">
        <v>8387</v>
      </c>
      <c r="B878" t="s">
        <v>8444</v>
      </c>
      <c r="C878" t="s">
        <v>1</v>
      </c>
      <c r="D878" t="s">
        <v>1</v>
      </c>
      <c r="E878" t="s">
        <v>8147</v>
      </c>
      <c r="F878" t="s">
        <v>8146</v>
      </c>
      <c r="G878">
        <v>3050</v>
      </c>
      <c r="H878">
        <v>3050</v>
      </c>
      <c r="I878">
        <v>3050</v>
      </c>
      <c r="J878">
        <v>3050</v>
      </c>
      <c r="L878" s="3">
        <v>0</v>
      </c>
      <c r="M878" s="3">
        <v>0</v>
      </c>
      <c r="N878" s="3">
        <v>0</v>
      </c>
      <c r="O878" s="3">
        <v>262.39</v>
      </c>
      <c r="P878" s="3">
        <v>0</v>
      </c>
      <c r="Q878" s="3">
        <v>0</v>
      </c>
      <c r="R878" s="3">
        <v>0</v>
      </c>
      <c r="S878" s="3">
        <v>0</v>
      </c>
      <c r="T878" s="3">
        <v>0</v>
      </c>
      <c r="U878" s="3">
        <v>262.39</v>
      </c>
      <c r="V878" t="s">
        <v>55</v>
      </c>
    </row>
    <row r="879" spans="1:22" hidden="1" x14ac:dyDescent="0.25">
      <c r="A879" t="s">
        <v>8387</v>
      </c>
      <c r="B879" t="s">
        <v>8444</v>
      </c>
      <c r="C879" t="s">
        <v>1</v>
      </c>
      <c r="D879" t="s">
        <v>1</v>
      </c>
      <c r="E879" t="s">
        <v>8147</v>
      </c>
      <c r="F879" t="s">
        <v>8146</v>
      </c>
      <c r="G879">
        <v>3051</v>
      </c>
      <c r="H879">
        <v>3051</v>
      </c>
      <c r="I879">
        <v>3051</v>
      </c>
      <c r="J879">
        <v>3051</v>
      </c>
      <c r="L879" s="3">
        <v>0</v>
      </c>
      <c r="M879" s="3">
        <v>0</v>
      </c>
      <c r="N879" s="3">
        <v>0</v>
      </c>
      <c r="O879" s="3">
        <v>6.18</v>
      </c>
      <c r="P879" s="3">
        <v>0</v>
      </c>
      <c r="Q879" s="3">
        <v>0</v>
      </c>
      <c r="R879" s="3">
        <v>0</v>
      </c>
      <c r="S879" s="3">
        <v>0</v>
      </c>
      <c r="T879" s="3">
        <v>0</v>
      </c>
      <c r="U879" s="3">
        <v>6.18</v>
      </c>
      <c r="V879" t="s">
        <v>55</v>
      </c>
    </row>
    <row r="880" spans="1:22" hidden="1" x14ac:dyDescent="0.25">
      <c r="A880" t="s">
        <v>8387</v>
      </c>
      <c r="B880" t="s">
        <v>8444</v>
      </c>
      <c r="C880" t="s">
        <v>1</v>
      </c>
      <c r="D880" t="s">
        <v>1</v>
      </c>
      <c r="E880" t="s">
        <v>8147</v>
      </c>
      <c r="F880" t="s">
        <v>8146</v>
      </c>
      <c r="G880">
        <v>3052</v>
      </c>
      <c r="H880">
        <v>3052</v>
      </c>
      <c r="I880">
        <v>3052</v>
      </c>
      <c r="J880">
        <v>3052</v>
      </c>
      <c r="L880" s="3">
        <v>0</v>
      </c>
      <c r="M880" s="3">
        <v>0</v>
      </c>
      <c r="N880" s="3">
        <v>0</v>
      </c>
      <c r="O880" s="3">
        <v>21.45</v>
      </c>
      <c r="P880" s="3">
        <v>0</v>
      </c>
      <c r="Q880" s="3">
        <v>0</v>
      </c>
      <c r="R880" s="3">
        <v>0</v>
      </c>
      <c r="S880" s="3">
        <v>0</v>
      </c>
      <c r="T880" s="3">
        <v>0</v>
      </c>
      <c r="U880" s="3">
        <v>21.45</v>
      </c>
      <c r="V880" t="s">
        <v>55</v>
      </c>
    </row>
    <row r="881" spans="1:22" hidden="1" x14ac:dyDescent="0.25">
      <c r="A881" t="s">
        <v>8387</v>
      </c>
      <c r="B881" t="s">
        <v>8444</v>
      </c>
      <c r="C881" t="s">
        <v>1</v>
      </c>
      <c r="D881" t="s">
        <v>1</v>
      </c>
      <c r="E881" t="s">
        <v>8147</v>
      </c>
      <c r="F881" t="s">
        <v>8146</v>
      </c>
      <c r="G881">
        <v>3053</v>
      </c>
      <c r="H881">
        <v>3053</v>
      </c>
      <c r="I881">
        <v>3053</v>
      </c>
      <c r="J881">
        <v>3053</v>
      </c>
      <c r="L881" s="3">
        <v>0</v>
      </c>
      <c r="M881" s="3">
        <v>0</v>
      </c>
      <c r="N881" s="3">
        <v>0</v>
      </c>
      <c r="O881" s="3">
        <v>388.93</v>
      </c>
      <c r="P881" s="3">
        <v>0</v>
      </c>
      <c r="Q881" s="3">
        <v>0</v>
      </c>
      <c r="R881" s="3">
        <v>0</v>
      </c>
      <c r="S881" s="3">
        <v>0</v>
      </c>
      <c r="T881" s="3">
        <v>0</v>
      </c>
      <c r="U881" s="3">
        <v>388.93</v>
      </c>
      <c r="V881" t="s">
        <v>55</v>
      </c>
    </row>
    <row r="882" spans="1:22" hidden="1" x14ac:dyDescent="0.25">
      <c r="A882" t="s">
        <v>8387</v>
      </c>
      <c r="B882" t="s">
        <v>8444</v>
      </c>
      <c r="C882" t="s">
        <v>1</v>
      </c>
      <c r="D882" t="s">
        <v>1</v>
      </c>
      <c r="E882" t="s">
        <v>8147</v>
      </c>
      <c r="F882" t="s">
        <v>8146</v>
      </c>
      <c r="G882">
        <v>3054</v>
      </c>
      <c r="H882">
        <v>3054</v>
      </c>
      <c r="I882">
        <v>3054</v>
      </c>
      <c r="J882">
        <v>3054</v>
      </c>
      <c r="L882" s="3">
        <v>0</v>
      </c>
      <c r="M882" s="3">
        <v>0</v>
      </c>
      <c r="N882" s="3">
        <v>0</v>
      </c>
      <c r="O882" s="3">
        <v>67.8</v>
      </c>
      <c r="P882" s="3">
        <v>0</v>
      </c>
      <c r="Q882" s="3">
        <v>0</v>
      </c>
      <c r="R882" s="3">
        <v>0</v>
      </c>
      <c r="S882" s="3">
        <v>0</v>
      </c>
      <c r="T882" s="3">
        <v>0</v>
      </c>
      <c r="U882" s="3">
        <v>67.8</v>
      </c>
      <c r="V882" t="s">
        <v>55</v>
      </c>
    </row>
    <row r="883" spans="1:22" hidden="1" x14ac:dyDescent="0.25">
      <c r="A883" t="s">
        <v>8387</v>
      </c>
      <c r="B883" t="s">
        <v>8444</v>
      </c>
      <c r="C883" t="s">
        <v>1</v>
      </c>
      <c r="D883" t="s">
        <v>1</v>
      </c>
      <c r="E883" t="s">
        <v>8147</v>
      </c>
      <c r="F883" t="s">
        <v>8146</v>
      </c>
      <c r="G883">
        <v>3055</v>
      </c>
      <c r="H883">
        <v>3055</v>
      </c>
      <c r="I883">
        <v>3055</v>
      </c>
      <c r="J883">
        <v>3055</v>
      </c>
      <c r="L883" s="3">
        <v>0</v>
      </c>
      <c r="M883" s="3">
        <v>0</v>
      </c>
      <c r="N883" s="3">
        <v>0</v>
      </c>
      <c r="O883" s="3">
        <v>33.9</v>
      </c>
      <c r="P883" s="3">
        <v>0</v>
      </c>
      <c r="Q883" s="3">
        <v>0</v>
      </c>
      <c r="R883" s="3">
        <v>0</v>
      </c>
      <c r="S883" s="3">
        <v>0</v>
      </c>
      <c r="T883" s="3">
        <v>0</v>
      </c>
      <c r="U883" s="3">
        <v>33.9</v>
      </c>
      <c r="V883" t="s">
        <v>55</v>
      </c>
    </row>
    <row r="884" spans="1:22" hidden="1" x14ac:dyDescent="0.25">
      <c r="A884" t="s">
        <v>8387</v>
      </c>
      <c r="B884" t="s">
        <v>8444</v>
      </c>
      <c r="C884" t="s">
        <v>1</v>
      </c>
      <c r="D884" t="s">
        <v>1</v>
      </c>
      <c r="E884" t="s">
        <v>8147</v>
      </c>
      <c r="F884" t="s">
        <v>8146</v>
      </c>
      <c r="G884">
        <v>3056</v>
      </c>
      <c r="H884">
        <v>3056</v>
      </c>
      <c r="I884">
        <v>3056</v>
      </c>
      <c r="J884">
        <v>3056</v>
      </c>
      <c r="L884" s="3">
        <v>0</v>
      </c>
      <c r="M884" s="3">
        <v>0</v>
      </c>
      <c r="N884" s="3">
        <v>0</v>
      </c>
      <c r="O884" s="3">
        <v>67.8</v>
      </c>
      <c r="P884" s="3">
        <v>0</v>
      </c>
      <c r="Q884" s="3">
        <v>0</v>
      </c>
      <c r="R884" s="3">
        <v>0</v>
      </c>
      <c r="S884" s="3">
        <v>0</v>
      </c>
      <c r="T884" s="3">
        <v>0</v>
      </c>
      <c r="U884" s="3">
        <v>67.8</v>
      </c>
      <c r="V884" t="s">
        <v>55</v>
      </c>
    </row>
    <row r="885" spans="1:22" hidden="1" x14ac:dyDescent="0.25">
      <c r="A885" t="s">
        <v>8387</v>
      </c>
      <c r="B885" t="s">
        <v>8444</v>
      </c>
      <c r="C885" t="s">
        <v>1</v>
      </c>
      <c r="D885" t="s">
        <v>1</v>
      </c>
      <c r="E885" t="s">
        <v>8147</v>
      </c>
      <c r="F885" t="s">
        <v>8146</v>
      </c>
      <c r="G885">
        <v>3057</v>
      </c>
      <c r="H885">
        <v>3057</v>
      </c>
      <c r="I885">
        <v>3057</v>
      </c>
      <c r="J885">
        <v>3057</v>
      </c>
      <c r="L885" s="3">
        <v>0</v>
      </c>
      <c r="M885" s="3">
        <v>0</v>
      </c>
      <c r="N885" s="3">
        <v>0</v>
      </c>
      <c r="O885" s="3">
        <v>678</v>
      </c>
      <c r="P885" s="3">
        <v>0</v>
      </c>
      <c r="Q885" s="3">
        <v>0</v>
      </c>
      <c r="R885" s="3">
        <v>0</v>
      </c>
      <c r="S885" s="3">
        <v>0</v>
      </c>
      <c r="T885" s="3">
        <v>0</v>
      </c>
      <c r="U885" s="3">
        <v>678</v>
      </c>
      <c r="V885" t="s">
        <v>55</v>
      </c>
    </row>
    <row r="886" spans="1:22" hidden="1" x14ac:dyDescent="0.25">
      <c r="A886" t="s">
        <v>8387</v>
      </c>
      <c r="B886" t="s">
        <v>8444</v>
      </c>
      <c r="C886" t="s">
        <v>1</v>
      </c>
      <c r="D886" t="s">
        <v>1</v>
      </c>
      <c r="E886" t="s">
        <v>8147</v>
      </c>
      <c r="F886" t="s">
        <v>8146</v>
      </c>
      <c r="G886">
        <v>3058</v>
      </c>
      <c r="H886">
        <v>3058</v>
      </c>
      <c r="I886">
        <v>3058</v>
      </c>
      <c r="J886">
        <v>3058</v>
      </c>
      <c r="L886" s="3">
        <v>0</v>
      </c>
      <c r="M886" s="3">
        <v>0</v>
      </c>
      <c r="N886" s="3">
        <v>0</v>
      </c>
      <c r="O886" s="3">
        <v>90.9</v>
      </c>
      <c r="P886" s="3">
        <v>0</v>
      </c>
      <c r="Q886" s="3">
        <v>0</v>
      </c>
      <c r="R886" s="3">
        <v>0</v>
      </c>
      <c r="S886" s="3">
        <v>0</v>
      </c>
      <c r="T886" s="3">
        <v>0</v>
      </c>
      <c r="U886" s="3">
        <v>90.9</v>
      </c>
      <c r="V886" t="s">
        <v>55</v>
      </c>
    </row>
    <row r="887" spans="1:22" hidden="1" x14ac:dyDescent="0.25">
      <c r="A887" t="s">
        <v>8387</v>
      </c>
      <c r="B887" t="s">
        <v>8440</v>
      </c>
      <c r="C887" t="s">
        <v>1</v>
      </c>
      <c r="D887" t="s">
        <v>1</v>
      </c>
      <c r="E887" t="s">
        <v>8147</v>
      </c>
      <c r="F887" t="s">
        <v>8146</v>
      </c>
      <c r="G887">
        <v>3059</v>
      </c>
      <c r="H887">
        <v>3059</v>
      </c>
      <c r="I887">
        <v>3059</v>
      </c>
      <c r="J887">
        <v>3059</v>
      </c>
      <c r="L887" s="3">
        <v>0</v>
      </c>
      <c r="M887" s="3">
        <v>0</v>
      </c>
      <c r="N887" s="3">
        <v>0</v>
      </c>
      <c r="O887" s="3">
        <v>450</v>
      </c>
      <c r="P887" s="3">
        <v>0</v>
      </c>
      <c r="Q887" s="3">
        <v>0</v>
      </c>
      <c r="R887" s="3">
        <v>0</v>
      </c>
      <c r="S887" s="3">
        <v>0</v>
      </c>
      <c r="T887" s="3">
        <v>0</v>
      </c>
      <c r="U887" s="3">
        <v>450</v>
      </c>
      <c r="V887" t="s">
        <v>55</v>
      </c>
    </row>
    <row r="888" spans="1:22" hidden="1" x14ac:dyDescent="0.25">
      <c r="A888" t="s">
        <v>8387</v>
      </c>
      <c r="B888" t="s">
        <v>8440</v>
      </c>
      <c r="C888" t="s">
        <v>1</v>
      </c>
      <c r="D888" t="s">
        <v>1</v>
      </c>
      <c r="E888" t="s">
        <v>8147</v>
      </c>
      <c r="F888" t="s">
        <v>8146</v>
      </c>
      <c r="G888">
        <v>3060</v>
      </c>
      <c r="H888">
        <v>3060</v>
      </c>
      <c r="I888">
        <v>3060</v>
      </c>
      <c r="J888">
        <v>3060</v>
      </c>
      <c r="L888" s="3">
        <v>0</v>
      </c>
      <c r="M888" s="3">
        <v>0</v>
      </c>
      <c r="N888" s="3">
        <v>0</v>
      </c>
      <c r="O888" s="3">
        <v>233.35</v>
      </c>
      <c r="P888" s="3">
        <v>0</v>
      </c>
      <c r="Q888" s="3">
        <v>0</v>
      </c>
      <c r="R888" s="3">
        <v>0</v>
      </c>
      <c r="S888" s="3">
        <v>0</v>
      </c>
      <c r="T888" s="3">
        <v>0</v>
      </c>
      <c r="U888" s="3">
        <v>233.35</v>
      </c>
      <c r="V888" t="s">
        <v>55</v>
      </c>
    </row>
    <row r="889" spans="1:22" hidden="1" x14ac:dyDescent="0.25">
      <c r="A889" t="s">
        <v>8387</v>
      </c>
      <c r="B889" t="s">
        <v>8440</v>
      </c>
      <c r="C889" t="s">
        <v>1</v>
      </c>
      <c r="D889" t="s">
        <v>1</v>
      </c>
      <c r="E889" t="s">
        <v>8147</v>
      </c>
      <c r="F889" t="s">
        <v>8146</v>
      </c>
      <c r="G889">
        <v>3061</v>
      </c>
      <c r="H889">
        <v>3061</v>
      </c>
      <c r="I889">
        <v>3061</v>
      </c>
      <c r="J889">
        <v>3061</v>
      </c>
      <c r="L889" s="3">
        <v>0</v>
      </c>
      <c r="M889" s="3">
        <v>0</v>
      </c>
      <c r="N889" s="3">
        <v>0</v>
      </c>
      <c r="O889" s="3">
        <v>28.44</v>
      </c>
      <c r="P889" s="3">
        <v>0</v>
      </c>
      <c r="Q889" s="3">
        <v>0</v>
      </c>
      <c r="R889" s="3">
        <v>0</v>
      </c>
      <c r="S889" s="3">
        <v>0</v>
      </c>
      <c r="T889" s="3">
        <v>0</v>
      </c>
      <c r="U889" s="3">
        <v>28.44</v>
      </c>
      <c r="V889" t="s">
        <v>55</v>
      </c>
    </row>
    <row r="890" spans="1:22" hidden="1" x14ac:dyDescent="0.25">
      <c r="A890" t="s">
        <v>8387</v>
      </c>
      <c r="B890" t="s">
        <v>8440</v>
      </c>
      <c r="C890" t="s">
        <v>1</v>
      </c>
      <c r="D890" t="s">
        <v>1</v>
      </c>
      <c r="E890" t="s">
        <v>8147</v>
      </c>
      <c r="F890" t="s">
        <v>8146</v>
      </c>
      <c r="G890">
        <v>3062</v>
      </c>
      <c r="H890">
        <v>3062</v>
      </c>
      <c r="I890">
        <v>3062</v>
      </c>
      <c r="J890">
        <v>3062</v>
      </c>
      <c r="L890" s="3">
        <v>0</v>
      </c>
      <c r="M890" s="3">
        <v>0</v>
      </c>
      <c r="N890" s="3">
        <v>0</v>
      </c>
      <c r="O890" s="3">
        <v>69.5</v>
      </c>
      <c r="P890" s="3">
        <v>0</v>
      </c>
      <c r="Q890" s="3">
        <v>0</v>
      </c>
      <c r="R890" s="3">
        <v>0</v>
      </c>
      <c r="S890" s="3">
        <v>0</v>
      </c>
      <c r="T890" s="3">
        <v>0</v>
      </c>
      <c r="U890" s="3">
        <v>69.5</v>
      </c>
      <c r="V890" t="s">
        <v>55</v>
      </c>
    </row>
    <row r="891" spans="1:22" hidden="1" x14ac:dyDescent="0.25">
      <c r="A891" t="s">
        <v>8387</v>
      </c>
      <c r="B891" t="s">
        <v>8440</v>
      </c>
      <c r="C891" t="s">
        <v>1</v>
      </c>
      <c r="D891" t="s">
        <v>1</v>
      </c>
      <c r="E891" t="s">
        <v>8147</v>
      </c>
      <c r="F891" t="s">
        <v>8146</v>
      </c>
      <c r="G891">
        <v>3063</v>
      </c>
      <c r="H891">
        <v>3063</v>
      </c>
      <c r="I891">
        <v>3063</v>
      </c>
      <c r="J891">
        <v>3063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3">
        <v>0</v>
      </c>
      <c r="T891" s="3">
        <v>0</v>
      </c>
      <c r="U891" s="3">
        <v>0</v>
      </c>
      <c r="V891" t="s">
        <v>55</v>
      </c>
    </row>
    <row r="892" spans="1:22" hidden="1" x14ac:dyDescent="0.25">
      <c r="A892" t="s">
        <v>8387</v>
      </c>
      <c r="B892" t="s">
        <v>8435</v>
      </c>
      <c r="C892" t="s">
        <v>1</v>
      </c>
      <c r="D892" t="s">
        <v>1</v>
      </c>
      <c r="E892" t="s">
        <v>8147</v>
      </c>
      <c r="F892" t="s">
        <v>8146</v>
      </c>
      <c r="G892">
        <v>3064</v>
      </c>
      <c r="H892">
        <v>3064</v>
      </c>
      <c r="I892">
        <v>3064</v>
      </c>
      <c r="J892">
        <v>3064</v>
      </c>
      <c r="L892" s="3">
        <v>0</v>
      </c>
      <c r="M892" s="3">
        <v>0</v>
      </c>
      <c r="N892" s="3">
        <v>0</v>
      </c>
      <c r="O892" s="3">
        <v>27</v>
      </c>
      <c r="P892" s="3">
        <v>0</v>
      </c>
      <c r="Q892" s="3">
        <v>0</v>
      </c>
      <c r="R892" s="3">
        <v>0</v>
      </c>
      <c r="S892" s="3">
        <v>0</v>
      </c>
      <c r="T892" s="3">
        <v>0</v>
      </c>
      <c r="U892" s="3">
        <v>27</v>
      </c>
      <c r="V892" t="s">
        <v>55</v>
      </c>
    </row>
    <row r="893" spans="1:22" hidden="1" x14ac:dyDescent="0.25">
      <c r="A893" t="s">
        <v>8387</v>
      </c>
      <c r="B893" t="s">
        <v>8435</v>
      </c>
      <c r="C893" t="s">
        <v>1</v>
      </c>
      <c r="D893" t="s">
        <v>1</v>
      </c>
      <c r="E893" t="s">
        <v>8147</v>
      </c>
      <c r="F893" t="s">
        <v>8146</v>
      </c>
      <c r="G893">
        <v>3065</v>
      </c>
      <c r="H893">
        <v>3065</v>
      </c>
      <c r="I893">
        <v>3065</v>
      </c>
      <c r="J893">
        <v>3065</v>
      </c>
      <c r="L893" s="3">
        <v>0</v>
      </c>
      <c r="M893" s="3">
        <v>0</v>
      </c>
      <c r="N893" s="3">
        <v>0</v>
      </c>
      <c r="O893" s="3">
        <v>1008</v>
      </c>
      <c r="P893" s="3">
        <v>0</v>
      </c>
      <c r="Q893" s="3">
        <v>0</v>
      </c>
      <c r="R893" s="3">
        <v>0</v>
      </c>
      <c r="S893" s="3">
        <v>0</v>
      </c>
      <c r="T893" s="3">
        <v>0</v>
      </c>
      <c r="U893" s="3">
        <v>1008</v>
      </c>
      <c r="V893" t="s">
        <v>55</v>
      </c>
    </row>
    <row r="894" spans="1:22" hidden="1" x14ac:dyDescent="0.25">
      <c r="A894" t="s">
        <v>8387</v>
      </c>
      <c r="B894" t="s">
        <v>8435</v>
      </c>
      <c r="C894" t="s">
        <v>1</v>
      </c>
      <c r="D894" t="s">
        <v>1</v>
      </c>
      <c r="E894" t="s">
        <v>8147</v>
      </c>
      <c r="F894" t="s">
        <v>8146</v>
      </c>
      <c r="G894">
        <v>3066</v>
      </c>
      <c r="H894">
        <v>3066</v>
      </c>
      <c r="I894">
        <v>3066</v>
      </c>
      <c r="J894">
        <v>3066</v>
      </c>
      <c r="L894" s="3">
        <v>0</v>
      </c>
      <c r="M894" s="3">
        <v>0</v>
      </c>
      <c r="N894" s="3">
        <v>0</v>
      </c>
      <c r="O894" s="3">
        <v>153</v>
      </c>
      <c r="P894" s="3">
        <v>0</v>
      </c>
      <c r="Q894" s="3">
        <v>0</v>
      </c>
      <c r="R894" s="3">
        <v>0</v>
      </c>
      <c r="S894" s="3">
        <v>0</v>
      </c>
      <c r="T894" s="3">
        <v>0</v>
      </c>
      <c r="U894" s="3">
        <v>153</v>
      </c>
      <c r="V894" t="s">
        <v>55</v>
      </c>
    </row>
    <row r="895" spans="1:22" hidden="1" x14ac:dyDescent="0.25">
      <c r="A895" t="s">
        <v>8387</v>
      </c>
      <c r="B895" t="s">
        <v>8435</v>
      </c>
      <c r="C895" t="s">
        <v>1</v>
      </c>
      <c r="D895" t="s">
        <v>1</v>
      </c>
      <c r="E895" t="s">
        <v>8147</v>
      </c>
      <c r="F895" t="s">
        <v>8146</v>
      </c>
      <c r="G895">
        <v>3067</v>
      </c>
      <c r="H895">
        <v>3067</v>
      </c>
      <c r="I895">
        <v>3067</v>
      </c>
      <c r="J895">
        <v>3067</v>
      </c>
      <c r="L895" s="3">
        <v>0</v>
      </c>
      <c r="M895" s="3">
        <v>0</v>
      </c>
      <c r="N895" s="3">
        <v>0</v>
      </c>
      <c r="O895" s="3">
        <v>19.66</v>
      </c>
      <c r="P895" s="3">
        <v>0</v>
      </c>
      <c r="Q895" s="3">
        <v>0</v>
      </c>
      <c r="R895" s="3">
        <v>0</v>
      </c>
      <c r="S895" s="3">
        <v>0</v>
      </c>
      <c r="T895" s="3">
        <v>0</v>
      </c>
      <c r="U895" s="3">
        <v>19.66</v>
      </c>
      <c r="V895" t="s">
        <v>55</v>
      </c>
    </row>
    <row r="896" spans="1:22" hidden="1" x14ac:dyDescent="0.25">
      <c r="A896" t="s">
        <v>8387</v>
      </c>
      <c r="B896" t="s">
        <v>8435</v>
      </c>
      <c r="C896" t="s">
        <v>1</v>
      </c>
      <c r="D896" t="s">
        <v>1</v>
      </c>
      <c r="E896" t="s">
        <v>8147</v>
      </c>
      <c r="F896" t="s">
        <v>8146</v>
      </c>
      <c r="G896">
        <v>3068</v>
      </c>
      <c r="H896">
        <v>3068</v>
      </c>
      <c r="I896">
        <v>3068</v>
      </c>
      <c r="J896">
        <v>3068</v>
      </c>
      <c r="L896" s="3">
        <v>0</v>
      </c>
      <c r="M896" s="3">
        <v>0</v>
      </c>
      <c r="N896" s="3">
        <v>0</v>
      </c>
      <c r="O896" s="3">
        <v>460.99</v>
      </c>
      <c r="P896" s="3">
        <v>0</v>
      </c>
      <c r="Q896" s="3">
        <v>0</v>
      </c>
      <c r="R896" s="3">
        <v>0</v>
      </c>
      <c r="S896" s="3">
        <v>0</v>
      </c>
      <c r="T896" s="3">
        <v>0</v>
      </c>
      <c r="U896" s="3">
        <v>460.99</v>
      </c>
      <c r="V896" t="s">
        <v>55</v>
      </c>
    </row>
    <row r="897" spans="1:22" hidden="1" x14ac:dyDescent="0.25">
      <c r="A897" t="s">
        <v>8387</v>
      </c>
      <c r="B897" t="s">
        <v>8435</v>
      </c>
      <c r="C897" t="s">
        <v>1</v>
      </c>
      <c r="D897" t="s">
        <v>1</v>
      </c>
      <c r="E897" t="s">
        <v>8147</v>
      </c>
      <c r="F897" t="s">
        <v>8146</v>
      </c>
      <c r="G897">
        <v>3069</v>
      </c>
      <c r="H897">
        <v>3069</v>
      </c>
      <c r="I897">
        <v>3069</v>
      </c>
      <c r="J897">
        <v>3069</v>
      </c>
      <c r="L897" s="3">
        <v>0</v>
      </c>
      <c r="M897" s="3">
        <v>0</v>
      </c>
      <c r="N897" s="3">
        <v>0</v>
      </c>
      <c r="O897" s="3">
        <v>226.54</v>
      </c>
      <c r="P897" s="3">
        <v>0</v>
      </c>
      <c r="Q897" s="3">
        <v>0</v>
      </c>
      <c r="R897" s="3">
        <v>0</v>
      </c>
      <c r="S897" s="3">
        <v>0</v>
      </c>
      <c r="T897" s="3">
        <v>0</v>
      </c>
      <c r="U897" s="3">
        <v>226.54</v>
      </c>
      <c r="V897" t="s">
        <v>55</v>
      </c>
    </row>
    <row r="898" spans="1:22" hidden="1" x14ac:dyDescent="0.25">
      <c r="A898" t="s">
        <v>8387</v>
      </c>
      <c r="B898" t="s">
        <v>8435</v>
      </c>
      <c r="C898" t="s">
        <v>1</v>
      </c>
      <c r="D898" t="s">
        <v>1</v>
      </c>
      <c r="E898" t="s">
        <v>8147</v>
      </c>
      <c r="F898" t="s">
        <v>8146</v>
      </c>
      <c r="G898">
        <v>3070</v>
      </c>
      <c r="H898">
        <v>3070</v>
      </c>
      <c r="I898">
        <v>3070</v>
      </c>
      <c r="J898">
        <v>3070</v>
      </c>
      <c r="L898" s="3">
        <v>0</v>
      </c>
      <c r="M898" s="3">
        <v>0</v>
      </c>
      <c r="N898" s="3">
        <v>0</v>
      </c>
      <c r="O898" s="3">
        <v>98.88</v>
      </c>
      <c r="P898" s="3">
        <v>0</v>
      </c>
      <c r="Q898" s="3">
        <v>0</v>
      </c>
      <c r="R898" s="3">
        <v>0</v>
      </c>
      <c r="S898" s="3">
        <v>0</v>
      </c>
      <c r="T898" s="3">
        <v>0</v>
      </c>
      <c r="U898" s="3">
        <v>98.88</v>
      </c>
      <c r="V898" t="s">
        <v>55</v>
      </c>
    </row>
    <row r="899" spans="1:22" hidden="1" x14ac:dyDescent="0.25">
      <c r="A899" t="s">
        <v>8387</v>
      </c>
      <c r="B899" t="s">
        <v>8435</v>
      </c>
      <c r="C899" t="s">
        <v>1</v>
      </c>
      <c r="D899" t="s">
        <v>1</v>
      </c>
      <c r="E899" t="s">
        <v>8147</v>
      </c>
      <c r="F899" t="s">
        <v>8146</v>
      </c>
      <c r="G899">
        <v>3071</v>
      </c>
      <c r="H899">
        <v>3071</v>
      </c>
      <c r="I899">
        <v>3071</v>
      </c>
      <c r="J899">
        <v>3071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3">
        <v>0</v>
      </c>
      <c r="T899" s="3">
        <v>0</v>
      </c>
      <c r="U899" s="3">
        <v>0</v>
      </c>
      <c r="V899" t="s">
        <v>55</v>
      </c>
    </row>
    <row r="900" spans="1:22" hidden="1" x14ac:dyDescent="0.25">
      <c r="A900" t="s">
        <v>8387</v>
      </c>
      <c r="B900" t="s">
        <v>8435</v>
      </c>
      <c r="C900" t="s">
        <v>1</v>
      </c>
      <c r="D900" t="s">
        <v>1</v>
      </c>
      <c r="E900" t="s">
        <v>8147</v>
      </c>
      <c r="F900" t="s">
        <v>8146</v>
      </c>
      <c r="G900">
        <v>3072</v>
      </c>
      <c r="H900">
        <v>3072</v>
      </c>
      <c r="I900">
        <v>3072</v>
      </c>
      <c r="J900">
        <v>3072</v>
      </c>
      <c r="L900" s="3">
        <v>0</v>
      </c>
      <c r="M900" s="3">
        <v>0</v>
      </c>
      <c r="N900" s="3">
        <v>0</v>
      </c>
      <c r="O900" s="3">
        <v>532.98</v>
      </c>
      <c r="P900" s="3">
        <v>0</v>
      </c>
      <c r="Q900" s="3">
        <v>0</v>
      </c>
      <c r="R900" s="3">
        <v>0</v>
      </c>
      <c r="S900" s="3">
        <v>0</v>
      </c>
      <c r="T900" s="3">
        <v>0</v>
      </c>
      <c r="U900" s="3">
        <v>532.98</v>
      </c>
      <c r="V900" t="s">
        <v>55</v>
      </c>
    </row>
    <row r="901" spans="1:22" hidden="1" x14ac:dyDescent="0.25">
      <c r="A901" t="s">
        <v>8387</v>
      </c>
      <c r="B901" t="s">
        <v>8430</v>
      </c>
      <c r="C901" t="s">
        <v>1</v>
      </c>
      <c r="D901" t="s">
        <v>1</v>
      </c>
      <c r="E901" t="s">
        <v>8147</v>
      </c>
      <c r="F901" t="s">
        <v>8146</v>
      </c>
      <c r="G901">
        <v>3073</v>
      </c>
      <c r="H901">
        <v>3073</v>
      </c>
      <c r="I901">
        <v>3073</v>
      </c>
      <c r="J901">
        <v>3073</v>
      </c>
      <c r="L901" s="3">
        <v>0</v>
      </c>
      <c r="M901" s="3">
        <v>0</v>
      </c>
      <c r="N901" s="3">
        <v>0</v>
      </c>
      <c r="O901" s="3">
        <v>777.4</v>
      </c>
      <c r="P901" s="3">
        <v>0</v>
      </c>
      <c r="Q901" s="3">
        <v>0</v>
      </c>
      <c r="R901" s="3">
        <v>0</v>
      </c>
      <c r="S901" s="3">
        <v>0</v>
      </c>
      <c r="T901" s="3">
        <v>0</v>
      </c>
      <c r="U901" s="3">
        <v>777.4</v>
      </c>
      <c r="V901" t="s">
        <v>55</v>
      </c>
    </row>
    <row r="902" spans="1:22" hidden="1" x14ac:dyDescent="0.25">
      <c r="A902" t="s">
        <v>8387</v>
      </c>
      <c r="B902" t="s">
        <v>8430</v>
      </c>
      <c r="C902" t="s">
        <v>1</v>
      </c>
      <c r="D902" t="s">
        <v>1</v>
      </c>
      <c r="E902" t="s">
        <v>8147</v>
      </c>
      <c r="F902" t="s">
        <v>8146</v>
      </c>
      <c r="G902">
        <v>3074</v>
      </c>
      <c r="H902">
        <v>3074</v>
      </c>
      <c r="I902">
        <v>3074</v>
      </c>
      <c r="J902">
        <v>3074</v>
      </c>
      <c r="L902" s="3">
        <v>0</v>
      </c>
      <c r="M902" s="3">
        <v>0</v>
      </c>
      <c r="N902" s="3">
        <v>0</v>
      </c>
      <c r="O902" s="3">
        <v>14.92</v>
      </c>
      <c r="P902" s="3">
        <v>0</v>
      </c>
      <c r="Q902" s="3">
        <v>0</v>
      </c>
      <c r="R902" s="3">
        <v>0</v>
      </c>
      <c r="S902" s="3">
        <v>0</v>
      </c>
      <c r="T902" s="3">
        <v>0</v>
      </c>
      <c r="U902" s="3">
        <v>14.92</v>
      </c>
      <c r="V902" t="s">
        <v>55</v>
      </c>
    </row>
    <row r="903" spans="1:22" hidden="1" x14ac:dyDescent="0.25">
      <c r="A903" t="s">
        <v>8387</v>
      </c>
      <c r="B903" t="s">
        <v>8430</v>
      </c>
      <c r="C903" t="s">
        <v>1</v>
      </c>
      <c r="D903" t="s">
        <v>1</v>
      </c>
      <c r="E903" t="s">
        <v>8147</v>
      </c>
      <c r="F903" t="s">
        <v>8146</v>
      </c>
      <c r="G903">
        <v>3075</v>
      </c>
      <c r="H903">
        <v>3075</v>
      </c>
      <c r="I903">
        <v>3075</v>
      </c>
      <c r="J903">
        <v>3075</v>
      </c>
      <c r="L903" s="3">
        <v>0</v>
      </c>
      <c r="M903" s="3">
        <v>0</v>
      </c>
      <c r="N903" s="3">
        <v>0</v>
      </c>
      <c r="O903" s="3">
        <v>127.5</v>
      </c>
      <c r="P903" s="3">
        <v>0</v>
      </c>
      <c r="Q903" s="3">
        <v>0</v>
      </c>
      <c r="R903" s="3">
        <v>0</v>
      </c>
      <c r="S903" s="3">
        <v>0</v>
      </c>
      <c r="T903" s="3">
        <v>0</v>
      </c>
      <c r="U903" s="3">
        <v>127.5</v>
      </c>
      <c r="V903" t="s">
        <v>55</v>
      </c>
    </row>
    <row r="904" spans="1:22" hidden="1" x14ac:dyDescent="0.25">
      <c r="A904" t="s">
        <v>8387</v>
      </c>
      <c r="B904" t="s">
        <v>8430</v>
      </c>
      <c r="C904" t="s">
        <v>1</v>
      </c>
      <c r="D904" t="s">
        <v>1</v>
      </c>
      <c r="E904" t="s">
        <v>8147</v>
      </c>
      <c r="F904" t="s">
        <v>8146</v>
      </c>
      <c r="G904">
        <v>3076</v>
      </c>
      <c r="H904">
        <v>3076</v>
      </c>
      <c r="I904">
        <v>3076</v>
      </c>
      <c r="J904">
        <v>3076</v>
      </c>
      <c r="L904" s="3">
        <v>0</v>
      </c>
      <c r="M904" s="3">
        <v>0</v>
      </c>
      <c r="N904" s="3">
        <v>0</v>
      </c>
      <c r="O904" s="3">
        <v>76.5</v>
      </c>
      <c r="P904" s="3">
        <v>0</v>
      </c>
      <c r="Q904" s="3">
        <v>0</v>
      </c>
      <c r="R904" s="3">
        <v>0</v>
      </c>
      <c r="S904" s="3">
        <v>0</v>
      </c>
      <c r="T904" s="3">
        <v>0</v>
      </c>
      <c r="U904" s="3">
        <v>76.5</v>
      </c>
      <c r="V904" t="s">
        <v>55</v>
      </c>
    </row>
    <row r="905" spans="1:22" hidden="1" x14ac:dyDescent="0.25">
      <c r="A905" t="s">
        <v>8387</v>
      </c>
      <c r="B905" t="s">
        <v>8430</v>
      </c>
      <c r="C905" t="s">
        <v>1</v>
      </c>
      <c r="D905" t="s">
        <v>1</v>
      </c>
      <c r="E905" t="s">
        <v>8147</v>
      </c>
      <c r="F905" t="s">
        <v>8146</v>
      </c>
      <c r="G905">
        <v>3077</v>
      </c>
      <c r="H905">
        <v>3077</v>
      </c>
      <c r="I905">
        <v>3077</v>
      </c>
      <c r="J905">
        <v>3077</v>
      </c>
      <c r="L905" s="3">
        <v>0</v>
      </c>
      <c r="M905" s="3">
        <v>0</v>
      </c>
      <c r="N905" s="3">
        <v>0</v>
      </c>
      <c r="O905" s="3">
        <v>485.06</v>
      </c>
      <c r="P905" s="3">
        <v>0</v>
      </c>
      <c r="Q905" s="3">
        <v>0</v>
      </c>
      <c r="R905" s="3">
        <v>0</v>
      </c>
      <c r="S905" s="3">
        <v>0</v>
      </c>
      <c r="T905" s="3">
        <v>0</v>
      </c>
      <c r="U905" s="3">
        <v>485.06</v>
      </c>
      <c r="V905" t="s">
        <v>55</v>
      </c>
    </row>
    <row r="906" spans="1:22" hidden="1" x14ac:dyDescent="0.25">
      <c r="A906" t="s">
        <v>8387</v>
      </c>
      <c r="B906" t="s">
        <v>8430</v>
      </c>
      <c r="C906" t="s">
        <v>1</v>
      </c>
      <c r="D906" t="s">
        <v>1</v>
      </c>
      <c r="E906" t="s">
        <v>8147</v>
      </c>
      <c r="F906" t="s">
        <v>8146</v>
      </c>
      <c r="G906">
        <v>3078</v>
      </c>
      <c r="H906">
        <v>3078</v>
      </c>
      <c r="I906">
        <v>3078</v>
      </c>
      <c r="J906">
        <v>3078</v>
      </c>
      <c r="L906" s="3">
        <v>0</v>
      </c>
      <c r="M906" s="3">
        <v>0</v>
      </c>
      <c r="N906" s="3">
        <v>0</v>
      </c>
      <c r="O906" s="3">
        <v>89.72</v>
      </c>
      <c r="P906" s="3">
        <v>0</v>
      </c>
      <c r="Q906" s="3">
        <v>0</v>
      </c>
      <c r="R906" s="3">
        <v>0</v>
      </c>
      <c r="S906" s="3">
        <v>0</v>
      </c>
      <c r="T906" s="3">
        <v>0</v>
      </c>
      <c r="U906" s="3">
        <v>89.72</v>
      </c>
      <c r="V906" t="s">
        <v>55</v>
      </c>
    </row>
    <row r="907" spans="1:22" hidden="1" x14ac:dyDescent="0.25">
      <c r="A907" t="s">
        <v>8387</v>
      </c>
      <c r="B907" t="s">
        <v>8430</v>
      </c>
      <c r="C907" t="s">
        <v>1</v>
      </c>
      <c r="D907" t="s">
        <v>1</v>
      </c>
      <c r="E907" t="s">
        <v>8147</v>
      </c>
      <c r="F907" t="s">
        <v>8146</v>
      </c>
      <c r="G907">
        <v>3079</v>
      </c>
      <c r="H907">
        <v>3079</v>
      </c>
      <c r="I907">
        <v>3079</v>
      </c>
      <c r="J907">
        <v>3079</v>
      </c>
      <c r="L907" s="3">
        <v>0</v>
      </c>
      <c r="M907" s="3">
        <v>0</v>
      </c>
      <c r="N907" s="3">
        <v>0</v>
      </c>
      <c r="O907" s="3">
        <v>4.43</v>
      </c>
      <c r="P907" s="3">
        <v>0</v>
      </c>
      <c r="Q907" s="3">
        <v>0</v>
      </c>
      <c r="R907" s="3">
        <v>0</v>
      </c>
      <c r="S907" s="3">
        <v>0</v>
      </c>
      <c r="T907" s="3">
        <v>0</v>
      </c>
      <c r="U907" s="3">
        <v>4.43</v>
      </c>
      <c r="V907" t="s">
        <v>55</v>
      </c>
    </row>
    <row r="908" spans="1:22" hidden="1" x14ac:dyDescent="0.25">
      <c r="A908" t="s">
        <v>8387</v>
      </c>
      <c r="B908" t="s">
        <v>8430</v>
      </c>
      <c r="C908" t="s">
        <v>1</v>
      </c>
      <c r="D908" t="s">
        <v>1</v>
      </c>
      <c r="E908" t="s">
        <v>8147</v>
      </c>
      <c r="F908" t="s">
        <v>8146</v>
      </c>
      <c r="G908">
        <v>3080</v>
      </c>
      <c r="H908">
        <v>3080</v>
      </c>
      <c r="I908">
        <v>3080</v>
      </c>
      <c r="J908">
        <v>3080</v>
      </c>
      <c r="L908" s="3">
        <v>0</v>
      </c>
      <c r="M908" s="3">
        <v>0</v>
      </c>
      <c r="N908" s="3">
        <v>0</v>
      </c>
      <c r="O908" s="3">
        <v>1008</v>
      </c>
      <c r="P908" s="3">
        <v>0</v>
      </c>
      <c r="Q908" s="3">
        <v>0</v>
      </c>
      <c r="R908" s="3">
        <v>0</v>
      </c>
      <c r="S908" s="3">
        <v>0</v>
      </c>
      <c r="T908" s="3">
        <v>0</v>
      </c>
      <c r="U908" s="3">
        <v>1008</v>
      </c>
      <c r="V908" t="s">
        <v>55</v>
      </c>
    </row>
    <row r="909" spans="1:22" hidden="1" x14ac:dyDescent="0.25">
      <c r="A909" t="s">
        <v>8387</v>
      </c>
      <c r="B909" t="s">
        <v>8423</v>
      </c>
      <c r="C909" t="s">
        <v>1</v>
      </c>
      <c r="D909" t="s">
        <v>1</v>
      </c>
      <c r="E909" t="s">
        <v>8147</v>
      </c>
      <c r="F909" t="s">
        <v>8146</v>
      </c>
      <c r="G909">
        <v>3081</v>
      </c>
      <c r="H909">
        <v>3081</v>
      </c>
      <c r="I909">
        <v>3081</v>
      </c>
      <c r="J909">
        <v>3081</v>
      </c>
      <c r="L909" s="3">
        <v>0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3">
        <v>0</v>
      </c>
      <c r="T909" s="3">
        <v>0</v>
      </c>
      <c r="U909" s="3">
        <v>0</v>
      </c>
      <c r="V909" t="s">
        <v>55</v>
      </c>
    </row>
    <row r="910" spans="1:22" hidden="1" x14ac:dyDescent="0.25">
      <c r="A910" t="s">
        <v>8387</v>
      </c>
      <c r="B910" t="s">
        <v>8423</v>
      </c>
      <c r="C910" t="s">
        <v>1</v>
      </c>
      <c r="D910" t="s">
        <v>1</v>
      </c>
      <c r="E910" t="s">
        <v>8147</v>
      </c>
      <c r="F910" t="s">
        <v>8146</v>
      </c>
      <c r="G910">
        <v>3082</v>
      </c>
      <c r="H910">
        <v>3082</v>
      </c>
      <c r="I910">
        <v>3082</v>
      </c>
      <c r="J910">
        <v>3082</v>
      </c>
      <c r="L910" s="3">
        <v>0</v>
      </c>
      <c r="M910" s="3">
        <v>0</v>
      </c>
      <c r="N910" s="3">
        <v>0</v>
      </c>
      <c r="O910" s="3">
        <v>908.93</v>
      </c>
      <c r="P910" s="3">
        <v>0</v>
      </c>
      <c r="Q910" s="3">
        <v>0</v>
      </c>
      <c r="R910" s="3">
        <v>0</v>
      </c>
      <c r="S910" s="3">
        <v>0</v>
      </c>
      <c r="T910" s="3">
        <v>0</v>
      </c>
      <c r="U910" s="3">
        <v>908.93</v>
      </c>
      <c r="V910" t="s">
        <v>55</v>
      </c>
    </row>
    <row r="911" spans="1:22" hidden="1" x14ac:dyDescent="0.25">
      <c r="A911" t="s">
        <v>8387</v>
      </c>
      <c r="B911" t="s">
        <v>8423</v>
      </c>
      <c r="C911" t="s">
        <v>1</v>
      </c>
      <c r="D911" t="s">
        <v>1</v>
      </c>
      <c r="E911" t="s">
        <v>8147</v>
      </c>
      <c r="F911" t="s">
        <v>8146</v>
      </c>
      <c r="G911">
        <v>3083</v>
      </c>
      <c r="H911">
        <v>3083</v>
      </c>
      <c r="I911">
        <v>3083</v>
      </c>
      <c r="J911">
        <v>3083</v>
      </c>
      <c r="L911" s="3">
        <v>0</v>
      </c>
      <c r="M911" s="3">
        <v>0</v>
      </c>
      <c r="N911" s="3">
        <v>0</v>
      </c>
      <c r="O911" s="3">
        <v>61.02</v>
      </c>
      <c r="P911" s="3">
        <v>0</v>
      </c>
      <c r="Q911" s="3">
        <v>0</v>
      </c>
      <c r="R911" s="3">
        <v>0</v>
      </c>
      <c r="S911" s="3">
        <v>0</v>
      </c>
      <c r="T911" s="3">
        <v>0</v>
      </c>
      <c r="U911" s="3">
        <v>61.02</v>
      </c>
      <c r="V911" t="s">
        <v>55</v>
      </c>
    </row>
    <row r="912" spans="1:22" hidden="1" x14ac:dyDescent="0.25">
      <c r="A912" t="s">
        <v>8387</v>
      </c>
      <c r="B912" t="s">
        <v>8423</v>
      </c>
      <c r="C912" t="s">
        <v>1</v>
      </c>
      <c r="D912" t="s">
        <v>1</v>
      </c>
      <c r="E912" t="s">
        <v>8147</v>
      </c>
      <c r="F912" t="s">
        <v>8146</v>
      </c>
      <c r="G912">
        <v>3084</v>
      </c>
      <c r="H912">
        <v>3084</v>
      </c>
      <c r="I912">
        <v>3084</v>
      </c>
      <c r="J912">
        <v>3084</v>
      </c>
      <c r="L912" s="3">
        <v>0</v>
      </c>
      <c r="M912" s="3">
        <v>0</v>
      </c>
      <c r="N912" s="3">
        <v>0</v>
      </c>
      <c r="O912" s="3">
        <v>15.57</v>
      </c>
      <c r="P912" s="3">
        <v>0</v>
      </c>
      <c r="Q912" s="3">
        <v>0</v>
      </c>
      <c r="R912" s="3">
        <v>0</v>
      </c>
      <c r="S912" s="3">
        <v>0</v>
      </c>
      <c r="T912" s="3">
        <v>0</v>
      </c>
      <c r="U912" s="3">
        <v>15.57</v>
      </c>
      <c r="V912" t="s">
        <v>55</v>
      </c>
    </row>
    <row r="913" spans="1:22" hidden="1" x14ac:dyDescent="0.25">
      <c r="A913" t="s">
        <v>8387</v>
      </c>
      <c r="B913" t="s">
        <v>8423</v>
      </c>
      <c r="C913" t="s">
        <v>1</v>
      </c>
      <c r="D913" t="s">
        <v>1</v>
      </c>
      <c r="E913" t="s">
        <v>8147</v>
      </c>
      <c r="F913" t="s">
        <v>8146</v>
      </c>
      <c r="G913">
        <v>3085</v>
      </c>
      <c r="H913">
        <v>3085</v>
      </c>
      <c r="I913">
        <v>3085</v>
      </c>
      <c r="J913">
        <v>3085</v>
      </c>
      <c r="L913" s="3">
        <v>0</v>
      </c>
      <c r="M913" s="3">
        <v>0</v>
      </c>
      <c r="N913" s="3">
        <v>0</v>
      </c>
      <c r="O913" s="3">
        <v>120.5</v>
      </c>
      <c r="P913" s="3">
        <v>0</v>
      </c>
      <c r="Q913" s="3">
        <v>0</v>
      </c>
      <c r="R913" s="3">
        <v>0</v>
      </c>
      <c r="S913" s="3">
        <v>0</v>
      </c>
      <c r="T913" s="3">
        <v>0</v>
      </c>
      <c r="U913" s="3">
        <v>120.5</v>
      </c>
      <c r="V913" t="s">
        <v>55</v>
      </c>
    </row>
    <row r="914" spans="1:22" hidden="1" x14ac:dyDescent="0.25">
      <c r="A914" t="s">
        <v>8387</v>
      </c>
      <c r="B914" t="s">
        <v>8423</v>
      </c>
      <c r="C914" t="s">
        <v>1</v>
      </c>
      <c r="D914" t="s">
        <v>1</v>
      </c>
      <c r="E914" t="s">
        <v>8147</v>
      </c>
      <c r="F914" t="s">
        <v>8146</v>
      </c>
      <c r="G914">
        <v>3086</v>
      </c>
      <c r="H914">
        <v>3086</v>
      </c>
      <c r="I914">
        <v>3086</v>
      </c>
      <c r="J914">
        <v>3086</v>
      </c>
      <c r="L914" s="3">
        <v>0</v>
      </c>
      <c r="M914" s="3">
        <v>0</v>
      </c>
      <c r="N914" s="3">
        <v>0</v>
      </c>
      <c r="O914" s="3">
        <v>85.01</v>
      </c>
      <c r="P914" s="3">
        <v>0</v>
      </c>
      <c r="Q914" s="3">
        <v>0</v>
      </c>
      <c r="R914" s="3">
        <v>0</v>
      </c>
      <c r="S914" s="3">
        <v>0</v>
      </c>
      <c r="T914" s="3">
        <v>0</v>
      </c>
      <c r="U914" s="3">
        <v>85.01</v>
      </c>
      <c r="V914" t="s">
        <v>55</v>
      </c>
    </row>
    <row r="915" spans="1:22" hidden="1" x14ac:dyDescent="0.25">
      <c r="A915" t="s">
        <v>8387</v>
      </c>
      <c r="B915" t="s">
        <v>8420</v>
      </c>
      <c r="C915" t="s">
        <v>1</v>
      </c>
      <c r="D915" t="s">
        <v>1</v>
      </c>
      <c r="E915" t="s">
        <v>8147</v>
      </c>
      <c r="F915" t="s">
        <v>8146</v>
      </c>
      <c r="G915">
        <v>3087</v>
      </c>
      <c r="H915">
        <v>3087</v>
      </c>
      <c r="I915">
        <v>3087</v>
      </c>
      <c r="J915">
        <v>3087</v>
      </c>
      <c r="L915" s="3">
        <v>0</v>
      </c>
      <c r="M915" s="3">
        <v>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3">
        <v>0</v>
      </c>
      <c r="T915" s="3">
        <v>0</v>
      </c>
      <c r="U915" s="3">
        <v>0</v>
      </c>
      <c r="V915" t="s">
        <v>55</v>
      </c>
    </row>
    <row r="916" spans="1:22" hidden="1" x14ac:dyDescent="0.25">
      <c r="A916" t="s">
        <v>8387</v>
      </c>
      <c r="B916" t="s">
        <v>8420</v>
      </c>
      <c r="C916" t="s">
        <v>1</v>
      </c>
      <c r="D916" t="s">
        <v>1</v>
      </c>
      <c r="E916" t="s">
        <v>8147</v>
      </c>
      <c r="F916" t="s">
        <v>8146</v>
      </c>
      <c r="G916">
        <v>3088</v>
      </c>
      <c r="H916">
        <v>3088</v>
      </c>
      <c r="I916">
        <v>3088</v>
      </c>
      <c r="J916">
        <v>3088</v>
      </c>
      <c r="L916" s="3">
        <v>0</v>
      </c>
      <c r="M916" s="3">
        <v>0</v>
      </c>
      <c r="N916" s="3">
        <v>0</v>
      </c>
      <c r="O916" s="3">
        <v>314.10000000000002</v>
      </c>
      <c r="P916" s="3">
        <v>0</v>
      </c>
      <c r="Q916" s="3">
        <v>0</v>
      </c>
      <c r="R916" s="3">
        <v>0</v>
      </c>
      <c r="S916" s="3">
        <v>0</v>
      </c>
      <c r="T916" s="3">
        <v>0</v>
      </c>
      <c r="U916" s="3">
        <v>314.10000000000002</v>
      </c>
      <c r="V916" t="s">
        <v>55</v>
      </c>
    </row>
    <row r="917" spans="1:22" hidden="1" x14ac:dyDescent="0.25">
      <c r="A917" t="s">
        <v>8387</v>
      </c>
      <c r="B917" t="s">
        <v>8420</v>
      </c>
      <c r="C917" t="s">
        <v>1</v>
      </c>
      <c r="D917" t="s">
        <v>1</v>
      </c>
      <c r="E917" t="s">
        <v>8147</v>
      </c>
      <c r="F917" t="s">
        <v>8146</v>
      </c>
      <c r="G917">
        <v>3089</v>
      </c>
      <c r="H917">
        <v>3089</v>
      </c>
      <c r="I917">
        <v>3089</v>
      </c>
      <c r="J917">
        <v>3089</v>
      </c>
      <c r="L917" s="3">
        <v>0</v>
      </c>
      <c r="M917" s="3">
        <v>0</v>
      </c>
      <c r="N917" s="3">
        <v>0</v>
      </c>
      <c r="O917" s="3">
        <v>95.94</v>
      </c>
      <c r="P917" s="3">
        <v>0</v>
      </c>
      <c r="Q917" s="3">
        <v>0</v>
      </c>
      <c r="R917" s="3">
        <v>0</v>
      </c>
      <c r="S917" s="3">
        <v>0</v>
      </c>
      <c r="T917" s="3">
        <v>0</v>
      </c>
      <c r="U917" s="3">
        <v>95.94</v>
      </c>
      <c r="V917" t="s">
        <v>55</v>
      </c>
    </row>
    <row r="918" spans="1:22" hidden="1" x14ac:dyDescent="0.25">
      <c r="A918" t="s">
        <v>8387</v>
      </c>
      <c r="B918" t="s">
        <v>8420</v>
      </c>
      <c r="C918" t="s">
        <v>1</v>
      </c>
      <c r="D918" t="s">
        <v>1</v>
      </c>
      <c r="E918" t="s">
        <v>8147</v>
      </c>
      <c r="F918" t="s">
        <v>8146</v>
      </c>
      <c r="G918">
        <v>3090</v>
      </c>
      <c r="H918">
        <v>3090</v>
      </c>
      <c r="I918">
        <v>3090</v>
      </c>
      <c r="J918">
        <v>3090</v>
      </c>
      <c r="L918" s="3">
        <v>0</v>
      </c>
      <c r="M918" s="3">
        <v>0</v>
      </c>
      <c r="N918" s="3">
        <v>0</v>
      </c>
      <c r="O918" s="3">
        <v>320.39999999999998</v>
      </c>
      <c r="P918" s="3">
        <v>0</v>
      </c>
      <c r="Q918" s="3">
        <v>0</v>
      </c>
      <c r="R918" s="3">
        <v>0</v>
      </c>
      <c r="S918" s="3">
        <v>0</v>
      </c>
      <c r="T918" s="3">
        <v>0</v>
      </c>
      <c r="U918" s="3">
        <v>320.39999999999998</v>
      </c>
      <c r="V918" t="s">
        <v>55</v>
      </c>
    </row>
    <row r="919" spans="1:22" hidden="1" x14ac:dyDescent="0.25">
      <c r="A919" t="s">
        <v>8387</v>
      </c>
      <c r="B919" t="s">
        <v>8420</v>
      </c>
      <c r="C919" t="s">
        <v>1</v>
      </c>
      <c r="D919" t="s">
        <v>1</v>
      </c>
      <c r="E919" t="s">
        <v>8147</v>
      </c>
      <c r="F919" t="s">
        <v>8146</v>
      </c>
      <c r="G919">
        <v>3091</v>
      </c>
      <c r="H919">
        <v>3091</v>
      </c>
      <c r="I919">
        <v>3091</v>
      </c>
      <c r="J919">
        <v>3091</v>
      </c>
      <c r="L919" s="3">
        <v>0</v>
      </c>
      <c r="M919" s="3">
        <v>0</v>
      </c>
      <c r="N919" s="3">
        <v>0</v>
      </c>
      <c r="O919" s="3">
        <v>35.75</v>
      </c>
      <c r="P919" s="3">
        <v>0</v>
      </c>
      <c r="Q919" s="3">
        <v>0</v>
      </c>
      <c r="R919" s="3">
        <v>0</v>
      </c>
      <c r="S919" s="3">
        <v>0</v>
      </c>
      <c r="T919" s="3">
        <v>0</v>
      </c>
      <c r="U919" s="3">
        <v>35.75</v>
      </c>
      <c r="V919" t="s">
        <v>55</v>
      </c>
    </row>
    <row r="920" spans="1:22" hidden="1" x14ac:dyDescent="0.25">
      <c r="A920" t="s">
        <v>8387</v>
      </c>
      <c r="B920" t="s">
        <v>8409</v>
      </c>
      <c r="C920" t="s">
        <v>1</v>
      </c>
      <c r="D920" t="s">
        <v>1</v>
      </c>
      <c r="E920" t="s">
        <v>8147</v>
      </c>
      <c r="F920" t="s">
        <v>8146</v>
      </c>
      <c r="G920">
        <v>3092</v>
      </c>
      <c r="H920">
        <v>3092</v>
      </c>
      <c r="I920">
        <v>3092</v>
      </c>
      <c r="J920">
        <v>3092</v>
      </c>
      <c r="L920" s="3">
        <v>0</v>
      </c>
      <c r="M920" s="3">
        <v>0</v>
      </c>
      <c r="N920" s="3">
        <v>0</v>
      </c>
      <c r="O920" s="3">
        <v>66.040000000000006</v>
      </c>
      <c r="P920" s="3">
        <v>0</v>
      </c>
      <c r="Q920" s="3">
        <v>0</v>
      </c>
      <c r="R920" s="3">
        <v>0</v>
      </c>
      <c r="S920" s="3">
        <v>0</v>
      </c>
      <c r="T920" s="3">
        <v>0</v>
      </c>
      <c r="U920" s="3">
        <v>66.040000000000006</v>
      </c>
      <c r="V920" t="s">
        <v>55</v>
      </c>
    </row>
    <row r="921" spans="1:22" hidden="1" x14ac:dyDescent="0.25">
      <c r="A921" t="s">
        <v>8387</v>
      </c>
      <c r="B921" t="s">
        <v>8409</v>
      </c>
      <c r="C921" t="s">
        <v>1</v>
      </c>
      <c r="D921" t="s">
        <v>1</v>
      </c>
      <c r="E921" t="s">
        <v>8147</v>
      </c>
      <c r="F921" t="s">
        <v>8146</v>
      </c>
      <c r="G921">
        <v>3093</v>
      </c>
      <c r="H921">
        <v>3093</v>
      </c>
      <c r="I921">
        <v>3093</v>
      </c>
      <c r="J921">
        <v>3093</v>
      </c>
      <c r="L921" s="3">
        <v>0</v>
      </c>
      <c r="M921" s="3">
        <v>0</v>
      </c>
      <c r="N921" s="3">
        <v>0</v>
      </c>
      <c r="O921" s="3">
        <v>273.45999999999998</v>
      </c>
      <c r="P921" s="3">
        <v>0</v>
      </c>
      <c r="Q921" s="3">
        <v>0</v>
      </c>
      <c r="R921" s="3">
        <v>0</v>
      </c>
      <c r="S921" s="3">
        <v>0</v>
      </c>
      <c r="T921" s="3">
        <v>0</v>
      </c>
      <c r="U921" s="3">
        <v>273.45999999999998</v>
      </c>
      <c r="V921" t="s">
        <v>55</v>
      </c>
    </row>
    <row r="922" spans="1:22" hidden="1" x14ac:dyDescent="0.25">
      <c r="A922" t="s">
        <v>8387</v>
      </c>
      <c r="B922" t="s">
        <v>8409</v>
      </c>
      <c r="C922" t="s">
        <v>1</v>
      </c>
      <c r="D922" t="s">
        <v>1</v>
      </c>
      <c r="E922" t="s">
        <v>8147</v>
      </c>
      <c r="F922" t="s">
        <v>8146</v>
      </c>
      <c r="G922">
        <v>3094</v>
      </c>
      <c r="H922">
        <v>3094</v>
      </c>
      <c r="I922">
        <v>3094</v>
      </c>
      <c r="J922">
        <v>3094</v>
      </c>
      <c r="L922" s="3">
        <v>0</v>
      </c>
      <c r="M922" s="3">
        <v>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3">
        <v>0</v>
      </c>
      <c r="T922" s="3">
        <v>0</v>
      </c>
      <c r="U922" s="3">
        <v>0</v>
      </c>
      <c r="V922" t="s">
        <v>55</v>
      </c>
    </row>
    <row r="923" spans="1:22" hidden="1" x14ac:dyDescent="0.25">
      <c r="A923" t="s">
        <v>8387</v>
      </c>
      <c r="B923" t="s">
        <v>8409</v>
      </c>
      <c r="C923" t="s">
        <v>1</v>
      </c>
      <c r="D923" t="s">
        <v>1</v>
      </c>
      <c r="E923" t="s">
        <v>8147</v>
      </c>
      <c r="F923" t="s">
        <v>8146</v>
      </c>
      <c r="G923">
        <v>3095</v>
      </c>
      <c r="H923">
        <v>3095</v>
      </c>
      <c r="I923">
        <v>3095</v>
      </c>
      <c r="J923">
        <v>3095</v>
      </c>
      <c r="L923" s="3">
        <v>0</v>
      </c>
      <c r="M923" s="3">
        <v>0</v>
      </c>
      <c r="N923" s="3">
        <v>0</v>
      </c>
      <c r="O923" s="3">
        <v>132.07</v>
      </c>
      <c r="P923" s="3">
        <v>0</v>
      </c>
      <c r="Q923" s="3">
        <v>0</v>
      </c>
      <c r="R923" s="3">
        <v>0</v>
      </c>
      <c r="S923" s="3">
        <v>0</v>
      </c>
      <c r="T923" s="3">
        <v>0</v>
      </c>
      <c r="U923" s="3">
        <v>132.07</v>
      </c>
      <c r="V923" t="s">
        <v>55</v>
      </c>
    </row>
    <row r="924" spans="1:22" hidden="1" x14ac:dyDescent="0.25">
      <c r="A924" t="s">
        <v>8387</v>
      </c>
      <c r="B924" t="s">
        <v>8409</v>
      </c>
      <c r="C924" t="s">
        <v>1</v>
      </c>
      <c r="D924" t="s">
        <v>1</v>
      </c>
      <c r="E924" t="s">
        <v>8147</v>
      </c>
      <c r="F924" t="s">
        <v>8146</v>
      </c>
      <c r="G924">
        <v>3096</v>
      </c>
      <c r="H924">
        <v>3096</v>
      </c>
      <c r="I924">
        <v>3096</v>
      </c>
      <c r="J924">
        <v>3096</v>
      </c>
      <c r="L924" s="3">
        <v>0</v>
      </c>
      <c r="M924" s="3">
        <v>0</v>
      </c>
      <c r="N924" s="3">
        <v>0</v>
      </c>
      <c r="O924" s="3">
        <v>34.75</v>
      </c>
      <c r="P924" s="3">
        <v>0</v>
      </c>
      <c r="Q924" s="3">
        <v>0</v>
      </c>
      <c r="R924" s="3">
        <v>0</v>
      </c>
      <c r="S924" s="3">
        <v>0</v>
      </c>
      <c r="T924" s="3">
        <v>0</v>
      </c>
      <c r="U924" s="3">
        <v>34.75</v>
      </c>
      <c r="V924" t="s">
        <v>55</v>
      </c>
    </row>
    <row r="925" spans="1:22" hidden="1" x14ac:dyDescent="0.25">
      <c r="A925" t="s">
        <v>8387</v>
      </c>
      <c r="B925" t="s">
        <v>8409</v>
      </c>
      <c r="C925" t="s">
        <v>1</v>
      </c>
      <c r="D925" t="s">
        <v>1</v>
      </c>
      <c r="E925" t="s">
        <v>8147</v>
      </c>
      <c r="F925" t="s">
        <v>8146</v>
      </c>
      <c r="G925">
        <v>3097</v>
      </c>
      <c r="H925">
        <v>3097</v>
      </c>
      <c r="I925">
        <v>3097</v>
      </c>
      <c r="J925">
        <v>3097</v>
      </c>
      <c r="L925" s="3">
        <v>0</v>
      </c>
      <c r="M925" s="3">
        <v>0</v>
      </c>
      <c r="N925" s="3">
        <v>0</v>
      </c>
      <c r="O925" s="3">
        <v>88</v>
      </c>
      <c r="P925" s="3">
        <v>0</v>
      </c>
      <c r="Q925" s="3">
        <v>0</v>
      </c>
      <c r="R925" s="3">
        <v>0</v>
      </c>
      <c r="S925" s="3">
        <v>0</v>
      </c>
      <c r="T925" s="3">
        <v>0</v>
      </c>
      <c r="U925" s="3">
        <v>88</v>
      </c>
      <c r="V925" t="s">
        <v>55</v>
      </c>
    </row>
    <row r="926" spans="1:22" hidden="1" x14ac:dyDescent="0.25">
      <c r="A926" t="s">
        <v>8387</v>
      </c>
      <c r="B926" t="s">
        <v>8409</v>
      </c>
      <c r="C926" t="s">
        <v>1</v>
      </c>
      <c r="D926" t="s">
        <v>1</v>
      </c>
      <c r="E926" t="s">
        <v>8147</v>
      </c>
      <c r="F926" t="s">
        <v>8146</v>
      </c>
      <c r="G926">
        <v>3098</v>
      </c>
      <c r="H926">
        <v>3098</v>
      </c>
      <c r="I926">
        <v>3098</v>
      </c>
      <c r="J926">
        <v>3098</v>
      </c>
      <c r="L926" s="3">
        <v>0</v>
      </c>
      <c r="M926" s="3">
        <v>0</v>
      </c>
      <c r="N926" s="3">
        <v>0</v>
      </c>
      <c r="O926" s="3">
        <v>155.08000000000001</v>
      </c>
      <c r="P926" s="3">
        <v>0</v>
      </c>
      <c r="Q926" s="3">
        <v>0</v>
      </c>
      <c r="R926" s="3">
        <v>0</v>
      </c>
      <c r="S926" s="3">
        <v>0</v>
      </c>
      <c r="T926" s="3">
        <v>0</v>
      </c>
      <c r="U926" s="3">
        <v>155.08000000000001</v>
      </c>
      <c r="V926" t="s">
        <v>55</v>
      </c>
    </row>
    <row r="927" spans="1:22" hidden="1" x14ac:dyDescent="0.25">
      <c r="A927" t="s">
        <v>8387</v>
      </c>
      <c r="B927" t="s">
        <v>8409</v>
      </c>
      <c r="C927" t="s">
        <v>1</v>
      </c>
      <c r="D927" t="s">
        <v>1</v>
      </c>
      <c r="E927" t="s">
        <v>8147</v>
      </c>
      <c r="F927" t="s">
        <v>8146</v>
      </c>
      <c r="G927">
        <v>3099</v>
      </c>
      <c r="H927">
        <v>3099</v>
      </c>
      <c r="I927">
        <v>3099</v>
      </c>
      <c r="J927">
        <v>3099</v>
      </c>
      <c r="L927" s="3">
        <v>0</v>
      </c>
      <c r="M927" s="3">
        <v>0</v>
      </c>
      <c r="N927" s="3">
        <v>0</v>
      </c>
      <c r="O927" s="3">
        <v>111</v>
      </c>
      <c r="P927" s="3">
        <v>0</v>
      </c>
      <c r="Q927" s="3">
        <v>0</v>
      </c>
      <c r="R927" s="3">
        <v>0</v>
      </c>
      <c r="S927" s="3">
        <v>0</v>
      </c>
      <c r="T927" s="3">
        <v>0</v>
      </c>
      <c r="U927" s="3">
        <v>111</v>
      </c>
      <c r="V927" t="s">
        <v>55</v>
      </c>
    </row>
    <row r="928" spans="1:22" hidden="1" x14ac:dyDescent="0.25">
      <c r="A928" t="s">
        <v>8387</v>
      </c>
      <c r="B928" t="s">
        <v>8409</v>
      </c>
      <c r="C928" t="s">
        <v>1</v>
      </c>
      <c r="D928" t="s">
        <v>1</v>
      </c>
      <c r="E928" t="s">
        <v>8147</v>
      </c>
      <c r="F928" t="s">
        <v>8146</v>
      </c>
      <c r="G928">
        <v>3100</v>
      </c>
      <c r="H928">
        <v>3100</v>
      </c>
      <c r="I928">
        <v>3100</v>
      </c>
      <c r="J928">
        <v>3100</v>
      </c>
      <c r="L928" s="3">
        <v>0</v>
      </c>
      <c r="M928" s="3">
        <v>0</v>
      </c>
      <c r="N928" s="3">
        <v>0</v>
      </c>
      <c r="O928" s="3">
        <v>68</v>
      </c>
      <c r="P928" s="3">
        <v>0</v>
      </c>
      <c r="Q928" s="3">
        <v>0</v>
      </c>
      <c r="R928" s="3">
        <v>0</v>
      </c>
      <c r="S928" s="3">
        <v>0</v>
      </c>
      <c r="T928" s="3">
        <v>0</v>
      </c>
      <c r="U928" s="3">
        <v>68</v>
      </c>
      <c r="V928" t="s">
        <v>55</v>
      </c>
    </row>
    <row r="929" spans="1:22" hidden="1" x14ac:dyDescent="0.25">
      <c r="A929" t="s">
        <v>8387</v>
      </c>
      <c r="B929" t="s">
        <v>8406</v>
      </c>
      <c r="C929" t="s">
        <v>1</v>
      </c>
      <c r="D929" t="s">
        <v>1</v>
      </c>
      <c r="E929" t="s">
        <v>8147</v>
      </c>
      <c r="F929" t="s">
        <v>8146</v>
      </c>
      <c r="G929">
        <v>3101</v>
      </c>
      <c r="H929">
        <v>3101</v>
      </c>
      <c r="I929">
        <v>3101</v>
      </c>
      <c r="J929">
        <v>3101</v>
      </c>
      <c r="L929" s="3">
        <v>0</v>
      </c>
      <c r="M929" s="3">
        <v>0</v>
      </c>
      <c r="N929" s="3">
        <v>0</v>
      </c>
      <c r="O929" s="3">
        <v>340</v>
      </c>
      <c r="P929" s="3">
        <v>0</v>
      </c>
      <c r="Q929" s="3">
        <v>0</v>
      </c>
      <c r="R929" s="3">
        <v>0</v>
      </c>
      <c r="S929" s="3">
        <v>0</v>
      </c>
      <c r="T929" s="3">
        <v>0</v>
      </c>
      <c r="U929" s="3">
        <v>340</v>
      </c>
      <c r="V929" t="s">
        <v>55</v>
      </c>
    </row>
    <row r="930" spans="1:22" hidden="1" x14ac:dyDescent="0.25">
      <c r="A930" t="s">
        <v>8387</v>
      </c>
      <c r="B930" t="s">
        <v>8406</v>
      </c>
      <c r="C930" t="s">
        <v>1</v>
      </c>
      <c r="D930" t="s">
        <v>1</v>
      </c>
      <c r="E930" t="s">
        <v>8147</v>
      </c>
      <c r="F930" t="s">
        <v>8146</v>
      </c>
      <c r="G930">
        <v>3102</v>
      </c>
      <c r="H930">
        <v>3102</v>
      </c>
      <c r="I930">
        <v>3102</v>
      </c>
      <c r="J930">
        <v>3102</v>
      </c>
      <c r="L930" s="3">
        <v>0</v>
      </c>
      <c r="M930" s="3">
        <v>0</v>
      </c>
      <c r="N930" s="3">
        <v>0</v>
      </c>
      <c r="O930" s="3">
        <v>12.88</v>
      </c>
      <c r="P930" s="3">
        <v>0</v>
      </c>
      <c r="Q930" s="3">
        <v>0</v>
      </c>
      <c r="R930" s="3">
        <v>0</v>
      </c>
      <c r="S930" s="3">
        <v>0</v>
      </c>
      <c r="T930" s="3">
        <v>0</v>
      </c>
      <c r="U930" s="3">
        <v>12.88</v>
      </c>
      <c r="V930" t="s">
        <v>55</v>
      </c>
    </row>
    <row r="931" spans="1:22" hidden="1" x14ac:dyDescent="0.25">
      <c r="A931" t="s">
        <v>8387</v>
      </c>
      <c r="B931" t="s">
        <v>8406</v>
      </c>
      <c r="C931" t="s">
        <v>1</v>
      </c>
      <c r="D931" t="s">
        <v>1</v>
      </c>
      <c r="E931" t="s">
        <v>8147</v>
      </c>
      <c r="F931" t="s">
        <v>8146</v>
      </c>
      <c r="G931">
        <v>3103</v>
      </c>
      <c r="H931">
        <v>3103</v>
      </c>
      <c r="I931">
        <v>3103</v>
      </c>
      <c r="J931">
        <v>3103</v>
      </c>
      <c r="L931" s="3">
        <v>0</v>
      </c>
      <c r="M931" s="3">
        <v>0</v>
      </c>
      <c r="N931" s="3">
        <v>0</v>
      </c>
      <c r="O931" s="3">
        <v>520.48</v>
      </c>
      <c r="P931" s="3">
        <v>0</v>
      </c>
      <c r="Q931" s="3">
        <v>0</v>
      </c>
      <c r="R931" s="3">
        <v>0</v>
      </c>
      <c r="S931" s="3">
        <v>0</v>
      </c>
      <c r="T931" s="3">
        <v>0</v>
      </c>
      <c r="U931" s="3">
        <v>520.48</v>
      </c>
      <c r="V931" t="s">
        <v>55</v>
      </c>
    </row>
    <row r="932" spans="1:22" hidden="1" x14ac:dyDescent="0.25">
      <c r="A932" t="s">
        <v>8387</v>
      </c>
      <c r="B932" t="s">
        <v>8406</v>
      </c>
      <c r="C932" t="s">
        <v>1</v>
      </c>
      <c r="D932" t="s">
        <v>1</v>
      </c>
      <c r="E932" t="s">
        <v>8147</v>
      </c>
      <c r="F932" t="s">
        <v>8146</v>
      </c>
      <c r="G932">
        <v>3104</v>
      </c>
      <c r="H932">
        <v>3104</v>
      </c>
      <c r="I932">
        <v>3104</v>
      </c>
      <c r="J932">
        <v>3104</v>
      </c>
      <c r="L932" s="3">
        <v>0</v>
      </c>
      <c r="M932" s="3">
        <v>0</v>
      </c>
      <c r="N932" s="3">
        <v>0</v>
      </c>
      <c r="O932" s="3">
        <v>63.28</v>
      </c>
      <c r="P932" s="3">
        <v>0</v>
      </c>
      <c r="Q932" s="3">
        <v>0</v>
      </c>
      <c r="R932" s="3">
        <v>0</v>
      </c>
      <c r="S932" s="3">
        <v>0</v>
      </c>
      <c r="T932" s="3">
        <v>0</v>
      </c>
      <c r="U932" s="3">
        <v>63.28</v>
      </c>
      <c r="V932" t="s">
        <v>55</v>
      </c>
    </row>
    <row r="933" spans="1:22" hidden="1" x14ac:dyDescent="0.25">
      <c r="A933" t="s">
        <v>8387</v>
      </c>
      <c r="B933" t="s">
        <v>8401</v>
      </c>
      <c r="C933" t="s">
        <v>1</v>
      </c>
      <c r="D933" t="s">
        <v>1</v>
      </c>
      <c r="E933" t="s">
        <v>8147</v>
      </c>
      <c r="F933" t="s">
        <v>8146</v>
      </c>
      <c r="G933">
        <v>3105</v>
      </c>
      <c r="H933">
        <v>3105</v>
      </c>
      <c r="I933">
        <v>3105</v>
      </c>
      <c r="J933">
        <v>3105</v>
      </c>
      <c r="L933" s="3">
        <v>0</v>
      </c>
      <c r="M933" s="3">
        <v>0</v>
      </c>
      <c r="N933" s="3">
        <v>0</v>
      </c>
      <c r="O933" s="3">
        <v>66.040000000000006</v>
      </c>
      <c r="P933" s="3">
        <v>0</v>
      </c>
      <c r="Q933" s="3">
        <v>0</v>
      </c>
      <c r="R933" s="3">
        <v>0</v>
      </c>
      <c r="S933" s="3">
        <v>0</v>
      </c>
      <c r="T933" s="3">
        <v>0</v>
      </c>
      <c r="U933" s="3">
        <v>66.040000000000006</v>
      </c>
      <c r="V933" t="s">
        <v>55</v>
      </c>
    </row>
    <row r="934" spans="1:22" hidden="1" x14ac:dyDescent="0.25">
      <c r="A934" t="s">
        <v>8387</v>
      </c>
      <c r="B934" t="s">
        <v>8401</v>
      </c>
      <c r="C934" t="s">
        <v>1</v>
      </c>
      <c r="D934" t="s">
        <v>1</v>
      </c>
      <c r="E934" t="s">
        <v>8147</v>
      </c>
      <c r="F934" t="s">
        <v>8146</v>
      </c>
      <c r="G934">
        <v>3106</v>
      </c>
      <c r="H934">
        <v>3106</v>
      </c>
      <c r="I934">
        <v>3106</v>
      </c>
      <c r="J934">
        <v>3106</v>
      </c>
      <c r="L934" s="3">
        <v>0</v>
      </c>
      <c r="M934" s="3">
        <v>0</v>
      </c>
      <c r="N934" s="3">
        <v>0</v>
      </c>
      <c r="O934" s="3">
        <v>187.1</v>
      </c>
      <c r="P934" s="3">
        <v>0</v>
      </c>
      <c r="Q934" s="3">
        <v>0</v>
      </c>
      <c r="R934" s="3">
        <v>0</v>
      </c>
      <c r="S934" s="3">
        <v>0</v>
      </c>
      <c r="T934" s="3">
        <v>0</v>
      </c>
      <c r="U934" s="3">
        <v>187.1</v>
      </c>
      <c r="V934" t="s">
        <v>55</v>
      </c>
    </row>
    <row r="935" spans="1:22" hidden="1" x14ac:dyDescent="0.25">
      <c r="A935" t="s">
        <v>8387</v>
      </c>
      <c r="B935" t="s">
        <v>8401</v>
      </c>
      <c r="C935" t="s">
        <v>1</v>
      </c>
      <c r="D935" t="s">
        <v>1</v>
      </c>
      <c r="E935" t="s">
        <v>8147</v>
      </c>
      <c r="F935" t="s">
        <v>8146</v>
      </c>
      <c r="G935">
        <v>3107</v>
      </c>
      <c r="H935">
        <v>3107</v>
      </c>
      <c r="I935">
        <v>3107</v>
      </c>
      <c r="J935">
        <v>3107</v>
      </c>
      <c r="L935" s="3">
        <v>0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3">
        <v>0</v>
      </c>
      <c r="T935" s="3">
        <v>0</v>
      </c>
      <c r="U935" s="3">
        <v>0</v>
      </c>
      <c r="V935" t="s">
        <v>55</v>
      </c>
    </row>
    <row r="936" spans="1:22" hidden="1" x14ac:dyDescent="0.25">
      <c r="A936" t="s">
        <v>8387</v>
      </c>
      <c r="B936" t="s">
        <v>8401</v>
      </c>
      <c r="C936" t="s">
        <v>1</v>
      </c>
      <c r="D936" t="s">
        <v>1</v>
      </c>
      <c r="E936" t="s">
        <v>8147</v>
      </c>
      <c r="F936" t="s">
        <v>8146</v>
      </c>
      <c r="G936">
        <v>3108</v>
      </c>
      <c r="H936">
        <v>3108</v>
      </c>
      <c r="I936">
        <v>3108</v>
      </c>
      <c r="J936">
        <v>3108</v>
      </c>
      <c r="L936" s="3">
        <v>0</v>
      </c>
      <c r="M936" s="3">
        <v>0</v>
      </c>
      <c r="N936" s="3">
        <v>0</v>
      </c>
      <c r="O936" s="3">
        <v>4.38</v>
      </c>
      <c r="P936" s="3">
        <v>0</v>
      </c>
      <c r="Q936" s="3">
        <v>0</v>
      </c>
      <c r="R936" s="3">
        <v>0</v>
      </c>
      <c r="S936" s="3">
        <v>0</v>
      </c>
      <c r="T936" s="3">
        <v>0</v>
      </c>
      <c r="U936" s="3">
        <v>4.38</v>
      </c>
      <c r="V936" t="s">
        <v>55</v>
      </c>
    </row>
    <row r="937" spans="1:22" hidden="1" x14ac:dyDescent="0.25">
      <c r="A937" t="s">
        <v>8387</v>
      </c>
      <c r="B937" t="s">
        <v>8401</v>
      </c>
      <c r="C937" t="s">
        <v>1</v>
      </c>
      <c r="D937" t="s">
        <v>1</v>
      </c>
      <c r="E937" t="s">
        <v>8147</v>
      </c>
      <c r="F937" t="s">
        <v>8146</v>
      </c>
      <c r="G937">
        <v>3109</v>
      </c>
      <c r="H937">
        <v>3109</v>
      </c>
      <c r="I937">
        <v>3109</v>
      </c>
      <c r="J937">
        <v>3109</v>
      </c>
      <c r="L937" s="3">
        <v>0</v>
      </c>
      <c r="M937" s="3">
        <v>0</v>
      </c>
      <c r="N937" s="3">
        <v>0</v>
      </c>
      <c r="O937" s="3">
        <v>134.66</v>
      </c>
      <c r="P937" s="3">
        <v>0</v>
      </c>
      <c r="Q937" s="3">
        <v>0</v>
      </c>
      <c r="R937" s="3">
        <v>0</v>
      </c>
      <c r="S937" s="3">
        <v>0</v>
      </c>
      <c r="T937" s="3">
        <v>0</v>
      </c>
      <c r="U937" s="3">
        <v>134.66</v>
      </c>
      <c r="V937" t="s">
        <v>55</v>
      </c>
    </row>
    <row r="938" spans="1:22" hidden="1" x14ac:dyDescent="0.25">
      <c r="A938" t="s">
        <v>8387</v>
      </c>
      <c r="B938" t="s">
        <v>8401</v>
      </c>
      <c r="C938" t="s">
        <v>1</v>
      </c>
      <c r="D938" t="s">
        <v>1</v>
      </c>
      <c r="E938" t="s">
        <v>8147</v>
      </c>
      <c r="F938" t="s">
        <v>8146</v>
      </c>
      <c r="G938">
        <v>3110</v>
      </c>
      <c r="H938">
        <v>3110</v>
      </c>
      <c r="I938">
        <v>3110</v>
      </c>
      <c r="J938">
        <v>3110</v>
      </c>
      <c r="L938" s="3">
        <v>0</v>
      </c>
      <c r="M938" s="3">
        <v>0</v>
      </c>
      <c r="N938" s="3">
        <v>0</v>
      </c>
      <c r="O938" s="3">
        <v>78.25</v>
      </c>
      <c r="P938" s="3">
        <v>0</v>
      </c>
      <c r="Q938" s="3">
        <v>0</v>
      </c>
      <c r="R938" s="3">
        <v>0</v>
      </c>
      <c r="S938" s="3">
        <v>0</v>
      </c>
      <c r="T938" s="3">
        <v>0</v>
      </c>
      <c r="U938" s="3">
        <v>78.25</v>
      </c>
      <c r="V938" t="s">
        <v>55</v>
      </c>
    </row>
    <row r="939" spans="1:22" hidden="1" x14ac:dyDescent="0.25">
      <c r="A939" t="s">
        <v>8387</v>
      </c>
      <c r="B939" t="s">
        <v>8401</v>
      </c>
      <c r="C939" t="s">
        <v>1</v>
      </c>
      <c r="D939" t="s">
        <v>1</v>
      </c>
      <c r="E939" t="s">
        <v>8147</v>
      </c>
      <c r="F939" t="s">
        <v>8146</v>
      </c>
      <c r="G939">
        <v>3111</v>
      </c>
      <c r="H939">
        <v>3111</v>
      </c>
      <c r="I939">
        <v>3111</v>
      </c>
      <c r="J939">
        <v>3111</v>
      </c>
      <c r="L939" s="3">
        <v>0</v>
      </c>
      <c r="M939" s="3">
        <v>0</v>
      </c>
      <c r="N939" s="3">
        <v>0</v>
      </c>
      <c r="O939" s="3">
        <v>22.5</v>
      </c>
      <c r="P939" s="3">
        <v>0</v>
      </c>
      <c r="Q939" s="3">
        <v>0</v>
      </c>
      <c r="R939" s="3">
        <v>0</v>
      </c>
      <c r="S939" s="3">
        <v>0</v>
      </c>
      <c r="T939" s="3">
        <v>0</v>
      </c>
      <c r="U939" s="3">
        <v>22.5</v>
      </c>
      <c r="V939" t="s">
        <v>55</v>
      </c>
    </row>
    <row r="940" spans="1:22" hidden="1" x14ac:dyDescent="0.25">
      <c r="A940" t="s">
        <v>8387</v>
      </c>
      <c r="B940" t="s">
        <v>8401</v>
      </c>
      <c r="C940" t="s">
        <v>1</v>
      </c>
      <c r="D940" t="s">
        <v>1</v>
      </c>
      <c r="E940" t="s">
        <v>8147</v>
      </c>
      <c r="F940" t="s">
        <v>8146</v>
      </c>
      <c r="G940">
        <v>3112</v>
      </c>
      <c r="H940">
        <v>3112</v>
      </c>
      <c r="I940">
        <v>3112</v>
      </c>
      <c r="J940">
        <v>3112</v>
      </c>
      <c r="L940" s="3">
        <v>0</v>
      </c>
      <c r="M940" s="3">
        <v>0</v>
      </c>
      <c r="N940" s="3">
        <v>0</v>
      </c>
      <c r="O940" s="3">
        <v>5.65</v>
      </c>
      <c r="P940" s="3">
        <v>0</v>
      </c>
      <c r="Q940" s="3">
        <v>0</v>
      </c>
      <c r="R940" s="3">
        <v>0</v>
      </c>
      <c r="S940" s="3">
        <v>0</v>
      </c>
      <c r="T940" s="3">
        <v>0</v>
      </c>
      <c r="U940" s="3">
        <v>5.65</v>
      </c>
      <c r="V940" t="s">
        <v>55</v>
      </c>
    </row>
    <row r="941" spans="1:22" hidden="1" x14ac:dyDescent="0.25">
      <c r="A941" t="s">
        <v>8387</v>
      </c>
      <c r="B941" t="s">
        <v>8401</v>
      </c>
      <c r="C941" t="s">
        <v>1</v>
      </c>
      <c r="D941" t="s">
        <v>1</v>
      </c>
      <c r="E941" t="s">
        <v>8147</v>
      </c>
      <c r="F941" t="s">
        <v>8146</v>
      </c>
      <c r="G941">
        <v>3113</v>
      </c>
      <c r="H941">
        <v>3113</v>
      </c>
      <c r="I941">
        <v>3113</v>
      </c>
      <c r="J941">
        <v>3113</v>
      </c>
      <c r="L941" s="3">
        <v>0</v>
      </c>
      <c r="M941" s="3">
        <v>0</v>
      </c>
      <c r="N941" s="3">
        <v>0</v>
      </c>
      <c r="O941" s="3">
        <v>14.7</v>
      </c>
      <c r="P941" s="3">
        <v>0</v>
      </c>
      <c r="Q941" s="3">
        <v>0</v>
      </c>
      <c r="R941" s="3">
        <v>0</v>
      </c>
      <c r="S941" s="3">
        <v>0</v>
      </c>
      <c r="T941" s="3">
        <v>0</v>
      </c>
      <c r="U941" s="3">
        <v>14.7</v>
      </c>
      <c r="V941" t="s">
        <v>55</v>
      </c>
    </row>
    <row r="942" spans="1:22" hidden="1" x14ac:dyDescent="0.25">
      <c r="A942" t="s">
        <v>8387</v>
      </c>
      <c r="B942" t="s">
        <v>8398</v>
      </c>
      <c r="C942" t="s">
        <v>1</v>
      </c>
      <c r="D942" t="s">
        <v>1</v>
      </c>
      <c r="E942" t="s">
        <v>8147</v>
      </c>
      <c r="F942" t="s">
        <v>8146</v>
      </c>
      <c r="G942">
        <v>3114</v>
      </c>
      <c r="H942">
        <v>3114</v>
      </c>
      <c r="I942">
        <v>3114</v>
      </c>
      <c r="J942">
        <v>3114</v>
      </c>
      <c r="L942" s="3">
        <v>0</v>
      </c>
      <c r="M942" s="3">
        <v>0</v>
      </c>
      <c r="N942" s="3">
        <v>0</v>
      </c>
      <c r="O942" s="3">
        <v>12.66</v>
      </c>
      <c r="P942" s="3">
        <v>0</v>
      </c>
      <c r="Q942" s="3">
        <v>0</v>
      </c>
      <c r="R942" s="3">
        <v>0</v>
      </c>
      <c r="S942" s="3">
        <v>0</v>
      </c>
      <c r="T942" s="3">
        <v>0</v>
      </c>
      <c r="U942" s="3">
        <v>12.66</v>
      </c>
      <c r="V942" t="s">
        <v>55</v>
      </c>
    </row>
    <row r="943" spans="1:22" hidden="1" x14ac:dyDescent="0.25">
      <c r="A943" t="s">
        <v>8387</v>
      </c>
      <c r="B943" t="s">
        <v>8398</v>
      </c>
      <c r="C943" t="s">
        <v>1</v>
      </c>
      <c r="D943" t="s">
        <v>1</v>
      </c>
      <c r="E943" t="s">
        <v>8147</v>
      </c>
      <c r="F943" t="s">
        <v>8146</v>
      </c>
      <c r="G943">
        <v>3115</v>
      </c>
      <c r="H943">
        <v>3115</v>
      </c>
      <c r="I943">
        <v>3115</v>
      </c>
      <c r="J943">
        <v>3115</v>
      </c>
      <c r="L943" s="3">
        <v>0</v>
      </c>
      <c r="M943" s="3">
        <v>0</v>
      </c>
      <c r="N943" s="3">
        <v>0</v>
      </c>
      <c r="O943" s="3">
        <v>392.84</v>
      </c>
      <c r="P943" s="3">
        <v>0</v>
      </c>
      <c r="Q943" s="3">
        <v>0</v>
      </c>
      <c r="R943" s="3">
        <v>0</v>
      </c>
      <c r="S943" s="3">
        <v>0</v>
      </c>
      <c r="T943" s="3">
        <v>0</v>
      </c>
      <c r="U943" s="3">
        <v>392.84</v>
      </c>
      <c r="V943" t="s">
        <v>55</v>
      </c>
    </row>
    <row r="944" spans="1:22" hidden="1" x14ac:dyDescent="0.25">
      <c r="A944" t="s">
        <v>8387</v>
      </c>
      <c r="B944" t="s">
        <v>8398</v>
      </c>
      <c r="C944" t="s">
        <v>1</v>
      </c>
      <c r="D944" t="s">
        <v>1</v>
      </c>
      <c r="E944" t="s">
        <v>8147</v>
      </c>
      <c r="F944" t="s">
        <v>8146</v>
      </c>
      <c r="G944">
        <v>3116</v>
      </c>
      <c r="H944">
        <v>3116</v>
      </c>
      <c r="I944">
        <v>3116</v>
      </c>
      <c r="J944">
        <v>3116</v>
      </c>
      <c r="L944" s="3">
        <v>0</v>
      </c>
      <c r="M944" s="3">
        <v>0</v>
      </c>
      <c r="N944" s="3">
        <v>0</v>
      </c>
      <c r="O944" s="3">
        <v>4.43</v>
      </c>
      <c r="P944" s="3">
        <v>0</v>
      </c>
      <c r="Q944" s="3">
        <v>0</v>
      </c>
      <c r="R944" s="3">
        <v>0</v>
      </c>
      <c r="S944" s="3">
        <v>0</v>
      </c>
      <c r="T944" s="3">
        <v>0</v>
      </c>
      <c r="U944" s="3">
        <v>4.43</v>
      </c>
      <c r="V944" t="s">
        <v>55</v>
      </c>
    </row>
    <row r="945" spans="1:22" hidden="1" x14ac:dyDescent="0.25">
      <c r="A945" t="s">
        <v>8387</v>
      </c>
      <c r="B945" t="s">
        <v>8398</v>
      </c>
      <c r="C945" t="s">
        <v>1</v>
      </c>
      <c r="D945" t="s">
        <v>1</v>
      </c>
      <c r="E945" t="s">
        <v>8147</v>
      </c>
      <c r="F945" t="s">
        <v>8146</v>
      </c>
      <c r="G945">
        <v>3117</v>
      </c>
      <c r="H945">
        <v>3117</v>
      </c>
      <c r="I945">
        <v>3117</v>
      </c>
      <c r="J945">
        <v>3117</v>
      </c>
      <c r="L945" s="3">
        <v>0</v>
      </c>
      <c r="M945" s="3">
        <v>0</v>
      </c>
      <c r="N945" s="3">
        <v>0</v>
      </c>
      <c r="O945" s="3">
        <v>86.4</v>
      </c>
      <c r="P945" s="3">
        <v>0</v>
      </c>
      <c r="Q945" s="3">
        <v>0</v>
      </c>
      <c r="R945" s="3">
        <v>0</v>
      </c>
      <c r="S945" s="3">
        <v>0</v>
      </c>
      <c r="T945" s="3">
        <v>0</v>
      </c>
      <c r="U945" s="3">
        <v>86.4</v>
      </c>
      <c r="V945" t="s">
        <v>55</v>
      </c>
    </row>
    <row r="946" spans="1:22" hidden="1" x14ac:dyDescent="0.25">
      <c r="A946" t="s">
        <v>8387</v>
      </c>
      <c r="B946" t="s">
        <v>8398</v>
      </c>
      <c r="C946" t="s">
        <v>1</v>
      </c>
      <c r="D946" t="s">
        <v>1</v>
      </c>
      <c r="E946" t="s">
        <v>8147</v>
      </c>
      <c r="F946" t="s">
        <v>8146</v>
      </c>
      <c r="G946">
        <v>3118</v>
      </c>
      <c r="H946">
        <v>3118</v>
      </c>
      <c r="I946">
        <v>3118</v>
      </c>
      <c r="J946">
        <v>3118</v>
      </c>
      <c r="L946" s="3">
        <v>0</v>
      </c>
      <c r="M946" s="3">
        <v>0</v>
      </c>
      <c r="N946" s="3">
        <v>0</v>
      </c>
      <c r="O946" s="3">
        <v>83.39</v>
      </c>
      <c r="P946" s="3">
        <v>0</v>
      </c>
      <c r="Q946" s="3">
        <v>0</v>
      </c>
      <c r="R946" s="3">
        <v>0</v>
      </c>
      <c r="S946" s="3">
        <v>0</v>
      </c>
      <c r="T946" s="3">
        <v>0</v>
      </c>
      <c r="U946" s="3">
        <v>83.39</v>
      </c>
      <c r="V946" t="s">
        <v>55</v>
      </c>
    </row>
    <row r="947" spans="1:22" hidden="1" x14ac:dyDescent="0.25">
      <c r="A947" t="s">
        <v>8387</v>
      </c>
      <c r="B947" t="s">
        <v>8398</v>
      </c>
      <c r="C947" t="s">
        <v>1</v>
      </c>
      <c r="D947" t="s">
        <v>1</v>
      </c>
      <c r="E947" t="s">
        <v>8147</v>
      </c>
      <c r="F947" t="s">
        <v>8146</v>
      </c>
      <c r="G947">
        <v>3119</v>
      </c>
      <c r="H947">
        <v>3119</v>
      </c>
      <c r="I947">
        <v>3119</v>
      </c>
      <c r="J947">
        <v>3119</v>
      </c>
      <c r="L947" s="3">
        <v>0</v>
      </c>
      <c r="M947" s="3">
        <v>0</v>
      </c>
      <c r="N947" s="3">
        <v>0</v>
      </c>
      <c r="O947" s="3">
        <v>19.95</v>
      </c>
      <c r="P947" s="3">
        <v>0</v>
      </c>
      <c r="Q947" s="3">
        <v>0</v>
      </c>
      <c r="R947" s="3">
        <v>0</v>
      </c>
      <c r="S947" s="3">
        <v>0</v>
      </c>
      <c r="T947" s="3">
        <v>0</v>
      </c>
      <c r="U947" s="3">
        <v>19.95</v>
      </c>
      <c r="V947" t="s">
        <v>55</v>
      </c>
    </row>
    <row r="948" spans="1:22" hidden="1" x14ac:dyDescent="0.25">
      <c r="A948" t="s">
        <v>8387</v>
      </c>
      <c r="B948" t="s">
        <v>8395</v>
      </c>
      <c r="C948" t="s">
        <v>1</v>
      </c>
      <c r="D948" t="s">
        <v>1</v>
      </c>
      <c r="E948" t="s">
        <v>8147</v>
      </c>
      <c r="F948" t="s">
        <v>8146</v>
      </c>
      <c r="G948">
        <v>3120</v>
      </c>
      <c r="H948">
        <v>3120</v>
      </c>
      <c r="I948">
        <v>3120</v>
      </c>
      <c r="J948">
        <v>3120</v>
      </c>
      <c r="L948" s="3">
        <v>0</v>
      </c>
      <c r="M948" s="3">
        <v>0</v>
      </c>
      <c r="N948" s="3">
        <v>0</v>
      </c>
      <c r="O948" s="3">
        <v>34.799999999999997</v>
      </c>
      <c r="P948" s="3">
        <v>0</v>
      </c>
      <c r="Q948" s="3">
        <v>0</v>
      </c>
      <c r="R948" s="3">
        <v>0</v>
      </c>
      <c r="S948" s="3">
        <v>0</v>
      </c>
      <c r="T948" s="3">
        <v>0</v>
      </c>
      <c r="U948" s="3">
        <v>34.799999999999997</v>
      </c>
      <c r="V948" t="s">
        <v>55</v>
      </c>
    </row>
    <row r="949" spans="1:22" hidden="1" x14ac:dyDescent="0.25">
      <c r="A949" t="s">
        <v>8387</v>
      </c>
      <c r="B949" t="s">
        <v>8395</v>
      </c>
      <c r="C949" t="s">
        <v>1</v>
      </c>
      <c r="D949" t="s">
        <v>1</v>
      </c>
      <c r="E949" t="s">
        <v>8147</v>
      </c>
      <c r="F949" t="s">
        <v>8146</v>
      </c>
      <c r="G949">
        <v>3121</v>
      </c>
      <c r="H949">
        <v>3121</v>
      </c>
      <c r="I949">
        <v>3121</v>
      </c>
      <c r="J949">
        <v>3121</v>
      </c>
      <c r="L949" s="3">
        <v>0</v>
      </c>
      <c r="M949" s="3">
        <v>0</v>
      </c>
      <c r="N949" s="3">
        <v>0</v>
      </c>
      <c r="O949" s="3">
        <v>89.16</v>
      </c>
      <c r="P949" s="3">
        <v>0</v>
      </c>
      <c r="Q949" s="3">
        <v>0</v>
      </c>
      <c r="R949" s="3">
        <v>0</v>
      </c>
      <c r="S949" s="3">
        <v>0</v>
      </c>
      <c r="T949" s="3">
        <v>0</v>
      </c>
      <c r="U949" s="3">
        <v>89.16</v>
      </c>
      <c r="V949" t="s">
        <v>55</v>
      </c>
    </row>
    <row r="950" spans="1:22" hidden="1" x14ac:dyDescent="0.25">
      <c r="A950" t="s">
        <v>8387</v>
      </c>
      <c r="B950" t="s">
        <v>8395</v>
      </c>
      <c r="C950" t="s">
        <v>1</v>
      </c>
      <c r="D950" t="s">
        <v>1</v>
      </c>
      <c r="E950" t="s">
        <v>8147</v>
      </c>
      <c r="F950" t="s">
        <v>8146</v>
      </c>
      <c r="G950">
        <v>3122</v>
      </c>
      <c r="H950">
        <v>3122</v>
      </c>
      <c r="I950">
        <v>3122</v>
      </c>
      <c r="J950">
        <v>3122</v>
      </c>
      <c r="L950" s="3">
        <v>0</v>
      </c>
      <c r="M950" s="3">
        <v>0</v>
      </c>
      <c r="N950" s="3">
        <v>0</v>
      </c>
      <c r="O950" s="3">
        <v>8.93</v>
      </c>
      <c r="P950" s="3">
        <v>0</v>
      </c>
      <c r="Q950" s="3">
        <v>0</v>
      </c>
      <c r="R950" s="3">
        <v>0</v>
      </c>
      <c r="S950" s="3">
        <v>0</v>
      </c>
      <c r="T950" s="3">
        <v>0</v>
      </c>
      <c r="U950" s="3">
        <v>8.93</v>
      </c>
      <c r="V950" t="s">
        <v>55</v>
      </c>
    </row>
    <row r="951" spans="1:22" hidden="1" x14ac:dyDescent="0.25">
      <c r="A951" t="s">
        <v>8387</v>
      </c>
      <c r="B951" t="s">
        <v>8395</v>
      </c>
      <c r="C951" t="s">
        <v>1</v>
      </c>
      <c r="D951" t="s">
        <v>1</v>
      </c>
      <c r="E951" t="s">
        <v>8147</v>
      </c>
      <c r="F951" t="s">
        <v>8146</v>
      </c>
      <c r="G951">
        <v>3123</v>
      </c>
      <c r="H951">
        <v>3123</v>
      </c>
      <c r="I951">
        <v>3123</v>
      </c>
      <c r="J951">
        <v>3123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3">
        <v>0</v>
      </c>
      <c r="T951" s="3">
        <v>0</v>
      </c>
      <c r="U951" s="3">
        <v>0</v>
      </c>
      <c r="V951" t="s">
        <v>55</v>
      </c>
    </row>
    <row r="952" spans="1:22" hidden="1" x14ac:dyDescent="0.25">
      <c r="A952" t="s">
        <v>8387</v>
      </c>
      <c r="B952" t="s">
        <v>8395</v>
      </c>
      <c r="C952" t="s">
        <v>1</v>
      </c>
      <c r="D952" t="s">
        <v>1</v>
      </c>
      <c r="E952" t="s">
        <v>8147</v>
      </c>
      <c r="F952" t="s">
        <v>8146</v>
      </c>
      <c r="G952">
        <v>3125</v>
      </c>
      <c r="H952">
        <v>3125</v>
      </c>
      <c r="I952">
        <v>3125</v>
      </c>
      <c r="J952">
        <v>3125</v>
      </c>
      <c r="L952" s="3">
        <v>0</v>
      </c>
      <c r="M952" s="3">
        <v>0</v>
      </c>
      <c r="N952" s="3">
        <v>0</v>
      </c>
      <c r="O952" s="3">
        <v>280.5</v>
      </c>
      <c r="P952" s="3">
        <v>0</v>
      </c>
      <c r="Q952" s="3">
        <v>0</v>
      </c>
      <c r="R952" s="3">
        <v>0</v>
      </c>
      <c r="S952" s="3">
        <v>0</v>
      </c>
      <c r="T952" s="3">
        <v>0</v>
      </c>
      <c r="U952" s="3">
        <v>280.5</v>
      </c>
      <c r="V952" t="s">
        <v>55</v>
      </c>
    </row>
    <row r="953" spans="1:22" hidden="1" x14ac:dyDescent="0.25">
      <c r="A953" t="s">
        <v>8387</v>
      </c>
      <c r="B953" t="s">
        <v>8390</v>
      </c>
      <c r="C953" t="s">
        <v>1</v>
      </c>
      <c r="D953" t="s">
        <v>1</v>
      </c>
      <c r="E953" t="s">
        <v>8147</v>
      </c>
      <c r="F953" t="s">
        <v>8146</v>
      </c>
      <c r="G953">
        <v>3126</v>
      </c>
      <c r="H953">
        <v>3126</v>
      </c>
      <c r="I953">
        <v>3126</v>
      </c>
      <c r="J953">
        <v>3126</v>
      </c>
      <c r="L953" s="3">
        <v>0</v>
      </c>
      <c r="M953" s="3">
        <v>0</v>
      </c>
      <c r="N953" s="3">
        <v>0</v>
      </c>
      <c r="O953" s="3">
        <v>47.51</v>
      </c>
      <c r="P953" s="3">
        <v>0</v>
      </c>
      <c r="Q953" s="3">
        <v>0</v>
      </c>
      <c r="R953" s="3">
        <v>0</v>
      </c>
      <c r="S953" s="3">
        <v>0</v>
      </c>
      <c r="T953" s="3">
        <v>0</v>
      </c>
      <c r="U953" s="3">
        <v>47.51</v>
      </c>
      <c r="V953" t="s">
        <v>55</v>
      </c>
    </row>
    <row r="954" spans="1:22" hidden="1" x14ac:dyDescent="0.25">
      <c r="A954" t="s">
        <v>8387</v>
      </c>
      <c r="B954" t="s">
        <v>8390</v>
      </c>
      <c r="C954" t="s">
        <v>1</v>
      </c>
      <c r="D954" t="s">
        <v>1</v>
      </c>
      <c r="E954" t="s">
        <v>8147</v>
      </c>
      <c r="F954" t="s">
        <v>8146</v>
      </c>
      <c r="G954">
        <v>3127</v>
      </c>
      <c r="H954">
        <v>3127</v>
      </c>
      <c r="I954">
        <v>3127</v>
      </c>
      <c r="J954">
        <v>3127</v>
      </c>
      <c r="L954" s="3">
        <v>0</v>
      </c>
      <c r="M954" s="3">
        <v>0</v>
      </c>
      <c r="N954" s="3">
        <v>0</v>
      </c>
      <c r="O954" s="3">
        <v>77.05</v>
      </c>
      <c r="P954" s="3">
        <v>0</v>
      </c>
      <c r="Q954" s="3">
        <v>0</v>
      </c>
      <c r="R954" s="3">
        <v>0</v>
      </c>
      <c r="S954" s="3">
        <v>0</v>
      </c>
      <c r="T954" s="3">
        <v>0</v>
      </c>
      <c r="U954" s="3">
        <v>77.05</v>
      </c>
      <c r="V954" t="s">
        <v>55</v>
      </c>
    </row>
    <row r="955" spans="1:22" hidden="1" x14ac:dyDescent="0.25">
      <c r="A955" t="s">
        <v>8387</v>
      </c>
      <c r="B955" t="s">
        <v>8390</v>
      </c>
      <c r="C955" t="s">
        <v>1</v>
      </c>
      <c r="D955" t="s">
        <v>1</v>
      </c>
      <c r="E955" t="s">
        <v>8147</v>
      </c>
      <c r="F955" t="s">
        <v>8146</v>
      </c>
      <c r="G955">
        <v>3128</v>
      </c>
      <c r="H955">
        <v>3128</v>
      </c>
      <c r="I955">
        <v>3128</v>
      </c>
      <c r="J955">
        <v>3128</v>
      </c>
      <c r="L955" s="3">
        <v>0</v>
      </c>
      <c r="M955" s="3">
        <v>0</v>
      </c>
      <c r="N955" s="3">
        <v>0</v>
      </c>
      <c r="O955" s="3">
        <v>25.2</v>
      </c>
      <c r="P955" s="3">
        <v>0</v>
      </c>
      <c r="Q955" s="3">
        <v>0</v>
      </c>
      <c r="R955" s="3">
        <v>0</v>
      </c>
      <c r="S955" s="3">
        <v>0</v>
      </c>
      <c r="T955" s="3">
        <v>0</v>
      </c>
      <c r="U955" s="3">
        <v>25.2</v>
      </c>
      <c r="V955" t="s">
        <v>55</v>
      </c>
    </row>
    <row r="956" spans="1:22" hidden="1" x14ac:dyDescent="0.25">
      <c r="A956" t="s">
        <v>8126</v>
      </c>
      <c r="B956" t="s">
        <v>8139</v>
      </c>
      <c r="C956" t="s">
        <v>1</v>
      </c>
      <c r="D956" t="s">
        <v>1</v>
      </c>
      <c r="E956" t="s">
        <v>8147</v>
      </c>
      <c r="F956" t="s">
        <v>8146</v>
      </c>
      <c r="G956">
        <v>2850</v>
      </c>
      <c r="H956">
        <v>2850</v>
      </c>
      <c r="I956">
        <v>2850</v>
      </c>
      <c r="J956">
        <v>2850</v>
      </c>
      <c r="L956" s="3">
        <v>0</v>
      </c>
      <c r="M956" s="3">
        <v>0</v>
      </c>
      <c r="N956" s="3">
        <v>0</v>
      </c>
      <c r="O956" s="3">
        <v>188.22</v>
      </c>
      <c r="P956" s="3">
        <v>0</v>
      </c>
      <c r="Q956" s="3">
        <v>0</v>
      </c>
      <c r="R956" s="3">
        <v>0</v>
      </c>
      <c r="S956" s="3">
        <v>0</v>
      </c>
      <c r="T956" s="3">
        <v>0</v>
      </c>
      <c r="U956" s="3">
        <v>188.22</v>
      </c>
      <c r="V956" t="s">
        <v>55</v>
      </c>
    </row>
    <row r="957" spans="1:22" hidden="1" x14ac:dyDescent="0.25">
      <c r="A957" t="s">
        <v>8126</v>
      </c>
      <c r="B957" t="s">
        <v>8136</v>
      </c>
      <c r="C957" t="s">
        <v>1</v>
      </c>
      <c r="D957" t="s">
        <v>1</v>
      </c>
      <c r="E957" t="s">
        <v>8147</v>
      </c>
      <c r="F957" t="s">
        <v>8146</v>
      </c>
      <c r="G957">
        <v>2851</v>
      </c>
      <c r="H957">
        <v>2851</v>
      </c>
      <c r="I957">
        <v>2851</v>
      </c>
      <c r="J957">
        <v>2851</v>
      </c>
      <c r="L957" s="3">
        <v>0</v>
      </c>
      <c r="M957" s="3">
        <v>0</v>
      </c>
      <c r="N957" s="3">
        <v>0</v>
      </c>
      <c r="O957" s="3">
        <v>1008</v>
      </c>
      <c r="P957" s="3">
        <v>0</v>
      </c>
      <c r="Q957" s="3">
        <v>0</v>
      </c>
      <c r="R957" s="3">
        <v>0</v>
      </c>
      <c r="S957" s="3">
        <v>0</v>
      </c>
      <c r="T957" s="3">
        <v>0</v>
      </c>
      <c r="U957" s="3">
        <v>1008</v>
      </c>
      <c r="V957" t="s">
        <v>55</v>
      </c>
    </row>
    <row r="958" spans="1:22" hidden="1" x14ac:dyDescent="0.25">
      <c r="A958" t="s">
        <v>8126</v>
      </c>
      <c r="B958" t="s">
        <v>8136</v>
      </c>
      <c r="C958" t="s">
        <v>1</v>
      </c>
      <c r="D958" t="s">
        <v>1</v>
      </c>
      <c r="E958" t="s">
        <v>8147</v>
      </c>
      <c r="F958" t="s">
        <v>8146</v>
      </c>
      <c r="G958">
        <v>2852</v>
      </c>
      <c r="H958">
        <v>2852</v>
      </c>
      <c r="I958">
        <v>2852</v>
      </c>
      <c r="J958">
        <v>2852</v>
      </c>
      <c r="L958" s="3">
        <v>0</v>
      </c>
      <c r="M958" s="3">
        <v>0</v>
      </c>
      <c r="N958" s="3">
        <v>0</v>
      </c>
      <c r="O958" s="3">
        <v>166.5</v>
      </c>
      <c r="P958" s="3">
        <v>0</v>
      </c>
      <c r="Q958" s="3">
        <v>0</v>
      </c>
      <c r="R958" s="3">
        <v>0</v>
      </c>
      <c r="S958" s="3">
        <v>0</v>
      </c>
      <c r="T958" s="3">
        <v>0</v>
      </c>
      <c r="U958" s="3">
        <v>166.5</v>
      </c>
      <c r="V958" t="s">
        <v>55</v>
      </c>
    </row>
    <row r="959" spans="1:22" hidden="1" x14ac:dyDescent="0.25">
      <c r="A959" t="s">
        <v>8126</v>
      </c>
      <c r="B959" t="s">
        <v>8136</v>
      </c>
      <c r="C959" t="s">
        <v>1</v>
      </c>
      <c r="D959" t="s">
        <v>1</v>
      </c>
      <c r="E959" t="s">
        <v>8147</v>
      </c>
      <c r="F959" t="s">
        <v>8146</v>
      </c>
      <c r="G959">
        <v>2853</v>
      </c>
      <c r="H959">
        <v>2853</v>
      </c>
      <c r="I959">
        <v>2853</v>
      </c>
      <c r="J959">
        <v>2853</v>
      </c>
      <c r="L959" s="3">
        <v>0</v>
      </c>
      <c r="M959" s="3">
        <v>0</v>
      </c>
      <c r="N959" s="3">
        <v>0</v>
      </c>
      <c r="O959" s="3">
        <v>225</v>
      </c>
      <c r="P959" s="3">
        <v>0</v>
      </c>
      <c r="Q959" s="3">
        <v>0</v>
      </c>
      <c r="R959" s="3">
        <v>0</v>
      </c>
      <c r="S959" s="3">
        <v>0</v>
      </c>
      <c r="T959" s="3">
        <v>0</v>
      </c>
      <c r="U959" s="3">
        <v>225</v>
      </c>
      <c r="V959" t="s">
        <v>55</v>
      </c>
    </row>
    <row r="960" spans="1:22" hidden="1" x14ac:dyDescent="0.25">
      <c r="A960" t="s">
        <v>8126</v>
      </c>
      <c r="B960" t="s">
        <v>8136</v>
      </c>
      <c r="C960" t="s">
        <v>1</v>
      </c>
      <c r="D960" t="s">
        <v>1</v>
      </c>
      <c r="E960" t="s">
        <v>8147</v>
      </c>
      <c r="F960" t="s">
        <v>8146</v>
      </c>
      <c r="G960">
        <v>2854</v>
      </c>
      <c r="H960">
        <v>2854</v>
      </c>
      <c r="I960">
        <v>2854</v>
      </c>
      <c r="J960">
        <v>2854</v>
      </c>
      <c r="L960" s="3">
        <v>0</v>
      </c>
      <c r="M960" s="3">
        <v>0</v>
      </c>
      <c r="N960" s="3">
        <v>0</v>
      </c>
      <c r="O960" s="3">
        <v>85</v>
      </c>
      <c r="P960" s="3">
        <v>0</v>
      </c>
      <c r="Q960" s="3">
        <v>0</v>
      </c>
      <c r="R960" s="3">
        <v>0</v>
      </c>
      <c r="S960" s="3">
        <v>0</v>
      </c>
      <c r="T960" s="3">
        <v>0</v>
      </c>
      <c r="U960" s="3">
        <v>85</v>
      </c>
      <c r="V960" t="s">
        <v>55</v>
      </c>
    </row>
    <row r="961" spans="1:22" hidden="1" x14ac:dyDescent="0.25">
      <c r="A961" t="s">
        <v>8126</v>
      </c>
      <c r="B961" t="s">
        <v>8136</v>
      </c>
      <c r="C961" t="s">
        <v>1</v>
      </c>
      <c r="D961" t="s">
        <v>1</v>
      </c>
      <c r="E961" t="s">
        <v>8147</v>
      </c>
      <c r="F961" t="s">
        <v>8146</v>
      </c>
      <c r="G961">
        <v>2855</v>
      </c>
      <c r="H961">
        <v>2855</v>
      </c>
      <c r="I961">
        <v>2855</v>
      </c>
      <c r="J961">
        <v>2855</v>
      </c>
      <c r="L961" s="3">
        <v>0</v>
      </c>
      <c r="M961" s="3">
        <v>0</v>
      </c>
      <c r="N961" s="3">
        <v>0</v>
      </c>
      <c r="O961" s="3">
        <v>68</v>
      </c>
      <c r="P961" s="3">
        <v>0</v>
      </c>
      <c r="Q961" s="3">
        <v>0</v>
      </c>
      <c r="R961" s="3">
        <v>0</v>
      </c>
      <c r="S961" s="3">
        <v>0</v>
      </c>
      <c r="T961" s="3">
        <v>0</v>
      </c>
      <c r="U961" s="3">
        <v>68</v>
      </c>
      <c r="V961" t="s">
        <v>55</v>
      </c>
    </row>
    <row r="962" spans="1:22" hidden="1" x14ac:dyDescent="0.25">
      <c r="A962" t="s">
        <v>8126</v>
      </c>
      <c r="B962" t="s">
        <v>8136</v>
      </c>
      <c r="C962" t="s">
        <v>1</v>
      </c>
      <c r="D962" t="s">
        <v>1</v>
      </c>
      <c r="E962" t="s">
        <v>8147</v>
      </c>
      <c r="F962" t="s">
        <v>8146</v>
      </c>
      <c r="G962">
        <v>2856</v>
      </c>
      <c r="H962">
        <v>2856</v>
      </c>
      <c r="I962">
        <v>2856</v>
      </c>
      <c r="J962">
        <v>2856</v>
      </c>
      <c r="L962" s="3">
        <v>0</v>
      </c>
      <c r="M962" s="3">
        <v>0</v>
      </c>
      <c r="N962" s="3">
        <v>0</v>
      </c>
      <c r="O962" s="3">
        <v>39.549999999999997</v>
      </c>
      <c r="P962" s="3">
        <v>0</v>
      </c>
      <c r="Q962" s="3">
        <v>0</v>
      </c>
      <c r="R962" s="3">
        <v>0</v>
      </c>
      <c r="S962" s="3">
        <v>0</v>
      </c>
      <c r="T962" s="3">
        <v>0</v>
      </c>
      <c r="U962" s="3">
        <v>39.549999999999997</v>
      </c>
      <c r="V962" t="s">
        <v>55</v>
      </c>
    </row>
    <row r="963" spans="1:22" hidden="1" x14ac:dyDescent="0.25">
      <c r="A963" t="s">
        <v>8126</v>
      </c>
      <c r="B963" t="s">
        <v>8136</v>
      </c>
      <c r="C963" t="s">
        <v>1</v>
      </c>
      <c r="D963" t="s">
        <v>1</v>
      </c>
      <c r="E963" t="s">
        <v>8147</v>
      </c>
      <c r="F963" t="s">
        <v>8146</v>
      </c>
      <c r="G963">
        <v>2857</v>
      </c>
      <c r="H963">
        <v>2857</v>
      </c>
      <c r="I963">
        <v>2857</v>
      </c>
      <c r="J963">
        <v>2857</v>
      </c>
      <c r="L963" s="3">
        <v>0</v>
      </c>
      <c r="M963" s="3">
        <v>0</v>
      </c>
      <c r="N963" s="3">
        <v>0</v>
      </c>
      <c r="O963" s="3">
        <v>240</v>
      </c>
      <c r="P963" s="3">
        <v>0</v>
      </c>
      <c r="Q963" s="3">
        <v>0</v>
      </c>
      <c r="R963" s="3">
        <v>0</v>
      </c>
      <c r="S963" s="3">
        <v>0</v>
      </c>
      <c r="T963" s="3">
        <v>0</v>
      </c>
      <c r="U963" s="3">
        <v>240</v>
      </c>
      <c r="V963" t="s">
        <v>55</v>
      </c>
    </row>
    <row r="964" spans="1:22" hidden="1" x14ac:dyDescent="0.25">
      <c r="A964" t="s">
        <v>8126</v>
      </c>
      <c r="B964" t="s">
        <v>8136</v>
      </c>
      <c r="C964" t="s">
        <v>1</v>
      </c>
      <c r="D964" t="s">
        <v>1</v>
      </c>
      <c r="E964" t="s">
        <v>8147</v>
      </c>
      <c r="F964" t="s">
        <v>8146</v>
      </c>
      <c r="G964">
        <v>2858</v>
      </c>
      <c r="H964">
        <v>2858</v>
      </c>
      <c r="I964">
        <v>2858</v>
      </c>
      <c r="J964">
        <v>2858</v>
      </c>
      <c r="L964" s="3">
        <v>0</v>
      </c>
      <c r="M964" s="3">
        <v>0</v>
      </c>
      <c r="N964" s="3">
        <v>0</v>
      </c>
      <c r="O964" s="3">
        <v>14.75</v>
      </c>
      <c r="P964" s="3">
        <v>0</v>
      </c>
      <c r="Q964" s="3">
        <v>0</v>
      </c>
      <c r="R964" s="3">
        <v>0</v>
      </c>
      <c r="S964" s="3">
        <v>0</v>
      </c>
      <c r="T964" s="3">
        <v>0</v>
      </c>
      <c r="U964" s="3">
        <v>14.75</v>
      </c>
      <c r="V964" t="s">
        <v>55</v>
      </c>
    </row>
    <row r="965" spans="1:22" hidden="1" x14ac:dyDescent="0.25">
      <c r="A965" t="s">
        <v>8126</v>
      </c>
      <c r="B965" t="s">
        <v>8156</v>
      </c>
      <c r="C965" t="s">
        <v>1</v>
      </c>
      <c r="D965" t="s">
        <v>1</v>
      </c>
      <c r="E965" t="s">
        <v>8147</v>
      </c>
      <c r="F965" t="s">
        <v>8146</v>
      </c>
      <c r="G965">
        <v>2859</v>
      </c>
      <c r="H965">
        <v>2859</v>
      </c>
      <c r="I965">
        <v>2859</v>
      </c>
      <c r="J965">
        <v>2859</v>
      </c>
      <c r="L965" s="3">
        <v>0</v>
      </c>
      <c r="M965" s="3">
        <v>0</v>
      </c>
      <c r="N965" s="3">
        <v>0</v>
      </c>
      <c r="O965" s="3">
        <v>83.39</v>
      </c>
      <c r="P965" s="3">
        <v>0</v>
      </c>
      <c r="Q965" s="3">
        <v>0</v>
      </c>
      <c r="R965" s="3">
        <v>0</v>
      </c>
      <c r="S965" s="3">
        <v>0</v>
      </c>
      <c r="T965" s="3">
        <v>0</v>
      </c>
      <c r="U965" s="3">
        <v>83.39</v>
      </c>
      <c r="V965" t="s">
        <v>55</v>
      </c>
    </row>
    <row r="966" spans="1:22" hidden="1" x14ac:dyDescent="0.25">
      <c r="A966" t="s">
        <v>8126</v>
      </c>
      <c r="B966" t="s">
        <v>8156</v>
      </c>
      <c r="C966" t="s">
        <v>1</v>
      </c>
      <c r="D966" t="s">
        <v>1</v>
      </c>
      <c r="E966" t="s">
        <v>8147</v>
      </c>
      <c r="F966" t="s">
        <v>8146</v>
      </c>
      <c r="G966">
        <v>2860</v>
      </c>
      <c r="H966">
        <v>2860</v>
      </c>
      <c r="I966">
        <v>2860</v>
      </c>
      <c r="J966">
        <v>2860</v>
      </c>
      <c r="L966" s="3">
        <v>0</v>
      </c>
      <c r="M966" s="3">
        <v>0</v>
      </c>
      <c r="N966" s="3">
        <v>0</v>
      </c>
      <c r="O966" s="3">
        <v>550.14</v>
      </c>
      <c r="P966" s="3">
        <v>0</v>
      </c>
      <c r="Q966" s="3">
        <v>0</v>
      </c>
      <c r="R966" s="3">
        <v>0</v>
      </c>
      <c r="S966" s="3">
        <v>0</v>
      </c>
      <c r="T966" s="3">
        <v>0</v>
      </c>
      <c r="U966" s="3">
        <v>550.14</v>
      </c>
      <c r="V966" t="s">
        <v>55</v>
      </c>
    </row>
    <row r="967" spans="1:22" hidden="1" x14ac:dyDescent="0.25">
      <c r="A967" t="s">
        <v>8126</v>
      </c>
      <c r="B967" t="s">
        <v>8155</v>
      </c>
      <c r="C967" t="s">
        <v>1</v>
      </c>
      <c r="D967" t="s">
        <v>1</v>
      </c>
      <c r="E967" t="s">
        <v>8147</v>
      </c>
      <c r="F967" t="s">
        <v>8146</v>
      </c>
      <c r="G967">
        <v>2861</v>
      </c>
      <c r="H967">
        <v>2861</v>
      </c>
      <c r="I967">
        <v>2861</v>
      </c>
      <c r="J967">
        <v>2861</v>
      </c>
      <c r="L967" s="3">
        <v>0</v>
      </c>
      <c r="M967" s="3">
        <v>0</v>
      </c>
      <c r="N967" s="3">
        <v>0</v>
      </c>
      <c r="O967" s="3">
        <v>377.5</v>
      </c>
      <c r="P967" s="3">
        <v>0</v>
      </c>
      <c r="Q967" s="3">
        <v>0</v>
      </c>
      <c r="R967" s="3">
        <v>0</v>
      </c>
      <c r="S967" s="3">
        <v>0</v>
      </c>
      <c r="T967" s="3">
        <v>0</v>
      </c>
      <c r="U967" s="3">
        <v>377.5</v>
      </c>
      <c r="V967" t="s">
        <v>55</v>
      </c>
    </row>
    <row r="968" spans="1:22" hidden="1" x14ac:dyDescent="0.25">
      <c r="A968" t="s">
        <v>8126</v>
      </c>
      <c r="B968" t="s">
        <v>8155</v>
      </c>
      <c r="C968" t="s">
        <v>1</v>
      </c>
      <c r="D968" t="s">
        <v>1</v>
      </c>
      <c r="E968" t="s">
        <v>8147</v>
      </c>
      <c r="F968" t="s">
        <v>8146</v>
      </c>
      <c r="G968">
        <v>2862</v>
      </c>
      <c r="H968">
        <v>2862</v>
      </c>
      <c r="I968">
        <v>2862</v>
      </c>
      <c r="J968">
        <v>2862</v>
      </c>
      <c r="L968" s="3">
        <v>0</v>
      </c>
      <c r="M968" s="3">
        <v>0</v>
      </c>
      <c r="N968" s="3">
        <v>0</v>
      </c>
      <c r="O968" s="3">
        <v>100</v>
      </c>
      <c r="P968" s="3">
        <v>0</v>
      </c>
      <c r="Q968" s="3">
        <v>0</v>
      </c>
      <c r="R968" s="3">
        <v>0</v>
      </c>
      <c r="S968" s="3">
        <v>0</v>
      </c>
      <c r="T968" s="3">
        <v>0</v>
      </c>
      <c r="U968" s="3">
        <v>100</v>
      </c>
      <c r="V968" t="s">
        <v>55</v>
      </c>
    </row>
    <row r="969" spans="1:22" hidden="1" x14ac:dyDescent="0.25">
      <c r="A969" t="s">
        <v>8126</v>
      </c>
      <c r="B969" t="s">
        <v>8155</v>
      </c>
      <c r="C969" t="s">
        <v>1</v>
      </c>
      <c r="D969" t="s">
        <v>1</v>
      </c>
      <c r="E969" t="s">
        <v>8147</v>
      </c>
      <c r="F969" t="s">
        <v>8146</v>
      </c>
      <c r="G969">
        <v>2863</v>
      </c>
      <c r="H969">
        <v>2863</v>
      </c>
      <c r="I969">
        <v>2863</v>
      </c>
      <c r="J969">
        <v>2863</v>
      </c>
      <c r="L969" s="3">
        <v>0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3">
        <v>0</v>
      </c>
      <c r="T969" s="3">
        <v>0</v>
      </c>
      <c r="U969" s="3">
        <v>0</v>
      </c>
      <c r="V969" t="s">
        <v>55</v>
      </c>
    </row>
    <row r="970" spans="1:22" hidden="1" x14ac:dyDescent="0.25">
      <c r="A970" t="s">
        <v>8126</v>
      </c>
      <c r="B970" t="s">
        <v>8155</v>
      </c>
      <c r="C970" t="s">
        <v>1</v>
      </c>
      <c r="D970" t="s">
        <v>1</v>
      </c>
      <c r="E970" t="s">
        <v>8147</v>
      </c>
      <c r="F970" t="s">
        <v>8146</v>
      </c>
      <c r="G970">
        <v>2864</v>
      </c>
      <c r="H970">
        <v>2864</v>
      </c>
      <c r="I970">
        <v>2864</v>
      </c>
      <c r="J970">
        <v>2864</v>
      </c>
      <c r="L970" s="3">
        <v>0</v>
      </c>
      <c r="M970" s="3">
        <v>0</v>
      </c>
      <c r="N970" s="3">
        <v>0</v>
      </c>
      <c r="O970" s="3">
        <v>128.01</v>
      </c>
      <c r="P970" s="3">
        <v>0</v>
      </c>
      <c r="Q970" s="3">
        <v>0</v>
      </c>
      <c r="R970" s="3">
        <v>0</v>
      </c>
      <c r="S970" s="3">
        <v>0</v>
      </c>
      <c r="T970" s="3">
        <v>0</v>
      </c>
      <c r="U970" s="3">
        <v>128.01</v>
      </c>
      <c r="V970" t="s">
        <v>55</v>
      </c>
    </row>
    <row r="971" spans="1:22" hidden="1" x14ac:dyDescent="0.25">
      <c r="A971" t="s">
        <v>8126</v>
      </c>
      <c r="B971" t="s">
        <v>8155</v>
      </c>
      <c r="C971" t="s">
        <v>1</v>
      </c>
      <c r="D971" t="s">
        <v>1</v>
      </c>
      <c r="E971" t="s">
        <v>8147</v>
      </c>
      <c r="F971" t="s">
        <v>8146</v>
      </c>
      <c r="G971">
        <v>2865</v>
      </c>
      <c r="H971">
        <v>2865</v>
      </c>
      <c r="I971">
        <v>2865</v>
      </c>
      <c r="J971">
        <v>2865</v>
      </c>
      <c r="L971" s="3">
        <v>0</v>
      </c>
      <c r="M971" s="3">
        <v>0</v>
      </c>
      <c r="N971" s="3">
        <v>0</v>
      </c>
      <c r="O971" s="3">
        <v>302.5</v>
      </c>
      <c r="P971" s="3">
        <v>0</v>
      </c>
      <c r="Q971" s="3">
        <v>0</v>
      </c>
      <c r="R971" s="3">
        <v>0</v>
      </c>
      <c r="S971" s="3">
        <v>0</v>
      </c>
      <c r="T971" s="3">
        <v>0</v>
      </c>
      <c r="U971" s="3">
        <v>302.5</v>
      </c>
      <c r="V971" t="s">
        <v>55</v>
      </c>
    </row>
    <row r="972" spans="1:22" hidden="1" x14ac:dyDescent="0.25">
      <c r="A972" t="s">
        <v>8126</v>
      </c>
      <c r="B972" t="s">
        <v>8155</v>
      </c>
      <c r="C972" t="s">
        <v>1</v>
      </c>
      <c r="D972" t="s">
        <v>1</v>
      </c>
      <c r="E972" t="s">
        <v>8147</v>
      </c>
      <c r="F972" t="s">
        <v>8146</v>
      </c>
      <c r="G972">
        <v>2866</v>
      </c>
      <c r="H972">
        <v>2866</v>
      </c>
      <c r="I972">
        <v>2866</v>
      </c>
      <c r="J972">
        <v>2866</v>
      </c>
      <c r="L972" s="3">
        <v>0</v>
      </c>
      <c r="M972" s="3">
        <v>0</v>
      </c>
      <c r="N972" s="3">
        <v>0</v>
      </c>
      <c r="O972" s="3">
        <v>30</v>
      </c>
      <c r="P972" s="3">
        <v>0</v>
      </c>
      <c r="Q972" s="3">
        <v>0</v>
      </c>
      <c r="R972" s="3">
        <v>0</v>
      </c>
      <c r="S972" s="3">
        <v>0</v>
      </c>
      <c r="T972" s="3">
        <v>0</v>
      </c>
      <c r="U972" s="3">
        <v>30</v>
      </c>
      <c r="V972" t="s">
        <v>55</v>
      </c>
    </row>
    <row r="973" spans="1:22" hidden="1" x14ac:dyDescent="0.25">
      <c r="A973" t="s">
        <v>8126</v>
      </c>
      <c r="B973" t="s">
        <v>8155</v>
      </c>
      <c r="C973" t="s">
        <v>1</v>
      </c>
      <c r="D973" t="s">
        <v>1</v>
      </c>
      <c r="E973" t="s">
        <v>8147</v>
      </c>
      <c r="F973" t="s">
        <v>8146</v>
      </c>
      <c r="G973">
        <v>2867</v>
      </c>
      <c r="H973">
        <v>2867</v>
      </c>
      <c r="I973">
        <v>2867</v>
      </c>
      <c r="J973">
        <v>2867</v>
      </c>
      <c r="L973" s="3">
        <v>0</v>
      </c>
      <c r="M973" s="3">
        <v>0</v>
      </c>
      <c r="N973" s="3">
        <v>0</v>
      </c>
      <c r="O973" s="3">
        <v>212.5</v>
      </c>
      <c r="P973" s="3">
        <v>0</v>
      </c>
      <c r="Q973" s="3">
        <v>0</v>
      </c>
      <c r="R973" s="3">
        <v>0</v>
      </c>
      <c r="S973" s="3">
        <v>0</v>
      </c>
      <c r="T973" s="3">
        <v>0</v>
      </c>
      <c r="U973" s="3">
        <v>212.5</v>
      </c>
      <c r="V973" t="s">
        <v>55</v>
      </c>
    </row>
    <row r="974" spans="1:22" hidden="1" x14ac:dyDescent="0.25">
      <c r="A974" t="s">
        <v>8126</v>
      </c>
      <c r="B974" t="s">
        <v>8155</v>
      </c>
      <c r="C974" t="s">
        <v>1</v>
      </c>
      <c r="D974" t="s">
        <v>1</v>
      </c>
      <c r="E974" t="s">
        <v>8147</v>
      </c>
      <c r="F974" t="s">
        <v>8146</v>
      </c>
      <c r="G974">
        <v>2868</v>
      </c>
      <c r="H974">
        <v>2868</v>
      </c>
      <c r="I974">
        <v>2868</v>
      </c>
      <c r="J974">
        <v>2868</v>
      </c>
      <c r="L974" s="3">
        <v>0</v>
      </c>
      <c r="M974" s="3">
        <v>0</v>
      </c>
      <c r="N974" s="3">
        <v>0</v>
      </c>
      <c r="O974" s="3">
        <v>155.35</v>
      </c>
      <c r="P974" s="3">
        <v>0</v>
      </c>
      <c r="Q974" s="3">
        <v>0</v>
      </c>
      <c r="R974" s="3">
        <v>0</v>
      </c>
      <c r="S974" s="3">
        <v>0</v>
      </c>
      <c r="T974" s="3">
        <v>0</v>
      </c>
      <c r="U974" s="3">
        <v>155.35</v>
      </c>
      <c r="V974" t="s">
        <v>55</v>
      </c>
    </row>
    <row r="975" spans="1:22" hidden="1" x14ac:dyDescent="0.25">
      <c r="A975" t="s">
        <v>8126</v>
      </c>
      <c r="B975" t="s">
        <v>8155</v>
      </c>
      <c r="C975" t="s">
        <v>1</v>
      </c>
      <c r="D975" t="s">
        <v>1</v>
      </c>
      <c r="E975" t="s">
        <v>8147</v>
      </c>
      <c r="F975" t="s">
        <v>8146</v>
      </c>
      <c r="G975">
        <v>2869</v>
      </c>
      <c r="H975">
        <v>2869</v>
      </c>
      <c r="I975">
        <v>2869</v>
      </c>
      <c r="J975">
        <v>2869</v>
      </c>
      <c r="L975" s="3">
        <v>0</v>
      </c>
      <c r="M975" s="3">
        <v>0</v>
      </c>
      <c r="N975" s="3">
        <v>0</v>
      </c>
      <c r="O975" s="3">
        <v>75</v>
      </c>
      <c r="P975" s="3">
        <v>0</v>
      </c>
      <c r="Q975" s="3">
        <v>0</v>
      </c>
      <c r="R975" s="3">
        <v>0</v>
      </c>
      <c r="S975" s="3">
        <v>0</v>
      </c>
      <c r="T975" s="3">
        <v>0</v>
      </c>
      <c r="U975" s="3">
        <v>75</v>
      </c>
      <c r="V975" t="s">
        <v>55</v>
      </c>
    </row>
    <row r="976" spans="1:22" hidden="1" x14ac:dyDescent="0.25">
      <c r="A976" t="s">
        <v>8126</v>
      </c>
      <c r="B976" t="s">
        <v>8155</v>
      </c>
      <c r="C976" t="s">
        <v>1</v>
      </c>
      <c r="D976" t="s">
        <v>1</v>
      </c>
      <c r="E976" t="s">
        <v>8147</v>
      </c>
      <c r="F976" t="s">
        <v>8146</v>
      </c>
      <c r="G976">
        <v>2870</v>
      </c>
      <c r="H976">
        <v>2870</v>
      </c>
      <c r="I976">
        <v>2870</v>
      </c>
      <c r="J976">
        <v>2870</v>
      </c>
      <c r="L976" s="3">
        <v>0</v>
      </c>
      <c r="M976" s="3">
        <v>0</v>
      </c>
      <c r="N976" s="3">
        <v>0</v>
      </c>
      <c r="O976" s="3">
        <v>158.19999999999999</v>
      </c>
      <c r="P976" s="3">
        <v>0</v>
      </c>
      <c r="Q976" s="3">
        <v>0</v>
      </c>
      <c r="R976" s="3">
        <v>0</v>
      </c>
      <c r="S976" s="3">
        <v>0</v>
      </c>
      <c r="T976" s="3">
        <v>0</v>
      </c>
      <c r="U976" s="3">
        <v>158.19999999999999</v>
      </c>
      <c r="V976" t="s">
        <v>55</v>
      </c>
    </row>
    <row r="977" spans="1:22" hidden="1" x14ac:dyDescent="0.25">
      <c r="A977" t="s">
        <v>8126</v>
      </c>
      <c r="B977" t="s">
        <v>8155</v>
      </c>
      <c r="C977" t="s">
        <v>1</v>
      </c>
      <c r="D977" t="s">
        <v>1</v>
      </c>
      <c r="E977" t="s">
        <v>8147</v>
      </c>
      <c r="F977" t="s">
        <v>8146</v>
      </c>
      <c r="G977">
        <v>2871</v>
      </c>
      <c r="H977">
        <v>2871</v>
      </c>
      <c r="I977">
        <v>2871</v>
      </c>
      <c r="J977">
        <v>2871</v>
      </c>
      <c r="L977" s="3">
        <v>0</v>
      </c>
      <c r="M977" s="3">
        <v>0</v>
      </c>
      <c r="N977" s="3">
        <v>0</v>
      </c>
      <c r="O977" s="3">
        <v>71.959999999999994</v>
      </c>
      <c r="P977" s="3">
        <v>0</v>
      </c>
      <c r="Q977" s="3">
        <v>0</v>
      </c>
      <c r="R977" s="3">
        <v>0</v>
      </c>
      <c r="S977" s="3">
        <v>0</v>
      </c>
      <c r="T977" s="3">
        <v>0</v>
      </c>
      <c r="U977" s="3">
        <v>71.959999999999994</v>
      </c>
      <c r="V977" t="s">
        <v>55</v>
      </c>
    </row>
    <row r="978" spans="1:22" hidden="1" x14ac:dyDescent="0.25">
      <c r="A978" t="s">
        <v>8126</v>
      </c>
      <c r="B978" t="s">
        <v>8135</v>
      </c>
      <c r="C978" t="s">
        <v>1</v>
      </c>
      <c r="D978" t="s">
        <v>1</v>
      </c>
      <c r="E978" t="s">
        <v>8147</v>
      </c>
      <c r="F978" t="s">
        <v>8146</v>
      </c>
      <c r="G978">
        <v>2872</v>
      </c>
      <c r="H978">
        <v>2872</v>
      </c>
      <c r="I978">
        <v>2872</v>
      </c>
      <c r="J978">
        <v>2872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3">
        <v>0</v>
      </c>
      <c r="T978" s="3">
        <v>0</v>
      </c>
      <c r="U978" s="3">
        <v>0</v>
      </c>
      <c r="V978" t="s">
        <v>55</v>
      </c>
    </row>
    <row r="979" spans="1:22" hidden="1" x14ac:dyDescent="0.25">
      <c r="A979" t="s">
        <v>8126</v>
      </c>
      <c r="B979" t="s">
        <v>8135</v>
      </c>
      <c r="C979" t="s">
        <v>1</v>
      </c>
      <c r="D979" t="s">
        <v>1</v>
      </c>
      <c r="E979" t="s">
        <v>8147</v>
      </c>
      <c r="F979" t="s">
        <v>8146</v>
      </c>
      <c r="G979">
        <v>2873</v>
      </c>
      <c r="H979">
        <v>2873</v>
      </c>
      <c r="I979">
        <v>2873</v>
      </c>
      <c r="J979">
        <v>2873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3">
        <v>0</v>
      </c>
      <c r="T979" s="3">
        <v>0</v>
      </c>
      <c r="U979" s="3">
        <v>0</v>
      </c>
      <c r="V979" t="s">
        <v>55</v>
      </c>
    </row>
    <row r="980" spans="1:22" hidden="1" x14ac:dyDescent="0.25">
      <c r="A980" t="s">
        <v>8126</v>
      </c>
      <c r="B980" t="s">
        <v>8135</v>
      </c>
      <c r="C980" t="s">
        <v>1</v>
      </c>
      <c r="D980" t="s">
        <v>1</v>
      </c>
      <c r="E980" t="s">
        <v>8147</v>
      </c>
      <c r="F980" t="s">
        <v>8146</v>
      </c>
      <c r="G980">
        <v>2874</v>
      </c>
      <c r="H980">
        <v>2874</v>
      </c>
      <c r="I980">
        <v>2874</v>
      </c>
      <c r="J980">
        <v>2874</v>
      </c>
      <c r="L980" s="3">
        <v>0</v>
      </c>
      <c r="M980" s="3">
        <v>0</v>
      </c>
      <c r="N980" s="3">
        <v>0</v>
      </c>
      <c r="O980" s="3">
        <v>16.66</v>
      </c>
      <c r="P980" s="3">
        <v>0</v>
      </c>
      <c r="Q980" s="3">
        <v>0</v>
      </c>
      <c r="R980" s="3">
        <v>0</v>
      </c>
      <c r="S980" s="3">
        <v>0</v>
      </c>
      <c r="T980" s="3">
        <v>0</v>
      </c>
      <c r="U980" s="3">
        <v>16.66</v>
      </c>
      <c r="V980" t="s">
        <v>55</v>
      </c>
    </row>
    <row r="981" spans="1:22" hidden="1" x14ac:dyDescent="0.25">
      <c r="A981" t="s">
        <v>8126</v>
      </c>
      <c r="B981" t="s">
        <v>8135</v>
      </c>
      <c r="C981" t="s">
        <v>1</v>
      </c>
      <c r="D981" t="s">
        <v>1</v>
      </c>
      <c r="E981" t="s">
        <v>8147</v>
      </c>
      <c r="F981" t="s">
        <v>8146</v>
      </c>
      <c r="G981">
        <v>2875</v>
      </c>
      <c r="H981">
        <v>2875</v>
      </c>
      <c r="I981">
        <v>2875</v>
      </c>
      <c r="J981">
        <v>2875</v>
      </c>
      <c r="L981" s="3">
        <v>0</v>
      </c>
      <c r="M981" s="3">
        <v>0</v>
      </c>
      <c r="N981" s="3">
        <v>0</v>
      </c>
      <c r="O981" s="3">
        <v>287.05</v>
      </c>
      <c r="P981" s="3">
        <v>0</v>
      </c>
      <c r="Q981" s="3">
        <v>0</v>
      </c>
      <c r="R981" s="3">
        <v>0</v>
      </c>
      <c r="S981" s="3">
        <v>0</v>
      </c>
      <c r="T981" s="3">
        <v>0</v>
      </c>
      <c r="U981" s="3">
        <v>287.05</v>
      </c>
      <c r="V981" t="s">
        <v>55</v>
      </c>
    </row>
    <row r="982" spans="1:22" hidden="1" x14ac:dyDescent="0.25">
      <c r="A982" t="s">
        <v>8126</v>
      </c>
      <c r="B982" t="s">
        <v>8135</v>
      </c>
      <c r="C982" t="s">
        <v>1</v>
      </c>
      <c r="D982" t="s">
        <v>1</v>
      </c>
      <c r="E982" t="s">
        <v>8147</v>
      </c>
      <c r="F982" t="s">
        <v>8146</v>
      </c>
      <c r="G982">
        <v>2876</v>
      </c>
      <c r="H982">
        <v>2876</v>
      </c>
      <c r="I982">
        <v>2876</v>
      </c>
      <c r="J982">
        <v>2876</v>
      </c>
      <c r="L982" s="3">
        <v>0</v>
      </c>
      <c r="M982" s="3">
        <v>0</v>
      </c>
      <c r="N982" s="3">
        <v>0</v>
      </c>
      <c r="O982" s="3">
        <v>27</v>
      </c>
      <c r="P982" s="3">
        <v>0</v>
      </c>
      <c r="Q982" s="3">
        <v>0</v>
      </c>
      <c r="R982" s="3">
        <v>0</v>
      </c>
      <c r="S982" s="3">
        <v>0</v>
      </c>
      <c r="T982" s="3">
        <v>0</v>
      </c>
      <c r="U982" s="3">
        <v>27</v>
      </c>
      <c r="V982" t="s">
        <v>55</v>
      </c>
    </row>
    <row r="983" spans="1:22" hidden="1" x14ac:dyDescent="0.25">
      <c r="A983" t="s">
        <v>8126</v>
      </c>
      <c r="B983" t="s">
        <v>8140</v>
      </c>
      <c r="C983" t="s">
        <v>1</v>
      </c>
      <c r="D983" t="s">
        <v>1</v>
      </c>
      <c r="E983" t="s">
        <v>8147</v>
      </c>
      <c r="F983" t="s">
        <v>8146</v>
      </c>
      <c r="G983">
        <v>2877</v>
      </c>
      <c r="H983">
        <v>2877</v>
      </c>
      <c r="I983">
        <v>2877</v>
      </c>
      <c r="J983">
        <v>2877</v>
      </c>
      <c r="L983" s="3">
        <v>0</v>
      </c>
      <c r="M983" s="3">
        <v>0</v>
      </c>
      <c r="N983" s="3">
        <v>0</v>
      </c>
      <c r="O983" s="3">
        <v>5.76</v>
      </c>
      <c r="P983" s="3">
        <v>0</v>
      </c>
      <c r="Q983" s="3">
        <v>0</v>
      </c>
      <c r="R983" s="3">
        <v>0</v>
      </c>
      <c r="S983" s="3">
        <v>0</v>
      </c>
      <c r="T983" s="3">
        <v>0</v>
      </c>
      <c r="U983" s="3">
        <v>5.76</v>
      </c>
      <c r="V983" t="s">
        <v>55</v>
      </c>
    </row>
    <row r="984" spans="1:22" hidden="1" x14ac:dyDescent="0.25">
      <c r="A984" t="s">
        <v>8126</v>
      </c>
      <c r="B984" t="s">
        <v>8140</v>
      </c>
      <c r="C984" t="s">
        <v>1</v>
      </c>
      <c r="D984" t="s">
        <v>1</v>
      </c>
      <c r="E984" t="s">
        <v>8147</v>
      </c>
      <c r="F984" t="s">
        <v>8146</v>
      </c>
      <c r="G984">
        <v>2878</v>
      </c>
      <c r="H984">
        <v>2878</v>
      </c>
      <c r="I984">
        <v>2878</v>
      </c>
      <c r="J984">
        <v>2878</v>
      </c>
      <c r="L984" s="3">
        <v>0</v>
      </c>
      <c r="M984" s="3">
        <v>0</v>
      </c>
      <c r="N984" s="3">
        <v>0</v>
      </c>
      <c r="O984" s="3">
        <v>122.24</v>
      </c>
      <c r="P984" s="3">
        <v>0</v>
      </c>
      <c r="Q984" s="3">
        <v>0</v>
      </c>
      <c r="R984" s="3">
        <v>0</v>
      </c>
      <c r="S984" s="3">
        <v>0</v>
      </c>
      <c r="T984" s="3">
        <v>0</v>
      </c>
      <c r="U984" s="3">
        <v>122.24</v>
      </c>
      <c r="V984" t="s">
        <v>55</v>
      </c>
    </row>
    <row r="985" spans="1:22" hidden="1" x14ac:dyDescent="0.25">
      <c r="A985" t="s">
        <v>8126</v>
      </c>
      <c r="B985" t="s">
        <v>8140</v>
      </c>
      <c r="C985" t="s">
        <v>1</v>
      </c>
      <c r="D985" t="s">
        <v>1</v>
      </c>
      <c r="E985" t="s">
        <v>8147</v>
      </c>
      <c r="F985" t="s">
        <v>8146</v>
      </c>
      <c r="G985">
        <v>2879</v>
      </c>
      <c r="H985">
        <v>2879</v>
      </c>
      <c r="I985">
        <v>2879</v>
      </c>
      <c r="J985">
        <v>2879</v>
      </c>
      <c r="L985" s="3">
        <v>0</v>
      </c>
      <c r="M985" s="3">
        <v>0</v>
      </c>
      <c r="N985" s="3">
        <v>0</v>
      </c>
      <c r="O985" s="3">
        <v>111</v>
      </c>
      <c r="P985" s="3">
        <v>0</v>
      </c>
      <c r="Q985" s="3">
        <v>0</v>
      </c>
      <c r="R985" s="3">
        <v>0</v>
      </c>
      <c r="S985" s="3">
        <v>0</v>
      </c>
      <c r="T985" s="3">
        <v>0</v>
      </c>
      <c r="U985" s="3">
        <v>111</v>
      </c>
      <c r="V985" t="s">
        <v>55</v>
      </c>
    </row>
    <row r="986" spans="1:22" hidden="1" x14ac:dyDescent="0.25">
      <c r="A986" t="s">
        <v>8126</v>
      </c>
      <c r="B986" t="s">
        <v>8140</v>
      </c>
      <c r="C986" t="s">
        <v>1</v>
      </c>
      <c r="D986" t="s">
        <v>1</v>
      </c>
      <c r="E986" t="s">
        <v>8147</v>
      </c>
      <c r="F986" t="s">
        <v>8146</v>
      </c>
      <c r="G986">
        <v>2880</v>
      </c>
      <c r="H986">
        <v>2880</v>
      </c>
      <c r="I986">
        <v>2880</v>
      </c>
      <c r="J986">
        <v>2880</v>
      </c>
      <c r="L986" s="3">
        <v>0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3">
        <v>0</v>
      </c>
      <c r="T986" s="3">
        <v>0</v>
      </c>
      <c r="U986" s="3">
        <v>0</v>
      </c>
      <c r="V986" t="s">
        <v>55</v>
      </c>
    </row>
    <row r="987" spans="1:22" hidden="1" x14ac:dyDescent="0.25">
      <c r="A987" t="s">
        <v>8126</v>
      </c>
      <c r="B987" t="s">
        <v>8140</v>
      </c>
      <c r="C987" t="s">
        <v>1</v>
      </c>
      <c r="D987" t="s">
        <v>1</v>
      </c>
      <c r="E987" t="s">
        <v>8147</v>
      </c>
      <c r="F987" t="s">
        <v>8146</v>
      </c>
      <c r="G987">
        <v>2881</v>
      </c>
      <c r="H987">
        <v>2881</v>
      </c>
      <c r="I987">
        <v>2881</v>
      </c>
      <c r="J987">
        <v>2881</v>
      </c>
      <c r="L987" s="3">
        <v>0</v>
      </c>
      <c r="M987" s="3">
        <v>0</v>
      </c>
      <c r="N987" s="3">
        <v>0</v>
      </c>
      <c r="O987" s="3">
        <v>1218.5</v>
      </c>
      <c r="P987" s="3">
        <v>0</v>
      </c>
      <c r="Q987" s="3">
        <v>0</v>
      </c>
      <c r="R987" s="3">
        <v>0</v>
      </c>
      <c r="S987" s="3">
        <v>0</v>
      </c>
      <c r="T987" s="3">
        <v>0</v>
      </c>
      <c r="U987" s="3">
        <v>1218.5</v>
      </c>
      <c r="V987" t="s">
        <v>55</v>
      </c>
    </row>
    <row r="988" spans="1:22" hidden="1" x14ac:dyDescent="0.25">
      <c r="A988" t="s">
        <v>8126</v>
      </c>
      <c r="B988" t="s">
        <v>8134</v>
      </c>
      <c r="C988" t="s">
        <v>1</v>
      </c>
      <c r="D988" t="s">
        <v>1</v>
      </c>
      <c r="E988" t="s">
        <v>8147</v>
      </c>
      <c r="F988" t="s">
        <v>8146</v>
      </c>
      <c r="G988">
        <v>2882</v>
      </c>
      <c r="H988">
        <v>2882</v>
      </c>
      <c r="I988">
        <v>2882</v>
      </c>
      <c r="J988">
        <v>2882</v>
      </c>
      <c r="L988" s="3">
        <v>0</v>
      </c>
      <c r="M988" s="3">
        <v>0</v>
      </c>
      <c r="N988" s="3">
        <v>0</v>
      </c>
      <c r="O988" s="3">
        <v>173.09</v>
      </c>
      <c r="P988" s="3">
        <v>0</v>
      </c>
      <c r="Q988" s="3">
        <v>0</v>
      </c>
      <c r="R988" s="3">
        <v>0</v>
      </c>
      <c r="S988" s="3">
        <v>0</v>
      </c>
      <c r="T988" s="3">
        <v>0</v>
      </c>
      <c r="U988" s="3">
        <v>173.09</v>
      </c>
      <c r="V988" t="s">
        <v>55</v>
      </c>
    </row>
    <row r="989" spans="1:22" hidden="1" x14ac:dyDescent="0.25">
      <c r="A989" t="s">
        <v>8126</v>
      </c>
      <c r="B989" t="s">
        <v>8134</v>
      </c>
      <c r="C989" t="s">
        <v>1</v>
      </c>
      <c r="D989" t="s">
        <v>1</v>
      </c>
      <c r="E989" t="s">
        <v>8147</v>
      </c>
      <c r="F989" t="s">
        <v>8146</v>
      </c>
      <c r="G989">
        <v>2883</v>
      </c>
      <c r="H989">
        <v>2883</v>
      </c>
      <c r="I989">
        <v>2883</v>
      </c>
      <c r="J989">
        <v>2883</v>
      </c>
      <c r="L989" s="3">
        <v>0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3">
        <v>0</v>
      </c>
      <c r="T989" s="3">
        <v>0</v>
      </c>
      <c r="U989" s="3">
        <v>0</v>
      </c>
      <c r="V989" t="s">
        <v>55</v>
      </c>
    </row>
    <row r="990" spans="1:22" hidden="1" x14ac:dyDescent="0.25">
      <c r="A990" t="s">
        <v>8126</v>
      </c>
      <c r="B990" t="s">
        <v>8134</v>
      </c>
      <c r="C990" t="s">
        <v>1</v>
      </c>
      <c r="D990" t="s">
        <v>1</v>
      </c>
      <c r="E990" t="s">
        <v>8147</v>
      </c>
      <c r="F990" t="s">
        <v>8146</v>
      </c>
      <c r="G990">
        <v>2884</v>
      </c>
      <c r="H990">
        <v>2884</v>
      </c>
      <c r="I990">
        <v>2884</v>
      </c>
      <c r="J990">
        <v>2884</v>
      </c>
      <c r="L990" s="3">
        <v>0</v>
      </c>
      <c r="M990" s="3">
        <v>0</v>
      </c>
      <c r="N990" s="3">
        <v>0</v>
      </c>
      <c r="O990" s="3">
        <v>531.99</v>
      </c>
      <c r="P990" s="3">
        <v>0</v>
      </c>
      <c r="Q990" s="3">
        <v>0</v>
      </c>
      <c r="R990" s="3">
        <v>0</v>
      </c>
      <c r="S990" s="3">
        <v>0</v>
      </c>
      <c r="T990" s="3">
        <v>0</v>
      </c>
      <c r="U990" s="3">
        <v>531.99</v>
      </c>
      <c r="V990" t="s">
        <v>55</v>
      </c>
    </row>
    <row r="991" spans="1:22" hidden="1" x14ac:dyDescent="0.25">
      <c r="A991" t="s">
        <v>8126</v>
      </c>
      <c r="B991" t="s">
        <v>8134</v>
      </c>
      <c r="C991" t="s">
        <v>1</v>
      </c>
      <c r="D991" t="s">
        <v>1</v>
      </c>
      <c r="E991" t="s">
        <v>8147</v>
      </c>
      <c r="F991" t="s">
        <v>8146</v>
      </c>
      <c r="G991">
        <v>2885</v>
      </c>
      <c r="H991">
        <v>2885</v>
      </c>
      <c r="I991">
        <v>2885</v>
      </c>
      <c r="J991">
        <v>2885</v>
      </c>
      <c r="L991" s="3">
        <v>0</v>
      </c>
      <c r="M991" s="3">
        <v>0</v>
      </c>
      <c r="N991" s="3">
        <v>0</v>
      </c>
      <c r="O991" s="3">
        <v>798.6</v>
      </c>
      <c r="P991" s="3">
        <v>0</v>
      </c>
      <c r="Q991" s="3">
        <v>0</v>
      </c>
      <c r="R991" s="3">
        <v>0</v>
      </c>
      <c r="S991" s="3">
        <v>0</v>
      </c>
      <c r="T991" s="3">
        <v>0</v>
      </c>
      <c r="U991" s="3">
        <v>798.6</v>
      </c>
      <c r="V991" t="s">
        <v>55</v>
      </c>
    </row>
    <row r="992" spans="1:22" hidden="1" x14ac:dyDescent="0.25">
      <c r="A992" t="s">
        <v>8126</v>
      </c>
      <c r="B992" t="s">
        <v>8134</v>
      </c>
      <c r="C992" t="s">
        <v>1</v>
      </c>
      <c r="D992" t="s">
        <v>1</v>
      </c>
      <c r="E992" t="s">
        <v>8147</v>
      </c>
      <c r="F992" t="s">
        <v>8146</v>
      </c>
      <c r="G992">
        <v>2886</v>
      </c>
      <c r="H992">
        <v>2886</v>
      </c>
      <c r="I992">
        <v>2886</v>
      </c>
      <c r="J992">
        <v>2886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3">
        <v>0</v>
      </c>
      <c r="T992" s="3">
        <v>0</v>
      </c>
      <c r="U992" s="3">
        <v>0</v>
      </c>
      <c r="V992" t="s">
        <v>55</v>
      </c>
    </row>
    <row r="993" spans="1:22" hidden="1" x14ac:dyDescent="0.25">
      <c r="A993" t="s">
        <v>8126</v>
      </c>
      <c r="B993" t="s">
        <v>8134</v>
      </c>
      <c r="C993" t="s">
        <v>1</v>
      </c>
      <c r="D993" t="s">
        <v>1</v>
      </c>
      <c r="E993" t="s">
        <v>8147</v>
      </c>
      <c r="F993" t="s">
        <v>8146</v>
      </c>
      <c r="G993">
        <v>2887</v>
      </c>
      <c r="H993">
        <v>2887</v>
      </c>
      <c r="I993">
        <v>2887</v>
      </c>
      <c r="J993">
        <v>2887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3">
        <v>0</v>
      </c>
      <c r="T993" s="3">
        <v>0</v>
      </c>
      <c r="U993" s="3">
        <v>1352.05</v>
      </c>
      <c r="V993" t="s">
        <v>55</v>
      </c>
    </row>
    <row r="994" spans="1:22" hidden="1" x14ac:dyDescent="0.25">
      <c r="A994" t="s">
        <v>8126</v>
      </c>
      <c r="B994" t="s">
        <v>8134</v>
      </c>
      <c r="C994" t="s">
        <v>1</v>
      </c>
      <c r="D994" t="s">
        <v>1</v>
      </c>
      <c r="E994" t="s">
        <v>8147</v>
      </c>
      <c r="F994" t="s">
        <v>8146</v>
      </c>
      <c r="G994">
        <v>2888</v>
      </c>
      <c r="H994">
        <v>2888</v>
      </c>
      <c r="I994">
        <v>2888</v>
      </c>
      <c r="J994">
        <v>2888</v>
      </c>
      <c r="L994" s="3">
        <v>0</v>
      </c>
      <c r="M994" s="3">
        <v>0</v>
      </c>
      <c r="N994" s="3">
        <v>0</v>
      </c>
      <c r="O994" s="3">
        <v>1352.05</v>
      </c>
      <c r="P994" s="3">
        <v>0</v>
      </c>
      <c r="Q994" s="3">
        <v>0</v>
      </c>
      <c r="R994" s="3">
        <v>0</v>
      </c>
      <c r="S994" s="3">
        <v>0</v>
      </c>
      <c r="T994" s="3">
        <v>0</v>
      </c>
      <c r="U994" s="3">
        <v>1352.05</v>
      </c>
      <c r="V994" t="s">
        <v>55</v>
      </c>
    </row>
    <row r="995" spans="1:22" hidden="1" x14ac:dyDescent="0.25">
      <c r="A995" t="s">
        <v>8126</v>
      </c>
      <c r="B995" t="s">
        <v>8134</v>
      </c>
      <c r="C995" t="s">
        <v>1</v>
      </c>
      <c r="D995" t="s">
        <v>1</v>
      </c>
      <c r="E995" t="s">
        <v>8147</v>
      </c>
      <c r="F995" t="s">
        <v>8146</v>
      </c>
      <c r="G995">
        <v>2889</v>
      </c>
      <c r="H995">
        <v>2889</v>
      </c>
      <c r="I995">
        <v>2889</v>
      </c>
      <c r="J995">
        <v>2889</v>
      </c>
      <c r="L995" s="3">
        <v>0</v>
      </c>
      <c r="M995" s="3">
        <v>0</v>
      </c>
      <c r="N995" s="3">
        <v>0</v>
      </c>
      <c r="O995" s="3">
        <v>170</v>
      </c>
      <c r="P995" s="3">
        <v>0</v>
      </c>
      <c r="Q995" s="3">
        <v>0</v>
      </c>
      <c r="R995" s="3">
        <v>0</v>
      </c>
      <c r="S995" s="3">
        <v>0</v>
      </c>
      <c r="T995" s="3">
        <v>0</v>
      </c>
      <c r="U995" s="3">
        <v>170</v>
      </c>
      <c r="V995" t="s">
        <v>55</v>
      </c>
    </row>
    <row r="996" spans="1:22" hidden="1" x14ac:dyDescent="0.25">
      <c r="A996" t="s">
        <v>8126</v>
      </c>
      <c r="B996" t="s">
        <v>8134</v>
      </c>
      <c r="C996" t="s">
        <v>1</v>
      </c>
      <c r="D996" t="s">
        <v>1</v>
      </c>
      <c r="E996" t="s">
        <v>8147</v>
      </c>
      <c r="F996" t="s">
        <v>8146</v>
      </c>
      <c r="G996">
        <v>2890</v>
      </c>
      <c r="H996">
        <v>2890</v>
      </c>
      <c r="I996">
        <v>2890</v>
      </c>
      <c r="J996">
        <v>2890</v>
      </c>
      <c r="L996" s="3">
        <v>0</v>
      </c>
      <c r="M996" s="3">
        <v>0</v>
      </c>
      <c r="N996" s="3">
        <v>0</v>
      </c>
      <c r="O996" s="3">
        <v>435.95</v>
      </c>
      <c r="P996" s="3">
        <v>0</v>
      </c>
      <c r="Q996" s="3">
        <v>0</v>
      </c>
      <c r="R996" s="3">
        <v>0</v>
      </c>
      <c r="S996" s="3">
        <v>0</v>
      </c>
      <c r="T996" s="3">
        <v>0</v>
      </c>
      <c r="U996" s="3">
        <v>435.95</v>
      </c>
      <c r="V996" t="s">
        <v>55</v>
      </c>
    </row>
    <row r="997" spans="1:22" hidden="1" x14ac:dyDescent="0.25">
      <c r="A997" t="s">
        <v>8126</v>
      </c>
      <c r="B997" t="s">
        <v>8133</v>
      </c>
      <c r="C997" t="s">
        <v>1</v>
      </c>
      <c r="D997" t="s">
        <v>1</v>
      </c>
      <c r="E997" t="s">
        <v>8147</v>
      </c>
      <c r="F997" t="s">
        <v>8146</v>
      </c>
      <c r="G997">
        <v>2891</v>
      </c>
      <c r="H997">
        <v>2891</v>
      </c>
      <c r="I997">
        <v>2891</v>
      </c>
      <c r="J997">
        <v>2891</v>
      </c>
      <c r="L997" s="3">
        <v>0</v>
      </c>
      <c r="M997" s="3">
        <v>0</v>
      </c>
      <c r="N997" s="3">
        <v>0</v>
      </c>
      <c r="O997" s="3">
        <v>161.5</v>
      </c>
      <c r="P997" s="3">
        <v>0</v>
      </c>
      <c r="Q997" s="3">
        <v>0</v>
      </c>
      <c r="R997" s="3">
        <v>0</v>
      </c>
      <c r="S997" s="3">
        <v>0</v>
      </c>
      <c r="T997" s="3">
        <v>0</v>
      </c>
      <c r="U997" s="3">
        <v>161.5</v>
      </c>
      <c r="V997" t="s">
        <v>55</v>
      </c>
    </row>
    <row r="998" spans="1:22" hidden="1" x14ac:dyDescent="0.25">
      <c r="A998" t="s">
        <v>8126</v>
      </c>
      <c r="B998" t="s">
        <v>8133</v>
      </c>
      <c r="C998" t="s">
        <v>1</v>
      </c>
      <c r="D998" t="s">
        <v>1</v>
      </c>
      <c r="E998" t="s">
        <v>8147</v>
      </c>
      <c r="F998" t="s">
        <v>8146</v>
      </c>
      <c r="G998">
        <v>2892</v>
      </c>
      <c r="H998">
        <v>2892</v>
      </c>
      <c r="I998">
        <v>2892</v>
      </c>
      <c r="J998">
        <v>2892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3">
        <v>0</v>
      </c>
      <c r="T998" s="3">
        <v>0</v>
      </c>
      <c r="U998" s="3">
        <v>0</v>
      </c>
      <c r="V998" t="s">
        <v>55</v>
      </c>
    </row>
    <row r="999" spans="1:22" hidden="1" x14ac:dyDescent="0.25">
      <c r="A999" t="s">
        <v>8126</v>
      </c>
      <c r="B999" t="s">
        <v>8133</v>
      </c>
      <c r="C999" t="s">
        <v>1</v>
      </c>
      <c r="D999" t="s">
        <v>1</v>
      </c>
      <c r="E999" t="s">
        <v>8147</v>
      </c>
      <c r="F999" t="s">
        <v>8146</v>
      </c>
      <c r="G999">
        <v>2893</v>
      </c>
      <c r="H999">
        <v>2893</v>
      </c>
      <c r="I999">
        <v>2893</v>
      </c>
      <c r="J999">
        <v>2893</v>
      </c>
      <c r="L999" s="3">
        <v>0</v>
      </c>
      <c r="M999" s="3">
        <v>0</v>
      </c>
      <c r="N999" s="3">
        <v>0</v>
      </c>
      <c r="O999" s="3">
        <v>74.2</v>
      </c>
      <c r="P999" s="3">
        <v>0</v>
      </c>
      <c r="Q999" s="3">
        <v>0</v>
      </c>
      <c r="R999" s="3">
        <v>0</v>
      </c>
      <c r="S999" s="3">
        <v>0</v>
      </c>
      <c r="T999" s="3">
        <v>0</v>
      </c>
      <c r="U999" s="3">
        <v>74.2</v>
      </c>
      <c r="V999" t="s">
        <v>55</v>
      </c>
    </row>
    <row r="1000" spans="1:22" hidden="1" x14ac:dyDescent="0.25">
      <c r="A1000" t="s">
        <v>8126</v>
      </c>
      <c r="B1000" t="s">
        <v>8133</v>
      </c>
      <c r="C1000" t="s">
        <v>1</v>
      </c>
      <c r="D1000" t="s">
        <v>1</v>
      </c>
      <c r="E1000" t="s">
        <v>8147</v>
      </c>
      <c r="F1000" t="s">
        <v>8146</v>
      </c>
      <c r="G1000">
        <v>2894</v>
      </c>
      <c r="H1000">
        <v>2894</v>
      </c>
      <c r="I1000">
        <v>2894</v>
      </c>
      <c r="J1000">
        <v>2894</v>
      </c>
      <c r="L1000" s="3">
        <v>0</v>
      </c>
      <c r="M1000" s="3">
        <v>0</v>
      </c>
      <c r="N1000" s="3">
        <v>0</v>
      </c>
      <c r="O1000" s="3">
        <v>2307.1</v>
      </c>
      <c r="P1000" s="3">
        <v>0</v>
      </c>
      <c r="Q1000" s="3">
        <v>0</v>
      </c>
      <c r="R1000" s="3">
        <v>0</v>
      </c>
      <c r="S1000" s="3">
        <v>0</v>
      </c>
      <c r="T1000" s="3">
        <v>0</v>
      </c>
      <c r="U1000" s="3">
        <v>2307.1</v>
      </c>
      <c r="V1000" t="s">
        <v>55</v>
      </c>
    </row>
    <row r="1001" spans="1:22" hidden="1" x14ac:dyDescent="0.25">
      <c r="A1001" t="s">
        <v>8126</v>
      </c>
      <c r="B1001" t="s">
        <v>8133</v>
      </c>
      <c r="C1001" t="s">
        <v>1</v>
      </c>
      <c r="D1001" t="s">
        <v>1</v>
      </c>
      <c r="E1001" t="s">
        <v>8147</v>
      </c>
      <c r="F1001" t="s">
        <v>8146</v>
      </c>
      <c r="G1001">
        <v>2895</v>
      </c>
      <c r="H1001">
        <v>2895</v>
      </c>
      <c r="I1001">
        <v>2895</v>
      </c>
      <c r="J1001">
        <v>2895</v>
      </c>
      <c r="L1001" s="3">
        <v>0</v>
      </c>
      <c r="M1001" s="3">
        <v>0</v>
      </c>
      <c r="N1001" s="3">
        <v>0</v>
      </c>
      <c r="O1001" s="3">
        <v>45</v>
      </c>
      <c r="P1001" s="3">
        <v>0</v>
      </c>
      <c r="Q1001" s="3">
        <v>0</v>
      </c>
      <c r="R1001" s="3">
        <v>0</v>
      </c>
      <c r="S1001" s="3">
        <v>0</v>
      </c>
      <c r="T1001" s="3">
        <v>0</v>
      </c>
      <c r="U1001" s="3">
        <v>45</v>
      </c>
      <c r="V1001" t="s">
        <v>55</v>
      </c>
    </row>
    <row r="1002" spans="1:22" hidden="1" x14ac:dyDescent="0.25">
      <c r="A1002" t="s">
        <v>8126</v>
      </c>
      <c r="B1002" t="s">
        <v>8133</v>
      </c>
      <c r="C1002" t="s">
        <v>1</v>
      </c>
      <c r="D1002" t="s">
        <v>1</v>
      </c>
      <c r="E1002" t="s">
        <v>8147</v>
      </c>
      <c r="F1002" t="s">
        <v>8146</v>
      </c>
      <c r="G1002">
        <v>2896</v>
      </c>
      <c r="H1002">
        <v>2896</v>
      </c>
      <c r="I1002">
        <v>2896</v>
      </c>
      <c r="J1002">
        <v>2896</v>
      </c>
      <c r="L1002" s="3">
        <v>0</v>
      </c>
      <c r="M1002" s="3">
        <v>0</v>
      </c>
      <c r="N1002" s="3">
        <v>0</v>
      </c>
      <c r="O1002" s="3">
        <v>17.399999999999999</v>
      </c>
      <c r="P1002" s="3">
        <v>0</v>
      </c>
      <c r="Q1002" s="3">
        <v>0</v>
      </c>
      <c r="R1002" s="3">
        <v>0</v>
      </c>
      <c r="S1002" s="3">
        <v>0</v>
      </c>
      <c r="T1002" s="3">
        <v>0</v>
      </c>
      <c r="U1002" s="3">
        <v>17.399999999999999</v>
      </c>
      <c r="V1002" t="s">
        <v>55</v>
      </c>
    </row>
    <row r="1003" spans="1:22" hidden="1" x14ac:dyDescent="0.25">
      <c r="A1003" t="s">
        <v>8126</v>
      </c>
      <c r="B1003" t="s">
        <v>8133</v>
      </c>
      <c r="C1003" t="s">
        <v>1</v>
      </c>
      <c r="D1003" t="s">
        <v>1</v>
      </c>
      <c r="E1003" t="s">
        <v>8147</v>
      </c>
      <c r="F1003" t="s">
        <v>8146</v>
      </c>
      <c r="G1003">
        <v>2897</v>
      </c>
      <c r="H1003">
        <v>2897</v>
      </c>
      <c r="I1003">
        <v>2897</v>
      </c>
      <c r="J1003">
        <v>2897</v>
      </c>
      <c r="L1003" s="3">
        <v>0</v>
      </c>
      <c r="M1003" s="3">
        <v>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3">
        <v>0</v>
      </c>
      <c r="T1003" s="3">
        <v>0</v>
      </c>
      <c r="U1003" s="3">
        <v>0</v>
      </c>
      <c r="V1003" t="s">
        <v>55</v>
      </c>
    </row>
    <row r="1004" spans="1:22" hidden="1" x14ac:dyDescent="0.25">
      <c r="A1004" t="s">
        <v>8126</v>
      </c>
      <c r="B1004" t="s">
        <v>8132</v>
      </c>
      <c r="C1004" t="s">
        <v>1</v>
      </c>
      <c r="D1004" t="s">
        <v>1</v>
      </c>
      <c r="E1004" t="s">
        <v>8147</v>
      </c>
      <c r="F1004" t="s">
        <v>8146</v>
      </c>
      <c r="G1004">
        <v>2898</v>
      </c>
      <c r="H1004">
        <v>2898</v>
      </c>
      <c r="I1004">
        <v>2898</v>
      </c>
      <c r="J1004">
        <v>2898</v>
      </c>
      <c r="L1004" s="3">
        <v>0</v>
      </c>
      <c r="M1004" s="3">
        <v>0</v>
      </c>
      <c r="N1004" s="3">
        <v>0</v>
      </c>
      <c r="O1004" s="3">
        <v>15</v>
      </c>
      <c r="P1004" s="3">
        <v>0</v>
      </c>
      <c r="Q1004" s="3">
        <v>0</v>
      </c>
      <c r="R1004" s="3">
        <v>0</v>
      </c>
      <c r="S1004" s="3">
        <v>0</v>
      </c>
      <c r="T1004" s="3">
        <v>0</v>
      </c>
      <c r="U1004" s="3">
        <v>15</v>
      </c>
      <c r="V1004" t="s">
        <v>55</v>
      </c>
    </row>
    <row r="1005" spans="1:22" hidden="1" x14ac:dyDescent="0.25">
      <c r="A1005" t="s">
        <v>8126</v>
      </c>
      <c r="B1005" t="s">
        <v>8132</v>
      </c>
      <c r="C1005" t="s">
        <v>1</v>
      </c>
      <c r="D1005" t="s">
        <v>1</v>
      </c>
      <c r="E1005" t="s">
        <v>8147</v>
      </c>
      <c r="F1005" t="s">
        <v>8146</v>
      </c>
      <c r="G1005">
        <v>2899</v>
      </c>
      <c r="H1005">
        <v>2899</v>
      </c>
      <c r="I1005">
        <v>2899</v>
      </c>
      <c r="J1005">
        <v>2899</v>
      </c>
      <c r="L1005" s="3">
        <v>0</v>
      </c>
      <c r="M1005" s="3">
        <v>0</v>
      </c>
      <c r="N1005" s="3">
        <v>0</v>
      </c>
      <c r="O1005" s="3">
        <v>104.86</v>
      </c>
      <c r="P1005" s="3">
        <v>0</v>
      </c>
      <c r="Q1005" s="3">
        <v>0</v>
      </c>
      <c r="R1005" s="3">
        <v>0</v>
      </c>
      <c r="S1005" s="3">
        <v>0</v>
      </c>
      <c r="T1005" s="3">
        <v>0</v>
      </c>
      <c r="U1005" s="3">
        <v>104.86</v>
      </c>
      <c r="V1005" t="s">
        <v>55</v>
      </c>
    </row>
    <row r="1006" spans="1:22" hidden="1" x14ac:dyDescent="0.25">
      <c r="A1006" t="s">
        <v>8126</v>
      </c>
      <c r="B1006" t="s">
        <v>8132</v>
      </c>
      <c r="C1006" t="s">
        <v>1</v>
      </c>
      <c r="D1006" t="s">
        <v>1</v>
      </c>
      <c r="E1006" t="s">
        <v>8147</v>
      </c>
      <c r="F1006" t="s">
        <v>8146</v>
      </c>
      <c r="G1006">
        <v>2900</v>
      </c>
      <c r="H1006">
        <v>2900</v>
      </c>
      <c r="I1006">
        <v>2900</v>
      </c>
      <c r="J1006">
        <v>2900</v>
      </c>
      <c r="L1006" s="3">
        <v>0</v>
      </c>
      <c r="M1006" s="3">
        <v>0</v>
      </c>
      <c r="N1006" s="3">
        <v>0</v>
      </c>
      <c r="O1006" s="3">
        <v>898.63</v>
      </c>
      <c r="P1006" s="3">
        <v>0</v>
      </c>
      <c r="Q1006" s="3">
        <v>0</v>
      </c>
      <c r="R1006" s="3">
        <v>0</v>
      </c>
      <c r="S1006" s="3">
        <v>0</v>
      </c>
      <c r="T1006" s="3">
        <v>0</v>
      </c>
      <c r="U1006" s="3">
        <v>898.63</v>
      </c>
      <c r="V1006" t="s">
        <v>55</v>
      </c>
    </row>
    <row r="1007" spans="1:22" hidden="1" x14ac:dyDescent="0.25">
      <c r="A1007" t="s">
        <v>8126</v>
      </c>
      <c r="B1007" t="s">
        <v>8132</v>
      </c>
      <c r="C1007" t="s">
        <v>1</v>
      </c>
      <c r="D1007" t="s">
        <v>1</v>
      </c>
      <c r="E1007" t="s">
        <v>8147</v>
      </c>
      <c r="F1007" t="s">
        <v>8146</v>
      </c>
      <c r="G1007">
        <v>2901</v>
      </c>
      <c r="H1007">
        <v>2901</v>
      </c>
      <c r="I1007">
        <v>2901</v>
      </c>
      <c r="J1007">
        <v>2901</v>
      </c>
      <c r="L1007" s="3">
        <v>0</v>
      </c>
      <c r="M1007" s="3">
        <v>0</v>
      </c>
      <c r="N1007" s="3">
        <v>0</v>
      </c>
      <c r="O1007" s="3">
        <v>37.950000000000003</v>
      </c>
      <c r="P1007" s="3">
        <v>0</v>
      </c>
      <c r="Q1007" s="3">
        <v>0</v>
      </c>
      <c r="R1007" s="3">
        <v>0</v>
      </c>
      <c r="S1007" s="3">
        <v>0</v>
      </c>
      <c r="T1007" s="3">
        <v>0</v>
      </c>
      <c r="U1007" s="3">
        <v>37.950000000000003</v>
      </c>
      <c r="V1007" t="s">
        <v>55</v>
      </c>
    </row>
    <row r="1008" spans="1:22" hidden="1" x14ac:dyDescent="0.25">
      <c r="A1008" t="s">
        <v>8126</v>
      </c>
      <c r="B1008" t="s">
        <v>8132</v>
      </c>
      <c r="C1008" t="s">
        <v>1</v>
      </c>
      <c r="D1008" t="s">
        <v>1</v>
      </c>
      <c r="E1008" t="s">
        <v>8147</v>
      </c>
      <c r="F1008" t="s">
        <v>8146</v>
      </c>
      <c r="G1008">
        <v>2902</v>
      </c>
      <c r="H1008">
        <v>2902</v>
      </c>
      <c r="I1008">
        <v>2902</v>
      </c>
      <c r="J1008">
        <v>2902</v>
      </c>
      <c r="L1008" s="3">
        <v>0</v>
      </c>
      <c r="M1008" s="3">
        <v>0</v>
      </c>
      <c r="N1008" s="3">
        <v>0</v>
      </c>
      <c r="O1008" s="3">
        <v>272.7</v>
      </c>
      <c r="P1008" s="3">
        <v>0</v>
      </c>
      <c r="Q1008" s="3">
        <v>0</v>
      </c>
      <c r="R1008" s="3">
        <v>0</v>
      </c>
      <c r="S1008" s="3">
        <v>0</v>
      </c>
      <c r="T1008" s="3">
        <v>0</v>
      </c>
      <c r="U1008" s="3">
        <v>272.7</v>
      </c>
      <c r="V1008" t="s">
        <v>55</v>
      </c>
    </row>
    <row r="1009" spans="1:22" hidden="1" x14ac:dyDescent="0.25">
      <c r="A1009" t="s">
        <v>8126</v>
      </c>
      <c r="B1009" t="s">
        <v>8132</v>
      </c>
      <c r="C1009" t="s">
        <v>1</v>
      </c>
      <c r="D1009" t="s">
        <v>1</v>
      </c>
      <c r="E1009" t="s">
        <v>8147</v>
      </c>
      <c r="F1009" t="s">
        <v>8146</v>
      </c>
      <c r="G1009">
        <v>2903</v>
      </c>
      <c r="H1009">
        <v>2903</v>
      </c>
      <c r="I1009">
        <v>2903</v>
      </c>
      <c r="J1009">
        <v>2903</v>
      </c>
      <c r="L1009" s="3">
        <v>0</v>
      </c>
      <c r="M1009" s="3">
        <v>0</v>
      </c>
      <c r="N1009" s="3">
        <v>0</v>
      </c>
      <c r="O1009" s="3">
        <v>100.95</v>
      </c>
      <c r="P1009" s="3">
        <v>0</v>
      </c>
      <c r="Q1009" s="3">
        <v>0</v>
      </c>
      <c r="R1009" s="3">
        <v>0</v>
      </c>
      <c r="S1009" s="3">
        <v>0</v>
      </c>
      <c r="T1009" s="3">
        <v>0</v>
      </c>
      <c r="U1009" s="3">
        <v>100.95</v>
      </c>
      <c r="V1009" t="s">
        <v>55</v>
      </c>
    </row>
    <row r="1010" spans="1:22" hidden="1" x14ac:dyDescent="0.25">
      <c r="A1010" t="s">
        <v>8126</v>
      </c>
      <c r="B1010" t="s">
        <v>8132</v>
      </c>
      <c r="C1010" t="s">
        <v>1</v>
      </c>
      <c r="D1010" t="s">
        <v>1</v>
      </c>
      <c r="E1010" t="s">
        <v>8147</v>
      </c>
      <c r="F1010" t="s">
        <v>8146</v>
      </c>
      <c r="G1010">
        <v>2904</v>
      </c>
      <c r="H1010">
        <v>2904</v>
      </c>
      <c r="I1010">
        <v>2904</v>
      </c>
      <c r="J1010">
        <v>2904</v>
      </c>
      <c r="L1010" s="3">
        <v>0</v>
      </c>
      <c r="M1010" s="3">
        <v>0</v>
      </c>
      <c r="N1010" s="3">
        <v>0</v>
      </c>
      <c r="O1010" s="3">
        <v>35.799999999999997</v>
      </c>
      <c r="P1010" s="3">
        <v>0</v>
      </c>
      <c r="Q1010" s="3">
        <v>0</v>
      </c>
      <c r="R1010" s="3">
        <v>0</v>
      </c>
      <c r="S1010" s="3">
        <v>0</v>
      </c>
      <c r="T1010" s="3">
        <v>0</v>
      </c>
      <c r="U1010" s="3">
        <v>35.799999999999997</v>
      </c>
      <c r="V1010" t="s">
        <v>55</v>
      </c>
    </row>
    <row r="1011" spans="1:22" hidden="1" x14ac:dyDescent="0.25">
      <c r="A1011" t="s">
        <v>8126</v>
      </c>
      <c r="B1011" t="s">
        <v>8132</v>
      </c>
      <c r="C1011" t="s">
        <v>1</v>
      </c>
      <c r="D1011" t="s">
        <v>1</v>
      </c>
      <c r="E1011" t="s">
        <v>8147</v>
      </c>
      <c r="F1011" t="s">
        <v>8146</v>
      </c>
      <c r="G1011">
        <v>2905</v>
      </c>
      <c r="H1011">
        <v>2905</v>
      </c>
      <c r="I1011">
        <v>2905</v>
      </c>
      <c r="J1011">
        <v>2905</v>
      </c>
      <c r="L1011" s="3">
        <v>0</v>
      </c>
      <c r="M1011" s="3">
        <v>0</v>
      </c>
      <c r="N1011" s="3">
        <v>0</v>
      </c>
      <c r="O1011" s="3">
        <v>413.75</v>
      </c>
      <c r="P1011" s="3">
        <v>0</v>
      </c>
      <c r="Q1011" s="3">
        <v>0</v>
      </c>
      <c r="R1011" s="3">
        <v>0</v>
      </c>
      <c r="S1011" s="3">
        <v>0</v>
      </c>
      <c r="T1011" s="3">
        <v>0</v>
      </c>
      <c r="U1011" s="3">
        <v>413.75</v>
      </c>
      <c r="V1011" t="s">
        <v>55</v>
      </c>
    </row>
    <row r="1012" spans="1:22" hidden="1" x14ac:dyDescent="0.25">
      <c r="A1012" t="s">
        <v>8126</v>
      </c>
      <c r="B1012" t="s">
        <v>8132</v>
      </c>
      <c r="C1012" t="s">
        <v>1</v>
      </c>
      <c r="D1012" t="s">
        <v>1</v>
      </c>
      <c r="E1012" t="s">
        <v>8147</v>
      </c>
      <c r="F1012" t="s">
        <v>8146</v>
      </c>
      <c r="G1012">
        <v>2906</v>
      </c>
      <c r="H1012">
        <v>2906</v>
      </c>
      <c r="I1012">
        <v>2906</v>
      </c>
      <c r="J1012">
        <v>2906</v>
      </c>
      <c r="L1012" s="3">
        <v>0</v>
      </c>
      <c r="M1012" s="3">
        <v>0</v>
      </c>
      <c r="N1012" s="3">
        <v>0</v>
      </c>
      <c r="O1012" s="3">
        <v>1843.54</v>
      </c>
      <c r="P1012" s="3">
        <v>0</v>
      </c>
      <c r="Q1012" s="3">
        <v>0</v>
      </c>
      <c r="R1012" s="3">
        <v>0</v>
      </c>
      <c r="S1012" s="3">
        <v>0</v>
      </c>
      <c r="T1012" s="3">
        <v>0</v>
      </c>
      <c r="U1012" s="3">
        <v>1843.54</v>
      </c>
      <c r="V1012" t="s">
        <v>55</v>
      </c>
    </row>
    <row r="1013" spans="1:22" hidden="1" x14ac:dyDescent="0.25">
      <c r="A1013" t="s">
        <v>8126</v>
      </c>
      <c r="B1013" t="s">
        <v>8130</v>
      </c>
      <c r="C1013" t="s">
        <v>1</v>
      </c>
      <c r="D1013" t="s">
        <v>1</v>
      </c>
      <c r="E1013" t="s">
        <v>8147</v>
      </c>
      <c r="F1013" t="s">
        <v>8146</v>
      </c>
      <c r="G1013">
        <v>2907</v>
      </c>
      <c r="H1013">
        <v>2907</v>
      </c>
      <c r="I1013">
        <v>2907</v>
      </c>
      <c r="J1013">
        <v>2907</v>
      </c>
      <c r="L1013" s="3">
        <v>0</v>
      </c>
      <c r="M1013" s="3">
        <v>0</v>
      </c>
      <c r="N1013" s="3">
        <v>0</v>
      </c>
      <c r="O1013" s="3">
        <v>600.64</v>
      </c>
      <c r="P1013" s="3">
        <v>0</v>
      </c>
      <c r="Q1013" s="3">
        <v>0</v>
      </c>
      <c r="R1013" s="3">
        <v>0</v>
      </c>
      <c r="S1013" s="3">
        <v>0</v>
      </c>
      <c r="T1013" s="3">
        <v>0</v>
      </c>
      <c r="U1013" s="3">
        <v>600.64</v>
      </c>
      <c r="V1013" t="s">
        <v>55</v>
      </c>
    </row>
    <row r="1014" spans="1:22" hidden="1" x14ac:dyDescent="0.25">
      <c r="A1014" t="s">
        <v>8126</v>
      </c>
      <c r="B1014" t="s">
        <v>8130</v>
      </c>
      <c r="C1014" t="s">
        <v>1</v>
      </c>
      <c r="D1014" t="s">
        <v>1</v>
      </c>
      <c r="E1014" t="s">
        <v>8147</v>
      </c>
      <c r="F1014" t="s">
        <v>8146</v>
      </c>
      <c r="G1014">
        <v>2908</v>
      </c>
      <c r="H1014">
        <v>2908</v>
      </c>
      <c r="I1014">
        <v>2908</v>
      </c>
      <c r="J1014">
        <v>2908</v>
      </c>
      <c r="L1014" s="3">
        <v>0</v>
      </c>
      <c r="M1014" s="3">
        <v>0</v>
      </c>
      <c r="N1014" s="3">
        <v>0</v>
      </c>
      <c r="O1014" s="3">
        <v>122.04</v>
      </c>
      <c r="P1014" s="3">
        <v>0</v>
      </c>
      <c r="Q1014" s="3">
        <v>0</v>
      </c>
      <c r="R1014" s="3">
        <v>0</v>
      </c>
      <c r="S1014" s="3">
        <v>0</v>
      </c>
      <c r="T1014" s="3">
        <v>0</v>
      </c>
      <c r="U1014" s="3">
        <v>122.04</v>
      </c>
      <c r="V1014" t="s">
        <v>55</v>
      </c>
    </row>
    <row r="1015" spans="1:22" hidden="1" x14ac:dyDescent="0.25">
      <c r="A1015" t="s">
        <v>8126</v>
      </c>
      <c r="B1015" t="s">
        <v>8130</v>
      </c>
      <c r="C1015" t="s">
        <v>1</v>
      </c>
      <c r="D1015" t="s">
        <v>1</v>
      </c>
      <c r="E1015" t="s">
        <v>8147</v>
      </c>
      <c r="F1015" t="s">
        <v>8146</v>
      </c>
      <c r="G1015">
        <v>2909</v>
      </c>
      <c r="H1015">
        <v>2909</v>
      </c>
      <c r="I1015">
        <v>2909</v>
      </c>
      <c r="J1015">
        <v>2909</v>
      </c>
      <c r="L1015" s="3">
        <v>0</v>
      </c>
      <c r="M1015" s="3">
        <v>0</v>
      </c>
      <c r="N1015" s="3">
        <v>0</v>
      </c>
      <c r="O1015" s="3">
        <v>17</v>
      </c>
      <c r="P1015" s="3">
        <v>0</v>
      </c>
      <c r="Q1015" s="3">
        <v>0</v>
      </c>
      <c r="R1015" s="3">
        <v>0</v>
      </c>
      <c r="S1015" s="3">
        <v>0</v>
      </c>
      <c r="T1015" s="3">
        <v>0</v>
      </c>
      <c r="U1015" s="3">
        <v>17</v>
      </c>
      <c r="V1015" t="s">
        <v>55</v>
      </c>
    </row>
    <row r="1016" spans="1:22" hidden="1" x14ac:dyDescent="0.25">
      <c r="A1016" t="s">
        <v>8126</v>
      </c>
      <c r="B1016" t="s">
        <v>8130</v>
      </c>
      <c r="C1016" t="s">
        <v>1</v>
      </c>
      <c r="D1016" t="s">
        <v>1</v>
      </c>
      <c r="E1016" t="s">
        <v>8147</v>
      </c>
      <c r="F1016" t="s">
        <v>8146</v>
      </c>
      <c r="G1016">
        <v>2910</v>
      </c>
      <c r="H1016">
        <v>2910</v>
      </c>
      <c r="I1016">
        <v>2910</v>
      </c>
      <c r="J1016">
        <v>2910</v>
      </c>
      <c r="L1016" s="3">
        <v>0</v>
      </c>
      <c r="M1016" s="3">
        <v>0</v>
      </c>
      <c r="N1016" s="3">
        <v>0</v>
      </c>
      <c r="O1016" s="3">
        <v>17.86</v>
      </c>
      <c r="P1016" s="3">
        <v>0</v>
      </c>
      <c r="Q1016" s="3">
        <v>0</v>
      </c>
      <c r="R1016" s="3">
        <v>0</v>
      </c>
      <c r="S1016" s="3">
        <v>0</v>
      </c>
      <c r="T1016" s="3">
        <v>0</v>
      </c>
      <c r="U1016" s="3">
        <v>17.86</v>
      </c>
      <c r="V1016" t="s">
        <v>55</v>
      </c>
    </row>
    <row r="1017" spans="1:22" hidden="1" x14ac:dyDescent="0.25">
      <c r="A1017" t="s">
        <v>8126</v>
      </c>
      <c r="B1017" t="s">
        <v>8154</v>
      </c>
      <c r="C1017" t="s">
        <v>1</v>
      </c>
      <c r="D1017" t="s">
        <v>1</v>
      </c>
      <c r="E1017" t="s">
        <v>8147</v>
      </c>
      <c r="F1017" t="s">
        <v>8146</v>
      </c>
      <c r="G1017">
        <v>2911</v>
      </c>
      <c r="H1017">
        <v>2911</v>
      </c>
      <c r="I1017">
        <v>2911</v>
      </c>
      <c r="J1017">
        <v>2911</v>
      </c>
      <c r="L1017" s="3">
        <v>0</v>
      </c>
      <c r="M1017" s="3">
        <v>0</v>
      </c>
      <c r="N1017" s="3">
        <v>0</v>
      </c>
      <c r="O1017" s="3">
        <v>61.2</v>
      </c>
      <c r="P1017" s="3">
        <v>0</v>
      </c>
      <c r="Q1017" s="3">
        <v>0</v>
      </c>
      <c r="R1017" s="3">
        <v>0</v>
      </c>
      <c r="S1017" s="3">
        <v>0</v>
      </c>
      <c r="T1017" s="3">
        <v>0</v>
      </c>
      <c r="U1017" s="3">
        <v>61.2</v>
      </c>
      <c r="V1017" t="s">
        <v>55</v>
      </c>
    </row>
    <row r="1018" spans="1:22" hidden="1" x14ac:dyDescent="0.25">
      <c r="A1018" t="s">
        <v>8126</v>
      </c>
      <c r="B1018" t="s">
        <v>8154</v>
      </c>
      <c r="C1018" t="s">
        <v>1</v>
      </c>
      <c r="D1018" t="s">
        <v>1</v>
      </c>
      <c r="E1018" t="s">
        <v>8147</v>
      </c>
      <c r="F1018" t="s">
        <v>8146</v>
      </c>
      <c r="G1018">
        <v>2912</v>
      </c>
      <c r="H1018">
        <v>2912</v>
      </c>
      <c r="I1018">
        <v>2912</v>
      </c>
      <c r="J1018">
        <v>2912</v>
      </c>
      <c r="L1018" s="3">
        <v>0</v>
      </c>
      <c r="M1018" s="3">
        <v>0</v>
      </c>
      <c r="N1018" s="3">
        <v>0</v>
      </c>
      <c r="O1018" s="3">
        <v>225</v>
      </c>
      <c r="P1018" s="3">
        <v>0</v>
      </c>
      <c r="Q1018" s="3">
        <v>0</v>
      </c>
      <c r="R1018" s="3">
        <v>0</v>
      </c>
      <c r="S1018" s="3">
        <v>0</v>
      </c>
      <c r="T1018" s="3">
        <v>0</v>
      </c>
      <c r="U1018" s="3">
        <v>225</v>
      </c>
      <c r="V1018" t="s">
        <v>55</v>
      </c>
    </row>
    <row r="1019" spans="1:22" hidden="1" x14ac:dyDescent="0.25">
      <c r="A1019" t="s">
        <v>8126</v>
      </c>
      <c r="B1019" t="s">
        <v>8141</v>
      </c>
      <c r="C1019" t="s">
        <v>1</v>
      </c>
      <c r="D1019" t="s">
        <v>1</v>
      </c>
      <c r="E1019" t="s">
        <v>8147</v>
      </c>
      <c r="F1019" t="s">
        <v>8146</v>
      </c>
      <c r="G1019">
        <v>2913</v>
      </c>
      <c r="H1019">
        <v>2913</v>
      </c>
      <c r="I1019">
        <v>2913</v>
      </c>
      <c r="J1019">
        <v>2913</v>
      </c>
      <c r="L1019" s="3">
        <v>0</v>
      </c>
      <c r="M1019" s="3">
        <v>0</v>
      </c>
      <c r="N1019" s="3">
        <v>0</v>
      </c>
      <c r="O1019" s="3">
        <v>299.86</v>
      </c>
      <c r="P1019" s="3">
        <v>0</v>
      </c>
      <c r="Q1019" s="3">
        <v>0</v>
      </c>
      <c r="R1019" s="3">
        <v>0</v>
      </c>
      <c r="S1019" s="3">
        <v>0</v>
      </c>
      <c r="T1019" s="3">
        <v>0</v>
      </c>
      <c r="U1019" s="3">
        <v>299.86</v>
      </c>
      <c r="V1019" t="s">
        <v>55</v>
      </c>
    </row>
    <row r="1020" spans="1:22" hidden="1" x14ac:dyDescent="0.25">
      <c r="A1020" t="s">
        <v>8126</v>
      </c>
      <c r="B1020" t="s">
        <v>8141</v>
      </c>
      <c r="C1020" t="s">
        <v>1</v>
      </c>
      <c r="D1020" t="s">
        <v>1</v>
      </c>
      <c r="E1020" t="s">
        <v>8147</v>
      </c>
      <c r="F1020" t="s">
        <v>8146</v>
      </c>
      <c r="G1020">
        <v>2914</v>
      </c>
      <c r="H1020">
        <v>2914</v>
      </c>
      <c r="I1020">
        <v>2914</v>
      </c>
      <c r="J1020">
        <v>2914</v>
      </c>
      <c r="L1020" s="3">
        <v>0</v>
      </c>
      <c r="M1020" s="3">
        <v>0</v>
      </c>
      <c r="N1020" s="3">
        <v>0</v>
      </c>
      <c r="O1020" s="3">
        <v>9.5</v>
      </c>
      <c r="P1020" s="3">
        <v>0</v>
      </c>
      <c r="Q1020" s="3">
        <v>0</v>
      </c>
      <c r="R1020" s="3">
        <v>0</v>
      </c>
      <c r="S1020" s="3">
        <v>0</v>
      </c>
      <c r="T1020" s="3">
        <v>0</v>
      </c>
      <c r="U1020" s="3">
        <v>9.5</v>
      </c>
      <c r="V1020" t="s">
        <v>55</v>
      </c>
    </row>
    <row r="1021" spans="1:22" hidden="1" x14ac:dyDescent="0.25">
      <c r="A1021" t="s">
        <v>8126</v>
      </c>
      <c r="B1021" t="s">
        <v>8141</v>
      </c>
      <c r="C1021" t="s">
        <v>1</v>
      </c>
      <c r="D1021" t="s">
        <v>1</v>
      </c>
      <c r="E1021" t="s">
        <v>8147</v>
      </c>
      <c r="F1021" t="s">
        <v>8146</v>
      </c>
      <c r="G1021">
        <v>2915</v>
      </c>
      <c r="H1021">
        <v>2915</v>
      </c>
      <c r="I1021">
        <v>2915</v>
      </c>
      <c r="J1021">
        <v>2915</v>
      </c>
      <c r="L1021" s="3">
        <v>0</v>
      </c>
      <c r="M1021" s="3">
        <v>0</v>
      </c>
      <c r="N1021" s="3">
        <v>0</v>
      </c>
      <c r="O1021" s="3">
        <v>99.87</v>
      </c>
      <c r="P1021" s="3">
        <v>0</v>
      </c>
      <c r="Q1021" s="3">
        <v>0</v>
      </c>
      <c r="R1021" s="3">
        <v>0</v>
      </c>
      <c r="S1021" s="3">
        <v>0</v>
      </c>
      <c r="T1021" s="3">
        <v>0</v>
      </c>
      <c r="U1021" s="3">
        <v>99.87</v>
      </c>
      <c r="V1021" t="s">
        <v>55</v>
      </c>
    </row>
    <row r="1022" spans="1:22" hidden="1" x14ac:dyDescent="0.25">
      <c r="A1022" t="s">
        <v>8126</v>
      </c>
      <c r="B1022" t="s">
        <v>8141</v>
      </c>
      <c r="C1022" t="s">
        <v>1</v>
      </c>
      <c r="D1022" t="s">
        <v>1</v>
      </c>
      <c r="E1022" t="s">
        <v>8147</v>
      </c>
      <c r="F1022" t="s">
        <v>8146</v>
      </c>
      <c r="G1022">
        <v>2916</v>
      </c>
      <c r="H1022">
        <v>2916</v>
      </c>
      <c r="I1022">
        <v>2916</v>
      </c>
      <c r="J1022">
        <v>2916</v>
      </c>
      <c r="L1022" s="3">
        <v>0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3">
        <v>0</v>
      </c>
      <c r="T1022" s="3">
        <v>0</v>
      </c>
      <c r="U1022" s="3">
        <v>0</v>
      </c>
      <c r="V1022" t="s">
        <v>55</v>
      </c>
    </row>
    <row r="1023" spans="1:22" hidden="1" x14ac:dyDescent="0.25">
      <c r="A1023" t="s">
        <v>8126</v>
      </c>
      <c r="B1023" t="s">
        <v>8141</v>
      </c>
      <c r="C1023" t="s">
        <v>1</v>
      </c>
      <c r="D1023" t="s">
        <v>1</v>
      </c>
      <c r="E1023" t="s">
        <v>8147</v>
      </c>
      <c r="F1023" t="s">
        <v>8146</v>
      </c>
      <c r="G1023">
        <v>2917</v>
      </c>
      <c r="H1023">
        <v>2917</v>
      </c>
      <c r="I1023">
        <v>2917</v>
      </c>
      <c r="J1023">
        <v>2917</v>
      </c>
      <c r="L1023" s="3">
        <v>0</v>
      </c>
      <c r="M1023" s="3">
        <v>0</v>
      </c>
      <c r="N1023" s="3">
        <v>0</v>
      </c>
      <c r="O1023" s="3">
        <v>150</v>
      </c>
      <c r="P1023" s="3">
        <v>0</v>
      </c>
      <c r="Q1023" s="3">
        <v>0</v>
      </c>
      <c r="R1023" s="3">
        <v>0</v>
      </c>
      <c r="S1023" s="3">
        <v>0</v>
      </c>
      <c r="T1023" s="3">
        <v>0</v>
      </c>
      <c r="U1023" s="3">
        <v>150</v>
      </c>
      <c r="V1023" t="s">
        <v>55</v>
      </c>
    </row>
    <row r="1024" spans="1:22" hidden="1" x14ac:dyDescent="0.25">
      <c r="A1024" t="s">
        <v>8126</v>
      </c>
      <c r="B1024" t="s">
        <v>8153</v>
      </c>
      <c r="C1024" t="s">
        <v>1</v>
      </c>
      <c r="D1024" t="s">
        <v>1</v>
      </c>
      <c r="E1024" t="s">
        <v>8147</v>
      </c>
      <c r="F1024" t="s">
        <v>8146</v>
      </c>
      <c r="G1024">
        <v>2919</v>
      </c>
      <c r="H1024">
        <v>2919</v>
      </c>
      <c r="I1024">
        <v>2919</v>
      </c>
      <c r="J1024">
        <v>2919</v>
      </c>
      <c r="L1024" s="3">
        <v>0</v>
      </c>
      <c r="M1024" s="3">
        <v>0</v>
      </c>
      <c r="N1024" s="3">
        <v>0</v>
      </c>
      <c r="O1024" s="3">
        <v>39.549999999999997</v>
      </c>
      <c r="P1024" s="3">
        <v>0</v>
      </c>
      <c r="Q1024" s="3">
        <v>0</v>
      </c>
      <c r="R1024" s="3">
        <v>0</v>
      </c>
      <c r="S1024" s="3">
        <v>0</v>
      </c>
      <c r="T1024" s="3">
        <v>0</v>
      </c>
      <c r="U1024" s="3">
        <v>39.549999999999997</v>
      </c>
      <c r="V1024" t="s">
        <v>55</v>
      </c>
    </row>
    <row r="1025" spans="1:22" hidden="1" x14ac:dyDescent="0.25">
      <c r="A1025" t="s">
        <v>8126</v>
      </c>
      <c r="B1025" t="s">
        <v>8153</v>
      </c>
      <c r="C1025" t="s">
        <v>1</v>
      </c>
      <c r="D1025" t="s">
        <v>1</v>
      </c>
      <c r="E1025" t="s">
        <v>8147</v>
      </c>
      <c r="F1025" t="s">
        <v>8146</v>
      </c>
      <c r="G1025">
        <v>2920</v>
      </c>
      <c r="H1025">
        <v>2920</v>
      </c>
      <c r="I1025">
        <v>2920</v>
      </c>
      <c r="J1025">
        <v>2920</v>
      </c>
      <c r="L1025" s="3">
        <v>0</v>
      </c>
      <c r="M1025" s="3">
        <v>0</v>
      </c>
      <c r="N1025" s="3">
        <v>0</v>
      </c>
      <c r="O1025" s="3">
        <v>219.17</v>
      </c>
      <c r="P1025" s="3">
        <v>0</v>
      </c>
      <c r="Q1025" s="3">
        <v>0</v>
      </c>
      <c r="R1025" s="3">
        <v>0</v>
      </c>
      <c r="S1025" s="3">
        <v>0</v>
      </c>
      <c r="T1025" s="3">
        <v>0</v>
      </c>
      <c r="U1025" s="3">
        <v>219.17</v>
      </c>
      <c r="V1025" t="s">
        <v>55</v>
      </c>
    </row>
    <row r="1026" spans="1:22" hidden="1" x14ac:dyDescent="0.25">
      <c r="A1026" t="s">
        <v>8126</v>
      </c>
      <c r="B1026" t="s">
        <v>8153</v>
      </c>
      <c r="C1026" t="s">
        <v>1</v>
      </c>
      <c r="D1026" t="s">
        <v>1</v>
      </c>
      <c r="E1026" t="s">
        <v>8147</v>
      </c>
      <c r="F1026" t="s">
        <v>8146</v>
      </c>
      <c r="G1026">
        <v>2921</v>
      </c>
      <c r="H1026">
        <v>2921</v>
      </c>
      <c r="I1026">
        <v>2921</v>
      </c>
      <c r="J1026">
        <v>2921</v>
      </c>
      <c r="L1026" s="3">
        <v>0</v>
      </c>
      <c r="M1026" s="3">
        <v>0</v>
      </c>
      <c r="N1026" s="3">
        <v>0</v>
      </c>
      <c r="O1026" s="3">
        <v>2100.3000000000002</v>
      </c>
      <c r="P1026" s="3">
        <v>0</v>
      </c>
      <c r="Q1026" s="3">
        <v>0</v>
      </c>
      <c r="R1026" s="3">
        <v>0</v>
      </c>
      <c r="S1026" s="3">
        <v>0</v>
      </c>
      <c r="T1026" s="3">
        <v>0</v>
      </c>
      <c r="U1026" s="3">
        <v>2100.3000000000002</v>
      </c>
      <c r="V1026" t="s">
        <v>55</v>
      </c>
    </row>
    <row r="1027" spans="1:22" hidden="1" x14ac:dyDescent="0.25">
      <c r="A1027" t="s">
        <v>8126</v>
      </c>
      <c r="B1027" t="s">
        <v>8153</v>
      </c>
      <c r="C1027" t="s">
        <v>1</v>
      </c>
      <c r="D1027" t="s">
        <v>1</v>
      </c>
      <c r="E1027" t="s">
        <v>8147</v>
      </c>
      <c r="F1027" t="s">
        <v>8146</v>
      </c>
      <c r="G1027">
        <v>2922</v>
      </c>
      <c r="H1027">
        <v>2922</v>
      </c>
      <c r="I1027">
        <v>2922</v>
      </c>
      <c r="J1027">
        <v>2922</v>
      </c>
      <c r="L1027" s="3">
        <v>0</v>
      </c>
      <c r="M1027" s="3">
        <v>0</v>
      </c>
      <c r="N1027" s="3">
        <v>0</v>
      </c>
      <c r="O1027" s="3">
        <v>1008</v>
      </c>
      <c r="P1027" s="3">
        <v>0</v>
      </c>
      <c r="Q1027" s="3">
        <v>0</v>
      </c>
      <c r="R1027" s="3">
        <v>0</v>
      </c>
      <c r="S1027" s="3">
        <v>0</v>
      </c>
      <c r="T1027" s="3">
        <v>0</v>
      </c>
      <c r="U1027" s="3">
        <v>1008</v>
      </c>
      <c r="V1027" t="s">
        <v>55</v>
      </c>
    </row>
    <row r="1028" spans="1:22" hidden="1" x14ac:dyDescent="0.25">
      <c r="A1028" t="s">
        <v>8126</v>
      </c>
      <c r="B1028" t="s">
        <v>8153</v>
      </c>
      <c r="C1028" t="s">
        <v>1</v>
      </c>
      <c r="D1028" t="s">
        <v>1</v>
      </c>
      <c r="E1028" t="s">
        <v>8147</v>
      </c>
      <c r="F1028" t="s">
        <v>8146</v>
      </c>
      <c r="G1028">
        <v>2923</v>
      </c>
      <c r="H1028">
        <v>2923</v>
      </c>
      <c r="I1028">
        <v>2923</v>
      </c>
      <c r="J1028">
        <v>2923</v>
      </c>
      <c r="L1028" s="3">
        <v>0</v>
      </c>
      <c r="M1028" s="3">
        <v>0</v>
      </c>
      <c r="N1028" s="3">
        <v>0</v>
      </c>
      <c r="O1028" s="3">
        <v>104.52</v>
      </c>
      <c r="P1028" s="3">
        <v>0</v>
      </c>
      <c r="Q1028" s="3">
        <v>0</v>
      </c>
      <c r="R1028" s="3">
        <v>0</v>
      </c>
      <c r="S1028" s="3">
        <v>0</v>
      </c>
      <c r="T1028" s="3">
        <v>0</v>
      </c>
      <c r="U1028" s="3">
        <v>104.52</v>
      </c>
      <c r="V1028" t="s">
        <v>55</v>
      </c>
    </row>
    <row r="1029" spans="1:22" hidden="1" x14ac:dyDescent="0.25">
      <c r="A1029" t="s">
        <v>8126</v>
      </c>
      <c r="B1029" t="s">
        <v>8152</v>
      </c>
      <c r="C1029" t="s">
        <v>1</v>
      </c>
      <c r="D1029" t="s">
        <v>1</v>
      </c>
      <c r="E1029" t="s">
        <v>8147</v>
      </c>
      <c r="F1029" t="s">
        <v>8146</v>
      </c>
      <c r="G1029">
        <v>2924</v>
      </c>
      <c r="H1029">
        <v>2924</v>
      </c>
      <c r="I1029">
        <v>2924</v>
      </c>
      <c r="J1029">
        <v>2924</v>
      </c>
      <c r="L1029" s="3">
        <v>0</v>
      </c>
      <c r="M1029" s="3">
        <v>0</v>
      </c>
      <c r="N1029" s="3">
        <v>0</v>
      </c>
      <c r="O1029" s="3">
        <v>8094.16</v>
      </c>
      <c r="P1029" s="3">
        <v>0</v>
      </c>
      <c r="Q1029" s="3">
        <v>0</v>
      </c>
      <c r="R1029" s="3">
        <v>0</v>
      </c>
      <c r="S1029" s="3">
        <v>0</v>
      </c>
      <c r="T1029" s="3">
        <v>0</v>
      </c>
      <c r="U1029" s="3">
        <v>8094.16</v>
      </c>
      <c r="V1029" t="s">
        <v>55</v>
      </c>
    </row>
    <row r="1030" spans="1:22" hidden="1" x14ac:dyDescent="0.25">
      <c r="A1030" t="s">
        <v>8126</v>
      </c>
      <c r="B1030" t="s">
        <v>8152</v>
      </c>
      <c r="C1030" t="s">
        <v>1</v>
      </c>
      <c r="D1030" t="s">
        <v>1</v>
      </c>
      <c r="E1030" t="s">
        <v>8147</v>
      </c>
      <c r="F1030" t="s">
        <v>8146</v>
      </c>
      <c r="G1030">
        <v>2925</v>
      </c>
      <c r="H1030">
        <v>2925</v>
      </c>
      <c r="I1030">
        <v>2925</v>
      </c>
      <c r="J1030">
        <v>2925</v>
      </c>
      <c r="L1030" s="3">
        <v>0</v>
      </c>
      <c r="M1030" s="3">
        <v>0</v>
      </c>
      <c r="N1030" s="3">
        <v>0</v>
      </c>
      <c r="O1030" s="3">
        <v>1008</v>
      </c>
      <c r="P1030" s="3">
        <v>0</v>
      </c>
      <c r="Q1030" s="3">
        <v>0</v>
      </c>
      <c r="R1030" s="3">
        <v>0</v>
      </c>
      <c r="S1030" s="3">
        <v>0</v>
      </c>
      <c r="T1030" s="3">
        <v>0</v>
      </c>
      <c r="U1030" s="3">
        <v>1008</v>
      </c>
      <c r="V1030" t="s">
        <v>55</v>
      </c>
    </row>
    <row r="1031" spans="1:22" hidden="1" x14ac:dyDescent="0.25">
      <c r="A1031" t="s">
        <v>8126</v>
      </c>
      <c r="B1031" t="s">
        <v>8152</v>
      </c>
      <c r="C1031" t="s">
        <v>1</v>
      </c>
      <c r="D1031" t="s">
        <v>1</v>
      </c>
      <c r="E1031" t="s">
        <v>8147</v>
      </c>
      <c r="F1031" t="s">
        <v>8146</v>
      </c>
      <c r="G1031">
        <v>2926</v>
      </c>
      <c r="H1031">
        <v>2926</v>
      </c>
      <c r="I1031">
        <v>2926</v>
      </c>
      <c r="J1031">
        <v>2926</v>
      </c>
      <c r="L1031" s="3">
        <v>0</v>
      </c>
      <c r="M1031" s="3">
        <v>0</v>
      </c>
      <c r="N1031" s="3">
        <v>0</v>
      </c>
      <c r="O1031" s="3">
        <v>364.02</v>
      </c>
      <c r="P1031" s="3">
        <v>0</v>
      </c>
      <c r="Q1031" s="3">
        <v>0</v>
      </c>
      <c r="R1031" s="3">
        <v>0</v>
      </c>
      <c r="S1031" s="3">
        <v>0</v>
      </c>
      <c r="T1031" s="3">
        <v>0</v>
      </c>
      <c r="U1031" s="3">
        <v>364.02</v>
      </c>
      <c r="V1031" t="s">
        <v>55</v>
      </c>
    </row>
    <row r="1032" spans="1:22" hidden="1" x14ac:dyDescent="0.25">
      <c r="A1032" t="s">
        <v>8126</v>
      </c>
      <c r="B1032" t="s">
        <v>8153</v>
      </c>
      <c r="C1032" t="s">
        <v>1</v>
      </c>
      <c r="D1032" t="s">
        <v>1</v>
      </c>
      <c r="E1032" t="s">
        <v>8147</v>
      </c>
      <c r="F1032" t="s">
        <v>8146</v>
      </c>
      <c r="G1032">
        <v>2927</v>
      </c>
      <c r="H1032">
        <v>2927</v>
      </c>
      <c r="I1032">
        <v>2927</v>
      </c>
      <c r="J1032">
        <v>2927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3">
        <v>0</v>
      </c>
      <c r="T1032" s="3">
        <v>0</v>
      </c>
      <c r="U1032" s="3">
        <v>0</v>
      </c>
      <c r="V1032" t="s">
        <v>55</v>
      </c>
    </row>
    <row r="1033" spans="1:22" hidden="1" x14ac:dyDescent="0.25">
      <c r="A1033" t="s">
        <v>8126</v>
      </c>
      <c r="B1033" t="s">
        <v>8152</v>
      </c>
      <c r="C1033" t="s">
        <v>1</v>
      </c>
      <c r="D1033" t="s">
        <v>1</v>
      </c>
      <c r="E1033" t="s">
        <v>8147</v>
      </c>
      <c r="F1033" t="s">
        <v>8146</v>
      </c>
      <c r="G1033">
        <v>2928</v>
      </c>
      <c r="H1033">
        <v>2928</v>
      </c>
      <c r="I1033">
        <v>2928</v>
      </c>
      <c r="J1033">
        <v>2928</v>
      </c>
      <c r="L1033" s="3">
        <v>0</v>
      </c>
      <c r="M1033" s="3">
        <v>0</v>
      </c>
      <c r="N1033" s="3">
        <v>0</v>
      </c>
      <c r="O1033" s="3">
        <v>884.94</v>
      </c>
      <c r="P1033" s="3">
        <v>0</v>
      </c>
      <c r="Q1033" s="3">
        <v>0</v>
      </c>
      <c r="R1033" s="3">
        <v>0</v>
      </c>
      <c r="S1033" s="3">
        <v>0</v>
      </c>
      <c r="T1033" s="3">
        <v>0</v>
      </c>
      <c r="U1033" s="3">
        <v>884.94</v>
      </c>
      <c r="V1033" t="s">
        <v>55</v>
      </c>
    </row>
    <row r="1034" spans="1:22" hidden="1" x14ac:dyDescent="0.25">
      <c r="A1034" t="s">
        <v>8126</v>
      </c>
      <c r="B1034" t="s">
        <v>8152</v>
      </c>
      <c r="C1034" t="s">
        <v>1</v>
      </c>
      <c r="D1034" t="s">
        <v>1</v>
      </c>
      <c r="E1034" t="s">
        <v>8147</v>
      </c>
      <c r="F1034" t="s">
        <v>8146</v>
      </c>
      <c r="G1034">
        <v>2929</v>
      </c>
      <c r="H1034">
        <v>2929</v>
      </c>
      <c r="I1034">
        <v>2929</v>
      </c>
      <c r="J1034">
        <v>2929</v>
      </c>
      <c r="L1034" s="3">
        <v>0</v>
      </c>
      <c r="M1034" s="3">
        <v>0</v>
      </c>
      <c r="N1034" s="3">
        <v>0</v>
      </c>
      <c r="O1034" s="3">
        <v>110.88</v>
      </c>
      <c r="P1034" s="3">
        <v>0</v>
      </c>
      <c r="Q1034" s="3">
        <v>0</v>
      </c>
      <c r="R1034" s="3">
        <v>0</v>
      </c>
      <c r="S1034" s="3">
        <v>0</v>
      </c>
      <c r="T1034" s="3">
        <v>0</v>
      </c>
      <c r="U1034" s="3">
        <v>110.88</v>
      </c>
      <c r="V1034" t="s">
        <v>55</v>
      </c>
    </row>
    <row r="1035" spans="1:22" hidden="1" x14ac:dyDescent="0.25">
      <c r="A1035" t="s">
        <v>8126</v>
      </c>
      <c r="B1035" t="s">
        <v>8152</v>
      </c>
      <c r="C1035" t="s">
        <v>1</v>
      </c>
      <c r="D1035" t="s">
        <v>1</v>
      </c>
      <c r="E1035" t="s">
        <v>8147</v>
      </c>
      <c r="F1035" t="s">
        <v>8146</v>
      </c>
      <c r="G1035">
        <v>2930</v>
      </c>
      <c r="H1035">
        <v>2930</v>
      </c>
      <c r="I1035">
        <v>2930</v>
      </c>
      <c r="J1035">
        <v>2930</v>
      </c>
      <c r="L1035" s="3">
        <v>0</v>
      </c>
      <c r="M1035" s="3">
        <v>0</v>
      </c>
      <c r="N1035" s="3">
        <v>0</v>
      </c>
      <c r="O1035" s="3">
        <v>24.58</v>
      </c>
      <c r="P1035" s="3">
        <v>0</v>
      </c>
      <c r="Q1035" s="3">
        <v>0</v>
      </c>
      <c r="R1035" s="3">
        <v>0</v>
      </c>
      <c r="S1035" s="3">
        <v>0</v>
      </c>
      <c r="T1035" s="3">
        <v>0</v>
      </c>
      <c r="U1035" s="3">
        <v>24.58</v>
      </c>
      <c r="V1035" t="s">
        <v>55</v>
      </c>
    </row>
    <row r="1036" spans="1:22" hidden="1" x14ac:dyDescent="0.25">
      <c r="A1036" t="s">
        <v>8126</v>
      </c>
      <c r="B1036" t="s">
        <v>8131</v>
      </c>
      <c r="C1036" t="s">
        <v>1</v>
      </c>
      <c r="D1036" t="s">
        <v>1</v>
      </c>
      <c r="E1036" t="s">
        <v>8147</v>
      </c>
      <c r="F1036" t="s">
        <v>8146</v>
      </c>
      <c r="G1036">
        <v>2931</v>
      </c>
      <c r="H1036">
        <v>2931</v>
      </c>
      <c r="I1036">
        <v>2931</v>
      </c>
      <c r="J1036">
        <v>2931</v>
      </c>
      <c r="L1036" s="3">
        <v>0</v>
      </c>
      <c r="M1036" s="3">
        <v>0</v>
      </c>
      <c r="N1036" s="3">
        <v>0</v>
      </c>
      <c r="O1036" s="3">
        <v>69.069999999999993</v>
      </c>
      <c r="P1036" s="3">
        <v>0</v>
      </c>
      <c r="Q1036" s="3">
        <v>0</v>
      </c>
      <c r="R1036" s="3">
        <v>0</v>
      </c>
      <c r="S1036" s="3">
        <v>0</v>
      </c>
      <c r="T1036" s="3">
        <v>0</v>
      </c>
      <c r="U1036" s="3">
        <v>69.069999999999993</v>
      </c>
      <c r="V1036" t="s">
        <v>55</v>
      </c>
    </row>
    <row r="1037" spans="1:22" hidden="1" x14ac:dyDescent="0.25">
      <c r="A1037" t="s">
        <v>8126</v>
      </c>
      <c r="B1037" t="s">
        <v>8131</v>
      </c>
      <c r="C1037" t="s">
        <v>1</v>
      </c>
      <c r="D1037" t="s">
        <v>1</v>
      </c>
      <c r="E1037" t="s">
        <v>8147</v>
      </c>
      <c r="F1037" t="s">
        <v>8146</v>
      </c>
      <c r="G1037">
        <v>2932</v>
      </c>
      <c r="H1037">
        <v>2932</v>
      </c>
      <c r="I1037">
        <v>2932</v>
      </c>
      <c r="J1037">
        <v>2932</v>
      </c>
      <c r="L1037" s="3">
        <v>0</v>
      </c>
      <c r="M1037" s="3">
        <v>0</v>
      </c>
      <c r="N1037" s="3">
        <v>0</v>
      </c>
      <c r="O1037" s="3">
        <v>816.41</v>
      </c>
      <c r="P1037" s="3">
        <v>0</v>
      </c>
      <c r="Q1037" s="3">
        <v>0</v>
      </c>
      <c r="R1037" s="3">
        <v>0</v>
      </c>
      <c r="S1037" s="3">
        <v>0</v>
      </c>
      <c r="T1037" s="3">
        <v>0</v>
      </c>
      <c r="U1037" s="3">
        <v>816.41</v>
      </c>
      <c r="V1037" t="s">
        <v>55</v>
      </c>
    </row>
    <row r="1038" spans="1:22" hidden="1" x14ac:dyDescent="0.25">
      <c r="A1038" t="s">
        <v>8126</v>
      </c>
      <c r="B1038" t="s">
        <v>8131</v>
      </c>
      <c r="C1038" t="s">
        <v>1</v>
      </c>
      <c r="D1038" t="s">
        <v>1</v>
      </c>
      <c r="E1038" t="s">
        <v>8147</v>
      </c>
      <c r="F1038" t="s">
        <v>8146</v>
      </c>
      <c r="G1038">
        <v>2933</v>
      </c>
      <c r="H1038">
        <v>2933</v>
      </c>
      <c r="I1038">
        <v>2933</v>
      </c>
      <c r="J1038">
        <v>2933</v>
      </c>
      <c r="L1038" s="3">
        <v>0</v>
      </c>
      <c r="M1038" s="3">
        <v>0</v>
      </c>
      <c r="N1038" s="3">
        <v>0</v>
      </c>
      <c r="O1038" s="3">
        <v>56.5</v>
      </c>
      <c r="P1038" s="3">
        <v>0</v>
      </c>
      <c r="Q1038" s="3">
        <v>0</v>
      </c>
      <c r="R1038" s="3">
        <v>0</v>
      </c>
      <c r="S1038" s="3">
        <v>0</v>
      </c>
      <c r="T1038" s="3">
        <v>0</v>
      </c>
      <c r="U1038" s="3">
        <v>56.5</v>
      </c>
      <c r="V1038" t="s">
        <v>55</v>
      </c>
    </row>
    <row r="1039" spans="1:22" hidden="1" x14ac:dyDescent="0.25">
      <c r="A1039" t="s">
        <v>8126</v>
      </c>
      <c r="B1039" t="s">
        <v>8131</v>
      </c>
      <c r="C1039" t="s">
        <v>1</v>
      </c>
      <c r="D1039" t="s">
        <v>1</v>
      </c>
      <c r="E1039" t="s">
        <v>8147</v>
      </c>
      <c r="F1039" t="s">
        <v>8146</v>
      </c>
      <c r="G1039">
        <v>2934</v>
      </c>
      <c r="H1039">
        <v>2934</v>
      </c>
      <c r="I1039">
        <v>2934</v>
      </c>
      <c r="J1039">
        <v>2934</v>
      </c>
      <c r="L1039" s="3">
        <v>0</v>
      </c>
      <c r="M1039" s="3">
        <v>0</v>
      </c>
      <c r="N1039" s="3">
        <v>0</v>
      </c>
      <c r="O1039" s="3">
        <v>506.24</v>
      </c>
      <c r="P1039" s="3">
        <v>0</v>
      </c>
      <c r="Q1039" s="3">
        <v>0</v>
      </c>
      <c r="R1039" s="3">
        <v>0</v>
      </c>
      <c r="S1039" s="3">
        <v>0</v>
      </c>
      <c r="T1039" s="3">
        <v>0</v>
      </c>
      <c r="U1039" s="3">
        <v>506.24</v>
      </c>
      <c r="V1039" t="s">
        <v>55</v>
      </c>
    </row>
    <row r="1040" spans="1:22" hidden="1" x14ac:dyDescent="0.25">
      <c r="A1040" t="s">
        <v>8126</v>
      </c>
      <c r="B1040" t="s">
        <v>8131</v>
      </c>
      <c r="C1040" t="s">
        <v>1</v>
      </c>
      <c r="D1040" t="s">
        <v>1</v>
      </c>
      <c r="E1040" t="s">
        <v>8147</v>
      </c>
      <c r="F1040" t="s">
        <v>8146</v>
      </c>
      <c r="G1040">
        <v>2935</v>
      </c>
      <c r="H1040">
        <v>2935</v>
      </c>
      <c r="I1040">
        <v>2935</v>
      </c>
      <c r="J1040">
        <v>2935</v>
      </c>
      <c r="L1040" s="3">
        <v>0</v>
      </c>
      <c r="M1040" s="3">
        <v>0</v>
      </c>
      <c r="N1040" s="3">
        <v>0</v>
      </c>
      <c r="O1040" s="3">
        <v>654.36</v>
      </c>
      <c r="P1040" s="3">
        <v>0</v>
      </c>
      <c r="Q1040" s="3">
        <v>0</v>
      </c>
      <c r="R1040" s="3">
        <v>0</v>
      </c>
      <c r="S1040" s="3">
        <v>0</v>
      </c>
      <c r="T1040" s="3">
        <v>0</v>
      </c>
      <c r="U1040" s="3">
        <v>654.36</v>
      </c>
      <c r="V1040" t="s">
        <v>55</v>
      </c>
    </row>
    <row r="1041" spans="1:22" hidden="1" x14ac:dyDescent="0.25">
      <c r="A1041" t="s">
        <v>8126</v>
      </c>
      <c r="B1041" t="s">
        <v>8131</v>
      </c>
      <c r="C1041" t="s">
        <v>1</v>
      </c>
      <c r="D1041" t="s">
        <v>1</v>
      </c>
      <c r="E1041" t="s">
        <v>8147</v>
      </c>
      <c r="F1041" t="s">
        <v>8146</v>
      </c>
      <c r="G1041">
        <v>2936</v>
      </c>
      <c r="H1041">
        <v>2936</v>
      </c>
      <c r="I1041">
        <v>2936</v>
      </c>
      <c r="J1041">
        <v>2936</v>
      </c>
      <c r="L1041" s="3">
        <v>0</v>
      </c>
      <c r="M1041" s="3">
        <v>0</v>
      </c>
      <c r="N1041" s="3">
        <v>0</v>
      </c>
      <c r="O1041" s="3">
        <v>116.2</v>
      </c>
      <c r="P1041" s="3">
        <v>0</v>
      </c>
      <c r="Q1041" s="3">
        <v>0</v>
      </c>
      <c r="R1041" s="3">
        <v>0</v>
      </c>
      <c r="S1041" s="3">
        <v>0</v>
      </c>
      <c r="T1041" s="3">
        <v>0</v>
      </c>
      <c r="U1041" s="3">
        <v>116.2</v>
      </c>
      <c r="V1041" t="s">
        <v>55</v>
      </c>
    </row>
    <row r="1042" spans="1:22" hidden="1" x14ac:dyDescent="0.25">
      <c r="A1042" t="s">
        <v>8126</v>
      </c>
      <c r="B1042" t="s">
        <v>8131</v>
      </c>
      <c r="C1042" t="s">
        <v>1</v>
      </c>
      <c r="D1042" t="s">
        <v>1</v>
      </c>
      <c r="E1042" t="s">
        <v>8147</v>
      </c>
      <c r="F1042" t="s">
        <v>8146</v>
      </c>
      <c r="G1042">
        <v>2937</v>
      </c>
      <c r="H1042">
        <v>2937</v>
      </c>
      <c r="I1042">
        <v>2937</v>
      </c>
      <c r="J1042">
        <v>2937</v>
      </c>
      <c r="L1042" s="3">
        <v>0</v>
      </c>
      <c r="M1042" s="3">
        <v>0</v>
      </c>
      <c r="N1042" s="3">
        <v>0</v>
      </c>
      <c r="O1042" s="3">
        <v>413.75</v>
      </c>
      <c r="P1042" s="3">
        <v>0</v>
      </c>
      <c r="Q1042" s="3">
        <v>0</v>
      </c>
      <c r="R1042" s="3">
        <v>0</v>
      </c>
      <c r="S1042" s="3">
        <v>0</v>
      </c>
      <c r="T1042" s="3">
        <v>0</v>
      </c>
      <c r="U1042" s="3">
        <v>413.75</v>
      </c>
      <c r="V1042" t="s">
        <v>55</v>
      </c>
    </row>
    <row r="1043" spans="1:22" hidden="1" x14ac:dyDescent="0.25">
      <c r="A1043" t="s">
        <v>8126</v>
      </c>
      <c r="B1043" t="s">
        <v>8131</v>
      </c>
      <c r="C1043" t="s">
        <v>1</v>
      </c>
      <c r="D1043" t="s">
        <v>1</v>
      </c>
      <c r="E1043" t="s">
        <v>8147</v>
      </c>
      <c r="F1043" t="s">
        <v>8146</v>
      </c>
      <c r="G1043">
        <v>2938</v>
      </c>
      <c r="H1043">
        <v>2938</v>
      </c>
      <c r="I1043">
        <v>2938</v>
      </c>
      <c r="J1043">
        <v>2938</v>
      </c>
      <c r="L1043" s="3">
        <v>0</v>
      </c>
      <c r="M1043" s="3">
        <v>0</v>
      </c>
      <c r="N1043" s="3">
        <v>0</v>
      </c>
      <c r="O1043" s="3">
        <v>12.15</v>
      </c>
      <c r="P1043" s="3">
        <v>0</v>
      </c>
      <c r="Q1043" s="3">
        <v>0</v>
      </c>
      <c r="R1043" s="3">
        <v>0</v>
      </c>
      <c r="S1043" s="3">
        <v>0</v>
      </c>
      <c r="T1043" s="3">
        <v>0</v>
      </c>
      <c r="U1043" s="3">
        <v>12.15</v>
      </c>
      <c r="V1043" t="s">
        <v>55</v>
      </c>
    </row>
    <row r="1044" spans="1:22" hidden="1" x14ac:dyDescent="0.25">
      <c r="A1044" t="s">
        <v>8126</v>
      </c>
      <c r="B1044" t="s">
        <v>8151</v>
      </c>
      <c r="C1044" t="s">
        <v>1</v>
      </c>
      <c r="D1044" t="s">
        <v>1</v>
      </c>
      <c r="E1044" t="s">
        <v>8147</v>
      </c>
      <c r="F1044" t="s">
        <v>8146</v>
      </c>
      <c r="G1044">
        <v>2939</v>
      </c>
      <c r="H1044">
        <v>2939</v>
      </c>
      <c r="I1044">
        <v>2939</v>
      </c>
      <c r="J1044">
        <v>2939</v>
      </c>
      <c r="L1044" s="3">
        <v>0</v>
      </c>
      <c r="M1044" s="3">
        <v>0</v>
      </c>
      <c r="N1044" s="3">
        <v>0</v>
      </c>
      <c r="O1044" s="3">
        <v>562.91999999999996</v>
      </c>
      <c r="P1044" s="3">
        <v>0</v>
      </c>
      <c r="Q1044" s="3">
        <v>0</v>
      </c>
      <c r="R1044" s="3">
        <v>0</v>
      </c>
      <c r="S1044" s="3">
        <v>0</v>
      </c>
      <c r="T1044" s="3">
        <v>0</v>
      </c>
      <c r="U1044" s="3">
        <v>562.91999999999996</v>
      </c>
      <c r="V1044" t="s">
        <v>55</v>
      </c>
    </row>
    <row r="1045" spans="1:22" hidden="1" x14ac:dyDescent="0.25">
      <c r="A1045" t="s">
        <v>8126</v>
      </c>
      <c r="B1045" t="s">
        <v>8151</v>
      </c>
      <c r="C1045" t="s">
        <v>1</v>
      </c>
      <c r="D1045" t="s">
        <v>1</v>
      </c>
      <c r="E1045" t="s">
        <v>8147</v>
      </c>
      <c r="F1045" t="s">
        <v>8146</v>
      </c>
      <c r="G1045">
        <v>2940</v>
      </c>
      <c r="H1045">
        <v>2940</v>
      </c>
      <c r="I1045">
        <v>2940</v>
      </c>
      <c r="J1045">
        <v>2940</v>
      </c>
      <c r="L1045" s="3">
        <v>0</v>
      </c>
      <c r="M1045" s="3">
        <v>0</v>
      </c>
      <c r="N1045" s="3">
        <v>0</v>
      </c>
      <c r="O1045" s="3">
        <v>722.13</v>
      </c>
      <c r="P1045" s="3">
        <v>0</v>
      </c>
      <c r="Q1045" s="3">
        <v>0</v>
      </c>
      <c r="R1045" s="3">
        <v>0</v>
      </c>
      <c r="S1045" s="3">
        <v>0</v>
      </c>
      <c r="T1045" s="3">
        <v>0</v>
      </c>
      <c r="U1045" s="3">
        <v>722.13</v>
      </c>
      <c r="V1045" t="s">
        <v>55</v>
      </c>
    </row>
    <row r="1046" spans="1:22" hidden="1" x14ac:dyDescent="0.25">
      <c r="A1046" t="s">
        <v>8126</v>
      </c>
      <c r="B1046" t="s">
        <v>8151</v>
      </c>
      <c r="C1046" t="s">
        <v>1</v>
      </c>
      <c r="D1046" t="s">
        <v>1</v>
      </c>
      <c r="E1046" t="s">
        <v>8147</v>
      </c>
      <c r="F1046" t="s">
        <v>8146</v>
      </c>
      <c r="G1046">
        <v>2941</v>
      </c>
      <c r="H1046">
        <v>2941</v>
      </c>
      <c r="I1046">
        <v>2941</v>
      </c>
      <c r="J1046">
        <v>2941</v>
      </c>
      <c r="L1046" s="3">
        <v>0</v>
      </c>
      <c r="M1046" s="3">
        <v>0</v>
      </c>
      <c r="N1046" s="3">
        <v>0</v>
      </c>
      <c r="O1046" s="3">
        <v>329.04</v>
      </c>
      <c r="P1046" s="3">
        <v>0</v>
      </c>
      <c r="Q1046" s="3">
        <v>0</v>
      </c>
      <c r="R1046" s="3">
        <v>0</v>
      </c>
      <c r="S1046" s="3">
        <v>0</v>
      </c>
      <c r="T1046" s="3">
        <v>0</v>
      </c>
      <c r="U1046" s="3">
        <v>329.04</v>
      </c>
      <c r="V1046" t="s">
        <v>55</v>
      </c>
    </row>
    <row r="1047" spans="1:22" hidden="1" x14ac:dyDescent="0.25">
      <c r="A1047" t="s">
        <v>8126</v>
      </c>
      <c r="B1047" t="s">
        <v>8151</v>
      </c>
      <c r="C1047" t="s">
        <v>1</v>
      </c>
      <c r="D1047" t="s">
        <v>1</v>
      </c>
      <c r="E1047" t="s">
        <v>8147</v>
      </c>
      <c r="F1047" t="s">
        <v>8146</v>
      </c>
      <c r="G1047">
        <v>2942</v>
      </c>
      <c r="H1047">
        <v>2942</v>
      </c>
      <c r="I1047">
        <v>2942</v>
      </c>
      <c r="J1047">
        <v>2942</v>
      </c>
      <c r="L1047" s="3">
        <v>0</v>
      </c>
      <c r="M1047" s="3">
        <v>0</v>
      </c>
      <c r="N1047" s="3">
        <v>0</v>
      </c>
      <c r="O1047" s="3">
        <v>209.84</v>
      </c>
      <c r="P1047" s="3">
        <v>0</v>
      </c>
      <c r="Q1047" s="3">
        <v>0</v>
      </c>
      <c r="R1047" s="3">
        <v>0</v>
      </c>
      <c r="S1047" s="3">
        <v>0</v>
      </c>
      <c r="T1047" s="3">
        <v>0</v>
      </c>
      <c r="U1047" s="3">
        <v>209.84</v>
      </c>
      <c r="V1047" t="s">
        <v>55</v>
      </c>
    </row>
    <row r="1048" spans="1:22" hidden="1" x14ac:dyDescent="0.25">
      <c r="A1048" t="s">
        <v>8126</v>
      </c>
      <c r="B1048" t="s">
        <v>8151</v>
      </c>
      <c r="C1048" t="s">
        <v>1</v>
      </c>
      <c r="D1048" t="s">
        <v>1</v>
      </c>
      <c r="E1048" t="s">
        <v>8147</v>
      </c>
      <c r="F1048" t="s">
        <v>8146</v>
      </c>
      <c r="G1048">
        <v>2943</v>
      </c>
      <c r="H1048">
        <v>2943</v>
      </c>
      <c r="I1048">
        <v>2943</v>
      </c>
      <c r="J1048">
        <v>2943</v>
      </c>
      <c r="L1048" s="3">
        <v>0</v>
      </c>
      <c r="M1048" s="3">
        <v>0</v>
      </c>
      <c r="N1048" s="3">
        <v>0</v>
      </c>
      <c r="O1048" s="3">
        <v>122.25</v>
      </c>
      <c r="P1048" s="3">
        <v>0</v>
      </c>
      <c r="Q1048" s="3">
        <v>0</v>
      </c>
      <c r="R1048" s="3">
        <v>0</v>
      </c>
      <c r="S1048" s="3">
        <v>0</v>
      </c>
      <c r="T1048" s="3">
        <v>0</v>
      </c>
      <c r="U1048" s="3">
        <v>122.25</v>
      </c>
      <c r="V1048" t="s">
        <v>55</v>
      </c>
    </row>
    <row r="1049" spans="1:22" hidden="1" x14ac:dyDescent="0.25">
      <c r="A1049" t="s">
        <v>8126</v>
      </c>
      <c r="B1049" t="s">
        <v>8151</v>
      </c>
      <c r="C1049" t="s">
        <v>1</v>
      </c>
      <c r="D1049" t="s">
        <v>1</v>
      </c>
      <c r="E1049" t="s">
        <v>8147</v>
      </c>
      <c r="F1049" t="s">
        <v>8146</v>
      </c>
      <c r="G1049">
        <v>2944</v>
      </c>
      <c r="H1049">
        <v>2944</v>
      </c>
      <c r="I1049">
        <v>2944</v>
      </c>
      <c r="J1049">
        <v>2944</v>
      </c>
      <c r="L1049" s="3">
        <v>0</v>
      </c>
      <c r="M1049" s="3">
        <v>0</v>
      </c>
      <c r="N1049" s="3">
        <v>0</v>
      </c>
      <c r="O1049" s="3">
        <v>602.5</v>
      </c>
      <c r="P1049" s="3">
        <v>0</v>
      </c>
      <c r="Q1049" s="3">
        <v>0</v>
      </c>
      <c r="R1049" s="3">
        <v>0</v>
      </c>
      <c r="S1049" s="3">
        <v>0</v>
      </c>
      <c r="T1049" s="3">
        <v>0</v>
      </c>
      <c r="U1049" s="3">
        <v>602.5</v>
      </c>
      <c r="V1049" t="s">
        <v>55</v>
      </c>
    </row>
    <row r="1050" spans="1:22" hidden="1" x14ac:dyDescent="0.25">
      <c r="A1050" t="s">
        <v>8126</v>
      </c>
      <c r="B1050" t="s">
        <v>8151</v>
      </c>
      <c r="C1050" t="s">
        <v>1</v>
      </c>
      <c r="D1050" t="s">
        <v>1</v>
      </c>
      <c r="E1050" t="s">
        <v>8147</v>
      </c>
      <c r="F1050" t="s">
        <v>8146</v>
      </c>
      <c r="G1050">
        <v>2945</v>
      </c>
      <c r="H1050">
        <v>2945</v>
      </c>
      <c r="I1050">
        <v>2945</v>
      </c>
      <c r="J1050">
        <v>2945</v>
      </c>
      <c r="L1050" s="3">
        <v>0</v>
      </c>
      <c r="M1050" s="3">
        <v>0</v>
      </c>
      <c r="N1050" s="3">
        <v>0</v>
      </c>
      <c r="O1050" s="3">
        <v>51</v>
      </c>
      <c r="P1050" s="3">
        <v>0</v>
      </c>
      <c r="Q1050" s="3">
        <v>0</v>
      </c>
      <c r="R1050" s="3">
        <v>0</v>
      </c>
      <c r="S1050" s="3">
        <v>0</v>
      </c>
      <c r="T1050" s="3">
        <v>0</v>
      </c>
      <c r="U1050" s="3">
        <v>51</v>
      </c>
      <c r="V1050" t="s">
        <v>55</v>
      </c>
    </row>
    <row r="1051" spans="1:22" hidden="1" x14ac:dyDescent="0.25">
      <c r="A1051" t="s">
        <v>8126</v>
      </c>
      <c r="B1051" t="s">
        <v>8143</v>
      </c>
      <c r="C1051" t="s">
        <v>1</v>
      </c>
      <c r="D1051" t="s">
        <v>1</v>
      </c>
      <c r="E1051" t="s">
        <v>8147</v>
      </c>
      <c r="F1051" t="s">
        <v>8146</v>
      </c>
      <c r="G1051">
        <v>2946</v>
      </c>
      <c r="H1051">
        <v>2946</v>
      </c>
      <c r="I1051">
        <v>2946</v>
      </c>
      <c r="J1051">
        <v>2946</v>
      </c>
      <c r="L1051" s="3">
        <v>0</v>
      </c>
      <c r="M1051" s="3">
        <v>0</v>
      </c>
      <c r="N1051" s="3">
        <v>0</v>
      </c>
      <c r="O1051" s="3">
        <v>225</v>
      </c>
      <c r="P1051" s="3">
        <v>0</v>
      </c>
      <c r="Q1051" s="3">
        <v>0</v>
      </c>
      <c r="R1051" s="3">
        <v>0</v>
      </c>
      <c r="S1051" s="3">
        <v>0</v>
      </c>
      <c r="T1051" s="3">
        <v>0</v>
      </c>
      <c r="U1051" s="3">
        <v>225</v>
      </c>
      <c r="V1051" t="s">
        <v>55</v>
      </c>
    </row>
    <row r="1052" spans="1:22" hidden="1" x14ac:dyDescent="0.25">
      <c r="A1052" t="s">
        <v>8126</v>
      </c>
      <c r="B1052" t="s">
        <v>8143</v>
      </c>
      <c r="C1052" t="s">
        <v>1</v>
      </c>
      <c r="D1052" t="s">
        <v>1</v>
      </c>
      <c r="E1052" t="s">
        <v>8147</v>
      </c>
      <c r="F1052" t="s">
        <v>8146</v>
      </c>
      <c r="G1052">
        <v>2947</v>
      </c>
      <c r="H1052">
        <v>2947</v>
      </c>
      <c r="I1052">
        <v>2947</v>
      </c>
      <c r="J1052">
        <v>2947</v>
      </c>
      <c r="L1052" s="3">
        <v>0</v>
      </c>
      <c r="M1052" s="3">
        <v>0</v>
      </c>
      <c r="N1052" s="3">
        <v>0</v>
      </c>
      <c r="O1052" s="3">
        <v>108.94</v>
      </c>
      <c r="P1052" s="3">
        <v>0</v>
      </c>
      <c r="Q1052" s="3">
        <v>0</v>
      </c>
      <c r="R1052" s="3">
        <v>0</v>
      </c>
      <c r="S1052" s="3">
        <v>0</v>
      </c>
      <c r="T1052" s="3">
        <v>0</v>
      </c>
      <c r="U1052" s="3">
        <v>108.94</v>
      </c>
      <c r="V1052" t="s">
        <v>55</v>
      </c>
    </row>
    <row r="1053" spans="1:22" hidden="1" x14ac:dyDescent="0.25">
      <c r="A1053" t="s">
        <v>8126</v>
      </c>
      <c r="B1053" t="s">
        <v>8143</v>
      </c>
      <c r="C1053" t="s">
        <v>1</v>
      </c>
      <c r="D1053" t="s">
        <v>1</v>
      </c>
      <c r="E1053" t="s">
        <v>8147</v>
      </c>
      <c r="F1053" t="s">
        <v>8146</v>
      </c>
      <c r="G1053">
        <v>2948</v>
      </c>
      <c r="H1053">
        <v>2948</v>
      </c>
      <c r="I1053">
        <v>2948</v>
      </c>
      <c r="J1053">
        <v>2948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3">
        <v>0</v>
      </c>
      <c r="T1053" s="3">
        <v>0</v>
      </c>
      <c r="U1053" s="3">
        <v>0</v>
      </c>
      <c r="V1053" t="s">
        <v>55</v>
      </c>
    </row>
    <row r="1054" spans="1:22" hidden="1" x14ac:dyDescent="0.25">
      <c r="A1054" t="s">
        <v>8126</v>
      </c>
      <c r="B1054" t="s">
        <v>8143</v>
      </c>
      <c r="C1054" t="s">
        <v>1</v>
      </c>
      <c r="D1054" t="s">
        <v>1</v>
      </c>
      <c r="E1054" t="s">
        <v>8147</v>
      </c>
      <c r="F1054" t="s">
        <v>8146</v>
      </c>
      <c r="G1054">
        <v>2949</v>
      </c>
      <c r="H1054">
        <v>2949</v>
      </c>
      <c r="I1054">
        <v>2949</v>
      </c>
      <c r="J1054">
        <v>2949</v>
      </c>
      <c r="L1054" s="3">
        <v>0</v>
      </c>
      <c r="M1054" s="3">
        <v>0</v>
      </c>
      <c r="N1054" s="3">
        <v>0</v>
      </c>
      <c r="O1054" s="3">
        <v>220.12</v>
      </c>
      <c r="P1054" s="3">
        <v>0</v>
      </c>
      <c r="Q1054" s="3">
        <v>0</v>
      </c>
      <c r="R1054" s="3">
        <v>0</v>
      </c>
      <c r="S1054" s="3">
        <v>0</v>
      </c>
      <c r="T1054" s="3">
        <v>0</v>
      </c>
      <c r="U1054" s="3">
        <v>220.12</v>
      </c>
      <c r="V1054" t="s">
        <v>55</v>
      </c>
    </row>
    <row r="1055" spans="1:22" hidden="1" x14ac:dyDescent="0.25">
      <c r="A1055" t="s">
        <v>8126</v>
      </c>
      <c r="B1055" t="s">
        <v>8150</v>
      </c>
      <c r="C1055" t="s">
        <v>1</v>
      </c>
      <c r="D1055" t="s">
        <v>1</v>
      </c>
      <c r="E1055" t="s">
        <v>8147</v>
      </c>
      <c r="F1055" t="s">
        <v>8146</v>
      </c>
      <c r="G1055">
        <v>2950</v>
      </c>
      <c r="H1055">
        <v>2950</v>
      </c>
      <c r="I1055">
        <v>2950</v>
      </c>
      <c r="J1055">
        <v>2950</v>
      </c>
      <c r="L1055" s="3">
        <v>0</v>
      </c>
      <c r="M1055" s="3">
        <v>0</v>
      </c>
      <c r="N1055" s="3">
        <v>0</v>
      </c>
      <c r="O1055" s="3">
        <v>15.03</v>
      </c>
      <c r="P1055" s="3">
        <v>0</v>
      </c>
      <c r="Q1055" s="3">
        <v>0</v>
      </c>
      <c r="R1055" s="3">
        <v>0</v>
      </c>
      <c r="S1055" s="3">
        <v>0</v>
      </c>
      <c r="T1055" s="3">
        <v>0</v>
      </c>
      <c r="U1055" s="3">
        <v>15.03</v>
      </c>
      <c r="V1055" t="s">
        <v>55</v>
      </c>
    </row>
    <row r="1056" spans="1:22" hidden="1" x14ac:dyDescent="0.25">
      <c r="A1056" t="s">
        <v>8126</v>
      </c>
      <c r="B1056" t="s">
        <v>8150</v>
      </c>
      <c r="C1056" t="s">
        <v>1</v>
      </c>
      <c r="D1056" t="s">
        <v>1</v>
      </c>
      <c r="E1056" t="s">
        <v>8147</v>
      </c>
      <c r="F1056" t="s">
        <v>8146</v>
      </c>
      <c r="G1056">
        <v>2951</v>
      </c>
      <c r="H1056">
        <v>2951</v>
      </c>
      <c r="I1056">
        <v>2951</v>
      </c>
      <c r="J1056">
        <v>2951</v>
      </c>
      <c r="L1056" s="3">
        <v>0</v>
      </c>
      <c r="M1056" s="3">
        <v>0</v>
      </c>
      <c r="N1056" s="3">
        <v>0</v>
      </c>
      <c r="O1056" s="3">
        <v>78.349999999999994</v>
      </c>
      <c r="P1056" s="3">
        <v>0</v>
      </c>
      <c r="Q1056" s="3">
        <v>0</v>
      </c>
      <c r="R1056" s="3">
        <v>0</v>
      </c>
      <c r="S1056" s="3">
        <v>0</v>
      </c>
      <c r="T1056" s="3">
        <v>0</v>
      </c>
      <c r="U1056" s="3">
        <v>78.349999999999994</v>
      </c>
      <c r="V1056" t="s">
        <v>55</v>
      </c>
    </row>
    <row r="1057" spans="1:22" hidden="1" x14ac:dyDescent="0.25">
      <c r="A1057" t="s">
        <v>8126</v>
      </c>
      <c r="B1057" t="s">
        <v>8150</v>
      </c>
      <c r="C1057" t="s">
        <v>1</v>
      </c>
      <c r="D1057" t="s">
        <v>1</v>
      </c>
      <c r="E1057" t="s">
        <v>8147</v>
      </c>
      <c r="F1057" t="s">
        <v>8146</v>
      </c>
      <c r="G1057">
        <v>2952</v>
      </c>
      <c r="H1057">
        <v>2952</v>
      </c>
      <c r="I1057">
        <v>2952</v>
      </c>
      <c r="J1057">
        <v>2952</v>
      </c>
      <c r="L1057" s="3">
        <v>0</v>
      </c>
      <c r="M1057" s="3">
        <v>0</v>
      </c>
      <c r="N1057" s="3">
        <v>0</v>
      </c>
      <c r="O1057" s="3">
        <v>162.43</v>
      </c>
      <c r="P1057" s="3">
        <v>0</v>
      </c>
      <c r="Q1057" s="3">
        <v>0</v>
      </c>
      <c r="R1057" s="3">
        <v>0</v>
      </c>
      <c r="S1057" s="3">
        <v>0</v>
      </c>
      <c r="T1057" s="3">
        <v>0</v>
      </c>
      <c r="U1057" s="3">
        <v>162.43</v>
      </c>
      <c r="V1057" t="s">
        <v>55</v>
      </c>
    </row>
    <row r="1058" spans="1:22" hidden="1" x14ac:dyDescent="0.25">
      <c r="A1058" t="s">
        <v>8126</v>
      </c>
      <c r="B1058" t="s">
        <v>8150</v>
      </c>
      <c r="C1058" t="s">
        <v>1</v>
      </c>
      <c r="D1058" t="s">
        <v>1</v>
      </c>
      <c r="E1058" t="s">
        <v>8147</v>
      </c>
      <c r="F1058" t="s">
        <v>8146</v>
      </c>
      <c r="G1058">
        <v>2953</v>
      </c>
      <c r="H1058">
        <v>2953</v>
      </c>
      <c r="I1058">
        <v>2953</v>
      </c>
      <c r="J1058">
        <v>2953</v>
      </c>
      <c r="L1058" s="3">
        <v>0</v>
      </c>
      <c r="M1058" s="3">
        <v>0</v>
      </c>
      <c r="N1058" s="3">
        <v>0</v>
      </c>
      <c r="O1058" s="3">
        <v>45.37</v>
      </c>
      <c r="P1058" s="3">
        <v>0</v>
      </c>
      <c r="Q1058" s="3">
        <v>0</v>
      </c>
      <c r="R1058" s="3">
        <v>0</v>
      </c>
      <c r="S1058" s="3">
        <v>0</v>
      </c>
      <c r="T1058" s="3">
        <v>0</v>
      </c>
      <c r="U1058" s="3">
        <v>45.37</v>
      </c>
      <c r="V1058" t="s">
        <v>55</v>
      </c>
    </row>
    <row r="1059" spans="1:22" hidden="1" x14ac:dyDescent="0.25">
      <c r="A1059" t="s">
        <v>8126</v>
      </c>
      <c r="B1059" t="s">
        <v>8150</v>
      </c>
      <c r="C1059" t="s">
        <v>1</v>
      </c>
      <c r="D1059" t="s">
        <v>1</v>
      </c>
      <c r="E1059" t="s">
        <v>8147</v>
      </c>
      <c r="F1059" t="s">
        <v>8146</v>
      </c>
      <c r="G1059">
        <v>2954</v>
      </c>
      <c r="H1059">
        <v>2954</v>
      </c>
      <c r="I1059">
        <v>2954</v>
      </c>
      <c r="J1059">
        <v>2954</v>
      </c>
      <c r="L1059" s="3">
        <v>0</v>
      </c>
      <c r="M1059" s="3">
        <v>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3">
        <v>0</v>
      </c>
      <c r="T1059" s="3">
        <v>0</v>
      </c>
      <c r="U1059" s="3">
        <v>0</v>
      </c>
      <c r="V1059" t="s">
        <v>55</v>
      </c>
    </row>
    <row r="1060" spans="1:22" hidden="1" x14ac:dyDescent="0.25">
      <c r="A1060" t="s">
        <v>8126</v>
      </c>
      <c r="B1060" t="s">
        <v>8150</v>
      </c>
      <c r="C1060" t="s">
        <v>1</v>
      </c>
      <c r="D1060" t="s">
        <v>1</v>
      </c>
      <c r="E1060" t="s">
        <v>8147</v>
      </c>
      <c r="F1060" t="s">
        <v>8146</v>
      </c>
      <c r="G1060">
        <v>2955</v>
      </c>
      <c r="H1060">
        <v>2955</v>
      </c>
      <c r="I1060">
        <v>2955</v>
      </c>
      <c r="J1060">
        <v>2955</v>
      </c>
      <c r="L1060" s="3">
        <v>0</v>
      </c>
      <c r="M1060" s="3">
        <v>0</v>
      </c>
      <c r="N1060" s="3">
        <v>0</v>
      </c>
      <c r="O1060" s="3">
        <v>95.77</v>
      </c>
      <c r="P1060" s="3">
        <v>0</v>
      </c>
      <c r="Q1060" s="3">
        <v>0</v>
      </c>
      <c r="R1060" s="3">
        <v>0</v>
      </c>
      <c r="S1060" s="3">
        <v>0</v>
      </c>
      <c r="T1060" s="3">
        <v>0</v>
      </c>
      <c r="U1060" s="3">
        <v>95.77</v>
      </c>
      <c r="V1060" t="s">
        <v>55</v>
      </c>
    </row>
    <row r="1061" spans="1:22" hidden="1" x14ac:dyDescent="0.25">
      <c r="A1061" t="s">
        <v>8126</v>
      </c>
      <c r="B1061" t="s">
        <v>8150</v>
      </c>
      <c r="C1061" t="s">
        <v>1</v>
      </c>
      <c r="D1061" t="s">
        <v>1</v>
      </c>
      <c r="E1061" t="s">
        <v>8147</v>
      </c>
      <c r="F1061" t="s">
        <v>8146</v>
      </c>
      <c r="G1061">
        <v>2956</v>
      </c>
      <c r="H1061">
        <v>2956</v>
      </c>
      <c r="I1061">
        <v>2956</v>
      </c>
      <c r="J1061">
        <v>2956</v>
      </c>
      <c r="L1061" s="3">
        <v>0</v>
      </c>
      <c r="M1061" s="3">
        <v>0</v>
      </c>
      <c r="N1061" s="3">
        <v>0</v>
      </c>
      <c r="O1061" s="3">
        <v>34.799999999999997</v>
      </c>
      <c r="P1061" s="3">
        <v>0</v>
      </c>
      <c r="Q1061" s="3">
        <v>0</v>
      </c>
      <c r="R1061" s="3">
        <v>0</v>
      </c>
      <c r="S1061" s="3">
        <v>0</v>
      </c>
      <c r="T1061" s="3">
        <v>0</v>
      </c>
      <c r="U1061" s="3">
        <v>34.799999999999997</v>
      </c>
      <c r="V1061" t="s">
        <v>55</v>
      </c>
    </row>
    <row r="1062" spans="1:22" hidden="1" x14ac:dyDescent="0.25">
      <c r="A1062" t="s">
        <v>8126</v>
      </c>
      <c r="B1062" t="s">
        <v>8149</v>
      </c>
      <c r="C1062" t="s">
        <v>1</v>
      </c>
      <c r="D1062" t="s">
        <v>1</v>
      </c>
      <c r="E1062" t="s">
        <v>8147</v>
      </c>
      <c r="F1062" t="s">
        <v>8146</v>
      </c>
      <c r="G1062">
        <v>2957</v>
      </c>
      <c r="H1062">
        <v>2957</v>
      </c>
      <c r="I1062">
        <v>2957</v>
      </c>
      <c r="J1062">
        <v>2957</v>
      </c>
      <c r="L1062" s="3">
        <v>0</v>
      </c>
      <c r="M1062" s="3">
        <v>0</v>
      </c>
      <c r="N1062" s="3">
        <v>0</v>
      </c>
      <c r="O1062" s="3">
        <v>79.95</v>
      </c>
      <c r="P1062" s="3">
        <v>0</v>
      </c>
      <c r="Q1062" s="3">
        <v>0</v>
      </c>
      <c r="R1062" s="3">
        <v>0</v>
      </c>
      <c r="S1062" s="3">
        <v>0</v>
      </c>
      <c r="T1062" s="3">
        <v>0</v>
      </c>
      <c r="U1062" s="3">
        <v>79.95</v>
      </c>
      <c r="V1062" t="s">
        <v>55</v>
      </c>
    </row>
    <row r="1063" spans="1:22" hidden="1" x14ac:dyDescent="0.25">
      <c r="A1063" t="s">
        <v>8126</v>
      </c>
      <c r="B1063" t="s">
        <v>8149</v>
      </c>
      <c r="C1063" t="s">
        <v>1</v>
      </c>
      <c r="D1063" t="s">
        <v>1</v>
      </c>
      <c r="E1063" t="s">
        <v>8147</v>
      </c>
      <c r="F1063" t="s">
        <v>8146</v>
      </c>
      <c r="G1063">
        <v>2958</v>
      </c>
      <c r="H1063">
        <v>2958</v>
      </c>
      <c r="I1063">
        <v>2958</v>
      </c>
      <c r="J1063">
        <v>2958</v>
      </c>
      <c r="L1063" s="3">
        <v>0</v>
      </c>
      <c r="M1063" s="3">
        <v>0</v>
      </c>
      <c r="N1063" s="3">
        <v>0</v>
      </c>
      <c r="O1063" s="3">
        <v>15.99</v>
      </c>
      <c r="P1063" s="3">
        <v>0</v>
      </c>
      <c r="Q1063" s="3">
        <v>0</v>
      </c>
      <c r="R1063" s="3">
        <v>0</v>
      </c>
      <c r="S1063" s="3">
        <v>0</v>
      </c>
      <c r="T1063" s="3">
        <v>0</v>
      </c>
      <c r="U1063" s="3">
        <v>15.99</v>
      </c>
      <c r="V1063" t="s">
        <v>55</v>
      </c>
    </row>
    <row r="1064" spans="1:22" hidden="1" x14ac:dyDescent="0.25">
      <c r="A1064" t="s">
        <v>8126</v>
      </c>
      <c r="B1064" t="s">
        <v>8149</v>
      </c>
      <c r="C1064" t="s">
        <v>1</v>
      </c>
      <c r="D1064" t="s">
        <v>1</v>
      </c>
      <c r="E1064" t="s">
        <v>8147</v>
      </c>
      <c r="F1064" t="s">
        <v>8146</v>
      </c>
      <c r="G1064">
        <v>2959</v>
      </c>
      <c r="H1064">
        <v>2959</v>
      </c>
      <c r="I1064">
        <v>2959</v>
      </c>
      <c r="J1064">
        <v>2959</v>
      </c>
      <c r="L1064" s="3">
        <v>0</v>
      </c>
      <c r="M1064" s="3">
        <v>0</v>
      </c>
      <c r="N1064" s="3">
        <v>0</v>
      </c>
      <c r="O1064" s="3">
        <v>377.5</v>
      </c>
      <c r="P1064" s="3">
        <v>0</v>
      </c>
      <c r="Q1064" s="3">
        <v>0</v>
      </c>
      <c r="R1064" s="3">
        <v>0</v>
      </c>
      <c r="S1064" s="3">
        <v>0</v>
      </c>
      <c r="T1064" s="3">
        <v>0</v>
      </c>
      <c r="U1064" s="3">
        <v>377.5</v>
      </c>
      <c r="V1064" t="s">
        <v>55</v>
      </c>
    </row>
    <row r="1065" spans="1:22" hidden="1" x14ac:dyDescent="0.25">
      <c r="A1065" t="s">
        <v>8126</v>
      </c>
      <c r="B1065" t="s">
        <v>8149</v>
      </c>
      <c r="C1065" t="s">
        <v>1</v>
      </c>
      <c r="D1065" t="s">
        <v>1</v>
      </c>
      <c r="E1065" t="s">
        <v>8147</v>
      </c>
      <c r="F1065" t="s">
        <v>8146</v>
      </c>
      <c r="G1065">
        <v>2960</v>
      </c>
      <c r="H1065">
        <v>2960</v>
      </c>
      <c r="I1065">
        <v>2960</v>
      </c>
      <c r="J1065">
        <v>2960</v>
      </c>
      <c r="L1065" s="3">
        <v>0</v>
      </c>
      <c r="M1065" s="3">
        <v>0</v>
      </c>
      <c r="N1065" s="3">
        <v>0</v>
      </c>
      <c r="O1065" s="3">
        <v>31.25</v>
      </c>
      <c r="P1065" s="3">
        <v>0</v>
      </c>
      <c r="Q1065" s="3">
        <v>0</v>
      </c>
      <c r="R1065" s="3">
        <v>0</v>
      </c>
      <c r="S1065" s="3">
        <v>0</v>
      </c>
      <c r="T1065" s="3">
        <v>0</v>
      </c>
      <c r="U1065" s="3">
        <v>31.25</v>
      </c>
      <c r="V1065" t="s">
        <v>55</v>
      </c>
    </row>
    <row r="1066" spans="1:22" hidden="1" x14ac:dyDescent="0.25">
      <c r="A1066" t="s">
        <v>8126</v>
      </c>
      <c r="B1066" t="s">
        <v>8149</v>
      </c>
      <c r="C1066" t="s">
        <v>1</v>
      </c>
      <c r="D1066" t="s">
        <v>1</v>
      </c>
      <c r="E1066" t="s">
        <v>8147</v>
      </c>
      <c r="F1066" t="s">
        <v>8146</v>
      </c>
      <c r="G1066">
        <v>2961</v>
      </c>
      <c r="H1066">
        <v>2961</v>
      </c>
      <c r="I1066">
        <v>2961</v>
      </c>
      <c r="J1066">
        <v>2961</v>
      </c>
      <c r="L1066" s="3">
        <v>0</v>
      </c>
      <c r="M1066" s="3">
        <v>0</v>
      </c>
      <c r="N1066" s="3">
        <v>0</v>
      </c>
      <c r="O1066" s="3">
        <v>29.7</v>
      </c>
      <c r="P1066" s="3">
        <v>0</v>
      </c>
      <c r="Q1066" s="3">
        <v>0</v>
      </c>
      <c r="R1066" s="3">
        <v>0</v>
      </c>
      <c r="S1066" s="3">
        <v>0</v>
      </c>
      <c r="T1066" s="3">
        <v>0</v>
      </c>
      <c r="U1066" s="3">
        <v>29.7</v>
      </c>
      <c r="V1066" t="s">
        <v>55</v>
      </c>
    </row>
    <row r="1067" spans="1:22" hidden="1" x14ac:dyDescent="0.25">
      <c r="A1067" t="s">
        <v>8126</v>
      </c>
      <c r="B1067" t="s">
        <v>8149</v>
      </c>
      <c r="C1067" t="s">
        <v>1</v>
      </c>
      <c r="D1067" t="s">
        <v>1</v>
      </c>
      <c r="E1067" t="s">
        <v>8147</v>
      </c>
      <c r="F1067" t="s">
        <v>8146</v>
      </c>
      <c r="G1067">
        <v>2962</v>
      </c>
      <c r="H1067">
        <v>2962</v>
      </c>
      <c r="I1067">
        <v>2962</v>
      </c>
      <c r="J1067">
        <v>2962</v>
      </c>
      <c r="L1067" s="3">
        <v>0</v>
      </c>
      <c r="M1067" s="3">
        <v>0</v>
      </c>
      <c r="N1067" s="3">
        <v>0</v>
      </c>
      <c r="O1067" s="3">
        <v>45</v>
      </c>
      <c r="P1067" s="3">
        <v>0</v>
      </c>
      <c r="Q1067" s="3">
        <v>0</v>
      </c>
      <c r="R1067" s="3">
        <v>0</v>
      </c>
      <c r="S1067" s="3">
        <v>0</v>
      </c>
      <c r="T1067" s="3">
        <v>0</v>
      </c>
      <c r="U1067" s="3">
        <v>45</v>
      </c>
      <c r="V1067" t="s">
        <v>55</v>
      </c>
    </row>
    <row r="1068" spans="1:22" hidden="1" x14ac:dyDescent="0.25">
      <c r="A1068" t="s">
        <v>8126</v>
      </c>
      <c r="B1068" t="s">
        <v>8149</v>
      </c>
      <c r="C1068" t="s">
        <v>1</v>
      </c>
      <c r="D1068" t="s">
        <v>1</v>
      </c>
      <c r="E1068" t="s">
        <v>8147</v>
      </c>
      <c r="F1068" t="s">
        <v>8146</v>
      </c>
      <c r="G1068">
        <v>2963</v>
      </c>
      <c r="H1068">
        <v>2963</v>
      </c>
      <c r="I1068">
        <v>2963</v>
      </c>
      <c r="J1068">
        <v>2963</v>
      </c>
      <c r="L1068" s="3">
        <v>0</v>
      </c>
      <c r="M1068" s="3">
        <v>0</v>
      </c>
      <c r="N1068" s="3">
        <v>0</v>
      </c>
      <c r="O1068" s="3">
        <v>1078</v>
      </c>
      <c r="P1068" s="3">
        <v>0</v>
      </c>
      <c r="Q1068" s="3">
        <v>0</v>
      </c>
      <c r="R1068" s="3">
        <v>0</v>
      </c>
      <c r="S1068" s="3">
        <v>0</v>
      </c>
      <c r="T1068" s="3">
        <v>0</v>
      </c>
      <c r="U1068" s="3">
        <v>1078</v>
      </c>
      <c r="V1068" t="s">
        <v>55</v>
      </c>
    </row>
    <row r="1069" spans="1:22" hidden="1" x14ac:dyDescent="0.25">
      <c r="A1069" t="s">
        <v>8126</v>
      </c>
      <c r="B1069" t="s">
        <v>8149</v>
      </c>
      <c r="C1069" t="s">
        <v>1</v>
      </c>
      <c r="D1069" t="s">
        <v>1</v>
      </c>
      <c r="E1069" t="s">
        <v>8147</v>
      </c>
      <c r="F1069" t="s">
        <v>8146</v>
      </c>
      <c r="G1069">
        <v>2964</v>
      </c>
      <c r="H1069">
        <v>2964</v>
      </c>
      <c r="I1069">
        <v>2964</v>
      </c>
      <c r="J1069">
        <v>2964</v>
      </c>
      <c r="L1069" s="3">
        <v>0</v>
      </c>
      <c r="M1069" s="3">
        <v>0</v>
      </c>
      <c r="N1069" s="3">
        <v>0</v>
      </c>
      <c r="O1069" s="3">
        <v>298.32</v>
      </c>
      <c r="P1069" s="3">
        <v>0</v>
      </c>
      <c r="Q1069" s="3">
        <v>0</v>
      </c>
      <c r="R1069" s="3">
        <v>0</v>
      </c>
      <c r="S1069" s="3">
        <v>0</v>
      </c>
      <c r="T1069" s="3">
        <v>0</v>
      </c>
      <c r="U1069" s="3">
        <v>298.32</v>
      </c>
      <c r="V1069" t="s">
        <v>55</v>
      </c>
    </row>
    <row r="1070" spans="1:22" hidden="1" x14ac:dyDescent="0.25">
      <c r="A1070" t="s">
        <v>8126</v>
      </c>
      <c r="B1070" t="s">
        <v>8144</v>
      </c>
      <c r="C1070" t="s">
        <v>1</v>
      </c>
      <c r="D1070" t="s">
        <v>1</v>
      </c>
      <c r="E1070" t="s">
        <v>8147</v>
      </c>
      <c r="F1070" t="s">
        <v>8146</v>
      </c>
      <c r="G1070">
        <v>2965</v>
      </c>
      <c r="H1070">
        <v>2965</v>
      </c>
      <c r="I1070">
        <v>2965</v>
      </c>
      <c r="J1070">
        <v>2965</v>
      </c>
      <c r="L1070" s="3">
        <v>0</v>
      </c>
      <c r="M1070" s="3">
        <v>0</v>
      </c>
      <c r="N1070" s="3">
        <v>0</v>
      </c>
      <c r="O1070" s="3">
        <v>35.43</v>
      </c>
      <c r="P1070" s="3">
        <v>0</v>
      </c>
      <c r="Q1070" s="3">
        <v>0</v>
      </c>
      <c r="R1070" s="3">
        <v>0</v>
      </c>
      <c r="S1070" s="3">
        <v>0</v>
      </c>
      <c r="T1070" s="3">
        <v>0</v>
      </c>
      <c r="U1070" s="3">
        <v>35.43</v>
      </c>
      <c r="V1070" t="s">
        <v>55</v>
      </c>
    </row>
    <row r="1071" spans="1:22" hidden="1" x14ac:dyDescent="0.25">
      <c r="A1071" t="s">
        <v>8126</v>
      </c>
      <c r="B1071" t="s">
        <v>8144</v>
      </c>
      <c r="C1071" t="s">
        <v>1</v>
      </c>
      <c r="D1071" t="s">
        <v>1</v>
      </c>
      <c r="E1071" t="s">
        <v>8147</v>
      </c>
      <c r="F1071" t="s">
        <v>8146</v>
      </c>
      <c r="G1071">
        <v>2966</v>
      </c>
      <c r="H1071">
        <v>2966</v>
      </c>
      <c r="I1071">
        <v>2966</v>
      </c>
      <c r="J1071">
        <v>2966</v>
      </c>
      <c r="L1071" s="3">
        <v>0</v>
      </c>
      <c r="M1071" s="3">
        <v>0</v>
      </c>
      <c r="N1071" s="3">
        <v>0</v>
      </c>
      <c r="O1071" s="3">
        <v>121.46</v>
      </c>
      <c r="P1071" s="3">
        <v>0</v>
      </c>
      <c r="Q1071" s="3">
        <v>0</v>
      </c>
      <c r="R1071" s="3">
        <v>0</v>
      </c>
      <c r="S1071" s="3">
        <v>0</v>
      </c>
      <c r="T1071" s="3">
        <v>0</v>
      </c>
      <c r="U1071" s="3">
        <v>121.46</v>
      </c>
      <c r="V1071" t="s">
        <v>55</v>
      </c>
    </row>
    <row r="1072" spans="1:22" hidden="1" x14ac:dyDescent="0.25">
      <c r="A1072" t="s">
        <v>8126</v>
      </c>
      <c r="B1072" t="s">
        <v>8144</v>
      </c>
      <c r="C1072" t="s">
        <v>1</v>
      </c>
      <c r="D1072" t="s">
        <v>1</v>
      </c>
      <c r="E1072" t="s">
        <v>8147</v>
      </c>
      <c r="F1072" t="s">
        <v>8146</v>
      </c>
      <c r="G1072">
        <v>2967</v>
      </c>
      <c r="H1072">
        <v>2967</v>
      </c>
      <c r="I1072">
        <v>2967</v>
      </c>
      <c r="J1072">
        <v>2967</v>
      </c>
      <c r="L1072" s="3">
        <v>0</v>
      </c>
      <c r="M1072" s="3">
        <v>0</v>
      </c>
      <c r="N1072" s="3">
        <v>0</v>
      </c>
      <c r="O1072" s="3">
        <v>348.5</v>
      </c>
      <c r="P1072" s="3">
        <v>0</v>
      </c>
      <c r="Q1072" s="3">
        <v>0</v>
      </c>
      <c r="R1072" s="3">
        <v>0</v>
      </c>
      <c r="S1072" s="3">
        <v>0</v>
      </c>
      <c r="T1072" s="3">
        <v>0</v>
      </c>
      <c r="U1072" s="3">
        <v>348.5</v>
      </c>
      <c r="V1072" t="s">
        <v>55</v>
      </c>
    </row>
    <row r="1073" spans="1:22" hidden="1" x14ac:dyDescent="0.25">
      <c r="A1073" t="s">
        <v>8126</v>
      </c>
      <c r="B1073" t="s">
        <v>8144</v>
      </c>
      <c r="C1073" t="s">
        <v>1</v>
      </c>
      <c r="D1073" t="s">
        <v>1</v>
      </c>
      <c r="E1073" t="s">
        <v>8147</v>
      </c>
      <c r="F1073" t="s">
        <v>8146</v>
      </c>
      <c r="G1073">
        <v>2968</v>
      </c>
      <c r="H1073">
        <v>2968</v>
      </c>
      <c r="I1073">
        <v>2968</v>
      </c>
      <c r="J1073">
        <v>2968</v>
      </c>
      <c r="L1073" s="3">
        <v>0</v>
      </c>
      <c r="M1073" s="3">
        <v>0</v>
      </c>
      <c r="N1073" s="3">
        <v>0</v>
      </c>
      <c r="O1073" s="3">
        <v>25.5</v>
      </c>
      <c r="P1073" s="3">
        <v>0</v>
      </c>
      <c r="Q1073" s="3">
        <v>0</v>
      </c>
      <c r="R1073" s="3">
        <v>0</v>
      </c>
      <c r="S1073" s="3">
        <v>0</v>
      </c>
      <c r="T1073" s="3">
        <v>0</v>
      </c>
      <c r="U1073" s="3">
        <v>25.5</v>
      </c>
      <c r="V1073" t="s">
        <v>55</v>
      </c>
    </row>
    <row r="1074" spans="1:22" hidden="1" x14ac:dyDescent="0.25">
      <c r="A1074" t="s">
        <v>8126</v>
      </c>
      <c r="B1074" t="s">
        <v>8148</v>
      </c>
      <c r="C1074" t="s">
        <v>1</v>
      </c>
      <c r="D1074" t="s">
        <v>1</v>
      </c>
      <c r="E1074" t="s">
        <v>8147</v>
      </c>
      <c r="F1074" t="s">
        <v>8146</v>
      </c>
      <c r="G1074">
        <v>2969</v>
      </c>
      <c r="H1074">
        <v>2969</v>
      </c>
      <c r="I1074">
        <v>2969</v>
      </c>
      <c r="J1074">
        <v>2969</v>
      </c>
      <c r="L1074" s="3">
        <v>0</v>
      </c>
      <c r="M1074" s="3">
        <v>0</v>
      </c>
      <c r="N1074" s="3">
        <v>0</v>
      </c>
      <c r="O1074" s="3">
        <v>210</v>
      </c>
      <c r="P1074" s="3">
        <v>0</v>
      </c>
      <c r="Q1074" s="3">
        <v>0</v>
      </c>
      <c r="R1074" s="3">
        <v>0</v>
      </c>
      <c r="S1074" s="3">
        <v>0</v>
      </c>
      <c r="T1074" s="3">
        <v>0</v>
      </c>
      <c r="U1074" s="3">
        <v>210</v>
      </c>
      <c r="V1074" t="s">
        <v>55</v>
      </c>
    </row>
    <row r="1075" spans="1:22" hidden="1" x14ac:dyDescent="0.25">
      <c r="A1075" t="s">
        <v>8126</v>
      </c>
      <c r="B1075" t="s">
        <v>8148</v>
      </c>
      <c r="C1075" t="s">
        <v>1</v>
      </c>
      <c r="D1075" t="s">
        <v>1</v>
      </c>
      <c r="E1075" t="s">
        <v>8147</v>
      </c>
      <c r="F1075" t="s">
        <v>8146</v>
      </c>
      <c r="G1075">
        <v>2970</v>
      </c>
      <c r="H1075">
        <v>2970</v>
      </c>
      <c r="I1075">
        <v>2970</v>
      </c>
      <c r="J1075">
        <v>2970</v>
      </c>
      <c r="L1075" s="3">
        <v>0</v>
      </c>
      <c r="M1075" s="3">
        <v>0</v>
      </c>
      <c r="N1075" s="3">
        <v>0</v>
      </c>
      <c r="O1075" s="3">
        <v>450</v>
      </c>
      <c r="P1075" s="3">
        <v>0</v>
      </c>
      <c r="Q1075" s="3">
        <v>0</v>
      </c>
      <c r="R1075" s="3">
        <v>0</v>
      </c>
      <c r="S1075" s="3">
        <v>0</v>
      </c>
      <c r="T1075" s="3">
        <v>0</v>
      </c>
      <c r="U1075" s="3">
        <v>450</v>
      </c>
      <c r="V1075" t="s">
        <v>55</v>
      </c>
    </row>
    <row r="1076" spans="1:22" hidden="1" x14ac:dyDescent="0.25">
      <c r="A1076" t="s">
        <v>8126</v>
      </c>
      <c r="B1076" t="s">
        <v>8148</v>
      </c>
      <c r="C1076" t="s">
        <v>1</v>
      </c>
      <c r="D1076" t="s">
        <v>1</v>
      </c>
      <c r="E1076" t="s">
        <v>8147</v>
      </c>
      <c r="F1076" t="s">
        <v>8146</v>
      </c>
      <c r="G1076">
        <v>2971</v>
      </c>
      <c r="H1076">
        <v>2971</v>
      </c>
      <c r="I1076">
        <v>2971</v>
      </c>
      <c r="J1076">
        <v>2971</v>
      </c>
      <c r="L1076" s="3">
        <v>0</v>
      </c>
      <c r="M1076" s="3">
        <v>0</v>
      </c>
      <c r="N1076" s="3">
        <v>0</v>
      </c>
      <c r="O1076" s="3">
        <v>45</v>
      </c>
      <c r="P1076" s="3">
        <v>0</v>
      </c>
      <c r="Q1076" s="3">
        <v>0</v>
      </c>
      <c r="R1076" s="3">
        <v>0</v>
      </c>
      <c r="S1076" s="3">
        <v>0</v>
      </c>
      <c r="T1076" s="3">
        <v>0</v>
      </c>
      <c r="U1076" s="3">
        <v>45</v>
      </c>
      <c r="V1076" t="s">
        <v>55</v>
      </c>
    </row>
    <row r="1077" spans="1:22" hidden="1" x14ac:dyDescent="0.25">
      <c r="A1077" t="s">
        <v>8126</v>
      </c>
      <c r="B1077" t="s">
        <v>8148</v>
      </c>
      <c r="C1077" t="s">
        <v>1</v>
      </c>
      <c r="D1077" t="s">
        <v>1</v>
      </c>
      <c r="E1077" t="s">
        <v>8147</v>
      </c>
      <c r="F1077" t="s">
        <v>8146</v>
      </c>
      <c r="G1077">
        <v>2972</v>
      </c>
      <c r="H1077">
        <v>2972</v>
      </c>
      <c r="I1077">
        <v>2972</v>
      </c>
      <c r="J1077">
        <v>2972</v>
      </c>
      <c r="L1077" s="3">
        <v>0</v>
      </c>
      <c r="M1077" s="3">
        <v>0</v>
      </c>
      <c r="N1077" s="3">
        <v>0</v>
      </c>
      <c r="O1077" s="3">
        <v>98.4</v>
      </c>
      <c r="P1077" s="3">
        <v>0</v>
      </c>
      <c r="Q1077" s="3">
        <v>0</v>
      </c>
      <c r="R1077" s="3">
        <v>0</v>
      </c>
      <c r="S1077" s="3">
        <v>0</v>
      </c>
      <c r="T1077" s="3">
        <v>0</v>
      </c>
      <c r="U1077" s="3">
        <v>98.4</v>
      </c>
      <c r="V1077" t="s">
        <v>55</v>
      </c>
    </row>
    <row r="1078" spans="1:22" hidden="1" x14ac:dyDescent="0.25">
      <c r="A1078" t="s">
        <v>8126</v>
      </c>
      <c r="B1078" t="s">
        <v>8148</v>
      </c>
      <c r="C1078" t="s">
        <v>1</v>
      </c>
      <c r="D1078" t="s">
        <v>1</v>
      </c>
      <c r="E1078" t="s">
        <v>8147</v>
      </c>
      <c r="F1078" t="s">
        <v>8146</v>
      </c>
      <c r="G1078">
        <v>2973</v>
      </c>
      <c r="H1078">
        <v>2973</v>
      </c>
      <c r="I1078">
        <v>2973</v>
      </c>
      <c r="J1078">
        <v>2973</v>
      </c>
      <c r="L1078" s="3">
        <v>0</v>
      </c>
      <c r="M1078" s="3">
        <v>0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3">
        <v>0</v>
      </c>
      <c r="T1078" s="3">
        <v>0</v>
      </c>
      <c r="U1078" s="3">
        <v>0</v>
      </c>
      <c r="V1078" t="s">
        <v>55</v>
      </c>
    </row>
    <row r="1079" spans="1:22" hidden="1" x14ac:dyDescent="0.25">
      <c r="A1079" t="s">
        <v>8126</v>
      </c>
      <c r="B1079" t="s">
        <v>8148</v>
      </c>
      <c r="C1079" t="s">
        <v>1</v>
      </c>
      <c r="D1079" t="s">
        <v>1</v>
      </c>
      <c r="E1079" t="s">
        <v>8147</v>
      </c>
      <c r="F1079" t="s">
        <v>8146</v>
      </c>
      <c r="G1079">
        <v>2974</v>
      </c>
      <c r="H1079">
        <v>2974</v>
      </c>
      <c r="I1079">
        <v>2974</v>
      </c>
      <c r="J1079">
        <v>2974</v>
      </c>
      <c r="L1079" s="3">
        <v>0</v>
      </c>
      <c r="M1079" s="3">
        <v>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3">
        <v>0</v>
      </c>
      <c r="T1079" s="3">
        <v>0</v>
      </c>
      <c r="U1079" s="3">
        <v>0</v>
      </c>
      <c r="V1079" t="s">
        <v>55</v>
      </c>
    </row>
    <row r="1080" spans="1:22" hidden="1" x14ac:dyDescent="0.25">
      <c r="A1080" t="s">
        <v>8126</v>
      </c>
      <c r="B1080" t="s">
        <v>8148</v>
      </c>
      <c r="C1080" t="s">
        <v>1</v>
      </c>
      <c r="D1080" t="s">
        <v>1</v>
      </c>
      <c r="E1080" t="s">
        <v>8147</v>
      </c>
      <c r="F1080" t="s">
        <v>8146</v>
      </c>
      <c r="G1080">
        <v>2975</v>
      </c>
      <c r="H1080">
        <v>2975</v>
      </c>
      <c r="I1080">
        <v>2975</v>
      </c>
      <c r="J1080">
        <v>2975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3">
        <v>0</v>
      </c>
      <c r="T1080" s="3">
        <v>0</v>
      </c>
      <c r="U1080" s="3">
        <v>0</v>
      </c>
      <c r="V1080" t="s">
        <v>55</v>
      </c>
    </row>
    <row r="1081" spans="1:22" hidden="1" x14ac:dyDescent="0.25">
      <c r="A1081" t="s">
        <v>8126</v>
      </c>
      <c r="B1081" t="s">
        <v>8148</v>
      </c>
      <c r="C1081" t="s">
        <v>1</v>
      </c>
      <c r="D1081" t="s">
        <v>1</v>
      </c>
      <c r="E1081" t="s">
        <v>8147</v>
      </c>
      <c r="F1081" t="s">
        <v>8146</v>
      </c>
      <c r="G1081">
        <v>2976</v>
      </c>
      <c r="H1081">
        <v>2976</v>
      </c>
      <c r="I1081">
        <v>2976</v>
      </c>
      <c r="J1081">
        <v>2976</v>
      </c>
      <c r="L1081" s="3">
        <v>0</v>
      </c>
      <c r="M1081" s="3">
        <v>0</v>
      </c>
      <c r="N1081" s="3">
        <v>0</v>
      </c>
      <c r="O1081" s="3">
        <v>17.96</v>
      </c>
      <c r="P1081" s="3">
        <v>0</v>
      </c>
      <c r="Q1081" s="3">
        <v>0</v>
      </c>
      <c r="R1081" s="3">
        <v>0</v>
      </c>
      <c r="S1081" s="3">
        <v>0</v>
      </c>
      <c r="T1081" s="3">
        <v>0</v>
      </c>
      <c r="U1081" s="3">
        <v>17.96</v>
      </c>
      <c r="V1081" t="s">
        <v>55</v>
      </c>
    </row>
    <row r="1082" spans="1:22" hidden="1" x14ac:dyDescent="0.25">
      <c r="A1082" t="s">
        <v>8126</v>
      </c>
      <c r="B1082" t="s">
        <v>8148</v>
      </c>
      <c r="C1082" t="s">
        <v>1</v>
      </c>
      <c r="D1082" t="s">
        <v>1</v>
      </c>
      <c r="E1082" t="s">
        <v>8147</v>
      </c>
      <c r="F1082" t="s">
        <v>8146</v>
      </c>
      <c r="G1082">
        <v>2977</v>
      </c>
      <c r="H1082">
        <v>2977</v>
      </c>
      <c r="I1082">
        <v>2977</v>
      </c>
      <c r="J1082">
        <v>2977</v>
      </c>
      <c r="L1082" s="3">
        <v>0</v>
      </c>
      <c r="M1082" s="3">
        <v>0</v>
      </c>
      <c r="N1082" s="3">
        <v>0</v>
      </c>
      <c r="O1082" s="3">
        <v>114</v>
      </c>
      <c r="P1082" s="3">
        <v>0</v>
      </c>
      <c r="Q1082" s="3">
        <v>0</v>
      </c>
      <c r="R1082" s="3">
        <v>0</v>
      </c>
      <c r="S1082" s="3">
        <v>0</v>
      </c>
      <c r="T1082" s="3">
        <v>0</v>
      </c>
      <c r="U1082" s="3">
        <v>114</v>
      </c>
      <c r="V1082" t="s">
        <v>55</v>
      </c>
    </row>
    <row r="1083" spans="1:22" hidden="1" x14ac:dyDescent="0.25">
      <c r="A1083" t="s">
        <v>8126</v>
      </c>
      <c r="B1083" t="s">
        <v>8148</v>
      </c>
      <c r="C1083" t="s">
        <v>1</v>
      </c>
      <c r="D1083" t="s">
        <v>1</v>
      </c>
      <c r="E1083" t="s">
        <v>8147</v>
      </c>
      <c r="F1083" t="s">
        <v>8146</v>
      </c>
      <c r="G1083">
        <v>2978</v>
      </c>
      <c r="H1083">
        <v>2978</v>
      </c>
      <c r="I1083">
        <v>2978</v>
      </c>
      <c r="J1083">
        <v>2978</v>
      </c>
      <c r="L1083" s="3">
        <v>0</v>
      </c>
      <c r="M1083" s="3">
        <v>0</v>
      </c>
      <c r="N1083" s="3">
        <v>0</v>
      </c>
      <c r="O1083" s="3">
        <v>49.46</v>
      </c>
      <c r="P1083" s="3">
        <v>0</v>
      </c>
      <c r="Q1083" s="3">
        <v>0</v>
      </c>
      <c r="R1083" s="3">
        <v>0</v>
      </c>
      <c r="S1083" s="3">
        <v>0</v>
      </c>
      <c r="T1083" s="3">
        <v>0</v>
      </c>
      <c r="U1083" s="3">
        <v>49.46</v>
      </c>
      <c r="V1083" t="s">
        <v>55</v>
      </c>
    </row>
    <row r="1084" spans="1:22" hidden="1" x14ac:dyDescent="0.25">
      <c r="A1084" t="s">
        <v>8126</v>
      </c>
      <c r="B1084" t="s">
        <v>8148</v>
      </c>
      <c r="C1084" t="s">
        <v>1</v>
      </c>
      <c r="D1084" t="s">
        <v>1</v>
      </c>
      <c r="E1084" t="s">
        <v>8147</v>
      </c>
      <c r="F1084" t="s">
        <v>8146</v>
      </c>
      <c r="G1084">
        <v>2979</v>
      </c>
      <c r="H1084">
        <v>2979</v>
      </c>
      <c r="I1084">
        <v>2979</v>
      </c>
      <c r="J1084">
        <v>2979</v>
      </c>
      <c r="L1084" s="3">
        <v>0</v>
      </c>
      <c r="M1084" s="3">
        <v>0</v>
      </c>
      <c r="N1084" s="3">
        <v>0</v>
      </c>
      <c r="O1084" s="3">
        <v>122.24</v>
      </c>
      <c r="P1084" s="3">
        <v>0</v>
      </c>
      <c r="Q1084" s="3">
        <v>0</v>
      </c>
      <c r="R1084" s="3">
        <v>0</v>
      </c>
      <c r="S1084" s="3">
        <v>0</v>
      </c>
      <c r="T1084" s="3">
        <v>0</v>
      </c>
      <c r="U1084" s="3">
        <v>122.24</v>
      </c>
      <c r="V1084" t="s">
        <v>55</v>
      </c>
    </row>
    <row r="1085" spans="1:22" hidden="1" x14ac:dyDescent="0.25">
      <c r="A1085" t="s">
        <v>8126</v>
      </c>
      <c r="B1085" t="s">
        <v>8145</v>
      </c>
      <c r="C1085" t="s">
        <v>1</v>
      </c>
      <c r="D1085" t="s">
        <v>1</v>
      </c>
      <c r="E1085" t="s">
        <v>8147</v>
      </c>
      <c r="F1085" t="s">
        <v>8146</v>
      </c>
      <c r="G1085">
        <v>2980</v>
      </c>
      <c r="H1085">
        <v>2980</v>
      </c>
      <c r="I1085">
        <v>2980</v>
      </c>
      <c r="J1085">
        <v>2980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3">
        <v>0</v>
      </c>
      <c r="T1085" s="3">
        <v>0</v>
      </c>
      <c r="U1085" s="3">
        <v>0</v>
      </c>
      <c r="V1085" t="s">
        <v>55</v>
      </c>
    </row>
    <row r="1086" spans="1:22" hidden="1" x14ac:dyDescent="0.25">
      <c r="A1086" t="s">
        <v>8126</v>
      </c>
      <c r="B1086" t="s">
        <v>8145</v>
      </c>
      <c r="C1086" t="s">
        <v>1</v>
      </c>
      <c r="D1086" t="s">
        <v>1</v>
      </c>
      <c r="E1086" t="s">
        <v>8147</v>
      </c>
      <c r="F1086" t="s">
        <v>8146</v>
      </c>
      <c r="G1086">
        <v>2981</v>
      </c>
      <c r="H1086">
        <v>2981</v>
      </c>
      <c r="I1086">
        <v>2981</v>
      </c>
      <c r="J1086">
        <v>2981</v>
      </c>
      <c r="L1086" s="3">
        <v>0</v>
      </c>
      <c r="M1086" s="3">
        <v>0</v>
      </c>
      <c r="N1086" s="3">
        <v>0</v>
      </c>
      <c r="O1086" s="3">
        <v>627.20000000000005</v>
      </c>
      <c r="P1086" s="3">
        <v>0</v>
      </c>
      <c r="Q1086" s="3">
        <v>0</v>
      </c>
      <c r="R1086" s="3">
        <v>0</v>
      </c>
      <c r="S1086" s="3">
        <v>0</v>
      </c>
      <c r="T1086" s="3">
        <v>0</v>
      </c>
      <c r="U1086" s="3">
        <v>627.20000000000005</v>
      </c>
      <c r="V1086" t="s">
        <v>55</v>
      </c>
    </row>
    <row r="1087" spans="1:22" hidden="1" x14ac:dyDescent="0.25">
      <c r="A1087" t="s">
        <v>8126</v>
      </c>
      <c r="B1087" t="s">
        <v>8145</v>
      </c>
      <c r="C1087" t="s">
        <v>1</v>
      </c>
      <c r="D1087" t="s">
        <v>1</v>
      </c>
      <c r="E1087" t="s">
        <v>8147</v>
      </c>
      <c r="F1087" t="s">
        <v>8146</v>
      </c>
      <c r="G1087">
        <v>2982</v>
      </c>
      <c r="H1087">
        <v>2982</v>
      </c>
      <c r="I1087">
        <v>2982</v>
      </c>
      <c r="J1087">
        <v>2982</v>
      </c>
      <c r="L1087" s="3">
        <v>0</v>
      </c>
      <c r="M1087" s="3">
        <v>0</v>
      </c>
      <c r="N1087" s="3">
        <v>0</v>
      </c>
      <c r="O1087" s="3">
        <v>25.5</v>
      </c>
      <c r="P1087" s="3">
        <v>0</v>
      </c>
      <c r="Q1087" s="3">
        <v>0</v>
      </c>
      <c r="R1087" s="3">
        <v>0</v>
      </c>
      <c r="S1087" s="3">
        <v>0</v>
      </c>
      <c r="T1087" s="3">
        <v>0</v>
      </c>
      <c r="U1087" s="3">
        <v>25.5</v>
      </c>
      <c r="V1087" t="s">
        <v>55</v>
      </c>
    </row>
    <row r="1088" spans="1:22" hidden="1" x14ac:dyDescent="0.25">
      <c r="A1088" t="s">
        <v>8126</v>
      </c>
      <c r="B1088" t="s">
        <v>8145</v>
      </c>
      <c r="C1088" t="s">
        <v>1</v>
      </c>
      <c r="D1088" t="s">
        <v>1</v>
      </c>
      <c r="E1088" t="s">
        <v>8147</v>
      </c>
      <c r="F1088" t="s">
        <v>8146</v>
      </c>
      <c r="G1088">
        <v>2983</v>
      </c>
      <c r="H1088">
        <v>2983</v>
      </c>
      <c r="I1088">
        <v>2983</v>
      </c>
      <c r="J1088">
        <v>2983</v>
      </c>
      <c r="L1088" s="3">
        <v>0</v>
      </c>
      <c r="M1088" s="3">
        <v>0</v>
      </c>
      <c r="N1088" s="3">
        <v>0</v>
      </c>
      <c r="O1088" s="3">
        <v>459</v>
      </c>
      <c r="P1088" s="3">
        <v>0</v>
      </c>
      <c r="Q1088" s="3">
        <v>0</v>
      </c>
      <c r="R1088" s="3">
        <v>0</v>
      </c>
      <c r="S1088" s="3">
        <v>0</v>
      </c>
      <c r="T1088" s="3">
        <v>0</v>
      </c>
      <c r="U1088" s="3">
        <v>459</v>
      </c>
      <c r="V1088" t="s">
        <v>55</v>
      </c>
    </row>
    <row r="1089" spans="1:22" hidden="1" x14ac:dyDescent="0.25">
      <c r="A1089" t="s">
        <v>8126</v>
      </c>
      <c r="B1089" t="s">
        <v>8145</v>
      </c>
      <c r="C1089" t="s">
        <v>1</v>
      </c>
      <c r="D1089" t="s">
        <v>1</v>
      </c>
      <c r="E1089" t="s">
        <v>8147</v>
      </c>
      <c r="F1089" t="s">
        <v>8146</v>
      </c>
      <c r="G1089">
        <v>2984</v>
      </c>
      <c r="H1089">
        <v>2984</v>
      </c>
      <c r="I1089">
        <v>2984</v>
      </c>
      <c r="J1089">
        <v>2984</v>
      </c>
      <c r="L1089" s="3">
        <v>0</v>
      </c>
      <c r="M1089" s="3">
        <v>0</v>
      </c>
      <c r="N1089" s="3">
        <v>0</v>
      </c>
      <c r="O1089" s="3">
        <v>32.9</v>
      </c>
      <c r="P1089" s="3">
        <v>0</v>
      </c>
      <c r="Q1089" s="3">
        <v>0</v>
      </c>
      <c r="R1089" s="3">
        <v>0</v>
      </c>
      <c r="S1089" s="3">
        <v>0</v>
      </c>
      <c r="T1089" s="3">
        <v>0</v>
      </c>
      <c r="U1089" s="3">
        <v>32.9</v>
      </c>
      <c r="V1089" t="s">
        <v>55</v>
      </c>
    </row>
    <row r="1090" spans="1:22" hidden="1" x14ac:dyDescent="0.25">
      <c r="A1090" t="s">
        <v>8126</v>
      </c>
      <c r="B1090" t="s">
        <v>8145</v>
      </c>
      <c r="C1090" t="s">
        <v>1</v>
      </c>
      <c r="D1090" t="s">
        <v>1</v>
      </c>
      <c r="E1090" t="s">
        <v>8147</v>
      </c>
      <c r="F1090" t="s">
        <v>8146</v>
      </c>
      <c r="G1090">
        <v>2985</v>
      </c>
      <c r="H1090">
        <v>2985</v>
      </c>
      <c r="I1090">
        <v>2985</v>
      </c>
      <c r="J1090">
        <v>2985</v>
      </c>
      <c r="L1090" s="3">
        <v>0</v>
      </c>
      <c r="M1090" s="3">
        <v>0</v>
      </c>
      <c r="N1090" s="3">
        <v>0</v>
      </c>
      <c r="O1090" s="3">
        <v>100.28</v>
      </c>
      <c r="P1090" s="3">
        <v>0</v>
      </c>
      <c r="Q1090" s="3">
        <v>0</v>
      </c>
      <c r="R1090" s="3">
        <v>0</v>
      </c>
      <c r="S1090" s="3">
        <v>0</v>
      </c>
      <c r="T1090" s="3">
        <v>0</v>
      </c>
      <c r="U1090" s="3">
        <v>100.28</v>
      </c>
      <c r="V1090" t="s">
        <v>55</v>
      </c>
    </row>
    <row r="1091" spans="1:22" hidden="1" x14ac:dyDescent="0.25">
      <c r="A1091" t="s">
        <v>8126</v>
      </c>
      <c r="B1091" t="s">
        <v>8145</v>
      </c>
      <c r="C1091" t="s">
        <v>1</v>
      </c>
      <c r="D1091" t="s">
        <v>1</v>
      </c>
      <c r="E1091" t="s">
        <v>8147</v>
      </c>
      <c r="F1091" t="s">
        <v>8146</v>
      </c>
      <c r="G1091">
        <v>2986</v>
      </c>
      <c r="H1091">
        <v>2986</v>
      </c>
      <c r="I1091">
        <v>2986</v>
      </c>
      <c r="J1091">
        <v>2986</v>
      </c>
      <c r="L1091" s="3">
        <v>0</v>
      </c>
      <c r="M1091" s="3">
        <v>0</v>
      </c>
      <c r="N1091" s="3">
        <v>0</v>
      </c>
      <c r="O1091" s="3">
        <v>94.02</v>
      </c>
      <c r="P1091" s="3">
        <v>0</v>
      </c>
      <c r="Q1091" s="3">
        <v>0</v>
      </c>
      <c r="R1091" s="3">
        <v>0</v>
      </c>
      <c r="S1091" s="3">
        <v>0</v>
      </c>
      <c r="T1091" s="3">
        <v>0</v>
      </c>
      <c r="U1091" s="3">
        <v>94.02</v>
      </c>
      <c r="V1091" t="s">
        <v>55</v>
      </c>
    </row>
    <row r="1092" spans="1:22" hidden="1" x14ac:dyDescent="0.25">
      <c r="A1092" t="s">
        <v>8607</v>
      </c>
      <c r="B1092" t="s">
        <v>8633</v>
      </c>
      <c r="C1092" t="s">
        <v>1</v>
      </c>
      <c r="D1092" t="s">
        <v>8127</v>
      </c>
      <c r="E1092" t="s">
        <v>8128</v>
      </c>
      <c r="F1092" t="s">
        <v>8129</v>
      </c>
      <c r="G1092">
        <v>196</v>
      </c>
      <c r="H1092">
        <v>196</v>
      </c>
      <c r="I1092">
        <v>196</v>
      </c>
      <c r="J1092">
        <v>196</v>
      </c>
      <c r="L1092" s="3">
        <v>0</v>
      </c>
      <c r="M1092" s="3">
        <v>0</v>
      </c>
      <c r="N1092" s="3">
        <v>0</v>
      </c>
      <c r="O1092" s="3">
        <v>0</v>
      </c>
      <c r="P1092" s="3">
        <v>199.76</v>
      </c>
      <c r="Q1092" s="3">
        <v>0</v>
      </c>
      <c r="R1092" s="3">
        <v>0</v>
      </c>
      <c r="S1092" s="3">
        <v>0</v>
      </c>
      <c r="T1092" s="3">
        <v>0</v>
      </c>
      <c r="U1092" s="3">
        <v>199.76</v>
      </c>
      <c r="V1092" t="s">
        <v>55</v>
      </c>
    </row>
    <row r="1093" spans="1:22" hidden="1" x14ac:dyDescent="0.25">
      <c r="A1093" t="s">
        <v>8607</v>
      </c>
      <c r="B1093" t="s">
        <v>8631</v>
      </c>
      <c r="C1093" t="s">
        <v>1</v>
      </c>
      <c r="D1093" t="s">
        <v>8127</v>
      </c>
      <c r="E1093" t="s">
        <v>8128</v>
      </c>
      <c r="F1093" t="s">
        <v>8129</v>
      </c>
      <c r="G1093">
        <v>197</v>
      </c>
      <c r="H1093">
        <v>197</v>
      </c>
      <c r="I1093">
        <v>197</v>
      </c>
      <c r="J1093">
        <v>197</v>
      </c>
      <c r="L1093" s="3">
        <v>0</v>
      </c>
      <c r="M1093" s="3">
        <v>0</v>
      </c>
      <c r="N1093" s="3">
        <v>0</v>
      </c>
      <c r="O1093" s="3">
        <v>0</v>
      </c>
      <c r="P1093" s="3">
        <v>165.12</v>
      </c>
      <c r="Q1093" s="3">
        <v>0</v>
      </c>
      <c r="R1093" s="3">
        <v>0</v>
      </c>
      <c r="S1093" s="3">
        <v>0</v>
      </c>
      <c r="T1093" s="3">
        <v>0</v>
      </c>
      <c r="U1093" s="3">
        <v>165.12</v>
      </c>
      <c r="V1093" t="s">
        <v>55</v>
      </c>
    </row>
    <row r="1094" spans="1:22" hidden="1" x14ac:dyDescent="0.25">
      <c r="A1094" t="s">
        <v>8607</v>
      </c>
      <c r="B1094" t="s">
        <v>8630</v>
      </c>
      <c r="C1094" t="s">
        <v>1</v>
      </c>
      <c r="D1094" t="s">
        <v>8127</v>
      </c>
      <c r="E1094" t="s">
        <v>8128</v>
      </c>
      <c r="F1094" t="s">
        <v>8129</v>
      </c>
      <c r="G1094">
        <v>198</v>
      </c>
      <c r="H1094">
        <v>198</v>
      </c>
      <c r="I1094">
        <v>198</v>
      </c>
      <c r="J1094">
        <v>198</v>
      </c>
      <c r="L1094" s="3">
        <v>0</v>
      </c>
      <c r="M1094" s="3">
        <v>0</v>
      </c>
      <c r="N1094" s="3">
        <v>0</v>
      </c>
      <c r="O1094" s="3">
        <v>0</v>
      </c>
      <c r="P1094" s="3">
        <v>658.1</v>
      </c>
      <c r="Q1094" s="3">
        <v>0</v>
      </c>
      <c r="R1094" s="3">
        <v>0</v>
      </c>
      <c r="S1094" s="3">
        <v>0</v>
      </c>
      <c r="T1094" s="3">
        <v>0</v>
      </c>
      <c r="U1094" s="3">
        <v>658.1</v>
      </c>
      <c r="V1094" t="s">
        <v>55</v>
      </c>
    </row>
    <row r="1095" spans="1:22" hidden="1" x14ac:dyDescent="0.25">
      <c r="A1095" t="s">
        <v>8607</v>
      </c>
      <c r="B1095" t="s">
        <v>8622</v>
      </c>
      <c r="C1095" t="s">
        <v>1</v>
      </c>
      <c r="D1095" t="s">
        <v>8127</v>
      </c>
      <c r="E1095" t="s">
        <v>8128</v>
      </c>
      <c r="F1095" t="s">
        <v>8129</v>
      </c>
      <c r="G1095">
        <v>199</v>
      </c>
      <c r="H1095">
        <v>199</v>
      </c>
      <c r="I1095">
        <v>199</v>
      </c>
      <c r="J1095">
        <v>199</v>
      </c>
      <c r="L1095" s="3">
        <v>0</v>
      </c>
      <c r="M1095" s="3">
        <v>0</v>
      </c>
      <c r="N1095" s="3">
        <v>0</v>
      </c>
      <c r="O1095" s="3">
        <v>0</v>
      </c>
      <c r="P1095" s="3">
        <v>212.75</v>
      </c>
      <c r="Q1095" s="3">
        <v>0</v>
      </c>
      <c r="R1095" s="3">
        <v>0</v>
      </c>
      <c r="S1095" s="3">
        <v>0</v>
      </c>
      <c r="T1095" s="3">
        <v>0</v>
      </c>
      <c r="U1095" s="3">
        <v>212.75</v>
      </c>
      <c r="V1095" t="s">
        <v>55</v>
      </c>
    </row>
    <row r="1096" spans="1:22" hidden="1" x14ac:dyDescent="0.25">
      <c r="A1096" t="s">
        <v>8607</v>
      </c>
      <c r="B1096" t="s">
        <v>8622</v>
      </c>
      <c r="C1096" t="s">
        <v>1</v>
      </c>
      <c r="D1096" t="s">
        <v>8127</v>
      </c>
      <c r="E1096" t="s">
        <v>8128</v>
      </c>
      <c r="F1096" t="s">
        <v>8129</v>
      </c>
      <c r="G1096">
        <v>200</v>
      </c>
      <c r="H1096">
        <v>200</v>
      </c>
      <c r="I1096">
        <v>200</v>
      </c>
      <c r="J1096">
        <v>200</v>
      </c>
      <c r="L1096" s="3">
        <v>0</v>
      </c>
      <c r="M1096" s="3">
        <v>0</v>
      </c>
      <c r="N1096" s="3">
        <v>0</v>
      </c>
      <c r="O1096" s="3">
        <v>0</v>
      </c>
      <c r="P1096" s="3">
        <v>209.29</v>
      </c>
      <c r="Q1096" s="3">
        <v>0</v>
      </c>
      <c r="R1096" s="3">
        <v>0</v>
      </c>
      <c r="S1096" s="3">
        <v>0</v>
      </c>
      <c r="T1096" s="3">
        <v>0</v>
      </c>
      <c r="U1096" s="3">
        <v>209.29</v>
      </c>
      <c r="V1096" t="s">
        <v>55</v>
      </c>
    </row>
    <row r="1097" spans="1:22" hidden="1" x14ac:dyDescent="0.25">
      <c r="A1097" t="s">
        <v>8607</v>
      </c>
      <c r="B1097" t="s">
        <v>8621</v>
      </c>
      <c r="C1097" t="s">
        <v>1</v>
      </c>
      <c r="D1097" t="s">
        <v>8127</v>
      </c>
      <c r="E1097" t="s">
        <v>8128</v>
      </c>
      <c r="F1097" t="s">
        <v>8129</v>
      </c>
      <c r="G1097">
        <v>201</v>
      </c>
      <c r="H1097">
        <v>201</v>
      </c>
      <c r="I1097">
        <v>201</v>
      </c>
      <c r="J1097">
        <v>201</v>
      </c>
      <c r="L1097" s="3">
        <v>0</v>
      </c>
      <c r="M1097" s="3">
        <v>0</v>
      </c>
      <c r="N1097" s="3">
        <v>0</v>
      </c>
      <c r="O1097" s="3">
        <v>0</v>
      </c>
      <c r="P1097" s="3">
        <v>646.29999999999995</v>
      </c>
      <c r="Q1097" s="3">
        <v>0</v>
      </c>
      <c r="R1097" s="3">
        <v>0</v>
      </c>
      <c r="S1097" s="3">
        <v>0</v>
      </c>
      <c r="T1097" s="3">
        <v>0</v>
      </c>
      <c r="U1097" s="3">
        <v>646.29999999999995</v>
      </c>
      <c r="V1097" t="s">
        <v>55</v>
      </c>
    </row>
    <row r="1098" spans="1:22" hidden="1" x14ac:dyDescent="0.25">
      <c r="A1098" t="s">
        <v>8607</v>
      </c>
      <c r="B1098" t="s">
        <v>8619</v>
      </c>
      <c r="C1098" t="s">
        <v>1</v>
      </c>
      <c r="D1098" t="s">
        <v>8127</v>
      </c>
      <c r="E1098" t="s">
        <v>8128</v>
      </c>
      <c r="F1098" t="s">
        <v>8129</v>
      </c>
      <c r="G1098">
        <v>202</v>
      </c>
      <c r="H1098">
        <v>202</v>
      </c>
      <c r="I1098">
        <v>202</v>
      </c>
      <c r="J1098">
        <v>202</v>
      </c>
      <c r="L1098" s="3">
        <v>0</v>
      </c>
      <c r="M1098" s="3">
        <v>0</v>
      </c>
      <c r="N1098" s="3">
        <v>0</v>
      </c>
      <c r="O1098" s="3">
        <v>0</v>
      </c>
      <c r="P1098" s="3">
        <v>136.16</v>
      </c>
      <c r="Q1098" s="3">
        <v>0</v>
      </c>
      <c r="R1098" s="3">
        <v>0</v>
      </c>
      <c r="S1098" s="3">
        <v>0</v>
      </c>
      <c r="T1098" s="3">
        <v>0</v>
      </c>
      <c r="U1098" s="3">
        <v>136.16</v>
      </c>
      <c r="V1098" t="s">
        <v>55</v>
      </c>
    </row>
    <row r="1099" spans="1:22" hidden="1" x14ac:dyDescent="0.25">
      <c r="A1099" t="s">
        <v>8607</v>
      </c>
      <c r="B1099" s="33" t="s">
        <v>8618</v>
      </c>
      <c r="C1099" t="s">
        <v>1</v>
      </c>
      <c r="D1099" t="s">
        <v>8127</v>
      </c>
      <c r="E1099" t="s">
        <v>8128</v>
      </c>
      <c r="F1099" t="s">
        <v>8129</v>
      </c>
      <c r="G1099">
        <v>204</v>
      </c>
      <c r="H1099">
        <v>204</v>
      </c>
      <c r="I1099">
        <v>204</v>
      </c>
      <c r="J1099">
        <v>204</v>
      </c>
      <c r="L1099" s="3">
        <v>0</v>
      </c>
      <c r="M1099" s="3">
        <v>0</v>
      </c>
      <c r="N1099" s="3">
        <v>0</v>
      </c>
      <c r="O1099" s="3">
        <v>0</v>
      </c>
      <c r="P1099" s="3">
        <v>87.3</v>
      </c>
      <c r="Q1099" s="3">
        <v>0</v>
      </c>
      <c r="R1099" s="3">
        <v>0</v>
      </c>
      <c r="S1099" s="3">
        <v>0</v>
      </c>
      <c r="T1099" s="3">
        <v>0</v>
      </c>
      <c r="U1099" s="3">
        <v>87.3</v>
      </c>
      <c r="V1099" t="s">
        <v>55</v>
      </c>
    </row>
    <row r="1100" spans="1:22" hidden="1" x14ac:dyDescent="0.25">
      <c r="A1100" t="s">
        <v>8388</v>
      </c>
      <c r="B1100" t="s">
        <v>8389</v>
      </c>
      <c r="C1100" t="s">
        <v>1</v>
      </c>
      <c r="D1100" t="s">
        <v>8127</v>
      </c>
      <c r="E1100" t="s">
        <v>8128</v>
      </c>
      <c r="F1100" t="s">
        <v>8129</v>
      </c>
      <c r="G1100">
        <v>185</v>
      </c>
      <c r="H1100">
        <v>185</v>
      </c>
      <c r="I1100">
        <v>185</v>
      </c>
      <c r="J1100">
        <v>185</v>
      </c>
      <c r="L1100" s="3">
        <v>0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3">
        <v>0</v>
      </c>
      <c r="T1100" s="3">
        <v>0</v>
      </c>
      <c r="U1100" s="3">
        <v>0</v>
      </c>
      <c r="V1100" t="s">
        <v>55</v>
      </c>
    </row>
    <row r="1101" spans="1:22" hidden="1" x14ac:dyDescent="0.25">
      <c r="A1101" t="s">
        <v>8388</v>
      </c>
      <c r="B1101" t="s">
        <v>8525</v>
      </c>
      <c r="C1101" t="s">
        <v>1</v>
      </c>
      <c r="D1101" t="s">
        <v>8127</v>
      </c>
      <c r="E1101" t="s">
        <v>8128</v>
      </c>
      <c r="F1101" t="s">
        <v>8129</v>
      </c>
      <c r="G1101">
        <v>186</v>
      </c>
      <c r="H1101">
        <v>186</v>
      </c>
      <c r="I1101">
        <v>186</v>
      </c>
      <c r="J1101">
        <v>186</v>
      </c>
      <c r="L1101" s="3">
        <v>0</v>
      </c>
      <c r="M1101" s="3">
        <v>0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3">
        <v>0</v>
      </c>
      <c r="T1101" s="3">
        <v>0</v>
      </c>
      <c r="U1101" s="3">
        <v>0</v>
      </c>
      <c r="V1101" t="s">
        <v>55</v>
      </c>
    </row>
    <row r="1102" spans="1:22" hidden="1" x14ac:dyDescent="0.25">
      <c r="A1102" t="s">
        <v>8388</v>
      </c>
      <c r="B1102" t="s">
        <v>8525</v>
      </c>
      <c r="C1102" t="s">
        <v>1</v>
      </c>
      <c r="D1102" t="s">
        <v>8127</v>
      </c>
      <c r="E1102" t="s">
        <v>8128</v>
      </c>
      <c r="F1102" t="s">
        <v>8129</v>
      </c>
      <c r="G1102">
        <v>187</v>
      </c>
      <c r="H1102">
        <v>187</v>
      </c>
      <c r="I1102">
        <v>187</v>
      </c>
      <c r="J1102">
        <v>187</v>
      </c>
      <c r="L1102" s="3">
        <v>0</v>
      </c>
      <c r="M1102" s="3">
        <v>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3">
        <v>0</v>
      </c>
      <c r="T1102" s="3">
        <v>0</v>
      </c>
      <c r="U1102" s="3">
        <v>0</v>
      </c>
      <c r="V1102" t="s">
        <v>55</v>
      </c>
    </row>
    <row r="1103" spans="1:22" hidden="1" x14ac:dyDescent="0.25">
      <c r="A1103" t="s">
        <v>8388</v>
      </c>
      <c r="B1103" t="s">
        <v>8524</v>
      </c>
      <c r="C1103" t="s">
        <v>1</v>
      </c>
      <c r="D1103" t="s">
        <v>8127</v>
      </c>
      <c r="E1103" t="s">
        <v>8128</v>
      </c>
      <c r="F1103" t="s">
        <v>8129</v>
      </c>
      <c r="G1103">
        <v>188</v>
      </c>
      <c r="H1103">
        <v>188</v>
      </c>
      <c r="I1103">
        <v>188</v>
      </c>
      <c r="J1103">
        <v>188</v>
      </c>
      <c r="L1103" s="3">
        <v>0</v>
      </c>
      <c r="M1103" s="3">
        <v>0</v>
      </c>
      <c r="N1103" s="3">
        <v>0</v>
      </c>
      <c r="O1103" s="3">
        <v>0</v>
      </c>
      <c r="P1103" s="3">
        <v>492.86</v>
      </c>
      <c r="Q1103" s="3">
        <v>0</v>
      </c>
      <c r="R1103" s="3">
        <v>0</v>
      </c>
      <c r="S1103" s="3">
        <v>0</v>
      </c>
      <c r="T1103" s="3">
        <v>0</v>
      </c>
      <c r="U1103" s="3">
        <v>492.86</v>
      </c>
      <c r="V1103" t="s">
        <v>55</v>
      </c>
    </row>
    <row r="1104" spans="1:22" hidden="1" x14ac:dyDescent="0.25">
      <c r="A1104" t="s">
        <v>8388</v>
      </c>
      <c r="B1104" t="s">
        <v>8523</v>
      </c>
      <c r="C1104" t="s">
        <v>1</v>
      </c>
      <c r="D1104" t="s">
        <v>8127</v>
      </c>
      <c r="E1104" t="s">
        <v>8128</v>
      </c>
      <c r="F1104" t="s">
        <v>8129</v>
      </c>
      <c r="G1104">
        <v>189</v>
      </c>
      <c r="H1104">
        <v>189</v>
      </c>
      <c r="I1104">
        <v>189</v>
      </c>
      <c r="J1104">
        <v>189</v>
      </c>
      <c r="L1104" s="3">
        <v>0</v>
      </c>
      <c r="M1104" s="3">
        <v>0</v>
      </c>
      <c r="N1104" s="3">
        <v>0</v>
      </c>
      <c r="O1104" s="3">
        <v>0</v>
      </c>
      <c r="P1104" s="3">
        <v>284.04000000000002</v>
      </c>
      <c r="Q1104" s="3">
        <v>0</v>
      </c>
      <c r="R1104" s="3">
        <v>0</v>
      </c>
      <c r="S1104" s="3">
        <v>0</v>
      </c>
      <c r="T1104" s="3">
        <v>0</v>
      </c>
      <c r="U1104" s="3">
        <v>284.04000000000002</v>
      </c>
      <c r="V1104" t="s">
        <v>55</v>
      </c>
    </row>
    <row r="1105" spans="1:22" hidden="1" x14ac:dyDescent="0.25">
      <c r="A1105" t="s">
        <v>8388</v>
      </c>
      <c r="B1105" t="s">
        <v>8522</v>
      </c>
      <c r="C1105" t="s">
        <v>1</v>
      </c>
      <c r="D1105" t="s">
        <v>8127</v>
      </c>
      <c r="E1105" t="s">
        <v>8128</v>
      </c>
      <c r="F1105" t="s">
        <v>8129</v>
      </c>
      <c r="G1105">
        <v>190</v>
      </c>
      <c r="H1105">
        <v>190</v>
      </c>
      <c r="I1105">
        <v>190</v>
      </c>
      <c r="J1105">
        <v>190</v>
      </c>
      <c r="L1105" s="3">
        <v>0</v>
      </c>
      <c r="M1105" s="3">
        <v>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3">
        <v>0</v>
      </c>
      <c r="T1105" s="3">
        <v>0</v>
      </c>
      <c r="U1105" s="3">
        <v>0</v>
      </c>
      <c r="V1105" t="s">
        <v>55</v>
      </c>
    </row>
    <row r="1106" spans="1:22" hidden="1" x14ac:dyDescent="0.25">
      <c r="A1106" t="s">
        <v>8388</v>
      </c>
      <c r="B1106" t="s">
        <v>8521</v>
      </c>
      <c r="C1106" t="s">
        <v>1</v>
      </c>
      <c r="D1106" t="s">
        <v>8127</v>
      </c>
      <c r="E1106" t="s">
        <v>8128</v>
      </c>
      <c r="F1106" t="s">
        <v>8129</v>
      </c>
      <c r="G1106">
        <v>191</v>
      </c>
      <c r="H1106">
        <v>191</v>
      </c>
      <c r="I1106">
        <v>191</v>
      </c>
      <c r="J1106">
        <v>191</v>
      </c>
      <c r="L1106" s="3">
        <v>0</v>
      </c>
      <c r="M1106" s="3">
        <v>0</v>
      </c>
      <c r="N1106" s="3">
        <v>0</v>
      </c>
      <c r="O1106" s="3">
        <v>0</v>
      </c>
      <c r="P1106" s="3">
        <v>930</v>
      </c>
      <c r="Q1106" s="3">
        <v>0</v>
      </c>
      <c r="R1106" s="3">
        <v>0</v>
      </c>
      <c r="S1106" s="3">
        <v>0</v>
      </c>
      <c r="T1106" s="3">
        <v>0</v>
      </c>
      <c r="U1106" s="3">
        <v>930</v>
      </c>
      <c r="V1106" t="s">
        <v>55</v>
      </c>
    </row>
    <row r="1107" spans="1:22" hidden="1" x14ac:dyDescent="0.25">
      <c r="A1107" t="s">
        <v>8388</v>
      </c>
      <c r="B1107" t="s">
        <v>8520</v>
      </c>
      <c r="C1107" t="s">
        <v>1</v>
      </c>
      <c r="D1107" t="s">
        <v>8127</v>
      </c>
      <c r="E1107" t="s">
        <v>8128</v>
      </c>
      <c r="F1107" t="s">
        <v>8129</v>
      </c>
      <c r="G1107">
        <v>193</v>
      </c>
      <c r="H1107">
        <v>193</v>
      </c>
      <c r="I1107">
        <v>193</v>
      </c>
      <c r="J1107">
        <v>193</v>
      </c>
      <c r="L1107" s="3">
        <v>0</v>
      </c>
      <c r="M1107" s="3">
        <v>0</v>
      </c>
      <c r="N1107" s="3">
        <v>0</v>
      </c>
      <c r="O1107" s="3">
        <v>0</v>
      </c>
      <c r="P1107" s="3">
        <v>4017.27</v>
      </c>
      <c r="Q1107" s="3">
        <v>0</v>
      </c>
      <c r="R1107" s="3">
        <v>0</v>
      </c>
      <c r="S1107" s="3">
        <v>0</v>
      </c>
      <c r="T1107" s="3">
        <v>0</v>
      </c>
      <c r="U1107" s="3">
        <v>4017.27</v>
      </c>
      <c r="V1107" t="s">
        <v>55</v>
      </c>
    </row>
    <row r="1108" spans="1:22" hidden="1" x14ac:dyDescent="0.25">
      <c r="A1108" t="s">
        <v>8388</v>
      </c>
      <c r="B1108" t="s">
        <v>8520</v>
      </c>
      <c r="C1108" t="s">
        <v>1</v>
      </c>
      <c r="D1108" t="s">
        <v>8127</v>
      </c>
      <c r="E1108" t="s">
        <v>8128</v>
      </c>
      <c r="F1108" t="s">
        <v>8129</v>
      </c>
      <c r="G1108">
        <v>194</v>
      </c>
      <c r="H1108">
        <v>194</v>
      </c>
      <c r="I1108">
        <v>194</v>
      </c>
      <c r="J1108">
        <v>194</v>
      </c>
      <c r="L1108" s="3">
        <v>0</v>
      </c>
      <c r="M1108" s="3">
        <v>0</v>
      </c>
      <c r="N1108" s="3">
        <v>0</v>
      </c>
      <c r="O1108" s="3">
        <v>0</v>
      </c>
      <c r="P1108" s="3">
        <v>80</v>
      </c>
      <c r="Q1108" s="3">
        <v>0</v>
      </c>
      <c r="R1108" s="3">
        <v>0</v>
      </c>
      <c r="S1108" s="3">
        <v>0</v>
      </c>
      <c r="T1108" s="3">
        <v>0</v>
      </c>
      <c r="U1108" s="3">
        <v>80</v>
      </c>
      <c r="V1108" t="s">
        <v>55</v>
      </c>
    </row>
    <row r="1109" spans="1:22" hidden="1" x14ac:dyDescent="0.25">
      <c r="A1109" t="s">
        <v>8388</v>
      </c>
      <c r="B1109" t="s">
        <v>8519</v>
      </c>
      <c r="C1109" t="s">
        <v>1</v>
      </c>
      <c r="D1109" t="s">
        <v>8127</v>
      </c>
      <c r="E1109" t="s">
        <v>8128</v>
      </c>
      <c r="F1109" t="s">
        <v>8129</v>
      </c>
      <c r="G1109">
        <v>195</v>
      </c>
      <c r="H1109">
        <v>195</v>
      </c>
      <c r="I1109">
        <v>195</v>
      </c>
      <c r="J1109">
        <v>195</v>
      </c>
      <c r="L1109" s="3">
        <v>0</v>
      </c>
      <c r="M1109" s="3">
        <v>0</v>
      </c>
      <c r="N1109" s="3">
        <v>0</v>
      </c>
      <c r="O1109" s="3">
        <v>0</v>
      </c>
      <c r="P1109" s="3">
        <v>294</v>
      </c>
      <c r="Q1109" s="3">
        <v>0</v>
      </c>
      <c r="R1109" s="3">
        <v>0</v>
      </c>
      <c r="S1109" s="3">
        <v>0</v>
      </c>
      <c r="T1109" s="3">
        <v>0</v>
      </c>
      <c r="U1109" s="3">
        <v>294</v>
      </c>
      <c r="V1109" t="s">
        <v>55</v>
      </c>
    </row>
    <row r="1110" spans="1:22" hidden="1" x14ac:dyDescent="0.25">
      <c r="A1110" t="s">
        <v>8388</v>
      </c>
      <c r="B1110" t="s">
        <v>8518</v>
      </c>
      <c r="C1110" t="s">
        <v>1</v>
      </c>
      <c r="D1110" t="s">
        <v>8127</v>
      </c>
      <c r="E1110" t="s">
        <v>8128</v>
      </c>
      <c r="F1110" t="s">
        <v>8129</v>
      </c>
      <c r="G1110">
        <v>192</v>
      </c>
      <c r="H1110">
        <v>192</v>
      </c>
      <c r="I1110">
        <v>192</v>
      </c>
      <c r="J1110">
        <v>192</v>
      </c>
      <c r="L1110" s="3">
        <v>0</v>
      </c>
      <c r="M1110" s="3">
        <v>0</v>
      </c>
      <c r="N1110" s="3">
        <v>0</v>
      </c>
      <c r="O1110" s="3">
        <v>0</v>
      </c>
      <c r="P1110" s="3">
        <v>440</v>
      </c>
      <c r="Q1110" s="3">
        <v>0</v>
      </c>
      <c r="R1110" s="3">
        <v>0</v>
      </c>
      <c r="S1110" s="3">
        <v>0</v>
      </c>
      <c r="T1110" s="3">
        <v>0</v>
      </c>
      <c r="U1110" s="3">
        <v>440</v>
      </c>
      <c r="V1110" t="s">
        <v>55</v>
      </c>
    </row>
    <row r="1111" spans="1:22" hidden="1" x14ac:dyDescent="0.25">
      <c r="A1111" t="s">
        <v>8387</v>
      </c>
      <c r="B1111" t="s">
        <v>8398</v>
      </c>
      <c r="C1111" t="s">
        <v>1</v>
      </c>
      <c r="D1111" t="s">
        <v>8127</v>
      </c>
      <c r="E1111" t="s">
        <v>8128</v>
      </c>
      <c r="F1111" t="s">
        <v>8129</v>
      </c>
      <c r="G1111">
        <v>183</v>
      </c>
      <c r="H1111">
        <v>183</v>
      </c>
      <c r="I1111">
        <v>183</v>
      </c>
      <c r="J1111">
        <v>183</v>
      </c>
      <c r="L1111" s="3">
        <v>0</v>
      </c>
      <c r="M1111" s="3">
        <v>0</v>
      </c>
      <c r="N1111" s="3">
        <v>0</v>
      </c>
      <c r="O1111" s="3">
        <v>0</v>
      </c>
      <c r="P1111" s="3">
        <v>1860</v>
      </c>
      <c r="Q1111" s="3">
        <v>0</v>
      </c>
      <c r="R1111" s="3">
        <v>0</v>
      </c>
      <c r="S1111" s="3">
        <v>0</v>
      </c>
      <c r="T1111" s="3">
        <v>0</v>
      </c>
      <c r="U1111" s="3">
        <v>1860</v>
      </c>
      <c r="V1111" t="s">
        <v>55</v>
      </c>
    </row>
    <row r="1112" spans="1:22" hidden="1" x14ac:dyDescent="0.25">
      <c r="A1112" t="s">
        <v>8387</v>
      </c>
      <c r="B1112" t="s">
        <v>8440</v>
      </c>
      <c r="C1112" t="s">
        <v>1</v>
      </c>
      <c r="D1112" t="s">
        <v>8127</v>
      </c>
      <c r="E1112" t="s">
        <v>8128</v>
      </c>
      <c r="F1112" t="s">
        <v>8129</v>
      </c>
      <c r="G1112">
        <v>182</v>
      </c>
      <c r="H1112">
        <v>182</v>
      </c>
      <c r="I1112">
        <v>182</v>
      </c>
      <c r="J1112">
        <v>182</v>
      </c>
      <c r="L1112" s="3">
        <v>0</v>
      </c>
      <c r="M1112" s="3">
        <v>0</v>
      </c>
      <c r="N1112" s="3">
        <v>0</v>
      </c>
      <c r="O1112" s="3">
        <v>0</v>
      </c>
      <c r="P1112" s="3">
        <v>688.24</v>
      </c>
      <c r="Q1112" s="3">
        <v>0</v>
      </c>
      <c r="R1112" s="3">
        <v>0</v>
      </c>
      <c r="S1112" s="3">
        <v>0</v>
      </c>
      <c r="T1112" s="3">
        <v>0</v>
      </c>
      <c r="U1112" s="3">
        <v>688.24</v>
      </c>
      <c r="V1112" t="s">
        <v>55</v>
      </c>
    </row>
    <row r="1113" spans="1:22" hidden="1" x14ac:dyDescent="0.25">
      <c r="A1113" t="s">
        <v>8387</v>
      </c>
      <c r="B1113" t="s">
        <v>8430</v>
      </c>
      <c r="C1113" t="s">
        <v>1</v>
      </c>
      <c r="D1113" t="s">
        <v>8127</v>
      </c>
      <c r="E1113" t="s">
        <v>8128</v>
      </c>
      <c r="F1113" t="s">
        <v>8129</v>
      </c>
      <c r="G1113">
        <v>184</v>
      </c>
      <c r="H1113">
        <v>184</v>
      </c>
      <c r="I1113">
        <v>184</v>
      </c>
      <c r="J1113">
        <v>184</v>
      </c>
      <c r="L1113" s="3">
        <v>0</v>
      </c>
      <c r="M1113" s="3">
        <v>0</v>
      </c>
      <c r="N1113" s="3">
        <v>0</v>
      </c>
      <c r="O1113" s="3">
        <v>0</v>
      </c>
      <c r="P1113" s="3">
        <v>350</v>
      </c>
      <c r="Q1113" s="3">
        <v>0</v>
      </c>
      <c r="R1113" s="3">
        <v>0</v>
      </c>
      <c r="S1113" s="3">
        <v>0</v>
      </c>
      <c r="T1113" s="3">
        <v>0</v>
      </c>
      <c r="U1113" s="3">
        <v>350</v>
      </c>
      <c r="V1113" t="s">
        <v>55</v>
      </c>
    </row>
    <row r="1114" spans="1:22" hidden="1" x14ac:dyDescent="0.25">
      <c r="A1114" t="s">
        <v>8126</v>
      </c>
      <c r="B1114" t="s">
        <v>8136</v>
      </c>
      <c r="C1114" t="s">
        <v>1</v>
      </c>
      <c r="D1114" t="s">
        <v>8127</v>
      </c>
      <c r="E1114" t="s">
        <v>8128</v>
      </c>
      <c r="F1114" t="s">
        <v>8129</v>
      </c>
      <c r="G1114">
        <v>171</v>
      </c>
      <c r="H1114">
        <v>171</v>
      </c>
      <c r="I1114">
        <v>171</v>
      </c>
      <c r="J1114">
        <v>171</v>
      </c>
      <c r="L1114" s="3">
        <v>0</v>
      </c>
      <c r="M1114" s="3">
        <v>0</v>
      </c>
      <c r="N1114" s="3">
        <v>0</v>
      </c>
      <c r="O1114" s="3">
        <v>0</v>
      </c>
      <c r="P1114" s="3">
        <v>500</v>
      </c>
      <c r="Q1114" s="3">
        <v>0</v>
      </c>
      <c r="R1114" s="3">
        <v>0</v>
      </c>
      <c r="S1114" s="3">
        <v>0</v>
      </c>
      <c r="T1114" s="3">
        <v>0</v>
      </c>
      <c r="U1114" s="3">
        <v>500</v>
      </c>
      <c r="V1114" t="s">
        <v>55</v>
      </c>
    </row>
    <row r="1115" spans="1:22" hidden="1" x14ac:dyDescent="0.25">
      <c r="A1115" t="s">
        <v>8126</v>
      </c>
      <c r="B1115" t="s">
        <v>8136</v>
      </c>
      <c r="C1115" t="s">
        <v>1</v>
      </c>
      <c r="D1115" t="s">
        <v>8127</v>
      </c>
      <c r="E1115" t="s">
        <v>8128</v>
      </c>
      <c r="F1115" t="s">
        <v>8129</v>
      </c>
      <c r="G1115">
        <v>172</v>
      </c>
      <c r="H1115">
        <v>172</v>
      </c>
      <c r="I1115">
        <v>172</v>
      </c>
      <c r="J1115">
        <v>172</v>
      </c>
      <c r="L1115" s="3">
        <v>0</v>
      </c>
      <c r="M1115" s="3">
        <v>0</v>
      </c>
      <c r="N1115" s="3">
        <v>0</v>
      </c>
      <c r="O1115" s="3">
        <v>0</v>
      </c>
      <c r="P1115" s="3">
        <v>15</v>
      </c>
      <c r="Q1115" s="3">
        <v>0</v>
      </c>
      <c r="R1115" s="3">
        <v>0</v>
      </c>
      <c r="S1115" s="3">
        <v>0</v>
      </c>
      <c r="T1115" s="3">
        <v>0</v>
      </c>
      <c r="U1115" s="3">
        <v>15</v>
      </c>
      <c r="V1115" t="s">
        <v>55</v>
      </c>
    </row>
    <row r="1116" spans="1:22" hidden="1" x14ac:dyDescent="0.25">
      <c r="A1116" t="s">
        <v>8126</v>
      </c>
      <c r="B1116" t="s">
        <v>8135</v>
      </c>
      <c r="C1116" t="s">
        <v>1</v>
      </c>
      <c r="D1116" t="s">
        <v>8127</v>
      </c>
      <c r="E1116" t="s">
        <v>8128</v>
      </c>
      <c r="F1116" t="s">
        <v>8129</v>
      </c>
      <c r="G1116">
        <v>173</v>
      </c>
      <c r="H1116">
        <v>173</v>
      </c>
      <c r="I1116">
        <v>173</v>
      </c>
      <c r="J1116">
        <v>173</v>
      </c>
      <c r="L1116" s="3">
        <v>0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3">
        <v>0</v>
      </c>
      <c r="T1116" s="3">
        <v>0</v>
      </c>
      <c r="U1116" s="3">
        <v>0</v>
      </c>
      <c r="V1116" t="s">
        <v>55</v>
      </c>
    </row>
    <row r="1117" spans="1:22" hidden="1" x14ac:dyDescent="0.25">
      <c r="A1117" t="s">
        <v>8126</v>
      </c>
      <c r="B1117" t="s">
        <v>8135</v>
      </c>
      <c r="C1117" t="s">
        <v>1</v>
      </c>
      <c r="D1117" t="s">
        <v>8127</v>
      </c>
      <c r="E1117" t="s">
        <v>8128</v>
      </c>
      <c r="F1117" t="s">
        <v>8129</v>
      </c>
      <c r="G1117">
        <v>174</v>
      </c>
      <c r="H1117">
        <v>174</v>
      </c>
      <c r="I1117">
        <v>174</v>
      </c>
      <c r="J1117">
        <v>174</v>
      </c>
      <c r="L1117" s="3">
        <v>0</v>
      </c>
      <c r="M1117" s="3">
        <v>0</v>
      </c>
      <c r="N1117" s="3">
        <v>0</v>
      </c>
      <c r="O1117" s="3">
        <v>0</v>
      </c>
      <c r="P1117" s="3">
        <v>2159.17</v>
      </c>
      <c r="Q1117" s="3">
        <v>0</v>
      </c>
      <c r="R1117" s="3">
        <v>0</v>
      </c>
      <c r="S1117" s="3">
        <v>0</v>
      </c>
      <c r="T1117" s="3">
        <v>0</v>
      </c>
      <c r="U1117" s="3">
        <v>2159.17</v>
      </c>
      <c r="V1117" t="s">
        <v>55</v>
      </c>
    </row>
    <row r="1118" spans="1:22" hidden="1" x14ac:dyDescent="0.25">
      <c r="A1118" t="s">
        <v>8126</v>
      </c>
      <c r="B1118" t="s">
        <v>8134</v>
      </c>
      <c r="C1118" t="s">
        <v>1</v>
      </c>
      <c r="D1118" t="s">
        <v>8127</v>
      </c>
      <c r="E1118" t="s">
        <v>8128</v>
      </c>
      <c r="F1118" t="s">
        <v>8129</v>
      </c>
      <c r="G1118">
        <v>175</v>
      </c>
      <c r="H1118">
        <v>175</v>
      </c>
      <c r="I1118">
        <v>175</v>
      </c>
      <c r="J1118">
        <v>175</v>
      </c>
      <c r="L1118" s="3">
        <v>0</v>
      </c>
      <c r="M1118" s="3">
        <v>0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3">
        <v>0</v>
      </c>
      <c r="T1118" s="3">
        <v>0</v>
      </c>
      <c r="U1118" s="3">
        <v>0</v>
      </c>
      <c r="V1118" t="s">
        <v>55</v>
      </c>
    </row>
    <row r="1119" spans="1:22" hidden="1" x14ac:dyDescent="0.25">
      <c r="A1119" t="s">
        <v>8126</v>
      </c>
      <c r="B1119" t="s">
        <v>8134</v>
      </c>
      <c r="C1119" t="s">
        <v>1</v>
      </c>
      <c r="D1119" t="s">
        <v>8127</v>
      </c>
      <c r="E1119" t="s">
        <v>8128</v>
      </c>
      <c r="F1119" t="s">
        <v>8129</v>
      </c>
      <c r="G1119">
        <v>176</v>
      </c>
      <c r="H1119">
        <v>176</v>
      </c>
      <c r="I1119">
        <v>176</v>
      </c>
      <c r="J1119">
        <v>176</v>
      </c>
      <c r="L1119" s="3">
        <v>0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3">
        <v>0</v>
      </c>
      <c r="T1119" s="3">
        <v>0</v>
      </c>
      <c r="U1119" s="3">
        <v>0</v>
      </c>
      <c r="V1119" t="s">
        <v>55</v>
      </c>
    </row>
    <row r="1120" spans="1:22" hidden="1" x14ac:dyDescent="0.25">
      <c r="A1120" t="s">
        <v>8126</v>
      </c>
      <c r="B1120" t="s">
        <v>8134</v>
      </c>
      <c r="C1120" t="s">
        <v>1</v>
      </c>
      <c r="D1120" t="s">
        <v>8127</v>
      </c>
      <c r="E1120" t="s">
        <v>8128</v>
      </c>
      <c r="F1120" t="s">
        <v>8129</v>
      </c>
      <c r="G1120">
        <v>177</v>
      </c>
      <c r="H1120">
        <v>177</v>
      </c>
      <c r="I1120">
        <v>177</v>
      </c>
      <c r="J1120">
        <v>177</v>
      </c>
      <c r="L1120" s="3">
        <v>0</v>
      </c>
      <c r="M1120" s="3">
        <v>0</v>
      </c>
      <c r="N1120" s="3">
        <v>0</v>
      </c>
      <c r="O1120" s="3">
        <v>0</v>
      </c>
      <c r="P1120" s="3">
        <v>796.15</v>
      </c>
      <c r="Q1120" s="3">
        <v>0</v>
      </c>
      <c r="R1120" s="3">
        <v>0</v>
      </c>
      <c r="S1120" s="3">
        <v>0</v>
      </c>
      <c r="T1120" s="3">
        <v>0</v>
      </c>
      <c r="U1120" s="3">
        <v>796.15</v>
      </c>
      <c r="V1120" t="s">
        <v>55</v>
      </c>
    </row>
    <row r="1121" spans="1:22" hidden="1" x14ac:dyDescent="0.25">
      <c r="A1121" t="s">
        <v>8126</v>
      </c>
      <c r="B1121" t="s">
        <v>8133</v>
      </c>
      <c r="C1121" t="s">
        <v>1</v>
      </c>
      <c r="D1121" t="s">
        <v>8127</v>
      </c>
      <c r="E1121" t="s">
        <v>8128</v>
      </c>
      <c r="F1121" t="s">
        <v>8129</v>
      </c>
      <c r="G1121">
        <v>178</v>
      </c>
      <c r="H1121">
        <v>178</v>
      </c>
      <c r="I1121">
        <v>178</v>
      </c>
      <c r="J1121">
        <v>178</v>
      </c>
      <c r="L1121" s="3">
        <v>0</v>
      </c>
      <c r="M1121" s="3">
        <v>0</v>
      </c>
      <c r="N1121" s="3">
        <v>0</v>
      </c>
      <c r="O1121" s="3">
        <v>0</v>
      </c>
      <c r="P1121" s="3">
        <v>343.1</v>
      </c>
      <c r="Q1121" s="3">
        <v>0</v>
      </c>
      <c r="R1121" s="3">
        <v>0</v>
      </c>
      <c r="S1121" s="3">
        <v>0</v>
      </c>
      <c r="T1121" s="3">
        <v>0</v>
      </c>
      <c r="U1121" s="3">
        <v>343.1</v>
      </c>
      <c r="V1121" t="s">
        <v>55</v>
      </c>
    </row>
    <row r="1122" spans="1:22" hidden="1" x14ac:dyDescent="0.25">
      <c r="A1122" t="s">
        <v>8126</v>
      </c>
      <c r="B1122" t="s">
        <v>8132</v>
      </c>
      <c r="C1122" t="s">
        <v>1</v>
      </c>
      <c r="D1122" t="s">
        <v>8127</v>
      </c>
      <c r="E1122" t="s">
        <v>8128</v>
      </c>
      <c r="F1122" t="s">
        <v>8129</v>
      </c>
      <c r="G1122">
        <v>179</v>
      </c>
      <c r="H1122">
        <v>179</v>
      </c>
      <c r="I1122">
        <v>179</v>
      </c>
      <c r="J1122">
        <v>179</v>
      </c>
      <c r="L1122" s="3">
        <v>0</v>
      </c>
      <c r="M1122" s="3">
        <v>0</v>
      </c>
      <c r="N1122" s="3">
        <v>0</v>
      </c>
      <c r="O1122" s="3">
        <v>0</v>
      </c>
      <c r="P1122" s="3">
        <v>496</v>
      </c>
      <c r="Q1122" s="3">
        <v>0</v>
      </c>
      <c r="R1122" s="3">
        <v>0</v>
      </c>
      <c r="S1122" s="3">
        <v>0</v>
      </c>
      <c r="T1122" s="3">
        <v>0</v>
      </c>
      <c r="U1122" s="3">
        <v>496</v>
      </c>
      <c r="V1122" t="s">
        <v>55</v>
      </c>
    </row>
    <row r="1123" spans="1:22" hidden="1" x14ac:dyDescent="0.25">
      <c r="A1123" t="s">
        <v>8126</v>
      </c>
      <c r="B1123" t="s">
        <v>8130</v>
      </c>
      <c r="C1123" t="s">
        <v>1</v>
      </c>
      <c r="D1123" t="s">
        <v>8127</v>
      </c>
      <c r="E1123" t="s">
        <v>8128</v>
      </c>
      <c r="F1123" t="s">
        <v>8129</v>
      </c>
      <c r="G1123">
        <v>180</v>
      </c>
      <c r="H1123">
        <v>180</v>
      </c>
      <c r="I1123">
        <v>180</v>
      </c>
      <c r="J1123">
        <v>180</v>
      </c>
      <c r="L1123" s="3">
        <v>0</v>
      </c>
      <c r="M1123" s="3">
        <v>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3">
        <v>0</v>
      </c>
      <c r="T1123" s="3">
        <v>0</v>
      </c>
      <c r="U1123" s="3">
        <v>0</v>
      </c>
      <c r="V1123" t="s">
        <v>55</v>
      </c>
    </row>
    <row r="1124" spans="1:22" hidden="1" x14ac:dyDescent="0.25">
      <c r="A1124" t="s">
        <v>8126</v>
      </c>
      <c r="B1124" s="46" t="s">
        <v>8131</v>
      </c>
      <c r="C1124" t="s">
        <v>1</v>
      </c>
      <c r="D1124" t="s">
        <v>8127</v>
      </c>
      <c r="E1124" t="s">
        <v>8128</v>
      </c>
      <c r="F1124" t="s">
        <v>8129</v>
      </c>
      <c r="G1124">
        <v>181</v>
      </c>
      <c r="H1124">
        <v>181</v>
      </c>
      <c r="I1124">
        <v>181</v>
      </c>
      <c r="J1124">
        <v>181</v>
      </c>
      <c r="L1124" s="3">
        <v>0</v>
      </c>
      <c r="M1124" s="3">
        <v>0</v>
      </c>
      <c r="N1124" s="3">
        <v>0</v>
      </c>
      <c r="O1124" s="3">
        <v>0</v>
      </c>
      <c r="P1124" s="3">
        <v>351.5</v>
      </c>
      <c r="Q1124" s="3">
        <v>0</v>
      </c>
      <c r="R1124" s="3">
        <v>0</v>
      </c>
      <c r="S1124" s="3">
        <v>0</v>
      </c>
      <c r="T1124" s="3">
        <v>0</v>
      </c>
      <c r="U1124" s="3">
        <v>351.5</v>
      </c>
      <c r="V1124" t="s">
        <v>55</v>
      </c>
    </row>
    <row r="1125" spans="1:22" hidden="1" x14ac:dyDescent="0.25">
      <c r="A1125" t="s">
        <v>8607</v>
      </c>
      <c r="B1125" t="s">
        <v>8617</v>
      </c>
      <c r="C1125" t="s">
        <v>1</v>
      </c>
      <c r="D1125" t="s">
        <v>8526</v>
      </c>
      <c r="E1125" t="s">
        <v>8137</v>
      </c>
      <c r="F1125" t="s">
        <v>8138</v>
      </c>
      <c r="G1125">
        <v>103</v>
      </c>
      <c r="H1125">
        <v>103</v>
      </c>
      <c r="I1125">
        <v>103</v>
      </c>
      <c r="J1125">
        <v>103</v>
      </c>
      <c r="L1125" s="3">
        <v>0</v>
      </c>
      <c r="M1125" s="3">
        <v>0</v>
      </c>
      <c r="N1125" s="3">
        <v>0</v>
      </c>
      <c r="O1125" s="3">
        <v>20.5</v>
      </c>
      <c r="P1125" s="3">
        <v>0</v>
      </c>
      <c r="Q1125" s="3">
        <v>0</v>
      </c>
      <c r="R1125" s="3">
        <v>0</v>
      </c>
      <c r="S1125" s="3">
        <v>0</v>
      </c>
      <c r="T1125" s="3">
        <v>0</v>
      </c>
      <c r="U1125" s="3">
        <v>20.5</v>
      </c>
      <c r="V1125" t="s">
        <v>55</v>
      </c>
    </row>
    <row r="1126" spans="1:22" hidden="1" x14ac:dyDescent="0.25">
      <c r="A1126" t="s">
        <v>8607</v>
      </c>
      <c r="B1126" t="s">
        <v>8617</v>
      </c>
      <c r="C1126" t="s">
        <v>1</v>
      </c>
      <c r="D1126" t="s">
        <v>8526</v>
      </c>
      <c r="E1126" t="s">
        <v>8137</v>
      </c>
      <c r="F1126" t="s">
        <v>8138</v>
      </c>
      <c r="G1126">
        <v>102</v>
      </c>
      <c r="H1126">
        <v>102</v>
      </c>
      <c r="I1126">
        <v>102</v>
      </c>
      <c r="J1126">
        <v>102</v>
      </c>
      <c r="L1126" s="3">
        <v>0</v>
      </c>
      <c r="M1126" s="3">
        <v>0</v>
      </c>
      <c r="N1126" s="3">
        <v>0</v>
      </c>
      <c r="O1126" s="3">
        <v>209.4</v>
      </c>
      <c r="P1126" s="3">
        <v>0</v>
      </c>
      <c r="Q1126" s="3">
        <v>0</v>
      </c>
      <c r="R1126" s="3">
        <v>0</v>
      </c>
      <c r="S1126" s="3">
        <v>0</v>
      </c>
      <c r="T1126" s="3">
        <v>0</v>
      </c>
      <c r="U1126" s="3">
        <v>209.4</v>
      </c>
      <c r="V1126" t="s">
        <v>55</v>
      </c>
    </row>
    <row r="1127" spans="1:22" hidden="1" x14ac:dyDescent="0.25">
      <c r="A1127" t="s">
        <v>8607</v>
      </c>
      <c r="B1127" t="s">
        <v>8620</v>
      </c>
      <c r="C1127" t="s">
        <v>1</v>
      </c>
      <c r="D1127" t="s">
        <v>8526</v>
      </c>
      <c r="E1127" t="s">
        <v>8137</v>
      </c>
      <c r="F1127" t="s">
        <v>8138</v>
      </c>
      <c r="G1127">
        <v>101</v>
      </c>
      <c r="H1127">
        <v>101</v>
      </c>
      <c r="I1127">
        <v>101</v>
      </c>
      <c r="J1127">
        <v>101</v>
      </c>
      <c r="L1127" s="3">
        <v>0</v>
      </c>
      <c r="M1127" s="3">
        <v>0</v>
      </c>
      <c r="N1127" s="3">
        <v>0</v>
      </c>
      <c r="O1127" s="3">
        <v>42</v>
      </c>
      <c r="P1127" s="3">
        <v>0</v>
      </c>
      <c r="Q1127" s="3">
        <v>0</v>
      </c>
      <c r="R1127" s="3">
        <v>0</v>
      </c>
      <c r="S1127" s="3">
        <v>0</v>
      </c>
      <c r="T1127" s="3">
        <v>0</v>
      </c>
      <c r="U1127" s="3">
        <v>42</v>
      </c>
      <c r="V1127" t="s">
        <v>55</v>
      </c>
    </row>
    <row r="1128" spans="1:22" hidden="1" x14ac:dyDescent="0.25">
      <c r="A1128" t="s">
        <v>8607</v>
      </c>
      <c r="B1128" t="s">
        <v>8621</v>
      </c>
      <c r="C1128" t="s">
        <v>1</v>
      </c>
      <c r="D1128" t="s">
        <v>8526</v>
      </c>
      <c r="E1128" t="s">
        <v>8137</v>
      </c>
      <c r="F1128" t="s">
        <v>8138</v>
      </c>
      <c r="G1128">
        <v>100</v>
      </c>
      <c r="H1128">
        <v>100</v>
      </c>
      <c r="I1128">
        <v>100</v>
      </c>
      <c r="J1128">
        <v>100</v>
      </c>
      <c r="L1128" s="3">
        <v>0</v>
      </c>
      <c r="M1128" s="3">
        <v>0</v>
      </c>
      <c r="N1128" s="3">
        <v>0</v>
      </c>
      <c r="O1128" s="3">
        <v>102.8</v>
      </c>
      <c r="P1128" s="3">
        <v>0</v>
      </c>
      <c r="Q1128" s="3">
        <v>0</v>
      </c>
      <c r="R1128" s="3">
        <v>0</v>
      </c>
      <c r="S1128" s="3">
        <v>0</v>
      </c>
      <c r="T1128" s="3">
        <v>0</v>
      </c>
      <c r="U1128" s="3">
        <v>102.8</v>
      </c>
      <c r="V1128" t="s">
        <v>55</v>
      </c>
    </row>
    <row r="1129" spans="1:22" hidden="1" x14ac:dyDescent="0.25">
      <c r="A1129" t="s">
        <v>8607</v>
      </c>
      <c r="B1129" t="s">
        <v>8635</v>
      </c>
      <c r="C1129" t="s">
        <v>1</v>
      </c>
      <c r="D1129" t="s">
        <v>8526</v>
      </c>
      <c r="E1129" t="s">
        <v>8137</v>
      </c>
      <c r="F1129" t="s">
        <v>8138</v>
      </c>
      <c r="G1129">
        <v>99</v>
      </c>
      <c r="H1129">
        <v>99</v>
      </c>
      <c r="I1129">
        <v>99</v>
      </c>
      <c r="J1129">
        <v>99</v>
      </c>
      <c r="L1129" s="3">
        <v>0</v>
      </c>
      <c r="M1129" s="3">
        <v>0</v>
      </c>
      <c r="N1129" s="3">
        <v>0</v>
      </c>
      <c r="O1129" s="3">
        <v>264.3</v>
      </c>
      <c r="P1129" s="3">
        <v>0</v>
      </c>
      <c r="Q1129" s="3">
        <v>0</v>
      </c>
      <c r="R1129" s="3">
        <v>0</v>
      </c>
      <c r="S1129" s="3">
        <v>0</v>
      </c>
      <c r="T1129" s="3">
        <v>0</v>
      </c>
      <c r="U1129" s="3">
        <v>264.3</v>
      </c>
      <c r="V1129" t="s">
        <v>55</v>
      </c>
    </row>
    <row r="1130" spans="1:22" hidden="1" x14ac:dyDescent="0.25">
      <c r="A1130" t="s">
        <v>8607</v>
      </c>
      <c r="B1130" t="s">
        <v>8627</v>
      </c>
      <c r="C1130" t="s">
        <v>1</v>
      </c>
      <c r="D1130" t="s">
        <v>8526</v>
      </c>
      <c r="E1130" t="s">
        <v>8137</v>
      </c>
      <c r="F1130" t="s">
        <v>8138</v>
      </c>
      <c r="G1130">
        <v>98</v>
      </c>
      <c r="H1130">
        <v>98</v>
      </c>
      <c r="I1130">
        <v>98</v>
      </c>
      <c r="J1130">
        <v>98</v>
      </c>
      <c r="L1130" s="3">
        <v>0</v>
      </c>
      <c r="M1130" s="3">
        <v>0</v>
      </c>
      <c r="N1130" s="3">
        <v>0</v>
      </c>
      <c r="O1130" s="3">
        <v>19</v>
      </c>
      <c r="P1130" s="3">
        <v>0</v>
      </c>
      <c r="Q1130" s="3">
        <v>0</v>
      </c>
      <c r="R1130" s="3">
        <v>0</v>
      </c>
      <c r="S1130" s="3">
        <v>0</v>
      </c>
      <c r="T1130" s="3">
        <v>0</v>
      </c>
      <c r="U1130" s="3">
        <v>19</v>
      </c>
      <c r="V1130" t="s">
        <v>55</v>
      </c>
    </row>
    <row r="1131" spans="1:22" hidden="1" x14ac:dyDescent="0.25">
      <c r="A1131" t="s">
        <v>8607</v>
      </c>
      <c r="B1131" t="s">
        <v>8634</v>
      </c>
      <c r="C1131" t="s">
        <v>1</v>
      </c>
      <c r="D1131" t="s">
        <v>8526</v>
      </c>
      <c r="E1131" t="s">
        <v>8137</v>
      </c>
      <c r="F1131" t="s">
        <v>8138</v>
      </c>
      <c r="G1131">
        <v>97</v>
      </c>
      <c r="H1131">
        <v>97</v>
      </c>
      <c r="I1131">
        <v>97</v>
      </c>
      <c r="J1131">
        <v>97</v>
      </c>
      <c r="L1131" s="3">
        <v>0</v>
      </c>
      <c r="M1131" s="3">
        <v>0</v>
      </c>
      <c r="N1131" s="3">
        <v>0</v>
      </c>
      <c r="O1131" s="3">
        <v>28</v>
      </c>
      <c r="P1131" s="3">
        <v>0</v>
      </c>
      <c r="Q1131" s="3">
        <v>0</v>
      </c>
      <c r="R1131" s="3">
        <v>0</v>
      </c>
      <c r="S1131" s="3">
        <v>0</v>
      </c>
      <c r="T1131" s="3">
        <v>0</v>
      </c>
      <c r="U1131" s="3">
        <v>28</v>
      </c>
      <c r="V1131" t="s">
        <v>55</v>
      </c>
    </row>
    <row r="1132" spans="1:22" hidden="1" x14ac:dyDescent="0.25">
      <c r="A1132" t="s">
        <v>8388</v>
      </c>
      <c r="B1132" t="s">
        <v>8527</v>
      </c>
      <c r="C1132" t="s">
        <v>1</v>
      </c>
      <c r="D1132" t="s">
        <v>8526</v>
      </c>
      <c r="E1132" t="s">
        <v>8137</v>
      </c>
      <c r="F1132" t="s">
        <v>8138</v>
      </c>
      <c r="G1132">
        <v>96</v>
      </c>
      <c r="H1132">
        <v>96</v>
      </c>
      <c r="I1132">
        <v>96</v>
      </c>
      <c r="J1132">
        <v>96</v>
      </c>
      <c r="L1132" s="3">
        <v>0</v>
      </c>
      <c r="M1132" s="3">
        <v>0</v>
      </c>
      <c r="N1132" s="3">
        <v>0</v>
      </c>
      <c r="O1132" s="3">
        <v>119.6</v>
      </c>
      <c r="P1132" s="3">
        <v>0</v>
      </c>
      <c r="Q1132" s="3">
        <v>0</v>
      </c>
      <c r="R1132" s="3">
        <v>0</v>
      </c>
      <c r="S1132" s="3">
        <v>0</v>
      </c>
      <c r="T1132" s="3">
        <v>0</v>
      </c>
      <c r="U1132" s="3">
        <v>119.6</v>
      </c>
      <c r="V1132" t="s">
        <v>55</v>
      </c>
    </row>
    <row r="1133" spans="1:22" hidden="1" x14ac:dyDescent="0.25">
      <c r="A1133" t="s">
        <v>8388</v>
      </c>
      <c r="B1133" t="s">
        <v>8527</v>
      </c>
      <c r="C1133" t="s">
        <v>1</v>
      </c>
      <c r="D1133" t="s">
        <v>8526</v>
      </c>
      <c r="E1133" t="s">
        <v>8137</v>
      </c>
      <c r="F1133" t="s">
        <v>8138</v>
      </c>
      <c r="G1133">
        <v>95</v>
      </c>
      <c r="H1133">
        <v>95</v>
      </c>
      <c r="I1133">
        <v>95</v>
      </c>
      <c r="J1133">
        <v>95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3">
        <v>0</v>
      </c>
      <c r="T1133" s="3">
        <v>0</v>
      </c>
      <c r="U1133" s="3">
        <v>0</v>
      </c>
      <c r="V1133" t="s">
        <v>55</v>
      </c>
    </row>
    <row r="1134" spans="1:22" hidden="1" x14ac:dyDescent="0.25">
      <c r="A1134" t="s">
        <v>8388</v>
      </c>
      <c r="B1134" t="s">
        <v>8518</v>
      </c>
      <c r="C1134" t="s">
        <v>1</v>
      </c>
      <c r="D1134" t="s">
        <v>8526</v>
      </c>
      <c r="E1134" t="s">
        <v>8137</v>
      </c>
      <c r="F1134" t="s">
        <v>8138</v>
      </c>
      <c r="G1134">
        <v>94</v>
      </c>
      <c r="H1134">
        <v>94</v>
      </c>
      <c r="I1134">
        <v>94</v>
      </c>
      <c r="J1134">
        <v>94</v>
      </c>
      <c r="L1134" s="3">
        <v>0</v>
      </c>
      <c r="M1134" s="3">
        <v>0</v>
      </c>
      <c r="N1134" s="3">
        <v>0</v>
      </c>
      <c r="O1134" s="3">
        <v>36.85</v>
      </c>
      <c r="P1134" s="3">
        <v>0</v>
      </c>
      <c r="Q1134" s="3">
        <v>0</v>
      </c>
      <c r="R1134" s="3">
        <v>0</v>
      </c>
      <c r="S1134" s="3">
        <v>0</v>
      </c>
      <c r="T1134" s="3">
        <v>0</v>
      </c>
      <c r="U1134" s="3">
        <v>36.85</v>
      </c>
      <c r="V1134" t="s">
        <v>55</v>
      </c>
    </row>
    <row r="1135" spans="1:22" hidden="1" x14ac:dyDescent="0.25">
      <c r="A1135" t="s">
        <v>8388</v>
      </c>
      <c r="B1135" t="s">
        <v>8535</v>
      </c>
      <c r="C1135" t="s">
        <v>1</v>
      </c>
      <c r="D1135" t="s">
        <v>8526</v>
      </c>
      <c r="E1135" t="s">
        <v>8137</v>
      </c>
      <c r="F1135" t="s">
        <v>8138</v>
      </c>
      <c r="G1135">
        <v>93</v>
      </c>
      <c r="H1135">
        <v>93</v>
      </c>
      <c r="I1135">
        <v>93</v>
      </c>
      <c r="J1135">
        <v>93</v>
      </c>
      <c r="L1135" s="3">
        <v>0</v>
      </c>
      <c r="M1135" s="3">
        <v>0</v>
      </c>
      <c r="N1135" s="3">
        <v>0</v>
      </c>
      <c r="O1135" s="3">
        <v>1.35</v>
      </c>
      <c r="P1135" s="3">
        <v>0</v>
      </c>
      <c r="Q1135" s="3">
        <v>0</v>
      </c>
      <c r="R1135" s="3">
        <v>0</v>
      </c>
      <c r="S1135" s="3">
        <v>0</v>
      </c>
      <c r="T1135" s="3">
        <v>0</v>
      </c>
      <c r="U1135" s="3">
        <v>1.35</v>
      </c>
      <c r="V1135" t="s">
        <v>55</v>
      </c>
    </row>
    <row r="1136" spans="1:22" hidden="1" x14ac:dyDescent="0.25">
      <c r="A1136" t="s">
        <v>8388</v>
      </c>
      <c r="B1136" t="s">
        <v>8523</v>
      </c>
      <c r="C1136" t="s">
        <v>1</v>
      </c>
      <c r="D1136" t="s">
        <v>8526</v>
      </c>
      <c r="E1136" t="s">
        <v>8137</v>
      </c>
      <c r="F1136" t="s">
        <v>8138</v>
      </c>
      <c r="G1136">
        <v>92</v>
      </c>
      <c r="H1136">
        <v>92</v>
      </c>
      <c r="I1136">
        <v>92</v>
      </c>
      <c r="J1136">
        <v>92</v>
      </c>
      <c r="L1136" s="3">
        <v>0</v>
      </c>
      <c r="M1136" s="3">
        <v>0</v>
      </c>
      <c r="N1136" s="3">
        <v>0</v>
      </c>
      <c r="O1136" s="3">
        <v>77</v>
      </c>
      <c r="P1136" s="3">
        <v>0</v>
      </c>
      <c r="Q1136" s="3">
        <v>0</v>
      </c>
      <c r="R1136" s="3">
        <v>0</v>
      </c>
      <c r="S1136" s="3">
        <v>0</v>
      </c>
      <c r="T1136" s="3">
        <v>0</v>
      </c>
      <c r="U1136" s="3">
        <v>77</v>
      </c>
      <c r="V1136" t="s">
        <v>55</v>
      </c>
    </row>
    <row r="1137" spans="1:22" hidden="1" x14ac:dyDescent="0.25">
      <c r="A1137" t="s">
        <v>8388</v>
      </c>
      <c r="B1137" t="s">
        <v>8523</v>
      </c>
      <c r="C1137" t="s">
        <v>1</v>
      </c>
      <c r="D1137" t="s">
        <v>8526</v>
      </c>
      <c r="E1137" t="s">
        <v>8137</v>
      </c>
      <c r="F1137" t="s">
        <v>8138</v>
      </c>
      <c r="G1137">
        <v>91</v>
      </c>
      <c r="H1137">
        <v>91</v>
      </c>
      <c r="I1137">
        <v>91</v>
      </c>
      <c r="J1137">
        <v>91</v>
      </c>
      <c r="L1137" s="3">
        <v>0</v>
      </c>
      <c r="M1137" s="3">
        <v>0</v>
      </c>
      <c r="N1137" s="3">
        <v>0</v>
      </c>
      <c r="O1137" s="3">
        <v>108</v>
      </c>
      <c r="P1137" s="3">
        <v>0</v>
      </c>
      <c r="Q1137" s="3">
        <v>0</v>
      </c>
      <c r="R1137" s="3">
        <v>0</v>
      </c>
      <c r="S1137" s="3">
        <v>0</v>
      </c>
      <c r="T1137" s="3">
        <v>0</v>
      </c>
      <c r="U1137" s="3">
        <v>108</v>
      </c>
      <c r="V1137" t="s">
        <v>55</v>
      </c>
    </row>
    <row r="1138" spans="1:22" hidden="1" x14ac:dyDescent="0.25">
      <c r="A1138" t="s">
        <v>8388</v>
      </c>
      <c r="B1138" t="s">
        <v>8523</v>
      </c>
      <c r="C1138" t="s">
        <v>1</v>
      </c>
      <c r="D1138" t="s">
        <v>8526</v>
      </c>
      <c r="E1138" t="s">
        <v>8137</v>
      </c>
      <c r="F1138" t="s">
        <v>8138</v>
      </c>
      <c r="G1138">
        <v>90</v>
      </c>
      <c r="H1138">
        <v>90</v>
      </c>
      <c r="I1138">
        <v>90</v>
      </c>
      <c r="J1138">
        <v>90</v>
      </c>
      <c r="L1138" s="3">
        <v>0</v>
      </c>
      <c r="M1138" s="3">
        <v>0</v>
      </c>
      <c r="N1138" s="3">
        <v>0</v>
      </c>
      <c r="O1138" s="3">
        <v>0.75</v>
      </c>
      <c r="P1138" s="3">
        <v>0</v>
      </c>
      <c r="Q1138" s="3">
        <v>0</v>
      </c>
      <c r="R1138" s="3">
        <v>0</v>
      </c>
      <c r="S1138" s="3">
        <v>0</v>
      </c>
      <c r="T1138" s="3">
        <v>0</v>
      </c>
      <c r="U1138" s="3">
        <v>0.75</v>
      </c>
      <c r="V1138" t="s">
        <v>55</v>
      </c>
    </row>
    <row r="1139" spans="1:22" hidden="1" x14ac:dyDescent="0.25">
      <c r="A1139" t="s">
        <v>8387</v>
      </c>
      <c r="B1139" t="s">
        <v>8430</v>
      </c>
      <c r="C1139" t="s">
        <v>1</v>
      </c>
      <c r="D1139" t="s">
        <v>1</v>
      </c>
      <c r="E1139" t="s">
        <v>8137</v>
      </c>
      <c r="F1139" t="s">
        <v>8138</v>
      </c>
      <c r="G1139">
        <v>88</v>
      </c>
      <c r="H1139">
        <v>88</v>
      </c>
      <c r="I1139">
        <v>88</v>
      </c>
      <c r="J1139">
        <v>88</v>
      </c>
      <c r="L1139" s="3">
        <v>0</v>
      </c>
      <c r="M1139" s="3">
        <v>0</v>
      </c>
      <c r="N1139" s="3">
        <v>0</v>
      </c>
      <c r="O1139" s="3">
        <v>4.5</v>
      </c>
      <c r="P1139" s="3">
        <v>0</v>
      </c>
      <c r="Q1139" s="3">
        <v>0</v>
      </c>
      <c r="R1139" s="3">
        <v>0</v>
      </c>
      <c r="S1139" s="3">
        <v>0</v>
      </c>
      <c r="T1139" s="3">
        <v>0</v>
      </c>
      <c r="U1139" s="3">
        <v>4.5</v>
      </c>
      <c r="V1139" t="s">
        <v>55</v>
      </c>
    </row>
    <row r="1140" spans="1:22" hidden="1" x14ac:dyDescent="0.25">
      <c r="A1140" t="s">
        <v>8387</v>
      </c>
      <c r="B1140" t="s">
        <v>8450</v>
      </c>
      <c r="C1140" t="s">
        <v>1</v>
      </c>
      <c r="D1140" t="s">
        <v>1</v>
      </c>
      <c r="E1140" t="s">
        <v>8137</v>
      </c>
      <c r="F1140" t="s">
        <v>8138</v>
      </c>
      <c r="G1140">
        <v>87</v>
      </c>
      <c r="H1140">
        <v>87</v>
      </c>
      <c r="I1140">
        <v>87</v>
      </c>
      <c r="J1140">
        <v>87</v>
      </c>
      <c r="L1140" s="3">
        <v>0</v>
      </c>
      <c r="M1140" s="3">
        <v>0</v>
      </c>
      <c r="N1140" s="3">
        <v>0</v>
      </c>
      <c r="O1140" s="3">
        <v>31.5</v>
      </c>
      <c r="P1140" s="3">
        <v>0</v>
      </c>
      <c r="Q1140" s="3">
        <v>0</v>
      </c>
      <c r="R1140" s="3">
        <v>0</v>
      </c>
      <c r="S1140" s="3">
        <v>0</v>
      </c>
      <c r="T1140" s="3">
        <v>0</v>
      </c>
      <c r="U1140" s="3">
        <v>31.5</v>
      </c>
      <c r="V1140" t="s">
        <v>55</v>
      </c>
    </row>
    <row r="1141" spans="1:22" hidden="1" x14ac:dyDescent="0.25">
      <c r="A1141" t="s">
        <v>8387</v>
      </c>
      <c r="B1141" t="s">
        <v>8450</v>
      </c>
      <c r="C1141" t="s">
        <v>1</v>
      </c>
      <c r="D1141" t="s">
        <v>1</v>
      </c>
      <c r="E1141" t="s">
        <v>8137</v>
      </c>
      <c r="F1141" t="s">
        <v>8138</v>
      </c>
      <c r="G1141">
        <v>83</v>
      </c>
      <c r="H1141">
        <v>83</v>
      </c>
      <c r="I1141">
        <v>83</v>
      </c>
      <c r="J1141">
        <v>83</v>
      </c>
      <c r="L1141" s="3">
        <v>0</v>
      </c>
      <c r="M1141" s="3">
        <v>0</v>
      </c>
      <c r="N1141" s="3">
        <v>0</v>
      </c>
      <c r="O1141" s="3">
        <v>14.4</v>
      </c>
      <c r="P1141" s="3">
        <v>0</v>
      </c>
      <c r="Q1141" s="3">
        <v>0</v>
      </c>
      <c r="R1141" s="3">
        <v>0</v>
      </c>
      <c r="S1141" s="3">
        <v>0</v>
      </c>
      <c r="T1141" s="3">
        <v>0</v>
      </c>
      <c r="U1141" s="3">
        <v>14.4</v>
      </c>
      <c r="V1141" t="s">
        <v>55</v>
      </c>
    </row>
    <row r="1142" spans="1:22" hidden="1" x14ac:dyDescent="0.25">
      <c r="A1142" t="s">
        <v>8387</v>
      </c>
      <c r="B1142" t="s">
        <v>8450</v>
      </c>
      <c r="C1142" t="s">
        <v>1</v>
      </c>
      <c r="D1142" t="s">
        <v>1</v>
      </c>
      <c r="E1142" t="s">
        <v>8137</v>
      </c>
      <c r="F1142" t="s">
        <v>8138</v>
      </c>
      <c r="G1142">
        <v>82</v>
      </c>
      <c r="H1142">
        <v>82</v>
      </c>
      <c r="I1142">
        <v>82</v>
      </c>
      <c r="J1142">
        <v>82</v>
      </c>
      <c r="L1142" s="3">
        <v>0</v>
      </c>
      <c r="M1142" s="3">
        <v>0</v>
      </c>
      <c r="N1142" s="3">
        <v>0</v>
      </c>
      <c r="O1142" s="3">
        <v>29.84</v>
      </c>
      <c r="P1142" s="3">
        <v>0</v>
      </c>
      <c r="Q1142" s="3">
        <v>0</v>
      </c>
      <c r="R1142" s="3">
        <v>0</v>
      </c>
      <c r="S1142" s="3">
        <v>0</v>
      </c>
      <c r="T1142" s="3">
        <v>0</v>
      </c>
      <c r="U1142" s="3">
        <v>29.84</v>
      </c>
      <c r="V1142" t="s">
        <v>55</v>
      </c>
    </row>
    <row r="1143" spans="1:22" hidden="1" x14ac:dyDescent="0.25">
      <c r="A1143" t="s">
        <v>8387</v>
      </c>
      <c r="B1143" t="s">
        <v>8450</v>
      </c>
      <c r="C1143" t="s">
        <v>1</v>
      </c>
      <c r="D1143" t="s">
        <v>1</v>
      </c>
      <c r="E1143" t="s">
        <v>8137</v>
      </c>
      <c r="F1143" t="s">
        <v>8138</v>
      </c>
      <c r="G1143">
        <v>81</v>
      </c>
      <c r="H1143">
        <v>81</v>
      </c>
      <c r="I1143">
        <v>81</v>
      </c>
      <c r="J1143">
        <v>81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3">
        <v>0</v>
      </c>
      <c r="T1143" s="3">
        <v>0</v>
      </c>
      <c r="U1143" s="3">
        <v>0</v>
      </c>
      <c r="V1143" t="s">
        <v>55</v>
      </c>
    </row>
    <row r="1144" spans="1:22" hidden="1" x14ac:dyDescent="0.25">
      <c r="A1144" t="s">
        <v>8387</v>
      </c>
      <c r="B1144" t="s">
        <v>8450</v>
      </c>
      <c r="C1144" t="s">
        <v>1</v>
      </c>
      <c r="D1144" t="s">
        <v>1</v>
      </c>
      <c r="E1144" t="s">
        <v>8137</v>
      </c>
      <c r="F1144" t="s">
        <v>8138</v>
      </c>
      <c r="G1144">
        <v>89</v>
      </c>
      <c r="H1144">
        <v>89</v>
      </c>
      <c r="I1144">
        <v>89</v>
      </c>
      <c r="J1144">
        <v>89</v>
      </c>
      <c r="L1144" s="3">
        <v>0</v>
      </c>
      <c r="M1144" s="3">
        <v>0</v>
      </c>
      <c r="N1144" s="3">
        <v>0</v>
      </c>
      <c r="O1144" s="3">
        <v>25.29</v>
      </c>
      <c r="P1144" s="3">
        <v>0</v>
      </c>
      <c r="Q1144" s="3">
        <v>0</v>
      </c>
      <c r="R1144" s="3">
        <v>0</v>
      </c>
      <c r="S1144" s="3">
        <v>0</v>
      </c>
      <c r="T1144" s="3">
        <v>0</v>
      </c>
      <c r="U1144" s="3">
        <v>25.29</v>
      </c>
      <c r="V1144" t="s">
        <v>55</v>
      </c>
    </row>
    <row r="1145" spans="1:22" hidden="1" x14ac:dyDescent="0.25">
      <c r="A1145" t="s">
        <v>8126</v>
      </c>
      <c r="B1145" t="s">
        <v>8145</v>
      </c>
      <c r="C1145" t="s">
        <v>1</v>
      </c>
      <c r="D1145" t="s">
        <v>1</v>
      </c>
      <c r="E1145" t="s">
        <v>8137</v>
      </c>
      <c r="F1145" t="s">
        <v>8138</v>
      </c>
      <c r="G1145">
        <v>86</v>
      </c>
      <c r="H1145">
        <v>86</v>
      </c>
      <c r="I1145">
        <v>86</v>
      </c>
      <c r="J1145">
        <v>86</v>
      </c>
      <c r="L1145" s="3">
        <v>0</v>
      </c>
      <c r="M1145" s="3">
        <v>0</v>
      </c>
      <c r="N1145" s="3">
        <v>0</v>
      </c>
      <c r="O1145" s="3">
        <v>36.9</v>
      </c>
      <c r="P1145" s="3">
        <v>0</v>
      </c>
      <c r="Q1145" s="3">
        <v>0</v>
      </c>
      <c r="R1145" s="3">
        <v>0</v>
      </c>
      <c r="S1145" s="3">
        <v>0</v>
      </c>
      <c r="T1145" s="3">
        <v>0</v>
      </c>
      <c r="U1145" s="3">
        <v>36.9</v>
      </c>
      <c r="V1145" t="s">
        <v>55</v>
      </c>
    </row>
    <row r="1146" spans="1:22" hidden="1" x14ac:dyDescent="0.25">
      <c r="A1146" t="s">
        <v>8126</v>
      </c>
      <c r="B1146" t="s">
        <v>8145</v>
      </c>
      <c r="C1146" t="s">
        <v>1</v>
      </c>
      <c r="D1146" t="s">
        <v>1</v>
      </c>
      <c r="E1146" t="s">
        <v>8137</v>
      </c>
      <c r="F1146" t="s">
        <v>8138</v>
      </c>
      <c r="G1146">
        <v>85</v>
      </c>
      <c r="H1146">
        <v>85</v>
      </c>
      <c r="I1146">
        <v>85</v>
      </c>
      <c r="J1146">
        <v>85</v>
      </c>
      <c r="L1146" s="3">
        <v>0</v>
      </c>
      <c r="M1146" s="3">
        <v>0</v>
      </c>
      <c r="N1146" s="3">
        <v>0</v>
      </c>
      <c r="O1146" s="3">
        <v>96.9</v>
      </c>
      <c r="P1146" s="3">
        <v>0</v>
      </c>
      <c r="Q1146" s="3">
        <v>0</v>
      </c>
      <c r="R1146" s="3">
        <v>0</v>
      </c>
      <c r="S1146" s="3">
        <v>0</v>
      </c>
      <c r="T1146" s="3">
        <v>0</v>
      </c>
      <c r="U1146" s="3">
        <v>96.9</v>
      </c>
      <c r="V1146" t="s">
        <v>55</v>
      </c>
    </row>
    <row r="1147" spans="1:22" hidden="1" x14ac:dyDescent="0.25">
      <c r="A1147" t="s">
        <v>8126</v>
      </c>
      <c r="B1147" t="s">
        <v>8145</v>
      </c>
      <c r="C1147" t="s">
        <v>1</v>
      </c>
      <c r="D1147" t="s">
        <v>1</v>
      </c>
      <c r="E1147" t="s">
        <v>8137</v>
      </c>
      <c r="F1147" t="s">
        <v>8138</v>
      </c>
      <c r="G1147">
        <v>84</v>
      </c>
      <c r="H1147">
        <v>84</v>
      </c>
      <c r="I1147">
        <v>84</v>
      </c>
      <c r="J1147">
        <v>84</v>
      </c>
      <c r="L1147" s="3">
        <v>0</v>
      </c>
      <c r="M1147" s="3">
        <v>0</v>
      </c>
      <c r="N1147" s="3">
        <v>0</v>
      </c>
      <c r="O1147" s="3">
        <v>2.56</v>
      </c>
      <c r="P1147" s="3">
        <v>0</v>
      </c>
      <c r="Q1147" s="3">
        <v>0</v>
      </c>
      <c r="R1147" s="3">
        <v>0</v>
      </c>
      <c r="S1147" s="3">
        <v>0</v>
      </c>
      <c r="T1147" s="3">
        <v>0</v>
      </c>
      <c r="U1147" s="3">
        <v>2.56</v>
      </c>
      <c r="V1147" t="s">
        <v>55</v>
      </c>
    </row>
    <row r="1148" spans="1:22" hidden="1" x14ac:dyDescent="0.25">
      <c r="A1148" t="s">
        <v>8126</v>
      </c>
      <c r="B1148" t="s">
        <v>8144</v>
      </c>
      <c r="C1148" t="s">
        <v>1</v>
      </c>
      <c r="D1148" t="s">
        <v>1</v>
      </c>
      <c r="E1148" t="s">
        <v>8137</v>
      </c>
      <c r="F1148" t="s">
        <v>8138</v>
      </c>
      <c r="G1148">
        <v>80</v>
      </c>
      <c r="H1148">
        <v>80</v>
      </c>
      <c r="I1148">
        <v>80</v>
      </c>
      <c r="J1148">
        <v>80</v>
      </c>
      <c r="L1148" s="3">
        <v>0</v>
      </c>
      <c r="M1148" s="3">
        <v>0</v>
      </c>
      <c r="N1148" s="3">
        <v>0</v>
      </c>
      <c r="O1148" s="3">
        <v>163</v>
      </c>
      <c r="P1148" s="3">
        <v>0</v>
      </c>
      <c r="Q1148" s="3">
        <v>0</v>
      </c>
      <c r="R1148" s="3">
        <v>0</v>
      </c>
      <c r="S1148" s="3">
        <v>0</v>
      </c>
      <c r="T1148" s="3">
        <v>0</v>
      </c>
      <c r="U1148" s="3">
        <v>163</v>
      </c>
      <c r="V1148" t="s">
        <v>55</v>
      </c>
    </row>
    <row r="1149" spans="1:22" hidden="1" x14ac:dyDescent="0.25">
      <c r="A1149" t="s">
        <v>8126</v>
      </c>
      <c r="B1149" t="s">
        <v>8143</v>
      </c>
      <c r="C1149" t="s">
        <v>1</v>
      </c>
      <c r="D1149" t="s">
        <v>1</v>
      </c>
      <c r="E1149" t="s">
        <v>8137</v>
      </c>
      <c r="F1149" t="s">
        <v>8138</v>
      </c>
      <c r="G1149">
        <v>79</v>
      </c>
      <c r="H1149">
        <v>79</v>
      </c>
      <c r="I1149">
        <v>79</v>
      </c>
      <c r="J1149">
        <v>79</v>
      </c>
      <c r="L1149" s="3">
        <v>0</v>
      </c>
      <c r="M1149" s="3">
        <v>0</v>
      </c>
      <c r="N1149" s="3">
        <v>0</v>
      </c>
      <c r="O1149" s="3">
        <v>14.65</v>
      </c>
      <c r="P1149" s="3">
        <v>0</v>
      </c>
      <c r="Q1149" s="3">
        <v>0</v>
      </c>
      <c r="R1149" s="3">
        <v>0</v>
      </c>
      <c r="S1149" s="3">
        <v>0</v>
      </c>
      <c r="T1149" s="3">
        <v>0</v>
      </c>
      <c r="U1149" s="3">
        <v>14.65</v>
      </c>
      <c r="V1149" t="s">
        <v>55</v>
      </c>
    </row>
    <row r="1150" spans="1:22" hidden="1" x14ac:dyDescent="0.25">
      <c r="A1150" t="s">
        <v>8126</v>
      </c>
      <c r="B1150" t="s">
        <v>8142</v>
      </c>
      <c r="C1150" t="s">
        <v>1</v>
      </c>
      <c r="D1150" t="s">
        <v>1</v>
      </c>
      <c r="E1150" t="s">
        <v>8137</v>
      </c>
      <c r="F1150" t="s">
        <v>8138</v>
      </c>
      <c r="G1150">
        <v>78</v>
      </c>
      <c r="H1150">
        <v>78</v>
      </c>
      <c r="I1150">
        <v>78</v>
      </c>
      <c r="J1150">
        <v>78</v>
      </c>
      <c r="L1150" s="3">
        <v>0</v>
      </c>
      <c r="M1150" s="3">
        <v>0</v>
      </c>
      <c r="N1150" s="3">
        <v>0</v>
      </c>
      <c r="O1150" s="3">
        <v>54.1</v>
      </c>
      <c r="P1150" s="3">
        <v>0</v>
      </c>
      <c r="Q1150" s="3">
        <v>0</v>
      </c>
      <c r="R1150" s="3">
        <v>0</v>
      </c>
      <c r="S1150" s="3">
        <v>0</v>
      </c>
      <c r="T1150" s="3">
        <v>0</v>
      </c>
      <c r="U1150" s="3">
        <v>54.1</v>
      </c>
      <c r="V1150" t="s">
        <v>55</v>
      </c>
    </row>
    <row r="1151" spans="1:22" hidden="1" x14ac:dyDescent="0.25">
      <c r="A1151" t="s">
        <v>8126</v>
      </c>
      <c r="B1151" s="46" t="s">
        <v>8131</v>
      </c>
      <c r="C1151" s="33" t="s">
        <v>1</v>
      </c>
      <c r="D1151" s="33" t="s">
        <v>1</v>
      </c>
      <c r="E1151" t="s">
        <v>8137</v>
      </c>
      <c r="F1151" t="s">
        <v>8138</v>
      </c>
      <c r="G1151">
        <v>77</v>
      </c>
      <c r="H1151">
        <v>77</v>
      </c>
      <c r="I1151">
        <v>77</v>
      </c>
      <c r="J1151">
        <v>77</v>
      </c>
      <c r="L1151" s="3">
        <v>0</v>
      </c>
      <c r="M1151" s="3">
        <v>0</v>
      </c>
      <c r="N1151" s="3">
        <v>0</v>
      </c>
      <c r="O1151" s="3">
        <v>7.2</v>
      </c>
      <c r="P1151" s="3">
        <v>0</v>
      </c>
      <c r="Q1151" s="3">
        <v>0</v>
      </c>
      <c r="R1151" s="3">
        <v>0</v>
      </c>
      <c r="S1151" s="3">
        <v>0</v>
      </c>
      <c r="T1151" s="3">
        <v>0</v>
      </c>
      <c r="U1151" s="3">
        <v>7.2</v>
      </c>
      <c r="V1151" s="33" t="s">
        <v>55</v>
      </c>
    </row>
    <row r="1152" spans="1:22" hidden="1" x14ac:dyDescent="0.25">
      <c r="A1152" t="s">
        <v>8126</v>
      </c>
      <c r="B1152" t="s">
        <v>8141</v>
      </c>
      <c r="C1152" t="s">
        <v>1</v>
      </c>
      <c r="D1152" t="s">
        <v>1</v>
      </c>
      <c r="E1152" t="s">
        <v>8137</v>
      </c>
      <c r="F1152" t="s">
        <v>8138</v>
      </c>
      <c r="G1152">
        <v>76</v>
      </c>
      <c r="H1152">
        <v>76</v>
      </c>
      <c r="I1152">
        <v>76</v>
      </c>
      <c r="J1152">
        <v>76</v>
      </c>
      <c r="L1152" s="3">
        <v>0</v>
      </c>
      <c r="M1152" s="3">
        <v>0</v>
      </c>
      <c r="N1152" s="3">
        <v>0</v>
      </c>
      <c r="O1152" s="3">
        <v>72.7</v>
      </c>
      <c r="P1152" s="3">
        <v>0</v>
      </c>
      <c r="Q1152" s="3">
        <v>0</v>
      </c>
      <c r="R1152" s="3">
        <v>0</v>
      </c>
      <c r="S1152" s="3">
        <v>0</v>
      </c>
      <c r="T1152" s="3">
        <v>0</v>
      </c>
      <c r="U1152" s="3">
        <v>72.7</v>
      </c>
      <c r="V1152" t="s">
        <v>55</v>
      </c>
    </row>
    <row r="1153" spans="1:22" hidden="1" x14ac:dyDescent="0.25">
      <c r="A1153" t="s">
        <v>8126</v>
      </c>
      <c r="B1153" t="s">
        <v>8141</v>
      </c>
      <c r="C1153" t="s">
        <v>1</v>
      </c>
      <c r="D1153" t="s">
        <v>1</v>
      </c>
      <c r="E1153" t="s">
        <v>8137</v>
      </c>
      <c r="F1153" t="s">
        <v>8138</v>
      </c>
      <c r="G1153">
        <v>75</v>
      </c>
      <c r="H1153">
        <v>75</v>
      </c>
      <c r="I1153">
        <v>75</v>
      </c>
      <c r="J1153">
        <v>75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3">
        <v>0</v>
      </c>
      <c r="T1153" s="3">
        <v>0</v>
      </c>
      <c r="U1153" s="3">
        <v>0</v>
      </c>
      <c r="V1153" t="s">
        <v>55</v>
      </c>
    </row>
    <row r="1154" spans="1:22" hidden="1" x14ac:dyDescent="0.25">
      <c r="A1154" t="s">
        <v>8126</v>
      </c>
      <c r="B1154" t="s">
        <v>8140</v>
      </c>
      <c r="C1154" t="s">
        <v>1</v>
      </c>
      <c r="D1154" t="s">
        <v>1</v>
      </c>
      <c r="E1154" t="s">
        <v>8137</v>
      </c>
      <c r="F1154" t="s">
        <v>8138</v>
      </c>
      <c r="G1154">
        <v>74</v>
      </c>
      <c r="H1154">
        <v>74</v>
      </c>
      <c r="I1154">
        <v>74</v>
      </c>
      <c r="J1154">
        <v>74</v>
      </c>
      <c r="L1154" s="3">
        <v>0</v>
      </c>
      <c r="M1154" s="3">
        <v>0</v>
      </c>
      <c r="N1154" s="3">
        <v>0</v>
      </c>
      <c r="O1154" s="3">
        <v>19.2</v>
      </c>
      <c r="P1154" s="3">
        <v>0</v>
      </c>
      <c r="Q1154" s="3">
        <v>0</v>
      </c>
      <c r="R1154" s="3">
        <v>0</v>
      </c>
      <c r="S1154" s="3">
        <v>0</v>
      </c>
      <c r="T1154" s="3">
        <v>0</v>
      </c>
      <c r="U1154" s="3">
        <v>19.2</v>
      </c>
      <c r="V1154" t="s">
        <v>55</v>
      </c>
    </row>
    <row r="1155" spans="1:22" hidden="1" x14ac:dyDescent="0.25">
      <c r="A1155" t="s">
        <v>8126</v>
      </c>
      <c r="B1155" t="s">
        <v>8140</v>
      </c>
      <c r="C1155" t="s">
        <v>1</v>
      </c>
      <c r="D1155" t="s">
        <v>1</v>
      </c>
      <c r="E1155" t="s">
        <v>8137</v>
      </c>
      <c r="F1155" t="s">
        <v>8138</v>
      </c>
      <c r="G1155">
        <v>73</v>
      </c>
      <c r="H1155">
        <v>73</v>
      </c>
      <c r="I1155">
        <v>73</v>
      </c>
      <c r="J1155">
        <v>73</v>
      </c>
      <c r="L1155" s="3">
        <v>0</v>
      </c>
      <c r="M1155" s="3">
        <v>0</v>
      </c>
      <c r="N1155" s="3">
        <v>0</v>
      </c>
      <c r="O1155" s="3">
        <v>3.45</v>
      </c>
      <c r="P1155" s="3">
        <v>0</v>
      </c>
      <c r="Q1155" s="3">
        <v>0</v>
      </c>
      <c r="R1155" s="3">
        <v>0</v>
      </c>
      <c r="S1155" s="3">
        <v>0</v>
      </c>
      <c r="T1155" s="3">
        <v>0</v>
      </c>
      <c r="U1155" s="3">
        <v>3.45</v>
      </c>
      <c r="V1155" t="s">
        <v>55</v>
      </c>
    </row>
    <row r="1156" spans="1:22" hidden="1" x14ac:dyDescent="0.25">
      <c r="A1156" t="s">
        <v>8126</v>
      </c>
      <c r="B1156" t="s">
        <v>8136</v>
      </c>
      <c r="C1156" t="s">
        <v>1</v>
      </c>
      <c r="D1156" t="s">
        <v>1</v>
      </c>
      <c r="E1156" t="s">
        <v>8137</v>
      </c>
      <c r="F1156" t="s">
        <v>8138</v>
      </c>
      <c r="G1156">
        <v>72</v>
      </c>
      <c r="H1156">
        <v>72</v>
      </c>
      <c r="I1156">
        <v>72</v>
      </c>
      <c r="J1156">
        <v>72</v>
      </c>
      <c r="L1156" s="3">
        <v>0</v>
      </c>
      <c r="M1156" s="3">
        <v>0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3">
        <v>0</v>
      </c>
      <c r="T1156" s="3">
        <v>0</v>
      </c>
      <c r="U1156" s="3">
        <v>0</v>
      </c>
      <c r="V1156" t="s">
        <v>55</v>
      </c>
    </row>
    <row r="1157" spans="1:22" hidden="1" x14ac:dyDescent="0.25">
      <c r="A1157" t="s">
        <v>8126</v>
      </c>
      <c r="B1157" t="s">
        <v>8136</v>
      </c>
      <c r="C1157" t="s">
        <v>1</v>
      </c>
      <c r="D1157" t="s">
        <v>1</v>
      </c>
      <c r="E1157" t="s">
        <v>8137</v>
      </c>
      <c r="F1157" t="s">
        <v>8138</v>
      </c>
      <c r="G1157">
        <v>71</v>
      </c>
      <c r="H1157">
        <v>71</v>
      </c>
      <c r="I1157">
        <v>71</v>
      </c>
      <c r="J1157">
        <v>71</v>
      </c>
      <c r="L1157" s="3">
        <v>0</v>
      </c>
      <c r="M1157" s="3">
        <v>0</v>
      </c>
      <c r="N1157" s="3">
        <v>0</v>
      </c>
      <c r="O1157" s="3">
        <v>10</v>
      </c>
      <c r="P1157" s="3">
        <v>0</v>
      </c>
      <c r="Q1157" s="3">
        <v>0</v>
      </c>
      <c r="R1157" s="3">
        <v>0</v>
      </c>
      <c r="S1157" s="3">
        <v>0</v>
      </c>
      <c r="T1157" s="3">
        <v>0</v>
      </c>
      <c r="U1157" s="3">
        <v>10</v>
      </c>
      <c r="V1157" t="s">
        <v>55</v>
      </c>
    </row>
    <row r="1158" spans="1:22" hidden="1" x14ac:dyDescent="0.25">
      <c r="A1158" t="s">
        <v>8126</v>
      </c>
      <c r="B1158" t="s">
        <v>8136</v>
      </c>
      <c r="C1158" t="s">
        <v>1</v>
      </c>
      <c r="D1158" t="s">
        <v>1</v>
      </c>
      <c r="E1158" t="s">
        <v>8137</v>
      </c>
      <c r="F1158" t="s">
        <v>8138</v>
      </c>
      <c r="G1158">
        <v>70</v>
      </c>
      <c r="H1158">
        <v>70</v>
      </c>
      <c r="I1158">
        <v>70</v>
      </c>
      <c r="J1158">
        <v>70</v>
      </c>
      <c r="L1158" s="3">
        <v>0</v>
      </c>
      <c r="M1158" s="3">
        <v>0</v>
      </c>
      <c r="N1158" s="3">
        <v>0</v>
      </c>
      <c r="O1158" s="3">
        <v>4.5</v>
      </c>
      <c r="P1158" s="3">
        <v>0</v>
      </c>
      <c r="Q1158" s="3">
        <v>0</v>
      </c>
      <c r="R1158" s="3">
        <v>0</v>
      </c>
      <c r="S1158" s="3">
        <v>0</v>
      </c>
      <c r="T1158" s="3">
        <v>0</v>
      </c>
      <c r="U1158" s="3">
        <v>4.5</v>
      </c>
      <c r="V1158" t="s">
        <v>55</v>
      </c>
    </row>
    <row r="1159" spans="1:22" hidden="1" x14ac:dyDescent="0.25">
      <c r="A1159" t="s">
        <v>8126</v>
      </c>
      <c r="B1159" t="s">
        <v>8136</v>
      </c>
      <c r="C1159" t="s">
        <v>1</v>
      </c>
      <c r="D1159" t="s">
        <v>1</v>
      </c>
      <c r="E1159" t="s">
        <v>8137</v>
      </c>
      <c r="F1159" t="s">
        <v>8138</v>
      </c>
      <c r="G1159">
        <v>69</v>
      </c>
      <c r="H1159">
        <v>69</v>
      </c>
      <c r="I1159">
        <v>69</v>
      </c>
      <c r="J1159">
        <v>69</v>
      </c>
      <c r="L1159" s="3">
        <v>0</v>
      </c>
      <c r="M1159" s="3">
        <v>0</v>
      </c>
      <c r="N1159" s="3">
        <v>0</v>
      </c>
      <c r="O1159" s="3">
        <v>41.4</v>
      </c>
      <c r="P1159" s="3">
        <v>0</v>
      </c>
      <c r="Q1159" s="3">
        <v>0</v>
      </c>
      <c r="R1159" s="3">
        <v>0</v>
      </c>
      <c r="S1159" s="3">
        <v>0</v>
      </c>
      <c r="T1159" s="3">
        <v>0</v>
      </c>
      <c r="U1159" s="3">
        <v>41.4</v>
      </c>
      <c r="V1159" t="s">
        <v>55</v>
      </c>
    </row>
    <row r="1160" spans="1:22" hidden="1" x14ac:dyDescent="0.25">
      <c r="A1160" t="s">
        <v>8126</v>
      </c>
      <c r="B1160" t="s">
        <v>8139</v>
      </c>
      <c r="C1160" t="s">
        <v>1</v>
      </c>
      <c r="D1160" t="s">
        <v>1</v>
      </c>
      <c r="E1160" t="s">
        <v>8137</v>
      </c>
      <c r="F1160" t="s">
        <v>8138</v>
      </c>
      <c r="G1160">
        <v>68</v>
      </c>
      <c r="H1160">
        <v>68</v>
      </c>
      <c r="I1160">
        <v>68</v>
      </c>
      <c r="J1160">
        <v>68</v>
      </c>
      <c r="L1160" s="3">
        <v>0</v>
      </c>
      <c r="M1160" s="3">
        <v>0</v>
      </c>
      <c r="N1160" s="3">
        <v>0</v>
      </c>
      <c r="O1160" s="3">
        <v>4.3</v>
      </c>
      <c r="P1160" s="3">
        <v>0</v>
      </c>
      <c r="Q1160" s="3">
        <v>0</v>
      </c>
      <c r="R1160" s="3">
        <v>0</v>
      </c>
      <c r="S1160" s="3">
        <v>0</v>
      </c>
      <c r="T1160" s="3">
        <v>0</v>
      </c>
      <c r="U1160" s="3">
        <v>4.3</v>
      </c>
      <c r="V1160" t="s">
        <v>55</v>
      </c>
    </row>
    <row r="1161" spans="1:22" hidden="1" x14ac:dyDescent="0.25">
      <c r="A1161" t="s">
        <v>8126</v>
      </c>
      <c r="B1161" s="46" t="s">
        <v>8139</v>
      </c>
      <c r="C1161" t="s">
        <v>1</v>
      </c>
      <c r="D1161" t="s">
        <v>1</v>
      </c>
      <c r="E1161" t="s">
        <v>8137</v>
      </c>
      <c r="F1161" t="s">
        <v>8138</v>
      </c>
      <c r="G1161">
        <v>67</v>
      </c>
      <c r="H1161">
        <v>67</v>
      </c>
      <c r="I1161">
        <v>67</v>
      </c>
      <c r="J1161">
        <v>67</v>
      </c>
      <c r="L1161" s="3">
        <v>0</v>
      </c>
      <c r="M1161" s="3">
        <v>0</v>
      </c>
      <c r="N1161" s="3">
        <v>0</v>
      </c>
      <c r="O1161" s="3">
        <v>1.1000000000000001</v>
      </c>
      <c r="P1161" s="3">
        <v>0</v>
      </c>
      <c r="Q1161" s="3">
        <v>0</v>
      </c>
      <c r="R1161" s="3">
        <v>0</v>
      </c>
      <c r="S1161" s="3">
        <v>0</v>
      </c>
      <c r="T1161" s="3">
        <v>0</v>
      </c>
      <c r="U1161" s="3">
        <v>1.1000000000000001</v>
      </c>
      <c r="V1161" t="s">
        <v>55</v>
      </c>
    </row>
    <row r="1162" spans="1:22" x14ac:dyDescent="0.25">
      <c r="A1162" t="s">
        <v>7895</v>
      </c>
      <c r="L1162" s="24">
        <f>SUBTOTAL(109,Tabla3[V EXENTA])</f>
        <v>2162.98</v>
      </c>
      <c r="M1162" s="24">
        <f>SUBTOTAL(109,Tabla3[VENTAS NO])</f>
        <v>0</v>
      </c>
      <c r="N1162" s="24">
        <f>SUBTOTAL(109,Tabla3[V NO SUJETAS])</f>
        <v>0</v>
      </c>
      <c r="O1162" s="24">
        <f>SUBTOTAL(109,Tabla3[V GRAVADAS])</f>
        <v>22290.959999999992</v>
      </c>
      <c r="P1162" s="24">
        <f>SUBTOTAL(109,Tabla3[EX IN CA])</f>
        <v>0</v>
      </c>
      <c r="Q1162" s="24">
        <f>SUBTOTAL(109,Tabla3[EX OUT CA])</f>
        <v>0</v>
      </c>
      <c r="R1162" s="24">
        <f>SUBTOTAL(109,Tabla3[EX SERVICE])</f>
        <v>5895.32</v>
      </c>
      <c r="S1162" s="24">
        <f>SUBTOTAL(109,Tabla3[V ZONA FRAN])</f>
        <v>0</v>
      </c>
      <c r="T1162" s="24">
        <f>SUBTOTAL(109,Tabla3[V CTA A 3ERO])</f>
        <v>0</v>
      </c>
      <c r="U1162" s="24">
        <f>SUBTOTAL(109,Tabla3[TOTAL VENTA])</f>
        <v>30349.259999999987</v>
      </c>
      <c r="V1162">
        <f>SUBTOTAL(103,Tabla3[ANEXO])</f>
        <v>119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3"/>
  <sheetViews>
    <sheetView workbookViewId="0">
      <selection activeCell="B1" sqref="B1:B5"/>
    </sheetView>
  </sheetViews>
  <sheetFormatPr baseColWidth="10" defaultRowHeight="15" x14ac:dyDescent="0.25"/>
  <cols>
    <col min="3" max="3" width="11.42578125" style="1"/>
  </cols>
  <sheetData>
    <row r="1" spans="1:7" x14ac:dyDescent="0.25">
      <c r="A1">
        <v>153</v>
      </c>
      <c r="B1">
        <v>935.04</v>
      </c>
      <c r="C1" s="1" t="s">
        <v>8885</v>
      </c>
      <c r="D1" s="1" t="s">
        <v>8882</v>
      </c>
      <c r="E1" s="1" t="s">
        <v>8883</v>
      </c>
      <c r="F1" s="1" t="s">
        <v>8884</v>
      </c>
      <c r="G1" t="str">
        <f>+C1&amp;F1&amp;D1&amp;F1&amp;E1</f>
        <v>31/08/2022</v>
      </c>
    </row>
    <row r="2" spans="1:7" x14ac:dyDescent="0.25">
      <c r="A2">
        <v>152</v>
      </c>
      <c r="B2">
        <v>0</v>
      </c>
      <c r="C2" s="1" t="s">
        <v>8885</v>
      </c>
      <c r="D2" s="1" t="s">
        <v>8882</v>
      </c>
      <c r="E2" s="1" t="s">
        <v>8883</v>
      </c>
      <c r="F2" s="1" t="s">
        <v>8884</v>
      </c>
      <c r="G2" t="str">
        <f t="shared" ref="G2:G7" si="0">+C2&amp;F2&amp;D2&amp;F2&amp;E2</f>
        <v>31/08/2022</v>
      </c>
    </row>
    <row r="3" spans="1:7" x14ac:dyDescent="0.25">
      <c r="A3">
        <v>151</v>
      </c>
      <c r="B3">
        <v>0</v>
      </c>
      <c r="C3" s="1" t="s">
        <v>8885</v>
      </c>
      <c r="D3" s="1" t="s">
        <v>8882</v>
      </c>
      <c r="E3" s="1" t="s">
        <v>8883</v>
      </c>
      <c r="F3" s="1" t="s">
        <v>8884</v>
      </c>
      <c r="G3" t="str">
        <f t="shared" si="0"/>
        <v>31/08/2022</v>
      </c>
    </row>
    <row r="4" spans="1:7" x14ac:dyDescent="0.25">
      <c r="A4">
        <v>150</v>
      </c>
      <c r="B4">
        <v>0</v>
      </c>
      <c r="C4" s="1" t="s">
        <v>8885</v>
      </c>
      <c r="D4" s="1" t="s">
        <v>8882</v>
      </c>
      <c r="E4" s="1" t="s">
        <v>8883</v>
      </c>
      <c r="F4" s="1" t="s">
        <v>8884</v>
      </c>
      <c r="G4" t="str">
        <f t="shared" si="0"/>
        <v>31/08/2022</v>
      </c>
    </row>
    <row r="5" spans="1:7" x14ac:dyDescent="0.25">
      <c r="A5">
        <v>149</v>
      </c>
      <c r="B5">
        <v>72</v>
      </c>
      <c r="C5" s="1" t="s">
        <v>8885</v>
      </c>
      <c r="D5" s="1" t="s">
        <v>8882</v>
      </c>
      <c r="E5" s="1" t="s">
        <v>8883</v>
      </c>
      <c r="F5" s="1" t="s">
        <v>8884</v>
      </c>
      <c r="G5" t="str">
        <f t="shared" si="0"/>
        <v>31/08/2022</v>
      </c>
    </row>
    <row r="6" spans="1:7" x14ac:dyDescent="0.25">
      <c r="D6" s="1" t="s">
        <v>8882</v>
      </c>
      <c r="E6" s="1" t="s">
        <v>8883</v>
      </c>
      <c r="F6" s="1" t="s">
        <v>8884</v>
      </c>
      <c r="G6" t="str">
        <f t="shared" si="0"/>
        <v>/08/2022</v>
      </c>
    </row>
    <row r="7" spans="1:7" x14ac:dyDescent="0.25">
      <c r="D7" s="1" t="s">
        <v>8882</v>
      </c>
      <c r="E7" s="1" t="s">
        <v>8883</v>
      </c>
      <c r="F7" s="1" t="s">
        <v>8884</v>
      </c>
      <c r="G7" t="str">
        <f t="shared" si="0"/>
        <v>/08/2022</v>
      </c>
    </row>
    <row r="8" spans="1:7" x14ac:dyDescent="0.25">
      <c r="D8" s="1" t="s">
        <v>8882</v>
      </c>
      <c r="E8" s="1" t="s">
        <v>8883</v>
      </c>
      <c r="F8" s="1" t="s">
        <v>8884</v>
      </c>
      <c r="G8" t="str">
        <f t="shared" ref="G8:G71" si="1">+C8&amp;F8&amp;D8&amp;F8&amp;E8</f>
        <v>/08/2022</v>
      </c>
    </row>
    <row r="9" spans="1:7" x14ac:dyDescent="0.25">
      <c r="D9" s="1" t="s">
        <v>8882</v>
      </c>
      <c r="E9" s="1" t="s">
        <v>8883</v>
      </c>
      <c r="F9" s="1" t="s">
        <v>8884</v>
      </c>
      <c r="G9" t="str">
        <f t="shared" si="1"/>
        <v>/08/2022</v>
      </c>
    </row>
    <row r="10" spans="1:7" x14ac:dyDescent="0.25">
      <c r="D10" s="1" t="s">
        <v>8882</v>
      </c>
      <c r="E10" s="1" t="s">
        <v>8883</v>
      </c>
      <c r="F10" s="1" t="s">
        <v>8884</v>
      </c>
      <c r="G10" t="str">
        <f t="shared" si="1"/>
        <v>/08/2022</v>
      </c>
    </row>
    <row r="11" spans="1:7" x14ac:dyDescent="0.25">
      <c r="D11" s="1" t="s">
        <v>8882</v>
      </c>
      <c r="E11" s="1" t="s">
        <v>8883</v>
      </c>
      <c r="F11" s="1" t="s">
        <v>8884</v>
      </c>
      <c r="G11" t="str">
        <f t="shared" si="1"/>
        <v>/08/2022</v>
      </c>
    </row>
    <row r="12" spans="1:7" x14ac:dyDescent="0.25">
      <c r="D12" s="1" t="s">
        <v>8882</v>
      </c>
      <c r="E12" s="1" t="s">
        <v>8883</v>
      </c>
      <c r="F12" s="1" t="s">
        <v>8884</v>
      </c>
      <c r="G12" t="str">
        <f t="shared" si="1"/>
        <v>/08/2022</v>
      </c>
    </row>
    <row r="13" spans="1:7" x14ac:dyDescent="0.25">
      <c r="D13" s="1" t="s">
        <v>8882</v>
      </c>
      <c r="E13" s="1" t="s">
        <v>8883</v>
      </c>
      <c r="F13" s="1" t="s">
        <v>8884</v>
      </c>
      <c r="G13" t="str">
        <f t="shared" si="1"/>
        <v>/08/2022</v>
      </c>
    </row>
    <row r="14" spans="1:7" x14ac:dyDescent="0.25">
      <c r="D14" s="1" t="s">
        <v>8882</v>
      </c>
      <c r="E14" s="1" t="s">
        <v>8883</v>
      </c>
      <c r="F14" s="1" t="s">
        <v>8884</v>
      </c>
      <c r="G14" t="str">
        <f t="shared" si="1"/>
        <v>/08/2022</v>
      </c>
    </row>
    <row r="15" spans="1:7" x14ac:dyDescent="0.25">
      <c r="D15" s="1" t="s">
        <v>8882</v>
      </c>
      <c r="E15" s="1" t="s">
        <v>8883</v>
      </c>
      <c r="F15" s="1" t="s">
        <v>8884</v>
      </c>
      <c r="G15" t="str">
        <f t="shared" si="1"/>
        <v>/08/2022</v>
      </c>
    </row>
    <row r="16" spans="1:7" x14ac:dyDescent="0.25">
      <c r="D16" s="1" t="s">
        <v>8882</v>
      </c>
      <c r="E16" s="1" t="s">
        <v>8883</v>
      </c>
      <c r="F16" s="1" t="s">
        <v>8884</v>
      </c>
      <c r="G16" t="str">
        <f t="shared" si="1"/>
        <v>/08/2022</v>
      </c>
    </row>
    <row r="17" spans="4:7" x14ac:dyDescent="0.25">
      <c r="D17" s="1" t="s">
        <v>8882</v>
      </c>
      <c r="E17" s="1" t="s">
        <v>8883</v>
      </c>
      <c r="F17" s="1" t="s">
        <v>8884</v>
      </c>
      <c r="G17" t="str">
        <f t="shared" si="1"/>
        <v>/08/2022</v>
      </c>
    </row>
    <row r="18" spans="4:7" x14ac:dyDescent="0.25">
      <c r="D18" s="1" t="s">
        <v>8882</v>
      </c>
      <c r="E18" s="1" t="s">
        <v>8883</v>
      </c>
      <c r="F18" s="1" t="s">
        <v>8884</v>
      </c>
      <c r="G18" t="str">
        <f t="shared" si="1"/>
        <v>/08/2022</v>
      </c>
    </row>
    <row r="19" spans="4:7" x14ac:dyDescent="0.25">
      <c r="D19" s="1" t="s">
        <v>8882</v>
      </c>
      <c r="E19" s="1" t="s">
        <v>8883</v>
      </c>
      <c r="F19" s="1" t="s">
        <v>8884</v>
      </c>
      <c r="G19" t="str">
        <f t="shared" si="1"/>
        <v>/08/2022</v>
      </c>
    </row>
    <row r="20" spans="4:7" x14ac:dyDescent="0.25">
      <c r="D20" s="1" t="s">
        <v>8882</v>
      </c>
      <c r="E20" s="1" t="s">
        <v>8883</v>
      </c>
      <c r="F20" s="1" t="s">
        <v>8884</v>
      </c>
      <c r="G20" t="str">
        <f t="shared" si="1"/>
        <v>/08/2022</v>
      </c>
    </row>
    <row r="21" spans="4:7" x14ac:dyDescent="0.25">
      <c r="D21" s="1" t="s">
        <v>8882</v>
      </c>
      <c r="E21" s="1" t="s">
        <v>8883</v>
      </c>
      <c r="F21" s="1" t="s">
        <v>8884</v>
      </c>
      <c r="G21" t="str">
        <f t="shared" si="1"/>
        <v>/08/2022</v>
      </c>
    </row>
    <row r="22" spans="4:7" x14ac:dyDescent="0.25">
      <c r="D22" s="1" t="s">
        <v>8882</v>
      </c>
      <c r="E22" s="1" t="s">
        <v>8883</v>
      </c>
      <c r="F22" s="1" t="s">
        <v>8884</v>
      </c>
      <c r="G22" t="str">
        <f t="shared" si="1"/>
        <v>/08/2022</v>
      </c>
    </row>
    <row r="23" spans="4:7" x14ac:dyDescent="0.25">
      <c r="D23" s="1" t="s">
        <v>8882</v>
      </c>
      <c r="E23" s="1" t="s">
        <v>8883</v>
      </c>
      <c r="F23" s="1" t="s">
        <v>8884</v>
      </c>
      <c r="G23" t="str">
        <f t="shared" si="1"/>
        <v>/08/2022</v>
      </c>
    </row>
    <row r="24" spans="4:7" x14ac:dyDescent="0.25">
      <c r="D24" s="1" t="s">
        <v>8882</v>
      </c>
      <c r="E24" s="1" t="s">
        <v>8883</v>
      </c>
      <c r="F24" s="1" t="s">
        <v>8884</v>
      </c>
      <c r="G24" t="str">
        <f t="shared" si="1"/>
        <v>/08/2022</v>
      </c>
    </row>
    <row r="25" spans="4:7" x14ac:dyDescent="0.25">
      <c r="D25" s="1" t="s">
        <v>8882</v>
      </c>
      <c r="E25" s="1" t="s">
        <v>8883</v>
      </c>
      <c r="F25" s="1" t="s">
        <v>8884</v>
      </c>
      <c r="G25" t="str">
        <f t="shared" si="1"/>
        <v>/08/2022</v>
      </c>
    </row>
    <row r="26" spans="4:7" x14ac:dyDescent="0.25">
      <c r="D26" s="1" t="s">
        <v>8882</v>
      </c>
      <c r="E26" s="1" t="s">
        <v>8883</v>
      </c>
      <c r="F26" s="1" t="s">
        <v>8884</v>
      </c>
      <c r="G26" t="str">
        <f t="shared" si="1"/>
        <v>/08/2022</v>
      </c>
    </row>
    <row r="27" spans="4:7" x14ac:dyDescent="0.25">
      <c r="D27" s="1" t="s">
        <v>8882</v>
      </c>
      <c r="E27" s="1" t="s">
        <v>8883</v>
      </c>
      <c r="F27" s="1" t="s">
        <v>8884</v>
      </c>
      <c r="G27" t="str">
        <f t="shared" si="1"/>
        <v>/08/2022</v>
      </c>
    </row>
    <row r="28" spans="4:7" x14ac:dyDescent="0.25">
      <c r="D28" s="1" t="s">
        <v>8882</v>
      </c>
      <c r="E28" s="1" t="s">
        <v>8883</v>
      </c>
      <c r="F28" s="1" t="s">
        <v>8884</v>
      </c>
      <c r="G28" t="str">
        <f t="shared" si="1"/>
        <v>/08/2022</v>
      </c>
    </row>
    <row r="29" spans="4:7" x14ac:dyDescent="0.25">
      <c r="D29" s="1" t="s">
        <v>8882</v>
      </c>
      <c r="E29" s="1" t="s">
        <v>8883</v>
      </c>
      <c r="F29" s="1" t="s">
        <v>8884</v>
      </c>
      <c r="G29" t="str">
        <f t="shared" si="1"/>
        <v>/08/2022</v>
      </c>
    </row>
    <row r="30" spans="4:7" x14ac:dyDescent="0.25">
      <c r="D30" s="1" t="s">
        <v>8882</v>
      </c>
      <c r="E30" s="1" t="s">
        <v>8883</v>
      </c>
      <c r="F30" s="1" t="s">
        <v>8884</v>
      </c>
      <c r="G30" t="str">
        <f t="shared" si="1"/>
        <v>/08/2022</v>
      </c>
    </row>
    <row r="31" spans="4:7" x14ac:dyDescent="0.25">
      <c r="D31" s="1" t="s">
        <v>8882</v>
      </c>
      <c r="E31" s="1" t="s">
        <v>8883</v>
      </c>
      <c r="F31" s="1" t="s">
        <v>8884</v>
      </c>
      <c r="G31" t="str">
        <f t="shared" si="1"/>
        <v>/08/2022</v>
      </c>
    </row>
    <row r="32" spans="4:7" x14ac:dyDescent="0.25">
      <c r="D32" s="1" t="s">
        <v>8882</v>
      </c>
      <c r="E32" s="1" t="s">
        <v>8883</v>
      </c>
      <c r="F32" s="1" t="s">
        <v>8884</v>
      </c>
      <c r="G32" t="str">
        <f t="shared" si="1"/>
        <v>/08/2022</v>
      </c>
    </row>
    <row r="33" spans="4:7" x14ac:dyDescent="0.25">
      <c r="D33" s="1" t="s">
        <v>8882</v>
      </c>
      <c r="E33" s="1" t="s">
        <v>8883</v>
      </c>
      <c r="F33" s="1" t="s">
        <v>8884</v>
      </c>
      <c r="G33" t="str">
        <f t="shared" si="1"/>
        <v>/08/2022</v>
      </c>
    </row>
    <row r="34" spans="4:7" x14ac:dyDescent="0.25">
      <c r="D34" s="1" t="s">
        <v>8882</v>
      </c>
      <c r="E34" s="1" t="s">
        <v>8883</v>
      </c>
      <c r="F34" s="1" t="s">
        <v>8884</v>
      </c>
      <c r="G34" t="str">
        <f t="shared" si="1"/>
        <v>/08/2022</v>
      </c>
    </row>
    <row r="35" spans="4:7" x14ac:dyDescent="0.25">
      <c r="D35" s="1" t="s">
        <v>8882</v>
      </c>
      <c r="E35" s="1" t="s">
        <v>8883</v>
      </c>
      <c r="F35" s="1" t="s">
        <v>8884</v>
      </c>
      <c r="G35" t="str">
        <f t="shared" si="1"/>
        <v>/08/2022</v>
      </c>
    </row>
    <row r="36" spans="4:7" x14ac:dyDescent="0.25">
      <c r="D36" s="1" t="s">
        <v>8882</v>
      </c>
      <c r="E36" s="1" t="s">
        <v>8883</v>
      </c>
      <c r="F36" s="1" t="s">
        <v>8884</v>
      </c>
      <c r="G36" t="str">
        <f t="shared" si="1"/>
        <v>/08/2022</v>
      </c>
    </row>
    <row r="37" spans="4:7" x14ac:dyDescent="0.25">
      <c r="D37" s="1" t="s">
        <v>8882</v>
      </c>
      <c r="E37" s="1" t="s">
        <v>8883</v>
      </c>
      <c r="F37" s="1" t="s">
        <v>8884</v>
      </c>
      <c r="G37" t="str">
        <f t="shared" si="1"/>
        <v>/08/2022</v>
      </c>
    </row>
    <row r="38" spans="4:7" x14ac:dyDescent="0.25">
      <c r="D38" s="1" t="s">
        <v>8882</v>
      </c>
      <c r="E38" s="1" t="s">
        <v>8883</v>
      </c>
      <c r="F38" s="1" t="s">
        <v>8884</v>
      </c>
      <c r="G38" t="str">
        <f t="shared" si="1"/>
        <v>/08/2022</v>
      </c>
    </row>
    <row r="39" spans="4:7" x14ac:dyDescent="0.25">
      <c r="D39" s="1" t="s">
        <v>8882</v>
      </c>
      <c r="E39" s="1" t="s">
        <v>8883</v>
      </c>
      <c r="F39" s="1" t="s">
        <v>8884</v>
      </c>
      <c r="G39" t="str">
        <f t="shared" si="1"/>
        <v>/08/2022</v>
      </c>
    </row>
    <row r="40" spans="4:7" x14ac:dyDescent="0.25">
      <c r="D40" s="1" t="s">
        <v>8882</v>
      </c>
      <c r="E40" s="1" t="s">
        <v>8883</v>
      </c>
      <c r="F40" s="1" t="s">
        <v>8884</v>
      </c>
      <c r="G40" t="str">
        <f t="shared" si="1"/>
        <v>/08/2022</v>
      </c>
    </row>
    <row r="41" spans="4:7" x14ac:dyDescent="0.25">
      <c r="D41" s="1" t="s">
        <v>8882</v>
      </c>
      <c r="E41" s="1" t="s">
        <v>8883</v>
      </c>
      <c r="F41" s="1" t="s">
        <v>8884</v>
      </c>
      <c r="G41" t="str">
        <f t="shared" si="1"/>
        <v>/08/2022</v>
      </c>
    </row>
    <row r="42" spans="4:7" x14ac:dyDescent="0.25">
      <c r="D42" s="1" t="s">
        <v>8882</v>
      </c>
      <c r="E42" s="1" t="s">
        <v>8883</v>
      </c>
      <c r="F42" s="1" t="s">
        <v>8884</v>
      </c>
      <c r="G42" t="str">
        <f t="shared" si="1"/>
        <v>/08/2022</v>
      </c>
    </row>
    <row r="43" spans="4:7" x14ac:dyDescent="0.25">
      <c r="D43" s="1" t="s">
        <v>8882</v>
      </c>
      <c r="E43" s="1" t="s">
        <v>8883</v>
      </c>
      <c r="F43" s="1" t="s">
        <v>8884</v>
      </c>
      <c r="G43" t="str">
        <f t="shared" si="1"/>
        <v>/08/2022</v>
      </c>
    </row>
    <row r="44" spans="4:7" x14ac:dyDescent="0.25">
      <c r="D44" s="1" t="s">
        <v>8882</v>
      </c>
      <c r="E44" s="1" t="s">
        <v>8883</v>
      </c>
      <c r="F44" s="1" t="s">
        <v>8884</v>
      </c>
      <c r="G44" t="str">
        <f t="shared" si="1"/>
        <v>/08/2022</v>
      </c>
    </row>
    <row r="45" spans="4:7" x14ac:dyDescent="0.25">
      <c r="D45" s="1" t="s">
        <v>8882</v>
      </c>
      <c r="E45" s="1" t="s">
        <v>8883</v>
      </c>
      <c r="F45" s="1" t="s">
        <v>8884</v>
      </c>
      <c r="G45" t="str">
        <f t="shared" si="1"/>
        <v>/08/2022</v>
      </c>
    </row>
    <row r="46" spans="4:7" x14ac:dyDescent="0.25">
      <c r="D46" s="1" t="s">
        <v>8882</v>
      </c>
      <c r="E46" s="1" t="s">
        <v>8883</v>
      </c>
      <c r="F46" s="1" t="s">
        <v>8884</v>
      </c>
      <c r="G46" t="str">
        <f t="shared" si="1"/>
        <v>/08/2022</v>
      </c>
    </row>
    <row r="47" spans="4:7" x14ac:dyDescent="0.25">
      <c r="D47" s="1" t="s">
        <v>8882</v>
      </c>
      <c r="E47" s="1" t="s">
        <v>8883</v>
      </c>
      <c r="F47" s="1" t="s">
        <v>8884</v>
      </c>
      <c r="G47" t="str">
        <f t="shared" si="1"/>
        <v>/08/2022</v>
      </c>
    </row>
    <row r="48" spans="4:7" x14ac:dyDescent="0.25">
      <c r="D48" s="1" t="s">
        <v>8882</v>
      </c>
      <c r="E48" s="1" t="s">
        <v>8883</v>
      </c>
      <c r="F48" s="1" t="s">
        <v>8884</v>
      </c>
      <c r="G48" t="str">
        <f t="shared" si="1"/>
        <v>/08/2022</v>
      </c>
    </row>
    <row r="49" spans="4:7" x14ac:dyDescent="0.25">
      <c r="D49" s="1" t="s">
        <v>8882</v>
      </c>
      <c r="E49" s="1" t="s">
        <v>8883</v>
      </c>
      <c r="F49" s="1" t="s">
        <v>8884</v>
      </c>
      <c r="G49" t="str">
        <f t="shared" si="1"/>
        <v>/08/2022</v>
      </c>
    </row>
    <row r="50" spans="4:7" x14ac:dyDescent="0.25">
      <c r="D50" s="1" t="s">
        <v>8882</v>
      </c>
      <c r="E50" s="1" t="s">
        <v>8883</v>
      </c>
      <c r="F50" s="1" t="s">
        <v>8884</v>
      </c>
      <c r="G50" t="str">
        <f t="shared" si="1"/>
        <v>/08/2022</v>
      </c>
    </row>
    <row r="51" spans="4:7" x14ac:dyDescent="0.25">
      <c r="D51" s="1" t="s">
        <v>8882</v>
      </c>
      <c r="E51" s="1" t="s">
        <v>8883</v>
      </c>
      <c r="F51" s="1" t="s">
        <v>8884</v>
      </c>
      <c r="G51" t="str">
        <f t="shared" si="1"/>
        <v>/08/2022</v>
      </c>
    </row>
    <row r="52" spans="4:7" x14ac:dyDescent="0.25">
      <c r="D52" s="1" t="s">
        <v>8882</v>
      </c>
      <c r="E52" s="1" t="s">
        <v>8883</v>
      </c>
      <c r="F52" s="1" t="s">
        <v>8884</v>
      </c>
      <c r="G52" t="str">
        <f t="shared" si="1"/>
        <v>/08/2022</v>
      </c>
    </row>
    <row r="53" spans="4:7" x14ac:dyDescent="0.25">
      <c r="D53" s="1" t="s">
        <v>8882</v>
      </c>
      <c r="E53" s="1" t="s">
        <v>8883</v>
      </c>
      <c r="F53" s="1" t="s">
        <v>8884</v>
      </c>
      <c r="G53" t="str">
        <f t="shared" si="1"/>
        <v>/08/2022</v>
      </c>
    </row>
    <row r="54" spans="4:7" x14ac:dyDescent="0.25">
      <c r="D54" s="1" t="s">
        <v>8882</v>
      </c>
      <c r="E54" s="1" t="s">
        <v>8883</v>
      </c>
      <c r="F54" s="1" t="s">
        <v>8884</v>
      </c>
      <c r="G54" t="str">
        <f t="shared" si="1"/>
        <v>/08/2022</v>
      </c>
    </row>
    <row r="55" spans="4:7" x14ac:dyDescent="0.25">
      <c r="D55" s="1" t="s">
        <v>8882</v>
      </c>
      <c r="E55" s="1" t="s">
        <v>8883</v>
      </c>
      <c r="F55" s="1" t="s">
        <v>8884</v>
      </c>
      <c r="G55" t="str">
        <f t="shared" si="1"/>
        <v>/08/2022</v>
      </c>
    </row>
    <row r="56" spans="4:7" x14ac:dyDescent="0.25">
      <c r="D56" s="1" t="s">
        <v>8882</v>
      </c>
      <c r="E56" s="1" t="s">
        <v>8883</v>
      </c>
      <c r="F56" s="1" t="s">
        <v>8884</v>
      </c>
      <c r="G56" t="str">
        <f t="shared" si="1"/>
        <v>/08/2022</v>
      </c>
    </row>
    <row r="57" spans="4:7" x14ac:dyDescent="0.25">
      <c r="D57" s="1" t="s">
        <v>8882</v>
      </c>
      <c r="E57" s="1" t="s">
        <v>8883</v>
      </c>
      <c r="F57" s="1" t="s">
        <v>8884</v>
      </c>
      <c r="G57" t="str">
        <f t="shared" si="1"/>
        <v>/08/2022</v>
      </c>
    </row>
    <row r="58" spans="4:7" x14ac:dyDescent="0.25">
      <c r="D58" s="1" t="s">
        <v>8882</v>
      </c>
      <c r="E58" s="1" t="s">
        <v>8883</v>
      </c>
      <c r="F58" s="1" t="s">
        <v>8884</v>
      </c>
      <c r="G58" t="str">
        <f t="shared" si="1"/>
        <v>/08/2022</v>
      </c>
    </row>
    <row r="59" spans="4:7" x14ac:dyDescent="0.25">
      <c r="D59" s="1" t="s">
        <v>8882</v>
      </c>
      <c r="E59" s="1" t="s">
        <v>8883</v>
      </c>
      <c r="F59" s="1" t="s">
        <v>8884</v>
      </c>
      <c r="G59" t="str">
        <f t="shared" si="1"/>
        <v>/08/2022</v>
      </c>
    </row>
    <row r="60" spans="4:7" x14ac:dyDescent="0.25">
      <c r="D60" s="1" t="s">
        <v>8882</v>
      </c>
      <c r="E60" s="1" t="s">
        <v>8883</v>
      </c>
      <c r="F60" s="1" t="s">
        <v>8884</v>
      </c>
      <c r="G60" t="str">
        <f t="shared" si="1"/>
        <v>/08/2022</v>
      </c>
    </row>
    <row r="61" spans="4:7" x14ac:dyDescent="0.25">
      <c r="D61" s="1" t="s">
        <v>8882</v>
      </c>
      <c r="E61" s="1" t="s">
        <v>8883</v>
      </c>
      <c r="F61" s="1" t="s">
        <v>8884</v>
      </c>
      <c r="G61" t="str">
        <f t="shared" si="1"/>
        <v>/08/2022</v>
      </c>
    </row>
    <row r="62" spans="4:7" x14ac:dyDescent="0.25">
      <c r="D62" s="1" t="s">
        <v>8882</v>
      </c>
      <c r="E62" s="1" t="s">
        <v>8883</v>
      </c>
      <c r="F62" s="1" t="s">
        <v>8884</v>
      </c>
      <c r="G62" t="str">
        <f t="shared" si="1"/>
        <v>/08/2022</v>
      </c>
    </row>
    <row r="63" spans="4:7" x14ac:dyDescent="0.25">
      <c r="D63" s="1" t="s">
        <v>8882</v>
      </c>
      <c r="E63" s="1" t="s">
        <v>8883</v>
      </c>
      <c r="F63" s="1" t="s">
        <v>8884</v>
      </c>
      <c r="G63" t="str">
        <f t="shared" si="1"/>
        <v>/08/2022</v>
      </c>
    </row>
    <row r="64" spans="4:7" x14ac:dyDescent="0.25">
      <c r="D64" s="1" t="s">
        <v>8882</v>
      </c>
      <c r="E64" s="1" t="s">
        <v>8883</v>
      </c>
      <c r="F64" s="1" t="s">
        <v>8884</v>
      </c>
      <c r="G64" t="str">
        <f t="shared" si="1"/>
        <v>/08/2022</v>
      </c>
    </row>
    <row r="65" spans="4:7" x14ac:dyDescent="0.25">
      <c r="D65" s="1" t="s">
        <v>8882</v>
      </c>
      <c r="E65" s="1" t="s">
        <v>8883</v>
      </c>
      <c r="F65" s="1" t="s">
        <v>8884</v>
      </c>
      <c r="G65" t="str">
        <f t="shared" si="1"/>
        <v>/08/2022</v>
      </c>
    </row>
    <row r="66" spans="4:7" x14ac:dyDescent="0.25">
      <c r="D66" s="1" t="s">
        <v>8882</v>
      </c>
      <c r="E66" s="1" t="s">
        <v>8883</v>
      </c>
      <c r="F66" s="1" t="s">
        <v>8884</v>
      </c>
      <c r="G66" t="str">
        <f t="shared" si="1"/>
        <v>/08/2022</v>
      </c>
    </row>
    <row r="67" spans="4:7" x14ac:dyDescent="0.25">
      <c r="D67" s="1" t="s">
        <v>8882</v>
      </c>
      <c r="E67" s="1" t="s">
        <v>8883</v>
      </c>
      <c r="F67" s="1" t="s">
        <v>8884</v>
      </c>
      <c r="G67" t="str">
        <f t="shared" si="1"/>
        <v>/08/2022</v>
      </c>
    </row>
    <row r="68" spans="4:7" x14ac:dyDescent="0.25">
      <c r="D68" s="1" t="s">
        <v>8882</v>
      </c>
      <c r="E68" s="1" t="s">
        <v>8883</v>
      </c>
      <c r="F68" s="1" t="s">
        <v>8884</v>
      </c>
      <c r="G68" t="str">
        <f t="shared" si="1"/>
        <v>/08/2022</v>
      </c>
    </row>
    <row r="69" spans="4:7" x14ac:dyDescent="0.25">
      <c r="D69" s="1" t="s">
        <v>8882</v>
      </c>
      <c r="E69" s="1" t="s">
        <v>8883</v>
      </c>
      <c r="F69" s="1" t="s">
        <v>8884</v>
      </c>
      <c r="G69" t="str">
        <f t="shared" si="1"/>
        <v>/08/2022</v>
      </c>
    </row>
    <row r="70" spans="4:7" x14ac:dyDescent="0.25">
      <c r="D70" s="1" t="s">
        <v>8882</v>
      </c>
      <c r="E70" s="1" t="s">
        <v>8883</v>
      </c>
      <c r="F70" s="1" t="s">
        <v>8884</v>
      </c>
      <c r="G70" t="str">
        <f t="shared" si="1"/>
        <v>/08/2022</v>
      </c>
    </row>
    <row r="71" spans="4:7" x14ac:dyDescent="0.25">
      <c r="D71" s="1" t="s">
        <v>8882</v>
      </c>
      <c r="E71" s="1" t="s">
        <v>8883</v>
      </c>
      <c r="F71" s="1" t="s">
        <v>8884</v>
      </c>
      <c r="G71" t="str">
        <f t="shared" si="1"/>
        <v>/08/2022</v>
      </c>
    </row>
    <row r="72" spans="4:7" x14ac:dyDescent="0.25">
      <c r="D72" s="1" t="s">
        <v>8882</v>
      </c>
      <c r="E72" s="1" t="s">
        <v>8883</v>
      </c>
      <c r="F72" s="1" t="s">
        <v>8884</v>
      </c>
      <c r="G72" t="str">
        <f t="shared" ref="G72:G103" si="2">+C72&amp;F72&amp;D72&amp;F72&amp;E72</f>
        <v>/08/2022</v>
      </c>
    </row>
    <row r="73" spans="4:7" x14ac:dyDescent="0.25">
      <c r="D73" s="1" t="s">
        <v>8882</v>
      </c>
      <c r="E73" s="1" t="s">
        <v>8883</v>
      </c>
      <c r="F73" s="1" t="s">
        <v>8884</v>
      </c>
      <c r="G73" t="str">
        <f t="shared" si="2"/>
        <v>/08/2022</v>
      </c>
    </row>
    <row r="74" spans="4:7" x14ac:dyDescent="0.25">
      <c r="D74" s="1" t="s">
        <v>8882</v>
      </c>
      <c r="E74" s="1" t="s">
        <v>8883</v>
      </c>
      <c r="F74" s="1" t="s">
        <v>8884</v>
      </c>
      <c r="G74" t="str">
        <f t="shared" si="2"/>
        <v>/08/2022</v>
      </c>
    </row>
    <row r="75" spans="4:7" x14ac:dyDescent="0.25">
      <c r="D75" s="1" t="s">
        <v>8882</v>
      </c>
      <c r="E75" s="1" t="s">
        <v>8883</v>
      </c>
      <c r="F75" s="1" t="s">
        <v>8884</v>
      </c>
      <c r="G75" t="str">
        <f t="shared" si="2"/>
        <v>/08/2022</v>
      </c>
    </row>
    <row r="76" spans="4:7" x14ac:dyDescent="0.25">
      <c r="D76" s="1" t="s">
        <v>8882</v>
      </c>
      <c r="E76" s="1" t="s">
        <v>8883</v>
      </c>
      <c r="F76" s="1" t="s">
        <v>8884</v>
      </c>
      <c r="G76" t="str">
        <f t="shared" si="2"/>
        <v>/08/2022</v>
      </c>
    </row>
    <row r="77" spans="4:7" x14ac:dyDescent="0.25">
      <c r="D77" s="1" t="s">
        <v>8882</v>
      </c>
      <c r="E77" s="1" t="s">
        <v>8883</v>
      </c>
      <c r="F77" s="1" t="s">
        <v>8884</v>
      </c>
      <c r="G77" t="str">
        <f t="shared" si="2"/>
        <v>/08/2022</v>
      </c>
    </row>
    <row r="78" spans="4:7" x14ac:dyDescent="0.25">
      <c r="D78" s="1" t="s">
        <v>8882</v>
      </c>
      <c r="E78" s="1" t="s">
        <v>8883</v>
      </c>
      <c r="F78" s="1" t="s">
        <v>8884</v>
      </c>
      <c r="G78" t="str">
        <f t="shared" si="2"/>
        <v>/08/2022</v>
      </c>
    </row>
    <row r="79" spans="4:7" x14ac:dyDescent="0.25">
      <c r="D79" s="1" t="s">
        <v>8882</v>
      </c>
      <c r="E79" s="1" t="s">
        <v>8883</v>
      </c>
      <c r="F79" s="1" t="s">
        <v>8884</v>
      </c>
      <c r="G79" t="str">
        <f t="shared" si="2"/>
        <v>/08/2022</v>
      </c>
    </row>
    <row r="80" spans="4:7" x14ac:dyDescent="0.25">
      <c r="D80" s="1" t="s">
        <v>8882</v>
      </c>
      <c r="E80" s="1" t="s">
        <v>8883</v>
      </c>
      <c r="F80" s="1" t="s">
        <v>8884</v>
      </c>
      <c r="G80" t="str">
        <f t="shared" si="2"/>
        <v>/08/2022</v>
      </c>
    </row>
    <row r="81" spans="4:7" x14ac:dyDescent="0.25">
      <c r="D81" s="1" t="s">
        <v>8882</v>
      </c>
      <c r="E81" s="1" t="s">
        <v>8883</v>
      </c>
      <c r="F81" s="1" t="s">
        <v>8884</v>
      </c>
      <c r="G81" t="str">
        <f t="shared" si="2"/>
        <v>/08/2022</v>
      </c>
    </row>
    <row r="82" spans="4:7" x14ac:dyDescent="0.25">
      <c r="D82" s="1" t="s">
        <v>8882</v>
      </c>
      <c r="E82" s="1" t="s">
        <v>8883</v>
      </c>
      <c r="F82" s="1" t="s">
        <v>8884</v>
      </c>
      <c r="G82" t="str">
        <f t="shared" si="2"/>
        <v>/08/2022</v>
      </c>
    </row>
    <row r="83" spans="4:7" x14ac:dyDescent="0.25">
      <c r="D83" s="1" t="s">
        <v>8882</v>
      </c>
      <c r="E83" s="1" t="s">
        <v>8883</v>
      </c>
      <c r="F83" s="1" t="s">
        <v>8884</v>
      </c>
      <c r="G83" t="str">
        <f t="shared" si="2"/>
        <v>/08/2022</v>
      </c>
    </row>
    <row r="84" spans="4:7" x14ac:dyDescent="0.25">
      <c r="D84" s="1" t="s">
        <v>8882</v>
      </c>
      <c r="E84" s="1" t="s">
        <v>8883</v>
      </c>
      <c r="F84" s="1" t="s">
        <v>8884</v>
      </c>
      <c r="G84" t="str">
        <f t="shared" si="2"/>
        <v>/08/2022</v>
      </c>
    </row>
    <row r="85" spans="4:7" x14ac:dyDescent="0.25">
      <c r="D85" s="1" t="s">
        <v>8882</v>
      </c>
      <c r="E85" s="1" t="s">
        <v>8883</v>
      </c>
      <c r="F85" s="1" t="s">
        <v>8884</v>
      </c>
      <c r="G85" t="str">
        <f t="shared" si="2"/>
        <v>/08/2022</v>
      </c>
    </row>
    <row r="86" spans="4:7" x14ac:dyDescent="0.25">
      <c r="D86" s="1" t="s">
        <v>8882</v>
      </c>
      <c r="E86" s="1" t="s">
        <v>8883</v>
      </c>
      <c r="F86" s="1" t="s">
        <v>8884</v>
      </c>
      <c r="G86" t="str">
        <f t="shared" si="2"/>
        <v>/08/2022</v>
      </c>
    </row>
    <row r="87" spans="4:7" x14ac:dyDescent="0.25">
      <c r="D87" s="1" t="s">
        <v>8882</v>
      </c>
      <c r="E87" s="1" t="s">
        <v>8883</v>
      </c>
      <c r="F87" s="1" t="s">
        <v>8884</v>
      </c>
      <c r="G87" t="str">
        <f t="shared" si="2"/>
        <v>/08/2022</v>
      </c>
    </row>
    <row r="88" spans="4:7" x14ac:dyDescent="0.25">
      <c r="D88" s="1" t="s">
        <v>8882</v>
      </c>
      <c r="E88" s="1" t="s">
        <v>8883</v>
      </c>
      <c r="F88" s="1" t="s">
        <v>8884</v>
      </c>
      <c r="G88" t="str">
        <f t="shared" si="2"/>
        <v>/08/2022</v>
      </c>
    </row>
    <row r="89" spans="4:7" x14ac:dyDescent="0.25">
      <c r="D89" s="1" t="s">
        <v>8882</v>
      </c>
      <c r="E89" s="1" t="s">
        <v>8883</v>
      </c>
      <c r="F89" s="1" t="s">
        <v>8884</v>
      </c>
      <c r="G89" t="str">
        <f t="shared" si="2"/>
        <v>/08/2022</v>
      </c>
    </row>
    <row r="90" spans="4:7" x14ac:dyDescent="0.25">
      <c r="D90" s="1" t="s">
        <v>8882</v>
      </c>
      <c r="E90" s="1" t="s">
        <v>8883</v>
      </c>
      <c r="F90" s="1" t="s">
        <v>8884</v>
      </c>
      <c r="G90" t="str">
        <f t="shared" si="2"/>
        <v>/08/2022</v>
      </c>
    </row>
    <row r="91" spans="4:7" x14ac:dyDescent="0.25">
      <c r="D91" s="1" t="s">
        <v>8882</v>
      </c>
      <c r="E91" s="1" t="s">
        <v>8883</v>
      </c>
      <c r="F91" s="1" t="s">
        <v>8884</v>
      </c>
      <c r="G91" t="str">
        <f t="shared" si="2"/>
        <v>/08/2022</v>
      </c>
    </row>
    <row r="92" spans="4:7" x14ac:dyDescent="0.25">
      <c r="D92" s="1" t="s">
        <v>8882</v>
      </c>
      <c r="E92" s="1" t="s">
        <v>8883</v>
      </c>
      <c r="F92" s="1" t="s">
        <v>8884</v>
      </c>
      <c r="G92" t="str">
        <f t="shared" si="2"/>
        <v>/08/2022</v>
      </c>
    </row>
    <row r="93" spans="4:7" x14ac:dyDescent="0.25">
      <c r="D93" s="1" t="s">
        <v>8882</v>
      </c>
      <c r="E93" s="1" t="s">
        <v>8883</v>
      </c>
      <c r="F93" s="1" t="s">
        <v>8884</v>
      </c>
      <c r="G93" t="str">
        <f t="shared" si="2"/>
        <v>/08/2022</v>
      </c>
    </row>
    <row r="94" spans="4:7" x14ac:dyDescent="0.25">
      <c r="D94" s="1" t="s">
        <v>8882</v>
      </c>
      <c r="E94" s="1" t="s">
        <v>8883</v>
      </c>
      <c r="F94" s="1" t="s">
        <v>8884</v>
      </c>
      <c r="G94" t="str">
        <f t="shared" si="2"/>
        <v>/08/2022</v>
      </c>
    </row>
    <row r="95" spans="4:7" x14ac:dyDescent="0.25">
      <c r="D95" s="1" t="s">
        <v>8882</v>
      </c>
      <c r="E95" s="1" t="s">
        <v>8883</v>
      </c>
      <c r="F95" s="1" t="s">
        <v>8884</v>
      </c>
      <c r="G95" t="str">
        <f t="shared" si="2"/>
        <v>/08/2022</v>
      </c>
    </row>
    <row r="96" spans="4:7" x14ac:dyDescent="0.25">
      <c r="D96" s="1" t="s">
        <v>8882</v>
      </c>
      <c r="E96" s="1" t="s">
        <v>8883</v>
      </c>
      <c r="F96" s="1" t="s">
        <v>8884</v>
      </c>
      <c r="G96" t="str">
        <f t="shared" si="2"/>
        <v>/08/2022</v>
      </c>
    </row>
    <row r="97" spans="4:7" x14ac:dyDescent="0.25">
      <c r="D97" s="1" t="s">
        <v>8882</v>
      </c>
      <c r="E97" s="1" t="s">
        <v>8883</v>
      </c>
      <c r="F97" s="1" t="s">
        <v>8884</v>
      </c>
      <c r="G97" t="str">
        <f t="shared" si="2"/>
        <v>/08/2022</v>
      </c>
    </row>
    <row r="98" spans="4:7" x14ac:dyDescent="0.25">
      <c r="D98" s="1" t="s">
        <v>8882</v>
      </c>
      <c r="E98" s="1" t="s">
        <v>8883</v>
      </c>
      <c r="F98" s="1" t="s">
        <v>8884</v>
      </c>
      <c r="G98" t="str">
        <f t="shared" si="2"/>
        <v>/08/2022</v>
      </c>
    </row>
    <row r="99" spans="4:7" x14ac:dyDescent="0.25">
      <c r="D99" s="1" t="s">
        <v>8882</v>
      </c>
      <c r="E99" s="1" t="s">
        <v>8883</v>
      </c>
      <c r="F99" s="1" t="s">
        <v>8884</v>
      </c>
      <c r="G99" t="str">
        <f t="shared" si="2"/>
        <v>/08/2022</v>
      </c>
    </row>
    <row r="100" spans="4:7" x14ac:dyDescent="0.25">
      <c r="D100" s="1" t="s">
        <v>8882</v>
      </c>
      <c r="E100" s="1" t="s">
        <v>8883</v>
      </c>
      <c r="F100" s="1" t="s">
        <v>8884</v>
      </c>
      <c r="G100" t="str">
        <f t="shared" si="2"/>
        <v>/08/2022</v>
      </c>
    </row>
    <row r="101" spans="4:7" x14ac:dyDescent="0.25">
      <c r="D101" s="1" t="s">
        <v>8882</v>
      </c>
      <c r="E101" s="1" t="s">
        <v>8883</v>
      </c>
      <c r="F101" s="1" t="s">
        <v>8884</v>
      </c>
      <c r="G101" t="str">
        <f t="shared" si="2"/>
        <v>/08/2022</v>
      </c>
    </row>
    <row r="102" spans="4:7" x14ac:dyDescent="0.25">
      <c r="D102" s="1" t="s">
        <v>8882</v>
      </c>
      <c r="E102" s="1" t="s">
        <v>8883</v>
      </c>
      <c r="F102" s="1" t="s">
        <v>8884</v>
      </c>
      <c r="G102" t="str">
        <f t="shared" si="2"/>
        <v>/08/2022</v>
      </c>
    </row>
    <row r="103" spans="4:7" x14ac:dyDescent="0.25">
      <c r="D103" s="1" t="s">
        <v>8882</v>
      </c>
      <c r="E103" s="1" t="s">
        <v>8883</v>
      </c>
      <c r="F103" s="1" t="s">
        <v>8884</v>
      </c>
      <c r="G103" t="str">
        <f t="shared" si="2"/>
        <v>/08/2022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0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35" t="s">
        <v>17</v>
      </c>
      <c r="D3" s="36" t="s">
        <v>8609</v>
      </c>
    </row>
    <row r="4" spans="2:6" hidden="1" x14ac:dyDescent="0.25">
      <c r="B4" s="35" t="s">
        <v>7911</v>
      </c>
      <c r="D4" s="37" t="s">
        <v>8046</v>
      </c>
    </row>
    <row r="5" spans="2:6" x14ac:dyDescent="0.25">
      <c r="B5" s="35" t="s">
        <v>6</v>
      </c>
      <c r="D5" s="68" t="s">
        <v>1789</v>
      </c>
    </row>
    <row r="6" spans="2:6" x14ac:dyDescent="0.25">
      <c r="B6" s="35" t="s">
        <v>2</v>
      </c>
      <c r="D6" s="42"/>
      <c r="F6" s="22"/>
    </row>
    <row r="7" spans="2:6" x14ac:dyDescent="0.25">
      <c r="B7" s="35" t="s">
        <v>4</v>
      </c>
      <c r="D7" s="43">
        <v>7</v>
      </c>
    </row>
    <row r="8" spans="2:6" x14ac:dyDescent="0.25">
      <c r="B8" s="35" t="s">
        <v>68</v>
      </c>
      <c r="D8" s="43" t="s">
        <v>8375</v>
      </c>
    </row>
    <row r="9" spans="2:6" x14ac:dyDescent="0.25">
      <c r="B9" s="35" t="s">
        <v>5</v>
      </c>
      <c r="D9" s="40"/>
    </row>
    <row r="10" spans="2:6" x14ac:dyDescent="0.25">
      <c r="B10" s="35" t="s">
        <v>8078</v>
      </c>
      <c r="D10" s="38">
        <v>0</v>
      </c>
      <c r="F10" s="3"/>
    </row>
    <row r="11" spans="2:6" x14ac:dyDescent="0.25">
      <c r="B11" s="35" t="s">
        <v>8079</v>
      </c>
      <c r="D11" s="9">
        <f>D10*0.01</f>
        <v>0</v>
      </c>
      <c r="F11" s="3"/>
    </row>
    <row r="12" spans="2:6" x14ac:dyDescent="0.25">
      <c r="B12" s="35" t="s">
        <v>8080</v>
      </c>
      <c r="D12" s="41">
        <v>7</v>
      </c>
    </row>
  </sheetData>
  <dataValidations count="1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</dataValidations>
  <pageMargins left="0.7" right="0.7" top="0.75" bottom="0.75" header="0.3" footer="0.3"/>
  <pageSetup orientation="landscape" horizontalDpi="4294967294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" customWidth="1"/>
    <col min="5" max="5" width="11.42578125" style="1" customWidth="1"/>
    <col min="6" max="6" width="23.7109375" style="1" customWidth="1"/>
    <col min="7" max="7" width="20.85546875" style="29" bestFit="1" customWidth="1"/>
    <col min="8" max="8" width="21.5703125" style="29" customWidth="1"/>
    <col min="9" max="9" width="19" style="1" customWidth="1"/>
    <col min="10" max="10" width="17.5703125" style="1" bestFit="1" customWidth="1"/>
    <col min="11" max="16384" width="11.42578125" style="1"/>
  </cols>
  <sheetData>
    <row r="1" spans="1:10" s="28" customFormat="1" ht="30" x14ac:dyDescent="0.25">
      <c r="A1" s="27" t="s">
        <v>7910</v>
      </c>
      <c r="B1" s="27" t="s">
        <v>7911</v>
      </c>
      <c r="C1" s="27" t="s">
        <v>7889</v>
      </c>
      <c r="D1" s="27" t="s">
        <v>7890</v>
      </c>
      <c r="E1" s="27" t="s">
        <v>7891</v>
      </c>
      <c r="F1" s="27" t="s">
        <v>7892</v>
      </c>
      <c r="G1" s="27" t="s">
        <v>7893</v>
      </c>
      <c r="H1" s="27" t="s">
        <v>7894</v>
      </c>
      <c r="I1" s="27" t="s">
        <v>7912</v>
      </c>
      <c r="J1" s="27" t="s">
        <v>7913</v>
      </c>
    </row>
    <row r="2" spans="1:10" s="28" customFormat="1" x14ac:dyDescent="0.25">
      <c r="A2" t="s">
        <v>8609</v>
      </c>
      <c r="B2" t="s">
        <v>8046</v>
      </c>
      <c r="C2" t="s">
        <v>1789</v>
      </c>
      <c r="D2" s="22">
        <v>44652</v>
      </c>
      <c r="E2">
        <v>7</v>
      </c>
      <c r="F2" t="s">
        <v>8375</v>
      </c>
      <c r="G2" t="s">
        <v>8817</v>
      </c>
      <c r="H2" s="3">
        <v>548.66999999999996</v>
      </c>
      <c r="I2" s="3">
        <v>5.4866999999999999</v>
      </c>
      <c r="J2">
        <v>7</v>
      </c>
    </row>
    <row r="3" spans="1:10" s="28" customFormat="1" x14ac:dyDescent="0.25">
      <c r="A3" t="s">
        <v>8607</v>
      </c>
      <c r="B3" t="s">
        <v>8046</v>
      </c>
      <c r="C3" t="s">
        <v>3271</v>
      </c>
      <c r="D3" s="22">
        <v>44566</v>
      </c>
      <c r="E3">
        <v>7</v>
      </c>
      <c r="F3" t="s">
        <v>8375</v>
      </c>
      <c r="G3" t="s">
        <v>8680</v>
      </c>
      <c r="H3" s="3">
        <v>453</v>
      </c>
      <c r="I3" s="3">
        <v>4.53</v>
      </c>
      <c r="J3">
        <v>7</v>
      </c>
    </row>
    <row r="4" spans="1:10" s="28" customFormat="1" x14ac:dyDescent="0.25">
      <c r="A4" t="s">
        <v>8607</v>
      </c>
      <c r="B4" t="s">
        <v>8046</v>
      </c>
      <c r="C4" t="s">
        <v>3271</v>
      </c>
      <c r="D4" s="22">
        <v>44566</v>
      </c>
      <c r="E4">
        <v>7</v>
      </c>
      <c r="F4" t="s">
        <v>8375</v>
      </c>
      <c r="G4" t="s">
        <v>8679</v>
      </c>
      <c r="H4" s="3">
        <v>138</v>
      </c>
      <c r="I4" s="3">
        <v>1.3800000000000001</v>
      </c>
      <c r="J4">
        <v>7</v>
      </c>
    </row>
    <row r="5" spans="1:10" s="28" customFormat="1" x14ac:dyDescent="0.25">
      <c r="A5" t="s">
        <v>8607</v>
      </c>
      <c r="B5" t="s">
        <v>8046</v>
      </c>
      <c r="C5" t="s">
        <v>3271</v>
      </c>
      <c r="D5" s="22">
        <v>44596</v>
      </c>
      <c r="E5">
        <v>7</v>
      </c>
      <c r="F5" t="s">
        <v>8375</v>
      </c>
      <c r="G5" t="s">
        <v>8678</v>
      </c>
      <c r="H5" s="3">
        <v>530.88</v>
      </c>
      <c r="I5" s="3">
        <v>5.3087999999999997</v>
      </c>
      <c r="J5">
        <v>7</v>
      </c>
    </row>
    <row r="6" spans="1:10" s="28" customFormat="1" hidden="1" x14ac:dyDescent="0.25">
      <c r="A6" t="s">
        <v>8388</v>
      </c>
      <c r="B6" t="s">
        <v>8046</v>
      </c>
      <c r="C6" t="s">
        <v>796</v>
      </c>
      <c r="D6" s="22">
        <v>44557</v>
      </c>
      <c r="E6">
        <v>7</v>
      </c>
      <c r="F6" t="s">
        <v>8605</v>
      </c>
      <c r="G6" t="s">
        <v>8606</v>
      </c>
      <c r="H6" s="3">
        <v>269.39999999999998</v>
      </c>
      <c r="I6" s="3">
        <v>2.694</v>
      </c>
      <c r="J6">
        <v>7</v>
      </c>
    </row>
    <row r="7" spans="1:10" s="28" customFormat="1" hidden="1" x14ac:dyDescent="0.25">
      <c r="A7" t="s">
        <v>8388</v>
      </c>
      <c r="B7" t="s">
        <v>8046</v>
      </c>
      <c r="C7" t="s">
        <v>1789</v>
      </c>
      <c r="D7" s="22">
        <v>44552</v>
      </c>
      <c r="E7">
        <v>7</v>
      </c>
      <c r="F7" t="s">
        <v>8375</v>
      </c>
      <c r="G7" t="s">
        <v>8604</v>
      </c>
      <c r="H7" s="3">
        <v>823.01</v>
      </c>
      <c r="I7" s="3">
        <v>8.2301000000000002</v>
      </c>
      <c r="J7">
        <v>7</v>
      </c>
    </row>
    <row r="8" spans="1:10" s="28" customFormat="1" hidden="1" x14ac:dyDescent="0.25">
      <c r="A8" t="s">
        <v>8388</v>
      </c>
      <c r="B8" t="s">
        <v>8046</v>
      </c>
      <c r="C8" t="s">
        <v>1789</v>
      </c>
      <c r="D8" s="22">
        <v>44546</v>
      </c>
      <c r="E8">
        <v>7</v>
      </c>
      <c r="F8" t="s">
        <v>8375</v>
      </c>
      <c r="G8" t="s">
        <v>8603</v>
      </c>
      <c r="H8" s="3">
        <v>2322.94</v>
      </c>
      <c r="I8" s="3">
        <v>23.229400000000002</v>
      </c>
      <c r="J8">
        <v>7</v>
      </c>
    </row>
    <row r="9" spans="1:10" s="28" customFormat="1" hidden="1" x14ac:dyDescent="0.25">
      <c r="A9" t="s">
        <v>8388</v>
      </c>
      <c r="B9" t="s">
        <v>8046</v>
      </c>
      <c r="C9" t="s">
        <v>1789</v>
      </c>
      <c r="D9" s="22">
        <v>44546</v>
      </c>
      <c r="E9">
        <v>7</v>
      </c>
      <c r="F9" t="s">
        <v>8375</v>
      </c>
      <c r="G9" t="s">
        <v>8602</v>
      </c>
      <c r="H9" s="3">
        <v>176.99</v>
      </c>
      <c r="I9" s="3">
        <v>1.7699</v>
      </c>
      <c r="J9">
        <v>7</v>
      </c>
    </row>
    <row r="10" spans="1:10" s="28" customFormat="1" hidden="1" x14ac:dyDescent="0.25">
      <c r="A10" t="s">
        <v>8126</v>
      </c>
      <c r="B10" t="s">
        <v>8373</v>
      </c>
      <c r="C10" t="s">
        <v>8374</v>
      </c>
      <c r="D10" s="22">
        <v>44581</v>
      </c>
      <c r="E10">
        <v>7</v>
      </c>
      <c r="F10" t="s">
        <v>8375</v>
      </c>
      <c r="G10" t="s">
        <v>8376</v>
      </c>
      <c r="H10" s="3">
        <v>903.53</v>
      </c>
      <c r="I10" s="3">
        <v>9.0352999999999994</v>
      </c>
      <c r="J10">
        <v>7</v>
      </c>
    </row>
    <row r="11" spans="1:10" s="28" customFormat="1" hidden="1" x14ac:dyDescent="0.25">
      <c r="A11" t="s">
        <v>8126</v>
      </c>
      <c r="B11" t="s">
        <v>8380</v>
      </c>
      <c r="C11" t="s">
        <v>1789</v>
      </c>
      <c r="D11" s="22">
        <v>44525</v>
      </c>
      <c r="E11">
        <v>7</v>
      </c>
      <c r="F11" t="s">
        <v>8375</v>
      </c>
      <c r="G11" t="s">
        <v>8382</v>
      </c>
      <c r="H11" s="3">
        <v>135</v>
      </c>
      <c r="I11" s="3">
        <v>1.35</v>
      </c>
      <c r="J11">
        <v>7</v>
      </c>
    </row>
    <row r="12" spans="1:10" s="28" customFormat="1" hidden="1" x14ac:dyDescent="0.25">
      <c r="A12" t="s">
        <v>8126</v>
      </c>
      <c r="B12" t="s">
        <v>8380</v>
      </c>
      <c r="C12" t="s">
        <v>1789</v>
      </c>
      <c r="D12" s="22">
        <v>44525</v>
      </c>
      <c r="E12">
        <v>7</v>
      </c>
      <c r="F12" t="s">
        <v>8375</v>
      </c>
      <c r="G12" t="s">
        <v>8381</v>
      </c>
      <c r="H12" s="3">
        <v>823.01</v>
      </c>
      <c r="I12" s="3">
        <v>8.2301000000000002</v>
      </c>
      <c r="J12">
        <v>7</v>
      </c>
    </row>
    <row r="13" spans="1:10" s="28" customFormat="1" hidden="1" x14ac:dyDescent="0.25">
      <c r="A13" t="s">
        <v>8126</v>
      </c>
      <c r="B13" t="s">
        <v>8377</v>
      </c>
      <c r="C13" t="s">
        <v>198</v>
      </c>
      <c r="D13" s="22">
        <v>44519</v>
      </c>
      <c r="E13">
        <v>7</v>
      </c>
      <c r="F13" t="s">
        <v>8378</v>
      </c>
      <c r="G13" t="s">
        <v>8379</v>
      </c>
      <c r="H13" s="3">
        <v>545.16</v>
      </c>
      <c r="I13" s="3">
        <v>5.4516</v>
      </c>
      <c r="J13">
        <v>7</v>
      </c>
    </row>
    <row r="14" spans="1:10" s="28" customFormat="1" x14ac:dyDescent="0.25">
      <c r="A14" t="s">
        <v>7895</v>
      </c>
      <c r="B14"/>
      <c r="C14"/>
      <c r="D14"/>
      <c r="E14"/>
      <c r="F14"/>
      <c r="G14"/>
      <c r="H14" s="69">
        <f>SUBTOTAL(109,Tabla6[Monto sujeto])</f>
        <v>1670.5500000000002</v>
      </c>
      <c r="I14" s="70">
        <f>SUBTOTAL(109,Tabla6[Monto Retención 1%])</f>
        <v>16.705500000000001</v>
      </c>
      <c r="J14"/>
    </row>
    <row r="15" spans="1:10" x14ac:dyDescent="0.25">
      <c r="J15"/>
    </row>
    <row r="16" spans="1:10" x14ac:dyDescent="0.25">
      <c r="J16"/>
    </row>
    <row r="17" spans="10:10" x14ac:dyDescent="0.25">
      <c r="J17"/>
    </row>
    <row r="18" spans="10:10" x14ac:dyDescent="0.25">
      <c r="J18"/>
    </row>
    <row r="19" spans="10:10" x14ac:dyDescent="0.25">
      <c r="J19"/>
    </row>
    <row r="20" spans="10:10" x14ac:dyDescent="0.25">
      <c r="J20"/>
    </row>
    <row r="21" spans="10:10" x14ac:dyDescent="0.25">
      <c r="J21"/>
    </row>
    <row r="22" spans="10:10" x14ac:dyDescent="0.25">
      <c r="J22"/>
    </row>
    <row r="23" spans="10:10" x14ac:dyDescent="0.25">
      <c r="J23"/>
    </row>
    <row r="24" spans="10:10" x14ac:dyDescent="0.25">
      <c r="J24"/>
    </row>
    <row r="25" spans="10:10" x14ac:dyDescent="0.25">
      <c r="J25"/>
    </row>
    <row r="26" spans="10:10" x14ac:dyDescent="0.25">
      <c r="J26"/>
    </row>
    <row r="27" spans="10:10" x14ac:dyDescent="0.25">
      <c r="J27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I5047"/>
  <sheetViews>
    <sheetView topLeftCell="A5027" workbookViewId="0">
      <selection activeCell="A5048" sqref="A5048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5" max="5" width="17.28515625" bestFit="1" customWidth="1"/>
    <col min="9" max="9" width="11.42578125" style="2"/>
  </cols>
  <sheetData>
    <row r="1" spans="1:8" x14ac:dyDescent="0.25">
      <c r="A1" s="1" t="s">
        <v>54</v>
      </c>
      <c r="B1" t="s">
        <v>53</v>
      </c>
    </row>
    <row r="2" spans="1:8" x14ac:dyDescent="0.25">
      <c r="A2" s="39" t="s">
        <v>77</v>
      </c>
      <c r="B2" t="s">
        <v>78</v>
      </c>
      <c r="E2" s="1"/>
      <c r="F2" s="1"/>
      <c r="G2" s="1"/>
      <c r="H2" s="1"/>
    </row>
    <row r="3" spans="1:8" x14ac:dyDescent="0.25">
      <c r="A3" s="1" t="s">
        <v>79</v>
      </c>
      <c r="B3" t="s">
        <v>80</v>
      </c>
      <c r="E3" s="1"/>
      <c r="F3" s="1"/>
      <c r="G3" s="1"/>
      <c r="H3" s="1"/>
    </row>
    <row r="4" spans="1:8" x14ac:dyDescent="0.25">
      <c r="A4" s="1" t="s">
        <v>81</v>
      </c>
      <c r="B4" t="s">
        <v>82</v>
      </c>
      <c r="E4" s="1"/>
      <c r="F4" s="1"/>
      <c r="G4" s="1"/>
      <c r="H4" s="1"/>
    </row>
    <row r="5" spans="1:8" x14ac:dyDescent="0.25">
      <c r="A5" s="1" t="s">
        <v>83</v>
      </c>
      <c r="B5" t="s">
        <v>84</v>
      </c>
      <c r="E5" s="1"/>
      <c r="F5" s="1"/>
      <c r="G5" s="1"/>
      <c r="H5" s="1"/>
    </row>
    <row r="6" spans="1:8" x14ac:dyDescent="0.25">
      <c r="A6" s="1" t="s">
        <v>85</v>
      </c>
      <c r="B6" t="s">
        <v>86</v>
      </c>
      <c r="E6" s="1"/>
      <c r="F6" s="1"/>
      <c r="G6" s="1"/>
      <c r="H6" s="1"/>
    </row>
    <row r="7" spans="1:8" x14ac:dyDescent="0.25">
      <c r="A7" s="1" t="s">
        <v>87</v>
      </c>
      <c r="B7" t="s">
        <v>88</v>
      </c>
      <c r="E7" s="1"/>
      <c r="F7" s="1"/>
      <c r="G7" s="1"/>
      <c r="H7" s="1"/>
    </row>
    <row r="8" spans="1:8" x14ac:dyDescent="0.25">
      <c r="A8" s="1" t="s">
        <v>89</v>
      </c>
      <c r="B8" t="s">
        <v>90</v>
      </c>
      <c r="E8" s="1"/>
      <c r="F8" s="1"/>
      <c r="G8" s="1"/>
      <c r="H8" s="1"/>
    </row>
    <row r="9" spans="1:8" x14ac:dyDescent="0.25">
      <c r="A9" s="1" t="s">
        <v>91</v>
      </c>
      <c r="B9" t="s">
        <v>92</v>
      </c>
      <c r="E9" s="1"/>
      <c r="F9" s="1"/>
      <c r="G9" s="1"/>
      <c r="H9" s="1"/>
    </row>
    <row r="10" spans="1:8" x14ac:dyDescent="0.25">
      <c r="A10" s="1" t="s">
        <v>93</v>
      </c>
      <c r="B10" t="s">
        <v>94</v>
      </c>
      <c r="E10" s="1"/>
      <c r="F10" s="1"/>
      <c r="G10" s="1"/>
      <c r="H10" s="1"/>
    </row>
    <row r="11" spans="1:8" x14ac:dyDescent="0.25">
      <c r="A11" s="1" t="s">
        <v>95</v>
      </c>
      <c r="B11" t="s">
        <v>96</v>
      </c>
      <c r="E11" s="1"/>
      <c r="F11" s="1"/>
      <c r="G11" s="1"/>
      <c r="H11" s="1"/>
    </row>
    <row r="12" spans="1:8" x14ac:dyDescent="0.25">
      <c r="A12" s="1" t="s">
        <v>97</v>
      </c>
      <c r="B12" t="s">
        <v>98</v>
      </c>
    </row>
    <row r="13" spans="1:8" x14ac:dyDescent="0.25">
      <c r="A13" s="1" t="s">
        <v>99</v>
      </c>
      <c r="B13" t="s">
        <v>100</v>
      </c>
    </row>
    <row r="14" spans="1:8" x14ac:dyDescent="0.25">
      <c r="A14" s="1" t="s">
        <v>101</v>
      </c>
      <c r="B14" t="s">
        <v>102</v>
      </c>
    </row>
    <row r="15" spans="1:8" x14ac:dyDescent="0.25">
      <c r="A15" s="1" t="s">
        <v>103</v>
      </c>
      <c r="B15" t="s">
        <v>104</v>
      </c>
    </row>
    <row r="16" spans="1:8" x14ac:dyDescent="0.25">
      <c r="A16" s="1" t="s">
        <v>105</v>
      </c>
      <c r="B16" t="s">
        <v>106</v>
      </c>
    </row>
    <row r="17" spans="1:2" x14ac:dyDescent="0.25">
      <c r="A17" s="1" t="s">
        <v>107</v>
      </c>
      <c r="B17" t="s">
        <v>108</v>
      </c>
    </row>
    <row r="18" spans="1:2" x14ac:dyDescent="0.25">
      <c r="A18" s="1" t="s">
        <v>109</v>
      </c>
      <c r="B18" t="s">
        <v>110</v>
      </c>
    </row>
    <row r="19" spans="1:2" x14ac:dyDescent="0.25">
      <c r="A19" s="1" t="s">
        <v>111</v>
      </c>
      <c r="B19" t="s">
        <v>112</v>
      </c>
    </row>
    <row r="20" spans="1:2" x14ac:dyDescent="0.25">
      <c r="A20" s="1" t="s">
        <v>113</v>
      </c>
      <c r="B20" t="s">
        <v>114</v>
      </c>
    </row>
    <row r="21" spans="1:2" x14ac:dyDescent="0.25">
      <c r="A21" s="1" t="s">
        <v>115</v>
      </c>
      <c r="B21" t="s">
        <v>116</v>
      </c>
    </row>
    <row r="22" spans="1:2" x14ac:dyDescent="0.25">
      <c r="A22" s="1" t="s">
        <v>117</v>
      </c>
      <c r="B22" t="s">
        <v>118</v>
      </c>
    </row>
    <row r="23" spans="1:2" x14ac:dyDescent="0.25">
      <c r="A23" s="1" t="s">
        <v>119</v>
      </c>
      <c r="B23" t="s">
        <v>120</v>
      </c>
    </row>
    <row r="24" spans="1:2" x14ac:dyDescent="0.25">
      <c r="A24" s="1" t="s">
        <v>121</v>
      </c>
      <c r="B24" t="s">
        <v>122</v>
      </c>
    </row>
    <row r="25" spans="1:2" x14ac:dyDescent="0.25">
      <c r="A25" s="1" t="s">
        <v>123</v>
      </c>
      <c r="B25" t="s">
        <v>124</v>
      </c>
    </row>
    <row r="26" spans="1:2" x14ac:dyDescent="0.25">
      <c r="A26" s="1" t="s">
        <v>125</v>
      </c>
      <c r="B26" t="s">
        <v>126</v>
      </c>
    </row>
    <row r="27" spans="1:2" x14ac:dyDescent="0.25">
      <c r="A27" s="1" t="s">
        <v>127</v>
      </c>
      <c r="B27" t="s">
        <v>128</v>
      </c>
    </row>
    <row r="28" spans="1:2" x14ac:dyDescent="0.25">
      <c r="A28" s="1" t="s">
        <v>129</v>
      </c>
      <c r="B28" t="s">
        <v>130</v>
      </c>
    </row>
    <row r="29" spans="1:2" x14ac:dyDescent="0.25">
      <c r="A29" s="1" t="s">
        <v>131</v>
      </c>
      <c r="B29" t="s">
        <v>132</v>
      </c>
    </row>
    <row r="30" spans="1:2" x14ac:dyDescent="0.25">
      <c r="A30" s="1" t="s">
        <v>133</v>
      </c>
      <c r="B30" t="s">
        <v>134</v>
      </c>
    </row>
    <row r="31" spans="1:2" x14ac:dyDescent="0.25">
      <c r="A31" s="1" t="s">
        <v>135</v>
      </c>
      <c r="B31" t="s">
        <v>136</v>
      </c>
    </row>
    <row r="32" spans="1:2" x14ac:dyDescent="0.25">
      <c r="A32" s="1" t="s">
        <v>137</v>
      </c>
      <c r="B32" t="s">
        <v>138</v>
      </c>
    </row>
    <row r="33" spans="1:2" x14ac:dyDescent="0.25">
      <c r="A33" s="1" t="s">
        <v>139</v>
      </c>
      <c r="B33" t="s">
        <v>140</v>
      </c>
    </row>
    <row r="34" spans="1:2" x14ac:dyDescent="0.25">
      <c r="A34" s="1" t="s">
        <v>141</v>
      </c>
      <c r="B34" t="s">
        <v>142</v>
      </c>
    </row>
    <row r="35" spans="1:2" x14ac:dyDescent="0.25">
      <c r="A35" s="1" t="s">
        <v>143</v>
      </c>
      <c r="B35" t="s">
        <v>144</v>
      </c>
    </row>
    <row r="36" spans="1:2" x14ac:dyDescent="0.25">
      <c r="A36" s="1" t="s">
        <v>145</v>
      </c>
      <c r="B36" t="s">
        <v>146</v>
      </c>
    </row>
    <row r="37" spans="1:2" x14ac:dyDescent="0.25">
      <c r="A37" s="1" t="s">
        <v>147</v>
      </c>
      <c r="B37" t="s">
        <v>148</v>
      </c>
    </row>
    <row r="38" spans="1:2" x14ac:dyDescent="0.25">
      <c r="A38" s="1" t="s">
        <v>149</v>
      </c>
      <c r="B38" t="s">
        <v>150</v>
      </c>
    </row>
    <row r="39" spans="1:2" x14ac:dyDescent="0.25">
      <c r="A39" s="1" t="s">
        <v>151</v>
      </c>
      <c r="B39" t="s">
        <v>152</v>
      </c>
    </row>
    <row r="40" spans="1:2" x14ac:dyDescent="0.25">
      <c r="A40" s="1" t="s">
        <v>153</v>
      </c>
      <c r="B40" t="s">
        <v>154</v>
      </c>
    </row>
    <row r="41" spans="1:2" x14ac:dyDescent="0.25">
      <c r="A41" s="1" t="s">
        <v>52</v>
      </c>
      <c r="B41" t="s">
        <v>155</v>
      </c>
    </row>
    <row r="42" spans="1:2" x14ac:dyDescent="0.25">
      <c r="A42" s="1" t="s">
        <v>156</v>
      </c>
      <c r="B42" t="s">
        <v>157</v>
      </c>
    </row>
    <row r="43" spans="1:2" x14ac:dyDescent="0.25">
      <c r="A43" s="1" t="s">
        <v>158</v>
      </c>
      <c r="B43" t="s">
        <v>159</v>
      </c>
    </row>
    <row r="44" spans="1:2" x14ac:dyDescent="0.25">
      <c r="A44" s="1" t="s">
        <v>160</v>
      </c>
      <c r="B44" t="s">
        <v>161</v>
      </c>
    </row>
    <row r="45" spans="1:2" x14ac:dyDescent="0.25">
      <c r="A45" s="1" t="s">
        <v>162</v>
      </c>
      <c r="B45" t="s">
        <v>163</v>
      </c>
    </row>
    <row r="46" spans="1:2" x14ac:dyDescent="0.25">
      <c r="A46" s="1" t="s">
        <v>164</v>
      </c>
      <c r="B46" t="s">
        <v>165</v>
      </c>
    </row>
    <row r="47" spans="1:2" x14ac:dyDescent="0.25">
      <c r="A47" s="1" t="s">
        <v>166</v>
      </c>
      <c r="B47" t="s">
        <v>167</v>
      </c>
    </row>
    <row r="48" spans="1:2" x14ac:dyDescent="0.25">
      <c r="A48" s="1" t="s">
        <v>168</v>
      </c>
      <c r="B48" s="1" t="s">
        <v>169</v>
      </c>
    </row>
    <row r="49" spans="1:2" x14ac:dyDescent="0.25">
      <c r="A49" s="1" t="s">
        <v>170</v>
      </c>
      <c r="B49" t="s">
        <v>171</v>
      </c>
    </row>
    <row r="50" spans="1:2" x14ac:dyDescent="0.25">
      <c r="A50" s="1" t="s">
        <v>172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254</v>
      </c>
      <c r="B91" t="s">
        <v>255</v>
      </c>
    </row>
    <row r="92" spans="1:2" x14ac:dyDescent="0.25">
      <c r="A92" s="1" t="s">
        <v>256</v>
      </c>
      <c r="B92" t="s">
        <v>257</v>
      </c>
    </row>
    <row r="93" spans="1:2" x14ac:dyDescent="0.25">
      <c r="A93" s="1" t="s">
        <v>258</v>
      </c>
      <c r="B93" t="s">
        <v>259</v>
      </c>
    </row>
    <row r="94" spans="1:2" x14ac:dyDescent="0.25">
      <c r="A94" s="1" t="s">
        <v>260</v>
      </c>
      <c r="B94" t="s">
        <v>261</v>
      </c>
    </row>
    <row r="95" spans="1:2" x14ac:dyDescent="0.25">
      <c r="A95" s="1" t="s">
        <v>262</v>
      </c>
      <c r="B95" t="s">
        <v>263</v>
      </c>
    </row>
    <row r="96" spans="1:2" x14ac:dyDescent="0.25">
      <c r="A96" s="1" t="s">
        <v>264</v>
      </c>
      <c r="B96" t="s">
        <v>265</v>
      </c>
    </row>
    <row r="97" spans="1:2" x14ac:dyDescent="0.25">
      <c r="A97" s="1" t="s">
        <v>266</v>
      </c>
      <c r="B97" t="s">
        <v>267</v>
      </c>
    </row>
    <row r="98" spans="1:2" x14ac:dyDescent="0.25">
      <c r="A98" s="1" t="s">
        <v>268</v>
      </c>
      <c r="B98" t="s">
        <v>269</v>
      </c>
    </row>
    <row r="99" spans="1:2" x14ac:dyDescent="0.25">
      <c r="A99" s="1" t="s">
        <v>270</v>
      </c>
      <c r="B99" t="s">
        <v>271</v>
      </c>
    </row>
    <row r="100" spans="1:2" x14ac:dyDescent="0.25">
      <c r="A100" s="1" t="s">
        <v>272</v>
      </c>
      <c r="B100" t="s">
        <v>273</v>
      </c>
    </row>
    <row r="101" spans="1:2" x14ac:dyDescent="0.25">
      <c r="A101" s="1" t="s">
        <v>274</v>
      </c>
      <c r="B101" t="s">
        <v>275</v>
      </c>
    </row>
    <row r="102" spans="1:2" x14ac:dyDescent="0.25">
      <c r="A102" s="1" t="s">
        <v>276</v>
      </c>
      <c r="B102" t="s">
        <v>277</v>
      </c>
    </row>
    <row r="103" spans="1:2" x14ac:dyDescent="0.25">
      <c r="A103" s="1" t="s">
        <v>278</v>
      </c>
      <c r="B103" t="s">
        <v>279</v>
      </c>
    </row>
    <row r="104" spans="1:2" x14ac:dyDescent="0.25">
      <c r="A104" s="1" t="s">
        <v>280</v>
      </c>
      <c r="B104" t="s">
        <v>281</v>
      </c>
    </row>
    <row r="105" spans="1:2" x14ac:dyDescent="0.25">
      <c r="A105" s="1" t="s">
        <v>282</v>
      </c>
      <c r="B105" t="s">
        <v>283</v>
      </c>
    </row>
    <row r="106" spans="1:2" x14ac:dyDescent="0.25">
      <c r="A106" s="1" t="s">
        <v>284</v>
      </c>
      <c r="B106" t="s">
        <v>285</v>
      </c>
    </row>
    <row r="107" spans="1:2" x14ac:dyDescent="0.25">
      <c r="A107" s="1" t="s">
        <v>286</v>
      </c>
      <c r="B107" t="s">
        <v>287</v>
      </c>
    </row>
    <row r="108" spans="1:2" x14ac:dyDescent="0.25">
      <c r="A108" s="1" t="s">
        <v>288</v>
      </c>
      <c r="B108" t="s">
        <v>289</v>
      </c>
    </row>
    <row r="109" spans="1:2" x14ac:dyDescent="0.25">
      <c r="A109" s="1" t="s">
        <v>290</v>
      </c>
      <c r="B109" t="s">
        <v>291</v>
      </c>
    </row>
    <row r="110" spans="1:2" x14ac:dyDescent="0.25">
      <c r="A110" s="1" t="s">
        <v>292</v>
      </c>
      <c r="B110" t="s">
        <v>293</v>
      </c>
    </row>
    <row r="111" spans="1:2" x14ac:dyDescent="0.25">
      <c r="A111" s="1" t="s">
        <v>294</v>
      </c>
      <c r="B111" t="s">
        <v>295</v>
      </c>
    </row>
    <row r="112" spans="1:2" x14ac:dyDescent="0.25">
      <c r="A112" s="1" t="s">
        <v>296</v>
      </c>
      <c r="B112" t="s">
        <v>297</v>
      </c>
    </row>
    <row r="113" spans="1:2" x14ac:dyDescent="0.25">
      <c r="A113" s="1" t="s">
        <v>298</v>
      </c>
      <c r="B113" t="s">
        <v>299</v>
      </c>
    </row>
    <row r="114" spans="1:2" x14ac:dyDescent="0.25">
      <c r="A114" s="1" t="s">
        <v>300</v>
      </c>
      <c r="B114" t="s">
        <v>301</v>
      </c>
    </row>
    <row r="115" spans="1:2" x14ac:dyDescent="0.25">
      <c r="A115" s="1" t="s">
        <v>302</v>
      </c>
      <c r="B115" t="s">
        <v>303</v>
      </c>
    </row>
    <row r="116" spans="1:2" x14ac:dyDescent="0.25">
      <c r="A116" s="1" t="s">
        <v>304</v>
      </c>
      <c r="B116" t="s">
        <v>305</v>
      </c>
    </row>
    <row r="117" spans="1:2" x14ac:dyDescent="0.25">
      <c r="A117" s="1" t="s">
        <v>306</v>
      </c>
      <c r="B117" t="s">
        <v>307</v>
      </c>
    </row>
    <row r="118" spans="1:2" x14ac:dyDescent="0.25">
      <c r="A118" s="1" t="s">
        <v>308</v>
      </c>
      <c r="B118" t="s">
        <v>309</v>
      </c>
    </row>
    <row r="119" spans="1:2" x14ac:dyDescent="0.25">
      <c r="A119" s="1" t="s">
        <v>310</v>
      </c>
      <c r="B119" t="s">
        <v>311</v>
      </c>
    </row>
    <row r="120" spans="1:2" x14ac:dyDescent="0.25">
      <c r="A120" s="1" t="s">
        <v>312</v>
      </c>
      <c r="B120" t="s">
        <v>313</v>
      </c>
    </row>
    <row r="121" spans="1:2" x14ac:dyDescent="0.25">
      <c r="A121" s="1" t="s">
        <v>314</v>
      </c>
      <c r="B121" t="s">
        <v>315</v>
      </c>
    </row>
    <row r="122" spans="1:2" x14ac:dyDescent="0.25">
      <c r="A122" s="1" t="s">
        <v>316</v>
      </c>
      <c r="B122" t="s">
        <v>317</v>
      </c>
    </row>
    <row r="123" spans="1:2" x14ac:dyDescent="0.25">
      <c r="A123" s="1" t="s">
        <v>318</v>
      </c>
      <c r="B123" t="s">
        <v>319</v>
      </c>
    </row>
    <row r="124" spans="1:2" x14ac:dyDescent="0.25">
      <c r="A124" s="1" t="s">
        <v>320</v>
      </c>
      <c r="B124" t="s">
        <v>321</v>
      </c>
    </row>
    <row r="125" spans="1:2" x14ac:dyDescent="0.25">
      <c r="A125" s="1" t="s">
        <v>322</v>
      </c>
      <c r="B125" t="s">
        <v>323</v>
      </c>
    </row>
    <row r="126" spans="1:2" x14ac:dyDescent="0.25">
      <c r="A126" s="1" t="s">
        <v>324</v>
      </c>
      <c r="B126" t="s">
        <v>325</v>
      </c>
    </row>
    <row r="127" spans="1:2" x14ac:dyDescent="0.25">
      <c r="A127" s="1" t="s">
        <v>326</v>
      </c>
      <c r="B127" t="s">
        <v>327</v>
      </c>
    </row>
    <row r="128" spans="1:2" x14ac:dyDescent="0.25">
      <c r="A128" s="1" t="s">
        <v>328</v>
      </c>
      <c r="B128" t="s">
        <v>329</v>
      </c>
    </row>
    <row r="129" spans="1:2" x14ac:dyDescent="0.25">
      <c r="A129" s="1" t="s">
        <v>330</v>
      </c>
      <c r="B129" t="s">
        <v>331</v>
      </c>
    </row>
    <row r="130" spans="1:2" x14ac:dyDescent="0.25">
      <c r="A130" s="1" t="s">
        <v>332</v>
      </c>
      <c r="B130" t="s">
        <v>333</v>
      </c>
    </row>
    <row r="131" spans="1:2" x14ac:dyDescent="0.25">
      <c r="A131" s="1" t="s">
        <v>334</v>
      </c>
      <c r="B131" t="s">
        <v>335</v>
      </c>
    </row>
    <row r="132" spans="1:2" x14ac:dyDescent="0.25">
      <c r="A132" s="1" t="s">
        <v>336</v>
      </c>
      <c r="B132" t="s">
        <v>337</v>
      </c>
    </row>
    <row r="133" spans="1:2" x14ac:dyDescent="0.25">
      <c r="A133" s="1" t="s">
        <v>338</v>
      </c>
      <c r="B133" t="s">
        <v>339</v>
      </c>
    </row>
    <row r="134" spans="1:2" x14ac:dyDescent="0.25">
      <c r="A134" s="1" t="s">
        <v>340</v>
      </c>
      <c r="B134" t="s">
        <v>341</v>
      </c>
    </row>
    <row r="135" spans="1:2" x14ac:dyDescent="0.25">
      <c r="A135" s="1" t="s">
        <v>342</v>
      </c>
      <c r="B135" t="s">
        <v>343</v>
      </c>
    </row>
    <row r="136" spans="1:2" x14ac:dyDescent="0.25">
      <c r="A136" s="1" t="s">
        <v>344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354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426</v>
      </c>
      <c r="B177" t="s">
        <v>427</v>
      </c>
    </row>
    <row r="178" spans="1:2" x14ac:dyDescent="0.25">
      <c r="A178" s="1" t="s">
        <v>428</v>
      </c>
      <c r="B178" t="s">
        <v>429</v>
      </c>
    </row>
    <row r="179" spans="1:2" x14ac:dyDescent="0.25">
      <c r="A179" s="1" t="s">
        <v>430</v>
      </c>
      <c r="B179" t="s">
        <v>431</v>
      </c>
    </row>
    <row r="180" spans="1:2" x14ac:dyDescent="0.25">
      <c r="A180" s="1" t="s">
        <v>432</v>
      </c>
      <c r="B180" t="s">
        <v>433</v>
      </c>
    </row>
    <row r="181" spans="1:2" x14ac:dyDescent="0.25">
      <c r="A181" s="1" t="s">
        <v>434</v>
      </c>
      <c r="B181" t="s">
        <v>435</v>
      </c>
    </row>
    <row r="182" spans="1:2" x14ac:dyDescent="0.25">
      <c r="A182" s="1" t="s">
        <v>436</v>
      </c>
      <c r="B182" t="s">
        <v>437</v>
      </c>
    </row>
    <row r="183" spans="1:2" x14ac:dyDescent="0.25">
      <c r="A183" s="1" t="s">
        <v>438</v>
      </c>
      <c r="B183" t="s">
        <v>439</v>
      </c>
    </row>
    <row r="184" spans="1:2" x14ac:dyDescent="0.25">
      <c r="A184" s="1" t="s">
        <v>440</v>
      </c>
      <c r="B184" t="s">
        <v>441</v>
      </c>
    </row>
    <row r="185" spans="1:2" x14ac:dyDescent="0.25">
      <c r="A185" s="1" t="s">
        <v>442</v>
      </c>
      <c r="B185" t="s">
        <v>443</v>
      </c>
    </row>
    <row r="186" spans="1:2" x14ac:dyDescent="0.25">
      <c r="A186" s="1" t="s">
        <v>444</v>
      </c>
      <c r="B186" t="s">
        <v>445</v>
      </c>
    </row>
    <row r="187" spans="1:2" x14ac:dyDescent="0.25">
      <c r="A187" s="1" t="s">
        <v>446</v>
      </c>
      <c r="B187" t="s">
        <v>447</v>
      </c>
    </row>
    <row r="188" spans="1:2" x14ac:dyDescent="0.25">
      <c r="A188" s="1" t="s">
        <v>448</v>
      </c>
      <c r="B188" t="s">
        <v>449</v>
      </c>
    </row>
    <row r="189" spans="1:2" x14ac:dyDescent="0.25">
      <c r="A189" s="1" t="s">
        <v>450</v>
      </c>
      <c r="B189" t="s">
        <v>451</v>
      </c>
    </row>
    <row r="190" spans="1:2" x14ac:dyDescent="0.25">
      <c r="A190" s="1" t="s">
        <v>452</v>
      </c>
      <c r="B190" t="s">
        <v>453</v>
      </c>
    </row>
    <row r="191" spans="1:2" x14ac:dyDescent="0.25">
      <c r="A191" s="1" t="s">
        <v>454</v>
      </c>
      <c r="B191" t="s">
        <v>455</v>
      </c>
    </row>
    <row r="192" spans="1:2" x14ac:dyDescent="0.25">
      <c r="A192" s="1" t="s">
        <v>456</v>
      </c>
      <c r="B192" t="s">
        <v>457</v>
      </c>
    </row>
    <row r="193" spans="1:2" x14ac:dyDescent="0.25">
      <c r="A193" s="1" t="s">
        <v>458</v>
      </c>
      <c r="B193" t="s">
        <v>459</v>
      </c>
    </row>
    <row r="194" spans="1:2" x14ac:dyDescent="0.25">
      <c r="A194" s="1" t="s">
        <v>460</v>
      </c>
      <c r="B194" t="s">
        <v>461</v>
      </c>
    </row>
    <row r="195" spans="1:2" x14ac:dyDescent="0.25">
      <c r="A195" s="1" t="s">
        <v>462</v>
      </c>
      <c r="B195" t="s">
        <v>463</v>
      </c>
    </row>
    <row r="196" spans="1:2" x14ac:dyDescent="0.25">
      <c r="A196" s="1" t="s">
        <v>464</v>
      </c>
      <c r="B196" t="s">
        <v>465</v>
      </c>
    </row>
    <row r="197" spans="1:2" x14ac:dyDescent="0.25">
      <c r="A197" s="1" t="s">
        <v>466</v>
      </c>
      <c r="B197" t="s">
        <v>467</v>
      </c>
    </row>
    <row r="198" spans="1:2" x14ac:dyDescent="0.25">
      <c r="A198" s="1" t="s">
        <v>468</v>
      </c>
      <c r="B198" t="s">
        <v>469</v>
      </c>
    </row>
    <row r="199" spans="1:2" x14ac:dyDescent="0.25">
      <c r="A199" s="1" t="s">
        <v>470</v>
      </c>
      <c r="B199" t="s">
        <v>471</v>
      </c>
    </row>
    <row r="200" spans="1:2" x14ac:dyDescent="0.25">
      <c r="A200" s="1" t="s">
        <v>472</v>
      </c>
      <c r="B200" t="s">
        <v>473</v>
      </c>
    </row>
    <row r="201" spans="1:2" x14ac:dyDescent="0.25">
      <c r="A201" s="1" t="s">
        <v>474</v>
      </c>
      <c r="B201" t="s">
        <v>475</v>
      </c>
    </row>
    <row r="202" spans="1:2" x14ac:dyDescent="0.25">
      <c r="A202" s="1" t="s">
        <v>476</v>
      </c>
      <c r="B202" t="s">
        <v>477</v>
      </c>
    </row>
    <row r="203" spans="1:2" x14ac:dyDescent="0.25">
      <c r="A203" s="1" t="s">
        <v>478</v>
      </c>
      <c r="B203" t="s">
        <v>479</v>
      </c>
    </row>
    <row r="204" spans="1:2" x14ac:dyDescent="0.25">
      <c r="A204" s="1" t="s">
        <v>480</v>
      </c>
      <c r="B204" t="s">
        <v>481</v>
      </c>
    </row>
    <row r="205" spans="1:2" x14ac:dyDescent="0.25">
      <c r="A205" s="1" t="s">
        <v>482</v>
      </c>
      <c r="B205" t="s">
        <v>483</v>
      </c>
    </row>
    <row r="206" spans="1:2" x14ac:dyDescent="0.25">
      <c r="A206" s="1" t="s">
        <v>484</v>
      </c>
      <c r="B206" t="s">
        <v>485</v>
      </c>
    </row>
    <row r="207" spans="1:2" x14ac:dyDescent="0.25">
      <c r="A207" s="1" t="s">
        <v>486</v>
      </c>
      <c r="B207" t="s">
        <v>487</v>
      </c>
    </row>
    <row r="208" spans="1:2" x14ac:dyDescent="0.25">
      <c r="A208" s="1" t="s">
        <v>488</v>
      </c>
      <c r="B208" t="s">
        <v>489</v>
      </c>
    </row>
    <row r="209" spans="1:2" x14ac:dyDescent="0.25">
      <c r="A209" s="1" t="s">
        <v>490</v>
      </c>
      <c r="B209" t="s">
        <v>491</v>
      </c>
    </row>
    <row r="210" spans="1:2" x14ac:dyDescent="0.25">
      <c r="A210" s="1" t="s">
        <v>492</v>
      </c>
      <c r="B210" t="s">
        <v>493</v>
      </c>
    </row>
    <row r="211" spans="1:2" x14ac:dyDescent="0.25">
      <c r="A211" s="1" t="s">
        <v>494</v>
      </c>
      <c r="B211" t="s">
        <v>495</v>
      </c>
    </row>
    <row r="212" spans="1:2" x14ac:dyDescent="0.25">
      <c r="A212" s="1" t="s">
        <v>496</v>
      </c>
      <c r="B212" t="s">
        <v>497</v>
      </c>
    </row>
    <row r="213" spans="1:2" x14ac:dyDescent="0.25">
      <c r="A213" s="1" t="s">
        <v>498</v>
      </c>
      <c r="B213" t="s">
        <v>499</v>
      </c>
    </row>
    <row r="214" spans="1:2" x14ac:dyDescent="0.25">
      <c r="A214" s="1" t="s">
        <v>500</v>
      </c>
      <c r="B214" t="s">
        <v>501</v>
      </c>
    </row>
    <row r="215" spans="1:2" x14ac:dyDescent="0.25">
      <c r="A215" s="1" t="s">
        <v>502</v>
      </c>
      <c r="B215" t="s">
        <v>503</v>
      </c>
    </row>
    <row r="216" spans="1:2" x14ac:dyDescent="0.25">
      <c r="A216" s="1" t="s">
        <v>504</v>
      </c>
      <c r="B216" t="s">
        <v>505</v>
      </c>
    </row>
    <row r="217" spans="1:2" x14ac:dyDescent="0.25">
      <c r="A217" s="1" t="s">
        <v>506</v>
      </c>
      <c r="B217" t="s">
        <v>507</v>
      </c>
    </row>
    <row r="218" spans="1:2" x14ac:dyDescent="0.25">
      <c r="A218" s="1" t="s">
        <v>508</v>
      </c>
      <c r="B218" t="s">
        <v>509</v>
      </c>
    </row>
    <row r="219" spans="1:2" x14ac:dyDescent="0.25">
      <c r="A219" s="1" t="s">
        <v>510</v>
      </c>
      <c r="B219" t="s">
        <v>511</v>
      </c>
    </row>
    <row r="220" spans="1:2" x14ac:dyDescent="0.25">
      <c r="A220" s="1" t="s">
        <v>512</v>
      </c>
      <c r="B220" t="s">
        <v>8047</v>
      </c>
    </row>
    <row r="221" spans="1:2" x14ac:dyDescent="0.25">
      <c r="A221" s="1" t="s">
        <v>513</v>
      </c>
      <c r="B221" t="s">
        <v>514</v>
      </c>
    </row>
    <row r="222" spans="1:2" x14ac:dyDescent="0.25">
      <c r="A222" s="1" t="s">
        <v>515</v>
      </c>
      <c r="B222" t="s">
        <v>516</v>
      </c>
    </row>
    <row r="223" spans="1:2" x14ac:dyDescent="0.25">
      <c r="A223" s="1" t="s">
        <v>517</v>
      </c>
      <c r="B223" t="s">
        <v>518</v>
      </c>
    </row>
    <row r="224" spans="1:2" x14ac:dyDescent="0.25">
      <c r="A224" s="1" t="s">
        <v>519</v>
      </c>
      <c r="B224" t="s">
        <v>520</v>
      </c>
    </row>
    <row r="225" spans="1:2" x14ac:dyDescent="0.25">
      <c r="A225" s="1" t="s">
        <v>521</v>
      </c>
      <c r="B225" t="s">
        <v>522</v>
      </c>
    </row>
    <row r="226" spans="1:2" x14ac:dyDescent="0.25">
      <c r="A226" s="1" t="s">
        <v>523</v>
      </c>
      <c r="B226" t="s">
        <v>524</v>
      </c>
    </row>
    <row r="227" spans="1:2" x14ac:dyDescent="0.25">
      <c r="A227" s="1" t="s">
        <v>525</v>
      </c>
      <c r="B227" t="s">
        <v>526</v>
      </c>
    </row>
    <row r="228" spans="1:2" x14ac:dyDescent="0.25">
      <c r="A228" s="1" t="s">
        <v>527</v>
      </c>
      <c r="B228" t="s">
        <v>528</v>
      </c>
    </row>
    <row r="229" spans="1:2" x14ac:dyDescent="0.25">
      <c r="A229" s="1" t="s">
        <v>529</v>
      </c>
      <c r="B229" t="s">
        <v>530</v>
      </c>
    </row>
    <row r="230" spans="1:2" x14ac:dyDescent="0.25">
      <c r="A230" s="1" t="s">
        <v>531</v>
      </c>
      <c r="B230" t="s">
        <v>532</v>
      </c>
    </row>
    <row r="231" spans="1:2" x14ac:dyDescent="0.25">
      <c r="A231" s="1" t="s">
        <v>533</v>
      </c>
      <c r="B231" t="s">
        <v>534</v>
      </c>
    </row>
    <row r="232" spans="1:2" x14ac:dyDescent="0.25">
      <c r="A232" s="1" t="s">
        <v>535</v>
      </c>
      <c r="B232" t="s">
        <v>536</v>
      </c>
    </row>
    <row r="233" spans="1:2" x14ac:dyDescent="0.25">
      <c r="A233" s="1" t="s">
        <v>537</v>
      </c>
      <c r="B233" t="s">
        <v>538</v>
      </c>
    </row>
    <row r="234" spans="1:2" x14ac:dyDescent="0.25">
      <c r="A234" s="1" t="s">
        <v>539</v>
      </c>
      <c r="B234" t="s">
        <v>540</v>
      </c>
    </row>
    <row r="235" spans="1:2" x14ac:dyDescent="0.25">
      <c r="A235" s="1" t="s">
        <v>541</v>
      </c>
      <c r="B235" t="s">
        <v>542</v>
      </c>
    </row>
    <row r="236" spans="1:2" x14ac:dyDescent="0.25">
      <c r="A236" s="1" t="s">
        <v>543</v>
      </c>
      <c r="B236" t="s">
        <v>544</v>
      </c>
    </row>
    <row r="237" spans="1:2" x14ac:dyDescent="0.25">
      <c r="A237" s="1" t="s">
        <v>545</v>
      </c>
      <c r="B237" t="s">
        <v>546</v>
      </c>
    </row>
    <row r="238" spans="1:2" x14ac:dyDescent="0.25">
      <c r="A238" s="1" t="s">
        <v>547</v>
      </c>
      <c r="B238" t="s">
        <v>548</v>
      </c>
    </row>
    <row r="239" spans="1:2" x14ac:dyDescent="0.25">
      <c r="A239" s="1" t="s">
        <v>549</v>
      </c>
      <c r="B239" t="s">
        <v>550</v>
      </c>
    </row>
    <row r="240" spans="1:2" x14ac:dyDescent="0.25">
      <c r="A240" s="1" t="s">
        <v>551</v>
      </c>
      <c r="B240" t="s">
        <v>552</v>
      </c>
    </row>
    <row r="241" spans="1:2" x14ac:dyDescent="0.25">
      <c r="A241" s="1" t="s">
        <v>553</v>
      </c>
      <c r="B241" t="s">
        <v>554</v>
      </c>
    </row>
    <row r="242" spans="1:2" x14ac:dyDescent="0.25">
      <c r="A242" s="1" t="s">
        <v>555</v>
      </c>
      <c r="B242" t="s">
        <v>556</v>
      </c>
    </row>
    <row r="243" spans="1:2" x14ac:dyDescent="0.25">
      <c r="A243" s="1" t="s">
        <v>557</v>
      </c>
      <c r="B243" t="s">
        <v>558</v>
      </c>
    </row>
    <row r="244" spans="1:2" x14ac:dyDescent="0.25">
      <c r="A244" s="1" t="s">
        <v>559</v>
      </c>
      <c r="B244" t="s">
        <v>560</v>
      </c>
    </row>
    <row r="245" spans="1:2" x14ac:dyDescent="0.25">
      <c r="A245" s="1" t="s">
        <v>561</v>
      </c>
      <c r="B245" t="s">
        <v>562</v>
      </c>
    </row>
    <row r="246" spans="1:2" x14ac:dyDescent="0.25">
      <c r="A246" s="1" t="s">
        <v>563</v>
      </c>
      <c r="B246" t="s">
        <v>564</v>
      </c>
    </row>
    <row r="247" spans="1:2" x14ac:dyDescent="0.25">
      <c r="A247" s="1" t="s">
        <v>565</v>
      </c>
      <c r="B247" t="s">
        <v>566</v>
      </c>
    </row>
    <row r="248" spans="1:2" x14ac:dyDescent="0.25">
      <c r="A248" s="1" t="s">
        <v>567</v>
      </c>
      <c r="B248" t="s">
        <v>568</v>
      </c>
    </row>
    <row r="249" spans="1:2" x14ac:dyDescent="0.25">
      <c r="A249" s="1" t="s">
        <v>569</v>
      </c>
      <c r="B249" t="s">
        <v>570</v>
      </c>
    </row>
    <row r="250" spans="1:2" x14ac:dyDescent="0.25">
      <c r="A250" s="1" t="s">
        <v>174</v>
      </c>
      <c r="B250" t="s">
        <v>175</v>
      </c>
    </row>
    <row r="251" spans="1:2" x14ac:dyDescent="0.25">
      <c r="A251" s="1" t="s">
        <v>571</v>
      </c>
      <c r="B251" t="s">
        <v>572</v>
      </c>
    </row>
    <row r="252" spans="1:2" x14ac:dyDescent="0.25">
      <c r="A252" s="1" t="s">
        <v>573</v>
      </c>
      <c r="B252" t="s">
        <v>574</v>
      </c>
    </row>
    <row r="253" spans="1:2" x14ac:dyDescent="0.25">
      <c r="A253" s="1" t="s">
        <v>575</v>
      </c>
      <c r="B253" t="s">
        <v>576</v>
      </c>
    </row>
    <row r="254" spans="1:2" x14ac:dyDescent="0.25">
      <c r="A254" s="1" t="s">
        <v>577</v>
      </c>
      <c r="B254" t="s">
        <v>578</v>
      </c>
    </row>
    <row r="255" spans="1:2" x14ac:dyDescent="0.25">
      <c r="A255" s="1" t="s">
        <v>579</v>
      </c>
      <c r="B255" t="s">
        <v>580</v>
      </c>
    </row>
    <row r="256" spans="1:2" x14ac:dyDescent="0.25">
      <c r="A256" s="1" t="s">
        <v>581</v>
      </c>
      <c r="B256" t="s">
        <v>582</v>
      </c>
    </row>
    <row r="257" spans="1:2" x14ac:dyDescent="0.25">
      <c r="A257" s="1" t="s">
        <v>583</v>
      </c>
      <c r="B257" t="s">
        <v>584</v>
      </c>
    </row>
    <row r="258" spans="1:2" x14ac:dyDescent="0.25">
      <c r="A258" s="1" t="s">
        <v>585</v>
      </c>
      <c r="B258" t="s">
        <v>586</v>
      </c>
    </row>
    <row r="259" spans="1:2" x14ac:dyDescent="0.25">
      <c r="A259" s="1" t="s">
        <v>587</v>
      </c>
      <c r="B259" t="s">
        <v>588</v>
      </c>
    </row>
    <row r="260" spans="1:2" x14ac:dyDescent="0.25">
      <c r="A260" s="1" t="s">
        <v>589</v>
      </c>
      <c r="B260" t="s">
        <v>590</v>
      </c>
    </row>
    <row r="261" spans="1:2" x14ac:dyDescent="0.25">
      <c r="A261" s="1" t="s">
        <v>591</v>
      </c>
      <c r="B261" t="s">
        <v>592</v>
      </c>
    </row>
    <row r="262" spans="1:2" x14ac:dyDescent="0.25">
      <c r="A262" s="1" t="s">
        <v>593</v>
      </c>
      <c r="B262" t="s">
        <v>594</v>
      </c>
    </row>
    <row r="263" spans="1:2" x14ac:dyDescent="0.25">
      <c r="A263" s="1" t="s">
        <v>595</v>
      </c>
      <c r="B263" t="s">
        <v>596</v>
      </c>
    </row>
    <row r="264" spans="1:2" x14ac:dyDescent="0.25">
      <c r="A264" s="1" t="s">
        <v>597</v>
      </c>
      <c r="B264" t="s">
        <v>598</v>
      </c>
    </row>
    <row r="265" spans="1:2" x14ac:dyDescent="0.25">
      <c r="A265" s="1" t="s">
        <v>599</v>
      </c>
      <c r="B265" t="s">
        <v>600</v>
      </c>
    </row>
    <row r="266" spans="1:2" x14ac:dyDescent="0.25">
      <c r="A266" s="1" t="s">
        <v>601</v>
      </c>
      <c r="B266" t="s">
        <v>602</v>
      </c>
    </row>
    <row r="267" spans="1:2" x14ac:dyDescent="0.25">
      <c r="A267" s="1" t="s">
        <v>603</v>
      </c>
      <c r="B267" t="s">
        <v>604</v>
      </c>
    </row>
    <row r="268" spans="1:2" x14ac:dyDescent="0.25">
      <c r="A268" s="1" t="s">
        <v>605</v>
      </c>
      <c r="B268" t="s">
        <v>606</v>
      </c>
    </row>
    <row r="269" spans="1:2" x14ac:dyDescent="0.25">
      <c r="A269" s="1" t="s">
        <v>607</v>
      </c>
      <c r="B269" t="s">
        <v>608</v>
      </c>
    </row>
    <row r="270" spans="1:2" x14ac:dyDescent="0.25">
      <c r="A270" s="1" t="s">
        <v>609</v>
      </c>
      <c r="B270" t="s">
        <v>610</v>
      </c>
    </row>
    <row r="271" spans="1:2" x14ac:dyDescent="0.25">
      <c r="A271" s="1" t="s">
        <v>611</v>
      </c>
      <c r="B271" t="s">
        <v>612</v>
      </c>
    </row>
    <row r="272" spans="1:2" x14ac:dyDescent="0.25">
      <c r="A272" s="1" t="s">
        <v>613</v>
      </c>
      <c r="B272" t="s">
        <v>614</v>
      </c>
    </row>
    <row r="273" spans="1:2" x14ac:dyDescent="0.25">
      <c r="A273" s="1" t="s">
        <v>615</v>
      </c>
      <c r="B273" t="s">
        <v>616</v>
      </c>
    </row>
    <row r="274" spans="1:2" x14ac:dyDescent="0.25">
      <c r="A274" s="1" t="s">
        <v>617</v>
      </c>
      <c r="B274" t="s">
        <v>618</v>
      </c>
    </row>
    <row r="275" spans="1:2" x14ac:dyDescent="0.25">
      <c r="A275" s="1" t="s">
        <v>619</v>
      </c>
      <c r="B275" t="s">
        <v>620</v>
      </c>
    </row>
    <row r="276" spans="1:2" x14ac:dyDescent="0.25">
      <c r="A276" s="1" t="s">
        <v>621</v>
      </c>
      <c r="B276" t="s">
        <v>622</v>
      </c>
    </row>
    <row r="277" spans="1:2" x14ac:dyDescent="0.25">
      <c r="A277" s="1" t="s">
        <v>623</v>
      </c>
      <c r="B277" t="s">
        <v>624</v>
      </c>
    </row>
    <row r="278" spans="1:2" x14ac:dyDescent="0.25">
      <c r="A278" s="1" t="s">
        <v>625</v>
      </c>
      <c r="B278" t="s">
        <v>626</v>
      </c>
    </row>
    <row r="279" spans="1:2" x14ac:dyDescent="0.25">
      <c r="A279" s="1" t="s">
        <v>627</v>
      </c>
      <c r="B279" t="s">
        <v>628</v>
      </c>
    </row>
    <row r="280" spans="1:2" x14ac:dyDescent="0.25">
      <c r="A280" s="1" t="s">
        <v>629</v>
      </c>
      <c r="B280" t="s">
        <v>630</v>
      </c>
    </row>
    <row r="281" spans="1:2" x14ac:dyDescent="0.25">
      <c r="A281" s="1" t="s">
        <v>631</v>
      </c>
      <c r="B281" t="s">
        <v>632</v>
      </c>
    </row>
    <row r="282" spans="1:2" x14ac:dyDescent="0.25">
      <c r="A282" s="1" t="s">
        <v>633</v>
      </c>
      <c r="B282" t="s">
        <v>634</v>
      </c>
    </row>
    <row r="283" spans="1:2" x14ac:dyDescent="0.25">
      <c r="A283" s="1" t="s">
        <v>635</v>
      </c>
      <c r="B283" t="s">
        <v>636</v>
      </c>
    </row>
    <row r="284" spans="1:2" x14ac:dyDescent="0.25">
      <c r="A284" s="1" t="s">
        <v>637</v>
      </c>
      <c r="B284" t="s">
        <v>638</v>
      </c>
    </row>
    <row r="285" spans="1:2" x14ac:dyDescent="0.25">
      <c r="A285" s="34" t="s">
        <v>8121</v>
      </c>
      <c r="B285" t="s">
        <v>639</v>
      </c>
    </row>
    <row r="286" spans="1:2" x14ac:dyDescent="0.25">
      <c r="A286" s="1" t="s">
        <v>640</v>
      </c>
      <c r="B286" t="s">
        <v>641</v>
      </c>
    </row>
    <row r="287" spans="1:2" x14ac:dyDescent="0.25">
      <c r="A287" s="1" t="s">
        <v>642</v>
      </c>
      <c r="B287" t="s">
        <v>643</v>
      </c>
    </row>
    <row r="288" spans="1:2" x14ac:dyDescent="0.25">
      <c r="A288" s="1" t="s">
        <v>644</v>
      </c>
      <c r="B288" t="s">
        <v>645</v>
      </c>
    </row>
    <row r="289" spans="1:2" x14ac:dyDescent="0.25">
      <c r="A289" s="1" t="s">
        <v>646</v>
      </c>
      <c r="B289" t="s">
        <v>647</v>
      </c>
    </row>
    <row r="290" spans="1:2" x14ac:dyDescent="0.25">
      <c r="A290" s="1" t="s">
        <v>648</v>
      </c>
      <c r="B290" t="s">
        <v>649</v>
      </c>
    </row>
    <row r="291" spans="1:2" x14ac:dyDescent="0.25">
      <c r="A291" s="1" t="s">
        <v>650</v>
      </c>
      <c r="B291" t="s">
        <v>651</v>
      </c>
    </row>
    <row r="292" spans="1:2" x14ac:dyDescent="0.25">
      <c r="A292" s="1" t="s">
        <v>652</v>
      </c>
      <c r="B292" t="s">
        <v>653</v>
      </c>
    </row>
    <row r="293" spans="1:2" x14ac:dyDescent="0.25">
      <c r="A293" s="1" t="s">
        <v>654</v>
      </c>
      <c r="B293" t="s">
        <v>655</v>
      </c>
    </row>
    <row r="294" spans="1:2" x14ac:dyDescent="0.25">
      <c r="A294" s="1" t="s">
        <v>656</v>
      </c>
      <c r="B294" t="s">
        <v>657</v>
      </c>
    </row>
    <row r="295" spans="1:2" x14ac:dyDescent="0.25">
      <c r="A295" s="1" t="s">
        <v>658</v>
      </c>
      <c r="B295" t="s">
        <v>659</v>
      </c>
    </row>
    <row r="296" spans="1:2" x14ac:dyDescent="0.25">
      <c r="A296" s="1" t="s">
        <v>660</v>
      </c>
      <c r="B296" t="s">
        <v>661</v>
      </c>
    </row>
    <row r="297" spans="1:2" x14ac:dyDescent="0.25">
      <c r="A297" s="1" t="s">
        <v>662</v>
      </c>
      <c r="B297" t="s">
        <v>663</v>
      </c>
    </row>
    <row r="298" spans="1:2" x14ac:dyDescent="0.25">
      <c r="A298" s="1" t="s">
        <v>664</v>
      </c>
      <c r="B298" t="s">
        <v>665</v>
      </c>
    </row>
    <row r="299" spans="1:2" x14ac:dyDescent="0.25">
      <c r="A299" s="1" t="s">
        <v>666</v>
      </c>
      <c r="B299" t="s">
        <v>667</v>
      </c>
    </row>
    <row r="300" spans="1:2" x14ac:dyDescent="0.25">
      <c r="A300" s="1" t="s">
        <v>668</v>
      </c>
      <c r="B300" t="s">
        <v>669</v>
      </c>
    </row>
    <row r="301" spans="1:2" x14ac:dyDescent="0.25">
      <c r="A301" s="1" t="s">
        <v>670</v>
      </c>
      <c r="B301" t="s">
        <v>671</v>
      </c>
    </row>
    <row r="302" spans="1:2" x14ac:dyDescent="0.25">
      <c r="A302" s="1" t="s">
        <v>672</v>
      </c>
      <c r="B302" t="s">
        <v>673</v>
      </c>
    </row>
    <row r="303" spans="1:2" x14ac:dyDescent="0.25">
      <c r="A303" s="1" t="s">
        <v>674</v>
      </c>
      <c r="B303" t="s">
        <v>675</v>
      </c>
    </row>
    <row r="304" spans="1:2" x14ac:dyDescent="0.25">
      <c r="A304" s="1" t="s">
        <v>676</v>
      </c>
      <c r="B304" t="s">
        <v>677</v>
      </c>
    </row>
    <row r="305" spans="1:2" x14ac:dyDescent="0.25">
      <c r="A305" s="1" t="s">
        <v>678</v>
      </c>
      <c r="B305" t="s">
        <v>679</v>
      </c>
    </row>
    <row r="306" spans="1:2" x14ac:dyDescent="0.25">
      <c r="A306" s="1" t="s">
        <v>680</v>
      </c>
      <c r="B306" t="s">
        <v>681</v>
      </c>
    </row>
    <row r="307" spans="1:2" x14ac:dyDescent="0.25">
      <c r="A307" s="1" t="s">
        <v>682</v>
      </c>
      <c r="B307" t="s">
        <v>683</v>
      </c>
    </row>
    <row r="308" spans="1:2" x14ac:dyDescent="0.25">
      <c r="A308" s="1" t="s">
        <v>684</v>
      </c>
      <c r="B308" t="s">
        <v>685</v>
      </c>
    </row>
    <row r="309" spans="1:2" x14ac:dyDescent="0.25">
      <c r="A309" s="1" t="s">
        <v>686</v>
      </c>
      <c r="B309" t="s">
        <v>687</v>
      </c>
    </row>
    <row r="310" spans="1:2" x14ac:dyDescent="0.25">
      <c r="A310" s="1" t="s">
        <v>688</v>
      </c>
      <c r="B310" t="s">
        <v>689</v>
      </c>
    </row>
    <row r="311" spans="1:2" x14ac:dyDescent="0.25">
      <c r="A311" s="1" t="s">
        <v>690</v>
      </c>
      <c r="B311" t="s">
        <v>691</v>
      </c>
    </row>
    <row r="312" spans="1:2" x14ac:dyDescent="0.25">
      <c r="A312" s="1" t="s">
        <v>692</v>
      </c>
      <c r="B312" t="s">
        <v>693</v>
      </c>
    </row>
    <row r="313" spans="1:2" x14ac:dyDescent="0.25">
      <c r="A313" s="1" t="s">
        <v>694</v>
      </c>
      <c r="B313" t="s">
        <v>695</v>
      </c>
    </row>
    <row r="314" spans="1:2" x14ac:dyDescent="0.25">
      <c r="A314" s="1" t="s">
        <v>696</v>
      </c>
      <c r="B314" t="s">
        <v>697</v>
      </c>
    </row>
    <row r="315" spans="1:2" x14ac:dyDescent="0.25">
      <c r="A315" s="1" t="s">
        <v>698</v>
      </c>
      <c r="B315" t="s">
        <v>699</v>
      </c>
    </row>
    <row r="316" spans="1:2" x14ac:dyDescent="0.25">
      <c r="A316" s="1" t="s">
        <v>700</v>
      </c>
      <c r="B316" t="s">
        <v>701</v>
      </c>
    </row>
    <row r="317" spans="1:2" x14ac:dyDescent="0.25">
      <c r="A317" s="1" t="s">
        <v>702</v>
      </c>
      <c r="B317" t="s">
        <v>703</v>
      </c>
    </row>
    <row r="318" spans="1:2" x14ac:dyDescent="0.25">
      <c r="A318" s="1" t="s">
        <v>704</v>
      </c>
      <c r="B318" t="s">
        <v>705</v>
      </c>
    </row>
    <row r="319" spans="1:2" x14ac:dyDescent="0.25">
      <c r="A319" s="1" t="s">
        <v>706</v>
      </c>
      <c r="B319" t="s">
        <v>707</v>
      </c>
    </row>
    <row r="320" spans="1:2" x14ac:dyDescent="0.25">
      <c r="A320" s="1" t="s">
        <v>708</v>
      </c>
      <c r="B320" t="s">
        <v>709</v>
      </c>
    </row>
    <row r="321" spans="1:2" x14ac:dyDescent="0.25">
      <c r="A321" s="1" t="s">
        <v>710</v>
      </c>
      <c r="B321" t="s">
        <v>711</v>
      </c>
    </row>
    <row r="322" spans="1:2" x14ac:dyDescent="0.25">
      <c r="A322" s="1" t="s">
        <v>712</v>
      </c>
      <c r="B322" t="s">
        <v>713</v>
      </c>
    </row>
    <row r="323" spans="1:2" x14ac:dyDescent="0.25">
      <c r="A323" s="1" t="s">
        <v>714</v>
      </c>
      <c r="B323" t="s">
        <v>715</v>
      </c>
    </row>
    <row r="324" spans="1:2" x14ac:dyDescent="0.25">
      <c r="A324" s="1" t="s">
        <v>716</v>
      </c>
      <c r="B324" t="s">
        <v>717</v>
      </c>
    </row>
    <row r="325" spans="1:2" x14ac:dyDescent="0.25">
      <c r="A325" s="1" t="s">
        <v>718</v>
      </c>
      <c r="B325" t="s">
        <v>719</v>
      </c>
    </row>
    <row r="326" spans="1:2" x14ac:dyDescent="0.25">
      <c r="A326" s="1" t="s">
        <v>720</v>
      </c>
      <c r="B326" t="s">
        <v>721</v>
      </c>
    </row>
    <row r="327" spans="1:2" x14ac:dyDescent="0.25">
      <c r="A327" s="1" t="s">
        <v>722</v>
      </c>
      <c r="B327" t="s">
        <v>723</v>
      </c>
    </row>
    <row r="328" spans="1:2" x14ac:dyDescent="0.25">
      <c r="A328" s="1" t="s">
        <v>724</v>
      </c>
      <c r="B328" t="s">
        <v>725</v>
      </c>
    </row>
    <row r="329" spans="1:2" x14ac:dyDescent="0.25">
      <c r="A329" s="1" t="s">
        <v>726</v>
      </c>
      <c r="B329" t="s">
        <v>727</v>
      </c>
    </row>
    <row r="330" spans="1:2" x14ac:dyDescent="0.25">
      <c r="A330" s="1" t="s">
        <v>728</v>
      </c>
      <c r="B330" t="s">
        <v>729</v>
      </c>
    </row>
    <row r="331" spans="1:2" x14ac:dyDescent="0.25">
      <c r="A331" s="1" t="s">
        <v>730</v>
      </c>
      <c r="B331" t="s">
        <v>731</v>
      </c>
    </row>
    <row r="332" spans="1:2" x14ac:dyDescent="0.25">
      <c r="A332" s="1" t="s">
        <v>732</v>
      </c>
      <c r="B332" t="s">
        <v>733</v>
      </c>
    </row>
    <row r="333" spans="1:2" x14ac:dyDescent="0.25">
      <c r="A333" s="1" t="s">
        <v>734</v>
      </c>
      <c r="B333" t="s">
        <v>735</v>
      </c>
    </row>
    <row r="334" spans="1:2" x14ac:dyDescent="0.25">
      <c r="A334" s="1" t="s">
        <v>736</v>
      </c>
      <c r="B334" t="s">
        <v>737</v>
      </c>
    </row>
    <row r="335" spans="1:2" x14ac:dyDescent="0.25">
      <c r="A335" s="1" t="s">
        <v>738</v>
      </c>
      <c r="B335" t="s">
        <v>739</v>
      </c>
    </row>
    <row r="336" spans="1:2" x14ac:dyDescent="0.25">
      <c r="A336" s="1" t="s">
        <v>740</v>
      </c>
      <c r="B336" t="s">
        <v>741</v>
      </c>
    </row>
    <row r="337" spans="1:2" x14ac:dyDescent="0.25">
      <c r="A337" s="1" t="s">
        <v>742</v>
      </c>
      <c r="B337" t="s">
        <v>743</v>
      </c>
    </row>
    <row r="338" spans="1:2" x14ac:dyDescent="0.25">
      <c r="A338" s="1" t="s">
        <v>744</v>
      </c>
      <c r="B338" t="s">
        <v>745</v>
      </c>
    </row>
    <row r="339" spans="1:2" x14ac:dyDescent="0.25">
      <c r="A339" s="1" t="s">
        <v>746</v>
      </c>
      <c r="B339" t="s">
        <v>747</v>
      </c>
    </row>
    <row r="340" spans="1:2" x14ac:dyDescent="0.25">
      <c r="A340" s="1" t="s">
        <v>748</v>
      </c>
      <c r="B340" t="s">
        <v>749</v>
      </c>
    </row>
    <row r="341" spans="1:2" x14ac:dyDescent="0.25">
      <c r="A341" s="1" t="s">
        <v>750</v>
      </c>
      <c r="B341" t="s">
        <v>751</v>
      </c>
    </row>
    <row r="342" spans="1:2" x14ac:dyDescent="0.25">
      <c r="A342" s="1" t="s">
        <v>752</v>
      </c>
      <c r="B342" t="s">
        <v>753</v>
      </c>
    </row>
    <row r="343" spans="1:2" x14ac:dyDescent="0.25">
      <c r="A343" s="1" t="s">
        <v>754</v>
      </c>
      <c r="B343" t="s">
        <v>755</v>
      </c>
    </row>
    <row r="344" spans="1:2" x14ac:dyDescent="0.25">
      <c r="A344" s="1" t="s">
        <v>756</v>
      </c>
      <c r="B344" t="s">
        <v>757</v>
      </c>
    </row>
    <row r="345" spans="1:2" x14ac:dyDescent="0.25">
      <c r="A345" s="1" t="s">
        <v>758</v>
      </c>
      <c r="B345" t="s">
        <v>759</v>
      </c>
    </row>
    <row r="346" spans="1:2" x14ac:dyDescent="0.25">
      <c r="A346" s="1" t="s">
        <v>760</v>
      </c>
      <c r="B346" t="s">
        <v>761</v>
      </c>
    </row>
    <row r="347" spans="1:2" x14ac:dyDescent="0.25">
      <c r="A347" s="1" t="s">
        <v>762</v>
      </c>
      <c r="B347" t="s">
        <v>763</v>
      </c>
    </row>
    <row r="348" spans="1:2" x14ac:dyDescent="0.25">
      <c r="A348" s="1" t="s">
        <v>764</v>
      </c>
      <c r="B348" t="s">
        <v>765</v>
      </c>
    </row>
    <row r="349" spans="1:2" x14ac:dyDescent="0.25">
      <c r="A349" s="1" t="s">
        <v>766</v>
      </c>
      <c r="B349" t="s">
        <v>767</v>
      </c>
    </row>
    <row r="350" spans="1:2" x14ac:dyDescent="0.25">
      <c r="A350" s="1" t="s">
        <v>768</v>
      </c>
      <c r="B350" t="s">
        <v>769</v>
      </c>
    </row>
    <row r="351" spans="1:2" x14ac:dyDescent="0.25">
      <c r="A351" s="1" t="s">
        <v>770</v>
      </c>
      <c r="B351" t="s">
        <v>771</v>
      </c>
    </row>
    <row r="352" spans="1:2" x14ac:dyDescent="0.25">
      <c r="A352" s="1" t="s">
        <v>772</v>
      </c>
      <c r="B352" t="s">
        <v>773</v>
      </c>
    </row>
    <row r="353" spans="1:2" x14ac:dyDescent="0.25">
      <c r="A353" s="1" t="s">
        <v>774</v>
      </c>
      <c r="B353" t="s">
        <v>775</v>
      </c>
    </row>
    <row r="354" spans="1:2" x14ac:dyDescent="0.25">
      <c r="A354" s="1" t="s">
        <v>776</v>
      </c>
      <c r="B354" t="s">
        <v>777</v>
      </c>
    </row>
    <row r="355" spans="1:2" x14ac:dyDescent="0.25">
      <c r="A355" s="1" t="s">
        <v>778</v>
      </c>
      <c r="B355" t="s">
        <v>779</v>
      </c>
    </row>
    <row r="356" spans="1:2" x14ac:dyDescent="0.25">
      <c r="A356" s="1" t="s">
        <v>780</v>
      </c>
      <c r="B356" t="s">
        <v>781</v>
      </c>
    </row>
    <row r="357" spans="1:2" x14ac:dyDescent="0.25">
      <c r="A357" s="1" t="s">
        <v>782</v>
      </c>
      <c r="B357" t="s">
        <v>783</v>
      </c>
    </row>
    <row r="358" spans="1:2" x14ac:dyDescent="0.25">
      <c r="A358" s="1" t="s">
        <v>784</v>
      </c>
      <c r="B358" t="s">
        <v>785</v>
      </c>
    </row>
    <row r="359" spans="1:2" x14ac:dyDescent="0.25">
      <c r="A359" s="1" t="s">
        <v>786</v>
      </c>
      <c r="B359" t="s">
        <v>787</v>
      </c>
    </row>
    <row r="360" spans="1:2" x14ac:dyDescent="0.25">
      <c r="A360" s="1" t="s">
        <v>788</v>
      </c>
      <c r="B360" t="s">
        <v>789</v>
      </c>
    </row>
    <row r="361" spans="1:2" x14ac:dyDescent="0.25">
      <c r="A361" s="1" t="s">
        <v>790</v>
      </c>
      <c r="B361" t="s">
        <v>791</v>
      </c>
    </row>
    <row r="362" spans="1:2" x14ac:dyDescent="0.25">
      <c r="A362" s="1" t="s">
        <v>792</v>
      </c>
      <c r="B362" t="s">
        <v>793</v>
      </c>
    </row>
    <row r="363" spans="1:2" x14ac:dyDescent="0.25">
      <c r="A363" s="1" t="s">
        <v>794</v>
      </c>
      <c r="B363" t="s">
        <v>795</v>
      </c>
    </row>
    <row r="364" spans="1:2" x14ac:dyDescent="0.25">
      <c r="A364" s="1" t="s">
        <v>796</v>
      </c>
      <c r="B364" t="s">
        <v>797</v>
      </c>
    </row>
    <row r="365" spans="1:2" x14ac:dyDescent="0.25">
      <c r="A365" s="1" t="s">
        <v>8054</v>
      </c>
      <c r="B365" t="s">
        <v>8055</v>
      </c>
    </row>
    <row r="366" spans="1:2" x14ac:dyDescent="0.25">
      <c r="A366" s="1" t="s">
        <v>515</v>
      </c>
      <c r="B366" t="s">
        <v>8061</v>
      </c>
    </row>
    <row r="367" spans="1:2" x14ac:dyDescent="0.25">
      <c r="A367" s="1"/>
      <c r="B367" t="s">
        <v>798</v>
      </c>
    </row>
    <row r="368" spans="1:2" x14ac:dyDescent="0.25">
      <c r="A368" s="1"/>
      <c r="B368" t="s">
        <v>781</v>
      </c>
    </row>
    <row r="369" spans="1:2" x14ac:dyDescent="0.25">
      <c r="A369" s="1"/>
      <c r="B369" t="s">
        <v>353</v>
      </c>
    </row>
    <row r="370" spans="1:2" x14ac:dyDescent="0.25">
      <c r="A370" s="1"/>
      <c r="B370" t="s">
        <v>191</v>
      </c>
    </row>
    <row r="371" spans="1:2" x14ac:dyDescent="0.25">
      <c r="A371" s="1"/>
      <c r="B371" t="s">
        <v>157</v>
      </c>
    </row>
    <row r="372" spans="1:2" x14ac:dyDescent="0.25">
      <c r="A372" s="1" t="s">
        <v>41</v>
      </c>
      <c r="B372" t="s">
        <v>41</v>
      </c>
    </row>
    <row r="373" spans="1:2" x14ac:dyDescent="0.25">
      <c r="A373" s="1"/>
      <c r="B373" t="s">
        <v>78</v>
      </c>
    </row>
    <row r="374" spans="1:2" x14ac:dyDescent="0.25">
      <c r="A374" s="1"/>
      <c r="B374" t="s">
        <v>255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/>
      <c r="B376" t="s">
        <v>335</v>
      </c>
    </row>
    <row r="377" spans="1:2" x14ac:dyDescent="0.25">
      <c r="A377" s="1"/>
      <c r="B377" t="s">
        <v>437</v>
      </c>
    </row>
    <row r="378" spans="1:2" x14ac:dyDescent="0.25">
      <c r="A378" s="1"/>
      <c r="B378" t="s">
        <v>142</v>
      </c>
    </row>
    <row r="379" spans="1:2" x14ac:dyDescent="0.25">
      <c r="A379" s="1"/>
      <c r="B379" t="s">
        <v>503</v>
      </c>
    </row>
    <row r="380" spans="1:2" x14ac:dyDescent="0.25">
      <c r="A380" s="1"/>
      <c r="B380" t="s">
        <v>251</v>
      </c>
    </row>
    <row r="381" spans="1:2" x14ac:dyDescent="0.25">
      <c r="A381" s="1"/>
      <c r="B381" t="s">
        <v>120</v>
      </c>
    </row>
    <row r="382" spans="1:2" x14ac:dyDescent="0.25">
      <c r="A382" s="1"/>
      <c r="B382" t="s">
        <v>233</v>
      </c>
    </row>
    <row r="383" spans="1:2" x14ac:dyDescent="0.25">
      <c r="A383" s="1"/>
      <c r="B383" t="s">
        <v>530</v>
      </c>
    </row>
    <row r="384" spans="1:2" x14ac:dyDescent="0.25">
      <c r="A384" s="1"/>
      <c r="B384" t="s">
        <v>801</v>
      </c>
    </row>
    <row r="385" spans="1:2" x14ac:dyDescent="0.25">
      <c r="A385" s="1"/>
      <c r="B385" t="s">
        <v>433</v>
      </c>
    </row>
    <row r="386" spans="1:2" x14ac:dyDescent="0.25">
      <c r="A386" s="1"/>
      <c r="B386" t="s">
        <v>802</v>
      </c>
    </row>
    <row r="387" spans="1:2" x14ac:dyDescent="0.25">
      <c r="A387" s="1" t="s">
        <v>7981</v>
      </c>
      <c r="B387" t="s">
        <v>7982</v>
      </c>
    </row>
    <row r="388" spans="1:2" x14ac:dyDescent="0.25">
      <c r="A388" s="1"/>
      <c r="B388" t="s">
        <v>217</v>
      </c>
    </row>
    <row r="389" spans="1:2" x14ac:dyDescent="0.25">
      <c r="A389" s="1"/>
      <c r="B389" t="s">
        <v>743</v>
      </c>
    </row>
    <row r="390" spans="1:2" x14ac:dyDescent="0.25">
      <c r="A390" s="1"/>
      <c r="B390" t="s">
        <v>803</v>
      </c>
    </row>
    <row r="391" spans="1:2" x14ac:dyDescent="0.25">
      <c r="A391" s="1"/>
      <c r="B391" t="s">
        <v>185</v>
      </c>
    </row>
    <row r="392" spans="1:2" x14ac:dyDescent="0.25">
      <c r="A392" s="1"/>
      <c r="B392" t="s">
        <v>155</v>
      </c>
    </row>
    <row r="393" spans="1:2" x14ac:dyDescent="0.25">
      <c r="A393" s="1" t="s">
        <v>804</v>
      </c>
      <c r="B393" t="s">
        <v>805</v>
      </c>
    </row>
    <row r="394" spans="1:2" x14ac:dyDescent="0.25">
      <c r="A394" s="1"/>
      <c r="B394" t="s">
        <v>806</v>
      </c>
    </row>
    <row r="395" spans="1:2" x14ac:dyDescent="0.25">
      <c r="A395" s="1"/>
      <c r="B395" t="s">
        <v>431</v>
      </c>
    </row>
    <row r="396" spans="1:2" x14ac:dyDescent="0.25">
      <c r="A396" s="1"/>
      <c r="B396" t="s">
        <v>132</v>
      </c>
    </row>
    <row r="397" spans="1:2" x14ac:dyDescent="0.25">
      <c r="A397" s="1"/>
      <c r="B397" t="s">
        <v>457</v>
      </c>
    </row>
    <row r="398" spans="1:2" x14ac:dyDescent="0.25">
      <c r="A398" s="1" t="s">
        <v>807</v>
      </c>
      <c r="B398" t="s">
        <v>808</v>
      </c>
    </row>
    <row r="399" spans="1:2" x14ac:dyDescent="0.25">
      <c r="A399" s="1" t="s">
        <v>809</v>
      </c>
      <c r="B399" t="s">
        <v>810</v>
      </c>
    </row>
    <row r="400" spans="1:2" x14ac:dyDescent="0.25">
      <c r="A400" s="1"/>
      <c r="B400" t="s">
        <v>126</v>
      </c>
    </row>
    <row r="401" spans="1:2" x14ac:dyDescent="0.25">
      <c r="A401" s="1"/>
      <c r="B401" t="s">
        <v>96</v>
      </c>
    </row>
    <row r="402" spans="1:2" x14ac:dyDescent="0.25">
      <c r="A402" s="1"/>
      <c r="B402" t="s">
        <v>229</v>
      </c>
    </row>
    <row r="403" spans="1:2" x14ac:dyDescent="0.25">
      <c r="A403" s="1"/>
      <c r="B403" t="s">
        <v>144</v>
      </c>
    </row>
    <row r="404" spans="1:2" x14ac:dyDescent="0.25">
      <c r="A404" s="1"/>
      <c r="B404" t="s">
        <v>163</v>
      </c>
    </row>
    <row r="405" spans="1:2" x14ac:dyDescent="0.25">
      <c r="A405" s="1"/>
      <c r="B405" t="s">
        <v>548</v>
      </c>
    </row>
    <row r="406" spans="1:2" x14ac:dyDescent="0.25">
      <c r="A406" s="1"/>
      <c r="B406" t="s">
        <v>620</v>
      </c>
    </row>
    <row r="407" spans="1:2" x14ac:dyDescent="0.25">
      <c r="A407" s="1"/>
      <c r="B407" t="s">
        <v>811</v>
      </c>
    </row>
    <row r="408" spans="1:2" x14ac:dyDescent="0.25">
      <c r="A408" s="1"/>
      <c r="B408" t="s">
        <v>461</v>
      </c>
    </row>
    <row r="409" spans="1:2" x14ac:dyDescent="0.25">
      <c r="A409" s="1"/>
      <c r="B409" t="s">
        <v>812</v>
      </c>
    </row>
    <row r="410" spans="1:2" x14ac:dyDescent="0.25">
      <c r="A410" s="1"/>
      <c r="B410" t="s">
        <v>349</v>
      </c>
    </row>
    <row r="411" spans="1:2" x14ac:dyDescent="0.25">
      <c r="A411" s="1" t="s">
        <v>813</v>
      </c>
      <c r="B411" t="s">
        <v>814</v>
      </c>
    </row>
    <row r="412" spans="1:2" x14ac:dyDescent="0.25">
      <c r="A412" s="1"/>
      <c r="B412" t="s">
        <v>815</v>
      </c>
    </row>
    <row r="413" spans="1:2" x14ac:dyDescent="0.25">
      <c r="A413" s="1"/>
      <c r="B413" t="s">
        <v>816</v>
      </c>
    </row>
    <row r="414" spans="1:2" x14ac:dyDescent="0.25">
      <c r="A414" s="1"/>
      <c r="B414" t="s">
        <v>128</v>
      </c>
    </row>
    <row r="415" spans="1:2" x14ac:dyDescent="0.25">
      <c r="A415" s="1"/>
      <c r="B415" t="s">
        <v>817</v>
      </c>
    </row>
    <row r="416" spans="1:2" x14ac:dyDescent="0.25">
      <c r="A416" s="1" t="s">
        <v>818</v>
      </c>
      <c r="B416" t="s">
        <v>819</v>
      </c>
    </row>
    <row r="417" spans="1:2" x14ac:dyDescent="0.25">
      <c r="A417" s="1"/>
      <c r="B417" t="s">
        <v>820</v>
      </c>
    </row>
    <row r="418" spans="1:2" x14ac:dyDescent="0.25">
      <c r="A418" s="1"/>
      <c r="B418" t="s">
        <v>821</v>
      </c>
    </row>
    <row r="419" spans="1:2" x14ac:dyDescent="0.25">
      <c r="A419" s="1"/>
      <c r="B419" t="s">
        <v>822</v>
      </c>
    </row>
    <row r="420" spans="1:2" x14ac:dyDescent="0.25">
      <c r="A420" s="1"/>
      <c r="B420" t="s">
        <v>626</v>
      </c>
    </row>
    <row r="421" spans="1:2" x14ac:dyDescent="0.25">
      <c r="A421" s="1"/>
      <c r="B421" t="s">
        <v>245</v>
      </c>
    </row>
    <row r="422" spans="1:2" x14ac:dyDescent="0.25">
      <c r="A422" s="1"/>
      <c r="B422" t="s">
        <v>823</v>
      </c>
    </row>
    <row r="423" spans="1:2" x14ac:dyDescent="0.25">
      <c r="A423" s="1"/>
      <c r="B423" t="s">
        <v>824</v>
      </c>
    </row>
    <row r="424" spans="1:2" x14ac:dyDescent="0.25">
      <c r="A424" s="1" t="s">
        <v>825</v>
      </c>
      <c r="B424" t="s">
        <v>826</v>
      </c>
    </row>
    <row r="425" spans="1:2" x14ac:dyDescent="0.25">
      <c r="A425" s="1" t="s">
        <v>827</v>
      </c>
      <c r="B425" t="s">
        <v>828</v>
      </c>
    </row>
    <row r="426" spans="1:2" x14ac:dyDescent="0.25">
      <c r="A426" s="1"/>
      <c r="B426" t="s">
        <v>325</v>
      </c>
    </row>
    <row r="427" spans="1:2" x14ac:dyDescent="0.25">
      <c r="A427" s="1"/>
      <c r="B427" t="s">
        <v>98</v>
      </c>
    </row>
    <row r="428" spans="1:2" x14ac:dyDescent="0.25">
      <c r="A428" s="1"/>
      <c r="B428" t="s">
        <v>134</v>
      </c>
    </row>
    <row r="429" spans="1:2" x14ac:dyDescent="0.25">
      <c r="A429" s="1"/>
      <c r="B429" t="s">
        <v>717</v>
      </c>
    </row>
    <row r="430" spans="1:2" x14ac:dyDescent="0.25">
      <c r="A430" s="1" t="s">
        <v>829</v>
      </c>
      <c r="B430" t="s">
        <v>830</v>
      </c>
    </row>
    <row r="431" spans="1:2" x14ac:dyDescent="0.25">
      <c r="A431" s="1"/>
      <c r="B431" t="s">
        <v>735</v>
      </c>
    </row>
    <row r="432" spans="1:2" x14ac:dyDescent="0.25">
      <c r="A432" s="1"/>
      <c r="B432" t="s">
        <v>653</v>
      </c>
    </row>
    <row r="433" spans="1:2" x14ac:dyDescent="0.25">
      <c r="A433" s="1" t="s">
        <v>831</v>
      </c>
      <c r="B433" t="s">
        <v>832</v>
      </c>
    </row>
    <row r="434" spans="1:2" x14ac:dyDescent="0.25">
      <c r="A434" s="1" t="s">
        <v>833</v>
      </c>
      <c r="B434" t="s">
        <v>834</v>
      </c>
    </row>
    <row r="435" spans="1:2" x14ac:dyDescent="0.25">
      <c r="A435" s="1"/>
      <c r="B435" t="s">
        <v>223</v>
      </c>
    </row>
    <row r="436" spans="1:2" x14ac:dyDescent="0.25">
      <c r="A436" s="1"/>
      <c r="B436" t="s">
        <v>104</v>
      </c>
    </row>
    <row r="437" spans="1:2" x14ac:dyDescent="0.25">
      <c r="A437" s="1" t="s">
        <v>835</v>
      </c>
      <c r="B437" t="s">
        <v>836</v>
      </c>
    </row>
    <row r="438" spans="1:2" x14ac:dyDescent="0.25">
      <c r="A438" s="1"/>
      <c r="B438" t="s">
        <v>243</v>
      </c>
    </row>
    <row r="439" spans="1:2" x14ac:dyDescent="0.25">
      <c r="A439" s="1" t="s">
        <v>837</v>
      </c>
      <c r="B439" t="s">
        <v>838</v>
      </c>
    </row>
    <row r="440" spans="1:2" x14ac:dyDescent="0.25">
      <c r="A440" s="1"/>
      <c r="B440" t="s">
        <v>839</v>
      </c>
    </row>
    <row r="441" spans="1:2" x14ac:dyDescent="0.25">
      <c r="A441" s="1"/>
      <c r="B441" t="s">
        <v>249</v>
      </c>
    </row>
    <row r="442" spans="1:2" x14ac:dyDescent="0.25">
      <c r="A442" s="1" t="s">
        <v>840</v>
      </c>
      <c r="B442" t="s">
        <v>841</v>
      </c>
    </row>
    <row r="443" spans="1:2" x14ac:dyDescent="0.25">
      <c r="A443" s="1"/>
      <c r="B443" t="s">
        <v>842</v>
      </c>
    </row>
    <row r="444" spans="1:2" x14ac:dyDescent="0.25">
      <c r="A444" s="1"/>
      <c r="B444" t="s">
        <v>86</v>
      </c>
    </row>
    <row r="445" spans="1:2" x14ac:dyDescent="0.25">
      <c r="A445" s="1"/>
      <c r="B445" t="s">
        <v>843</v>
      </c>
    </row>
    <row r="446" spans="1:2" x14ac:dyDescent="0.25">
      <c r="A446" s="1" t="s">
        <v>844</v>
      </c>
      <c r="B446" t="s">
        <v>845</v>
      </c>
    </row>
    <row r="447" spans="1:2" x14ac:dyDescent="0.25">
      <c r="A447" s="1"/>
      <c r="B447" t="s">
        <v>703</v>
      </c>
    </row>
    <row r="448" spans="1:2" x14ac:dyDescent="0.25">
      <c r="A448" s="1"/>
      <c r="B448" t="s">
        <v>618</v>
      </c>
    </row>
    <row r="449" spans="1:2" x14ac:dyDescent="0.25">
      <c r="A449" s="1"/>
      <c r="B449" t="s">
        <v>572</v>
      </c>
    </row>
    <row r="450" spans="1:2" x14ac:dyDescent="0.25">
      <c r="A450" s="1"/>
      <c r="B450" t="s">
        <v>305</v>
      </c>
    </row>
    <row r="451" spans="1:2" x14ac:dyDescent="0.25">
      <c r="A451" s="1"/>
      <c r="B451" t="s">
        <v>705</v>
      </c>
    </row>
    <row r="452" spans="1:2" x14ac:dyDescent="0.25">
      <c r="A452" s="1"/>
      <c r="B452" t="s">
        <v>846</v>
      </c>
    </row>
    <row r="453" spans="1:2" x14ac:dyDescent="0.25">
      <c r="A453" s="1"/>
      <c r="B453" t="s">
        <v>505</v>
      </c>
    </row>
    <row r="454" spans="1:2" x14ac:dyDescent="0.25">
      <c r="A454" s="1" t="s">
        <v>847</v>
      </c>
      <c r="B454" t="s">
        <v>848</v>
      </c>
    </row>
    <row r="455" spans="1:2" x14ac:dyDescent="0.25">
      <c r="A455" s="1"/>
      <c r="B455" t="s">
        <v>849</v>
      </c>
    </row>
    <row r="456" spans="1:2" x14ac:dyDescent="0.25">
      <c r="A456" s="1"/>
      <c r="B456" t="s">
        <v>850</v>
      </c>
    </row>
    <row r="457" spans="1:2" x14ac:dyDescent="0.25">
      <c r="A457" s="1"/>
      <c r="B457" t="s">
        <v>295</v>
      </c>
    </row>
    <row r="458" spans="1:2" x14ac:dyDescent="0.25">
      <c r="A458" s="1"/>
      <c r="B458" t="s">
        <v>851</v>
      </c>
    </row>
    <row r="459" spans="1:2" x14ac:dyDescent="0.25">
      <c r="A459" s="1"/>
      <c r="B459" t="s">
        <v>345</v>
      </c>
    </row>
    <row r="460" spans="1:2" x14ac:dyDescent="0.25">
      <c r="A460" s="1" t="s">
        <v>852</v>
      </c>
      <c r="B460" t="s">
        <v>853</v>
      </c>
    </row>
    <row r="461" spans="1:2" x14ac:dyDescent="0.25">
      <c r="A461" s="1"/>
      <c r="B461" t="s">
        <v>221</v>
      </c>
    </row>
    <row r="462" spans="1:2" x14ac:dyDescent="0.25">
      <c r="A462" s="1"/>
      <c r="B462" t="s">
        <v>483</v>
      </c>
    </row>
    <row r="463" spans="1:2" x14ac:dyDescent="0.25">
      <c r="A463" s="1"/>
      <c r="B463" t="s">
        <v>721</v>
      </c>
    </row>
    <row r="464" spans="1:2" x14ac:dyDescent="0.25">
      <c r="A464" s="1"/>
      <c r="B464" t="s">
        <v>367</v>
      </c>
    </row>
    <row r="465" spans="1:2" x14ac:dyDescent="0.25">
      <c r="A465" s="1"/>
      <c r="B465" t="s">
        <v>854</v>
      </c>
    </row>
    <row r="466" spans="1:2" x14ac:dyDescent="0.25">
      <c r="A466" s="1"/>
      <c r="B466" t="s">
        <v>429</v>
      </c>
    </row>
    <row r="467" spans="1:2" x14ac:dyDescent="0.25">
      <c r="A467" s="1"/>
      <c r="B467" t="s">
        <v>427</v>
      </c>
    </row>
    <row r="468" spans="1:2" x14ac:dyDescent="0.25">
      <c r="A468" s="1"/>
      <c r="B468" t="s">
        <v>855</v>
      </c>
    </row>
    <row r="469" spans="1:2" x14ac:dyDescent="0.25">
      <c r="A469" s="1"/>
      <c r="B469" t="s">
        <v>856</v>
      </c>
    </row>
    <row r="470" spans="1:2" x14ac:dyDescent="0.25">
      <c r="A470" s="1"/>
      <c r="B470" t="s">
        <v>385</v>
      </c>
    </row>
    <row r="471" spans="1:2" x14ac:dyDescent="0.25">
      <c r="A471" s="1"/>
      <c r="B471" t="s">
        <v>857</v>
      </c>
    </row>
    <row r="472" spans="1:2" x14ac:dyDescent="0.25">
      <c r="A472" s="1"/>
      <c r="B472" t="s">
        <v>858</v>
      </c>
    </row>
    <row r="473" spans="1:2" x14ac:dyDescent="0.25">
      <c r="A473" s="1"/>
      <c r="B473" t="s">
        <v>596</v>
      </c>
    </row>
    <row r="474" spans="1:2" x14ac:dyDescent="0.25">
      <c r="A474" s="1" t="s">
        <v>859</v>
      </c>
      <c r="B474" t="s">
        <v>860</v>
      </c>
    </row>
    <row r="475" spans="1:2" x14ac:dyDescent="0.25">
      <c r="A475" s="1" t="s">
        <v>861</v>
      </c>
      <c r="B475" t="s">
        <v>862</v>
      </c>
    </row>
    <row r="476" spans="1:2" x14ac:dyDescent="0.25">
      <c r="A476" s="1"/>
      <c r="B476" t="s">
        <v>471</v>
      </c>
    </row>
    <row r="477" spans="1:2" x14ac:dyDescent="0.25">
      <c r="A477" s="1"/>
      <c r="B477" t="s">
        <v>441</v>
      </c>
    </row>
    <row r="478" spans="1:2" x14ac:dyDescent="0.25">
      <c r="A478" s="1"/>
      <c r="B478" t="s">
        <v>863</v>
      </c>
    </row>
    <row r="479" spans="1:2" x14ac:dyDescent="0.25">
      <c r="A479" s="1"/>
      <c r="B479" t="s">
        <v>864</v>
      </c>
    </row>
    <row r="480" spans="1:2" x14ac:dyDescent="0.25">
      <c r="A480" s="1"/>
      <c r="B480" t="s">
        <v>586</v>
      </c>
    </row>
    <row r="481" spans="1:2" x14ac:dyDescent="0.25">
      <c r="A481" s="1"/>
      <c r="B481" t="s">
        <v>763</v>
      </c>
    </row>
    <row r="482" spans="1:2" x14ac:dyDescent="0.25">
      <c r="A482" s="1"/>
      <c r="B482" t="s">
        <v>737</v>
      </c>
    </row>
    <row r="483" spans="1:2" x14ac:dyDescent="0.25">
      <c r="A483" s="1"/>
      <c r="B483" t="s">
        <v>80</v>
      </c>
    </row>
    <row r="484" spans="1:2" x14ac:dyDescent="0.25">
      <c r="A484" s="1" t="s">
        <v>865</v>
      </c>
      <c r="B484" t="s">
        <v>866</v>
      </c>
    </row>
    <row r="485" spans="1:2" x14ac:dyDescent="0.25">
      <c r="A485" s="1"/>
      <c r="B485" t="s">
        <v>399</v>
      </c>
    </row>
    <row r="486" spans="1:2" x14ac:dyDescent="0.25">
      <c r="A486" s="1"/>
      <c r="B486" t="s">
        <v>632</v>
      </c>
    </row>
    <row r="487" spans="1:2" x14ac:dyDescent="0.25">
      <c r="A487" s="1"/>
      <c r="B487" t="s">
        <v>783</v>
      </c>
    </row>
    <row r="488" spans="1:2" x14ac:dyDescent="0.25">
      <c r="A488" s="1"/>
      <c r="B488" t="s">
        <v>315</v>
      </c>
    </row>
    <row r="489" spans="1:2" x14ac:dyDescent="0.25">
      <c r="A489" s="1"/>
      <c r="B489" t="s">
        <v>122</v>
      </c>
    </row>
    <row r="490" spans="1:2" x14ac:dyDescent="0.25">
      <c r="A490" s="1"/>
      <c r="B490" t="s">
        <v>499</v>
      </c>
    </row>
    <row r="491" spans="1:2" x14ac:dyDescent="0.25">
      <c r="A491" s="1" t="s">
        <v>867</v>
      </c>
      <c r="B491" t="s">
        <v>868</v>
      </c>
    </row>
    <row r="492" spans="1:2" x14ac:dyDescent="0.25">
      <c r="A492" s="1"/>
      <c r="B492" t="s">
        <v>701</v>
      </c>
    </row>
    <row r="493" spans="1:2" x14ac:dyDescent="0.25">
      <c r="A493" s="1"/>
      <c r="B493" t="s">
        <v>481</v>
      </c>
    </row>
    <row r="494" spans="1:2" x14ac:dyDescent="0.25">
      <c r="A494" s="1"/>
      <c r="B494" t="s">
        <v>347</v>
      </c>
    </row>
    <row r="495" spans="1:2" x14ac:dyDescent="0.25">
      <c r="A495" s="1"/>
      <c r="B495" t="s">
        <v>634</v>
      </c>
    </row>
    <row r="496" spans="1:2" x14ac:dyDescent="0.25">
      <c r="A496" s="1"/>
      <c r="B496" t="s">
        <v>594</v>
      </c>
    </row>
    <row r="497" spans="1:2" x14ac:dyDescent="0.25">
      <c r="A497" s="1"/>
      <c r="B497" t="s">
        <v>489</v>
      </c>
    </row>
    <row r="498" spans="1:2" x14ac:dyDescent="0.25">
      <c r="A498" s="1" t="s">
        <v>869</v>
      </c>
      <c r="B498" t="s">
        <v>870</v>
      </c>
    </row>
    <row r="499" spans="1:2" x14ac:dyDescent="0.25">
      <c r="A499" s="1" t="s">
        <v>871</v>
      </c>
      <c r="B499" t="s">
        <v>872</v>
      </c>
    </row>
    <row r="500" spans="1:2" x14ac:dyDescent="0.25">
      <c r="A500" s="1"/>
      <c r="B500" t="s">
        <v>779</v>
      </c>
    </row>
    <row r="501" spans="1:2" x14ac:dyDescent="0.25">
      <c r="A501" s="1"/>
      <c r="B501" t="s">
        <v>343</v>
      </c>
    </row>
    <row r="502" spans="1:2" x14ac:dyDescent="0.25">
      <c r="A502" s="1"/>
      <c r="B502" t="s">
        <v>695</v>
      </c>
    </row>
    <row r="503" spans="1:2" x14ac:dyDescent="0.25">
      <c r="A503" s="1"/>
      <c r="B503" t="s">
        <v>241</v>
      </c>
    </row>
    <row r="504" spans="1:2" x14ac:dyDescent="0.25">
      <c r="A504" s="1"/>
      <c r="B504" t="s">
        <v>453</v>
      </c>
    </row>
    <row r="505" spans="1:2" x14ac:dyDescent="0.25">
      <c r="A505" s="1"/>
      <c r="B505" t="s">
        <v>775</v>
      </c>
    </row>
    <row r="506" spans="1:2" x14ac:dyDescent="0.25">
      <c r="A506" s="1" t="s">
        <v>873</v>
      </c>
      <c r="B506" t="s">
        <v>874</v>
      </c>
    </row>
    <row r="507" spans="1:2" x14ac:dyDescent="0.25">
      <c r="A507" s="1"/>
      <c r="B507" t="s">
        <v>391</v>
      </c>
    </row>
    <row r="508" spans="1:2" x14ac:dyDescent="0.25">
      <c r="A508" s="1"/>
      <c r="B508" t="s">
        <v>136</v>
      </c>
    </row>
    <row r="509" spans="1:2" x14ac:dyDescent="0.25">
      <c r="A509" s="1"/>
      <c r="B509" t="s">
        <v>552</v>
      </c>
    </row>
    <row r="510" spans="1:2" x14ac:dyDescent="0.25">
      <c r="A510" s="1"/>
      <c r="B510" t="s">
        <v>560</v>
      </c>
    </row>
    <row r="511" spans="1:2" x14ac:dyDescent="0.25">
      <c r="A511" s="1" t="s">
        <v>875</v>
      </c>
      <c r="B511" t="s">
        <v>876</v>
      </c>
    </row>
    <row r="512" spans="1:2" x14ac:dyDescent="0.25">
      <c r="A512" s="1"/>
      <c r="B512" t="s">
        <v>443</v>
      </c>
    </row>
    <row r="513" spans="1:2" x14ac:dyDescent="0.25">
      <c r="A513" s="1" t="s">
        <v>8056</v>
      </c>
      <c r="B513" t="s">
        <v>8057</v>
      </c>
    </row>
    <row r="514" spans="1:2" x14ac:dyDescent="0.25">
      <c r="A514" s="1"/>
      <c r="B514" t="s">
        <v>562</v>
      </c>
    </row>
    <row r="515" spans="1:2" x14ac:dyDescent="0.25">
      <c r="A515" s="1"/>
      <c r="B515" t="s">
        <v>715</v>
      </c>
    </row>
    <row r="516" spans="1:2" x14ac:dyDescent="0.25">
      <c r="A516" s="1"/>
      <c r="B516" t="s">
        <v>566</v>
      </c>
    </row>
    <row r="517" spans="1:2" x14ac:dyDescent="0.25">
      <c r="A517" s="1"/>
      <c r="B517" t="s">
        <v>445</v>
      </c>
    </row>
    <row r="518" spans="1:2" x14ac:dyDescent="0.25">
      <c r="A518" s="1"/>
      <c r="B518" t="s">
        <v>877</v>
      </c>
    </row>
    <row r="519" spans="1:2" x14ac:dyDescent="0.25">
      <c r="A519" s="1" t="s">
        <v>878</v>
      </c>
      <c r="B519" t="s">
        <v>879</v>
      </c>
    </row>
    <row r="520" spans="1:2" x14ac:dyDescent="0.25">
      <c r="A520" s="1" t="s">
        <v>880</v>
      </c>
      <c r="B520" t="s">
        <v>881</v>
      </c>
    </row>
    <row r="521" spans="1:2" x14ac:dyDescent="0.25">
      <c r="A521" s="1"/>
      <c r="B521" t="s">
        <v>439</v>
      </c>
    </row>
    <row r="522" spans="1:2" x14ac:dyDescent="0.25">
      <c r="A522" s="1" t="s">
        <v>882</v>
      </c>
      <c r="B522" t="s">
        <v>883</v>
      </c>
    </row>
    <row r="523" spans="1:2" x14ac:dyDescent="0.25">
      <c r="A523" s="1"/>
      <c r="B523" t="s">
        <v>493</v>
      </c>
    </row>
    <row r="524" spans="1:2" x14ac:dyDescent="0.25">
      <c r="A524" s="1"/>
      <c r="B524" t="s">
        <v>257</v>
      </c>
    </row>
    <row r="525" spans="1:2" x14ac:dyDescent="0.25">
      <c r="A525" s="1"/>
      <c r="B525" t="s">
        <v>526</v>
      </c>
    </row>
    <row r="526" spans="1:2" x14ac:dyDescent="0.25">
      <c r="A526" s="1" t="s">
        <v>7939</v>
      </c>
      <c r="B526" t="s">
        <v>359</v>
      </c>
    </row>
    <row r="527" spans="1:2" x14ac:dyDescent="0.25">
      <c r="A527" s="1"/>
      <c r="B527" t="s">
        <v>329</v>
      </c>
    </row>
    <row r="528" spans="1:2" x14ac:dyDescent="0.25">
      <c r="A528" s="1"/>
      <c r="B528" t="s">
        <v>88</v>
      </c>
    </row>
    <row r="529" spans="1:2" x14ac:dyDescent="0.25">
      <c r="A529" s="1"/>
      <c r="B529" t="s">
        <v>487</v>
      </c>
    </row>
    <row r="530" spans="1:2" x14ac:dyDescent="0.25">
      <c r="A530" s="1"/>
      <c r="B530" t="s">
        <v>82</v>
      </c>
    </row>
    <row r="531" spans="1:2" x14ac:dyDescent="0.25">
      <c r="A531" s="1"/>
      <c r="B531" t="s">
        <v>884</v>
      </c>
    </row>
    <row r="532" spans="1:2" x14ac:dyDescent="0.25">
      <c r="A532" s="1" t="s">
        <v>885</v>
      </c>
      <c r="B532" t="s">
        <v>886</v>
      </c>
    </row>
    <row r="533" spans="1:2" x14ac:dyDescent="0.25">
      <c r="A533" s="1"/>
      <c r="B533" t="s">
        <v>309</v>
      </c>
    </row>
    <row r="534" spans="1:2" x14ac:dyDescent="0.25">
      <c r="A534" s="1"/>
      <c r="B534" t="s">
        <v>237</v>
      </c>
    </row>
    <row r="535" spans="1:2" x14ac:dyDescent="0.25">
      <c r="A535" s="1"/>
      <c r="B535" t="s">
        <v>887</v>
      </c>
    </row>
    <row r="536" spans="1:2" x14ac:dyDescent="0.25">
      <c r="A536" s="1" t="s">
        <v>888</v>
      </c>
      <c r="B536" t="s">
        <v>889</v>
      </c>
    </row>
    <row r="537" spans="1:2" x14ac:dyDescent="0.25">
      <c r="A537" s="1" t="s">
        <v>7966</v>
      </c>
      <c r="B537" t="s">
        <v>890</v>
      </c>
    </row>
    <row r="538" spans="1:2" x14ac:dyDescent="0.25">
      <c r="A538" s="1" t="s">
        <v>7930</v>
      </c>
      <c r="B538" t="s">
        <v>785</v>
      </c>
    </row>
    <row r="539" spans="1:2" x14ac:dyDescent="0.25">
      <c r="A539" s="1"/>
      <c r="B539" t="s">
        <v>393</v>
      </c>
    </row>
    <row r="540" spans="1:2" x14ac:dyDescent="0.25">
      <c r="A540" s="1"/>
      <c r="B540" t="s">
        <v>311</v>
      </c>
    </row>
    <row r="541" spans="1:2" x14ac:dyDescent="0.25">
      <c r="A541" s="1" t="s">
        <v>891</v>
      </c>
      <c r="B541" t="s">
        <v>892</v>
      </c>
    </row>
    <row r="542" spans="1:2" x14ac:dyDescent="0.25">
      <c r="A542" s="1"/>
      <c r="B542" t="s">
        <v>495</v>
      </c>
    </row>
    <row r="543" spans="1:2" x14ac:dyDescent="0.25">
      <c r="A543" s="1" t="s">
        <v>8048</v>
      </c>
      <c r="B543" t="s">
        <v>8066</v>
      </c>
    </row>
    <row r="544" spans="1:2" x14ac:dyDescent="0.25">
      <c r="A544" s="1"/>
      <c r="B544" t="s">
        <v>403</v>
      </c>
    </row>
    <row r="545" spans="1:2" x14ac:dyDescent="0.25">
      <c r="A545" s="1" t="s">
        <v>893</v>
      </c>
      <c r="B545" t="s">
        <v>894</v>
      </c>
    </row>
    <row r="546" spans="1:2" x14ac:dyDescent="0.25">
      <c r="A546" s="1"/>
      <c r="B546" t="s">
        <v>725</v>
      </c>
    </row>
    <row r="547" spans="1:2" x14ac:dyDescent="0.25">
      <c r="A547" s="1" t="s">
        <v>8006</v>
      </c>
      <c r="B547" t="s">
        <v>895</v>
      </c>
    </row>
    <row r="548" spans="1:2" x14ac:dyDescent="0.25">
      <c r="A548" s="1"/>
      <c r="B548" t="s">
        <v>896</v>
      </c>
    </row>
    <row r="549" spans="1:2" x14ac:dyDescent="0.25">
      <c r="A549" s="1"/>
      <c r="B549" t="s">
        <v>285</v>
      </c>
    </row>
    <row r="550" spans="1:2" x14ac:dyDescent="0.25">
      <c r="A550" s="1" t="s">
        <v>897</v>
      </c>
      <c r="B550" t="s">
        <v>898</v>
      </c>
    </row>
    <row r="551" spans="1:2" x14ac:dyDescent="0.25">
      <c r="A551" s="1"/>
      <c r="B551" t="s">
        <v>259</v>
      </c>
    </row>
    <row r="552" spans="1:2" x14ac:dyDescent="0.25">
      <c r="A552" s="1"/>
      <c r="B552" t="s">
        <v>106</v>
      </c>
    </row>
    <row r="553" spans="1:2" x14ac:dyDescent="0.25">
      <c r="A553" s="1" t="s">
        <v>899</v>
      </c>
      <c r="B553" t="s">
        <v>900</v>
      </c>
    </row>
    <row r="554" spans="1:2" x14ac:dyDescent="0.25">
      <c r="A554" s="1"/>
      <c r="B554" t="s">
        <v>331</v>
      </c>
    </row>
    <row r="555" spans="1:2" x14ac:dyDescent="0.25">
      <c r="A555" s="1" t="s">
        <v>901</v>
      </c>
      <c r="B555" t="s">
        <v>902</v>
      </c>
    </row>
    <row r="556" spans="1:2" x14ac:dyDescent="0.25">
      <c r="A556" s="1" t="s">
        <v>903</v>
      </c>
      <c r="B556" t="s">
        <v>904</v>
      </c>
    </row>
    <row r="557" spans="1:2" x14ac:dyDescent="0.25">
      <c r="A557" s="1"/>
      <c r="B557" t="s">
        <v>691</v>
      </c>
    </row>
    <row r="558" spans="1:2" x14ac:dyDescent="0.25">
      <c r="A558" s="1"/>
      <c r="B558" t="s">
        <v>514</v>
      </c>
    </row>
    <row r="559" spans="1:2" x14ac:dyDescent="0.25">
      <c r="A559" s="1"/>
      <c r="B559" t="s">
        <v>905</v>
      </c>
    </row>
    <row r="560" spans="1:2" x14ac:dyDescent="0.25">
      <c r="A560" s="1"/>
      <c r="B560" t="s">
        <v>906</v>
      </c>
    </row>
    <row r="561" spans="1:2" x14ac:dyDescent="0.25">
      <c r="A561" s="1"/>
      <c r="B561" t="s">
        <v>92</v>
      </c>
    </row>
    <row r="562" spans="1:2" x14ac:dyDescent="0.25">
      <c r="A562" s="1"/>
      <c r="B562" t="s">
        <v>639</v>
      </c>
    </row>
    <row r="563" spans="1:2" x14ac:dyDescent="0.25">
      <c r="A563" s="1"/>
      <c r="B563" t="s">
        <v>719</v>
      </c>
    </row>
    <row r="564" spans="1:2" x14ac:dyDescent="0.25">
      <c r="A564" s="1" t="s">
        <v>907</v>
      </c>
      <c r="B564" t="s">
        <v>908</v>
      </c>
    </row>
    <row r="565" spans="1:2" x14ac:dyDescent="0.25">
      <c r="A565" s="1" t="s">
        <v>909</v>
      </c>
      <c r="B565" t="s">
        <v>910</v>
      </c>
    </row>
    <row r="566" spans="1:2" x14ac:dyDescent="0.25">
      <c r="A566" s="1" t="s">
        <v>911</v>
      </c>
      <c r="B566" t="s">
        <v>912</v>
      </c>
    </row>
    <row r="567" spans="1:2" x14ac:dyDescent="0.25">
      <c r="A567" s="1"/>
      <c r="B567" t="s">
        <v>713</v>
      </c>
    </row>
    <row r="568" spans="1:2" x14ac:dyDescent="0.25">
      <c r="A568" s="1"/>
      <c r="B568" t="s">
        <v>913</v>
      </c>
    </row>
    <row r="569" spans="1:2" x14ac:dyDescent="0.25">
      <c r="A569" s="1" t="s">
        <v>914</v>
      </c>
      <c r="B569" t="s">
        <v>915</v>
      </c>
    </row>
    <row r="570" spans="1:2" x14ac:dyDescent="0.25">
      <c r="A570" s="1"/>
      <c r="B570" t="s">
        <v>570</v>
      </c>
    </row>
    <row r="571" spans="1:2" x14ac:dyDescent="0.25">
      <c r="A571" s="1"/>
      <c r="B571" t="s">
        <v>612</v>
      </c>
    </row>
    <row r="572" spans="1:2" x14ac:dyDescent="0.25">
      <c r="A572" s="1" t="s">
        <v>916</v>
      </c>
      <c r="B572" t="s">
        <v>917</v>
      </c>
    </row>
    <row r="573" spans="1:2" x14ac:dyDescent="0.25">
      <c r="A573" s="1"/>
      <c r="B573" t="s">
        <v>592</v>
      </c>
    </row>
    <row r="574" spans="1:2" x14ac:dyDescent="0.25">
      <c r="A574" s="1"/>
      <c r="B574" t="s">
        <v>918</v>
      </c>
    </row>
    <row r="575" spans="1:2" x14ac:dyDescent="0.25">
      <c r="A575" s="1"/>
      <c r="B575" t="s">
        <v>919</v>
      </c>
    </row>
    <row r="576" spans="1:2" x14ac:dyDescent="0.25">
      <c r="A576" s="1"/>
      <c r="B576" t="s">
        <v>659</v>
      </c>
    </row>
    <row r="577" spans="1:2" x14ac:dyDescent="0.25">
      <c r="A577" s="1"/>
      <c r="B577" t="s">
        <v>584</v>
      </c>
    </row>
    <row r="578" spans="1:2" x14ac:dyDescent="0.25">
      <c r="A578" s="1"/>
      <c r="B578" t="s">
        <v>651</v>
      </c>
    </row>
    <row r="579" spans="1:2" x14ac:dyDescent="0.25">
      <c r="A579" s="1"/>
      <c r="B579" t="s">
        <v>636</v>
      </c>
    </row>
    <row r="580" spans="1:2" x14ac:dyDescent="0.25">
      <c r="A580" s="1" t="s">
        <v>920</v>
      </c>
      <c r="B580" t="s">
        <v>921</v>
      </c>
    </row>
    <row r="581" spans="1:2" x14ac:dyDescent="0.25">
      <c r="A581" s="1"/>
      <c r="B581" t="s">
        <v>84</v>
      </c>
    </row>
    <row r="582" spans="1:2" x14ac:dyDescent="0.25">
      <c r="A582" s="1"/>
      <c r="B582" t="s">
        <v>922</v>
      </c>
    </row>
    <row r="583" spans="1:2" x14ac:dyDescent="0.25">
      <c r="A583" s="1" t="s">
        <v>923</v>
      </c>
      <c r="B583" t="s">
        <v>924</v>
      </c>
    </row>
    <row r="584" spans="1:2" x14ac:dyDescent="0.25">
      <c r="A584" s="1" t="s">
        <v>925</v>
      </c>
      <c r="B584" t="s">
        <v>926</v>
      </c>
    </row>
    <row r="585" spans="1:2" x14ac:dyDescent="0.25">
      <c r="A585" s="1" t="s">
        <v>927</v>
      </c>
      <c r="B585" t="s">
        <v>928</v>
      </c>
    </row>
    <row r="586" spans="1:2" x14ac:dyDescent="0.25">
      <c r="A586" s="1"/>
      <c r="B586" t="s">
        <v>271</v>
      </c>
    </row>
    <row r="587" spans="1:2" x14ac:dyDescent="0.25">
      <c r="A587" s="1"/>
      <c r="B587" t="s">
        <v>929</v>
      </c>
    </row>
    <row r="588" spans="1:2" x14ac:dyDescent="0.25">
      <c r="A588" s="1" t="s">
        <v>930</v>
      </c>
      <c r="B588" t="s">
        <v>931</v>
      </c>
    </row>
    <row r="589" spans="1:2" x14ac:dyDescent="0.25">
      <c r="A589" s="1"/>
      <c r="B589" t="s">
        <v>741</v>
      </c>
    </row>
    <row r="590" spans="1:2" x14ac:dyDescent="0.25">
      <c r="A590" s="1"/>
      <c r="B590" t="s">
        <v>357</v>
      </c>
    </row>
    <row r="591" spans="1:2" x14ac:dyDescent="0.25">
      <c r="A591" s="1"/>
      <c r="B591" t="s">
        <v>789</v>
      </c>
    </row>
    <row r="592" spans="1:2" x14ac:dyDescent="0.25">
      <c r="A592" s="1"/>
      <c r="B592" t="s">
        <v>323</v>
      </c>
    </row>
    <row r="593" spans="1:2" x14ac:dyDescent="0.25">
      <c r="A593" s="1"/>
      <c r="B593" t="s">
        <v>175</v>
      </c>
    </row>
    <row r="594" spans="1:2" x14ac:dyDescent="0.25">
      <c r="A594" s="1" t="s">
        <v>932</v>
      </c>
      <c r="B594" t="s">
        <v>933</v>
      </c>
    </row>
    <row r="595" spans="1:2" x14ac:dyDescent="0.25">
      <c r="A595" s="1"/>
      <c r="B595" t="s">
        <v>934</v>
      </c>
    </row>
    <row r="596" spans="1:2" x14ac:dyDescent="0.25">
      <c r="A596" s="1"/>
      <c r="B596" t="s">
        <v>935</v>
      </c>
    </row>
    <row r="597" spans="1:2" x14ac:dyDescent="0.25">
      <c r="A597" s="1" t="s">
        <v>936</v>
      </c>
      <c r="B597" t="s">
        <v>937</v>
      </c>
    </row>
    <row r="598" spans="1:2" x14ac:dyDescent="0.25">
      <c r="A598" s="1" t="s">
        <v>938</v>
      </c>
      <c r="B598" t="s">
        <v>939</v>
      </c>
    </row>
    <row r="599" spans="1:2" x14ac:dyDescent="0.25">
      <c r="A599" s="1" t="s">
        <v>940</v>
      </c>
      <c r="B599" t="s">
        <v>941</v>
      </c>
    </row>
    <row r="600" spans="1:2" x14ac:dyDescent="0.25">
      <c r="A600" s="1"/>
      <c r="B600" t="s">
        <v>363</v>
      </c>
    </row>
    <row r="601" spans="1:2" x14ac:dyDescent="0.25">
      <c r="A601" s="1"/>
      <c r="B601" t="s">
        <v>389</v>
      </c>
    </row>
    <row r="602" spans="1:2" x14ac:dyDescent="0.25">
      <c r="A602" s="1"/>
      <c r="B602" t="s">
        <v>655</v>
      </c>
    </row>
    <row r="603" spans="1:2" x14ac:dyDescent="0.25">
      <c r="A603" s="1"/>
      <c r="B603" t="s">
        <v>663</v>
      </c>
    </row>
    <row r="604" spans="1:2" x14ac:dyDescent="0.25">
      <c r="A604" s="1"/>
      <c r="B604" t="s">
        <v>942</v>
      </c>
    </row>
    <row r="605" spans="1:2" x14ac:dyDescent="0.25">
      <c r="A605" s="1"/>
      <c r="B605" t="s">
        <v>943</v>
      </c>
    </row>
    <row r="606" spans="1:2" x14ac:dyDescent="0.25">
      <c r="A606" s="1"/>
      <c r="B606" t="s">
        <v>167</v>
      </c>
    </row>
    <row r="607" spans="1:2" x14ac:dyDescent="0.25">
      <c r="A607" s="1" t="s">
        <v>944</v>
      </c>
      <c r="B607" t="s">
        <v>945</v>
      </c>
    </row>
    <row r="608" spans="1:2" x14ac:dyDescent="0.25">
      <c r="A608" s="1"/>
      <c r="B608" t="s">
        <v>638</v>
      </c>
    </row>
    <row r="609" spans="1:2" x14ac:dyDescent="0.25">
      <c r="A609" s="1"/>
      <c r="B609" t="s">
        <v>479</v>
      </c>
    </row>
    <row r="610" spans="1:2" x14ac:dyDescent="0.25">
      <c r="A610" s="1" t="s">
        <v>946</v>
      </c>
      <c r="B610" t="s">
        <v>947</v>
      </c>
    </row>
    <row r="611" spans="1:2" x14ac:dyDescent="0.25">
      <c r="A611" s="1" t="s">
        <v>948</v>
      </c>
      <c r="B611" t="s">
        <v>949</v>
      </c>
    </row>
    <row r="612" spans="1:2" x14ac:dyDescent="0.25">
      <c r="A612" s="1"/>
      <c r="B612" t="s">
        <v>950</v>
      </c>
    </row>
    <row r="613" spans="1:2" x14ac:dyDescent="0.25">
      <c r="A613" s="1"/>
      <c r="B613" t="s">
        <v>423</v>
      </c>
    </row>
    <row r="614" spans="1:2" x14ac:dyDescent="0.25">
      <c r="A614" s="1"/>
      <c r="B614" t="s">
        <v>951</v>
      </c>
    </row>
    <row r="615" spans="1:2" x14ac:dyDescent="0.25">
      <c r="A615" s="1" t="s">
        <v>952</v>
      </c>
      <c r="B615" t="s">
        <v>953</v>
      </c>
    </row>
    <row r="616" spans="1:2" x14ac:dyDescent="0.25">
      <c r="A616" s="1"/>
      <c r="B616" t="s">
        <v>954</v>
      </c>
    </row>
    <row r="617" spans="1:2" x14ac:dyDescent="0.25">
      <c r="A617" s="1"/>
      <c r="B617" t="s">
        <v>556</v>
      </c>
    </row>
    <row r="618" spans="1:2" x14ac:dyDescent="0.25">
      <c r="A618" s="1"/>
      <c r="B618" t="s">
        <v>213</v>
      </c>
    </row>
    <row r="619" spans="1:2" x14ac:dyDescent="0.25">
      <c r="A619" s="1"/>
      <c r="B619" t="s">
        <v>90</v>
      </c>
    </row>
    <row r="620" spans="1:2" x14ac:dyDescent="0.25">
      <c r="A620" s="1"/>
      <c r="B620" t="s">
        <v>600</v>
      </c>
    </row>
    <row r="621" spans="1:2" x14ac:dyDescent="0.25">
      <c r="A621" s="1"/>
      <c r="B621" t="s">
        <v>451</v>
      </c>
    </row>
    <row r="622" spans="1:2" x14ac:dyDescent="0.25">
      <c r="A622" s="1"/>
      <c r="B622" t="s">
        <v>501</v>
      </c>
    </row>
    <row r="623" spans="1:2" x14ac:dyDescent="0.25">
      <c r="A623" s="1"/>
      <c r="B623" t="s">
        <v>469</v>
      </c>
    </row>
    <row r="624" spans="1:2" x14ac:dyDescent="0.25">
      <c r="A624" s="1" t="s">
        <v>955</v>
      </c>
      <c r="B624" t="s">
        <v>956</v>
      </c>
    </row>
    <row r="625" spans="1:2" x14ac:dyDescent="0.25">
      <c r="A625" s="1" t="s">
        <v>957</v>
      </c>
      <c r="B625" t="s">
        <v>958</v>
      </c>
    </row>
    <row r="626" spans="1:2" x14ac:dyDescent="0.25">
      <c r="A626" s="1" t="s">
        <v>959</v>
      </c>
      <c r="B626" t="s">
        <v>960</v>
      </c>
    </row>
    <row r="627" spans="1:2" x14ac:dyDescent="0.25">
      <c r="A627" s="1"/>
      <c r="B627" t="s">
        <v>261</v>
      </c>
    </row>
    <row r="628" spans="1:2" x14ac:dyDescent="0.25">
      <c r="A628" s="1" t="s">
        <v>961</v>
      </c>
      <c r="B628" t="s">
        <v>962</v>
      </c>
    </row>
    <row r="629" spans="1:2" x14ac:dyDescent="0.25">
      <c r="A629" s="1"/>
      <c r="B629" t="s">
        <v>520</v>
      </c>
    </row>
    <row r="630" spans="1:2" x14ac:dyDescent="0.25">
      <c r="A630" s="1" t="s">
        <v>963</v>
      </c>
      <c r="B630" t="s">
        <v>964</v>
      </c>
    </row>
    <row r="631" spans="1:2" x14ac:dyDescent="0.25">
      <c r="A631" s="1" t="s">
        <v>965</v>
      </c>
      <c r="B631" t="s">
        <v>966</v>
      </c>
    </row>
    <row r="632" spans="1:2" x14ac:dyDescent="0.25">
      <c r="A632" s="1"/>
      <c r="B632" t="s">
        <v>967</v>
      </c>
    </row>
    <row r="633" spans="1:2" x14ac:dyDescent="0.25">
      <c r="A633" s="1"/>
      <c r="B633" t="s">
        <v>968</v>
      </c>
    </row>
    <row r="634" spans="1:2" x14ac:dyDescent="0.25">
      <c r="A634" s="1" t="s">
        <v>969</v>
      </c>
      <c r="B634" t="s">
        <v>970</v>
      </c>
    </row>
    <row r="635" spans="1:2" x14ac:dyDescent="0.25">
      <c r="A635" s="1"/>
      <c r="B635" t="s">
        <v>532</v>
      </c>
    </row>
    <row r="636" spans="1:2" x14ac:dyDescent="0.25">
      <c r="A636" s="1"/>
      <c r="B636" t="s">
        <v>550</v>
      </c>
    </row>
    <row r="637" spans="1:2" x14ac:dyDescent="0.25">
      <c r="A637" s="1" t="s">
        <v>7916</v>
      </c>
      <c r="B637" t="s">
        <v>7917</v>
      </c>
    </row>
    <row r="638" spans="1:2" x14ac:dyDescent="0.25">
      <c r="A638" s="1" t="s">
        <v>8015</v>
      </c>
      <c r="B638" t="s">
        <v>971</v>
      </c>
    </row>
    <row r="639" spans="1:2" x14ac:dyDescent="0.25">
      <c r="A639" s="1" t="s">
        <v>972</v>
      </c>
      <c r="B639" t="s">
        <v>973</v>
      </c>
    </row>
    <row r="640" spans="1:2" x14ac:dyDescent="0.25">
      <c r="A640" s="1"/>
      <c r="B640" t="s">
        <v>465</v>
      </c>
    </row>
    <row r="641" spans="1:2" x14ac:dyDescent="0.25">
      <c r="A641" s="1" t="s">
        <v>974</v>
      </c>
      <c r="B641" t="s">
        <v>975</v>
      </c>
    </row>
    <row r="642" spans="1:2" x14ac:dyDescent="0.25">
      <c r="A642" s="1"/>
      <c r="B642" t="s">
        <v>112</v>
      </c>
    </row>
    <row r="643" spans="1:2" x14ac:dyDescent="0.25">
      <c r="A643" s="1"/>
      <c r="B643" t="s">
        <v>976</v>
      </c>
    </row>
    <row r="644" spans="1:2" x14ac:dyDescent="0.25">
      <c r="A644" s="1"/>
      <c r="B644" t="s">
        <v>195</v>
      </c>
    </row>
    <row r="645" spans="1:2" x14ac:dyDescent="0.25">
      <c r="A645" s="1" t="s">
        <v>977</v>
      </c>
      <c r="B645" t="s">
        <v>978</v>
      </c>
    </row>
    <row r="646" spans="1:2" x14ac:dyDescent="0.25">
      <c r="A646" s="1"/>
      <c r="B646" t="s">
        <v>183</v>
      </c>
    </row>
    <row r="647" spans="1:2" x14ac:dyDescent="0.25">
      <c r="A647" s="1"/>
      <c r="B647" t="s">
        <v>215</v>
      </c>
    </row>
    <row r="648" spans="1:2" x14ac:dyDescent="0.25">
      <c r="A648" s="1"/>
      <c r="B648" t="s">
        <v>169</v>
      </c>
    </row>
    <row r="649" spans="1:2" x14ac:dyDescent="0.25">
      <c r="A649" s="1"/>
      <c r="B649" t="s">
        <v>979</v>
      </c>
    </row>
    <row r="650" spans="1:2" x14ac:dyDescent="0.25">
      <c r="A650" s="1" t="s">
        <v>980</v>
      </c>
      <c r="B650" t="s">
        <v>981</v>
      </c>
    </row>
    <row r="651" spans="1:2" x14ac:dyDescent="0.25">
      <c r="A651" s="1"/>
      <c r="B651" t="s">
        <v>982</v>
      </c>
    </row>
    <row r="652" spans="1:2" x14ac:dyDescent="0.25">
      <c r="A652" s="1" t="s">
        <v>983</v>
      </c>
      <c r="B652" t="s">
        <v>984</v>
      </c>
    </row>
    <row r="653" spans="1:2" x14ac:dyDescent="0.25">
      <c r="A653" s="1"/>
      <c r="B653" t="s">
        <v>985</v>
      </c>
    </row>
    <row r="654" spans="1:2" x14ac:dyDescent="0.25">
      <c r="A654" s="1"/>
      <c r="B654" t="s">
        <v>986</v>
      </c>
    </row>
    <row r="655" spans="1:2" x14ac:dyDescent="0.25">
      <c r="A655" s="1" t="s">
        <v>987</v>
      </c>
      <c r="B655" t="s">
        <v>988</v>
      </c>
    </row>
    <row r="656" spans="1:2" x14ac:dyDescent="0.25">
      <c r="A656" s="1"/>
      <c r="B656" t="s">
        <v>989</v>
      </c>
    </row>
    <row r="657" spans="1:2" x14ac:dyDescent="0.25">
      <c r="A657" s="1" t="s">
        <v>7881</v>
      </c>
      <c r="B657" t="s">
        <v>7882</v>
      </c>
    </row>
    <row r="658" spans="1:2" x14ac:dyDescent="0.25">
      <c r="A658" s="1"/>
      <c r="B658" t="s">
        <v>990</v>
      </c>
    </row>
    <row r="659" spans="1:2" x14ac:dyDescent="0.25">
      <c r="A659" s="1"/>
      <c r="B659" t="s">
        <v>991</v>
      </c>
    </row>
    <row r="660" spans="1:2" x14ac:dyDescent="0.25">
      <c r="A660" s="1" t="s">
        <v>992</v>
      </c>
      <c r="B660" t="s">
        <v>993</v>
      </c>
    </row>
    <row r="661" spans="1:2" x14ac:dyDescent="0.25">
      <c r="A661" s="1" t="s">
        <v>994</v>
      </c>
      <c r="B661" t="s">
        <v>995</v>
      </c>
    </row>
    <row r="662" spans="1:2" x14ac:dyDescent="0.25">
      <c r="A662" s="1"/>
      <c r="B662" t="s">
        <v>247</v>
      </c>
    </row>
    <row r="663" spans="1:2" x14ac:dyDescent="0.25">
      <c r="A663" s="1"/>
      <c r="B663" t="s">
        <v>996</v>
      </c>
    </row>
    <row r="664" spans="1:2" x14ac:dyDescent="0.25">
      <c r="A664" s="1" t="s">
        <v>7840</v>
      </c>
      <c r="B664" t="s">
        <v>7854</v>
      </c>
    </row>
    <row r="665" spans="1:2" x14ac:dyDescent="0.25">
      <c r="A665" s="1"/>
      <c r="B665" t="s">
        <v>997</v>
      </c>
    </row>
    <row r="666" spans="1:2" x14ac:dyDescent="0.25">
      <c r="A666" s="1" t="s">
        <v>998</v>
      </c>
      <c r="B666" t="s">
        <v>999</v>
      </c>
    </row>
    <row r="667" spans="1:2" x14ac:dyDescent="0.25">
      <c r="A667" s="1"/>
      <c r="B667" t="s">
        <v>1000</v>
      </c>
    </row>
    <row r="668" spans="1:2" x14ac:dyDescent="0.25">
      <c r="A668" s="1" t="s">
        <v>1001</v>
      </c>
      <c r="B668" t="s">
        <v>1002</v>
      </c>
    </row>
    <row r="669" spans="1:2" x14ac:dyDescent="0.25">
      <c r="A669" s="1"/>
      <c r="B669" t="s">
        <v>1003</v>
      </c>
    </row>
    <row r="670" spans="1:2" x14ac:dyDescent="0.25">
      <c r="A670" s="1"/>
      <c r="B670" t="s">
        <v>614</v>
      </c>
    </row>
    <row r="671" spans="1:2" x14ac:dyDescent="0.25">
      <c r="A671" s="1" t="s">
        <v>1004</v>
      </c>
      <c r="B671" t="s">
        <v>1005</v>
      </c>
    </row>
    <row r="672" spans="1:2" x14ac:dyDescent="0.25">
      <c r="A672" s="1"/>
      <c r="B672" t="s">
        <v>1006</v>
      </c>
    </row>
    <row r="673" spans="1:2" x14ac:dyDescent="0.25">
      <c r="A673" s="1" t="s">
        <v>1007</v>
      </c>
      <c r="B673" t="s">
        <v>1008</v>
      </c>
    </row>
    <row r="674" spans="1:2" x14ac:dyDescent="0.25">
      <c r="A674" s="1"/>
      <c r="B674" t="s">
        <v>598</v>
      </c>
    </row>
    <row r="675" spans="1:2" x14ac:dyDescent="0.25">
      <c r="A675" s="1" t="s">
        <v>8051</v>
      </c>
      <c r="B675" t="s">
        <v>8052</v>
      </c>
    </row>
    <row r="676" spans="1:2" x14ac:dyDescent="0.25">
      <c r="A676" s="1"/>
      <c r="B676" t="s">
        <v>554</v>
      </c>
    </row>
    <row r="677" spans="1:2" x14ac:dyDescent="0.25">
      <c r="A677" s="1" t="s">
        <v>1009</v>
      </c>
      <c r="B677" t="s">
        <v>1010</v>
      </c>
    </row>
    <row r="678" spans="1:2" x14ac:dyDescent="0.25">
      <c r="A678" s="1" t="s">
        <v>1011</v>
      </c>
      <c r="B678" t="s">
        <v>1012</v>
      </c>
    </row>
    <row r="679" spans="1:2" x14ac:dyDescent="0.25">
      <c r="A679" s="1"/>
      <c r="B679" t="s">
        <v>277</v>
      </c>
    </row>
    <row r="680" spans="1:2" x14ac:dyDescent="0.25">
      <c r="A680" s="1"/>
      <c r="B680" t="s">
        <v>1013</v>
      </c>
    </row>
    <row r="681" spans="1:2" x14ac:dyDescent="0.25">
      <c r="A681" s="1"/>
      <c r="B681" t="s">
        <v>227</v>
      </c>
    </row>
    <row r="682" spans="1:2" x14ac:dyDescent="0.25">
      <c r="A682" s="1" t="s">
        <v>1014</v>
      </c>
      <c r="B682" t="s">
        <v>1015</v>
      </c>
    </row>
    <row r="683" spans="1:2" x14ac:dyDescent="0.25">
      <c r="A683" s="1"/>
      <c r="B683" t="s">
        <v>161</v>
      </c>
    </row>
    <row r="684" spans="1:2" x14ac:dyDescent="0.25">
      <c r="A684" s="1"/>
      <c r="B684" t="s">
        <v>929</v>
      </c>
    </row>
    <row r="685" spans="1:2" x14ac:dyDescent="0.25">
      <c r="A685" s="1"/>
      <c r="B685" t="s">
        <v>491</v>
      </c>
    </row>
    <row r="686" spans="1:2" x14ac:dyDescent="0.25">
      <c r="A686" s="1"/>
      <c r="B686" t="s">
        <v>576</v>
      </c>
    </row>
    <row r="687" spans="1:2" x14ac:dyDescent="0.25">
      <c r="A687" s="1"/>
      <c r="B687" t="s">
        <v>1016</v>
      </c>
    </row>
    <row r="688" spans="1:2" x14ac:dyDescent="0.25">
      <c r="A688" s="1"/>
      <c r="B688" t="s">
        <v>1017</v>
      </c>
    </row>
    <row r="689" spans="1:2" x14ac:dyDescent="0.25">
      <c r="A689" s="1"/>
      <c r="B689" t="s">
        <v>1018</v>
      </c>
    </row>
    <row r="690" spans="1:2" x14ac:dyDescent="0.25">
      <c r="A690" s="1" t="s">
        <v>1019</v>
      </c>
      <c r="B690" t="s">
        <v>1020</v>
      </c>
    </row>
    <row r="691" spans="1:2" x14ac:dyDescent="0.25">
      <c r="A691" s="1"/>
      <c r="B691" t="s">
        <v>711</v>
      </c>
    </row>
    <row r="692" spans="1:2" x14ac:dyDescent="0.25">
      <c r="A692" s="1" t="s">
        <v>1021</v>
      </c>
      <c r="B692" t="s">
        <v>1022</v>
      </c>
    </row>
    <row r="693" spans="1:2" x14ac:dyDescent="0.25">
      <c r="A693" s="1"/>
      <c r="B693" t="s">
        <v>528</v>
      </c>
    </row>
    <row r="694" spans="1:2" x14ac:dyDescent="0.25">
      <c r="A694" s="1" t="s">
        <v>1023</v>
      </c>
      <c r="B694" t="s">
        <v>1024</v>
      </c>
    </row>
    <row r="695" spans="1:2" x14ac:dyDescent="0.25">
      <c r="A695" s="1"/>
      <c r="B695" t="s">
        <v>287</v>
      </c>
    </row>
    <row r="696" spans="1:2" x14ac:dyDescent="0.25">
      <c r="A696" s="1"/>
      <c r="B696" t="s">
        <v>522</v>
      </c>
    </row>
    <row r="697" spans="1:2" x14ac:dyDescent="0.25">
      <c r="A697" s="1"/>
      <c r="B697" t="s">
        <v>753</v>
      </c>
    </row>
    <row r="698" spans="1:2" x14ac:dyDescent="0.25">
      <c r="A698" s="1"/>
      <c r="B698" t="s">
        <v>578</v>
      </c>
    </row>
    <row r="699" spans="1:2" x14ac:dyDescent="0.25">
      <c r="A699" s="1"/>
      <c r="B699" t="s">
        <v>693</v>
      </c>
    </row>
    <row r="700" spans="1:2" x14ac:dyDescent="0.25">
      <c r="A700" s="1"/>
      <c r="B700" t="s">
        <v>518</v>
      </c>
    </row>
    <row r="701" spans="1:2" x14ac:dyDescent="0.25">
      <c r="A701" s="1"/>
      <c r="B701" t="s">
        <v>689</v>
      </c>
    </row>
    <row r="702" spans="1:2" x14ac:dyDescent="0.25">
      <c r="A702" s="1"/>
      <c r="B702" t="s">
        <v>263</v>
      </c>
    </row>
    <row r="703" spans="1:2" x14ac:dyDescent="0.25">
      <c r="A703" s="1"/>
      <c r="B703" t="s">
        <v>1017</v>
      </c>
    </row>
    <row r="704" spans="1:2" x14ac:dyDescent="0.25">
      <c r="A704" s="1" t="s">
        <v>1025</v>
      </c>
      <c r="B704" t="s">
        <v>1026</v>
      </c>
    </row>
    <row r="705" spans="1:2" x14ac:dyDescent="0.25">
      <c r="A705" s="1" t="s">
        <v>1027</v>
      </c>
      <c r="B705" t="s">
        <v>1028</v>
      </c>
    </row>
    <row r="706" spans="1:2" x14ac:dyDescent="0.25">
      <c r="A706" s="1"/>
      <c r="B706" t="s">
        <v>1029</v>
      </c>
    </row>
    <row r="707" spans="1:2" x14ac:dyDescent="0.25">
      <c r="A707" s="1"/>
      <c r="B707" t="s">
        <v>1030</v>
      </c>
    </row>
    <row r="708" spans="1:2" x14ac:dyDescent="0.25">
      <c r="A708" s="1" t="s">
        <v>1031</v>
      </c>
      <c r="B708" t="s">
        <v>1032</v>
      </c>
    </row>
    <row r="709" spans="1:2" x14ac:dyDescent="0.25">
      <c r="A709" s="1"/>
      <c r="B709" t="s">
        <v>1033</v>
      </c>
    </row>
    <row r="710" spans="1:2" x14ac:dyDescent="0.25">
      <c r="A710" s="1" t="s">
        <v>1034</v>
      </c>
      <c r="B710" t="s">
        <v>1035</v>
      </c>
    </row>
    <row r="711" spans="1:2" x14ac:dyDescent="0.25">
      <c r="A711" s="1" t="s">
        <v>1036</v>
      </c>
      <c r="B711" t="s">
        <v>1037</v>
      </c>
    </row>
    <row r="712" spans="1:2" x14ac:dyDescent="0.25">
      <c r="A712" s="1"/>
      <c r="B712" t="s">
        <v>1038</v>
      </c>
    </row>
    <row r="713" spans="1:2" x14ac:dyDescent="0.25">
      <c r="A713" s="1"/>
      <c r="B713" t="s">
        <v>1039</v>
      </c>
    </row>
    <row r="714" spans="1:2" x14ac:dyDescent="0.25">
      <c r="A714" s="1"/>
      <c r="B714" t="s">
        <v>580</v>
      </c>
    </row>
    <row r="715" spans="1:2" x14ac:dyDescent="0.25">
      <c r="A715" s="1"/>
      <c r="B715" t="s">
        <v>1040</v>
      </c>
    </row>
    <row r="716" spans="1:2" x14ac:dyDescent="0.25">
      <c r="A716" s="1"/>
      <c r="B716" t="s">
        <v>755</v>
      </c>
    </row>
    <row r="717" spans="1:2" x14ac:dyDescent="0.25">
      <c r="A717" s="1"/>
      <c r="B717" t="s">
        <v>1041</v>
      </c>
    </row>
    <row r="718" spans="1:2" x14ac:dyDescent="0.25">
      <c r="A718" s="1"/>
      <c r="B718" t="s">
        <v>1042</v>
      </c>
    </row>
    <row r="719" spans="1:2" x14ac:dyDescent="0.25">
      <c r="A719" s="1" t="s">
        <v>1043</v>
      </c>
      <c r="B719" t="s">
        <v>1044</v>
      </c>
    </row>
    <row r="720" spans="1:2" x14ac:dyDescent="0.25">
      <c r="A720" s="1"/>
      <c r="B720" t="s">
        <v>1045</v>
      </c>
    </row>
    <row r="721" spans="1:2" x14ac:dyDescent="0.25">
      <c r="A721" s="1" t="s">
        <v>1046</v>
      </c>
      <c r="B721" t="s">
        <v>1047</v>
      </c>
    </row>
    <row r="722" spans="1:2" x14ac:dyDescent="0.25">
      <c r="A722" s="1"/>
      <c r="B722" t="s">
        <v>1048</v>
      </c>
    </row>
    <row r="723" spans="1:2" x14ac:dyDescent="0.25">
      <c r="A723" s="1"/>
      <c r="B723" t="s">
        <v>542</v>
      </c>
    </row>
    <row r="724" spans="1:2" x14ac:dyDescent="0.25">
      <c r="A724" s="1" t="s">
        <v>1049</v>
      </c>
      <c r="B724" t="s">
        <v>1050</v>
      </c>
    </row>
    <row r="725" spans="1:2" x14ac:dyDescent="0.25">
      <c r="A725" s="1"/>
      <c r="B725" t="s">
        <v>327</v>
      </c>
    </row>
    <row r="726" spans="1:2" x14ac:dyDescent="0.25">
      <c r="A726" s="1"/>
      <c r="B726" t="s">
        <v>1051</v>
      </c>
    </row>
    <row r="727" spans="1:2" x14ac:dyDescent="0.25">
      <c r="A727" s="1"/>
      <c r="B727" t="s">
        <v>616</v>
      </c>
    </row>
    <row r="728" spans="1:2" x14ac:dyDescent="0.25">
      <c r="A728" s="1"/>
      <c r="B728" t="s">
        <v>1052</v>
      </c>
    </row>
    <row r="729" spans="1:2" x14ac:dyDescent="0.25">
      <c r="A729" s="1"/>
      <c r="B729" t="s">
        <v>1053</v>
      </c>
    </row>
    <row r="730" spans="1:2" x14ac:dyDescent="0.25">
      <c r="A730" s="1"/>
      <c r="B730" t="s">
        <v>661</v>
      </c>
    </row>
    <row r="731" spans="1:2" x14ac:dyDescent="0.25">
      <c r="A731" s="1"/>
      <c r="B731" t="s">
        <v>1054</v>
      </c>
    </row>
    <row r="732" spans="1:2" x14ac:dyDescent="0.25">
      <c r="A732" s="1"/>
      <c r="B732" t="s">
        <v>275</v>
      </c>
    </row>
    <row r="733" spans="1:2" x14ac:dyDescent="0.25">
      <c r="A733" s="1"/>
      <c r="B733" t="s">
        <v>516</v>
      </c>
    </row>
    <row r="734" spans="1:2" x14ac:dyDescent="0.25">
      <c r="A734" s="1"/>
      <c r="B734" t="s">
        <v>759</v>
      </c>
    </row>
    <row r="735" spans="1:2" x14ac:dyDescent="0.25">
      <c r="A735" s="1" t="s">
        <v>1055</v>
      </c>
      <c r="B735" t="s">
        <v>1056</v>
      </c>
    </row>
    <row r="736" spans="1:2" x14ac:dyDescent="0.25">
      <c r="A736" s="1"/>
      <c r="B736" t="s">
        <v>1057</v>
      </c>
    </row>
    <row r="737" spans="1:2" x14ac:dyDescent="0.25">
      <c r="A737" s="1"/>
      <c r="B737" t="s">
        <v>401</v>
      </c>
    </row>
    <row r="738" spans="1:2" x14ac:dyDescent="0.25">
      <c r="A738" s="1" t="s">
        <v>7943</v>
      </c>
      <c r="B738" t="s">
        <v>1058</v>
      </c>
    </row>
    <row r="739" spans="1:2" x14ac:dyDescent="0.25">
      <c r="A739" s="1"/>
      <c r="B739" t="s">
        <v>709</v>
      </c>
    </row>
    <row r="740" spans="1:2" x14ac:dyDescent="0.25">
      <c r="A740" s="1"/>
      <c r="B740" t="s">
        <v>321</v>
      </c>
    </row>
    <row r="741" spans="1:2" x14ac:dyDescent="0.25">
      <c r="A741" s="1"/>
      <c r="B741" t="s">
        <v>622</v>
      </c>
    </row>
    <row r="742" spans="1:2" x14ac:dyDescent="0.25">
      <c r="A742" s="1"/>
      <c r="B742" t="s">
        <v>1059</v>
      </c>
    </row>
    <row r="743" spans="1:2" x14ac:dyDescent="0.25">
      <c r="A743" s="1"/>
      <c r="B743" t="s">
        <v>165</v>
      </c>
    </row>
    <row r="744" spans="1:2" x14ac:dyDescent="0.25">
      <c r="A744" s="1"/>
      <c r="B744" t="s">
        <v>148</v>
      </c>
    </row>
    <row r="745" spans="1:2" x14ac:dyDescent="0.25">
      <c r="A745" s="1"/>
      <c r="B745" t="s">
        <v>1060</v>
      </c>
    </row>
    <row r="746" spans="1:2" x14ac:dyDescent="0.25">
      <c r="A746" s="1"/>
      <c r="B746" t="s">
        <v>207</v>
      </c>
    </row>
    <row r="747" spans="1:2" x14ac:dyDescent="0.25">
      <c r="A747" s="1"/>
      <c r="B747" t="s">
        <v>1061</v>
      </c>
    </row>
    <row r="748" spans="1:2" x14ac:dyDescent="0.25">
      <c r="A748" s="1" t="s">
        <v>1062</v>
      </c>
      <c r="B748" t="s">
        <v>1063</v>
      </c>
    </row>
    <row r="749" spans="1:2" x14ac:dyDescent="0.25">
      <c r="A749" s="1" t="s">
        <v>1064</v>
      </c>
      <c r="B749" t="s">
        <v>1065</v>
      </c>
    </row>
    <row r="750" spans="1:2" x14ac:dyDescent="0.25">
      <c r="A750" s="1"/>
      <c r="B750" t="s">
        <v>1066</v>
      </c>
    </row>
    <row r="751" spans="1:2" x14ac:dyDescent="0.25">
      <c r="A751" s="1"/>
      <c r="B751" t="s">
        <v>193</v>
      </c>
    </row>
    <row r="752" spans="1:2" x14ac:dyDescent="0.25">
      <c r="A752" s="1" t="s">
        <v>1067</v>
      </c>
      <c r="B752" t="s">
        <v>1068</v>
      </c>
    </row>
    <row r="753" spans="1:2" x14ac:dyDescent="0.25">
      <c r="A753" s="1" t="s">
        <v>1069</v>
      </c>
      <c r="B753" t="s">
        <v>1070</v>
      </c>
    </row>
    <row r="754" spans="1:2" x14ac:dyDescent="0.25">
      <c r="A754" s="1"/>
      <c r="B754" t="s">
        <v>1071</v>
      </c>
    </row>
    <row r="755" spans="1:2" x14ac:dyDescent="0.25">
      <c r="A755" s="1"/>
      <c r="B755" t="s">
        <v>269</v>
      </c>
    </row>
    <row r="756" spans="1:2" x14ac:dyDescent="0.25">
      <c r="A756" s="1" t="s">
        <v>1072</v>
      </c>
      <c r="B756" t="s">
        <v>1073</v>
      </c>
    </row>
    <row r="757" spans="1:2" x14ac:dyDescent="0.25">
      <c r="A757" s="1"/>
      <c r="B757" t="s">
        <v>1074</v>
      </c>
    </row>
    <row r="758" spans="1:2" x14ac:dyDescent="0.25">
      <c r="A758" s="1"/>
      <c r="B758" t="s">
        <v>159</v>
      </c>
    </row>
    <row r="759" spans="1:2" x14ac:dyDescent="0.25">
      <c r="A759" s="1"/>
      <c r="B759" t="s">
        <v>1075</v>
      </c>
    </row>
    <row r="760" spans="1:2" x14ac:dyDescent="0.25">
      <c r="A760" s="1" t="s">
        <v>1076</v>
      </c>
      <c r="B760" t="s">
        <v>1077</v>
      </c>
    </row>
    <row r="761" spans="1:2" x14ac:dyDescent="0.25">
      <c r="A761" s="1"/>
      <c r="B761" t="s">
        <v>283</v>
      </c>
    </row>
    <row r="762" spans="1:2" x14ac:dyDescent="0.25">
      <c r="A762" s="1"/>
      <c r="B762" t="s">
        <v>608</v>
      </c>
    </row>
    <row r="763" spans="1:2" x14ac:dyDescent="0.25">
      <c r="A763" s="1" t="s">
        <v>7967</v>
      </c>
      <c r="B763" t="s">
        <v>1078</v>
      </c>
    </row>
    <row r="764" spans="1:2" x14ac:dyDescent="0.25">
      <c r="A764" s="1" t="s">
        <v>1079</v>
      </c>
      <c r="B764" t="s">
        <v>1080</v>
      </c>
    </row>
    <row r="765" spans="1:2" x14ac:dyDescent="0.25">
      <c r="A765" s="1" t="s">
        <v>1081</v>
      </c>
      <c r="B765" t="s">
        <v>1082</v>
      </c>
    </row>
    <row r="766" spans="1:2" x14ac:dyDescent="0.25">
      <c r="A766" s="1"/>
      <c r="B766" t="s">
        <v>225</v>
      </c>
    </row>
    <row r="767" spans="1:2" x14ac:dyDescent="0.25">
      <c r="A767" s="1" t="s">
        <v>1083</v>
      </c>
      <c r="B767" t="s">
        <v>1084</v>
      </c>
    </row>
    <row r="768" spans="1:2" x14ac:dyDescent="0.25">
      <c r="A768" s="1"/>
      <c r="B768" t="s">
        <v>1085</v>
      </c>
    </row>
    <row r="769" spans="1:2" x14ac:dyDescent="0.25">
      <c r="A769" s="1"/>
      <c r="B769" t="s">
        <v>590</v>
      </c>
    </row>
    <row r="770" spans="1:2" x14ac:dyDescent="0.25">
      <c r="A770" s="1"/>
      <c r="B770" t="s">
        <v>1086</v>
      </c>
    </row>
    <row r="771" spans="1:2" x14ac:dyDescent="0.25">
      <c r="A771" s="1"/>
      <c r="B771" t="s">
        <v>1087</v>
      </c>
    </row>
    <row r="772" spans="1:2" x14ac:dyDescent="0.25">
      <c r="A772" s="1"/>
      <c r="B772" t="s">
        <v>761</v>
      </c>
    </row>
    <row r="773" spans="1:2" x14ac:dyDescent="0.25">
      <c r="A773" s="1" t="s">
        <v>1088</v>
      </c>
      <c r="B773" t="s">
        <v>1089</v>
      </c>
    </row>
    <row r="774" spans="1:2" x14ac:dyDescent="0.25">
      <c r="A774" s="1" t="s">
        <v>1090</v>
      </c>
      <c r="B774" t="s">
        <v>187</v>
      </c>
    </row>
    <row r="775" spans="1:2" x14ac:dyDescent="0.25">
      <c r="A775" s="1"/>
      <c r="B775" t="s">
        <v>417</v>
      </c>
    </row>
    <row r="776" spans="1:2" x14ac:dyDescent="0.25">
      <c r="A776" s="1"/>
      <c r="B776" t="s">
        <v>1091</v>
      </c>
    </row>
    <row r="777" spans="1:2" x14ac:dyDescent="0.25">
      <c r="A777" s="1"/>
      <c r="B777" t="s">
        <v>757</v>
      </c>
    </row>
    <row r="778" spans="1:2" x14ac:dyDescent="0.25">
      <c r="A778" s="1"/>
      <c r="B778" t="s">
        <v>413</v>
      </c>
    </row>
    <row r="779" spans="1:2" x14ac:dyDescent="0.25">
      <c r="A779" s="1"/>
      <c r="B779" t="s">
        <v>1092</v>
      </c>
    </row>
    <row r="780" spans="1:2" x14ac:dyDescent="0.25">
      <c r="A780" s="1"/>
      <c r="B780" t="s">
        <v>1093</v>
      </c>
    </row>
    <row r="781" spans="1:2" x14ac:dyDescent="0.25">
      <c r="A781" s="1"/>
      <c r="B781" t="s">
        <v>679</v>
      </c>
    </row>
    <row r="782" spans="1:2" x14ac:dyDescent="0.25">
      <c r="A782" s="1"/>
      <c r="B782" t="s">
        <v>544</v>
      </c>
    </row>
    <row r="783" spans="1:2" x14ac:dyDescent="0.25">
      <c r="A783" s="1"/>
      <c r="B783" t="s">
        <v>1094</v>
      </c>
    </row>
    <row r="784" spans="1:2" x14ac:dyDescent="0.25">
      <c r="A784" s="1"/>
      <c r="B784" t="s">
        <v>665</v>
      </c>
    </row>
    <row r="785" spans="1:2" x14ac:dyDescent="0.25">
      <c r="A785" s="1"/>
      <c r="B785" t="s">
        <v>351</v>
      </c>
    </row>
    <row r="786" spans="1:2" x14ac:dyDescent="0.25">
      <c r="A786" s="1" t="s">
        <v>1095</v>
      </c>
      <c r="B786" t="s">
        <v>1096</v>
      </c>
    </row>
    <row r="787" spans="1:2" x14ac:dyDescent="0.25">
      <c r="A787" s="1"/>
      <c r="B787" t="s">
        <v>361</v>
      </c>
    </row>
    <row r="788" spans="1:2" x14ac:dyDescent="0.25">
      <c r="A788" s="1"/>
      <c r="B788" t="s">
        <v>267</v>
      </c>
    </row>
    <row r="789" spans="1:2" x14ac:dyDescent="0.25">
      <c r="A789" s="1" t="s">
        <v>1097</v>
      </c>
      <c r="B789" t="s">
        <v>1098</v>
      </c>
    </row>
    <row r="790" spans="1:2" x14ac:dyDescent="0.25">
      <c r="A790" s="1"/>
      <c r="B790" t="s">
        <v>536</v>
      </c>
    </row>
    <row r="791" spans="1:2" x14ac:dyDescent="0.25">
      <c r="A791" s="1"/>
      <c r="B791" t="s">
        <v>1099</v>
      </c>
    </row>
    <row r="792" spans="1:2" x14ac:dyDescent="0.25">
      <c r="A792" s="1"/>
      <c r="B792" t="s">
        <v>582</v>
      </c>
    </row>
    <row r="793" spans="1:2" x14ac:dyDescent="0.25">
      <c r="A793" s="1" t="s">
        <v>1100</v>
      </c>
      <c r="B793" t="s">
        <v>1101</v>
      </c>
    </row>
    <row r="794" spans="1:2" x14ac:dyDescent="0.25">
      <c r="A794" s="1"/>
      <c r="B794" t="s">
        <v>1102</v>
      </c>
    </row>
    <row r="795" spans="1:2" x14ac:dyDescent="0.25">
      <c r="A795" s="1" t="s">
        <v>7946</v>
      </c>
      <c r="B795" t="s">
        <v>1103</v>
      </c>
    </row>
    <row r="796" spans="1:2" x14ac:dyDescent="0.25">
      <c r="A796" s="1"/>
      <c r="B796" t="s">
        <v>1104</v>
      </c>
    </row>
    <row r="797" spans="1:2" x14ac:dyDescent="0.25">
      <c r="A797" s="1" t="s">
        <v>1105</v>
      </c>
      <c r="B797" t="s">
        <v>1106</v>
      </c>
    </row>
    <row r="798" spans="1:2" x14ac:dyDescent="0.25">
      <c r="A798" s="1" t="s">
        <v>1107</v>
      </c>
      <c r="B798" t="s">
        <v>1108</v>
      </c>
    </row>
    <row r="799" spans="1:2" x14ac:dyDescent="0.25">
      <c r="A799" s="1" t="s">
        <v>1109</v>
      </c>
      <c r="B799" t="s">
        <v>1110</v>
      </c>
    </row>
    <row r="800" spans="1:2" x14ac:dyDescent="0.25">
      <c r="A800" s="1"/>
      <c r="B800" t="s">
        <v>1111</v>
      </c>
    </row>
    <row r="801" spans="1:2" x14ac:dyDescent="0.25">
      <c r="A801" s="1"/>
      <c r="B801" t="s">
        <v>299</v>
      </c>
    </row>
    <row r="802" spans="1:2" x14ac:dyDescent="0.25">
      <c r="A802" s="1"/>
      <c r="B802" t="s">
        <v>1112</v>
      </c>
    </row>
    <row r="803" spans="1:2" x14ac:dyDescent="0.25">
      <c r="A803" s="1"/>
      <c r="B803" t="s">
        <v>731</v>
      </c>
    </row>
    <row r="804" spans="1:2" x14ac:dyDescent="0.25">
      <c r="A804" s="1" t="s">
        <v>1113</v>
      </c>
      <c r="B804" t="s">
        <v>1114</v>
      </c>
    </row>
    <row r="805" spans="1:2" x14ac:dyDescent="0.25">
      <c r="A805" s="1"/>
      <c r="B805" t="s">
        <v>747</v>
      </c>
    </row>
    <row r="806" spans="1:2" x14ac:dyDescent="0.25">
      <c r="A806" s="1"/>
      <c r="B806" t="s">
        <v>1115</v>
      </c>
    </row>
    <row r="807" spans="1:2" x14ac:dyDescent="0.25">
      <c r="A807" s="1"/>
      <c r="B807" t="s">
        <v>1116</v>
      </c>
    </row>
    <row r="808" spans="1:2" x14ac:dyDescent="0.25">
      <c r="A808" s="1"/>
      <c r="B808" t="s">
        <v>293</v>
      </c>
    </row>
    <row r="809" spans="1:2" x14ac:dyDescent="0.25">
      <c r="A809" s="1" t="s">
        <v>1117</v>
      </c>
      <c r="B809" t="s">
        <v>1118</v>
      </c>
    </row>
    <row r="810" spans="1:2" x14ac:dyDescent="0.25">
      <c r="A810" s="1"/>
      <c r="B810" t="s">
        <v>1119</v>
      </c>
    </row>
    <row r="811" spans="1:2" x14ac:dyDescent="0.25">
      <c r="A811" s="1"/>
      <c r="B811" t="s">
        <v>273</v>
      </c>
    </row>
    <row r="812" spans="1:2" x14ac:dyDescent="0.25">
      <c r="A812" s="1"/>
      <c r="B812" t="s">
        <v>1120</v>
      </c>
    </row>
    <row r="813" spans="1:2" x14ac:dyDescent="0.25">
      <c r="A813" s="1"/>
      <c r="B813" t="s">
        <v>507</v>
      </c>
    </row>
    <row r="814" spans="1:2" x14ac:dyDescent="0.25">
      <c r="A814" s="1"/>
      <c r="B814" t="s">
        <v>94</v>
      </c>
    </row>
    <row r="815" spans="1:2" x14ac:dyDescent="0.25">
      <c r="A815" s="1"/>
      <c r="B815" t="s">
        <v>110</v>
      </c>
    </row>
    <row r="816" spans="1:2" x14ac:dyDescent="0.25">
      <c r="A816" s="1" t="s">
        <v>7914</v>
      </c>
      <c r="B816" t="s">
        <v>116</v>
      </c>
    </row>
    <row r="817" spans="1:2" x14ac:dyDescent="0.25">
      <c r="A817" s="1"/>
      <c r="B817" t="s">
        <v>189</v>
      </c>
    </row>
    <row r="818" spans="1:2" x14ac:dyDescent="0.25">
      <c r="A818" s="1"/>
      <c r="B818" t="s">
        <v>1121</v>
      </c>
    </row>
    <row r="819" spans="1:2" x14ac:dyDescent="0.25">
      <c r="A819" s="1"/>
      <c r="B819" t="s">
        <v>152</v>
      </c>
    </row>
    <row r="820" spans="1:2" x14ac:dyDescent="0.25">
      <c r="A820" s="1"/>
      <c r="B820" t="s">
        <v>628</v>
      </c>
    </row>
    <row r="821" spans="1:2" x14ac:dyDescent="0.25">
      <c r="A821" s="1" t="s">
        <v>1122</v>
      </c>
      <c r="B821" t="s">
        <v>1123</v>
      </c>
    </row>
    <row r="822" spans="1:2" x14ac:dyDescent="0.25">
      <c r="A822" s="1"/>
      <c r="B822" t="s">
        <v>751</v>
      </c>
    </row>
    <row r="823" spans="1:2" x14ac:dyDescent="0.25">
      <c r="A823" s="1"/>
      <c r="B823" t="s">
        <v>467</v>
      </c>
    </row>
    <row r="824" spans="1:2" x14ac:dyDescent="0.25">
      <c r="A824" s="1" t="s">
        <v>1124</v>
      </c>
      <c r="B824" t="s">
        <v>1125</v>
      </c>
    </row>
    <row r="825" spans="1:2" x14ac:dyDescent="0.25">
      <c r="A825" s="1"/>
      <c r="B825" t="s">
        <v>1126</v>
      </c>
    </row>
    <row r="826" spans="1:2" x14ac:dyDescent="0.25">
      <c r="A826" s="1" t="s">
        <v>1127</v>
      </c>
      <c r="B826" t="s">
        <v>1128</v>
      </c>
    </row>
    <row r="827" spans="1:2" x14ac:dyDescent="0.25">
      <c r="A827" s="1"/>
      <c r="B827" t="s">
        <v>419</v>
      </c>
    </row>
    <row r="828" spans="1:2" x14ac:dyDescent="0.25">
      <c r="A828" s="1"/>
      <c r="B828" t="s">
        <v>777</v>
      </c>
    </row>
    <row r="829" spans="1:2" x14ac:dyDescent="0.25">
      <c r="A829" s="1"/>
      <c r="B829" t="s">
        <v>1129</v>
      </c>
    </row>
    <row r="830" spans="1:2" x14ac:dyDescent="0.25">
      <c r="A830" s="1"/>
      <c r="B830" t="s">
        <v>1130</v>
      </c>
    </row>
    <row r="831" spans="1:2" x14ac:dyDescent="0.25">
      <c r="A831" s="1"/>
      <c r="B831" t="s">
        <v>1131</v>
      </c>
    </row>
    <row r="832" spans="1:2" x14ac:dyDescent="0.25">
      <c r="A832" s="1" t="s">
        <v>1132</v>
      </c>
      <c r="B832" t="s">
        <v>1133</v>
      </c>
    </row>
    <row r="833" spans="1:2" x14ac:dyDescent="0.25">
      <c r="A833" s="1"/>
      <c r="B833" t="s">
        <v>540</v>
      </c>
    </row>
    <row r="834" spans="1:2" x14ac:dyDescent="0.25">
      <c r="A834" s="1"/>
      <c r="B834" t="s">
        <v>1134</v>
      </c>
    </row>
    <row r="835" spans="1:2" x14ac:dyDescent="0.25">
      <c r="A835" s="1"/>
      <c r="B835" t="s">
        <v>1135</v>
      </c>
    </row>
    <row r="836" spans="1:2" x14ac:dyDescent="0.25">
      <c r="A836" s="1"/>
      <c r="B836" t="s">
        <v>524</v>
      </c>
    </row>
    <row r="837" spans="1:2" x14ac:dyDescent="0.25">
      <c r="A837" s="1"/>
      <c r="B837" t="s">
        <v>1136</v>
      </c>
    </row>
    <row r="838" spans="1:2" x14ac:dyDescent="0.25">
      <c r="A838" s="1" t="s">
        <v>1137</v>
      </c>
      <c r="B838" t="s">
        <v>1138</v>
      </c>
    </row>
    <row r="839" spans="1:2" x14ac:dyDescent="0.25">
      <c r="A839" s="1"/>
      <c r="B839" t="s">
        <v>1139</v>
      </c>
    </row>
    <row r="840" spans="1:2" x14ac:dyDescent="0.25">
      <c r="A840" s="1"/>
      <c r="B840" t="s">
        <v>1140</v>
      </c>
    </row>
    <row r="841" spans="1:2" x14ac:dyDescent="0.25">
      <c r="A841" s="1" t="s">
        <v>1141</v>
      </c>
      <c r="B841" t="s">
        <v>1142</v>
      </c>
    </row>
    <row r="842" spans="1:2" x14ac:dyDescent="0.25">
      <c r="A842" s="1"/>
      <c r="B842" t="s">
        <v>673</v>
      </c>
    </row>
    <row r="843" spans="1:2" x14ac:dyDescent="0.25">
      <c r="A843" s="1"/>
      <c r="B843" t="s">
        <v>1143</v>
      </c>
    </row>
    <row r="844" spans="1:2" x14ac:dyDescent="0.25">
      <c r="A844" s="1"/>
      <c r="B844" t="s">
        <v>1144</v>
      </c>
    </row>
    <row r="845" spans="1:2" x14ac:dyDescent="0.25">
      <c r="A845" s="1"/>
      <c r="B845" t="s">
        <v>1145</v>
      </c>
    </row>
    <row r="846" spans="1:2" x14ac:dyDescent="0.25">
      <c r="A846" s="1" t="s">
        <v>1146</v>
      </c>
      <c r="B846" t="s">
        <v>1147</v>
      </c>
    </row>
    <row r="847" spans="1:2" x14ac:dyDescent="0.25">
      <c r="A847" s="1"/>
      <c r="B847" t="s">
        <v>379</v>
      </c>
    </row>
    <row r="848" spans="1:2" x14ac:dyDescent="0.25">
      <c r="A848" s="1"/>
      <c r="B848" t="s">
        <v>369</v>
      </c>
    </row>
    <row r="849" spans="1:2" x14ac:dyDescent="0.25">
      <c r="A849" s="1"/>
      <c r="B849" t="s">
        <v>1148</v>
      </c>
    </row>
    <row r="850" spans="1:2" x14ac:dyDescent="0.25">
      <c r="A850" s="1" t="s">
        <v>1149</v>
      </c>
      <c r="B850" t="s">
        <v>1150</v>
      </c>
    </row>
    <row r="851" spans="1:2" x14ac:dyDescent="0.25">
      <c r="A851" s="1"/>
      <c r="B851" t="s">
        <v>371</v>
      </c>
    </row>
    <row r="852" spans="1:2" x14ac:dyDescent="0.25">
      <c r="A852" s="1"/>
      <c r="B852" t="s">
        <v>373</v>
      </c>
    </row>
    <row r="853" spans="1:2" x14ac:dyDescent="0.25">
      <c r="A853" s="1"/>
      <c r="B853" t="s">
        <v>381</v>
      </c>
    </row>
    <row r="854" spans="1:2" x14ac:dyDescent="0.25">
      <c r="A854" s="1" t="s">
        <v>7919</v>
      </c>
      <c r="B854" t="s">
        <v>1151</v>
      </c>
    </row>
    <row r="855" spans="1:2" x14ac:dyDescent="0.25">
      <c r="A855" s="1"/>
      <c r="B855" t="s">
        <v>1152</v>
      </c>
    </row>
    <row r="856" spans="1:2" x14ac:dyDescent="0.25">
      <c r="A856" s="1"/>
      <c r="B856" t="s">
        <v>1153</v>
      </c>
    </row>
    <row r="857" spans="1:2" x14ac:dyDescent="0.25">
      <c r="A857" s="1"/>
      <c r="B857" t="s">
        <v>1154</v>
      </c>
    </row>
    <row r="858" spans="1:2" x14ac:dyDescent="0.25">
      <c r="A858" s="1"/>
      <c r="B858" t="s">
        <v>657</v>
      </c>
    </row>
    <row r="859" spans="1:2" x14ac:dyDescent="0.25">
      <c r="A859" s="1" t="s">
        <v>1155</v>
      </c>
      <c r="B859" t="s">
        <v>1156</v>
      </c>
    </row>
    <row r="860" spans="1:2" x14ac:dyDescent="0.25">
      <c r="A860" s="1" t="s">
        <v>1157</v>
      </c>
      <c r="B860" t="s">
        <v>667</v>
      </c>
    </row>
    <row r="861" spans="1:2" x14ac:dyDescent="0.25">
      <c r="A861" s="1"/>
      <c r="B861" t="s">
        <v>643</v>
      </c>
    </row>
    <row r="862" spans="1:2" x14ac:dyDescent="0.25">
      <c r="A862" s="1"/>
      <c r="B862" t="s">
        <v>181</v>
      </c>
    </row>
    <row r="863" spans="1:2" x14ac:dyDescent="0.25">
      <c r="A863" s="1"/>
      <c r="B863" t="s">
        <v>319</v>
      </c>
    </row>
    <row r="864" spans="1:2" x14ac:dyDescent="0.25">
      <c r="A864" s="1"/>
      <c r="B864" t="s">
        <v>1158</v>
      </c>
    </row>
    <row r="865" spans="1:2" x14ac:dyDescent="0.25">
      <c r="A865" s="1" t="s">
        <v>1159</v>
      </c>
      <c r="B865" t="s">
        <v>1160</v>
      </c>
    </row>
    <row r="866" spans="1:2" x14ac:dyDescent="0.25">
      <c r="A866" s="1"/>
      <c r="B866" t="s">
        <v>791</v>
      </c>
    </row>
    <row r="867" spans="1:2" x14ac:dyDescent="0.25">
      <c r="A867" s="1"/>
      <c r="B867" t="s">
        <v>1161</v>
      </c>
    </row>
    <row r="868" spans="1:2" x14ac:dyDescent="0.25">
      <c r="A868" s="1"/>
      <c r="B868" t="s">
        <v>1162</v>
      </c>
    </row>
    <row r="869" spans="1:2" x14ac:dyDescent="0.25">
      <c r="A869" s="1"/>
      <c r="B869" t="s">
        <v>279</v>
      </c>
    </row>
    <row r="870" spans="1:2" x14ac:dyDescent="0.25">
      <c r="A870" s="1"/>
      <c r="B870" t="s">
        <v>130</v>
      </c>
    </row>
    <row r="871" spans="1:2" x14ac:dyDescent="0.25">
      <c r="A871" s="1" t="s">
        <v>1163</v>
      </c>
      <c r="B871" t="s">
        <v>1164</v>
      </c>
    </row>
    <row r="872" spans="1:2" x14ac:dyDescent="0.25">
      <c r="A872" s="1"/>
      <c r="B872" t="s">
        <v>118</v>
      </c>
    </row>
    <row r="873" spans="1:2" x14ac:dyDescent="0.25">
      <c r="A873" s="1"/>
      <c r="B873" t="s">
        <v>1165</v>
      </c>
    </row>
    <row r="874" spans="1:2" x14ac:dyDescent="0.25">
      <c r="A874" s="1"/>
      <c r="B874" t="s">
        <v>102</v>
      </c>
    </row>
    <row r="875" spans="1:2" x14ac:dyDescent="0.25">
      <c r="A875" s="1"/>
      <c r="B875" t="s">
        <v>1166</v>
      </c>
    </row>
    <row r="876" spans="1:2" x14ac:dyDescent="0.25">
      <c r="A876" s="1"/>
      <c r="B876" t="s">
        <v>1167</v>
      </c>
    </row>
    <row r="877" spans="1:2" x14ac:dyDescent="0.25">
      <c r="A877" s="1"/>
      <c r="B877" t="s">
        <v>154</v>
      </c>
    </row>
    <row r="878" spans="1:2" x14ac:dyDescent="0.25">
      <c r="A878" s="1" t="s">
        <v>7873</v>
      </c>
      <c r="B878" t="s">
        <v>1168</v>
      </c>
    </row>
    <row r="879" spans="1:2" x14ac:dyDescent="0.25">
      <c r="A879" s="1" t="s">
        <v>1169</v>
      </c>
      <c r="B879" t="s">
        <v>1170</v>
      </c>
    </row>
    <row r="880" spans="1:2" x14ac:dyDescent="0.25">
      <c r="A880" s="1" t="s">
        <v>1171</v>
      </c>
      <c r="B880" t="s">
        <v>1172</v>
      </c>
    </row>
    <row r="881" spans="1:2" x14ac:dyDescent="0.25">
      <c r="A881" s="1"/>
      <c r="B881" t="s">
        <v>126</v>
      </c>
    </row>
    <row r="882" spans="1:2" x14ac:dyDescent="0.25">
      <c r="A882" s="1" t="s">
        <v>1173</v>
      </c>
      <c r="B882" t="s">
        <v>1174</v>
      </c>
    </row>
    <row r="883" spans="1:2" x14ac:dyDescent="0.25">
      <c r="A883" s="1"/>
      <c r="B883" t="s">
        <v>610</v>
      </c>
    </row>
    <row r="884" spans="1:2" x14ac:dyDescent="0.25">
      <c r="A884" s="1"/>
      <c r="B884" t="s">
        <v>787</v>
      </c>
    </row>
    <row r="885" spans="1:2" x14ac:dyDescent="0.25">
      <c r="A885" s="1" t="s">
        <v>7963</v>
      </c>
      <c r="B885" t="s">
        <v>1175</v>
      </c>
    </row>
    <row r="886" spans="1:2" x14ac:dyDescent="0.25">
      <c r="A886" s="1"/>
      <c r="B886" t="s">
        <v>1176</v>
      </c>
    </row>
    <row r="887" spans="1:2" x14ac:dyDescent="0.25">
      <c r="A887" s="1" t="s">
        <v>7868</v>
      </c>
      <c r="B887" t="s">
        <v>1177</v>
      </c>
    </row>
    <row r="888" spans="1:2" x14ac:dyDescent="0.25">
      <c r="A888" s="1"/>
      <c r="B888" t="s">
        <v>683</v>
      </c>
    </row>
    <row r="889" spans="1:2" x14ac:dyDescent="0.25">
      <c r="A889" s="1" t="s">
        <v>1178</v>
      </c>
      <c r="B889" t="s">
        <v>1179</v>
      </c>
    </row>
    <row r="890" spans="1:2" x14ac:dyDescent="0.25">
      <c r="A890" s="1" t="s">
        <v>7936</v>
      </c>
      <c r="B890" t="s">
        <v>1180</v>
      </c>
    </row>
    <row r="891" spans="1:2" x14ac:dyDescent="0.25">
      <c r="A891" s="1"/>
      <c r="B891" t="s">
        <v>1181</v>
      </c>
    </row>
    <row r="892" spans="1:2" x14ac:dyDescent="0.25">
      <c r="A892" s="1"/>
      <c r="B892" t="s">
        <v>727</v>
      </c>
    </row>
    <row r="893" spans="1:2" x14ac:dyDescent="0.25">
      <c r="A893" s="1"/>
      <c r="B893" t="s">
        <v>1182</v>
      </c>
    </row>
    <row r="894" spans="1:2" x14ac:dyDescent="0.25">
      <c r="A894" s="1"/>
      <c r="B894" t="s">
        <v>1183</v>
      </c>
    </row>
    <row r="895" spans="1:2" x14ac:dyDescent="0.25">
      <c r="A895" s="1"/>
      <c r="B895" t="s">
        <v>291</v>
      </c>
    </row>
    <row r="896" spans="1:2" x14ac:dyDescent="0.25">
      <c r="A896" s="1"/>
      <c r="B896" t="s">
        <v>749</v>
      </c>
    </row>
    <row r="897" spans="1:2" x14ac:dyDescent="0.25">
      <c r="A897" s="1"/>
      <c r="B897" t="s">
        <v>793</v>
      </c>
    </row>
    <row r="898" spans="1:2" x14ac:dyDescent="0.25">
      <c r="A898" s="1"/>
      <c r="B898" t="s">
        <v>317</v>
      </c>
    </row>
    <row r="899" spans="1:2" x14ac:dyDescent="0.25">
      <c r="A899" s="1"/>
      <c r="B899" t="s">
        <v>795</v>
      </c>
    </row>
    <row r="900" spans="1:2" x14ac:dyDescent="0.25">
      <c r="A900" s="1"/>
      <c r="B900" t="s">
        <v>173</v>
      </c>
    </row>
    <row r="901" spans="1:2" x14ac:dyDescent="0.25">
      <c r="A901" s="1"/>
      <c r="B901" t="s">
        <v>1184</v>
      </c>
    </row>
    <row r="902" spans="1:2" x14ac:dyDescent="0.25">
      <c r="A902" s="1"/>
      <c r="B902" t="s">
        <v>1185</v>
      </c>
    </row>
    <row r="903" spans="1:2" x14ac:dyDescent="0.25">
      <c r="A903" s="1"/>
      <c r="B903" t="s">
        <v>588</v>
      </c>
    </row>
    <row r="904" spans="1:2" x14ac:dyDescent="0.25">
      <c r="A904" s="1"/>
      <c r="B904" t="s">
        <v>421</v>
      </c>
    </row>
    <row r="905" spans="1:2" x14ac:dyDescent="0.25">
      <c r="A905" s="1" t="s">
        <v>1186</v>
      </c>
      <c r="B905" t="s">
        <v>1187</v>
      </c>
    </row>
    <row r="906" spans="1:2" x14ac:dyDescent="0.25">
      <c r="A906" s="1"/>
      <c r="B906" t="s">
        <v>377</v>
      </c>
    </row>
    <row r="907" spans="1:2" x14ac:dyDescent="0.25">
      <c r="A907" s="1" t="s">
        <v>7960</v>
      </c>
      <c r="B907" t="s">
        <v>1188</v>
      </c>
    </row>
    <row r="908" spans="1:2" x14ac:dyDescent="0.25">
      <c r="A908" s="1"/>
      <c r="B908" t="s">
        <v>375</v>
      </c>
    </row>
    <row r="909" spans="1:2" x14ac:dyDescent="0.25">
      <c r="A909" s="1" t="s">
        <v>1189</v>
      </c>
      <c r="B909" t="s">
        <v>1190</v>
      </c>
    </row>
    <row r="910" spans="1:2" x14ac:dyDescent="0.25">
      <c r="A910" s="1"/>
      <c r="B910" t="s">
        <v>1191</v>
      </c>
    </row>
    <row r="911" spans="1:2" x14ac:dyDescent="0.25">
      <c r="A911" s="1"/>
      <c r="B911" t="s">
        <v>1192</v>
      </c>
    </row>
    <row r="912" spans="1:2" x14ac:dyDescent="0.25">
      <c r="A912" s="1" t="s">
        <v>7953</v>
      </c>
      <c r="B912" t="s">
        <v>1193</v>
      </c>
    </row>
    <row r="913" spans="1:2" x14ac:dyDescent="0.25">
      <c r="A913" s="1"/>
      <c r="B913" t="s">
        <v>685</v>
      </c>
    </row>
    <row r="914" spans="1:2" x14ac:dyDescent="0.25">
      <c r="A914" s="1" t="s">
        <v>424</v>
      </c>
      <c r="B914" t="s">
        <v>1194</v>
      </c>
    </row>
    <row r="915" spans="1:2" x14ac:dyDescent="0.25">
      <c r="A915" s="1"/>
      <c r="B915" t="s">
        <v>405</v>
      </c>
    </row>
    <row r="916" spans="1:2" x14ac:dyDescent="0.25">
      <c r="A916" s="1" t="s">
        <v>1195</v>
      </c>
      <c r="B916" t="s">
        <v>1196</v>
      </c>
    </row>
    <row r="917" spans="1:2" x14ac:dyDescent="0.25">
      <c r="A917" s="1"/>
      <c r="B917" t="s">
        <v>1197</v>
      </c>
    </row>
    <row r="918" spans="1:2" x14ac:dyDescent="0.25">
      <c r="A918" s="1"/>
      <c r="B918" t="s">
        <v>395</v>
      </c>
    </row>
    <row r="919" spans="1:2" x14ac:dyDescent="0.25">
      <c r="A919" s="1"/>
      <c r="B919" t="s">
        <v>769</v>
      </c>
    </row>
    <row r="920" spans="1:2" x14ac:dyDescent="0.25">
      <c r="A920" s="1"/>
      <c r="B920" t="s">
        <v>1198</v>
      </c>
    </row>
    <row r="921" spans="1:2" x14ac:dyDescent="0.25">
      <c r="A921" s="1"/>
      <c r="B921" t="s">
        <v>146</v>
      </c>
    </row>
    <row r="922" spans="1:2" x14ac:dyDescent="0.25">
      <c r="A922" s="1"/>
      <c r="B922" t="s">
        <v>1199</v>
      </c>
    </row>
    <row r="923" spans="1:2" x14ac:dyDescent="0.25">
      <c r="A923" s="1" t="s">
        <v>1200</v>
      </c>
      <c r="B923" t="s">
        <v>1201</v>
      </c>
    </row>
    <row r="924" spans="1:2" x14ac:dyDescent="0.25">
      <c r="A924" s="1" t="s">
        <v>1202</v>
      </c>
      <c r="B924" t="s">
        <v>1203</v>
      </c>
    </row>
    <row r="925" spans="1:2" x14ac:dyDescent="0.25">
      <c r="A925" s="1"/>
      <c r="B925" t="s">
        <v>1204</v>
      </c>
    </row>
    <row r="926" spans="1:2" x14ac:dyDescent="0.25">
      <c r="A926" s="1"/>
      <c r="B926" t="s">
        <v>1205</v>
      </c>
    </row>
    <row r="927" spans="1:2" x14ac:dyDescent="0.25">
      <c r="A927" s="1"/>
      <c r="B927" t="s">
        <v>1206</v>
      </c>
    </row>
    <row r="928" spans="1:2" x14ac:dyDescent="0.25">
      <c r="A928" s="1"/>
      <c r="B928" t="s">
        <v>1207</v>
      </c>
    </row>
    <row r="929" spans="1:2" x14ac:dyDescent="0.25">
      <c r="A929" s="1" t="s">
        <v>1208</v>
      </c>
      <c r="B929" t="s">
        <v>1209</v>
      </c>
    </row>
    <row r="930" spans="1:2" x14ac:dyDescent="0.25">
      <c r="A930" s="1"/>
      <c r="B930" t="s">
        <v>1210</v>
      </c>
    </row>
    <row r="931" spans="1:2" x14ac:dyDescent="0.25">
      <c r="A931" s="1" t="s">
        <v>8058</v>
      </c>
      <c r="B931" t="s">
        <v>8059</v>
      </c>
    </row>
    <row r="932" spans="1:2" x14ac:dyDescent="0.25">
      <c r="A932" s="1"/>
      <c r="B932" t="s">
        <v>8060</v>
      </c>
    </row>
    <row r="933" spans="1:2" x14ac:dyDescent="0.25">
      <c r="A933" s="1"/>
      <c r="B933" t="s">
        <v>339</v>
      </c>
    </row>
    <row r="934" spans="1:2" x14ac:dyDescent="0.25">
      <c r="A934" s="1"/>
      <c r="B934" t="s">
        <v>1211</v>
      </c>
    </row>
    <row r="935" spans="1:2" x14ac:dyDescent="0.25">
      <c r="A935" s="1" t="s">
        <v>1212</v>
      </c>
      <c r="B935" t="s">
        <v>1213</v>
      </c>
    </row>
    <row r="936" spans="1:2" x14ac:dyDescent="0.25">
      <c r="A936" s="1"/>
      <c r="B936" t="s">
        <v>669</v>
      </c>
    </row>
    <row r="937" spans="1:2" x14ac:dyDescent="0.25">
      <c r="A937" s="1"/>
      <c r="B937" t="s">
        <v>485</v>
      </c>
    </row>
    <row r="938" spans="1:2" x14ac:dyDescent="0.25">
      <c r="A938" s="1"/>
      <c r="B938" t="s">
        <v>687</v>
      </c>
    </row>
    <row r="939" spans="1:2" x14ac:dyDescent="0.25">
      <c r="A939" s="1"/>
      <c r="B939" t="s">
        <v>1214</v>
      </c>
    </row>
    <row r="940" spans="1:2" x14ac:dyDescent="0.25">
      <c r="A940" s="1" t="s">
        <v>1215</v>
      </c>
      <c r="B940" t="s">
        <v>1216</v>
      </c>
    </row>
    <row r="941" spans="1:2" x14ac:dyDescent="0.25">
      <c r="A941" s="1"/>
      <c r="B941" t="s">
        <v>1217</v>
      </c>
    </row>
    <row r="942" spans="1:2" x14ac:dyDescent="0.25">
      <c r="A942" s="1"/>
      <c r="B942" t="s">
        <v>409</v>
      </c>
    </row>
    <row r="943" spans="1:2" x14ac:dyDescent="0.25">
      <c r="A943" s="1"/>
      <c r="B943" t="s">
        <v>477</v>
      </c>
    </row>
    <row r="944" spans="1:2" x14ac:dyDescent="0.25">
      <c r="A944" s="1" t="s">
        <v>1218</v>
      </c>
      <c r="B944" t="s">
        <v>1219</v>
      </c>
    </row>
    <row r="945" spans="1:2" x14ac:dyDescent="0.25">
      <c r="A945" s="1" t="s">
        <v>1220</v>
      </c>
      <c r="B945" t="s">
        <v>1221</v>
      </c>
    </row>
    <row r="946" spans="1:2" x14ac:dyDescent="0.25">
      <c r="A946" s="1"/>
      <c r="B946" t="s">
        <v>729</v>
      </c>
    </row>
    <row r="947" spans="1:2" x14ac:dyDescent="0.25">
      <c r="A947" s="1"/>
      <c r="B947" t="s">
        <v>313</v>
      </c>
    </row>
    <row r="948" spans="1:2" x14ac:dyDescent="0.25">
      <c r="A948" s="1"/>
      <c r="B948" t="s">
        <v>1222</v>
      </c>
    </row>
    <row r="949" spans="1:2" x14ac:dyDescent="0.25">
      <c r="A949" s="1" t="s">
        <v>1223</v>
      </c>
      <c r="B949" t="s">
        <v>1224</v>
      </c>
    </row>
    <row r="950" spans="1:2" x14ac:dyDescent="0.25">
      <c r="A950" s="1" t="s">
        <v>1225</v>
      </c>
      <c r="B950" t="s">
        <v>1226</v>
      </c>
    </row>
    <row r="951" spans="1:2" x14ac:dyDescent="0.25">
      <c r="A951" s="1"/>
      <c r="B951" t="s">
        <v>199</v>
      </c>
    </row>
    <row r="952" spans="1:2" x14ac:dyDescent="0.25">
      <c r="A952" s="1"/>
      <c r="B952" t="s">
        <v>697</v>
      </c>
    </row>
    <row r="953" spans="1:2" x14ac:dyDescent="0.25">
      <c r="A953" s="1" t="s">
        <v>1227</v>
      </c>
      <c r="B953" t="s">
        <v>1228</v>
      </c>
    </row>
    <row r="954" spans="1:2" x14ac:dyDescent="0.25">
      <c r="A954" s="1"/>
      <c r="B954" t="s">
        <v>219</v>
      </c>
    </row>
    <row r="955" spans="1:2" x14ac:dyDescent="0.25">
      <c r="A955" s="1" t="s">
        <v>1229</v>
      </c>
      <c r="B955" t="s">
        <v>1230</v>
      </c>
    </row>
    <row r="956" spans="1:2" x14ac:dyDescent="0.25">
      <c r="A956" s="1"/>
      <c r="B956" t="s">
        <v>365</v>
      </c>
    </row>
    <row r="957" spans="1:2" x14ac:dyDescent="0.25">
      <c r="A957" s="1"/>
      <c r="B957" t="s">
        <v>509</v>
      </c>
    </row>
    <row r="958" spans="1:2" x14ac:dyDescent="0.25">
      <c r="A958" s="1" t="s">
        <v>1231</v>
      </c>
      <c r="B958" t="s">
        <v>1232</v>
      </c>
    </row>
    <row r="959" spans="1:2" x14ac:dyDescent="0.25">
      <c r="A959" s="1"/>
      <c r="B959" t="s">
        <v>1233</v>
      </c>
    </row>
    <row r="960" spans="1:2" x14ac:dyDescent="0.25">
      <c r="A960" s="1"/>
      <c r="B960" t="s">
        <v>1234</v>
      </c>
    </row>
    <row r="961" spans="1:2" x14ac:dyDescent="0.25">
      <c r="A961" s="1"/>
      <c r="B961" t="s">
        <v>339</v>
      </c>
    </row>
    <row r="962" spans="1:2" x14ac:dyDescent="0.25">
      <c r="A962" s="1"/>
      <c r="B962" t="s">
        <v>1235</v>
      </c>
    </row>
    <row r="963" spans="1:2" x14ac:dyDescent="0.25">
      <c r="A963" s="1"/>
      <c r="B963" t="s">
        <v>1236</v>
      </c>
    </row>
    <row r="964" spans="1:2" x14ac:dyDescent="0.25">
      <c r="A964" s="1"/>
      <c r="B964" t="s">
        <v>407</v>
      </c>
    </row>
    <row r="965" spans="1:2" x14ac:dyDescent="0.25">
      <c r="A965" s="1"/>
      <c r="B965" t="s">
        <v>534</v>
      </c>
    </row>
    <row r="966" spans="1:2" x14ac:dyDescent="0.25">
      <c r="A966" s="1" t="s">
        <v>1237</v>
      </c>
      <c r="B966" t="s">
        <v>1238</v>
      </c>
    </row>
    <row r="967" spans="1:2" x14ac:dyDescent="0.25">
      <c r="A967" s="1"/>
      <c r="B967" t="s">
        <v>630</v>
      </c>
    </row>
    <row r="968" spans="1:2" x14ac:dyDescent="0.25">
      <c r="A968" s="1" t="s">
        <v>1239</v>
      </c>
      <c r="B968" t="s">
        <v>1240</v>
      </c>
    </row>
    <row r="969" spans="1:2" x14ac:dyDescent="0.25">
      <c r="A969" s="1"/>
      <c r="B969" t="s">
        <v>1241</v>
      </c>
    </row>
    <row r="970" spans="1:2" x14ac:dyDescent="0.25">
      <c r="A970" s="1"/>
      <c r="B970" t="s">
        <v>1242</v>
      </c>
    </row>
    <row r="971" spans="1:2" x14ac:dyDescent="0.25">
      <c r="A971" s="1"/>
      <c r="B971" t="s">
        <v>1243</v>
      </c>
    </row>
    <row r="972" spans="1:2" x14ac:dyDescent="0.25">
      <c r="A972" s="1"/>
      <c r="B972" t="s">
        <v>289</v>
      </c>
    </row>
    <row r="973" spans="1:2" x14ac:dyDescent="0.25">
      <c r="A973" s="1"/>
      <c r="B973" t="s">
        <v>447</v>
      </c>
    </row>
    <row r="974" spans="1:2" x14ac:dyDescent="0.25">
      <c r="A974" s="1"/>
      <c r="B974" t="s">
        <v>606</v>
      </c>
    </row>
    <row r="975" spans="1:2" x14ac:dyDescent="0.25">
      <c r="A975" s="1"/>
      <c r="B975" t="s">
        <v>771</v>
      </c>
    </row>
    <row r="976" spans="1:2" x14ac:dyDescent="0.25">
      <c r="A976" s="1"/>
      <c r="B976" t="s">
        <v>411</v>
      </c>
    </row>
    <row r="977" spans="1:2" x14ac:dyDescent="0.25">
      <c r="A977" s="34" t="s">
        <v>296</v>
      </c>
      <c r="B977" t="s">
        <v>297</v>
      </c>
    </row>
    <row r="978" spans="1:2" x14ac:dyDescent="0.25">
      <c r="A978" s="1"/>
      <c r="B978" t="s">
        <v>1244</v>
      </c>
    </row>
    <row r="979" spans="1:2" x14ac:dyDescent="0.25">
      <c r="A979" s="1" t="s">
        <v>1245</v>
      </c>
      <c r="B979" t="s">
        <v>1246</v>
      </c>
    </row>
    <row r="980" spans="1:2" x14ac:dyDescent="0.25">
      <c r="A980" s="1"/>
      <c r="B980" t="s">
        <v>1247</v>
      </c>
    </row>
    <row r="981" spans="1:2" x14ac:dyDescent="0.25">
      <c r="A981" s="1"/>
      <c r="B981" t="s">
        <v>8047</v>
      </c>
    </row>
    <row r="982" spans="1:2" x14ac:dyDescent="0.25">
      <c r="A982" s="1"/>
      <c r="B982" t="s">
        <v>463</v>
      </c>
    </row>
    <row r="983" spans="1:2" x14ac:dyDescent="0.25">
      <c r="A983" s="1"/>
      <c r="B983" t="s">
        <v>641</v>
      </c>
    </row>
    <row r="984" spans="1:2" x14ac:dyDescent="0.25">
      <c r="A984" s="1"/>
      <c r="B984" t="s">
        <v>1248</v>
      </c>
    </row>
    <row r="985" spans="1:2" x14ac:dyDescent="0.25">
      <c r="A985" s="1" t="s">
        <v>1249</v>
      </c>
      <c r="B985" t="s">
        <v>1250</v>
      </c>
    </row>
    <row r="986" spans="1:2" x14ac:dyDescent="0.25">
      <c r="A986" s="1"/>
      <c r="B986" t="s">
        <v>449</v>
      </c>
    </row>
    <row r="987" spans="1:2" x14ac:dyDescent="0.25">
      <c r="A987" s="1" t="s">
        <v>1251</v>
      </c>
      <c r="B987" t="s">
        <v>1252</v>
      </c>
    </row>
    <row r="988" spans="1:2" x14ac:dyDescent="0.25">
      <c r="A988" s="1" t="s">
        <v>1253</v>
      </c>
      <c r="B988" t="s">
        <v>1254</v>
      </c>
    </row>
    <row r="989" spans="1:2" x14ac:dyDescent="0.25">
      <c r="A989" s="1"/>
      <c r="B989" t="s">
        <v>341</v>
      </c>
    </row>
    <row r="990" spans="1:2" x14ac:dyDescent="0.25">
      <c r="A990" s="1"/>
      <c r="B990" t="s">
        <v>681</v>
      </c>
    </row>
    <row r="991" spans="1:2" x14ac:dyDescent="0.25">
      <c r="A991" s="1"/>
      <c r="B991" t="s">
        <v>415</v>
      </c>
    </row>
    <row r="992" spans="1:2" x14ac:dyDescent="0.25">
      <c r="A992" s="1"/>
      <c r="B992" t="s">
        <v>568</v>
      </c>
    </row>
    <row r="993" spans="1:2" x14ac:dyDescent="0.25">
      <c r="A993" s="1" t="s">
        <v>8022</v>
      </c>
      <c r="B993" t="s">
        <v>455</v>
      </c>
    </row>
    <row r="994" spans="1:2" x14ac:dyDescent="0.25">
      <c r="A994" s="1" t="s">
        <v>8040</v>
      </c>
      <c r="B994" t="s">
        <v>8041</v>
      </c>
    </row>
    <row r="995" spans="1:2" x14ac:dyDescent="0.25">
      <c r="A995" s="1"/>
      <c r="B995" t="s">
        <v>1255</v>
      </c>
    </row>
    <row r="996" spans="1:2" x14ac:dyDescent="0.25">
      <c r="A996" s="1" t="s">
        <v>1256</v>
      </c>
      <c r="B996" t="s">
        <v>1257</v>
      </c>
    </row>
    <row r="997" spans="1:2" x14ac:dyDescent="0.25">
      <c r="A997" s="1" t="s">
        <v>8062</v>
      </c>
      <c r="B997" t="s">
        <v>8063</v>
      </c>
    </row>
    <row r="998" spans="1:2" x14ac:dyDescent="0.25">
      <c r="A998" s="1"/>
      <c r="B998" t="s">
        <v>773</v>
      </c>
    </row>
    <row r="999" spans="1:2" x14ac:dyDescent="0.25">
      <c r="A999" s="1"/>
      <c r="B999" t="s">
        <v>1258</v>
      </c>
    </row>
    <row r="1000" spans="1:2" x14ac:dyDescent="0.25">
      <c r="A1000" s="1"/>
      <c r="B1000" t="s">
        <v>231</v>
      </c>
    </row>
    <row r="1001" spans="1:2" x14ac:dyDescent="0.25">
      <c r="A1001" s="1"/>
      <c r="B1001" t="s">
        <v>1259</v>
      </c>
    </row>
    <row r="1002" spans="1:2" x14ac:dyDescent="0.25">
      <c r="A1002" s="1"/>
      <c r="B1002" t="s">
        <v>574</v>
      </c>
    </row>
    <row r="1003" spans="1:2" x14ac:dyDescent="0.25">
      <c r="A1003" s="1"/>
      <c r="B1003" t="s">
        <v>538</v>
      </c>
    </row>
    <row r="1004" spans="1:2" x14ac:dyDescent="0.25">
      <c r="A1004" s="1"/>
      <c r="B1004" t="s">
        <v>1260</v>
      </c>
    </row>
    <row r="1005" spans="1:2" x14ac:dyDescent="0.25">
      <c r="A1005" s="1"/>
      <c r="B1005" t="s">
        <v>511</v>
      </c>
    </row>
    <row r="1006" spans="1:2" x14ac:dyDescent="0.25">
      <c r="A1006" s="1"/>
      <c r="B1006" t="s">
        <v>307</v>
      </c>
    </row>
    <row r="1007" spans="1:2" x14ac:dyDescent="0.25">
      <c r="A1007" s="1"/>
      <c r="B1007" t="s">
        <v>313</v>
      </c>
    </row>
    <row r="1008" spans="1:2" x14ac:dyDescent="0.25">
      <c r="A1008" s="1"/>
      <c r="B1008" t="s">
        <v>383</v>
      </c>
    </row>
    <row r="1009" spans="1:2" x14ac:dyDescent="0.25">
      <c r="A1009" s="1"/>
      <c r="B1009" t="s">
        <v>114</v>
      </c>
    </row>
    <row r="1010" spans="1:2" x14ac:dyDescent="0.25">
      <c r="A1010" s="1"/>
      <c r="B1010" t="s">
        <v>179</v>
      </c>
    </row>
    <row r="1011" spans="1:2" x14ac:dyDescent="0.25">
      <c r="A1011" s="1"/>
      <c r="B1011" t="s">
        <v>797</v>
      </c>
    </row>
    <row r="1012" spans="1:2" x14ac:dyDescent="0.25">
      <c r="A1012" s="1"/>
      <c r="B1012" t="s">
        <v>767</v>
      </c>
    </row>
    <row r="1013" spans="1:2" x14ac:dyDescent="0.25">
      <c r="A1013" s="1"/>
      <c r="B1013" t="s">
        <v>765</v>
      </c>
    </row>
    <row r="1014" spans="1:2" x14ac:dyDescent="0.25">
      <c r="A1014" s="1"/>
      <c r="B1014" t="s">
        <v>235</v>
      </c>
    </row>
    <row r="1015" spans="1:2" x14ac:dyDescent="0.25">
      <c r="A1015" s="1"/>
      <c r="B1015" t="s">
        <v>733</v>
      </c>
    </row>
    <row r="1016" spans="1:2" x14ac:dyDescent="0.25">
      <c r="A1016" s="1"/>
      <c r="B1016" t="s">
        <v>124</v>
      </c>
    </row>
    <row r="1017" spans="1:2" x14ac:dyDescent="0.25">
      <c r="A1017" s="1"/>
      <c r="B1017" t="s">
        <v>739</v>
      </c>
    </row>
    <row r="1018" spans="1:2" x14ac:dyDescent="0.25">
      <c r="A1018" s="1"/>
      <c r="B1018" t="s">
        <v>745</v>
      </c>
    </row>
    <row r="1019" spans="1:2" x14ac:dyDescent="0.25">
      <c r="A1019" s="1"/>
      <c r="B1019" t="s">
        <v>475</v>
      </c>
    </row>
    <row r="1020" spans="1:2" x14ac:dyDescent="0.25">
      <c r="A1020" s="1"/>
      <c r="B1020" t="s">
        <v>303</v>
      </c>
    </row>
    <row r="1021" spans="1:2" x14ac:dyDescent="0.25">
      <c r="A1021" s="1"/>
      <c r="B1021" t="s">
        <v>645</v>
      </c>
    </row>
    <row r="1022" spans="1:2" x14ac:dyDescent="0.25">
      <c r="A1022" s="1"/>
      <c r="B1022" t="s">
        <v>707</v>
      </c>
    </row>
    <row r="1023" spans="1:2" x14ac:dyDescent="0.25">
      <c r="A1023" s="1"/>
      <c r="B1023" t="s">
        <v>699</v>
      </c>
    </row>
    <row r="1024" spans="1:2" x14ac:dyDescent="0.25">
      <c r="A1024" s="1"/>
      <c r="B1024" t="s">
        <v>675</v>
      </c>
    </row>
    <row r="1025" spans="1:2" x14ac:dyDescent="0.25">
      <c r="A1025" s="1"/>
      <c r="B1025" t="s">
        <v>671</v>
      </c>
    </row>
    <row r="1026" spans="1:2" x14ac:dyDescent="0.25">
      <c r="A1026" s="1"/>
      <c r="B1026" t="s">
        <v>649</v>
      </c>
    </row>
    <row r="1027" spans="1:2" x14ac:dyDescent="0.25">
      <c r="A1027" s="1" t="s">
        <v>8053</v>
      </c>
      <c r="B1027" t="s">
        <v>647</v>
      </c>
    </row>
    <row r="1028" spans="1:2" x14ac:dyDescent="0.25">
      <c r="A1028" s="1"/>
      <c r="B1028" t="s">
        <v>624</v>
      </c>
    </row>
    <row r="1029" spans="1:2" x14ac:dyDescent="0.25">
      <c r="A1029" s="1"/>
      <c r="B1029" t="s">
        <v>602</v>
      </c>
    </row>
    <row r="1030" spans="1:2" x14ac:dyDescent="0.25">
      <c r="A1030" s="1"/>
      <c r="B1030" t="s">
        <v>558</v>
      </c>
    </row>
    <row r="1031" spans="1:2" x14ac:dyDescent="0.25">
      <c r="A1031" s="1"/>
      <c r="B1031" t="s">
        <v>546</v>
      </c>
    </row>
    <row r="1032" spans="1:2" x14ac:dyDescent="0.25">
      <c r="A1032" s="1"/>
      <c r="B1032" t="s">
        <v>497</v>
      </c>
    </row>
    <row r="1033" spans="1:2" x14ac:dyDescent="0.25">
      <c r="A1033" s="1"/>
      <c r="B1033" t="s">
        <v>473</v>
      </c>
    </row>
    <row r="1034" spans="1:2" x14ac:dyDescent="0.25">
      <c r="A1034" s="1"/>
      <c r="B1034" t="s">
        <v>435</v>
      </c>
    </row>
    <row r="1035" spans="1:2" x14ac:dyDescent="0.25">
      <c r="A1035" s="1"/>
      <c r="B1035" t="s">
        <v>425</v>
      </c>
    </row>
    <row r="1036" spans="1:2" x14ac:dyDescent="0.25">
      <c r="A1036" s="1"/>
      <c r="B1036" t="s">
        <v>387</v>
      </c>
    </row>
    <row r="1037" spans="1:2" x14ac:dyDescent="0.25">
      <c r="A1037" s="1"/>
      <c r="B1037" t="s">
        <v>337</v>
      </c>
    </row>
    <row r="1038" spans="1:2" x14ac:dyDescent="0.25">
      <c r="A1038" s="1"/>
      <c r="B1038" t="s">
        <v>333</v>
      </c>
    </row>
    <row r="1039" spans="1:2" x14ac:dyDescent="0.25">
      <c r="A1039" s="1"/>
      <c r="B1039" t="s">
        <v>281</v>
      </c>
    </row>
    <row r="1040" spans="1:2" x14ac:dyDescent="0.25">
      <c r="A1040" s="1"/>
      <c r="B1040" t="s">
        <v>265</v>
      </c>
    </row>
    <row r="1041" spans="1:2" x14ac:dyDescent="0.25">
      <c r="A1041" s="1"/>
      <c r="B1041" t="s">
        <v>253</v>
      </c>
    </row>
    <row r="1042" spans="1:2" x14ac:dyDescent="0.25">
      <c r="A1042" s="1"/>
      <c r="B1042" t="s">
        <v>211</v>
      </c>
    </row>
    <row r="1043" spans="1:2" x14ac:dyDescent="0.25">
      <c r="A1043" s="1"/>
      <c r="B1043" t="s">
        <v>205</v>
      </c>
    </row>
    <row r="1044" spans="1:2" x14ac:dyDescent="0.25">
      <c r="A1044" s="1"/>
      <c r="B1044" t="s">
        <v>203</v>
      </c>
    </row>
    <row r="1045" spans="1:2" x14ac:dyDescent="0.25">
      <c r="A1045" s="1"/>
      <c r="B1045" t="s">
        <v>201</v>
      </c>
    </row>
    <row r="1046" spans="1:2" x14ac:dyDescent="0.25">
      <c r="A1046" s="1"/>
      <c r="B1046" t="s">
        <v>197</v>
      </c>
    </row>
    <row r="1047" spans="1:2" x14ac:dyDescent="0.25">
      <c r="A1047" s="1"/>
      <c r="B1047" t="s">
        <v>150</v>
      </c>
    </row>
    <row r="1048" spans="1:2" x14ac:dyDescent="0.25">
      <c r="A1048" s="1"/>
      <c r="B1048" t="s">
        <v>177</v>
      </c>
    </row>
    <row r="1049" spans="1:2" x14ac:dyDescent="0.25">
      <c r="A1049" s="1"/>
      <c r="B1049" t="s">
        <v>175</v>
      </c>
    </row>
    <row r="1050" spans="1:2" x14ac:dyDescent="0.25">
      <c r="A1050" s="1"/>
      <c r="B1050" t="s">
        <v>171</v>
      </c>
    </row>
    <row r="1051" spans="1:2" x14ac:dyDescent="0.25">
      <c r="A1051" s="1"/>
      <c r="B1051" t="s">
        <v>150</v>
      </c>
    </row>
    <row r="1052" spans="1:2" x14ac:dyDescent="0.25">
      <c r="A1052" s="1"/>
      <c r="B1052" t="s">
        <v>138</v>
      </c>
    </row>
    <row r="1053" spans="1:2" x14ac:dyDescent="0.25">
      <c r="A1053" s="1" t="s">
        <v>8064</v>
      </c>
      <c r="B1053" t="s">
        <v>8065</v>
      </c>
    </row>
    <row r="1054" spans="1:2" x14ac:dyDescent="0.25">
      <c r="A1054" s="1" t="s">
        <v>1107</v>
      </c>
      <c r="B1054" t="s">
        <v>1108</v>
      </c>
    </row>
    <row r="1055" spans="1:2" x14ac:dyDescent="0.25">
      <c r="A1055" s="1" t="s">
        <v>1261</v>
      </c>
      <c r="B1055" t="s">
        <v>1262</v>
      </c>
    </row>
    <row r="1056" spans="1:2" x14ac:dyDescent="0.25">
      <c r="A1056" s="1" t="s">
        <v>1263</v>
      </c>
      <c r="B1056" t="s">
        <v>1264</v>
      </c>
    </row>
    <row r="1057" spans="1:2" x14ac:dyDescent="0.25">
      <c r="A1057" s="1" t="s">
        <v>1265</v>
      </c>
      <c r="B1057" t="s">
        <v>1266</v>
      </c>
    </row>
    <row r="1058" spans="1:2" x14ac:dyDescent="0.25">
      <c r="A1058" s="1" t="s">
        <v>1267</v>
      </c>
      <c r="B1058" t="s">
        <v>1268</v>
      </c>
    </row>
    <row r="1059" spans="1:2" x14ac:dyDescent="0.25">
      <c r="A1059" s="1" t="s">
        <v>1269</v>
      </c>
      <c r="B1059" t="s">
        <v>1270</v>
      </c>
    </row>
    <row r="1060" spans="1:2" x14ac:dyDescent="0.25">
      <c r="A1060" s="1" t="s">
        <v>1271</v>
      </c>
      <c r="B1060" t="s">
        <v>1272</v>
      </c>
    </row>
    <row r="1061" spans="1:2" x14ac:dyDescent="0.25">
      <c r="A1061" s="1" t="s">
        <v>1273</v>
      </c>
      <c r="B1061" t="s">
        <v>1274</v>
      </c>
    </row>
    <row r="1062" spans="1:2" x14ac:dyDescent="0.25">
      <c r="A1062" s="1" t="s">
        <v>1275</v>
      </c>
      <c r="B1062" t="s">
        <v>1276</v>
      </c>
    </row>
    <row r="1063" spans="1:2" x14ac:dyDescent="0.25">
      <c r="A1063" s="1" t="s">
        <v>1277</v>
      </c>
      <c r="B1063" t="s">
        <v>1278</v>
      </c>
    </row>
    <row r="1064" spans="1:2" x14ac:dyDescent="0.25">
      <c r="A1064" s="1" t="s">
        <v>1279</v>
      </c>
      <c r="B1064" t="s">
        <v>1280</v>
      </c>
    </row>
    <row r="1065" spans="1:2" x14ac:dyDescent="0.25">
      <c r="A1065" s="1" t="s">
        <v>1281</v>
      </c>
      <c r="B1065" t="s">
        <v>1282</v>
      </c>
    </row>
    <row r="1066" spans="1:2" x14ac:dyDescent="0.25">
      <c r="A1066" s="1" t="s">
        <v>1283</v>
      </c>
      <c r="B1066" t="s">
        <v>1284</v>
      </c>
    </row>
    <row r="1067" spans="1:2" x14ac:dyDescent="0.25">
      <c r="A1067" s="1" t="s">
        <v>1285</v>
      </c>
      <c r="B1067" t="s">
        <v>1286</v>
      </c>
    </row>
    <row r="1068" spans="1:2" x14ac:dyDescent="0.25">
      <c r="A1068" s="1" t="s">
        <v>1287</v>
      </c>
      <c r="B1068" t="s">
        <v>1288</v>
      </c>
    </row>
    <row r="1069" spans="1:2" x14ac:dyDescent="0.25">
      <c r="A1069" s="1" t="s">
        <v>1289</v>
      </c>
      <c r="B1069" t="s">
        <v>1290</v>
      </c>
    </row>
    <row r="1070" spans="1:2" x14ac:dyDescent="0.25">
      <c r="A1070" s="1" t="s">
        <v>1291</v>
      </c>
      <c r="B1070" t="s">
        <v>1292</v>
      </c>
    </row>
    <row r="1071" spans="1:2" x14ac:dyDescent="0.25">
      <c r="A1071" s="1" t="s">
        <v>1293</v>
      </c>
      <c r="B1071" t="s">
        <v>1294</v>
      </c>
    </row>
    <row r="1072" spans="1:2" x14ac:dyDescent="0.25">
      <c r="A1072" s="1" t="s">
        <v>1295</v>
      </c>
      <c r="B1072" t="s">
        <v>1296</v>
      </c>
    </row>
    <row r="1073" spans="1:2" x14ac:dyDescent="0.25">
      <c r="A1073" s="1" t="s">
        <v>1297</v>
      </c>
      <c r="B1073" t="s">
        <v>1298</v>
      </c>
    </row>
    <row r="1074" spans="1:2" x14ac:dyDescent="0.25">
      <c r="A1074" s="1" t="s">
        <v>1299</v>
      </c>
      <c r="B1074" t="s">
        <v>1300</v>
      </c>
    </row>
    <row r="1075" spans="1:2" x14ac:dyDescent="0.25">
      <c r="A1075" s="1" t="s">
        <v>1301</v>
      </c>
      <c r="B1075" t="s">
        <v>1302</v>
      </c>
    </row>
    <row r="1076" spans="1:2" x14ac:dyDescent="0.25">
      <c r="A1076" s="1" t="s">
        <v>1303</v>
      </c>
      <c r="B1076" t="s">
        <v>1304</v>
      </c>
    </row>
    <row r="1077" spans="1:2" x14ac:dyDescent="0.25">
      <c r="A1077" s="1" t="s">
        <v>1305</v>
      </c>
      <c r="B1077" t="s">
        <v>1306</v>
      </c>
    </row>
    <row r="1078" spans="1:2" x14ac:dyDescent="0.25">
      <c r="A1078" s="1" t="s">
        <v>470</v>
      </c>
      <c r="B1078" t="s">
        <v>1307</v>
      </c>
    </row>
    <row r="1079" spans="1:2" x14ac:dyDescent="0.25">
      <c r="A1079" s="1" t="s">
        <v>1256</v>
      </c>
      <c r="B1079" t="s">
        <v>1308</v>
      </c>
    </row>
    <row r="1080" spans="1:2" x14ac:dyDescent="0.25">
      <c r="A1080" s="1" t="s">
        <v>1309</v>
      </c>
      <c r="B1080" t="s">
        <v>1310</v>
      </c>
    </row>
    <row r="1081" spans="1:2" x14ac:dyDescent="0.25">
      <c r="A1081" s="1" t="s">
        <v>1311</v>
      </c>
      <c r="B1081" t="s">
        <v>1312</v>
      </c>
    </row>
    <row r="1082" spans="1:2" x14ac:dyDescent="0.25">
      <c r="A1082" s="1" t="s">
        <v>1313</v>
      </c>
      <c r="B1082" t="s">
        <v>1314</v>
      </c>
    </row>
    <row r="1083" spans="1:2" x14ac:dyDescent="0.25">
      <c r="A1083" s="1" t="s">
        <v>1315</v>
      </c>
      <c r="B1083" t="s">
        <v>1316</v>
      </c>
    </row>
    <row r="1084" spans="1:2" x14ac:dyDescent="0.25">
      <c r="A1084" s="1" t="s">
        <v>1317</v>
      </c>
      <c r="B1084" t="s">
        <v>1318</v>
      </c>
    </row>
    <row r="1085" spans="1:2" x14ac:dyDescent="0.25">
      <c r="A1085" s="1" t="s">
        <v>1319</v>
      </c>
      <c r="B1085" t="s">
        <v>1320</v>
      </c>
    </row>
    <row r="1086" spans="1:2" x14ac:dyDescent="0.25">
      <c r="A1086" s="1" t="s">
        <v>1321</v>
      </c>
      <c r="B1086" t="s">
        <v>1322</v>
      </c>
    </row>
    <row r="1087" spans="1:2" x14ac:dyDescent="0.25">
      <c r="A1087" s="1" t="s">
        <v>1323</v>
      </c>
      <c r="B1087" t="s">
        <v>1324</v>
      </c>
    </row>
    <row r="1088" spans="1:2" x14ac:dyDescent="0.25">
      <c r="A1088" s="1" t="s">
        <v>1325</v>
      </c>
      <c r="B1088" t="s">
        <v>1326</v>
      </c>
    </row>
    <row r="1089" spans="1:2" x14ac:dyDescent="0.25">
      <c r="A1089" s="1" t="s">
        <v>1327</v>
      </c>
      <c r="B1089" t="s">
        <v>1328</v>
      </c>
    </row>
    <row r="1090" spans="1:2" x14ac:dyDescent="0.25">
      <c r="A1090" s="1" t="s">
        <v>1329</v>
      </c>
      <c r="B1090" t="s">
        <v>1330</v>
      </c>
    </row>
    <row r="1091" spans="1:2" x14ac:dyDescent="0.25">
      <c r="A1091" s="1" t="s">
        <v>1157</v>
      </c>
      <c r="B1091" t="s">
        <v>1331</v>
      </c>
    </row>
    <row r="1092" spans="1:2" x14ac:dyDescent="0.25">
      <c r="A1092" s="1" t="s">
        <v>1332</v>
      </c>
      <c r="B1092" t="s">
        <v>1333</v>
      </c>
    </row>
    <row r="1093" spans="1:2" x14ac:dyDescent="0.25">
      <c r="A1093" s="1" t="s">
        <v>1334</v>
      </c>
      <c r="B1093" t="s">
        <v>1335</v>
      </c>
    </row>
    <row r="1094" spans="1:2" x14ac:dyDescent="0.25">
      <c r="A1094" s="1" t="s">
        <v>1336</v>
      </c>
      <c r="B1094" t="s">
        <v>1337</v>
      </c>
    </row>
    <row r="1095" spans="1:2" x14ac:dyDescent="0.25">
      <c r="A1095" s="1" t="s">
        <v>1338</v>
      </c>
      <c r="B1095" t="s">
        <v>1339</v>
      </c>
    </row>
    <row r="1096" spans="1:2" x14ac:dyDescent="0.25">
      <c r="A1096" s="1" t="s">
        <v>1340</v>
      </c>
      <c r="B1096" t="s">
        <v>1341</v>
      </c>
    </row>
    <row r="1097" spans="1:2" x14ac:dyDescent="0.25">
      <c r="A1097" s="1" t="s">
        <v>1342</v>
      </c>
      <c r="B1097" t="s">
        <v>1343</v>
      </c>
    </row>
    <row r="1098" spans="1:2" x14ac:dyDescent="0.25">
      <c r="A1098" s="1" t="s">
        <v>1344</v>
      </c>
      <c r="B1098" t="s">
        <v>1345</v>
      </c>
    </row>
    <row r="1099" spans="1:2" x14ac:dyDescent="0.25">
      <c r="A1099" s="1" t="s">
        <v>1346</v>
      </c>
      <c r="B1099" t="s">
        <v>1347</v>
      </c>
    </row>
    <row r="1100" spans="1:2" x14ac:dyDescent="0.25">
      <c r="A1100" s="1" t="s">
        <v>1348</v>
      </c>
      <c r="B1100" t="s">
        <v>1349</v>
      </c>
    </row>
    <row r="1101" spans="1:2" x14ac:dyDescent="0.25">
      <c r="A1101" s="1" t="s">
        <v>1350</v>
      </c>
      <c r="B1101" t="s">
        <v>1351</v>
      </c>
    </row>
    <row r="1102" spans="1:2" x14ac:dyDescent="0.25">
      <c r="A1102" s="1" t="s">
        <v>1325</v>
      </c>
      <c r="B1102" t="s">
        <v>1326</v>
      </c>
    </row>
    <row r="1103" spans="1:2" x14ac:dyDescent="0.25">
      <c r="A1103" s="1" t="s">
        <v>1352</v>
      </c>
      <c r="B1103" t="s">
        <v>1353</v>
      </c>
    </row>
    <row r="1104" spans="1:2" x14ac:dyDescent="0.25">
      <c r="A1104" s="1" t="s">
        <v>1354</v>
      </c>
      <c r="B1104" t="s">
        <v>1355</v>
      </c>
    </row>
    <row r="1105" spans="1:2" x14ac:dyDescent="0.25">
      <c r="A1105" s="1" t="s">
        <v>1356</v>
      </c>
      <c r="B1105" t="s">
        <v>1357</v>
      </c>
    </row>
    <row r="1106" spans="1:2" x14ac:dyDescent="0.25">
      <c r="A1106" s="1" t="s">
        <v>1358</v>
      </c>
      <c r="B1106" t="s">
        <v>1359</v>
      </c>
    </row>
    <row r="1107" spans="1:2" x14ac:dyDescent="0.25">
      <c r="A1107" s="1" t="s">
        <v>7992</v>
      </c>
      <c r="B1107" t="s">
        <v>1361</v>
      </c>
    </row>
    <row r="1108" spans="1:2" x14ac:dyDescent="0.25">
      <c r="A1108" s="1" t="s">
        <v>7970</v>
      </c>
      <c r="B1108" t="s">
        <v>1362</v>
      </c>
    </row>
    <row r="1109" spans="1:2" x14ac:dyDescent="0.25">
      <c r="A1109" s="1" t="s">
        <v>1363</v>
      </c>
      <c r="B1109" t="s">
        <v>1364</v>
      </c>
    </row>
    <row r="1110" spans="1:2" x14ac:dyDescent="0.25">
      <c r="A1110" s="1" t="s">
        <v>1365</v>
      </c>
      <c r="B1110" t="s">
        <v>1366</v>
      </c>
    </row>
    <row r="1111" spans="1:2" x14ac:dyDescent="0.25">
      <c r="A1111" s="39" t="s">
        <v>7915</v>
      </c>
      <c r="B1111" t="s">
        <v>1367</v>
      </c>
    </row>
    <row r="1112" spans="1:2" x14ac:dyDescent="0.25">
      <c r="A1112" s="1" t="s">
        <v>1368</v>
      </c>
      <c r="B1112" t="s">
        <v>1369</v>
      </c>
    </row>
    <row r="1113" spans="1:2" x14ac:dyDescent="0.25">
      <c r="A1113" s="1" t="s">
        <v>1370</v>
      </c>
      <c r="B1113" t="s">
        <v>1371</v>
      </c>
    </row>
    <row r="1114" spans="1:2" x14ac:dyDescent="0.25">
      <c r="A1114" s="1" t="s">
        <v>1372</v>
      </c>
      <c r="B1114" t="s">
        <v>1373</v>
      </c>
    </row>
    <row r="1115" spans="1:2" x14ac:dyDescent="0.25">
      <c r="A1115" s="1" t="s">
        <v>1374</v>
      </c>
      <c r="B1115" t="s">
        <v>1375</v>
      </c>
    </row>
    <row r="1116" spans="1:2" x14ac:dyDescent="0.25">
      <c r="A1116" s="1" t="s">
        <v>1376</v>
      </c>
      <c r="B1116" t="s">
        <v>1377</v>
      </c>
    </row>
    <row r="1117" spans="1:2" x14ac:dyDescent="0.25">
      <c r="A1117" s="1" t="s">
        <v>1378</v>
      </c>
      <c r="B1117" t="s">
        <v>1379</v>
      </c>
    </row>
    <row r="1118" spans="1:2" x14ac:dyDescent="0.25">
      <c r="A1118" s="1" t="s">
        <v>1380</v>
      </c>
      <c r="B1118" t="s">
        <v>1381</v>
      </c>
    </row>
    <row r="1119" spans="1:2" x14ac:dyDescent="0.25">
      <c r="A1119" s="1" t="s">
        <v>1382</v>
      </c>
      <c r="B1119" t="s">
        <v>1383</v>
      </c>
    </row>
    <row r="1120" spans="1:2" x14ac:dyDescent="0.25">
      <c r="A1120" s="1" t="s">
        <v>1384</v>
      </c>
      <c r="B1120" t="s">
        <v>1385</v>
      </c>
    </row>
    <row r="1121" spans="1:2" x14ac:dyDescent="0.25">
      <c r="A1121" s="1" t="s">
        <v>1386</v>
      </c>
      <c r="B1121" t="s">
        <v>1387</v>
      </c>
    </row>
    <row r="1122" spans="1:2" x14ac:dyDescent="0.25">
      <c r="A1122" s="1" t="s">
        <v>1388</v>
      </c>
      <c r="B1122" t="s">
        <v>1389</v>
      </c>
    </row>
    <row r="1123" spans="1:2" x14ac:dyDescent="0.25">
      <c r="A1123" s="1" t="s">
        <v>1390</v>
      </c>
      <c r="B1123" t="s">
        <v>1391</v>
      </c>
    </row>
    <row r="1124" spans="1:2" x14ac:dyDescent="0.25">
      <c r="A1124" s="1" t="s">
        <v>1392</v>
      </c>
      <c r="B1124" t="s">
        <v>1393</v>
      </c>
    </row>
    <row r="1125" spans="1:2" x14ac:dyDescent="0.25">
      <c r="A1125" s="1" t="s">
        <v>1394</v>
      </c>
      <c r="B1125" t="s">
        <v>1395</v>
      </c>
    </row>
    <row r="1126" spans="1:2" x14ac:dyDescent="0.25">
      <c r="A1126" s="1" t="s">
        <v>1396</v>
      </c>
      <c r="B1126" t="s">
        <v>1397</v>
      </c>
    </row>
    <row r="1127" spans="1:2" x14ac:dyDescent="0.25">
      <c r="A1127" s="1" t="s">
        <v>430</v>
      </c>
      <c r="B1127" t="s">
        <v>1398</v>
      </c>
    </row>
    <row r="1128" spans="1:2" x14ac:dyDescent="0.25">
      <c r="A1128" s="1" t="s">
        <v>1399</v>
      </c>
      <c r="B1128" t="s">
        <v>1400</v>
      </c>
    </row>
    <row r="1129" spans="1:2" x14ac:dyDescent="0.25">
      <c r="A1129" s="1" t="s">
        <v>1401</v>
      </c>
      <c r="B1129" t="s">
        <v>1402</v>
      </c>
    </row>
    <row r="1130" spans="1:2" x14ac:dyDescent="0.25">
      <c r="A1130" s="1" t="s">
        <v>1403</v>
      </c>
      <c r="B1130" t="s">
        <v>1404</v>
      </c>
    </row>
    <row r="1131" spans="1:2" x14ac:dyDescent="0.25">
      <c r="A1131" s="1" t="s">
        <v>1405</v>
      </c>
      <c r="B1131" t="s">
        <v>1406</v>
      </c>
    </row>
    <row r="1132" spans="1:2" x14ac:dyDescent="0.25">
      <c r="A1132" s="1" t="s">
        <v>1407</v>
      </c>
      <c r="B1132" t="s">
        <v>1408</v>
      </c>
    </row>
    <row r="1133" spans="1:2" x14ac:dyDescent="0.25">
      <c r="A1133" s="1" t="s">
        <v>1409</v>
      </c>
      <c r="B1133" t="s">
        <v>1410</v>
      </c>
    </row>
    <row r="1134" spans="1:2" x14ac:dyDescent="0.25">
      <c r="A1134" s="1" t="s">
        <v>1411</v>
      </c>
      <c r="B1134" t="s">
        <v>1412</v>
      </c>
    </row>
    <row r="1135" spans="1:2" x14ac:dyDescent="0.25">
      <c r="A1135" s="1" t="s">
        <v>1413</v>
      </c>
      <c r="B1135" t="s">
        <v>1414</v>
      </c>
    </row>
    <row r="1136" spans="1:2" x14ac:dyDescent="0.25">
      <c r="A1136" s="1" t="s">
        <v>1415</v>
      </c>
      <c r="B1136" t="s">
        <v>1416</v>
      </c>
    </row>
    <row r="1137" spans="1:2" x14ac:dyDescent="0.25">
      <c r="A1137" s="1" t="s">
        <v>1417</v>
      </c>
      <c r="B1137" t="s">
        <v>1418</v>
      </c>
    </row>
    <row r="1138" spans="1:2" x14ac:dyDescent="0.25">
      <c r="A1138" s="1" t="s">
        <v>1419</v>
      </c>
      <c r="B1138" t="s">
        <v>1420</v>
      </c>
    </row>
    <row r="1139" spans="1:2" x14ac:dyDescent="0.25">
      <c r="A1139" s="1" t="s">
        <v>1421</v>
      </c>
      <c r="B1139" t="s">
        <v>1422</v>
      </c>
    </row>
    <row r="1140" spans="1:2" x14ac:dyDescent="0.25">
      <c r="A1140" s="1" t="s">
        <v>1423</v>
      </c>
      <c r="B1140" t="s">
        <v>1424</v>
      </c>
    </row>
    <row r="1141" spans="1:2" x14ac:dyDescent="0.25">
      <c r="A1141" s="1" t="s">
        <v>1425</v>
      </c>
      <c r="B1141" t="s">
        <v>1426</v>
      </c>
    </row>
    <row r="1142" spans="1:2" x14ac:dyDescent="0.25">
      <c r="A1142" s="1" t="s">
        <v>1427</v>
      </c>
      <c r="B1142" t="s">
        <v>1428</v>
      </c>
    </row>
    <row r="1143" spans="1:2" x14ac:dyDescent="0.25">
      <c r="A1143" s="1" t="s">
        <v>1429</v>
      </c>
      <c r="B1143" t="s">
        <v>1430</v>
      </c>
    </row>
    <row r="1144" spans="1:2" x14ac:dyDescent="0.25">
      <c r="A1144" s="1" t="s">
        <v>1431</v>
      </c>
      <c r="B1144" t="s">
        <v>1432</v>
      </c>
    </row>
    <row r="1145" spans="1:2" x14ac:dyDescent="0.25">
      <c r="A1145" s="1" t="s">
        <v>1433</v>
      </c>
      <c r="B1145" t="s">
        <v>1434</v>
      </c>
    </row>
    <row r="1146" spans="1:2" x14ac:dyDescent="0.25">
      <c r="A1146" s="1" t="s">
        <v>1435</v>
      </c>
      <c r="B1146" t="s">
        <v>1436</v>
      </c>
    </row>
    <row r="1147" spans="1:2" x14ac:dyDescent="0.25">
      <c r="A1147" s="1" t="s">
        <v>1437</v>
      </c>
      <c r="B1147" t="s">
        <v>1438</v>
      </c>
    </row>
    <row r="1148" spans="1:2" x14ac:dyDescent="0.25">
      <c r="A1148" s="1" t="s">
        <v>1439</v>
      </c>
      <c r="B1148" t="s">
        <v>1440</v>
      </c>
    </row>
    <row r="1149" spans="1:2" x14ac:dyDescent="0.25">
      <c r="A1149" s="1" t="s">
        <v>1441</v>
      </c>
      <c r="B1149" t="s">
        <v>1442</v>
      </c>
    </row>
    <row r="1150" spans="1:2" x14ac:dyDescent="0.25">
      <c r="A1150" s="1" t="s">
        <v>1443</v>
      </c>
      <c r="B1150" t="s">
        <v>1444</v>
      </c>
    </row>
    <row r="1151" spans="1:2" x14ac:dyDescent="0.25">
      <c r="A1151" s="1" t="s">
        <v>1445</v>
      </c>
      <c r="B1151" t="s">
        <v>1446</v>
      </c>
    </row>
    <row r="1152" spans="1:2" x14ac:dyDescent="0.25">
      <c r="A1152" s="1" t="s">
        <v>1447</v>
      </c>
      <c r="B1152" t="s">
        <v>1448</v>
      </c>
    </row>
    <row r="1153" spans="1:2" x14ac:dyDescent="0.25">
      <c r="A1153" s="1" t="s">
        <v>1449</v>
      </c>
      <c r="B1153" t="s">
        <v>1450</v>
      </c>
    </row>
    <row r="1154" spans="1:2" x14ac:dyDescent="0.25">
      <c r="A1154" s="1" t="s">
        <v>1451</v>
      </c>
      <c r="B1154" t="s">
        <v>1452</v>
      </c>
    </row>
    <row r="1155" spans="1:2" x14ac:dyDescent="0.25">
      <c r="A1155" s="1" t="s">
        <v>1453</v>
      </c>
      <c r="B1155" t="s">
        <v>1454</v>
      </c>
    </row>
    <row r="1156" spans="1:2" x14ac:dyDescent="0.25">
      <c r="A1156" s="1" t="s">
        <v>1455</v>
      </c>
      <c r="B1156" t="s">
        <v>1456</v>
      </c>
    </row>
    <row r="1157" spans="1:2" x14ac:dyDescent="0.25">
      <c r="A1157" s="1" t="s">
        <v>1457</v>
      </c>
      <c r="B1157" t="s">
        <v>8600</v>
      </c>
    </row>
    <row r="1158" spans="1:2" x14ac:dyDescent="0.25">
      <c r="A1158" s="1" t="s">
        <v>1459</v>
      </c>
      <c r="B1158" t="s">
        <v>1460</v>
      </c>
    </row>
    <row r="1159" spans="1:2" x14ac:dyDescent="0.25">
      <c r="A1159" s="1" t="s">
        <v>1461</v>
      </c>
      <c r="B1159" t="s">
        <v>1462</v>
      </c>
    </row>
    <row r="1160" spans="1:2" x14ac:dyDescent="0.25">
      <c r="A1160" s="1" t="s">
        <v>1463</v>
      </c>
      <c r="B1160" t="s">
        <v>1464</v>
      </c>
    </row>
    <row r="1161" spans="1:2" x14ac:dyDescent="0.25">
      <c r="A1161" s="1" t="s">
        <v>1465</v>
      </c>
      <c r="B1161" t="s">
        <v>1466</v>
      </c>
    </row>
    <row r="1162" spans="1:2" x14ac:dyDescent="0.25">
      <c r="A1162" s="1" t="s">
        <v>1467</v>
      </c>
      <c r="B1162" t="s">
        <v>1468</v>
      </c>
    </row>
    <row r="1163" spans="1:2" x14ac:dyDescent="0.25">
      <c r="A1163" s="1" t="s">
        <v>1469</v>
      </c>
      <c r="B1163" t="s">
        <v>1470</v>
      </c>
    </row>
    <row r="1164" spans="1:2" x14ac:dyDescent="0.25">
      <c r="A1164" s="1" t="s">
        <v>1471</v>
      </c>
      <c r="B1164" t="s">
        <v>1472</v>
      </c>
    </row>
    <row r="1165" spans="1:2" x14ac:dyDescent="0.25">
      <c r="A1165" s="1" t="s">
        <v>1473</v>
      </c>
      <c r="B1165" t="s">
        <v>1474</v>
      </c>
    </row>
    <row r="1166" spans="1:2" x14ac:dyDescent="0.25">
      <c r="A1166" s="1" t="s">
        <v>1475</v>
      </c>
      <c r="B1166" t="s">
        <v>1476</v>
      </c>
    </row>
    <row r="1167" spans="1:2" x14ac:dyDescent="0.25">
      <c r="A1167" s="1" t="s">
        <v>1477</v>
      </c>
      <c r="B1167" t="s">
        <v>1478</v>
      </c>
    </row>
    <row r="1168" spans="1:2" x14ac:dyDescent="0.25">
      <c r="A1168" s="1" t="s">
        <v>1479</v>
      </c>
      <c r="B1168" t="s">
        <v>1480</v>
      </c>
    </row>
    <row r="1169" spans="1:2" x14ac:dyDescent="0.25">
      <c r="A1169" s="1" t="s">
        <v>1481</v>
      </c>
      <c r="B1169" t="s">
        <v>1482</v>
      </c>
    </row>
    <row r="1170" spans="1:2" x14ac:dyDescent="0.25">
      <c r="A1170" s="1" t="s">
        <v>1483</v>
      </c>
      <c r="B1170" t="s">
        <v>1484</v>
      </c>
    </row>
    <row r="1171" spans="1:2" x14ac:dyDescent="0.25">
      <c r="A1171" s="1"/>
      <c r="B1171" t="s">
        <v>1367</v>
      </c>
    </row>
    <row r="1172" spans="1:2" x14ac:dyDescent="0.25">
      <c r="A1172" s="1" t="s">
        <v>7849</v>
      </c>
      <c r="B1172" t="s">
        <v>7850</v>
      </c>
    </row>
    <row r="1173" spans="1:2" x14ac:dyDescent="0.25">
      <c r="A1173" s="1" t="s">
        <v>7852</v>
      </c>
      <c r="B1173" t="s">
        <v>7851</v>
      </c>
    </row>
    <row r="1174" spans="1:2" x14ac:dyDescent="0.25">
      <c r="A1174" s="1" t="s">
        <v>7855</v>
      </c>
      <c r="B1174" t="s">
        <v>7856</v>
      </c>
    </row>
    <row r="1175" spans="1:2" x14ac:dyDescent="0.25">
      <c r="A1175" s="1" t="s">
        <v>7857</v>
      </c>
      <c r="B1175" t="s">
        <v>7858</v>
      </c>
    </row>
    <row r="1176" spans="1:2" x14ac:dyDescent="0.25">
      <c r="A1176" s="1" t="s">
        <v>7859</v>
      </c>
      <c r="B1176" t="s">
        <v>7860</v>
      </c>
    </row>
    <row r="1177" spans="1:2" x14ac:dyDescent="0.25">
      <c r="A1177" s="1" t="s">
        <v>7861</v>
      </c>
      <c r="B1177" t="s">
        <v>7862</v>
      </c>
    </row>
    <row r="1178" spans="1:2" x14ac:dyDescent="0.25">
      <c r="A1178" s="1" t="s">
        <v>7863</v>
      </c>
      <c r="B1178" t="s">
        <v>1408</v>
      </c>
    </row>
    <row r="1179" spans="1:2" x14ac:dyDescent="0.25">
      <c r="A1179" s="1" t="s">
        <v>7864</v>
      </c>
      <c r="B1179" t="s">
        <v>7865</v>
      </c>
    </row>
    <row r="1180" spans="1:2" x14ac:dyDescent="0.25">
      <c r="A1180" s="1" t="s">
        <v>7866</v>
      </c>
      <c r="B1180" t="s">
        <v>7867</v>
      </c>
    </row>
    <row r="1181" spans="1:2" x14ac:dyDescent="0.25">
      <c r="A1181" s="1" t="s">
        <v>7869</v>
      </c>
      <c r="B1181" t="s">
        <v>7870</v>
      </c>
    </row>
    <row r="1182" spans="1:2" x14ac:dyDescent="0.25">
      <c r="A1182" s="1" t="s">
        <v>7871</v>
      </c>
      <c r="B1182" t="s">
        <v>7872</v>
      </c>
    </row>
    <row r="1183" spans="1:2" x14ac:dyDescent="0.25">
      <c r="A1183" s="1"/>
      <c r="B1183" t="s">
        <v>7874</v>
      </c>
    </row>
    <row r="1184" spans="1:2" x14ac:dyDescent="0.25">
      <c r="A1184" s="1" t="s">
        <v>7875</v>
      </c>
      <c r="B1184" t="s">
        <v>7876</v>
      </c>
    </row>
    <row r="1185" spans="1:2" x14ac:dyDescent="0.25">
      <c r="A1185" s="1" t="s">
        <v>7877</v>
      </c>
      <c r="B1185" t="s">
        <v>7878</v>
      </c>
    </row>
    <row r="1186" spans="1:2" x14ac:dyDescent="0.25">
      <c r="A1186" s="1" t="s">
        <v>7879</v>
      </c>
      <c r="B1186" t="s">
        <v>7880</v>
      </c>
    </row>
    <row r="1187" spans="1:2" x14ac:dyDescent="0.25">
      <c r="A1187" s="34" t="s">
        <v>296</v>
      </c>
      <c r="B1187" t="s">
        <v>7918</v>
      </c>
    </row>
    <row r="1188" spans="1:2" x14ac:dyDescent="0.25">
      <c r="A1188" s="1" t="s">
        <v>7920</v>
      </c>
      <c r="B1188" t="s">
        <v>7921</v>
      </c>
    </row>
    <row r="1189" spans="1:2" x14ac:dyDescent="0.25">
      <c r="A1189" s="1" t="s">
        <v>7922</v>
      </c>
      <c r="B1189" t="s">
        <v>7923</v>
      </c>
    </row>
    <row r="1190" spans="1:2" x14ac:dyDescent="0.25">
      <c r="A1190" s="1" t="s">
        <v>7924</v>
      </c>
      <c r="B1190" t="s">
        <v>7925</v>
      </c>
    </row>
    <row r="1191" spans="1:2" x14ac:dyDescent="0.25">
      <c r="A1191" s="1" t="s">
        <v>7926</v>
      </c>
      <c r="B1191" t="s">
        <v>7927</v>
      </c>
    </row>
    <row r="1192" spans="1:2" x14ac:dyDescent="0.25">
      <c r="A1192" s="1" t="s">
        <v>7928</v>
      </c>
      <c r="B1192" t="s">
        <v>7929</v>
      </c>
    </row>
    <row r="1193" spans="1:2" x14ac:dyDescent="0.25">
      <c r="A1193" s="1" t="s">
        <v>7931</v>
      </c>
      <c r="B1193" t="s">
        <v>7932</v>
      </c>
    </row>
    <row r="1194" spans="1:2" x14ac:dyDescent="0.25">
      <c r="A1194" s="1" t="s">
        <v>7933</v>
      </c>
      <c r="B1194" t="s">
        <v>8122</v>
      </c>
    </row>
    <row r="1195" spans="1:2" x14ac:dyDescent="0.25">
      <c r="A1195" s="1" t="s">
        <v>7934</v>
      </c>
      <c r="B1195" t="s">
        <v>7935</v>
      </c>
    </row>
    <row r="1196" spans="1:2" x14ac:dyDescent="0.25">
      <c r="A1196" s="1" t="s">
        <v>7937</v>
      </c>
      <c r="B1196" t="s">
        <v>7938</v>
      </c>
    </row>
    <row r="1197" spans="1:2" x14ac:dyDescent="0.25">
      <c r="A1197" s="1" t="s">
        <v>7940</v>
      </c>
      <c r="B1197" t="s">
        <v>7941</v>
      </c>
    </row>
    <row r="1198" spans="1:2" x14ac:dyDescent="0.25">
      <c r="A1198" s="34" t="s">
        <v>1189</v>
      </c>
      <c r="B1198" t="s">
        <v>7942</v>
      </c>
    </row>
    <row r="1199" spans="1:2" x14ac:dyDescent="0.25">
      <c r="A1199" s="1" t="s">
        <v>7944</v>
      </c>
      <c r="B1199" t="s">
        <v>7945</v>
      </c>
    </row>
    <row r="1200" spans="1:2" x14ac:dyDescent="0.25">
      <c r="A1200" s="1" t="s">
        <v>7947</v>
      </c>
      <c r="B1200" t="s">
        <v>7948</v>
      </c>
    </row>
    <row r="1201" spans="1:2" x14ac:dyDescent="0.25">
      <c r="A1201" s="1" t="s">
        <v>7949</v>
      </c>
      <c r="B1201" t="s">
        <v>7950</v>
      </c>
    </row>
    <row r="1202" spans="1:2" x14ac:dyDescent="0.25">
      <c r="A1202" s="1" t="s">
        <v>7951</v>
      </c>
      <c r="B1202" t="s">
        <v>7952</v>
      </c>
    </row>
    <row r="1203" spans="1:2" x14ac:dyDescent="0.25">
      <c r="A1203" s="1" t="s">
        <v>7954</v>
      </c>
      <c r="B1203" t="s">
        <v>7955</v>
      </c>
    </row>
    <row r="1204" spans="1:2" x14ac:dyDescent="0.25">
      <c r="A1204" s="1" t="s">
        <v>7956</v>
      </c>
      <c r="B1204" t="s">
        <v>7957</v>
      </c>
    </row>
    <row r="1205" spans="1:2" x14ac:dyDescent="0.25">
      <c r="A1205" s="1" t="s">
        <v>7958</v>
      </c>
      <c r="B1205" t="s">
        <v>7959</v>
      </c>
    </row>
    <row r="1206" spans="1:2" x14ac:dyDescent="0.25">
      <c r="A1206" s="1" t="s">
        <v>7961</v>
      </c>
      <c r="B1206" t="s">
        <v>7962</v>
      </c>
    </row>
    <row r="1207" spans="1:2" x14ac:dyDescent="0.25">
      <c r="A1207" s="1" t="s">
        <v>7964</v>
      </c>
      <c r="B1207" t="s">
        <v>7965</v>
      </c>
    </row>
    <row r="1208" spans="1:2" x14ac:dyDescent="0.25">
      <c r="A1208" s="1" t="s">
        <v>7971</v>
      </c>
      <c r="B1208" t="s">
        <v>7972</v>
      </c>
    </row>
    <row r="1209" spans="1:2" x14ac:dyDescent="0.25">
      <c r="A1209" s="1" t="s">
        <v>7973</v>
      </c>
      <c r="B1209" t="s">
        <v>7974</v>
      </c>
    </row>
    <row r="1210" spans="1:2" x14ac:dyDescent="0.25">
      <c r="A1210" s="1" t="s">
        <v>7975</v>
      </c>
      <c r="B1210" t="s">
        <v>7976</v>
      </c>
    </row>
    <row r="1211" spans="1:2" x14ac:dyDescent="0.25">
      <c r="A1211" s="1" t="s">
        <v>7977</v>
      </c>
      <c r="B1211" t="s">
        <v>7978</v>
      </c>
    </row>
    <row r="1212" spans="1:2" x14ac:dyDescent="0.25">
      <c r="A1212" s="1" t="s">
        <v>7979</v>
      </c>
      <c r="B1212" t="s">
        <v>7980</v>
      </c>
    </row>
    <row r="1213" spans="1:2" x14ac:dyDescent="0.25">
      <c r="A1213" s="1" t="s">
        <v>7993</v>
      </c>
      <c r="B1213" t="s">
        <v>7994</v>
      </c>
    </row>
    <row r="1214" spans="1:2" x14ac:dyDescent="0.25">
      <c r="A1214" s="1" t="s">
        <v>7995</v>
      </c>
      <c r="B1214" t="s">
        <v>7996</v>
      </c>
    </row>
    <row r="1215" spans="1:2" x14ac:dyDescent="0.25">
      <c r="A1215" s="1" t="s">
        <v>7997</v>
      </c>
      <c r="B1215" t="s">
        <v>7998</v>
      </c>
    </row>
    <row r="1216" spans="1:2" x14ac:dyDescent="0.25">
      <c r="A1216" s="1" t="s">
        <v>7983</v>
      </c>
      <c r="B1216" t="s">
        <v>7984</v>
      </c>
    </row>
    <row r="1217" spans="1:2" x14ac:dyDescent="0.25">
      <c r="A1217" s="1" t="s">
        <v>7999</v>
      </c>
      <c r="B1217" t="s">
        <v>8000</v>
      </c>
    </row>
    <row r="1218" spans="1:2" x14ac:dyDescent="0.25">
      <c r="A1218" s="1" t="s">
        <v>8001</v>
      </c>
      <c r="B1218" t="s">
        <v>8002</v>
      </c>
    </row>
    <row r="1219" spans="1:2" x14ac:dyDescent="0.25">
      <c r="A1219" s="1" t="s">
        <v>7853</v>
      </c>
      <c r="B1219" t="s">
        <v>8003</v>
      </c>
    </row>
    <row r="1220" spans="1:2" x14ac:dyDescent="0.25">
      <c r="A1220" s="1" t="s">
        <v>8004</v>
      </c>
      <c r="B1220" t="s">
        <v>8005</v>
      </c>
    </row>
    <row r="1221" spans="1:2" x14ac:dyDescent="0.25">
      <c r="A1221" s="1" t="s">
        <v>8007</v>
      </c>
      <c r="B1221" t="s">
        <v>8008</v>
      </c>
    </row>
    <row r="1222" spans="1:2" x14ac:dyDescent="0.25">
      <c r="A1222" s="1" t="s">
        <v>8009</v>
      </c>
      <c r="B1222" t="s">
        <v>8010</v>
      </c>
    </row>
    <row r="1223" spans="1:2" x14ac:dyDescent="0.25">
      <c r="A1223" s="1" t="s">
        <v>8011</v>
      </c>
      <c r="B1223" t="s">
        <v>8012</v>
      </c>
    </row>
    <row r="1224" spans="1:2" x14ac:dyDescent="0.25">
      <c r="A1224" s="1" t="s">
        <v>8013</v>
      </c>
      <c r="B1224" t="s">
        <v>8014</v>
      </c>
    </row>
    <row r="1225" spans="1:2" x14ac:dyDescent="0.25">
      <c r="A1225" s="1" t="s">
        <v>8016</v>
      </c>
      <c r="B1225" t="s">
        <v>8017</v>
      </c>
    </row>
    <row r="1226" spans="1:2" x14ac:dyDescent="0.25">
      <c r="A1226" s="1" t="s">
        <v>8018</v>
      </c>
      <c r="B1226" t="s">
        <v>8019</v>
      </c>
    </row>
    <row r="1227" spans="1:2" x14ac:dyDescent="0.25">
      <c r="A1227" s="1" t="s">
        <v>8020</v>
      </c>
      <c r="B1227" t="s">
        <v>8021</v>
      </c>
    </row>
    <row r="1228" spans="1:2" x14ac:dyDescent="0.25">
      <c r="A1228" s="1" t="s">
        <v>1524</v>
      </c>
      <c r="B1228" t="s">
        <v>7985</v>
      </c>
    </row>
    <row r="1229" spans="1:2" x14ac:dyDescent="0.25">
      <c r="A1229" s="1" t="s">
        <v>8023</v>
      </c>
      <c r="B1229" t="s">
        <v>8024</v>
      </c>
    </row>
    <row r="1230" spans="1:2" x14ac:dyDescent="0.25">
      <c r="A1230" s="1" t="s">
        <v>8025</v>
      </c>
      <c r="B1230" t="s">
        <v>8026</v>
      </c>
    </row>
    <row r="1231" spans="1:2" x14ac:dyDescent="0.25">
      <c r="A1231" s="1" t="s">
        <v>8027</v>
      </c>
      <c r="B1231" t="s">
        <v>8028</v>
      </c>
    </row>
    <row r="1232" spans="1:2" x14ac:dyDescent="0.25">
      <c r="A1232" s="1" t="s">
        <v>8029</v>
      </c>
      <c r="B1232" t="s">
        <v>8030</v>
      </c>
    </row>
    <row r="1233" spans="1:2" x14ac:dyDescent="0.25">
      <c r="A1233" s="1" t="s">
        <v>8124</v>
      </c>
      <c r="B1233" t="s">
        <v>8031</v>
      </c>
    </row>
    <row r="1234" spans="1:2" x14ac:dyDescent="0.25">
      <c r="A1234" s="1" t="s">
        <v>8032</v>
      </c>
      <c r="B1234" t="s">
        <v>8033</v>
      </c>
    </row>
    <row r="1235" spans="1:2" x14ac:dyDescent="0.25">
      <c r="A1235" s="1" t="s">
        <v>8034</v>
      </c>
      <c r="B1235" t="s">
        <v>8035</v>
      </c>
    </row>
    <row r="1236" spans="1:2" x14ac:dyDescent="0.25">
      <c r="A1236" s="1" t="s">
        <v>8036</v>
      </c>
      <c r="B1236" t="s">
        <v>917</v>
      </c>
    </row>
    <row r="1237" spans="1:2" x14ac:dyDescent="0.25">
      <c r="A1237" s="1" t="s">
        <v>8037</v>
      </c>
      <c r="B1237" t="s">
        <v>8038</v>
      </c>
    </row>
    <row r="1238" spans="1:2" x14ac:dyDescent="0.25">
      <c r="A1238" s="1" t="s">
        <v>8123</v>
      </c>
      <c r="B1238" t="s">
        <v>106</v>
      </c>
    </row>
    <row r="1239" spans="1:2" x14ac:dyDescent="0.25">
      <c r="A1239" s="1" t="s">
        <v>8039</v>
      </c>
      <c r="B1239" t="s">
        <v>1065</v>
      </c>
    </row>
    <row r="1240" spans="1:2" x14ac:dyDescent="0.25">
      <c r="A1240" s="1" t="s">
        <v>91</v>
      </c>
      <c r="B1240" t="s">
        <v>8081</v>
      </c>
    </row>
    <row r="1241" spans="1:2" x14ac:dyDescent="0.25">
      <c r="A1241" s="1" t="s">
        <v>8082</v>
      </c>
      <c r="B1241" t="s">
        <v>8083</v>
      </c>
    </row>
    <row r="1242" spans="1:2" x14ac:dyDescent="0.25">
      <c r="A1242" s="1" t="s">
        <v>8084</v>
      </c>
      <c r="B1242" t="s">
        <v>8085</v>
      </c>
    </row>
    <row r="1243" spans="1:2" x14ac:dyDescent="0.25">
      <c r="A1243" s="1" t="s">
        <v>8086</v>
      </c>
      <c r="B1243" t="s">
        <v>8087</v>
      </c>
    </row>
    <row r="1244" spans="1:2" x14ac:dyDescent="0.25">
      <c r="A1244" s="34" t="s">
        <v>8088</v>
      </c>
      <c r="B1244" t="s">
        <v>8089</v>
      </c>
    </row>
    <row r="1245" spans="1:2" x14ac:dyDescent="0.25">
      <c r="A1245" s="1" t="s">
        <v>8090</v>
      </c>
      <c r="B1245" t="s">
        <v>8091</v>
      </c>
    </row>
    <row r="1246" spans="1:2" x14ac:dyDescent="0.25">
      <c r="A1246" s="34"/>
      <c r="B1246" t="s">
        <v>8092</v>
      </c>
    </row>
    <row r="1247" spans="1:2" x14ac:dyDescent="0.25">
      <c r="A1247" s="34" t="s">
        <v>8093</v>
      </c>
      <c r="B1247" t="s">
        <v>8094</v>
      </c>
    </row>
    <row r="1248" spans="1:2" x14ac:dyDescent="0.25">
      <c r="A1248" s="34" t="s">
        <v>8095</v>
      </c>
      <c r="B1248" t="s">
        <v>8096</v>
      </c>
    </row>
    <row r="1249" spans="1:2" x14ac:dyDescent="0.25">
      <c r="A1249" s="34" t="s">
        <v>8097</v>
      </c>
      <c r="B1249" t="s">
        <v>8098</v>
      </c>
    </row>
    <row r="1250" spans="1:2" x14ac:dyDescent="0.25">
      <c r="A1250" s="34" t="s">
        <v>8099</v>
      </c>
      <c r="B1250" t="s">
        <v>8100</v>
      </c>
    </row>
    <row r="1251" spans="1:2" x14ac:dyDescent="0.25">
      <c r="A1251" s="34" t="s">
        <v>8101</v>
      </c>
      <c r="B1251" t="s">
        <v>8102</v>
      </c>
    </row>
    <row r="1252" spans="1:2" x14ac:dyDescent="0.25">
      <c r="A1252" s="34" t="s">
        <v>95</v>
      </c>
      <c r="B1252" t="s">
        <v>8103</v>
      </c>
    </row>
    <row r="1253" spans="1:2" x14ac:dyDescent="0.25">
      <c r="A1253" s="1" t="s">
        <v>8104</v>
      </c>
      <c r="B1253" t="s">
        <v>8105</v>
      </c>
    </row>
    <row r="1254" spans="1:2" x14ac:dyDescent="0.25">
      <c r="A1254" s="34" t="s">
        <v>1485</v>
      </c>
      <c r="B1254" t="s">
        <v>8106</v>
      </c>
    </row>
    <row r="1255" spans="1:2" x14ac:dyDescent="0.25">
      <c r="A1255" s="1" t="s">
        <v>8107</v>
      </c>
      <c r="B1255" t="s">
        <v>8108</v>
      </c>
    </row>
    <row r="1256" spans="1:2" x14ac:dyDescent="0.25">
      <c r="A1256" s="34" t="s">
        <v>8109</v>
      </c>
      <c r="B1256" t="s">
        <v>1362</v>
      </c>
    </row>
    <row r="1257" spans="1:2" x14ac:dyDescent="0.25">
      <c r="A1257" s="34" t="s">
        <v>1360</v>
      </c>
      <c r="B1257" t="s">
        <v>8110</v>
      </c>
    </row>
    <row r="1258" spans="1:2" x14ac:dyDescent="0.25">
      <c r="A1258" s="34" t="s">
        <v>260</v>
      </c>
      <c r="B1258" t="s">
        <v>8111</v>
      </c>
    </row>
    <row r="1259" spans="1:2" x14ac:dyDescent="0.25">
      <c r="A1259" s="1" t="s">
        <v>8112</v>
      </c>
      <c r="B1259" t="s">
        <v>8113</v>
      </c>
    </row>
    <row r="1260" spans="1:2" x14ac:dyDescent="0.25">
      <c r="A1260" s="34" t="s">
        <v>8042</v>
      </c>
      <c r="B1260" t="s">
        <v>8043</v>
      </c>
    </row>
    <row r="1261" spans="1:2" x14ac:dyDescent="0.25">
      <c r="A1261" s="1" t="s">
        <v>8114</v>
      </c>
      <c r="B1261" t="s">
        <v>8115</v>
      </c>
    </row>
    <row r="1262" spans="1:2" x14ac:dyDescent="0.25">
      <c r="A1262" t="s">
        <v>1256</v>
      </c>
      <c r="B1262" t="s">
        <v>1308</v>
      </c>
    </row>
    <row r="1263" spans="1:2" x14ac:dyDescent="0.25">
      <c r="A1263" t="s">
        <v>1309</v>
      </c>
      <c r="B1263" t="s">
        <v>1310</v>
      </c>
    </row>
    <row r="1264" spans="1:2" x14ac:dyDescent="0.25">
      <c r="A1264" t="s">
        <v>1486</v>
      </c>
      <c r="B1264" t="s">
        <v>1487</v>
      </c>
    </row>
    <row r="1265" spans="1:2" x14ac:dyDescent="0.25">
      <c r="A1265" s="33" t="s">
        <v>8673</v>
      </c>
      <c r="B1265" t="s">
        <v>1489</v>
      </c>
    </row>
    <row r="1266" spans="1:2" x14ac:dyDescent="0.25">
      <c r="A1266" s="33" t="s">
        <v>8069</v>
      </c>
      <c r="B1266" t="s">
        <v>8070</v>
      </c>
    </row>
    <row r="1267" spans="1:2" x14ac:dyDescent="0.25">
      <c r="A1267" t="s">
        <v>1490</v>
      </c>
      <c r="B1267" t="s">
        <v>1491</v>
      </c>
    </row>
    <row r="1268" spans="1:2" x14ac:dyDescent="0.25">
      <c r="A1268" t="s">
        <v>1492</v>
      </c>
      <c r="B1268" t="s">
        <v>1493</v>
      </c>
    </row>
    <row r="1269" spans="1:2" x14ac:dyDescent="0.25">
      <c r="A1269" t="s">
        <v>1494</v>
      </c>
      <c r="B1269" t="s">
        <v>1495</v>
      </c>
    </row>
    <row r="1270" spans="1:2" x14ac:dyDescent="0.25">
      <c r="A1270" t="s">
        <v>1490</v>
      </c>
      <c r="B1270" t="s">
        <v>1496</v>
      </c>
    </row>
    <row r="1271" spans="1:2" x14ac:dyDescent="0.25">
      <c r="A1271" t="s">
        <v>1497</v>
      </c>
      <c r="B1271" t="s">
        <v>1498</v>
      </c>
    </row>
    <row r="1272" spans="1:2" x14ac:dyDescent="0.25">
      <c r="A1272" t="s">
        <v>1499</v>
      </c>
      <c r="B1272" t="s">
        <v>1500</v>
      </c>
    </row>
    <row r="1273" spans="1:2" x14ac:dyDescent="0.25">
      <c r="A1273" t="s">
        <v>1501</v>
      </c>
      <c r="B1273" t="s">
        <v>1502</v>
      </c>
    </row>
    <row r="1274" spans="1:2" x14ac:dyDescent="0.25">
      <c r="A1274" t="s">
        <v>1503</v>
      </c>
      <c r="B1274" t="s">
        <v>1504</v>
      </c>
    </row>
    <row r="1275" spans="1:2" x14ac:dyDescent="0.25">
      <c r="A1275" t="s">
        <v>762</v>
      </c>
      <c r="B1275" t="s">
        <v>763</v>
      </c>
    </row>
    <row r="1276" spans="1:2" x14ac:dyDescent="0.25">
      <c r="A1276" t="s">
        <v>1490</v>
      </c>
      <c r="B1276" t="s">
        <v>1505</v>
      </c>
    </row>
    <row r="1277" spans="1:2" x14ac:dyDescent="0.25">
      <c r="A1277" t="s">
        <v>790</v>
      </c>
      <c r="B1277" t="s">
        <v>791</v>
      </c>
    </row>
    <row r="1278" spans="1:2" x14ac:dyDescent="0.25">
      <c r="A1278" t="s">
        <v>1506</v>
      </c>
      <c r="B1278" t="s">
        <v>1507</v>
      </c>
    </row>
    <row r="1279" spans="1:2" x14ac:dyDescent="0.25">
      <c r="A1279" t="s">
        <v>1508</v>
      </c>
      <c r="B1279" t="s">
        <v>1509</v>
      </c>
    </row>
    <row r="1280" spans="1:2" x14ac:dyDescent="0.25">
      <c r="A1280" t="s">
        <v>1200</v>
      </c>
      <c r="B1280" t="s">
        <v>1510</v>
      </c>
    </row>
    <row r="1281" spans="1:2" x14ac:dyDescent="0.25">
      <c r="A1281" t="s">
        <v>1511</v>
      </c>
      <c r="B1281" t="s">
        <v>1512</v>
      </c>
    </row>
    <row r="1282" spans="1:2" x14ac:dyDescent="0.25">
      <c r="A1282" t="s">
        <v>1490</v>
      </c>
      <c r="B1282" t="s">
        <v>1513</v>
      </c>
    </row>
    <row r="1283" spans="1:2" x14ac:dyDescent="0.25">
      <c r="A1283" t="s">
        <v>1490</v>
      </c>
      <c r="B1283" t="s">
        <v>1514</v>
      </c>
    </row>
    <row r="1284" spans="1:2" x14ac:dyDescent="0.25">
      <c r="A1284" t="s">
        <v>1515</v>
      </c>
      <c r="B1284" t="s">
        <v>1516</v>
      </c>
    </row>
    <row r="1285" spans="1:2" x14ac:dyDescent="0.25">
      <c r="A1285" t="s">
        <v>1517</v>
      </c>
      <c r="B1285" t="s">
        <v>1518</v>
      </c>
    </row>
    <row r="1286" spans="1:2" x14ac:dyDescent="0.25">
      <c r="A1286" t="s">
        <v>1519</v>
      </c>
      <c r="B1286" t="s">
        <v>1520</v>
      </c>
    </row>
    <row r="1287" spans="1:2" x14ac:dyDescent="0.25">
      <c r="A1287" t="s">
        <v>1490</v>
      </c>
      <c r="B1287" t="s">
        <v>1521</v>
      </c>
    </row>
    <row r="1288" spans="1:2" x14ac:dyDescent="0.25">
      <c r="A1288" t="s">
        <v>1522</v>
      </c>
      <c r="B1288" t="s">
        <v>1523</v>
      </c>
    </row>
    <row r="1289" spans="1:2" x14ac:dyDescent="0.25">
      <c r="A1289" t="s">
        <v>1524</v>
      </c>
      <c r="B1289" t="s">
        <v>1525</v>
      </c>
    </row>
    <row r="1290" spans="1:2" x14ac:dyDescent="0.25">
      <c r="A1290" t="s">
        <v>1490</v>
      </c>
      <c r="B1290" t="s">
        <v>1526</v>
      </c>
    </row>
    <row r="1291" spans="1:2" x14ac:dyDescent="0.25">
      <c r="A1291" t="s">
        <v>1527</v>
      </c>
      <c r="B1291" t="s">
        <v>1528</v>
      </c>
    </row>
    <row r="1292" spans="1:2" x14ac:dyDescent="0.25">
      <c r="A1292" t="s">
        <v>1529</v>
      </c>
      <c r="B1292" t="s">
        <v>1530</v>
      </c>
    </row>
    <row r="1293" spans="1:2" x14ac:dyDescent="0.25">
      <c r="A1293" t="s">
        <v>1531</v>
      </c>
      <c r="B1293" t="s">
        <v>1532</v>
      </c>
    </row>
    <row r="1294" spans="1:2" x14ac:dyDescent="0.25">
      <c r="A1294" t="s">
        <v>1490</v>
      </c>
      <c r="B1294" t="s">
        <v>1533</v>
      </c>
    </row>
    <row r="1295" spans="1:2" x14ac:dyDescent="0.25">
      <c r="A1295" t="s">
        <v>1534</v>
      </c>
      <c r="B1295" t="s">
        <v>1535</v>
      </c>
    </row>
    <row r="1296" spans="1:2" x14ac:dyDescent="0.25">
      <c r="A1296" t="s">
        <v>1536</v>
      </c>
      <c r="B1296" t="s">
        <v>1537</v>
      </c>
    </row>
    <row r="1297" spans="1:2" x14ac:dyDescent="0.25">
      <c r="A1297" t="s">
        <v>1538</v>
      </c>
      <c r="B1297" t="s">
        <v>1539</v>
      </c>
    </row>
    <row r="1298" spans="1:2" x14ac:dyDescent="0.25">
      <c r="A1298" t="s">
        <v>1540</v>
      </c>
      <c r="B1298" t="s">
        <v>1541</v>
      </c>
    </row>
    <row r="1299" spans="1:2" x14ac:dyDescent="0.25">
      <c r="A1299" t="s">
        <v>1542</v>
      </c>
      <c r="B1299" t="s">
        <v>1543</v>
      </c>
    </row>
    <row r="1300" spans="1:2" x14ac:dyDescent="0.25">
      <c r="A1300" t="s">
        <v>1544</v>
      </c>
      <c r="B1300" t="s">
        <v>1545</v>
      </c>
    </row>
    <row r="1301" spans="1:2" x14ac:dyDescent="0.25">
      <c r="A1301" s="33" t="s">
        <v>8067</v>
      </c>
      <c r="B1301" t="s">
        <v>8068</v>
      </c>
    </row>
    <row r="1302" spans="1:2" x14ac:dyDescent="0.25">
      <c r="A1302" t="s">
        <v>1546</v>
      </c>
      <c r="B1302" t="s">
        <v>1547</v>
      </c>
    </row>
    <row r="1303" spans="1:2" x14ac:dyDescent="0.25">
      <c r="A1303" t="s">
        <v>1548</v>
      </c>
      <c r="B1303" t="s">
        <v>1549</v>
      </c>
    </row>
    <row r="1304" spans="1:2" x14ac:dyDescent="0.25">
      <c r="A1304" t="s">
        <v>1550</v>
      </c>
      <c r="B1304" t="s">
        <v>1551</v>
      </c>
    </row>
    <row r="1305" spans="1:2" x14ac:dyDescent="0.25">
      <c r="A1305" t="s">
        <v>1490</v>
      </c>
      <c r="B1305" t="s">
        <v>806</v>
      </c>
    </row>
    <row r="1306" spans="1:2" x14ac:dyDescent="0.25">
      <c r="A1306" t="s">
        <v>1552</v>
      </c>
      <c r="B1306" t="s">
        <v>1553</v>
      </c>
    </row>
    <row r="1307" spans="1:2" x14ac:dyDescent="0.25">
      <c r="A1307" t="s">
        <v>384</v>
      </c>
      <c r="B1307" t="s">
        <v>385</v>
      </c>
    </row>
    <row r="1308" spans="1:2" x14ac:dyDescent="0.25">
      <c r="A1308" t="s">
        <v>1554</v>
      </c>
      <c r="B1308" t="s">
        <v>1555</v>
      </c>
    </row>
    <row r="1309" spans="1:2" x14ac:dyDescent="0.25">
      <c r="A1309" t="s">
        <v>1490</v>
      </c>
      <c r="B1309" t="s">
        <v>1556</v>
      </c>
    </row>
    <row r="1310" spans="1:2" x14ac:dyDescent="0.25">
      <c r="A1310" t="s">
        <v>1557</v>
      </c>
      <c r="B1310" t="s">
        <v>1558</v>
      </c>
    </row>
    <row r="1311" spans="1:2" x14ac:dyDescent="0.25">
      <c r="A1311" t="s">
        <v>1559</v>
      </c>
      <c r="B1311" t="s">
        <v>1560</v>
      </c>
    </row>
    <row r="1312" spans="1:2" x14ac:dyDescent="0.25">
      <c r="A1312" t="s">
        <v>1490</v>
      </c>
      <c r="B1312" t="s">
        <v>279</v>
      </c>
    </row>
    <row r="1313" spans="1:2" x14ac:dyDescent="0.25">
      <c r="A1313" t="s">
        <v>1561</v>
      </c>
      <c r="B1313" t="s">
        <v>1562</v>
      </c>
    </row>
    <row r="1314" spans="1:2" x14ac:dyDescent="0.25">
      <c r="A1314" t="s">
        <v>1490</v>
      </c>
      <c r="B1314" t="s">
        <v>1563</v>
      </c>
    </row>
    <row r="1315" spans="1:2" x14ac:dyDescent="0.25">
      <c r="A1315" t="s">
        <v>1490</v>
      </c>
      <c r="B1315" t="s">
        <v>1564</v>
      </c>
    </row>
    <row r="1316" spans="1:2" x14ac:dyDescent="0.25">
      <c r="A1316" t="s">
        <v>1565</v>
      </c>
      <c r="B1316" t="s">
        <v>1566</v>
      </c>
    </row>
    <row r="1317" spans="1:2" x14ac:dyDescent="0.25">
      <c r="A1317" t="s">
        <v>1567</v>
      </c>
      <c r="B1317" t="s">
        <v>1568</v>
      </c>
    </row>
    <row r="1318" spans="1:2" x14ac:dyDescent="0.25">
      <c r="A1318" t="s">
        <v>1490</v>
      </c>
      <c r="B1318" t="s">
        <v>1569</v>
      </c>
    </row>
    <row r="1319" spans="1:2" x14ac:dyDescent="0.25">
      <c r="A1319" t="s">
        <v>1490</v>
      </c>
      <c r="B1319" t="s">
        <v>1570</v>
      </c>
    </row>
    <row r="1320" spans="1:2" x14ac:dyDescent="0.25">
      <c r="A1320" t="s">
        <v>1571</v>
      </c>
      <c r="B1320" t="s">
        <v>1572</v>
      </c>
    </row>
    <row r="1321" spans="1:2" x14ac:dyDescent="0.25">
      <c r="A1321" t="s">
        <v>1490</v>
      </c>
      <c r="B1321" t="s">
        <v>1573</v>
      </c>
    </row>
    <row r="1322" spans="1:2" x14ac:dyDescent="0.25">
      <c r="A1322" t="s">
        <v>131</v>
      </c>
      <c r="B1322" t="s">
        <v>132</v>
      </c>
    </row>
    <row r="1323" spans="1:2" x14ac:dyDescent="0.25">
      <c r="A1323" t="s">
        <v>1574</v>
      </c>
      <c r="B1323" t="s">
        <v>1575</v>
      </c>
    </row>
    <row r="1324" spans="1:2" x14ac:dyDescent="0.25">
      <c r="A1324" t="s">
        <v>1576</v>
      </c>
      <c r="B1324" t="s">
        <v>1577</v>
      </c>
    </row>
    <row r="1325" spans="1:2" x14ac:dyDescent="0.25">
      <c r="A1325" t="s">
        <v>1490</v>
      </c>
      <c r="B1325" t="s">
        <v>1578</v>
      </c>
    </row>
    <row r="1326" spans="1:2" x14ac:dyDescent="0.25">
      <c r="A1326" t="s">
        <v>1490</v>
      </c>
      <c r="B1326" t="s">
        <v>1579</v>
      </c>
    </row>
    <row r="1327" spans="1:2" x14ac:dyDescent="0.25">
      <c r="A1327" t="s">
        <v>1580</v>
      </c>
      <c r="B1327" t="s">
        <v>1581</v>
      </c>
    </row>
    <row r="1328" spans="1:2" x14ac:dyDescent="0.25">
      <c r="A1328" t="s">
        <v>1582</v>
      </c>
      <c r="B1328" t="s">
        <v>1583</v>
      </c>
    </row>
    <row r="1329" spans="1:2" x14ac:dyDescent="0.25">
      <c r="A1329" t="s">
        <v>1584</v>
      </c>
      <c r="B1329" t="s">
        <v>1585</v>
      </c>
    </row>
    <row r="1330" spans="1:2" x14ac:dyDescent="0.25">
      <c r="A1330" t="s">
        <v>736</v>
      </c>
      <c r="B1330" t="s">
        <v>737</v>
      </c>
    </row>
    <row r="1331" spans="1:2" x14ac:dyDescent="0.25">
      <c r="A1331" t="s">
        <v>1586</v>
      </c>
      <c r="B1331" t="s">
        <v>1587</v>
      </c>
    </row>
    <row r="1332" spans="1:2" x14ac:dyDescent="0.25">
      <c r="A1332" t="s">
        <v>1490</v>
      </c>
      <c r="B1332" t="s">
        <v>1588</v>
      </c>
    </row>
    <row r="1333" spans="1:2" x14ac:dyDescent="0.25">
      <c r="A1333" t="s">
        <v>1589</v>
      </c>
      <c r="B1333" t="s">
        <v>1590</v>
      </c>
    </row>
    <row r="1334" spans="1:2" x14ac:dyDescent="0.25">
      <c r="A1334" t="s">
        <v>1591</v>
      </c>
      <c r="B1334" t="s">
        <v>1592</v>
      </c>
    </row>
    <row r="1335" spans="1:2" x14ac:dyDescent="0.25">
      <c r="A1335" t="s">
        <v>1593</v>
      </c>
      <c r="B1335" t="s">
        <v>1594</v>
      </c>
    </row>
    <row r="1336" spans="1:2" x14ac:dyDescent="0.25">
      <c r="A1336" t="s">
        <v>1490</v>
      </c>
      <c r="B1336" t="s">
        <v>1595</v>
      </c>
    </row>
    <row r="1337" spans="1:2" x14ac:dyDescent="0.25">
      <c r="A1337" t="s">
        <v>39</v>
      </c>
      <c r="B1337" t="s">
        <v>1596</v>
      </c>
    </row>
    <row r="1338" spans="1:2" x14ac:dyDescent="0.25">
      <c r="A1338" t="s">
        <v>1597</v>
      </c>
      <c r="B1338" t="s">
        <v>1598</v>
      </c>
    </row>
    <row r="1339" spans="1:2" x14ac:dyDescent="0.25">
      <c r="A1339" t="s">
        <v>1599</v>
      </c>
      <c r="B1339" t="s">
        <v>1600</v>
      </c>
    </row>
    <row r="1340" spans="1:2" x14ac:dyDescent="0.25">
      <c r="A1340" t="s">
        <v>1601</v>
      </c>
      <c r="B1340" t="s">
        <v>1602</v>
      </c>
    </row>
    <row r="1341" spans="1:2" x14ac:dyDescent="0.25">
      <c r="A1341" t="s">
        <v>1490</v>
      </c>
      <c r="B1341" t="s">
        <v>503</v>
      </c>
    </row>
    <row r="1342" spans="1:2" x14ac:dyDescent="0.25">
      <c r="A1342" t="s">
        <v>1490</v>
      </c>
      <c r="B1342" t="s">
        <v>1603</v>
      </c>
    </row>
    <row r="1343" spans="1:2" x14ac:dyDescent="0.25">
      <c r="A1343" t="s">
        <v>1490</v>
      </c>
      <c r="B1343" t="s">
        <v>1604</v>
      </c>
    </row>
    <row r="1344" spans="1:2" x14ac:dyDescent="0.25">
      <c r="A1344" s="33" t="s">
        <v>8118</v>
      </c>
      <c r="B1344" t="s">
        <v>1605</v>
      </c>
    </row>
    <row r="1345" spans="1:2" x14ac:dyDescent="0.25">
      <c r="A1345" t="s">
        <v>1490</v>
      </c>
      <c r="B1345" t="s">
        <v>1606</v>
      </c>
    </row>
    <row r="1346" spans="1:2" x14ac:dyDescent="0.25">
      <c r="A1346" t="s">
        <v>1607</v>
      </c>
      <c r="B1346" t="s">
        <v>1608</v>
      </c>
    </row>
    <row r="1347" spans="1:2" x14ac:dyDescent="0.25">
      <c r="A1347" t="s">
        <v>1490</v>
      </c>
      <c r="B1347" t="s">
        <v>1609</v>
      </c>
    </row>
    <row r="1348" spans="1:2" x14ac:dyDescent="0.25">
      <c r="A1348" t="s">
        <v>1490</v>
      </c>
      <c r="B1348" t="s">
        <v>491</v>
      </c>
    </row>
    <row r="1349" spans="1:2" x14ac:dyDescent="0.25">
      <c r="A1349" t="s">
        <v>1610</v>
      </c>
      <c r="B1349" t="s">
        <v>1611</v>
      </c>
    </row>
    <row r="1350" spans="1:2" x14ac:dyDescent="0.25">
      <c r="A1350" t="s">
        <v>1490</v>
      </c>
      <c r="B1350" t="s">
        <v>1612</v>
      </c>
    </row>
    <row r="1351" spans="1:2" x14ac:dyDescent="0.25">
      <c r="A1351" t="s">
        <v>1490</v>
      </c>
      <c r="B1351" t="s">
        <v>812</v>
      </c>
    </row>
    <row r="1352" spans="1:2" x14ac:dyDescent="0.25">
      <c r="A1352" t="s">
        <v>1490</v>
      </c>
      <c r="B1352" t="s">
        <v>1613</v>
      </c>
    </row>
    <row r="1353" spans="1:2" x14ac:dyDescent="0.25">
      <c r="A1353" t="s">
        <v>1614</v>
      </c>
      <c r="B1353" t="s">
        <v>1615</v>
      </c>
    </row>
    <row r="1354" spans="1:2" x14ac:dyDescent="0.25">
      <c r="A1354" t="s">
        <v>1616</v>
      </c>
      <c r="B1354" t="s">
        <v>1617</v>
      </c>
    </row>
    <row r="1355" spans="1:2" x14ac:dyDescent="0.25">
      <c r="A1355" t="s">
        <v>1490</v>
      </c>
      <c r="B1355" t="s">
        <v>1618</v>
      </c>
    </row>
    <row r="1356" spans="1:2" x14ac:dyDescent="0.25">
      <c r="A1356" t="s">
        <v>1490</v>
      </c>
      <c r="B1356" t="s">
        <v>1619</v>
      </c>
    </row>
    <row r="1357" spans="1:2" x14ac:dyDescent="0.25">
      <c r="A1357" t="s">
        <v>1620</v>
      </c>
      <c r="B1357" t="s">
        <v>1621</v>
      </c>
    </row>
    <row r="1358" spans="1:2" x14ac:dyDescent="0.25">
      <c r="A1358" t="s">
        <v>1622</v>
      </c>
      <c r="B1358" t="s">
        <v>1623</v>
      </c>
    </row>
    <row r="1359" spans="1:2" x14ac:dyDescent="0.25">
      <c r="A1359" t="s">
        <v>1490</v>
      </c>
      <c r="B1359" t="s">
        <v>1624</v>
      </c>
    </row>
    <row r="1360" spans="1:2" x14ac:dyDescent="0.25">
      <c r="A1360" t="s">
        <v>1490</v>
      </c>
      <c r="B1360" t="s">
        <v>1625</v>
      </c>
    </row>
    <row r="1361" spans="1:2" x14ac:dyDescent="0.25">
      <c r="A1361" t="s">
        <v>1626</v>
      </c>
      <c r="B1361" t="s">
        <v>1627</v>
      </c>
    </row>
    <row r="1362" spans="1:2" x14ac:dyDescent="0.25">
      <c r="A1362" t="s">
        <v>1490</v>
      </c>
      <c r="B1362" t="s">
        <v>1628</v>
      </c>
    </row>
    <row r="1363" spans="1:2" x14ac:dyDescent="0.25">
      <c r="A1363" t="s">
        <v>1490</v>
      </c>
      <c r="B1363" t="s">
        <v>1629</v>
      </c>
    </row>
    <row r="1364" spans="1:2" x14ac:dyDescent="0.25">
      <c r="A1364" t="s">
        <v>1630</v>
      </c>
      <c r="B1364" t="s">
        <v>1631</v>
      </c>
    </row>
    <row r="1365" spans="1:2" x14ac:dyDescent="0.25">
      <c r="A1365" t="s">
        <v>1632</v>
      </c>
      <c r="B1365" t="s">
        <v>1633</v>
      </c>
    </row>
    <row r="1366" spans="1:2" x14ac:dyDescent="0.25">
      <c r="A1366" t="s">
        <v>1490</v>
      </c>
      <c r="B1366" t="s">
        <v>1634</v>
      </c>
    </row>
    <row r="1367" spans="1:2" x14ac:dyDescent="0.25">
      <c r="A1367" t="s">
        <v>1490</v>
      </c>
      <c r="B1367" t="s">
        <v>1635</v>
      </c>
    </row>
    <row r="1368" spans="1:2" x14ac:dyDescent="0.25">
      <c r="A1368" t="s">
        <v>1636</v>
      </c>
      <c r="B1368" t="s">
        <v>1637</v>
      </c>
    </row>
    <row r="1369" spans="1:2" x14ac:dyDescent="0.25">
      <c r="A1369" t="s">
        <v>1638</v>
      </c>
      <c r="B1369" t="s">
        <v>1639</v>
      </c>
    </row>
    <row r="1370" spans="1:2" x14ac:dyDescent="0.25">
      <c r="A1370" t="s">
        <v>1640</v>
      </c>
      <c r="B1370" t="s">
        <v>1641</v>
      </c>
    </row>
    <row r="1371" spans="1:2" x14ac:dyDescent="0.25">
      <c r="A1371" t="s">
        <v>1490</v>
      </c>
      <c r="B1371" t="s">
        <v>1642</v>
      </c>
    </row>
    <row r="1372" spans="1:2" x14ac:dyDescent="0.25">
      <c r="A1372" t="s">
        <v>1490</v>
      </c>
      <c r="B1372" t="s">
        <v>1643</v>
      </c>
    </row>
    <row r="1373" spans="1:2" x14ac:dyDescent="0.25">
      <c r="A1373" t="s">
        <v>1490</v>
      </c>
      <c r="B1373" t="s">
        <v>1644</v>
      </c>
    </row>
    <row r="1374" spans="1:2" x14ac:dyDescent="0.25">
      <c r="A1374" t="s">
        <v>1490</v>
      </c>
      <c r="B1374" t="s">
        <v>1645</v>
      </c>
    </row>
    <row r="1375" spans="1:2" x14ac:dyDescent="0.25">
      <c r="A1375" t="s">
        <v>1646</v>
      </c>
      <c r="B1375" t="s">
        <v>1647</v>
      </c>
    </row>
    <row r="1376" spans="1:2" x14ac:dyDescent="0.25">
      <c r="A1376" t="s">
        <v>1490</v>
      </c>
      <c r="B1376" t="s">
        <v>1648</v>
      </c>
    </row>
    <row r="1377" spans="1:2" x14ac:dyDescent="0.25">
      <c r="A1377" t="s">
        <v>1490</v>
      </c>
      <c r="B1377" t="s">
        <v>1649</v>
      </c>
    </row>
    <row r="1378" spans="1:2" x14ac:dyDescent="0.25">
      <c r="A1378" t="s">
        <v>1650</v>
      </c>
      <c r="B1378" t="s">
        <v>1651</v>
      </c>
    </row>
    <row r="1379" spans="1:2" x14ac:dyDescent="0.25">
      <c r="A1379" t="s">
        <v>1490</v>
      </c>
      <c r="B1379" t="s">
        <v>1652</v>
      </c>
    </row>
    <row r="1380" spans="1:2" x14ac:dyDescent="0.25">
      <c r="A1380" t="s">
        <v>1653</v>
      </c>
      <c r="B1380" t="s">
        <v>1654</v>
      </c>
    </row>
    <row r="1381" spans="1:2" x14ac:dyDescent="0.25">
      <c r="A1381" t="s">
        <v>1655</v>
      </c>
      <c r="B1381" t="s">
        <v>1656</v>
      </c>
    </row>
    <row r="1382" spans="1:2" x14ac:dyDescent="0.25">
      <c r="A1382" t="s">
        <v>1657</v>
      </c>
      <c r="B1382" t="s">
        <v>1658</v>
      </c>
    </row>
    <row r="1383" spans="1:2" x14ac:dyDescent="0.25">
      <c r="A1383" t="s">
        <v>1490</v>
      </c>
      <c r="B1383" t="s">
        <v>1659</v>
      </c>
    </row>
    <row r="1384" spans="1:2" x14ac:dyDescent="0.25">
      <c r="A1384" t="s">
        <v>1490</v>
      </c>
      <c r="B1384" t="s">
        <v>1660</v>
      </c>
    </row>
    <row r="1385" spans="1:2" x14ac:dyDescent="0.25">
      <c r="A1385" t="s">
        <v>1661</v>
      </c>
      <c r="B1385" t="s">
        <v>1662</v>
      </c>
    </row>
    <row r="1386" spans="1:2" x14ac:dyDescent="0.25">
      <c r="A1386" t="s">
        <v>1663</v>
      </c>
      <c r="B1386" t="s">
        <v>1664</v>
      </c>
    </row>
    <row r="1387" spans="1:2" x14ac:dyDescent="0.25">
      <c r="A1387" t="s">
        <v>1665</v>
      </c>
      <c r="B1387" t="s">
        <v>1666</v>
      </c>
    </row>
    <row r="1388" spans="1:2" x14ac:dyDescent="0.25">
      <c r="A1388" t="s">
        <v>1667</v>
      </c>
      <c r="B1388" t="s">
        <v>1668</v>
      </c>
    </row>
    <row r="1389" spans="1:2" x14ac:dyDescent="0.25">
      <c r="A1389" t="s">
        <v>1490</v>
      </c>
      <c r="B1389" t="s">
        <v>1669</v>
      </c>
    </row>
    <row r="1390" spans="1:2" x14ac:dyDescent="0.25">
      <c r="A1390" t="s">
        <v>1670</v>
      </c>
      <c r="B1390" t="s">
        <v>1671</v>
      </c>
    </row>
    <row r="1391" spans="1:2" x14ac:dyDescent="0.25">
      <c r="A1391" t="s">
        <v>1672</v>
      </c>
      <c r="B1391" t="s">
        <v>1673</v>
      </c>
    </row>
    <row r="1392" spans="1:2" x14ac:dyDescent="0.25">
      <c r="A1392" t="s">
        <v>1674</v>
      </c>
      <c r="B1392" t="s">
        <v>1675</v>
      </c>
    </row>
    <row r="1393" spans="1:2" x14ac:dyDescent="0.25">
      <c r="A1393" t="s">
        <v>1676</v>
      </c>
      <c r="B1393" t="s">
        <v>1677</v>
      </c>
    </row>
    <row r="1394" spans="1:2" x14ac:dyDescent="0.25">
      <c r="A1394" t="s">
        <v>1678</v>
      </c>
      <c r="B1394" t="s">
        <v>1679</v>
      </c>
    </row>
    <row r="1395" spans="1:2" x14ac:dyDescent="0.25">
      <c r="A1395" t="s">
        <v>1508</v>
      </c>
      <c r="B1395" t="s">
        <v>1680</v>
      </c>
    </row>
    <row r="1396" spans="1:2" x14ac:dyDescent="0.25">
      <c r="A1396" t="s">
        <v>1490</v>
      </c>
      <c r="B1396" t="s">
        <v>1681</v>
      </c>
    </row>
    <row r="1397" spans="1:2" x14ac:dyDescent="0.25">
      <c r="A1397" t="s">
        <v>1682</v>
      </c>
      <c r="B1397" t="s">
        <v>1683</v>
      </c>
    </row>
    <row r="1398" spans="1:2" x14ac:dyDescent="0.25">
      <c r="A1398" t="s">
        <v>1670</v>
      </c>
      <c r="B1398" t="s">
        <v>1671</v>
      </c>
    </row>
    <row r="1399" spans="1:2" x14ac:dyDescent="0.25">
      <c r="A1399" t="s">
        <v>1684</v>
      </c>
      <c r="B1399" t="s">
        <v>1685</v>
      </c>
    </row>
    <row r="1400" spans="1:2" x14ac:dyDescent="0.25">
      <c r="A1400" t="s">
        <v>1686</v>
      </c>
      <c r="B1400" t="s">
        <v>1687</v>
      </c>
    </row>
    <row r="1401" spans="1:2" x14ac:dyDescent="0.25">
      <c r="A1401" t="s">
        <v>1688</v>
      </c>
      <c r="B1401" t="s">
        <v>1689</v>
      </c>
    </row>
    <row r="1402" spans="1:2" x14ac:dyDescent="0.25">
      <c r="A1402" t="s">
        <v>1531</v>
      </c>
      <c r="B1402" t="s">
        <v>1690</v>
      </c>
    </row>
    <row r="1403" spans="1:2" x14ac:dyDescent="0.25">
      <c r="A1403" t="s">
        <v>1554</v>
      </c>
      <c r="B1403" t="s">
        <v>1691</v>
      </c>
    </row>
    <row r="1404" spans="1:2" x14ac:dyDescent="0.25">
      <c r="A1404" t="s">
        <v>131</v>
      </c>
      <c r="B1404" t="s">
        <v>1692</v>
      </c>
    </row>
    <row r="1405" spans="1:2" x14ac:dyDescent="0.25">
      <c r="A1405" t="s">
        <v>1693</v>
      </c>
      <c r="B1405" t="s">
        <v>1694</v>
      </c>
    </row>
    <row r="1406" spans="1:2" x14ac:dyDescent="0.25">
      <c r="A1406" t="s">
        <v>1695</v>
      </c>
      <c r="B1406" t="s">
        <v>1696</v>
      </c>
    </row>
    <row r="1407" spans="1:2" x14ac:dyDescent="0.25">
      <c r="A1407" t="s">
        <v>1697</v>
      </c>
      <c r="B1407" t="s">
        <v>1698</v>
      </c>
    </row>
    <row r="1408" spans="1:2" x14ac:dyDescent="0.25">
      <c r="A1408" t="s">
        <v>1699</v>
      </c>
      <c r="B1408" t="s">
        <v>1700</v>
      </c>
    </row>
    <row r="1409" spans="1:2" x14ac:dyDescent="0.25">
      <c r="A1409" t="s">
        <v>1701</v>
      </c>
      <c r="B1409" t="s">
        <v>1702</v>
      </c>
    </row>
    <row r="1410" spans="1:2" x14ac:dyDescent="0.25">
      <c r="A1410" t="s">
        <v>1703</v>
      </c>
      <c r="B1410" t="s">
        <v>1704</v>
      </c>
    </row>
    <row r="1411" spans="1:2" x14ac:dyDescent="0.25">
      <c r="A1411" t="s">
        <v>1705</v>
      </c>
      <c r="B1411" t="s">
        <v>1706</v>
      </c>
    </row>
    <row r="1412" spans="1:2" x14ac:dyDescent="0.25">
      <c r="A1412" t="s">
        <v>1707</v>
      </c>
      <c r="B1412" t="s">
        <v>1708</v>
      </c>
    </row>
    <row r="1413" spans="1:2" x14ac:dyDescent="0.25">
      <c r="A1413" t="s">
        <v>1709</v>
      </c>
      <c r="B1413" t="s">
        <v>1710</v>
      </c>
    </row>
    <row r="1414" spans="1:2" x14ac:dyDescent="0.25">
      <c r="A1414" t="s">
        <v>1711</v>
      </c>
      <c r="B1414" t="s">
        <v>1712</v>
      </c>
    </row>
    <row r="1415" spans="1:2" x14ac:dyDescent="0.25">
      <c r="A1415" t="s">
        <v>1713</v>
      </c>
      <c r="B1415" t="s">
        <v>1714</v>
      </c>
    </row>
    <row r="1416" spans="1:2" x14ac:dyDescent="0.25">
      <c r="A1416" t="s">
        <v>1715</v>
      </c>
      <c r="B1416" t="s">
        <v>1716</v>
      </c>
    </row>
    <row r="1417" spans="1:2" x14ac:dyDescent="0.25">
      <c r="A1417" t="s">
        <v>127</v>
      </c>
      <c r="B1417" t="s">
        <v>1717</v>
      </c>
    </row>
    <row r="1418" spans="1:2" x14ac:dyDescent="0.25">
      <c r="A1418" t="s">
        <v>1718</v>
      </c>
      <c r="B1418" t="s">
        <v>1719</v>
      </c>
    </row>
    <row r="1419" spans="1:2" x14ac:dyDescent="0.25">
      <c r="A1419" t="s">
        <v>1380</v>
      </c>
      <c r="B1419" t="s">
        <v>1381</v>
      </c>
    </row>
    <row r="1420" spans="1:2" x14ac:dyDescent="0.25">
      <c r="A1420" t="s">
        <v>81</v>
      </c>
      <c r="B1420" t="s">
        <v>82</v>
      </c>
    </row>
    <row r="1421" spans="1:2" x14ac:dyDescent="0.25">
      <c r="A1421" t="s">
        <v>1720</v>
      </c>
      <c r="B1421" t="s">
        <v>1721</v>
      </c>
    </row>
    <row r="1422" spans="1:2" x14ac:dyDescent="0.25">
      <c r="A1422" t="s">
        <v>1722</v>
      </c>
      <c r="B1422" t="s">
        <v>1723</v>
      </c>
    </row>
    <row r="1423" spans="1:2" x14ac:dyDescent="0.25">
      <c r="A1423" t="s">
        <v>1724</v>
      </c>
      <c r="B1423" t="s">
        <v>1725</v>
      </c>
    </row>
    <row r="1424" spans="1:2" x14ac:dyDescent="0.25">
      <c r="A1424" t="s">
        <v>1069</v>
      </c>
      <c r="B1424" t="s">
        <v>1070</v>
      </c>
    </row>
    <row r="1425" spans="1:2" x14ac:dyDescent="0.25">
      <c r="A1425" t="s">
        <v>1726</v>
      </c>
      <c r="B1425" t="s">
        <v>1727</v>
      </c>
    </row>
    <row r="1426" spans="1:2" x14ac:dyDescent="0.25">
      <c r="A1426" t="s">
        <v>1728</v>
      </c>
      <c r="B1426" t="s">
        <v>1729</v>
      </c>
    </row>
    <row r="1427" spans="1:2" x14ac:dyDescent="0.25">
      <c r="A1427" t="s">
        <v>1730</v>
      </c>
      <c r="B1427" t="s">
        <v>1731</v>
      </c>
    </row>
    <row r="1428" spans="1:2" x14ac:dyDescent="0.25">
      <c r="A1428" t="s">
        <v>1567</v>
      </c>
      <c r="B1428" t="s">
        <v>1568</v>
      </c>
    </row>
    <row r="1429" spans="1:2" x14ac:dyDescent="0.25">
      <c r="A1429" t="s">
        <v>1732</v>
      </c>
      <c r="B1429" t="s">
        <v>1733</v>
      </c>
    </row>
    <row r="1430" spans="1:2" x14ac:dyDescent="0.25">
      <c r="A1430" t="s">
        <v>1734</v>
      </c>
      <c r="B1430" t="s">
        <v>1735</v>
      </c>
    </row>
    <row r="1431" spans="1:2" x14ac:dyDescent="0.25">
      <c r="A1431" t="s">
        <v>1736</v>
      </c>
      <c r="B1431" t="s">
        <v>1737</v>
      </c>
    </row>
    <row r="1432" spans="1:2" x14ac:dyDescent="0.25">
      <c r="A1432" t="s">
        <v>1738</v>
      </c>
      <c r="B1432" t="s">
        <v>1739</v>
      </c>
    </row>
    <row r="1433" spans="1:2" x14ac:dyDescent="0.25">
      <c r="A1433" t="s">
        <v>1740</v>
      </c>
      <c r="B1433" t="s">
        <v>1741</v>
      </c>
    </row>
    <row r="1434" spans="1:2" x14ac:dyDescent="0.25">
      <c r="A1434" t="s">
        <v>1742</v>
      </c>
      <c r="B1434" t="s">
        <v>1743</v>
      </c>
    </row>
    <row r="1435" spans="1:2" x14ac:dyDescent="0.25">
      <c r="A1435" t="s">
        <v>1744</v>
      </c>
      <c r="B1435" t="s">
        <v>1745</v>
      </c>
    </row>
    <row r="1436" spans="1:2" x14ac:dyDescent="0.25">
      <c r="A1436" t="s">
        <v>1746</v>
      </c>
      <c r="B1436" t="s">
        <v>1747</v>
      </c>
    </row>
    <row r="1437" spans="1:2" x14ac:dyDescent="0.25">
      <c r="A1437" t="s">
        <v>1748</v>
      </c>
      <c r="B1437" t="s">
        <v>1749</v>
      </c>
    </row>
    <row r="1438" spans="1:2" x14ac:dyDescent="0.25">
      <c r="A1438" t="s">
        <v>1750</v>
      </c>
      <c r="B1438" t="s">
        <v>1751</v>
      </c>
    </row>
    <row r="1439" spans="1:2" x14ac:dyDescent="0.25">
      <c r="A1439" t="s">
        <v>1752</v>
      </c>
      <c r="B1439" t="s">
        <v>1753</v>
      </c>
    </row>
    <row r="1440" spans="1:2" x14ac:dyDescent="0.25">
      <c r="A1440" t="s">
        <v>1754</v>
      </c>
      <c r="B1440" t="s">
        <v>1755</v>
      </c>
    </row>
    <row r="1441" spans="1:2" x14ac:dyDescent="0.25">
      <c r="A1441" t="s">
        <v>1756</v>
      </c>
      <c r="B1441" t="s">
        <v>1757</v>
      </c>
    </row>
    <row r="1442" spans="1:2" x14ac:dyDescent="0.25">
      <c r="A1442" t="s">
        <v>1758</v>
      </c>
      <c r="B1442" t="s">
        <v>1759</v>
      </c>
    </row>
    <row r="1443" spans="1:2" x14ac:dyDescent="0.25">
      <c r="A1443" t="s">
        <v>1760</v>
      </c>
      <c r="B1443" t="s">
        <v>1761</v>
      </c>
    </row>
    <row r="1444" spans="1:2" x14ac:dyDescent="0.25">
      <c r="A1444" t="s">
        <v>1762</v>
      </c>
      <c r="B1444" t="s">
        <v>1763</v>
      </c>
    </row>
    <row r="1445" spans="1:2" x14ac:dyDescent="0.25">
      <c r="A1445" t="s">
        <v>1764</v>
      </c>
      <c r="B1445" t="s">
        <v>1765</v>
      </c>
    </row>
    <row r="1446" spans="1:2" x14ac:dyDescent="0.25">
      <c r="A1446" t="s">
        <v>1766</v>
      </c>
      <c r="B1446" t="s">
        <v>1767</v>
      </c>
    </row>
    <row r="1447" spans="1:2" x14ac:dyDescent="0.25">
      <c r="A1447" t="s">
        <v>1768</v>
      </c>
      <c r="B1447" t="s">
        <v>1769</v>
      </c>
    </row>
    <row r="1448" spans="1:2" x14ac:dyDescent="0.25">
      <c r="A1448" t="s">
        <v>1770</v>
      </c>
      <c r="B1448" t="s">
        <v>1771</v>
      </c>
    </row>
    <row r="1449" spans="1:2" x14ac:dyDescent="0.25">
      <c r="A1449" t="s">
        <v>1772</v>
      </c>
      <c r="B1449" t="s">
        <v>1773</v>
      </c>
    </row>
    <row r="1450" spans="1:2" x14ac:dyDescent="0.25">
      <c r="A1450" t="s">
        <v>1774</v>
      </c>
      <c r="B1450" t="s">
        <v>1775</v>
      </c>
    </row>
    <row r="1451" spans="1:2" x14ac:dyDescent="0.25">
      <c r="A1451" t="s">
        <v>1776</v>
      </c>
      <c r="B1451" t="s">
        <v>1777</v>
      </c>
    </row>
    <row r="1452" spans="1:2" x14ac:dyDescent="0.25">
      <c r="A1452" t="s">
        <v>1778</v>
      </c>
      <c r="B1452" t="s">
        <v>1779</v>
      </c>
    </row>
    <row r="1453" spans="1:2" x14ac:dyDescent="0.25">
      <c r="A1453" t="s">
        <v>1636</v>
      </c>
      <c r="B1453" t="s">
        <v>1780</v>
      </c>
    </row>
    <row r="1454" spans="1:2" x14ac:dyDescent="0.25">
      <c r="A1454" t="s">
        <v>1781</v>
      </c>
      <c r="B1454" t="s">
        <v>1782</v>
      </c>
    </row>
    <row r="1455" spans="1:2" x14ac:dyDescent="0.25">
      <c r="A1455" t="s">
        <v>1783</v>
      </c>
      <c r="B1455" t="s">
        <v>1784</v>
      </c>
    </row>
    <row r="1456" spans="1:2" x14ac:dyDescent="0.25">
      <c r="A1456" t="s">
        <v>1785</v>
      </c>
      <c r="B1456" t="s">
        <v>1786</v>
      </c>
    </row>
    <row r="1457" spans="1:2" x14ac:dyDescent="0.25">
      <c r="A1457" t="s">
        <v>1787</v>
      </c>
      <c r="B1457" t="s">
        <v>1788</v>
      </c>
    </row>
    <row r="1458" spans="1:2" x14ac:dyDescent="0.25">
      <c r="A1458" t="s">
        <v>1789</v>
      </c>
      <c r="B1458" t="s">
        <v>1790</v>
      </c>
    </row>
    <row r="1459" spans="1:2" x14ac:dyDescent="0.25">
      <c r="A1459" t="s">
        <v>1791</v>
      </c>
      <c r="B1459" t="s">
        <v>1792</v>
      </c>
    </row>
    <row r="1460" spans="1:2" x14ac:dyDescent="0.25">
      <c r="A1460" t="s">
        <v>1793</v>
      </c>
      <c r="B1460" t="s">
        <v>1794</v>
      </c>
    </row>
    <row r="1461" spans="1:2" x14ac:dyDescent="0.25">
      <c r="A1461" t="s">
        <v>1795</v>
      </c>
      <c r="B1461" t="s">
        <v>1796</v>
      </c>
    </row>
    <row r="1462" spans="1:2" x14ac:dyDescent="0.25">
      <c r="A1462" t="s">
        <v>1797</v>
      </c>
      <c r="B1462" t="s">
        <v>1798</v>
      </c>
    </row>
    <row r="1463" spans="1:2" x14ac:dyDescent="0.25">
      <c r="A1463" t="s">
        <v>1799</v>
      </c>
      <c r="B1463" t="s">
        <v>1800</v>
      </c>
    </row>
    <row r="1464" spans="1:2" x14ac:dyDescent="0.25">
      <c r="A1464" t="s">
        <v>1801</v>
      </c>
      <c r="B1464" t="s">
        <v>1802</v>
      </c>
    </row>
    <row r="1465" spans="1:2" x14ac:dyDescent="0.25">
      <c r="A1465" t="s">
        <v>1803</v>
      </c>
      <c r="B1465" t="s">
        <v>1804</v>
      </c>
    </row>
    <row r="1466" spans="1:2" x14ac:dyDescent="0.25">
      <c r="A1466" t="s">
        <v>1805</v>
      </c>
      <c r="B1466" t="s">
        <v>1806</v>
      </c>
    </row>
    <row r="1467" spans="1:2" x14ac:dyDescent="0.25">
      <c r="A1467" t="s">
        <v>1807</v>
      </c>
      <c r="B1467" t="s">
        <v>1808</v>
      </c>
    </row>
    <row r="1468" spans="1:2" x14ac:dyDescent="0.25">
      <c r="A1468" t="s">
        <v>1809</v>
      </c>
      <c r="B1468" t="s">
        <v>1810</v>
      </c>
    </row>
    <row r="1469" spans="1:2" x14ac:dyDescent="0.25">
      <c r="A1469" t="s">
        <v>1811</v>
      </c>
      <c r="B1469" t="s">
        <v>1812</v>
      </c>
    </row>
    <row r="1470" spans="1:2" x14ac:dyDescent="0.25">
      <c r="A1470" t="s">
        <v>1813</v>
      </c>
      <c r="B1470" t="s">
        <v>1814</v>
      </c>
    </row>
    <row r="1471" spans="1:2" x14ac:dyDescent="0.25">
      <c r="A1471" t="s">
        <v>1815</v>
      </c>
      <c r="B1471" t="s">
        <v>1816</v>
      </c>
    </row>
    <row r="1472" spans="1:2" x14ac:dyDescent="0.25">
      <c r="A1472" t="s">
        <v>1817</v>
      </c>
      <c r="B1472" t="s">
        <v>1818</v>
      </c>
    </row>
    <row r="1473" spans="1:2" x14ac:dyDescent="0.25">
      <c r="A1473" t="s">
        <v>1819</v>
      </c>
      <c r="B1473" t="s">
        <v>1820</v>
      </c>
    </row>
    <row r="1474" spans="1:2" x14ac:dyDescent="0.25">
      <c r="A1474" t="s">
        <v>1821</v>
      </c>
      <c r="B1474" t="s">
        <v>1822</v>
      </c>
    </row>
    <row r="1475" spans="1:2" x14ac:dyDescent="0.25">
      <c r="A1475" t="s">
        <v>1823</v>
      </c>
      <c r="B1475" t="s">
        <v>1824</v>
      </c>
    </row>
    <row r="1476" spans="1:2" x14ac:dyDescent="0.25">
      <c r="A1476" t="s">
        <v>1825</v>
      </c>
      <c r="B1476" t="s">
        <v>1826</v>
      </c>
    </row>
    <row r="1477" spans="1:2" x14ac:dyDescent="0.25">
      <c r="A1477" t="s">
        <v>1827</v>
      </c>
      <c r="B1477" t="s">
        <v>1828</v>
      </c>
    </row>
    <row r="1478" spans="1:2" x14ac:dyDescent="0.25">
      <c r="A1478" t="s">
        <v>1829</v>
      </c>
      <c r="B1478" t="s">
        <v>1830</v>
      </c>
    </row>
    <row r="1479" spans="1:2" x14ac:dyDescent="0.25">
      <c r="A1479" t="s">
        <v>1831</v>
      </c>
      <c r="B1479" t="s">
        <v>1832</v>
      </c>
    </row>
    <row r="1480" spans="1:2" x14ac:dyDescent="0.25">
      <c r="A1480" t="s">
        <v>1833</v>
      </c>
      <c r="B1480" t="s">
        <v>1834</v>
      </c>
    </row>
    <row r="1481" spans="1:2" x14ac:dyDescent="0.25">
      <c r="A1481" t="s">
        <v>1835</v>
      </c>
      <c r="B1481" t="s">
        <v>1836</v>
      </c>
    </row>
    <row r="1482" spans="1:2" x14ac:dyDescent="0.25">
      <c r="A1482" t="s">
        <v>1837</v>
      </c>
      <c r="B1482" t="s">
        <v>1838</v>
      </c>
    </row>
    <row r="1483" spans="1:2" x14ac:dyDescent="0.25">
      <c r="A1483" t="s">
        <v>1839</v>
      </c>
      <c r="B1483" t="s">
        <v>1840</v>
      </c>
    </row>
    <row r="1484" spans="1:2" x14ac:dyDescent="0.25">
      <c r="A1484" t="s">
        <v>1841</v>
      </c>
      <c r="B1484" t="s">
        <v>1842</v>
      </c>
    </row>
    <row r="1485" spans="1:2" x14ac:dyDescent="0.25">
      <c r="A1485" t="s">
        <v>1843</v>
      </c>
      <c r="B1485" t="s">
        <v>1844</v>
      </c>
    </row>
    <row r="1486" spans="1:2" x14ac:dyDescent="0.25">
      <c r="A1486" t="s">
        <v>1845</v>
      </c>
      <c r="B1486" t="s">
        <v>1846</v>
      </c>
    </row>
    <row r="1487" spans="1:2" x14ac:dyDescent="0.25">
      <c r="A1487" t="s">
        <v>1738</v>
      </c>
      <c r="B1487" t="s">
        <v>1847</v>
      </c>
    </row>
    <row r="1488" spans="1:2" x14ac:dyDescent="0.25">
      <c r="A1488" t="s">
        <v>1848</v>
      </c>
      <c r="B1488" t="s">
        <v>1849</v>
      </c>
    </row>
    <row r="1489" spans="1:2" x14ac:dyDescent="0.25">
      <c r="A1489" t="s">
        <v>1850</v>
      </c>
      <c r="B1489" t="s">
        <v>1851</v>
      </c>
    </row>
    <row r="1490" spans="1:2" x14ac:dyDescent="0.25">
      <c r="A1490" t="s">
        <v>1852</v>
      </c>
      <c r="B1490" t="s">
        <v>1853</v>
      </c>
    </row>
    <row r="1491" spans="1:2" x14ac:dyDescent="0.25">
      <c r="A1491" t="s">
        <v>1854</v>
      </c>
      <c r="B1491" t="s">
        <v>1855</v>
      </c>
    </row>
    <row r="1492" spans="1:2" x14ac:dyDescent="0.25">
      <c r="A1492" t="s">
        <v>1856</v>
      </c>
      <c r="B1492" t="s">
        <v>1857</v>
      </c>
    </row>
    <row r="1493" spans="1:2" x14ac:dyDescent="0.25">
      <c r="A1493" t="s">
        <v>1858</v>
      </c>
      <c r="B1493" t="s">
        <v>1859</v>
      </c>
    </row>
    <row r="1494" spans="1:2" x14ac:dyDescent="0.25">
      <c r="A1494" t="s">
        <v>1860</v>
      </c>
      <c r="B1494" t="s">
        <v>1861</v>
      </c>
    </row>
    <row r="1495" spans="1:2" x14ac:dyDescent="0.25">
      <c r="A1495" t="s">
        <v>1862</v>
      </c>
      <c r="B1495" t="s">
        <v>1863</v>
      </c>
    </row>
    <row r="1496" spans="1:2" x14ac:dyDescent="0.25">
      <c r="A1496" t="s">
        <v>1864</v>
      </c>
      <c r="B1496" t="s">
        <v>1865</v>
      </c>
    </row>
    <row r="1497" spans="1:2" x14ac:dyDescent="0.25">
      <c r="A1497" t="s">
        <v>1866</v>
      </c>
      <c r="B1497" t="s">
        <v>1867</v>
      </c>
    </row>
    <row r="1498" spans="1:2" x14ac:dyDescent="0.25">
      <c r="A1498" t="s">
        <v>1868</v>
      </c>
      <c r="B1498" t="s">
        <v>1869</v>
      </c>
    </row>
    <row r="1499" spans="1:2" x14ac:dyDescent="0.25">
      <c r="A1499" t="s">
        <v>1870</v>
      </c>
      <c r="B1499" t="s">
        <v>1871</v>
      </c>
    </row>
    <row r="1500" spans="1:2" x14ac:dyDescent="0.25">
      <c r="A1500" t="s">
        <v>1872</v>
      </c>
      <c r="B1500" t="s">
        <v>1873</v>
      </c>
    </row>
    <row r="1501" spans="1:2" x14ac:dyDescent="0.25">
      <c r="A1501" t="s">
        <v>1874</v>
      </c>
      <c r="B1501" t="s">
        <v>1875</v>
      </c>
    </row>
    <row r="1502" spans="1:2" x14ac:dyDescent="0.25">
      <c r="A1502" t="s">
        <v>1876</v>
      </c>
      <c r="B1502" t="s">
        <v>1877</v>
      </c>
    </row>
    <row r="1503" spans="1:2" x14ac:dyDescent="0.25">
      <c r="A1503" t="s">
        <v>1878</v>
      </c>
      <c r="B1503" t="s">
        <v>1879</v>
      </c>
    </row>
    <row r="1504" spans="1:2" x14ac:dyDescent="0.25">
      <c r="A1504" t="s">
        <v>1880</v>
      </c>
      <c r="B1504" t="s">
        <v>1881</v>
      </c>
    </row>
    <row r="1505" spans="1:2" x14ac:dyDescent="0.25">
      <c r="A1505" t="s">
        <v>1882</v>
      </c>
      <c r="B1505" t="s">
        <v>1883</v>
      </c>
    </row>
    <row r="1506" spans="1:2" x14ac:dyDescent="0.25">
      <c r="A1506" t="s">
        <v>1884</v>
      </c>
      <c r="B1506" t="s">
        <v>1885</v>
      </c>
    </row>
    <row r="1507" spans="1:2" x14ac:dyDescent="0.25">
      <c r="A1507" t="s">
        <v>1732</v>
      </c>
      <c r="B1507" t="s">
        <v>1886</v>
      </c>
    </row>
    <row r="1508" spans="1:2" x14ac:dyDescent="0.25">
      <c r="A1508" t="s">
        <v>1887</v>
      </c>
      <c r="B1508" t="s">
        <v>1888</v>
      </c>
    </row>
    <row r="1509" spans="1:2" x14ac:dyDescent="0.25">
      <c r="A1509" t="s">
        <v>1889</v>
      </c>
      <c r="B1509" t="s">
        <v>1890</v>
      </c>
    </row>
    <row r="1510" spans="1:2" x14ac:dyDescent="0.25">
      <c r="A1510" t="s">
        <v>1891</v>
      </c>
      <c r="B1510" t="s">
        <v>1892</v>
      </c>
    </row>
    <row r="1511" spans="1:2" x14ac:dyDescent="0.25">
      <c r="A1511" t="s">
        <v>1893</v>
      </c>
      <c r="B1511" t="s">
        <v>1894</v>
      </c>
    </row>
    <row r="1512" spans="1:2" x14ac:dyDescent="0.25">
      <c r="A1512" t="s">
        <v>1895</v>
      </c>
      <c r="B1512" t="s">
        <v>1896</v>
      </c>
    </row>
    <row r="1513" spans="1:2" x14ac:dyDescent="0.25">
      <c r="A1513" t="s">
        <v>1897</v>
      </c>
      <c r="B1513" t="s">
        <v>1898</v>
      </c>
    </row>
    <row r="1514" spans="1:2" x14ac:dyDescent="0.25">
      <c r="A1514" t="s">
        <v>1899</v>
      </c>
      <c r="B1514" t="s">
        <v>1900</v>
      </c>
    </row>
    <row r="1515" spans="1:2" x14ac:dyDescent="0.25">
      <c r="A1515" t="s">
        <v>1901</v>
      </c>
      <c r="B1515" t="s">
        <v>1902</v>
      </c>
    </row>
    <row r="1516" spans="1:2" x14ac:dyDescent="0.25">
      <c r="A1516" t="s">
        <v>1903</v>
      </c>
      <c r="B1516" t="s">
        <v>1904</v>
      </c>
    </row>
    <row r="1517" spans="1:2" x14ac:dyDescent="0.25">
      <c r="A1517" t="s">
        <v>1905</v>
      </c>
      <c r="B1517" t="s">
        <v>1906</v>
      </c>
    </row>
    <row r="1518" spans="1:2" x14ac:dyDescent="0.25">
      <c r="A1518" t="s">
        <v>1907</v>
      </c>
      <c r="B1518" t="s">
        <v>1908</v>
      </c>
    </row>
    <row r="1519" spans="1:2" x14ac:dyDescent="0.25">
      <c r="A1519" t="s">
        <v>1909</v>
      </c>
      <c r="B1519" t="s">
        <v>1910</v>
      </c>
    </row>
    <row r="1520" spans="1:2" x14ac:dyDescent="0.25">
      <c r="A1520" t="s">
        <v>1911</v>
      </c>
      <c r="B1520" t="s">
        <v>1912</v>
      </c>
    </row>
    <row r="1521" spans="1:2" x14ac:dyDescent="0.25">
      <c r="A1521" t="s">
        <v>1913</v>
      </c>
      <c r="B1521" t="s">
        <v>1914</v>
      </c>
    </row>
    <row r="1522" spans="1:2" x14ac:dyDescent="0.25">
      <c r="A1522" t="s">
        <v>1915</v>
      </c>
      <c r="B1522" t="s">
        <v>1916</v>
      </c>
    </row>
    <row r="1523" spans="1:2" x14ac:dyDescent="0.25">
      <c r="A1523" t="s">
        <v>1917</v>
      </c>
      <c r="B1523" t="s">
        <v>1918</v>
      </c>
    </row>
    <row r="1524" spans="1:2" x14ac:dyDescent="0.25">
      <c r="A1524" t="s">
        <v>1283</v>
      </c>
      <c r="B1524" t="s">
        <v>1919</v>
      </c>
    </row>
    <row r="1525" spans="1:2" x14ac:dyDescent="0.25">
      <c r="A1525" t="s">
        <v>1920</v>
      </c>
      <c r="B1525" t="s">
        <v>1921</v>
      </c>
    </row>
    <row r="1526" spans="1:2" x14ac:dyDescent="0.25">
      <c r="A1526" t="s">
        <v>1922</v>
      </c>
      <c r="B1526" t="s">
        <v>1923</v>
      </c>
    </row>
    <row r="1527" spans="1:2" x14ac:dyDescent="0.25">
      <c r="A1527" t="s">
        <v>1924</v>
      </c>
      <c r="B1527" t="s">
        <v>1925</v>
      </c>
    </row>
    <row r="1528" spans="1:2" x14ac:dyDescent="0.25">
      <c r="A1528" t="s">
        <v>1926</v>
      </c>
      <c r="B1528" t="s">
        <v>1927</v>
      </c>
    </row>
    <row r="1529" spans="1:2" x14ac:dyDescent="0.25">
      <c r="A1529" t="s">
        <v>1928</v>
      </c>
      <c r="B1529" t="s">
        <v>1929</v>
      </c>
    </row>
    <row r="1530" spans="1:2" x14ac:dyDescent="0.25">
      <c r="A1530" t="s">
        <v>1930</v>
      </c>
      <c r="B1530" t="s">
        <v>1931</v>
      </c>
    </row>
    <row r="1531" spans="1:2" x14ac:dyDescent="0.25">
      <c r="A1531" t="s">
        <v>1932</v>
      </c>
      <c r="B1531" t="s">
        <v>1933</v>
      </c>
    </row>
    <row r="1532" spans="1:2" x14ac:dyDescent="0.25">
      <c r="A1532" t="s">
        <v>1934</v>
      </c>
      <c r="B1532" t="s">
        <v>1935</v>
      </c>
    </row>
    <row r="1533" spans="1:2" x14ac:dyDescent="0.25">
      <c r="A1533" t="s">
        <v>1936</v>
      </c>
      <c r="B1533" t="s">
        <v>1937</v>
      </c>
    </row>
    <row r="1534" spans="1:2" x14ac:dyDescent="0.25">
      <c r="A1534" t="s">
        <v>1938</v>
      </c>
      <c r="B1534" t="s">
        <v>1939</v>
      </c>
    </row>
    <row r="1535" spans="1:2" x14ac:dyDescent="0.25">
      <c r="A1535" t="s">
        <v>1940</v>
      </c>
      <c r="B1535" t="s">
        <v>1941</v>
      </c>
    </row>
    <row r="1536" spans="1:2" x14ac:dyDescent="0.25">
      <c r="A1536" t="s">
        <v>1942</v>
      </c>
      <c r="B1536" t="s">
        <v>1943</v>
      </c>
    </row>
    <row r="1537" spans="1:2" x14ac:dyDescent="0.25">
      <c r="A1537" t="s">
        <v>1944</v>
      </c>
      <c r="B1537" t="s">
        <v>1945</v>
      </c>
    </row>
    <row r="1538" spans="1:2" x14ac:dyDescent="0.25">
      <c r="A1538" t="s">
        <v>1946</v>
      </c>
      <c r="B1538" t="s">
        <v>1947</v>
      </c>
    </row>
    <row r="1539" spans="1:2" x14ac:dyDescent="0.25">
      <c r="A1539" t="s">
        <v>1948</v>
      </c>
      <c r="B1539" t="s">
        <v>1949</v>
      </c>
    </row>
    <row r="1540" spans="1:2" x14ac:dyDescent="0.25">
      <c r="A1540" t="s">
        <v>1950</v>
      </c>
      <c r="B1540" t="s">
        <v>1951</v>
      </c>
    </row>
    <row r="1541" spans="1:2" x14ac:dyDescent="0.25">
      <c r="A1541" t="s">
        <v>1952</v>
      </c>
      <c r="B1541" t="s">
        <v>1953</v>
      </c>
    </row>
    <row r="1542" spans="1:2" x14ac:dyDescent="0.25">
      <c r="A1542" t="s">
        <v>1954</v>
      </c>
      <c r="B1542" t="s">
        <v>1955</v>
      </c>
    </row>
    <row r="1543" spans="1:2" x14ac:dyDescent="0.25">
      <c r="A1543" t="s">
        <v>1956</v>
      </c>
      <c r="B1543" t="s">
        <v>1957</v>
      </c>
    </row>
    <row r="1544" spans="1:2" x14ac:dyDescent="0.25">
      <c r="A1544" t="s">
        <v>1958</v>
      </c>
      <c r="B1544" t="s">
        <v>1959</v>
      </c>
    </row>
    <row r="1545" spans="1:2" x14ac:dyDescent="0.25">
      <c r="A1545" t="s">
        <v>1960</v>
      </c>
      <c r="B1545" t="s">
        <v>1961</v>
      </c>
    </row>
    <row r="1546" spans="1:2" x14ac:dyDescent="0.25">
      <c r="A1546" t="s">
        <v>1962</v>
      </c>
      <c r="B1546" t="s">
        <v>1963</v>
      </c>
    </row>
    <row r="1547" spans="1:2" x14ac:dyDescent="0.25">
      <c r="A1547" t="s">
        <v>1964</v>
      </c>
      <c r="B1547" t="s">
        <v>1965</v>
      </c>
    </row>
    <row r="1548" spans="1:2" x14ac:dyDescent="0.25">
      <c r="A1548" t="s">
        <v>1966</v>
      </c>
      <c r="B1548" t="s">
        <v>1967</v>
      </c>
    </row>
    <row r="1549" spans="1:2" x14ac:dyDescent="0.25">
      <c r="A1549" t="s">
        <v>1968</v>
      </c>
      <c r="B1549" t="s">
        <v>1969</v>
      </c>
    </row>
    <row r="1550" spans="1:2" x14ac:dyDescent="0.25">
      <c r="A1550" t="s">
        <v>1970</v>
      </c>
      <c r="B1550" t="s">
        <v>1971</v>
      </c>
    </row>
    <row r="1551" spans="1:2" x14ac:dyDescent="0.25">
      <c r="A1551" t="s">
        <v>1972</v>
      </c>
      <c r="B1551" t="s">
        <v>1973</v>
      </c>
    </row>
    <row r="1552" spans="1:2" x14ac:dyDescent="0.25">
      <c r="A1552" t="s">
        <v>1974</v>
      </c>
      <c r="B1552" t="s">
        <v>1975</v>
      </c>
    </row>
    <row r="1553" spans="1:2" x14ac:dyDescent="0.25">
      <c r="A1553" t="s">
        <v>1976</v>
      </c>
      <c r="B1553" t="s">
        <v>1977</v>
      </c>
    </row>
    <row r="1554" spans="1:2" x14ac:dyDescent="0.25">
      <c r="A1554" t="s">
        <v>1978</v>
      </c>
      <c r="B1554" t="s">
        <v>1979</v>
      </c>
    </row>
    <row r="1555" spans="1:2" x14ac:dyDescent="0.25">
      <c r="A1555" t="s">
        <v>1980</v>
      </c>
      <c r="B1555" t="s">
        <v>1981</v>
      </c>
    </row>
    <row r="1556" spans="1:2" x14ac:dyDescent="0.25">
      <c r="A1556" t="s">
        <v>1982</v>
      </c>
      <c r="B1556" t="s">
        <v>1983</v>
      </c>
    </row>
    <row r="1557" spans="1:2" x14ac:dyDescent="0.25">
      <c r="A1557" t="s">
        <v>1984</v>
      </c>
      <c r="B1557" t="s">
        <v>1985</v>
      </c>
    </row>
    <row r="1558" spans="1:2" x14ac:dyDescent="0.25">
      <c r="A1558" t="s">
        <v>1986</v>
      </c>
      <c r="B1558" t="s">
        <v>1987</v>
      </c>
    </row>
    <row r="1559" spans="1:2" x14ac:dyDescent="0.25">
      <c r="A1559" t="s">
        <v>1988</v>
      </c>
      <c r="B1559" t="s">
        <v>1989</v>
      </c>
    </row>
    <row r="1560" spans="1:2" x14ac:dyDescent="0.25">
      <c r="A1560" t="s">
        <v>1990</v>
      </c>
      <c r="B1560" t="s">
        <v>1991</v>
      </c>
    </row>
    <row r="1561" spans="1:2" x14ac:dyDescent="0.25">
      <c r="A1561" t="s">
        <v>1992</v>
      </c>
      <c r="B1561" t="s">
        <v>1993</v>
      </c>
    </row>
    <row r="1562" spans="1:2" x14ac:dyDescent="0.25">
      <c r="A1562" t="s">
        <v>1994</v>
      </c>
      <c r="B1562" t="s">
        <v>1995</v>
      </c>
    </row>
    <row r="1563" spans="1:2" x14ac:dyDescent="0.25">
      <c r="A1563" t="s">
        <v>1996</v>
      </c>
      <c r="B1563" t="s">
        <v>1997</v>
      </c>
    </row>
    <row r="1564" spans="1:2" x14ac:dyDescent="0.25">
      <c r="A1564" t="s">
        <v>1998</v>
      </c>
      <c r="B1564" t="s">
        <v>1999</v>
      </c>
    </row>
    <row r="1565" spans="1:2" x14ac:dyDescent="0.25">
      <c r="A1565" t="s">
        <v>2000</v>
      </c>
      <c r="B1565" t="s">
        <v>2001</v>
      </c>
    </row>
    <row r="1566" spans="1:2" x14ac:dyDescent="0.25">
      <c r="A1566" t="s">
        <v>2002</v>
      </c>
      <c r="B1566" t="s">
        <v>2003</v>
      </c>
    </row>
    <row r="1567" spans="1:2" x14ac:dyDescent="0.25">
      <c r="A1567" t="s">
        <v>2004</v>
      </c>
      <c r="B1567" t="s">
        <v>2005</v>
      </c>
    </row>
    <row r="1568" spans="1:2" x14ac:dyDescent="0.25">
      <c r="A1568" t="s">
        <v>2006</v>
      </c>
      <c r="B1568" t="s">
        <v>2007</v>
      </c>
    </row>
    <row r="1569" spans="1:2" x14ac:dyDescent="0.25">
      <c r="A1569" t="s">
        <v>2008</v>
      </c>
      <c r="B1569" t="s">
        <v>2009</v>
      </c>
    </row>
    <row r="1570" spans="1:2" x14ac:dyDescent="0.25">
      <c r="A1570" t="s">
        <v>2010</v>
      </c>
      <c r="B1570" t="s">
        <v>2011</v>
      </c>
    </row>
    <row r="1571" spans="1:2" x14ac:dyDescent="0.25">
      <c r="A1571" t="s">
        <v>2012</v>
      </c>
      <c r="B1571" t="s">
        <v>2013</v>
      </c>
    </row>
    <row r="1572" spans="1:2" x14ac:dyDescent="0.25">
      <c r="A1572" t="s">
        <v>2014</v>
      </c>
      <c r="B1572" t="s">
        <v>2015</v>
      </c>
    </row>
    <row r="1573" spans="1:2" x14ac:dyDescent="0.25">
      <c r="A1573" t="s">
        <v>2016</v>
      </c>
      <c r="B1573" t="s">
        <v>2017</v>
      </c>
    </row>
    <row r="1574" spans="1:2" x14ac:dyDescent="0.25">
      <c r="A1574" t="s">
        <v>2018</v>
      </c>
      <c r="B1574" t="s">
        <v>2019</v>
      </c>
    </row>
    <row r="1575" spans="1:2" x14ac:dyDescent="0.25">
      <c r="A1575" t="s">
        <v>2020</v>
      </c>
      <c r="B1575" t="s">
        <v>2021</v>
      </c>
    </row>
    <row r="1576" spans="1:2" x14ac:dyDescent="0.25">
      <c r="A1576" t="s">
        <v>2022</v>
      </c>
      <c r="B1576" t="s">
        <v>2023</v>
      </c>
    </row>
    <row r="1577" spans="1:2" x14ac:dyDescent="0.25">
      <c r="A1577" t="s">
        <v>38</v>
      </c>
      <c r="B1577" t="s">
        <v>2024</v>
      </c>
    </row>
    <row r="1578" spans="1:2" x14ac:dyDescent="0.25">
      <c r="A1578" t="s">
        <v>2025</v>
      </c>
      <c r="B1578" t="s">
        <v>2026</v>
      </c>
    </row>
    <row r="1579" spans="1:2" x14ac:dyDescent="0.25">
      <c r="A1579" t="s">
        <v>2027</v>
      </c>
      <c r="B1579" t="s">
        <v>2028</v>
      </c>
    </row>
    <row r="1580" spans="1:2" x14ac:dyDescent="0.25">
      <c r="A1580" t="s">
        <v>2029</v>
      </c>
      <c r="B1580" t="s">
        <v>2030</v>
      </c>
    </row>
    <row r="1581" spans="1:2" x14ac:dyDescent="0.25">
      <c r="A1581" t="s">
        <v>2031</v>
      </c>
      <c r="B1581" t="s">
        <v>2032</v>
      </c>
    </row>
    <row r="1582" spans="1:2" x14ac:dyDescent="0.25">
      <c r="A1582" t="s">
        <v>2033</v>
      </c>
      <c r="B1582" t="s">
        <v>2034</v>
      </c>
    </row>
    <row r="1583" spans="1:2" x14ac:dyDescent="0.25">
      <c r="A1583" t="s">
        <v>1576</v>
      </c>
      <c r="B1583" t="s">
        <v>2035</v>
      </c>
    </row>
    <row r="1584" spans="1:2" x14ac:dyDescent="0.25">
      <c r="A1584" t="s">
        <v>2036</v>
      </c>
      <c r="B1584" t="s">
        <v>2037</v>
      </c>
    </row>
    <row r="1585" spans="1:2" x14ac:dyDescent="0.25">
      <c r="A1585" t="s">
        <v>2038</v>
      </c>
      <c r="B1585" t="s">
        <v>2039</v>
      </c>
    </row>
    <row r="1586" spans="1:2" x14ac:dyDescent="0.25">
      <c r="A1586" t="s">
        <v>2040</v>
      </c>
      <c r="B1586" t="s">
        <v>2041</v>
      </c>
    </row>
    <row r="1587" spans="1:2" x14ac:dyDescent="0.25">
      <c r="A1587" t="s">
        <v>2042</v>
      </c>
      <c r="B1587" t="s">
        <v>2043</v>
      </c>
    </row>
    <row r="1588" spans="1:2" x14ac:dyDescent="0.25">
      <c r="A1588" t="s">
        <v>2044</v>
      </c>
      <c r="B1588" t="s">
        <v>2045</v>
      </c>
    </row>
    <row r="1589" spans="1:2" x14ac:dyDescent="0.25">
      <c r="A1589" t="s">
        <v>2046</v>
      </c>
      <c r="B1589" t="s">
        <v>2047</v>
      </c>
    </row>
    <row r="1590" spans="1:2" x14ac:dyDescent="0.25">
      <c r="A1590" t="s">
        <v>2048</v>
      </c>
      <c r="B1590" t="s">
        <v>2049</v>
      </c>
    </row>
    <row r="1591" spans="1:2" x14ac:dyDescent="0.25">
      <c r="A1591" t="s">
        <v>2050</v>
      </c>
      <c r="B1591" t="s">
        <v>2051</v>
      </c>
    </row>
    <row r="1592" spans="1:2" x14ac:dyDescent="0.25">
      <c r="A1592" t="s">
        <v>2052</v>
      </c>
      <c r="B1592" t="s">
        <v>2053</v>
      </c>
    </row>
    <row r="1593" spans="1:2" x14ac:dyDescent="0.25">
      <c r="A1593" t="s">
        <v>2054</v>
      </c>
      <c r="B1593" t="s">
        <v>2055</v>
      </c>
    </row>
    <row r="1594" spans="1:2" x14ac:dyDescent="0.25">
      <c r="A1594" t="s">
        <v>2056</v>
      </c>
      <c r="B1594" t="s">
        <v>2057</v>
      </c>
    </row>
    <row r="1595" spans="1:2" x14ac:dyDescent="0.25">
      <c r="A1595" t="s">
        <v>2058</v>
      </c>
      <c r="B1595" t="s">
        <v>2059</v>
      </c>
    </row>
    <row r="1596" spans="1:2" x14ac:dyDescent="0.25">
      <c r="A1596" t="s">
        <v>2060</v>
      </c>
      <c r="B1596" t="s">
        <v>2061</v>
      </c>
    </row>
    <row r="1597" spans="1:2" x14ac:dyDescent="0.25">
      <c r="A1597" t="s">
        <v>2062</v>
      </c>
      <c r="B1597" t="s">
        <v>2063</v>
      </c>
    </row>
    <row r="1598" spans="1:2" x14ac:dyDescent="0.25">
      <c r="A1598" t="s">
        <v>2064</v>
      </c>
      <c r="B1598" t="s">
        <v>2065</v>
      </c>
    </row>
    <row r="1599" spans="1:2" x14ac:dyDescent="0.25">
      <c r="A1599" t="s">
        <v>2066</v>
      </c>
      <c r="B1599" t="s">
        <v>2067</v>
      </c>
    </row>
    <row r="1600" spans="1:2" x14ac:dyDescent="0.25">
      <c r="A1600" t="s">
        <v>2068</v>
      </c>
      <c r="B1600" t="s">
        <v>2069</v>
      </c>
    </row>
    <row r="1601" spans="1:2" x14ac:dyDescent="0.25">
      <c r="A1601" t="s">
        <v>2070</v>
      </c>
      <c r="B1601" t="s">
        <v>2071</v>
      </c>
    </row>
    <row r="1602" spans="1:2" x14ac:dyDescent="0.25">
      <c r="A1602" t="s">
        <v>2072</v>
      </c>
      <c r="B1602" t="s">
        <v>2073</v>
      </c>
    </row>
    <row r="1603" spans="1:2" x14ac:dyDescent="0.25">
      <c r="A1603" t="s">
        <v>2074</v>
      </c>
      <c r="B1603" t="s">
        <v>2075</v>
      </c>
    </row>
    <row r="1604" spans="1:2" x14ac:dyDescent="0.25">
      <c r="A1604" t="s">
        <v>2076</v>
      </c>
      <c r="B1604" t="s">
        <v>2077</v>
      </c>
    </row>
    <row r="1605" spans="1:2" x14ac:dyDescent="0.25">
      <c r="A1605" t="s">
        <v>2078</v>
      </c>
      <c r="B1605" t="s">
        <v>2079</v>
      </c>
    </row>
    <row r="1606" spans="1:2" x14ac:dyDescent="0.25">
      <c r="A1606" t="s">
        <v>2080</v>
      </c>
      <c r="B1606" t="s">
        <v>2081</v>
      </c>
    </row>
    <row r="1607" spans="1:2" x14ac:dyDescent="0.25">
      <c r="A1607" t="s">
        <v>2082</v>
      </c>
      <c r="B1607" t="s">
        <v>2083</v>
      </c>
    </row>
    <row r="1608" spans="1:2" x14ac:dyDescent="0.25">
      <c r="A1608" t="s">
        <v>2084</v>
      </c>
      <c r="B1608" t="s">
        <v>2085</v>
      </c>
    </row>
    <row r="1609" spans="1:2" x14ac:dyDescent="0.25">
      <c r="A1609" t="s">
        <v>2086</v>
      </c>
      <c r="B1609" t="s">
        <v>2087</v>
      </c>
    </row>
    <row r="1610" spans="1:2" x14ac:dyDescent="0.25">
      <c r="A1610" t="s">
        <v>2088</v>
      </c>
      <c r="B1610" t="s">
        <v>2089</v>
      </c>
    </row>
    <row r="1611" spans="1:2" x14ac:dyDescent="0.25">
      <c r="A1611" t="s">
        <v>1503</v>
      </c>
      <c r="B1611" t="s">
        <v>2090</v>
      </c>
    </row>
    <row r="1612" spans="1:2" x14ac:dyDescent="0.25">
      <c r="A1612" t="s">
        <v>2091</v>
      </c>
      <c r="B1612" t="s">
        <v>2092</v>
      </c>
    </row>
    <row r="1613" spans="1:2" x14ac:dyDescent="0.25">
      <c r="A1613" t="s">
        <v>2093</v>
      </c>
      <c r="B1613" t="s">
        <v>2094</v>
      </c>
    </row>
    <row r="1614" spans="1:2" x14ac:dyDescent="0.25">
      <c r="A1614" t="s">
        <v>2095</v>
      </c>
      <c r="B1614" t="s">
        <v>2096</v>
      </c>
    </row>
    <row r="1615" spans="1:2" x14ac:dyDescent="0.25">
      <c r="A1615" t="s">
        <v>2097</v>
      </c>
      <c r="B1615" t="s">
        <v>2098</v>
      </c>
    </row>
    <row r="1616" spans="1:2" x14ac:dyDescent="0.25">
      <c r="A1616" t="s">
        <v>2099</v>
      </c>
      <c r="B1616" t="s">
        <v>2100</v>
      </c>
    </row>
    <row r="1617" spans="1:2" x14ac:dyDescent="0.25">
      <c r="A1617" t="s">
        <v>2101</v>
      </c>
      <c r="B1617" t="s">
        <v>2102</v>
      </c>
    </row>
    <row r="1618" spans="1:2" x14ac:dyDescent="0.25">
      <c r="A1618" t="s">
        <v>2103</v>
      </c>
      <c r="B1618" t="s">
        <v>2104</v>
      </c>
    </row>
    <row r="1619" spans="1:2" x14ac:dyDescent="0.25">
      <c r="A1619" t="s">
        <v>1567</v>
      </c>
      <c r="B1619" t="s">
        <v>2105</v>
      </c>
    </row>
    <row r="1620" spans="1:2" x14ac:dyDescent="0.25">
      <c r="A1620" t="s">
        <v>2106</v>
      </c>
      <c r="B1620" t="s">
        <v>2107</v>
      </c>
    </row>
    <row r="1621" spans="1:2" x14ac:dyDescent="0.25">
      <c r="A1621" t="s">
        <v>2108</v>
      </c>
      <c r="B1621" t="s">
        <v>2109</v>
      </c>
    </row>
    <row r="1622" spans="1:2" x14ac:dyDescent="0.25">
      <c r="A1622" t="s">
        <v>2110</v>
      </c>
      <c r="B1622" t="s">
        <v>2111</v>
      </c>
    </row>
    <row r="1623" spans="1:2" x14ac:dyDescent="0.25">
      <c r="A1623" t="s">
        <v>2112</v>
      </c>
      <c r="B1623" t="s">
        <v>2113</v>
      </c>
    </row>
    <row r="1624" spans="1:2" x14ac:dyDescent="0.25">
      <c r="A1624" t="s">
        <v>2114</v>
      </c>
      <c r="B1624" t="s">
        <v>2115</v>
      </c>
    </row>
    <row r="1625" spans="1:2" x14ac:dyDescent="0.25">
      <c r="A1625" t="s">
        <v>2116</v>
      </c>
      <c r="B1625" t="s">
        <v>2117</v>
      </c>
    </row>
    <row r="1626" spans="1:2" x14ac:dyDescent="0.25">
      <c r="A1626" t="s">
        <v>2118</v>
      </c>
      <c r="B1626" t="s">
        <v>2119</v>
      </c>
    </row>
    <row r="1627" spans="1:2" x14ac:dyDescent="0.25">
      <c r="A1627" t="s">
        <v>2120</v>
      </c>
      <c r="B1627" t="s">
        <v>2121</v>
      </c>
    </row>
    <row r="1628" spans="1:2" x14ac:dyDescent="0.25">
      <c r="A1628" t="s">
        <v>2122</v>
      </c>
      <c r="B1628" t="s">
        <v>2123</v>
      </c>
    </row>
    <row r="1629" spans="1:2" x14ac:dyDescent="0.25">
      <c r="A1629" t="s">
        <v>2124</v>
      </c>
      <c r="B1629" t="s">
        <v>2125</v>
      </c>
    </row>
    <row r="1630" spans="1:2" x14ac:dyDescent="0.25">
      <c r="A1630" t="s">
        <v>2126</v>
      </c>
      <c r="B1630" t="s">
        <v>2127</v>
      </c>
    </row>
    <row r="1631" spans="1:2" x14ac:dyDescent="0.25">
      <c r="A1631" t="s">
        <v>2128</v>
      </c>
      <c r="B1631" t="s">
        <v>2129</v>
      </c>
    </row>
    <row r="1632" spans="1:2" x14ac:dyDescent="0.25">
      <c r="A1632" t="s">
        <v>2130</v>
      </c>
      <c r="B1632" t="s">
        <v>2131</v>
      </c>
    </row>
    <row r="1633" spans="1:2" x14ac:dyDescent="0.25">
      <c r="A1633" t="s">
        <v>2132</v>
      </c>
      <c r="B1633" t="s">
        <v>2133</v>
      </c>
    </row>
    <row r="1634" spans="1:2" x14ac:dyDescent="0.25">
      <c r="A1634" t="s">
        <v>2134</v>
      </c>
      <c r="B1634" t="s">
        <v>2135</v>
      </c>
    </row>
    <row r="1635" spans="1:2" x14ac:dyDescent="0.25">
      <c r="A1635" t="s">
        <v>698</v>
      </c>
      <c r="B1635" t="s">
        <v>2136</v>
      </c>
    </row>
    <row r="1636" spans="1:2" x14ac:dyDescent="0.25">
      <c r="A1636" t="s">
        <v>2137</v>
      </c>
      <c r="B1636" t="s">
        <v>2138</v>
      </c>
    </row>
    <row r="1637" spans="1:2" x14ac:dyDescent="0.25">
      <c r="A1637" t="s">
        <v>1515</v>
      </c>
      <c r="B1637" t="s">
        <v>2139</v>
      </c>
    </row>
    <row r="1638" spans="1:2" x14ac:dyDescent="0.25">
      <c r="A1638" t="s">
        <v>2140</v>
      </c>
      <c r="B1638" t="s">
        <v>2141</v>
      </c>
    </row>
    <row r="1639" spans="1:2" x14ac:dyDescent="0.25">
      <c r="A1639" t="s">
        <v>2142</v>
      </c>
      <c r="B1639" t="s">
        <v>2143</v>
      </c>
    </row>
    <row r="1640" spans="1:2" x14ac:dyDescent="0.25">
      <c r="A1640" t="s">
        <v>2144</v>
      </c>
      <c r="B1640" t="s">
        <v>2145</v>
      </c>
    </row>
    <row r="1641" spans="1:2" x14ac:dyDescent="0.25">
      <c r="A1641" t="s">
        <v>2146</v>
      </c>
      <c r="B1641" t="s">
        <v>2147</v>
      </c>
    </row>
    <row r="1642" spans="1:2" x14ac:dyDescent="0.25">
      <c r="A1642" t="s">
        <v>2148</v>
      </c>
      <c r="B1642" t="s">
        <v>2149</v>
      </c>
    </row>
    <row r="1643" spans="1:2" x14ac:dyDescent="0.25">
      <c r="A1643" t="s">
        <v>2150</v>
      </c>
      <c r="B1643" t="s">
        <v>2151</v>
      </c>
    </row>
    <row r="1644" spans="1:2" x14ac:dyDescent="0.25">
      <c r="A1644" t="s">
        <v>2152</v>
      </c>
      <c r="B1644" t="s">
        <v>2153</v>
      </c>
    </row>
    <row r="1645" spans="1:2" x14ac:dyDescent="0.25">
      <c r="A1645" t="s">
        <v>2154</v>
      </c>
      <c r="B1645" t="s">
        <v>2155</v>
      </c>
    </row>
    <row r="1646" spans="1:2" x14ac:dyDescent="0.25">
      <c r="A1646" t="s">
        <v>2156</v>
      </c>
      <c r="B1646" t="s">
        <v>2157</v>
      </c>
    </row>
    <row r="1647" spans="1:2" x14ac:dyDescent="0.25">
      <c r="A1647" t="s">
        <v>2158</v>
      </c>
      <c r="B1647" t="s">
        <v>2159</v>
      </c>
    </row>
    <row r="1648" spans="1:2" x14ac:dyDescent="0.25">
      <c r="A1648" t="s">
        <v>2160</v>
      </c>
      <c r="B1648" t="s">
        <v>2161</v>
      </c>
    </row>
    <row r="1649" spans="1:2" x14ac:dyDescent="0.25">
      <c r="A1649" t="s">
        <v>2162</v>
      </c>
      <c r="B1649" t="s">
        <v>2163</v>
      </c>
    </row>
    <row r="1650" spans="1:2" x14ac:dyDescent="0.25">
      <c r="A1650" t="s">
        <v>2164</v>
      </c>
      <c r="B1650" t="s">
        <v>2165</v>
      </c>
    </row>
    <row r="1651" spans="1:2" x14ac:dyDescent="0.25">
      <c r="A1651" t="s">
        <v>2166</v>
      </c>
      <c r="B1651" t="s">
        <v>2167</v>
      </c>
    </row>
    <row r="1652" spans="1:2" x14ac:dyDescent="0.25">
      <c r="A1652" t="s">
        <v>2168</v>
      </c>
      <c r="B1652" t="s">
        <v>2169</v>
      </c>
    </row>
    <row r="1653" spans="1:2" x14ac:dyDescent="0.25">
      <c r="A1653" t="s">
        <v>2170</v>
      </c>
      <c r="B1653" t="s">
        <v>2171</v>
      </c>
    </row>
    <row r="1654" spans="1:2" x14ac:dyDescent="0.25">
      <c r="A1654" t="s">
        <v>621</v>
      </c>
      <c r="B1654" t="s">
        <v>2172</v>
      </c>
    </row>
    <row r="1655" spans="1:2" x14ac:dyDescent="0.25">
      <c r="A1655" t="s">
        <v>2173</v>
      </c>
      <c r="B1655" t="s">
        <v>2174</v>
      </c>
    </row>
    <row r="1656" spans="1:2" x14ac:dyDescent="0.25">
      <c r="A1656" t="s">
        <v>2175</v>
      </c>
      <c r="B1656" t="s">
        <v>2176</v>
      </c>
    </row>
    <row r="1657" spans="1:2" x14ac:dyDescent="0.25">
      <c r="A1657" t="s">
        <v>2177</v>
      </c>
      <c r="B1657" t="s">
        <v>2178</v>
      </c>
    </row>
    <row r="1658" spans="1:2" x14ac:dyDescent="0.25">
      <c r="A1658" t="s">
        <v>2179</v>
      </c>
      <c r="B1658" t="s">
        <v>2180</v>
      </c>
    </row>
    <row r="1659" spans="1:2" x14ac:dyDescent="0.25">
      <c r="A1659" t="s">
        <v>1601</v>
      </c>
      <c r="B1659" t="s">
        <v>2181</v>
      </c>
    </row>
    <row r="1660" spans="1:2" x14ac:dyDescent="0.25">
      <c r="A1660" t="s">
        <v>2182</v>
      </c>
      <c r="B1660" t="s">
        <v>2183</v>
      </c>
    </row>
    <row r="1661" spans="1:2" x14ac:dyDescent="0.25">
      <c r="A1661" t="s">
        <v>2184</v>
      </c>
      <c r="B1661" t="s">
        <v>2185</v>
      </c>
    </row>
    <row r="1662" spans="1:2" x14ac:dyDescent="0.25">
      <c r="A1662" t="s">
        <v>2186</v>
      </c>
      <c r="B1662" t="s">
        <v>2187</v>
      </c>
    </row>
    <row r="1663" spans="1:2" x14ac:dyDescent="0.25">
      <c r="A1663" t="s">
        <v>2188</v>
      </c>
      <c r="B1663" t="s">
        <v>2189</v>
      </c>
    </row>
    <row r="1664" spans="1:2" x14ac:dyDescent="0.25">
      <c r="A1664" t="s">
        <v>2190</v>
      </c>
      <c r="B1664" t="s">
        <v>2191</v>
      </c>
    </row>
    <row r="1665" spans="1:2" x14ac:dyDescent="0.25">
      <c r="A1665" t="s">
        <v>1589</v>
      </c>
      <c r="B1665" t="s">
        <v>2192</v>
      </c>
    </row>
    <row r="1666" spans="1:2" x14ac:dyDescent="0.25">
      <c r="A1666" t="s">
        <v>529</v>
      </c>
      <c r="B1666" t="s">
        <v>2193</v>
      </c>
    </row>
    <row r="1667" spans="1:2" x14ac:dyDescent="0.25">
      <c r="A1667" t="s">
        <v>2194</v>
      </c>
      <c r="B1667" t="s">
        <v>2195</v>
      </c>
    </row>
    <row r="1668" spans="1:2" x14ac:dyDescent="0.25">
      <c r="A1668" t="s">
        <v>2196</v>
      </c>
      <c r="B1668" t="s">
        <v>2197</v>
      </c>
    </row>
    <row r="1669" spans="1:2" x14ac:dyDescent="0.25">
      <c r="A1669" t="s">
        <v>1536</v>
      </c>
      <c r="B1669" t="s">
        <v>2198</v>
      </c>
    </row>
    <row r="1670" spans="1:2" x14ac:dyDescent="0.25">
      <c r="A1670" t="s">
        <v>2199</v>
      </c>
      <c r="B1670" t="s">
        <v>2200</v>
      </c>
    </row>
    <row r="1671" spans="1:2" x14ac:dyDescent="0.25">
      <c r="A1671" t="s">
        <v>2201</v>
      </c>
      <c r="B1671" t="s">
        <v>2202</v>
      </c>
    </row>
    <row r="1672" spans="1:2" x14ac:dyDescent="0.25">
      <c r="A1672" t="s">
        <v>2203</v>
      </c>
      <c r="B1672" t="s">
        <v>2204</v>
      </c>
    </row>
    <row r="1673" spans="1:2" x14ac:dyDescent="0.25">
      <c r="A1673" t="s">
        <v>2205</v>
      </c>
      <c r="B1673" t="s">
        <v>2206</v>
      </c>
    </row>
    <row r="1674" spans="1:2" x14ac:dyDescent="0.25">
      <c r="A1674" t="s">
        <v>2207</v>
      </c>
      <c r="B1674" t="s">
        <v>2208</v>
      </c>
    </row>
    <row r="1675" spans="1:2" x14ac:dyDescent="0.25">
      <c r="A1675" t="s">
        <v>2209</v>
      </c>
      <c r="B1675" t="s">
        <v>2210</v>
      </c>
    </row>
    <row r="1676" spans="1:2" x14ac:dyDescent="0.25">
      <c r="A1676" t="s">
        <v>2211</v>
      </c>
      <c r="B1676" t="s">
        <v>2212</v>
      </c>
    </row>
    <row r="1677" spans="1:2" x14ac:dyDescent="0.25">
      <c r="A1677" t="s">
        <v>2213</v>
      </c>
      <c r="B1677" t="s">
        <v>2214</v>
      </c>
    </row>
    <row r="1678" spans="1:2" x14ac:dyDescent="0.25">
      <c r="A1678" t="s">
        <v>2215</v>
      </c>
      <c r="B1678" t="s">
        <v>2216</v>
      </c>
    </row>
    <row r="1679" spans="1:2" x14ac:dyDescent="0.25">
      <c r="A1679" t="s">
        <v>2217</v>
      </c>
      <c r="B1679" t="s">
        <v>2218</v>
      </c>
    </row>
    <row r="1680" spans="1:2" x14ac:dyDescent="0.25">
      <c r="A1680" t="s">
        <v>2219</v>
      </c>
      <c r="B1680" t="s">
        <v>2220</v>
      </c>
    </row>
    <row r="1681" spans="1:2" x14ac:dyDescent="0.25">
      <c r="A1681" t="s">
        <v>2221</v>
      </c>
      <c r="B1681" t="s">
        <v>2222</v>
      </c>
    </row>
    <row r="1682" spans="1:2" x14ac:dyDescent="0.25">
      <c r="A1682" t="s">
        <v>2223</v>
      </c>
      <c r="B1682" t="s">
        <v>2224</v>
      </c>
    </row>
    <row r="1683" spans="1:2" x14ac:dyDescent="0.25">
      <c r="A1683" t="s">
        <v>2225</v>
      </c>
      <c r="B1683" t="s">
        <v>2226</v>
      </c>
    </row>
    <row r="1684" spans="1:2" x14ac:dyDescent="0.25">
      <c r="A1684" t="s">
        <v>2227</v>
      </c>
      <c r="B1684" t="s">
        <v>2228</v>
      </c>
    </row>
    <row r="1685" spans="1:2" x14ac:dyDescent="0.25">
      <c r="A1685" t="s">
        <v>2229</v>
      </c>
      <c r="B1685" t="s">
        <v>2230</v>
      </c>
    </row>
    <row r="1686" spans="1:2" x14ac:dyDescent="0.25">
      <c r="A1686" t="s">
        <v>2231</v>
      </c>
      <c r="B1686" t="s">
        <v>2232</v>
      </c>
    </row>
    <row r="1687" spans="1:2" x14ac:dyDescent="0.25">
      <c r="A1687" t="s">
        <v>2233</v>
      </c>
      <c r="B1687" t="s">
        <v>2234</v>
      </c>
    </row>
    <row r="1688" spans="1:2" x14ac:dyDescent="0.25">
      <c r="A1688" t="s">
        <v>2235</v>
      </c>
      <c r="B1688" t="s">
        <v>2236</v>
      </c>
    </row>
    <row r="1689" spans="1:2" x14ac:dyDescent="0.25">
      <c r="A1689" t="s">
        <v>48</v>
      </c>
      <c r="B1689" t="s">
        <v>2237</v>
      </c>
    </row>
    <row r="1690" spans="1:2" x14ac:dyDescent="0.25">
      <c r="A1690" t="s">
        <v>2238</v>
      </c>
      <c r="B1690" t="s">
        <v>2239</v>
      </c>
    </row>
    <row r="1691" spans="1:2" x14ac:dyDescent="0.25">
      <c r="A1691" t="s">
        <v>2240</v>
      </c>
      <c r="B1691" t="s">
        <v>2241</v>
      </c>
    </row>
    <row r="1692" spans="1:2" x14ac:dyDescent="0.25">
      <c r="A1692" t="s">
        <v>2242</v>
      </c>
      <c r="B1692" t="s">
        <v>2243</v>
      </c>
    </row>
    <row r="1693" spans="1:2" x14ac:dyDescent="0.25">
      <c r="A1693" t="s">
        <v>2244</v>
      </c>
      <c r="B1693" t="s">
        <v>2245</v>
      </c>
    </row>
    <row r="1694" spans="1:2" x14ac:dyDescent="0.25">
      <c r="A1694" t="s">
        <v>2246</v>
      </c>
      <c r="B1694" t="s">
        <v>2247</v>
      </c>
    </row>
    <row r="1695" spans="1:2" x14ac:dyDescent="0.25">
      <c r="A1695" t="s">
        <v>2248</v>
      </c>
      <c r="B1695" t="s">
        <v>2249</v>
      </c>
    </row>
    <row r="1696" spans="1:2" x14ac:dyDescent="0.25">
      <c r="A1696" t="s">
        <v>2250</v>
      </c>
      <c r="B1696" t="s">
        <v>2251</v>
      </c>
    </row>
    <row r="1697" spans="1:2" x14ac:dyDescent="0.25">
      <c r="A1697" t="s">
        <v>2252</v>
      </c>
      <c r="B1697" t="s">
        <v>2253</v>
      </c>
    </row>
    <row r="1698" spans="1:2" x14ac:dyDescent="0.25">
      <c r="A1698" t="s">
        <v>2254</v>
      </c>
      <c r="B1698" t="s">
        <v>2255</v>
      </c>
    </row>
    <row r="1699" spans="1:2" x14ac:dyDescent="0.25">
      <c r="A1699" t="s">
        <v>2256</v>
      </c>
      <c r="B1699" t="s">
        <v>2257</v>
      </c>
    </row>
    <row r="1700" spans="1:2" x14ac:dyDescent="0.25">
      <c r="A1700" t="s">
        <v>2258</v>
      </c>
      <c r="B1700" t="s">
        <v>2259</v>
      </c>
    </row>
    <row r="1701" spans="1:2" x14ac:dyDescent="0.25">
      <c r="A1701" t="s">
        <v>2260</v>
      </c>
      <c r="B1701" t="s">
        <v>2261</v>
      </c>
    </row>
    <row r="1702" spans="1:2" x14ac:dyDescent="0.25">
      <c r="A1702" t="s">
        <v>2262</v>
      </c>
      <c r="B1702" t="s">
        <v>2263</v>
      </c>
    </row>
    <row r="1703" spans="1:2" x14ac:dyDescent="0.25">
      <c r="A1703" t="s">
        <v>2264</v>
      </c>
      <c r="B1703" t="s">
        <v>2265</v>
      </c>
    </row>
    <row r="1704" spans="1:2" x14ac:dyDescent="0.25">
      <c r="A1704" t="s">
        <v>2266</v>
      </c>
      <c r="B1704" t="s">
        <v>2267</v>
      </c>
    </row>
    <row r="1705" spans="1:2" x14ac:dyDescent="0.25">
      <c r="A1705" t="s">
        <v>2268</v>
      </c>
      <c r="B1705" t="s">
        <v>2269</v>
      </c>
    </row>
    <row r="1706" spans="1:2" x14ac:dyDescent="0.25">
      <c r="A1706" t="s">
        <v>2270</v>
      </c>
      <c r="B1706" t="s">
        <v>2271</v>
      </c>
    </row>
    <row r="1707" spans="1:2" x14ac:dyDescent="0.25">
      <c r="A1707" t="s">
        <v>2272</v>
      </c>
      <c r="B1707" t="s">
        <v>2273</v>
      </c>
    </row>
    <row r="1708" spans="1:2" x14ac:dyDescent="0.25">
      <c r="A1708" t="s">
        <v>2274</v>
      </c>
      <c r="B1708" t="s">
        <v>2275</v>
      </c>
    </row>
    <row r="1709" spans="1:2" x14ac:dyDescent="0.25">
      <c r="A1709" t="s">
        <v>2276</v>
      </c>
      <c r="B1709" t="s">
        <v>2277</v>
      </c>
    </row>
    <row r="1710" spans="1:2" x14ac:dyDescent="0.25">
      <c r="A1710" t="s">
        <v>2278</v>
      </c>
      <c r="B1710" t="s">
        <v>2279</v>
      </c>
    </row>
    <row r="1711" spans="1:2" x14ac:dyDescent="0.25">
      <c r="A1711" t="s">
        <v>2280</v>
      </c>
      <c r="B1711" t="s">
        <v>2281</v>
      </c>
    </row>
    <row r="1712" spans="1:2" x14ac:dyDescent="0.25">
      <c r="A1712" t="s">
        <v>2282</v>
      </c>
      <c r="B1712" t="s">
        <v>2283</v>
      </c>
    </row>
    <row r="1713" spans="1:2" x14ac:dyDescent="0.25">
      <c r="A1713" t="s">
        <v>2284</v>
      </c>
      <c r="B1713" t="s">
        <v>2285</v>
      </c>
    </row>
    <row r="1714" spans="1:2" x14ac:dyDescent="0.25">
      <c r="A1714" t="s">
        <v>2286</v>
      </c>
      <c r="B1714" t="s">
        <v>2287</v>
      </c>
    </row>
    <row r="1715" spans="1:2" x14ac:dyDescent="0.25">
      <c r="A1715" t="s">
        <v>2288</v>
      </c>
      <c r="B1715" t="s">
        <v>2289</v>
      </c>
    </row>
    <row r="1716" spans="1:2" x14ac:dyDescent="0.25">
      <c r="A1716" t="s">
        <v>2290</v>
      </c>
      <c r="B1716" t="s">
        <v>2291</v>
      </c>
    </row>
    <row r="1717" spans="1:2" x14ac:dyDescent="0.25">
      <c r="A1717" t="s">
        <v>2292</v>
      </c>
      <c r="B1717" t="s">
        <v>2293</v>
      </c>
    </row>
    <row r="1718" spans="1:2" x14ac:dyDescent="0.25">
      <c r="A1718" t="s">
        <v>2294</v>
      </c>
      <c r="B1718" t="s">
        <v>2295</v>
      </c>
    </row>
    <row r="1719" spans="1:2" x14ac:dyDescent="0.25">
      <c r="A1719" t="s">
        <v>2296</v>
      </c>
      <c r="B1719" t="s">
        <v>2297</v>
      </c>
    </row>
    <row r="1720" spans="1:2" x14ac:dyDescent="0.25">
      <c r="A1720" t="s">
        <v>2298</v>
      </c>
      <c r="B1720" t="s">
        <v>2299</v>
      </c>
    </row>
    <row r="1721" spans="1:2" x14ac:dyDescent="0.25">
      <c r="A1721" t="s">
        <v>2300</v>
      </c>
      <c r="B1721" t="s">
        <v>2301</v>
      </c>
    </row>
    <row r="1722" spans="1:2" x14ac:dyDescent="0.25">
      <c r="A1722" t="s">
        <v>2302</v>
      </c>
      <c r="B1722" t="s">
        <v>2303</v>
      </c>
    </row>
    <row r="1723" spans="1:2" x14ac:dyDescent="0.25">
      <c r="A1723" t="s">
        <v>2304</v>
      </c>
      <c r="B1723" t="s">
        <v>2305</v>
      </c>
    </row>
    <row r="1724" spans="1:2" x14ac:dyDescent="0.25">
      <c r="A1724" t="s">
        <v>2306</v>
      </c>
      <c r="B1724" t="s">
        <v>2307</v>
      </c>
    </row>
    <row r="1725" spans="1:2" x14ac:dyDescent="0.25">
      <c r="A1725" t="s">
        <v>2308</v>
      </c>
      <c r="B1725" t="s">
        <v>2309</v>
      </c>
    </row>
    <row r="1726" spans="1:2" x14ac:dyDescent="0.25">
      <c r="A1726" t="s">
        <v>756</v>
      </c>
      <c r="B1726" t="s">
        <v>2310</v>
      </c>
    </row>
    <row r="1727" spans="1:2" x14ac:dyDescent="0.25">
      <c r="A1727" t="s">
        <v>1682</v>
      </c>
      <c r="B1727" t="s">
        <v>1683</v>
      </c>
    </row>
    <row r="1728" spans="1:2" x14ac:dyDescent="0.25">
      <c r="A1728" t="s">
        <v>2311</v>
      </c>
      <c r="B1728" t="s">
        <v>2312</v>
      </c>
    </row>
    <row r="1729" spans="1:2" x14ac:dyDescent="0.25">
      <c r="A1729" t="s">
        <v>2313</v>
      </c>
      <c r="B1729" t="s">
        <v>2314</v>
      </c>
    </row>
    <row r="1730" spans="1:2" x14ac:dyDescent="0.25">
      <c r="A1730" t="s">
        <v>2315</v>
      </c>
      <c r="B1730" t="s">
        <v>2316</v>
      </c>
    </row>
    <row r="1731" spans="1:2" x14ac:dyDescent="0.25">
      <c r="A1731" t="s">
        <v>2317</v>
      </c>
      <c r="B1731" t="s">
        <v>2318</v>
      </c>
    </row>
    <row r="1732" spans="1:2" x14ac:dyDescent="0.25">
      <c r="A1732" t="s">
        <v>2319</v>
      </c>
      <c r="B1732" t="s">
        <v>2320</v>
      </c>
    </row>
    <row r="1733" spans="1:2" x14ac:dyDescent="0.25">
      <c r="A1733" t="s">
        <v>2321</v>
      </c>
      <c r="B1733" t="s">
        <v>2322</v>
      </c>
    </row>
    <row r="1734" spans="1:2" x14ac:dyDescent="0.25">
      <c r="A1734" t="s">
        <v>2323</v>
      </c>
      <c r="B1734" t="s">
        <v>2324</v>
      </c>
    </row>
    <row r="1735" spans="1:2" x14ac:dyDescent="0.25">
      <c r="A1735" t="s">
        <v>2325</v>
      </c>
      <c r="B1735" t="s">
        <v>2326</v>
      </c>
    </row>
    <row r="1736" spans="1:2" x14ac:dyDescent="0.25">
      <c r="A1736" t="s">
        <v>2327</v>
      </c>
      <c r="B1736" t="s">
        <v>2328</v>
      </c>
    </row>
    <row r="1737" spans="1:2" x14ac:dyDescent="0.25">
      <c r="A1737" t="s">
        <v>2329</v>
      </c>
      <c r="B1737" t="s">
        <v>2330</v>
      </c>
    </row>
    <row r="1738" spans="1:2" x14ac:dyDescent="0.25">
      <c r="A1738" t="s">
        <v>2331</v>
      </c>
      <c r="B1738" t="s">
        <v>2332</v>
      </c>
    </row>
    <row r="1739" spans="1:2" x14ac:dyDescent="0.25">
      <c r="A1739" t="s">
        <v>2333</v>
      </c>
      <c r="B1739" t="s">
        <v>2334</v>
      </c>
    </row>
    <row r="1740" spans="1:2" x14ac:dyDescent="0.25">
      <c r="A1740" t="s">
        <v>2335</v>
      </c>
      <c r="B1740" t="s">
        <v>2336</v>
      </c>
    </row>
    <row r="1741" spans="1:2" x14ac:dyDescent="0.25">
      <c r="A1741" t="s">
        <v>2337</v>
      </c>
      <c r="B1741" t="s">
        <v>2338</v>
      </c>
    </row>
    <row r="1742" spans="1:2" x14ac:dyDescent="0.25">
      <c r="A1742" t="s">
        <v>2339</v>
      </c>
      <c r="B1742" t="s">
        <v>2340</v>
      </c>
    </row>
    <row r="1743" spans="1:2" x14ac:dyDescent="0.25">
      <c r="A1743" t="s">
        <v>1688</v>
      </c>
      <c r="B1743" t="s">
        <v>2341</v>
      </c>
    </row>
    <row r="1744" spans="1:2" x14ac:dyDescent="0.25">
      <c r="A1744" t="s">
        <v>2342</v>
      </c>
      <c r="B1744" t="s">
        <v>2343</v>
      </c>
    </row>
    <row r="1745" spans="1:2" x14ac:dyDescent="0.25">
      <c r="A1745" t="s">
        <v>2344</v>
      </c>
      <c r="B1745" t="s">
        <v>2345</v>
      </c>
    </row>
    <row r="1746" spans="1:2" x14ac:dyDescent="0.25">
      <c r="A1746" t="s">
        <v>2346</v>
      </c>
      <c r="B1746" t="s">
        <v>2347</v>
      </c>
    </row>
    <row r="1747" spans="1:2" x14ac:dyDescent="0.25">
      <c r="A1747" t="s">
        <v>2348</v>
      </c>
      <c r="B1747" t="s">
        <v>2349</v>
      </c>
    </row>
    <row r="1748" spans="1:2" x14ac:dyDescent="0.25">
      <c r="A1748" t="s">
        <v>2350</v>
      </c>
      <c r="B1748" t="s">
        <v>2351</v>
      </c>
    </row>
    <row r="1749" spans="1:2" x14ac:dyDescent="0.25">
      <c r="A1749" t="s">
        <v>2352</v>
      </c>
      <c r="B1749" t="s">
        <v>2353</v>
      </c>
    </row>
    <row r="1750" spans="1:2" x14ac:dyDescent="0.25">
      <c r="A1750" t="s">
        <v>2354</v>
      </c>
      <c r="B1750" t="s">
        <v>2355</v>
      </c>
    </row>
    <row r="1751" spans="1:2" x14ac:dyDescent="0.25">
      <c r="A1751" t="s">
        <v>2356</v>
      </c>
      <c r="B1751" t="s">
        <v>2357</v>
      </c>
    </row>
    <row r="1752" spans="1:2" x14ac:dyDescent="0.25">
      <c r="A1752" t="s">
        <v>2358</v>
      </c>
      <c r="B1752" t="s">
        <v>2359</v>
      </c>
    </row>
    <row r="1753" spans="1:2" x14ac:dyDescent="0.25">
      <c r="A1753" t="s">
        <v>2360</v>
      </c>
      <c r="B1753" t="s">
        <v>2361</v>
      </c>
    </row>
    <row r="1754" spans="1:2" x14ac:dyDescent="0.25">
      <c r="A1754" t="s">
        <v>2362</v>
      </c>
      <c r="B1754" t="s">
        <v>2363</v>
      </c>
    </row>
    <row r="1755" spans="1:2" x14ac:dyDescent="0.25">
      <c r="A1755" t="s">
        <v>2364</v>
      </c>
      <c r="B1755" t="s">
        <v>2365</v>
      </c>
    </row>
    <row r="1756" spans="1:2" x14ac:dyDescent="0.25">
      <c r="A1756" t="s">
        <v>2366</v>
      </c>
      <c r="B1756" t="s">
        <v>2367</v>
      </c>
    </row>
    <row r="1757" spans="1:2" x14ac:dyDescent="0.25">
      <c r="A1757" t="s">
        <v>2368</v>
      </c>
      <c r="B1757" t="s">
        <v>2369</v>
      </c>
    </row>
    <row r="1758" spans="1:2" x14ac:dyDescent="0.25">
      <c r="A1758" t="s">
        <v>2370</v>
      </c>
      <c r="B1758" t="s">
        <v>2371</v>
      </c>
    </row>
    <row r="1759" spans="1:2" x14ac:dyDescent="0.25">
      <c r="A1759" t="s">
        <v>2372</v>
      </c>
      <c r="B1759" t="s">
        <v>2373</v>
      </c>
    </row>
    <row r="1760" spans="1:2" x14ac:dyDescent="0.25">
      <c r="A1760" t="s">
        <v>2374</v>
      </c>
      <c r="B1760" t="s">
        <v>2375</v>
      </c>
    </row>
    <row r="1761" spans="1:2" x14ac:dyDescent="0.25">
      <c r="A1761" t="s">
        <v>2376</v>
      </c>
      <c r="B1761" t="s">
        <v>2377</v>
      </c>
    </row>
    <row r="1762" spans="1:2" x14ac:dyDescent="0.25">
      <c r="A1762" t="s">
        <v>2378</v>
      </c>
      <c r="B1762" t="s">
        <v>2379</v>
      </c>
    </row>
    <row r="1763" spans="1:2" x14ac:dyDescent="0.25">
      <c r="A1763" t="s">
        <v>2380</v>
      </c>
      <c r="B1763" t="s">
        <v>2381</v>
      </c>
    </row>
    <row r="1764" spans="1:2" x14ac:dyDescent="0.25">
      <c r="A1764" t="s">
        <v>2382</v>
      </c>
      <c r="B1764" t="s">
        <v>2383</v>
      </c>
    </row>
    <row r="1765" spans="1:2" x14ac:dyDescent="0.25">
      <c r="A1765" t="s">
        <v>2384</v>
      </c>
      <c r="B1765" t="s">
        <v>2385</v>
      </c>
    </row>
    <row r="1766" spans="1:2" x14ac:dyDescent="0.25">
      <c r="A1766" t="s">
        <v>2386</v>
      </c>
      <c r="B1766" t="s">
        <v>2387</v>
      </c>
    </row>
    <row r="1767" spans="1:2" x14ac:dyDescent="0.25">
      <c r="A1767" t="s">
        <v>2388</v>
      </c>
      <c r="B1767" t="s">
        <v>2389</v>
      </c>
    </row>
    <row r="1768" spans="1:2" x14ac:dyDescent="0.25">
      <c r="A1768" t="s">
        <v>2390</v>
      </c>
      <c r="B1768" t="s">
        <v>2391</v>
      </c>
    </row>
    <row r="1769" spans="1:2" x14ac:dyDescent="0.25">
      <c r="A1769" t="s">
        <v>2392</v>
      </c>
      <c r="B1769" t="s">
        <v>2393</v>
      </c>
    </row>
    <row r="1770" spans="1:2" x14ac:dyDescent="0.25">
      <c r="A1770" t="s">
        <v>2394</v>
      </c>
      <c r="B1770" t="s">
        <v>2395</v>
      </c>
    </row>
    <row r="1771" spans="1:2" x14ac:dyDescent="0.25">
      <c r="A1771" t="s">
        <v>2396</v>
      </c>
      <c r="B1771" t="s">
        <v>2397</v>
      </c>
    </row>
    <row r="1772" spans="1:2" x14ac:dyDescent="0.25">
      <c r="A1772" t="s">
        <v>2398</v>
      </c>
      <c r="B1772" t="s">
        <v>2399</v>
      </c>
    </row>
    <row r="1773" spans="1:2" x14ac:dyDescent="0.25">
      <c r="A1773" t="s">
        <v>2400</v>
      </c>
      <c r="B1773" t="s">
        <v>2401</v>
      </c>
    </row>
    <row r="1774" spans="1:2" x14ac:dyDescent="0.25">
      <c r="A1774" t="s">
        <v>2402</v>
      </c>
      <c r="B1774" t="s">
        <v>2403</v>
      </c>
    </row>
    <row r="1775" spans="1:2" x14ac:dyDescent="0.25">
      <c r="A1775" t="s">
        <v>2404</v>
      </c>
      <c r="B1775" t="s">
        <v>2405</v>
      </c>
    </row>
    <row r="1776" spans="1:2" x14ac:dyDescent="0.25">
      <c r="A1776" t="s">
        <v>2406</v>
      </c>
      <c r="B1776" t="s">
        <v>2407</v>
      </c>
    </row>
    <row r="1777" spans="1:2" x14ac:dyDescent="0.25">
      <c r="A1777" t="s">
        <v>2408</v>
      </c>
      <c r="B1777" t="s">
        <v>2409</v>
      </c>
    </row>
    <row r="1778" spans="1:2" x14ac:dyDescent="0.25">
      <c r="A1778" t="s">
        <v>2410</v>
      </c>
      <c r="B1778" t="s">
        <v>2411</v>
      </c>
    </row>
    <row r="1779" spans="1:2" x14ac:dyDescent="0.25">
      <c r="A1779" t="s">
        <v>2412</v>
      </c>
      <c r="B1779" t="s">
        <v>2413</v>
      </c>
    </row>
    <row r="1780" spans="1:2" x14ac:dyDescent="0.25">
      <c r="A1780" t="s">
        <v>2414</v>
      </c>
      <c r="B1780" t="s">
        <v>2415</v>
      </c>
    </row>
    <row r="1781" spans="1:2" x14ac:dyDescent="0.25">
      <c r="A1781" t="s">
        <v>2416</v>
      </c>
      <c r="B1781" t="s">
        <v>2417</v>
      </c>
    </row>
    <row r="1782" spans="1:2" x14ac:dyDescent="0.25">
      <c r="A1782" t="s">
        <v>2418</v>
      </c>
      <c r="B1782" t="s">
        <v>2419</v>
      </c>
    </row>
    <row r="1783" spans="1:2" x14ac:dyDescent="0.25">
      <c r="A1783" t="s">
        <v>2420</v>
      </c>
      <c r="B1783" t="s">
        <v>2421</v>
      </c>
    </row>
    <row r="1784" spans="1:2" x14ac:dyDescent="0.25">
      <c r="A1784" t="s">
        <v>2422</v>
      </c>
      <c r="B1784" t="s">
        <v>2423</v>
      </c>
    </row>
    <row r="1785" spans="1:2" x14ac:dyDescent="0.25">
      <c r="A1785" t="s">
        <v>2424</v>
      </c>
      <c r="B1785" t="s">
        <v>2425</v>
      </c>
    </row>
    <row r="1786" spans="1:2" x14ac:dyDescent="0.25">
      <c r="A1786" t="s">
        <v>2426</v>
      </c>
      <c r="B1786" t="s">
        <v>2427</v>
      </c>
    </row>
    <row r="1787" spans="1:2" x14ac:dyDescent="0.25">
      <c r="A1787" t="s">
        <v>2428</v>
      </c>
      <c r="B1787" t="s">
        <v>2429</v>
      </c>
    </row>
    <row r="1788" spans="1:2" x14ac:dyDescent="0.25">
      <c r="A1788" t="s">
        <v>1554</v>
      </c>
      <c r="B1788" t="s">
        <v>2430</v>
      </c>
    </row>
    <row r="1789" spans="1:2" x14ac:dyDescent="0.25">
      <c r="A1789" t="s">
        <v>2431</v>
      </c>
      <c r="B1789" t="s">
        <v>2432</v>
      </c>
    </row>
    <row r="1790" spans="1:2" x14ac:dyDescent="0.25">
      <c r="A1790" t="s">
        <v>2433</v>
      </c>
      <c r="B1790" t="s">
        <v>2434</v>
      </c>
    </row>
    <row r="1791" spans="1:2" x14ac:dyDescent="0.25">
      <c r="A1791" t="s">
        <v>1584</v>
      </c>
      <c r="B1791" t="s">
        <v>2435</v>
      </c>
    </row>
    <row r="1792" spans="1:2" x14ac:dyDescent="0.25">
      <c r="A1792" t="s">
        <v>2436</v>
      </c>
      <c r="B1792" t="s">
        <v>2437</v>
      </c>
    </row>
    <row r="1793" spans="1:2" x14ac:dyDescent="0.25">
      <c r="A1793" t="s">
        <v>1200</v>
      </c>
      <c r="B1793" t="s">
        <v>1510</v>
      </c>
    </row>
    <row r="1794" spans="1:2" x14ac:dyDescent="0.25">
      <c r="A1794" t="s">
        <v>2438</v>
      </c>
      <c r="B1794" t="s">
        <v>2439</v>
      </c>
    </row>
    <row r="1795" spans="1:2" x14ac:dyDescent="0.25">
      <c r="A1795" t="s">
        <v>2440</v>
      </c>
      <c r="B1795" t="s">
        <v>2441</v>
      </c>
    </row>
    <row r="1796" spans="1:2" x14ac:dyDescent="0.25">
      <c r="A1796" t="s">
        <v>2442</v>
      </c>
      <c r="B1796" t="s">
        <v>2443</v>
      </c>
    </row>
    <row r="1797" spans="1:2" x14ac:dyDescent="0.25">
      <c r="A1797" t="s">
        <v>2444</v>
      </c>
      <c r="B1797" t="s">
        <v>2445</v>
      </c>
    </row>
    <row r="1798" spans="1:2" x14ac:dyDescent="0.25">
      <c r="A1798" t="s">
        <v>2446</v>
      </c>
      <c r="B1798" t="s">
        <v>2447</v>
      </c>
    </row>
    <row r="1799" spans="1:2" x14ac:dyDescent="0.25">
      <c r="A1799" t="s">
        <v>2448</v>
      </c>
      <c r="B1799" t="s">
        <v>2449</v>
      </c>
    </row>
    <row r="1800" spans="1:2" x14ac:dyDescent="0.25">
      <c r="A1800" t="s">
        <v>2450</v>
      </c>
      <c r="B1800" t="s">
        <v>2451</v>
      </c>
    </row>
    <row r="1801" spans="1:2" x14ac:dyDescent="0.25">
      <c r="A1801" t="s">
        <v>2452</v>
      </c>
      <c r="B1801" t="s">
        <v>2453</v>
      </c>
    </row>
    <row r="1802" spans="1:2" x14ac:dyDescent="0.25">
      <c r="A1802" t="s">
        <v>2454</v>
      </c>
      <c r="B1802" t="s">
        <v>2455</v>
      </c>
    </row>
    <row r="1803" spans="1:2" x14ac:dyDescent="0.25">
      <c r="A1803" t="s">
        <v>2456</v>
      </c>
      <c r="B1803" t="s">
        <v>2457</v>
      </c>
    </row>
    <row r="1804" spans="1:2" x14ac:dyDescent="0.25">
      <c r="A1804" t="s">
        <v>2458</v>
      </c>
      <c r="B1804" t="s">
        <v>2459</v>
      </c>
    </row>
    <row r="1805" spans="1:2" x14ac:dyDescent="0.25">
      <c r="A1805" t="s">
        <v>2460</v>
      </c>
      <c r="B1805" t="s">
        <v>2461</v>
      </c>
    </row>
    <row r="1806" spans="1:2" x14ac:dyDescent="0.25">
      <c r="A1806" t="s">
        <v>2462</v>
      </c>
      <c r="B1806" t="s">
        <v>2463</v>
      </c>
    </row>
    <row r="1807" spans="1:2" x14ac:dyDescent="0.25">
      <c r="A1807" t="s">
        <v>2464</v>
      </c>
      <c r="B1807" t="s">
        <v>2465</v>
      </c>
    </row>
    <row r="1808" spans="1:2" x14ac:dyDescent="0.25">
      <c r="A1808" t="s">
        <v>2466</v>
      </c>
      <c r="B1808" t="s">
        <v>2467</v>
      </c>
    </row>
    <row r="1809" spans="1:2" x14ac:dyDescent="0.25">
      <c r="A1809" t="s">
        <v>2468</v>
      </c>
      <c r="B1809" t="s">
        <v>2469</v>
      </c>
    </row>
    <row r="1810" spans="1:2" x14ac:dyDescent="0.25">
      <c r="A1810" t="s">
        <v>1552</v>
      </c>
      <c r="B1810" t="s">
        <v>2470</v>
      </c>
    </row>
    <row r="1811" spans="1:2" x14ac:dyDescent="0.25">
      <c r="A1811" t="s">
        <v>2471</v>
      </c>
      <c r="B1811" t="s">
        <v>2472</v>
      </c>
    </row>
    <row r="1812" spans="1:2" x14ac:dyDescent="0.25">
      <c r="A1812" t="s">
        <v>2473</v>
      </c>
      <c r="B1812" t="s">
        <v>2474</v>
      </c>
    </row>
    <row r="1813" spans="1:2" x14ac:dyDescent="0.25">
      <c r="A1813" t="s">
        <v>2475</v>
      </c>
      <c r="B1813" t="s">
        <v>2476</v>
      </c>
    </row>
    <row r="1814" spans="1:2" x14ac:dyDescent="0.25">
      <c r="A1814" t="s">
        <v>2477</v>
      </c>
      <c r="B1814" t="s">
        <v>2478</v>
      </c>
    </row>
    <row r="1815" spans="1:2" x14ac:dyDescent="0.25">
      <c r="A1815" t="s">
        <v>49</v>
      </c>
      <c r="B1815" t="s">
        <v>2479</v>
      </c>
    </row>
    <row r="1816" spans="1:2" x14ac:dyDescent="0.25">
      <c r="A1816" t="s">
        <v>2480</v>
      </c>
      <c r="B1816" t="s">
        <v>2481</v>
      </c>
    </row>
    <row r="1817" spans="1:2" x14ac:dyDescent="0.25">
      <c r="A1817" t="s">
        <v>2482</v>
      </c>
      <c r="B1817" t="s">
        <v>2483</v>
      </c>
    </row>
    <row r="1818" spans="1:2" x14ac:dyDescent="0.25">
      <c r="A1818" t="s">
        <v>2484</v>
      </c>
      <c r="B1818" t="s">
        <v>2485</v>
      </c>
    </row>
    <row r="1819" spans="1:2" x14ac:dyDescent="0.25">
      <c r="A1819" t="s">
        <v>2486</v>
      </c>
      <c r="B1819" t="s">
        <v>2487</v>
      </c>
    </row>
    <row r="1820" spans="1:2" x14ac:dyDescent="0.25">
      <c r="A1820" t="s">
        <v>2488</v>
      </c>
      <c r="B1820" t="s">
        <v>2489</v>
      </c>
    </row>
    <row r="1821" spans="1:2" x14ac:dyDescent="0.25">
      <c r="A1821" t="s">
        <v>2490</v>
      </c>
      <c r="B1821" t="s">
        <v>2491</v>
      </c>
    </row>
    <row r="1822" spans="1:2" x14ac:dyDescent="0.25">
      <c r="A1822" t="s">
        <v>2492</v>
      </c>
      <c r="B1822" t="s">
        <v>2493</v>
      </c>
    </row>
    <row r="1823" spans="1:2" x14ac:dyDescent="0.25">
      <c r="A1823" t="s">
        <v>2494</v>
      </c>
      <c r="B1823" t="s">
        <v>2495</v>
      </c>
    </row>
    <row r="1824" spans="1:2" x14ac:dyDescent="0.25">
      <c r="A1824" t="s">
        <v>2496</v>
      </c>
      <c r="B1824" t="s">
        <v>2497</v>
      </c>
    </row>
    <row r="1825" spans="1:2" x14ac:dyDescent="0.25">
      <c r="A1825" t="s">
        <v>2498</v>
      </c>
      <c r="B1825" t="s">
        <v>2499</v>
      </c>
    </row>
    <row r="1826" spans="1:2" x14ac:dyDescent="0.25">
      <c r="A1826" t="s">
        <v>2500</v>
      </c>
      <c r="B1826" t="s">
        <v>2501</v>
      </c>
    </row>
    <row r="1827" spans="1:2" x14ac:dyDescent="0.25">
      <c r="A1827" t="s">
        <v>2502</v>
      </c>
      <c r="B1827" t="s">
        <v>2503</v>
      </c>
    </row>
    <row r="1828" spans="1:2" x14ac:dyDescent="0.25">
      <c r="A1828" t="s">
        <v>2504</v>
      </c>
      <c r="B1828" t="s">
        <v>2505</v>
      </c>
    </row>
    <row r="1829" spans="1:2" x14ac:dyDescent="0.25">
      <c r="A1829" t="s">
        <v>2506</v>
      </c>
      <c r="B1829" t="s">
        <v>2507</v>
      </c>
    </row>
    <row r="1830" spans="1:2" x14ac:dyDescent="0.25">
      <c r="A1830" t="s">
        <v>2508</v>
      </c>
      <c r="B1830" t="s">
        <v>2509</v>
      </c>
    </row>
    <row r="1831" spans="1:2" x14ac:dyDescent="0.25">
      <c r="A1831" t="s">
        <v>2510</v>
      </c>
      <c r="B1831" t="s">
        <v>2511</v>
      </c>
    </row>
    <row r="1832" spans="1:2" x14ac:dyDescent="0.25">
      <c r="A1832" t="s">
        <v>2512</v>
      </c>
      <c r="B1832" t="s">
        <v>2513</v>
      </c>
    </row>
    <row r="1833" spans="1:2" x14ac:dyDescent="0.25">
      <c r="A1833" t="s">
        <v>2514</v>
      </c>
      <c r="B1833" t="s">
        <v>2515</v>
      </c>
    </row>
    <row r="1834" spans="1:2" x14ac:dyDescent="0.25">
      <c r="A1834" t="s">
        <v>2516</v>
      </c>
      <c r="B1834" t="s">
        <v>2517</v>
      </c>
    </row>
    <row r="1835" spans="1:2" x14ac:dyDescent="0.25">
      <c r="A1835" t="s">
        <v>2518</v>
      </c>
      <c r="B1835" t="s">
        <v>2519</v>
      </c>
    </row>
    <row r="1836" spans="1:2" x14ac:dyDescent="0.25">
      <c r="A1836" t="s">
        <v>2520</v>
      </c>
      <c r="B1836" t="s">
        <v>2521</v>
      </c>
    </row>
    <row r="1837" spans="1:2" x14ac:dyDescent="0.25">
      <c r="A1837" t="s">
        <v>2522</v>
      </c>
      <c r="B1837" t="s">
        <v>2523</v>
      </c>
    </row>
    <row r="1838" spans="1:2" x14ac:dyDescent="0.25">
      <c r="A1838" t="s">
        <v>2524</v>
      </c>
      <c r="B1838" t="s">
        <v>2525</v>
      </c>
    </row>
    <row r="1839" spans="1:2" x14ac:dyDescent="0.25">
      <c r="A1839" t="s">
        <v>2526</v>
      </c>
      <c r="B1839" t="s">
        <v>2527</v>
      </c>
    </row>
    <row r="1840" spans="1:2" x14ac:dyDescent="0.25">
      <c r="A1840" t="s">
        <v>2528</v>
      </c>
      <c r="B1840" t="s">
        <v>2529</v>
      </c>
    </row>
    <row r="1841" spans="1:2" x14ac:dyDescent="0.25">
      <c r="A1841" t="s">
        <v>1488</v>
      </c>
      <c r="B1841" t="s">
        <v>2530</v>
      </c>
    </row>
    <row r="1842" spans="1:2" x14ac:dyDescent="0.25">
      <c r="A1842" t="s">
        <v>2531</v>
      </c>
      <c r="B1842" t="s">
        <v>2532</v>
      </c>
    </row>
    <row r="1843" spans="1:2" x14ac:dyDescent="0.25">
      <c r="A1843" t="s">
        <v>2533</v>
      </c>
      <c r="B1843" t="s">
        <v>2534</v>
      </c>
    </row>
    <row r="1844" spans="1:2" x14ac:dyDescent="0.25">
      <c r="A1844" t="s">
        <v>2535</v>
      </c>
      <c r="B1844" t="s">
        <v>2536</v>
      </c>
    </row>
    <row r="1845" spans="1:2" x14ac:dyDescent="0.25">
      <c r="A1845" t="s">
        <v>2537</v>
      </c>
      <c r="B1845" t="s">
        <v>2538</v>
      </c>
    </row>
    <row r="1846" spans="1:2" x14ac:dyDescent="0.25">
      <c r="A1846" t="s">
        <v>2539</v>
      </c>
      <c r="B1846" t="s">
        <v>2540</v>
      </c>
    </row>
    <row r="1847" spans="1:2" x14ac:dyDescent="0.25">
      <c r="A1847" t="s">
        <v>2541</v>
      </c>
      <c r="B1847" t="s">
        <v>2542</v>
      </c>
    </row>
    <row r="1848" spans="1:2" x14ac:dyDescent="0.25">
      <c r="A1848" t="s">
        <v>2543</v>
      </c>
      <c r="B1848" t="s">
        <v>2544</v>
      </c>
    </row>
    <row r="1849" spans="1:2" x14ac:dyDescent="0.25">
      <c r="A1849" t="s">
        <v>2545</v>
      </c>
      <c r="B1849" t="s">
        <v>2546</v>
      </c>
    </row>
    <row r="1850" spans="1:2" x14ac:dyDescent="0.25">
      <c r="A1850" t="s">
        <v>2547</v>
      </c>
      <c r="B1850" t="s">
        <v>2548</v>
      </c>
    </row>
    <row r="1851" spans="1:2" x14ac:dyDescent="0.25">
      <c r="A1851" t="s">
        <v>2549</v>
      </c>
      <c r="B1851" t="s">
        <v>2550</v>
      </c>
    </row>
    <row r="1852" spans="1:2" x14ac:dyDescent="0.25">
      <c r="A1852" t="s">
        <v>2551</v>
      </c>
      <c r="B1852" t="s">
        <v>2552</v>
      </c>
    </row>
    <row r="1853" spans="1:2" x14ac:dyDescent="0.25">
      <c r="A1853" t="s">
        <v>2553</v>
      </c>
      <c r="B1853" t="s">
        <v>2554</v>
      </c>
    </row>
    <row r="1854" spans="1:2" x14ac:dyDescent="0.25">
      <c r="A1854" t="s">
        <v>2555</v>
      </c>
      <c r="B1854" t="s">
        <v>2556</v>
      </c>
    </row>
    <row r="1855" spans="1:2" x14ac:dyDescent="0.25">
      <c r="A1855" t="s">
        <v>2557</v>
      </c>
      <c r="B1855" t="s">
        <v>2558</v>
      </c>
    </row>
    <row r="1856" spans="1:2" x14ac:dyDescent="0.25">
      <c r="A1856" t="s">
        <v>2559</v>
      </c>
      <c r="B1856" t="s">
        <v>2560</v>
      </c>
    </row>
    <row r="1857" spans="1:2" x14ac:dyDescent="0.25">
      <c r="A1857" t="s">
        <v>2561</v>
      </c>
      <c r="B1857" t="s">
        <v>2562</v>
      </c>
    </row>
    <row r="1858" spans="1:2" x14ac:dyDescent="0.25">
      <c r="A1858" t="s">
        <v>2563</v>
      </c>
      <c r="B1858" t="s">
        <v>2564</v>
      </c>
    </row>
    <row r="1859" spans="1:2" x14ac:dyDescent="0.25">
      <c r="A1859" t="s">
        <v>304</v>
      </c>
      <c r="B1859" t="s">
        <v>2565</v>
      </c>
    </row>
    <row r="1860" spans="1:2" x14ac:dyDescent="0.25">
      <c r="A1860" t="s">
        <v>95</v>
      </c>
      <c r="B1860" t="s">
        <v>2566</v>
      </c>
    </row>
    <row r="1861" spans="1:2" x14ac:dyDescent="0.25">
      <c r="A1861" t="s">
        <v>458</v>
      </c>
      <c r="B1861" t="s">
        <v>459</v>
      </c>
    </row>
    <row r="1862" spans="1:2" x14ac:dyDescent="0.25">
      <c r="A1862" t="s">
        <v>119</v>
      </c>
      <c r="B1862" t="s">
        <v>2567</v>
      </c>
    </row>
    <row r="1863" spans="1:2" x14ac:dyDescent="0.25">
      <c r="A1863" t="s">
        <v>547</v>
      </c>
      <c r="B1863" t="s">
        <v>2568</v>
      </c>
    </row>
    <row r="1864" spans="1:2" x14ac:dyDescent="0.25">
      <c r="A1864" t="s">
        <v>2569</v>
      </c>
      <c r="B1864" t="s">
        <v>2570</v>
      </c>
    </row>
    <row r="1865" spans="1:2" x14ac:dyDescent="0.25">
      <c r="A1865" t="s">
        <v>2571</v>
      </c>
      <c r="B1865" t="s">
        <v>2572</v>
      </c>
    </row>
    <row r="1866" spans="1:2" x14ac:dyDescent="0.25">
      <c r="A1866" t="s">
        <v>2573</v>
      </c>
      <c r="B1866" t="s">
        <v>2574</v>
      </c>
    </row>
    <row r="1867" spans="1:2" x14ac:dyDescent="0.25">
      <c r="A1867" t="s">
        <v>2575</v>
      </c>
      <c r="B1867" t="s">
        <v>2576</v>
      </c>
    </row>
    <row r="1868" spans="1:2" x14ac:dyDescent="0.25">
      <c r="A1868" t="s">
        <v>2577</v>
      </c>
      <c r="B1868" t="s">
        <v>2578</v>
      </c>
    </row>
    <row r="1869" spans="1:2" x14ac:dyDescent="0.25">
      <c r="A1869" t="s">
        <v>1571</v>
      </c>
      <c r="B1869" t="s">
        <v>2579</v>
      </c>
    </row>
    <row r="1870" spans="1:2" x14ac:dyDescent="0.25">
      <c r="A1870" t="s">
        <v>2580</v>
      </c>
      <c r="B1870" t="s">
        <v>2581</v>
      </c>
    </row>
    <row r="1871" spans="1:2" x14ac:dyDescent="0.25">
      <c r="A1871" t="s">
        <v>2582</v>
      </c>
      <c r="B1871" t="s">
        <v>2583</v>
      </c>
    </row>
    <row r="1872" spans="1:2" x14ac:dyDescent="0.25">
      <c r="A1872" t="s">
        <v>1522</v>
      </c>
      <c r="B1872" t="s">
        <v>2584</v>
      </c>
    </row>
    <row r="1873" spans="1:2" x14ac:dyDescent="0.25">
      <c r="A1873" t="s">
        <v>2585</v>
      </c>
      <c r="B1873" t="s">
        <v>2586</v>
      </c>
    </row>
    <row r="1874" spans="1:2" x14ac:dyDescent="0.25">
      <c r="A1874" t="s">
        <v>2587</v>
      </c>
      <c r="B1874" t="s">
        <v>2588</v>
      </c>
    </row>
    <row r="1875" spans="1:2" x14ac:dyDescent="0.25">
      <c r="A1875" t="s">
        <v>2589</v>
      </c>
      <c r="B1875" t="s">
        <v>2590</v>
      </c>
    </row>
    <row r="1876" spans="1:2" x14ac:dyDescent="0.25">
      <c r="A1876" t="s">
        <v>2591</v>
      </c>
      <c r="B1876" t="s">
        <v>2592</v>
      </c>
    </row>
    <row r="1877" spans="1:2" x14ac:dyDescent="0.25">
      <c r="A1877" t="s">
        <v>2593</v>
      </c>
      <c r="B1877" t="s">
        <v>2594</v>
      </c>
    </row>
    <row r="1878" spans="1:2" x14ac:dyDescent="0.25">
      <c r="A1878" t="s">
        <v>2595</v>
      </c>
      <c r="B1878" t="s">
        <v>2596</v>
      </c>
    </row>
    <row r="1879" spans="1:2" x14ac:dyDescent="0.25">
      <c r="A1879" t="s">
        <v>2597</v>
      </c>
      <c r="B1879" t="s">
        <v>2598</v>
      </c>
    </row>
    <row r="1880" spans="1:2" x14ac:dyDescent="0.25">
      <c r="A1880" t="s">
        <v>2599</v>
      </c>
      <c r="B1880" t="s">
        <v>2600</v>
      </c>
    </row>
    <row r="1881" spans="1:2" x14ac:dyDescent="0.25">
      <c r="A1881" t="s">
        <v>2601</v>
      </c>
      <c r="B1881" t="s">
        <v>2602</v>
      </c>
    </row>
    <row r="1882" spans="1:2" x14ac:dyDescent="0.25">
      <c r="A1882" t="s">
        <v>2603</v>
      </c>
      <c r="B1882" t="s">
        <v>2604</v>
      </c>
    </row>
    <row r="1883" spans="1:2" x14ac:dyDescent="0.25">
      <c r="A1883" t="s">
        <v>1494</v>
      </c>
      <c r="B1883" t="s">
        <v>2605</v>
      </c>
    </row>
    <row r="1884" spans="1:2" x14ac:dyDescent="0.25">
      <c r="A1884" t="s">
        <v>2606</v>
      </c>
      <c r="B1884" t="s">
        <v>2607</v>
      </c>
    </row>
    <row r="1885" spans="1:2" x14ac:dyDescent="0.25">
      <c r="A1885" t="s">
        <v>2608</v>
      </c>
      <c r="B1885" t="s">
        <v>2609</v>
      </c>
    </row>
    <row r="1886" spans="1:2" x14ac:dyDescent="0.25">
      <c r="A1886" t="s">
        <v>2610</v>
      </c>
      <c r="B1886" t="s">
        <v>2611</v>
      </c>
    </row>
    <row r="1887" spans="1:2" x14ac:dyDescent="0.25">
      <c r="A1887" t="s">
        <v>2612</v>
      </c>
      <c r="B1887" t="s">
        <v>2613</v>
      </c>
    </row>
    <row r="1888" spans="1:2" x14ac:dyDescent="0.25">
      <c r="A1888" t="s">
        <v>2614</v>
      </c>
      <c r="B1888" t="s">
        <v>2615</v>
      </c>
    </row>
    <row r="1889" spans="1:2" x14ac:dyDescent="0.25">
      <c r="A1889" t="s">
        <v>2616</v>
      </c>
      <c r="B1889" t="s">
        <v>2617</v>
      </c>
    </row>
    <row r="1890" spans="1:2" x14ac:dyDescent="0.25">
      <c r="A1890" t="s">
        <v>2618</v>
      </c>
      <c r="B1890" t="s">
        <v>2619</v>
      </c>
    </row>
    <row r="1891" spans="1:2" x14ac:dyDescent="0.25">
      <c r="A1891" t="s">
        <v>198</v>
      </c>
      <c r="B1891" t="s">
        <v>2620</v>
      </c>
    </row>
    <row r="1892" spans="1:2" x14ac:dyDescent="0.25">
      <c r="A1892" t="s">
        <v>2621</v>
      </c>
      <c r="B1892" t="s">
        <v>2622</v>
      </c>
    </row>
    <row r="1893" spans="1:2" x14ac:dyDescent="0.25">
      <c r="A1893" t="s">
        <v>2623</v>
      </c>
      <c r="B1893" t="s">
        <v>2624</v>
      </c>
    </row>
    <row r="1894" spans="1:2" x14ac:dyDescent="0.25">
      <c r="A1894" t="s">
        <v>2625</v>
      </c>
      <c r="B1894" t="s">
        <v>2626</v>
      </c>
    </row>
    <row r="1895" spans="1:2" x14ac:dyDescent="0.25">
      <c r="A1895" t="s">
        <v>2627</v>
      </c>
      <c r="B1895" t="s">
        <v>2628</v>
      </c>
    </row>
    <row r="1896" spans="1:2" x14ac:dyDescent="0.25">
      <c r="A1896" t="s">
        <v>2629</v>
      </c>
      <c r="B1896" t="s">
        <v>2630</v>
      </c>
    </row>
    <row r="1897" spans="1:2" x14ac:dyDescent="0.25">
      <c r="A1897" t="s">
        <v>2631</v>
      </c>
      <c r="B1897" t="s">
        <v>2632</v>
      </c>
    </row>
    <row r="1898" spans="1:2" x14ac:dyDescent="0.25">
      <c r="A1898" t="s">
        <v>2633</v>
      </c>
      <c r="B1898" t="s">
        <v>2634</v>
      </c>
    </row>
    <row r="1899" spans="1:2" x14ac:dyDescent="0.25">
      <c r="A1899" t="s">
        <v>2635</v>
      </c>
      <c r="B1899" t="s">
        <v>2636</v>
      </c>
    </row>
    <row r="1900" spans="1:2" x14ac:dyDescent="0.25">
      <c r="A1900" t="s">
        <v>2637</v>
      </c>
      <c r="B1900" t="s">
        <v>2638</v>
      </c>
    </row>
    <row r="1901" spans="1:2" x14ac:dyDescent="0.25">
      <c r="A1901" t="s">
        <v>2639</v>
      </c>
      <c r="B1901" t="s">
        <v>2640</v>
      </c>
    </row>
    <row r="1902" spans="1:2" x14ac:dyDescent="0.25">
      <c r="A1902" t="s">
        <v>2641</v>
      </c>
      <c r="B1902" t="s">
        <v>2642</v>
      </c>
    </row>
    <row r="1903" spans="1:2" x14ac:dyDescent="0.25">
      <c r="A1903" t="s">
        <v>2643</v>
      </c>
      <c r="B1903" t="s">
        <v>2644</v>
      </c>
    </row>
    <row r="1904" spans="1:2" x14ac:dyDescent="0.25">
      <c r="A1904" t="s">
        <v>2645</v>
      </c>
      <c r="B1904" t="s">
        <v>2646</v>
      </c>
    </row>
    <row r="1905" spans="1:2" x14ac:dyDescent="0.25">
      <c r="A1905" t="s">
        <v>2647</v>
      </c>
      <c r="B1905" t="s">
        <v>2648</v>
      </c>
    </row>
    <row r="1906" spans="1:2" x14ac:dyDescent="0.25">
      <c r="A1906" t="s">
        <v>2649</v>
      </c>
      <c r="B1906" t="s">
        <v>2650</v>
      </c>
    </row>
    <row r="1907" spans="1:2" x14ac:dyDescent="0.25">
      <c r="A1907" t="s">
        <v>2651</v>
      </c>
      <c r="B1907" t="s">
        <v>2652</v>
      </c>
    </row>
    <row r="1908" spans="1:2" x14ac:dyDescent="0.25">
      <c r="A1908" t="s">
        <v>2653</v>
      </c>
      <c r="B1908" t="s">
        <v>2654</v>
      </c>
    </row>
    <row r="1909" spans="1:2" x14ac:dyDescent="0.25">
      <c r="A1909" t="s">
        <v>2655</v>
      </c>
      <c r="B1909" t="s">
        <v>2656</v>
      </c>
    </row>
    <row r="1910" spans="1:2" x14ac:dyDescent="0.25">
      <c r="A1910" t="s">
        <v>2657</v>
      </c>
      <c r="B1910" t="s">
        <v>2658</v>
      </c>
    </row>
    <row r="1911" spans="1:2" x14ac:dyDescent="0.25">
      <c r="A1911" t="s">
        <v>2659</v>
      </c>
      <c r="B1911" t="s">
        <v>2660</v>
      </c>
    </row>
    <row r="1912" spans="1:2" x14ac:dyDescent="0.25">
      <c r="A1912" t="s">
        <v>2661</v>
      </c>
      <c r="B1912" t="s">
        <v>2662</v>
      </c>
    </row>
    <row r="1913" spans="1:2" x14ac:dyDescent="0.25">
      <c r="A1913" t="s">
        <v>2663</v>
      </c>
      <c r="B1913" t="s">
        <v>2664</v>
      </c>
    </row>
    <row r="1914" spans="1:2" x14ac:dyDescent="0.25">
      <c r="A1914" t="s">
        <v>2665</v>
      </c>
      <c r="B1914" t="s">
        <v>2666</v>
      </c>
    </row>
    <row r="1915" spans="1:2" x14ac:dyDescent="0.25">
      <c r="A1915" t="s">
        <v>2667</v>
      </c>
      <c r="B1915" t="s">
        <v>2668</v>
      </c>
    </row>
    <row r="1916" spans="1:2" x14ac:dyDescent="0.25">
      <c r="A1916" t="s">
        <v>2669</v>
      </c>
      <c r="B1916" t="s">
        <v>2670</v>
      </c>
    </row>
    <row r="1917" spans="1:2" x14ac:dyDescent="0.25">
      <c r="A1917" t="s">
        <v>2671</v>
      </c>
      <c r="B1917" t="s">
        <v>2672</v>
      </c>
    </row>
    <row r="1918" spans="1:2" x14ac:dyDescent="0.25">
      <c r="A1918" t="s">
        <v>2673</v>
      </c>
      <c r="B1918" t="s">
        <v>2674</v>
      </c>
    </row>
    <row r="1919" spans="1:2" x14ac:dyDescent="0.25">
      <c r="A1919" t="s">
        <v>2675</v>
      </c>
      <c r="B1919" t="s">
        <v>2676</v>
      </c>
    </row>
    <row r="1920" spans="1:2" x14ac:dyDescent="0.25">
      <c r="A1920" t="s">
        <v>2677</v>
      </c>
      <c r="B1920" t="s">
        <v>2678</v>
      </c>
    </row>
    <row r="1921" spans="1:2" x14ac:dyDescent="0.25">
      <c r="A1921" t="s">
        <v>2679</v>
      </c>
      <c r="B1921" t="s">
        <v>2680</v>
      </c>
    </row>
    <row r="1922" spans="1:2" x14ac:dyDescent="0.25">
      <c r="A1922" t="s">
        <v>1540</v>
      </c>
      <c r="B1922" t="s">
        <v>1541</v>
      </c>
    </row>
    <row r="1923" spans="1:2" x14ac:dyDescent="0.25">
      <c r="A1923" t="s">
        <v>1653</v>
      </c>
      <c r="B1923" t="s">
        <v>2681</v>
      </c>
    </row>
    <row r="1924" spans="1:2" x14ac:dyDescent="0.25">
      <c r="A1924" t="s">
        <v>2682</v>
      </c>
      <c r="B1924" t="s">
        <v>2683</v>
      </c>
    </row>
    <row r="1925" spans="1:2" x14ac:dyDescent="0.25">
      <c r="A1925" t="s">
        <v>2684</v>
      </c>
      <c r="B1925" t="s">
        <v>2685</v>
      </c>
    </row>
    <row r="1926" spans="1:2" x14ac:dyDescent="0.25">
      <c r="A1926" t="s">
        <v>2686</v>
      </c>
      <c r="B1926" t="s">
        <v>2687</v>
      </c>
    </row>
    <row r="1927" spans="1:2" x14ac:dyDescent="0.25">
      <c r="A1927" t="s">
        <v>1531</v>
      </c>
      <c r="B1927" t="s">
        <v>2688</v>
      </c>
    </row>
    <row r="1928" spans="1:2" x14ac:dyDescent="0.25">
      <c r="A1928" t="s">
        <v>1646</v>
      </c>
      <c r="B1928" t="s">
        <v>2689</v>
      </c>
    </row>
    <row r="1929" spans="1:2" x14ac:dyDescent="0.25">
      <c r="A1929" t="s">
        <v>2690</v>
      </c>
      <c r="B1929" t="s">
        <v>2691</v>
      </c>
    </row>
    <row r="1930" spans="1:2" x14ac:dyDescent="0.25">
      <c r="A1930" t="s">
        <v>1655</v>
      </c>
      <c r="B1930" t="s">
        <v>2692</v>
      </c>
    </row>
    <row r="1931" spans="1:2" x14ac:dyDescent="0.25">
      <c r="A1931" t="s">
        <v>2693</v>
      </c>
      <c r="B1931" t="s">
        <v>2694</v>
      </c>
    </row>
    <row r="1932" spans="1:2" x14ac:dyDescent="0.25">
      <c r="A1932" t="s">
        <v>2695</v>
      </c>
      <c r="B1932" t="s">
        <v>2696</v>
      </c>
    </row>
    <row r="1933" spans="1:2" x14ac:dyDescent="0.25">
      <c r="A1933" t="s">
        <v>2697</v>
      </c>
      <c r="B1933" t="s">
        <v>2698</v>
      </c>
    </row>
    <row r="1934" spans="1:2" x14ac:dyDescent="0.25">
      <c r="A1934" t="s">
        <v>2699</v>
      </c>
      <c r="B1934" t="s">
        <v>2700</v>
      </c>
    </row>
    <row r="1935" spans="1:2" x14ac:dyDescent="0.25">
      <c r="A1935" t="s">
        <v>2701</v>
      </c>
      <c r="B1935" t="s">
        <v>2702</v>
      </c>
    </row>
    <row r="1936" spans="1:2" x14ac:dyDescent="0.25">
      <c r="A1936" t="s">
        <v>2703</v>
      </c>
      <c r="B1936" t="s">
        <v>2704</v>
      </c>
    </row>
    <row r="1937" spans="1:2" x14ac:dyDescent="0.25">
      <c r="A1937" t="s">
        <v>2705</v>
      </c>
      <c r="B1937" t="s">
        <v>2706</v>
      </c>
    </row>
    <row r="1938" spans="1:2" x14ac:dyDescent="0.25">
      <c r="A1938" t="s">
        <v>2707</v>
      </c>
      <c r="B1938" t="s">
        <v>2708</v>
      </c>
    </row>
    <row r="1939" spans="1:2" x14ac:dyDescent="0.25">
      <c r="A1939" t="s">
        <v>1678</v>
      </c>
      <c r="B1939" t="s">
        <v>2709</v>
      </c>
    </row>
    <row r="1940" spans="1:2" x14ac:dyDescent="0.25">
      <c r="A1940" t="s">
        <v>2710</v>
      </c>
      <c r="B1940" t="s">
        <v>2711</v>
      </c>
    </row>
    <row r="1941" spans="1:2" x14ac:dyDescent="0.25">
      <c r="A1941" t="s">
        <v>2712</v>
      </c>
      <c r="B1941" t="s">
        <v>2713</v>
      </c>
    </row>
    <row r="1942" spans="1:2" x14ac:dyDescent="0.25">
      <c r="A1942" t="s">
        <v>2714</v>
      </c>
      <c r="B1942" t="s">
        <v>2715</v>
      </c>
    </row>
    <row r="1943" spans="1:2" x14ac:dyDescent="0.25">
      <c r="A1943" t="s">
        <v>2716</v>
      </c>
      <c r="B1943" t="s">
        <v>2717</v>
      </c>
    </row>
    <row r="1944" spans="1:2" x14ac:dyDescent="0.25">
      <c r="A1944" t="s">
        <v>2718</v>
      </c>
      <c r="B1944" t="s">
        <v>2719</v>
      </c>
    </row>
    <row r="1945" spans="1:2" x14ac:dyDescent="0.25">
      <c r="A1945" t="s">
        <v>2720</v>
      </c>
      <c r="B1945" t="s">
        <v>2721</v>
      </c>
    </row>
    <row r="1946" spans="1:2" x14ac:dyDescent="0.25">
      <c r="A1946" t="s">
        <v>2722</v>
      </c>
      <c r="B1946" t="s">
        <v>2723</v>
      </c>
    </row>
    <row r="1947" spans="1:2" x14ac:dyDescent="0.25">
      <c r="A1947" t="s">
        <v>1486</v>
      </c>
      <c r="B1947" t="s">
        <v>1487</v>
      </c>
    </row>
    <row r="1948" spans="1:2" x14ac:dyDescent="0.25">
      <c r="A1948" t="s">
        <v>2724</v>
      </c>
      <c r="B1948" t="s">
        <v>2725</v>
      </c>
    </row>
    <row r="1949" spans="1:2" x14ac:dyDescent="0.25">
      <c r="A1949" t="s">
        <v>2726</v>
      </c>
      <c r="B1949" t="s">
        <v>2727</v>
      </c>
    </row>
    <row r="1950" spans="1:2" x14ac:dyDescent="0.25">
      <c r="A1950" t="s">
        <v>2728</v>
      </c>
      <c r="B1950" t="s">
        <v>2729</v>
      </c>
    </row>
    <row r="1951" spans="1:2" x14ac:dyDescent="0.25">
      <c r="A1951" t="s">
        <v>2730</v>
      </c>
      <c r="B1951" t="s">
        <v>2731</v>
      </c>
    </row>
    <row r="1952" spans="1:2" x14ac:dyDescent="0.25">
      <c r="A1952" t="s">
        <v>2732</v>
      </c>
      <c r="B1952" t="s">
        <v>2733</v>
      </c>
    </row>
    <row r="1953" spans="1:2" x14ac:dyDescent="0.25">
      <c r="A1953" t="s">
        <v>2734</v>
      </c>
      <c r="B1953" t="s">
        <v>2735</v>
      </c>
    </row>
    <row r="1954" spans="1:2" x14ac:dyDescent="0.25">
      <c r="A1954" t="s">
        <v>2736</v>
      </c>
      <c r="B1954" t="s">
        <v>2737</v>
      </c>
    </row>
    <row r="1955" spans="1:2" x14ac:dyDescent="0.25">
      <c r="A1955" t="s">
        <v>2738</v>
      </c>
      <c r="B1955" t="s">
        <v>2739</v>
      </c>
    </row>
    <row r="1956" spans="1:2" x14ac:dyDescent="0.25">
      <c r="A1956" t="s">
        <v>2740</v>
      </c>
      <c r="B1956" t="s">
        <v>2741</v>
      </c>
    </row>
    <row r="1957" spans="1:2" x14ac:dyDescent="0.25">
      <c r="A1957" t="s">
        <v>2742</v>
      </c>
      <c r="B1957" t="s">
        <v>2743</v>
      </c>
    </row>
    <row r="1958" spans="1:2" x14ac:dyDescent="0.25">
      <c r="A1958" t="s">
        <v>2744</v>
      </c>
      <c r="B1958" t="s">
        <v>2745</v>
      </c>
    </row>
    <row r="1959" spans="1:2" x14ac:dyDescent="0.25">
      <c r="A1959" t="s">
        <v>2746</v>
      </c>
      <c r="B1959" t="s">
        <v>2747</v>
      </c>
    </row>
    <row r="1960" spans="1:2" x14ac:dyDescent="0.25">
      <c r="A1960" t="s">
        <v>2748</v>
      </c>
      <c r="B1960" t="s">
        <v>2749</v>
      </c>
    </row>
    <row r="1961" spans="1:2" x14ac:dyDescent="0.25">
      <c r="A1961" t="s">
        <v>796</v>
      </c>
      <c r="B1961" t="s">
        <v>2750</v>
      </c>
    </row>
    <row r="1962" spans="1:2" x14ac:dyDescent="0.25">
      <c r="A1962" t="s">
        <v>880</v>
      </c>
      <c r="B1962" t="s">
        <v>881</v>
      </c>
    </row>
    <row r="1963" spans="1:2" x14ac:dyDescent="0.25">
      <c r="A1963" t="s">
        <v>2751</v>
      </c>
      <c r="B1963" t="s">
        <v>2752</v>
      </c>
    </row>
    <row r="1964" spans="1:2" x14ac:dyDescent="0.25">
      <c r="A1964" t="s">
        <v>2753</v>
      </c>
      <c r="B1964" t="s">
        <v>2754</v>
      </c>
    </row>
    <row r="1965" spans="1:2" x14ac:dyDescent="0.25">
      <c r="A1965" t="s">
        <v>2755</v>
      </c>
      <c r="B1965" t="s">
        <v>2756</v>
      </c>
    </row>
    <row r="1966" spans="1:2" x14ac:dyDescent="0.25">
      <c r="A1966" t="s">
        <v>2757</v>
      </c>
      <c r="B1966" t="s">
        <v>2758</v>
      </c>
    </row>
    <row r="1967" spans="1:2" x14ac:dyDescent="0.25">
      <c r="A1967" t="s">
        <v>2759</v>
      </c>
      <c r="B1967" t="s">
        <v>2760</v>
      </c>
    </row>
    <row r="1968" spans="1:2" x14ac:dyDescent="0.25">
      <c r="A1968" t="s">
        <v>2761</v>
      </c>
      <c r="B1968" t="s">
        <v>2762</v>
      </c>
    </row>
    <row r="1969" spans="1:2" x14ac:dyDescent="0.25">
      <c r="A1969" t="s">
        <v>2763</v>
      </c>
      <c r="B1969" t="s">
        <v>2764</v>
      </c>
    </row>
    <row r="1970" spans="1:2" x14ac:dyDescent="0.25">
      <c r="A1970" t="s">
        <v>2765</v>
      </c>
      <c r="B1970" t="s">
        <v>2766</v>
      </c>
    </row>
    <row r="1971" spans="1:2" x14ac:dyDescent="0.25">
      <c r="A1971" t="s">
        <v>2767</v>
      </c>
      <c r="B1971" t="s">
        <v>2768</v>
      </c>
    </row>
    <row r="1972" spans="1:2" x14ac:dyDescent="0.25">
      <c r="A1972" t="s">
        <v>2769</v>
      </c>
      <c r="B1972" t="s">
        <v>2770</v>
      </c>
    </row>
    <row r="1973" spans="1:2" x14ac:dyDescent="0.25">
      <c r="A1973" t="s">
        <v>2771</v>
      </c>
      <c r="B1973" t="s">
        <v>2772</v>
      </c>
    </row>
    <row r="1974" spans="1:2" x14ac:dyDescent="0.25">
      <c r="A1974" t="s">
        <v>2773</v>
      </c>
      <c r="B1974" t="s">
        <v>2774</v>
      </c>
    </row>
    <row r="1975" spans="1:2" x14ac:dyDescent="0.25">
      <c r="A1975" t="s">
        <v>2775</v>
      </c>
      <c r="B1975" t="s">
        <v>2776</v>
      </c>
    </row>
    <row r="1976" spans="1:2" x14ac:dyDescent="0.25">
      <c r="A1976" t="s">
        <v>2777</v>
      </c>
      <c r="B1976" t="s">
        <v>2778</v>
      </c>
    </row>
    <row r="1977" spans="1:2" x14ac:dyDescent="0.25">
      <c r="A1977" t="s">
        <v>2779</v>
      </c>
      <c r="B1977" t="s">
        <v>2780</v>
      </c>
    </row>
    <row r="1978" spans="1:2" x14ac:dyDescent="0.25">
      <c r="A1978" t="s">
        <v>40</v>
      </c>
      <c r="B1978" t="s">
        <v>2781</v>
      </c>
    </row>
    <row r="1979" spans="1:2" x14ac:dyDescent="0.25">
      <c r="A1979" t="s">
        <v>2782</v>
      </c>
      <c r="B1979" t="s">
        <v>2783</v>
      </c>
    </row>
    <row r="1980" spans="1:2" x14ac:dyDescent="0.25">
      <c r="A1980" t="s">
        <v>2784</v>
      </c>
      <c r="B1980" t="s">
        <v>2785</v>
      </c>
    </row>
    <row r="1981" spans="1:2" x14ac:dyDescent="0.25">
      <c r="A1981" t="s">
        <v>2786</v>
      </c>
      <c r="B1981" t="s">
        <v>2787</v>
      </c>
    </row>
    <row r="1982" spans="1:2" x14ac:dyDescent="0.25">
      <c r="A1982" t="s">
        <v>2788</v>
      </c>
      <c r="B1982" t="s">
        <v>2789</v>
      </c>
    </row>
    <row r="1983" spans="1:2" x14ac:dyDescent="0.25">
      <c r="A1983" t="s">
        <v>2790</v>
      </c>
      <c r="B1983" t="s">
        <v>2791</v>
      </c>
    </row>
    <row r="1984" spans="1:2" x14ac:dyDescent="0.25">
      <c r="A1984" t="s">
        <v>2792</v>
      </c>
      <c r="B1984" t="s">
        <v>2793</v>
      </c>
    </row>
    <row r="1985" spans="1:2" x14ac:dyDescent="0.25">
      <c r="A1985" t="s">
        <v>2794</v>
      </c>
      <c r="B1985" t="s">
        <v>2795</v>
      </c>
    </row>
    <row r="1986" spans="1:2" x14ac:dyDescent="0.25">
      <c r="A1986" t="s">
        <v>2796</v>
      </c>
      <c r="B1986" t="s">
        <v>2797</v>
      </c>
    </row>
    <row r="1987" spans="1:2" x14ac:dyDescent="0.25">
      <c r="A1987" t="s">
        <v>2798</v>
      </c>
      <c r="B1987" t="s">
        <v>2799</v>
      </c>
    </row>
    <row r="1988" spans="1:2" x14ac:dyDescent="0.25">
      <c r="A1988" t="s">
        <v>2800</v>
      </c>
      <c r="B1988" t="s">
        <v>2801</v>
      </c>
    </row>
    <row r="1989" spans="1:2" x14ac:dyDescent="0.25">
      <c r="A1989" t="s">
        <v>2802</v>
      </c>
      <c r="B1989" t="s">
        <v>2803</v>
      </c>
    </row>
    <row r="1990" spans="1:2" x14ac:dyDescent="0.25">
      <c r="A1990" t="s">
        <v>2804</v>
      </c>
      <c r="B1990" t="s">
        <v>2805</v>
      </c>
    </row>
    <row r="1991" spans="1:2" x14ac:dyDescent="0.25">
      <c r="A1991" t="s">
        <v>2806</v>
      </c>
      <c r="B1991" t="s">
        <v>2807</v>
      </c>
    </row>
    <row r="1992" spans="1:2" x14ac:dyDescent="0.25">
      <c r="A1992" t="s">
        <v>2808</v>
      </c>
      <c r="B1992" t="s">
        <v>2809</v>
      </c>
    </row>
    <row r="1993" spans="1:2" x14ac:dyDescent="0.25">
      <c r="A1993" t="s">
        <v>2810</v>
      </c>
      <c r="B1993" t="s">
        <v>2811</v>
      </c>
    </row>
    <row r="1994" spans="1:2" x14ac:dyDescent="0.25">
      <c r="A1994" t="s">
        <v>2812</v>
      </c>
      <c r="B1994" t="s">
        <v>2813</v>
      </c>
    </row>
    <row r="1995" spans="1:2" x14ac:dyDescent="0.25">
      <c r="A1995" t="s">
        <v>1281</v>
      </c>
      <c r="B1995" t="s">
        <v>2814</v>
      </c>
    </row>
    <row r="1996" spans="1:2" x14ac:dyDescent="0.25">
      <c r="A1996" t="s">
        <v>2815</v>
      </c>
      <c r="B1996" t="s">
        <v>2816</v>
      </c>
    </row>
    <row r="1997" spans="1:2" x14ac:dyDescent="0.25">
      <c r="A1997" t="s">
        <v>2817</v>
      </c>
      <c r="B1997" t="s">
        <v>2818</v>
      </c>
    </row>
    <row r="1998" spans="1:2" x14ac:dyDescent="0.25">
      <c r="A1998" t="s">
        <v>2819</v>
      </c>
      <c r="B1998" t="s">
        <v>2820</v>
      </c>
    </row>
    <row r="1999" spans="1:2" x14ac:dyDescent="0.25">
      <c r="A1999" t="s">
        <v>2821</v>
      </c>
      <c r="B1999" t="s">
        <v>2822</v>
      </c>
    </row>
    <row r="2000" spans="1:2" x14ac:dyDescent="0.25">
      <c r="A2000" t="s">
        <v>2823</v>
      </c>
      <c r="B2000" t="s">
        <v>2824</v>
      </c>
    </row>
    <row r="2001" spans="1:2" x14ac:dyDescent="0.25">
      <c r="A2001" t="s">
        <v>2825</v>
      </c>
      <c r="B2001" t="s">
        <v>2826</v>
      </c>
    </row>
    <row r="2002" spans="1:2" x14ac:dyDescent="0.25">
      <c r="A2002" t="s">
        <v>2827</v>
      </c>
      <c r="B2002" t="s">
        <v>2828</v>
      </c>
    </row>
    <row r="2003" spans="1:2" x14ac:dyDescent="0.25">
      <c r="A2003" t="s">
        <v>2829</v>
      </c>
      <c r="B2003" t="s">
        <v>2830</v>
      </c>
    </row>
    <row r="2004" spans="1:2" x14ac:dyDescent="0.25">
      <c r="A2004" t="s">
        <v>2831</v>
      </c>
      <c r="B2004" t="s">
        <v>2832</v>
      </c>
    </row>
    <row r="2005" spans="1:2" x14ac:dyDescent="0.25">
      <c r="A2005" t="s">
        <v>650</v>
      </c>
      <c r="B2005" t="s">
        <v>2833</v>
      </c>
    </row>
    <row r="2006" spans="1:2" x14ac:dyDescent="0.25">
      <c r="A2006" t="s">
        <v>2834</v>
      </c>
      <c r="B2006" t="s">
        <v>2835</v>
      </c>
    </row>
    <row r="2007" spans="1:2" x14ac:dyDescent="0.25">
      <c r="A2007" t="s">
        <v>2836</v>
      </c>
      <c r="B2007" t="s">
        <v>2837</v>
      </c>
    </row>
    <row r="2008" spans="1:2" x14ac:dyDescent="0.25">
      <c r="A2008" t="s">
        <v>2838</v>
      </c>
      <c r="B2008" t="s">
        <v>2839</v>
      </c>
    </row>
    <row r="2009" spans="1:2" x14ac:dyDescent="0.25">
      <c r="A2009" t="s">
        <v>2840</v>
      </c>
      <c r="B2009" t="s">
        <v>2841</v>
      </c>
    </row>
    <row r="2010" spans="1:2" x14ac:dyDescent="0.25">
      <c r="A2010" t="s">
        <v>2842</v>
      </c>
      <c r="B2010" t="s">
        <v>2843</v>
      </c>
    </row>
    <row r="2011" spans="1:2" x14ac:dyDescent="0.25">
      <c r="A2011" t="s">
        <v>2844</v>
      </c>
      <c r="B2011" t="s">
        <v>2845</v>
      </c>
    </row>
    <row r="2012" spans="1:2" x14ac:dyDescent="0.25">
      <c r="A2012" t="s">
        <v>2846</v>
      </c>
      <c r="B2012" t="s">
        <v>2847</v>
      </c>
    </row>
    <row r="2013" spans="1:2" x14ac:dyDescent="0.25">
      <c r="A2013" t="s">
        <v>2848</v>
      </c>
      <c r="B2013" t="s">
        <v>2849</v>
      </c>
    </row>
    <row r="2014" spans="1:2" x14ac:dyDescent="0.25">
      <c r="A2014" t="s">
        <v>2850</v>
      </c>
      <c r="B2014" t="s">
        <v>2851</v>
      </c>
    </row>
    <row r="2015" spans="1:2" x14ac:dyDescent="0.25">
      <c r="A2015" t="s">
        <v>30</v>
      </c>
      <c r="B2015" t="s">
        <v>2852</v>
      </c>
    </row>
    <row r="2016" spans="1:2" x14ac:dyDescent="0.25">
      <c r="A2016" t="s">
        <v>2853</v>
      </c>
      <c r="B2016" t="s">
        <v>2854</v>
      </c>
    </row>
    <row r="2017" spans="1:2" x14ac:dyDescent="0.25">
      <c r="A2017" t="s">
        <v>2855</v>
      </c>
      <c r="B2017" t="s">
        <v>2856</v>
      </c>
    </row>
    <row r="2018" spans="1:2" x14ac:dyDescent="0.25">
      <c r="A2018" t="s">
        <v>2857</v>
      </c>
      <c r="B2018" t="s">
        <v>2858</v>
      </c>
    </row>
    <row r="2019" spans="1:2" x14ac:dyDescent="0.25">
      <c r="A2019" t="s">
        <v>2859</v>
      </c>
      <c r="B2019" t="s">
        <v>2860</v>
      </c>
    </row>
    <row r="2020" spans="1:2" x14ac:dyDescent="0.25">
      <c r="A2020" t="s">
        <v>2861</v>
      </c>
      <c r="B2020" t="s">
        <v>2862</v>
      </c>
    </row>
    <row r="2021" spans="1:2" x14ac:dyDescent="0.25">
      <c r="A2021" t="s">
        <v>2863</v>
      </c>
      <c r="B2021" t="s">
        <v>2864</v>
      </c>
    </row>
    <row r="2022" spans="1:2" x14ac:dyDescent="0.25">
      <c r="A2022" t="s">
        <v>2865</v>
      </c>
      <c r="B2022" t="s">
        <v>2866</v>
      </c>
    </row>
    <row r="2023" spans="1:2" x14ac:dyDescent="0.25">
      <c r="A2023" t="s">
        <v>2867</v>
      </c>
      <c r="B2023" t="s">
        <v>2868</v>
      </c>
    </row>
    <row r="2024" spans="1:2" x14ac:dyDescent="0.25">
      <c r="A2024" t="s">
        <v>2869</v>
      </c>
      <c r="B2024" t="s">
        <v>2870</v>
      </c>
    </row>
    <row r="2025" spans="1:2" x14ac:dyDescent="0.25">
      <c r="A2025" t="s">
        <v>2871</v>
      </c>
      <c r="B2025" t="s">
        <v>2872</v>
      </c>
    </row>
    <row r="2026" spans="1:2" x14ac:dyDescent="0.25">
      <c r="A2026" t="s">
        <v>2873</v>
      </c>
      <c r="B2026" t="s">
        <v>2874</v>
      </c>
    </row>
    <row r="2027" spans="1:2" x14ac:dyDescent="0.25">
      <c r="A2027" t="s">
        <v>2875</v>
      </c>
      <c r="B2027" t="s">
        <v>2876</v>
      </c>
    </row>
    <row r="2028" spans="1:2" x14ac:dyDescent="0.25">
      <c r="A2028" t="s">
        <v>2877</v>
      </c>
      <c r="B2028" t="s">
        <v>1609</v>
      </c>
    </row>
    <row r="2029" spans="1:2" x14ac:dyDescent="0.25">
      <c r="A2029" t="s">
        <v>1722</v>
      </c>
      <c r="B2029" t="s">
        <v>2878</v>
      </c>
    </row>
    <row r="2030" spans="1:2" x14ac:dyDescent="0.25">
      <c r="A2030" t="s">
        <v>2879</v>
      </c>
      <c r="B2030" t="s">
        <v>2880</v>
      </c>
    </row>
    <row r="2031" spans="1:2" x14ac:dyDescent="0.25">
      <c r="A2031" t="s">
        <v>2881</v>
      </c>
      <c r="B2031" t="s">
        <v>2882</v>
      </c>
    </row>
    <row r="2032" spans="1:2" x14ac:dyDescent="0.25">
      <c r="A2032" t="s">
        <v>2883</v>
      </c>
      <c r="B2032" t="s">
        <v>2884</v>
      </c>
    </row>
    <row r="2033" spans="1:2" x14ac:dyDescent="0.25">
      <c r="A2033" t="s">
        <v>2885</v>
      </c>
      <c r="B2033" t="s">
        <v>2886</v>
      </c>
    </row>
    <row r="2034" spans="1:2" x14ac:dyDescent="0.25">
      <c r="A2034" t="s">
        <v>2887</v>
      </c>
      <c r="B2034" t="s">
        <v>2888</v>
      </c>
    </row>
    <row r="2035" spans="1:2" x14ac:dyDescent="0.25">
      <c r="A2035" t="s">
        <v>2889</v>
      </c>
      <c r="B2035" t="s">
        <v>2890</v>
      </c>
    </row>
    <row r="2036" spans="1:2" x14ac:dyDescent="0.25">
      <c r="A2036" t="s">
        <v>2891</v>
      </c>
      <c r="B2036" t="s">
        <v>2892</v>
      </c>
    </row>
    <row r="2037" spans="1:2" x14ac:dyDescent="0.25">
      <c r="A2037" t="s">
        <v>2893</v>
      </c>
      <c r="B2037" t="s">
        <v>2894</v>
      </c>
    </row>
    <row r="2038" spans="1:2" x14ac:dyDescent="0.25">
      <c r="A2038" t="s">
        <v>2895</v>
      </c>
      <c r="B2038" t="s">
        <v>2896</v>
      </c>
    </row>
    <row r="2039" spans="1:2" x14ac:dyDescent="0.25">
      <c r="A2039" t="s">
        <v>2897</v>
      </c>
      <c r="B2039" t="s">
        <v>2898</v>
      </c>
    </row>
    <row r="2040" spans="1:2" x14ac:dyDescent="0.25">
      <c r="A2040" t="s">
        <v>2899</v>
      </c>
      <c r="B2040" t="s">
        <v>2900</v>
      </c>
    </row>
    <row r="2041" spans="1:2" x14ac:dyDescent="0.25">
      <c r="A2041" t="s">
        <v>2901</v>
      </c>
      <c r="B2041" t="s">
        <v>2902</v>
      </c>
    </row>
    <row r="2042" spans="1:2" x14ac:dyDescent="0.25">
      <c r="A2042" t="s">
        <v>2903</v>
      </c>
      <c r="B2042" t="s">
        <v>2904</v>
      </c>
    </row>
    <row r="2043" spans="1:2" x14ac:dyDescent="0.25">
      <c r="A2043" t="s">
        <v>2905</v>
      </c>
      <c r="B2043" t="s">
        <v>2906</v>
      </c>
    </row>
    <row r="2044" spans="1:2" x14ac:dyDescent="0.25">
      <c r="A2044" t="s">
        <v>2907</v>
      </c>
      <c r="B2044" t="s">
        <v>2908</v>
      </c>
    </row>
    <row r="2045" spans="1:2" x14ac:dyDescent="0.25">
      <c r="A2045" t="s">
        <v>2909</v>
      </c>
      <c r="B2045" t="s">
        <v>2910</v>
      </c>
    </row>
    <row r="2046" spans="1:2" x14ac:dyDescent="0.25">
      <c r="A2046" t="s">
        <v>2911</v>
      </c>
      <c r="B2046" t="s">
        <v>2912</v>
      </c>
    </row>
    <row r="2047" spans="1:2" x14ac:dyDescent="0.25">
      <c r="A2047" t="s">
        <v>2913</v>
      </c>
      <c r="B2047" t="s">
        <v>2914</v>
      </c>
    </row>
    <row r="2048" spans="1:2" x14ac:dyDescent="0.25">
      <c r="A2048" t="s">
        <v>1620</v>
      </c>
      <c r="B2048" t="s">
        <v>2915</v>
      </c>
    </row>
    <row r="2049" spans="1:2" x14ac:dyDescent="0.25">
      <c r="A2049" t="s">
        <v>2916</v>
      </c>
      <c r="B2049" t="s">
        <v>2917</v>
      </c>
    </row>
    <row r="2050" spans="1:2" x14ac:dyDescent="0.25">
      <c r="A2050" t="s">
        <v>2918</v>
      </c>
      <c r="B2050" t="s">
        <v>2919</v>
      </c>
    </row>
    <row r="2051" spans="1:2" x14ac:dyDescent="0.25">
      <c r="A2051" t="s">
        <v>2920</v>
      </c>
      <c r="B2051" t="s">
        <v>2921</v>
      </c>
    </row>
    <row r="2052" spans="1:2" x14ac:dyDescent="0.25">
      <c r="A2052" t="s">
        <v>2922</v>
      </c>
      <c r="B2052" t="s">
        <v>2923</v>
      </c>
    </row>
    <row r="2053" spans="1:2" x14ac:dyDescent="0.25">
      <c r="A2053" t="s">
        <v>2924</v>
      </c>
      <c r="B2053" t="s">
        <v>2925</v>
      </c>
    </row>
    <row r="2054" spans="1:2" x14ac:dyDescent="0.25">
      <c r="A2054" t="s">
        <v>2926</v>
      </c>
      <c r="B2054" t="s">
        <v>2927</v>
      </c>
    </row>
    <row r="2055" spans="1:2" x14ac:dyDescent="0.25">
      <c r="A2055" t="s">
        <v>2928</v>
      </c>
      <c r="B2055" t="s">
        <v>2929</v>
      </c>
    </row>
    <row r="2056" spans="1:2" x14ac:dyDescent="0.25">
      <c r="A2056" t="s">
        <v>2930</v>
      </c>
      <c r="B2056" t="s">
        <v>2931</v>
      </c>
    </row>
    <row r="2057" spans="1:2" x14ac:dyDescent="0.25">
      <c r="A2057" t="s">
        <v>2932</v>
      </c>
      <c r="B2057" t="s">
        <v>2933</v>
      </c>
    </row>
    <row r="2058" spans="1:2" x14ac:dyDescent="0.25">
      <c r="A2058" t="s">
        <v>2934</v>
      </c>
      <c r="B2058" t="s">
        <v>2935</v>
      </c>
    </row>
    <row r="2059" spans="1:2" x14ac:dyDescent="0.25">
      <c r="A2059" t="s">
        <v>2936</v>
      </c>
      <c r="B2059" t="s">
        <v>2937</v>
      </c>
    </row>
    <row r="2060" spans="1:2" x14ac:dyDescent="0.25">
      <c r="A2060" t="s">
        <v>2938</v>
      </c>
      <c r="B2060" t="s">
        <v>2939</v>
      </c>
    </row>
    <row r="2061" spans="1:2" x14ac:dyDescent="0.25">
      <c r="A2061" t="s">
        <v>2940</v>
      </c>
      <c r="B2061" t="s">
        <v>2941</v>
      </c>
    </row>
    <row r="2062" spans="1:2" x14ac:dyDescent="0.25">
      <c r="A2062" t="s">
        <v>2942</v>
      </c>
      <c r="B2062" t="s">
        <v>2943</v>
      </c>
    </row>
    <row r="2063" spans="1:2" x14ac:dyDescent="0.25">
      <c r="A2063" t="s">
        <v>2944</v>
      </c>
      <c r="B2063" t="s">
        <v>2945</v>
      </c>
    </row>
    <row r="2064" spans="1:2" x14ac:dyDescent="0.25">
      <c r="A2064" t="s">
        <v>875</v>
      </c>
      <c r="B2064" t="s">
        <v>2946</v>
      </c>
    </row>
    <row r="2065" spans="1:2" x14ac:dyDescent="0.25">
      <c r="A2065" t="s">
        <v>2947</v>
      </c>
      <c r="B2065" t="s">
        <v>2948</v>
      </c>
    </row>
    <row r="2066" spans="1:2" x14ac:dyDescent="0.25">
      <c r="A2066" t="s">
        <v>2949</v>
      </c>
      <c r="B2066" t="s">
        <v>2950</v>
      </c>
    </row>
    <row r="2067" spans="1:2" x14ac:dyDescent="0.25">
      <c r="A2067" t="s">
        <v>2951</v>
      </c>
      <c r="B2067" t="s">
        <v>2952</v>
      </c>
    </row>
    <row r="2068" spans="1:2" x14ac:dyDescent="0.25">
      <c r="A2068" t="s">
        <v>2953</v>
      </c>
      <c r="B2068" t="s">
        <v>2954</v>
      </c>
    </row>
    <row r="2069" spans="1:2" x14ac:dyDescent="0.25">
      <c r="A2069" t="s">
        <v>2955</v>
      </c>
      <c r="B2069" t="s">
        <v>2956</v>
      </c>
    </row>
    <row r="2070" spans="1:2" x14ac:dyDescent="0.25">
      <c r="A2070" t="s">
        <v>2957</v>
      </c>
      <c r="B2070" t="s">
        <v>2958</v>
      </c>
    </row>
    <row r="2071" spans="1:2" x14ac:dyDescent="0.25">
      <c r="A2071" t="s">
        <v>2959</v>
      </c>
      <c r="B2071" t="s">
        <v>2960</v>
      </c>
    </row>
    <row r="2072" spans="1:2" x14ac:dyDescent="0.25">
      <c r="A2072" t="s">
        <v>2961</v>
      </c>
      <c r="B2072" t="s">
        <v>2962</v>
      </c>
    </row>
    <row r="2073" spans="1:2" x14ac:dyDescent="0.25">
      <c r="A2073" t="s">
        <v>2963</v>
      </c>
      <c r="B2073" t="s">
        <v>2964</v>
      </c>
    </row>
    <row r="2074" spans="1:2" x14ac:dyDescent="0.25">
      <c r="A2074" t="s">
        <v>551</v>
      </c>
      <c r="B2074" t="s">
        <v>2965</v>
      </c>
    </row>
    <row r="2075" spans="1:2" x14ac:dyDescent="0.25">
      <c r="A2075" t="s">
        <v>2966</v>
      </c>
      <c r="B2075" t="s">
        <v>2967</v>
      </c>
    </row>
    <row r="2076" spans="1:2" x14ac:dyDescent="0.25">
      <c r="A2076" t="s">
        <v>2968</v>
      </c>
      <c r="B2076" t="s">
        <v>2969</v>
      </c>
    </row>
    <row r="2077" spans="1:2" x14ac:dyDescent="0.25">
      <c r="A2077" t="s">
        <v>2970</v>
      </c>
      <c r="B2077" t="s">
        <v>2971</v>
      </c>
    </row>
    <row r="2078" spans="1:2" x14ac:dyDescent="0.25">
      <c r="A2078" t="s">
        <v>2972</v>
      </c>
      <c r="B2078" t="s">
        <v>2973</v>
      </c>
    </row>
    <row r="2079" spans="1:2" x14ac:dyDescent="0.25">
      <c r="A2079" t="s">
        <v>2974</v>
      </c>
      <c r="B2079" t="s">
        <v>2975</v>
      </c>
    </row>
    <row r="2080" spans="1:2" x14ac:dyDescent="0.25">
      <c r="A2080" t="s">
        <v>2976</v>
      </c>
      <c r="B2080" t="s">
        <v>2977</v>
      </c>
    </row>
    <row r="2081" spans="1:2" x14ac:dyDescent="0.25">
      <c r="A2081" t="s">
        <v>2978</v>
      </c>
      <c r="B2081" t="s">
        <v>2979</v>
      </c>
    </row>
    <row r="2082" spans="1:2" x14ac:dyDescent="0.25">
      <c r="A2082" t="s">
        <v>2980</v>
      </c>
      <c r="B2082" t="s">
        <v>2981</v>
      </c>
    </row>
    <row r="2083" spans="1:2" x14ac:dyDescent="0.25">
      <c r="A2083" t="s">
        <v>2982</v>
      </c>
      <c r="B2083" t="s">
        <v>2983</v>
      </c>
    </row>
    <row r="2084" spans="1:2" x14ac:dyDescent="0.25">
      <c r="A2084" t="s">
        <v>2984</v>
      </c>
      <c r="B2084" t="s">
        <v>2985</v>
      </c>
    </row>
    <row r="2085" spans="1:2" x14ac:dyDescent="0.25">
      <c r="A2085" t="s">
        <v>2986</v>
      </c>
      <c r="B2085" t="s">
        <v>2987</v>
      </c>
    </row>
    <row r="2086" spans="1:2" x14ac:dyDescent="0.25">
      <c r="A2086" t="s">
        <v>2988</v>
      </c>
      <c r="B2086" t="s">
        <v>2989</v>
      </c>
    </row>
    <row r="2087" spans="1:2" x14ac:dyDescent="0.25">
      <c r="A2087" t="s">
        <v>2990</v>
      </c>
      <c r="B2087" t="s">
        <v>2991</v>
      </c>
    </row>
    <row r="2088" spans="1:2" x14ac:dyDescent="0.25">
      <c r="A2088" t="s">
        <v>2992</v>
      </c>
      <c r="B2088" t="s">
        <v>2993</v>
      </c>
    </row>
    <row r="2089" spans="1:2" x14ac:dyDescent="0.25">
      <c r="A2089" t="s">
        <v>2994</v>
      </c>
      <c r="B2089" t="s">
        <v>2995</v>
      </c>
    </row>
    <row r="2090" spans="1:2" x14ac:dyDescent="0.25">
      <c r="A2090" t="s">
        <v>2996</v>
      </c>
      <c r="B2090" t="s">
        <v>2997</v>
      </c>
    </row>
    <row r="2091" spans="1:2" x14ac:dyDescent="0.25">
      <c r="A2091" t="s">
        <v>2998</v>
      </c>
      <c r="B2091" t="s">
        <v>2999</v>
      </c>
    </row>
    <row r="2092" spans="1:2" x14ac:dyDescent="0.25">
      <c r="A2092" t="s">
        <v>3000</v>
      </c>
      <c r="B2092" t="s">
        <v>3001</v>
      </c>
    </row>
    <row r="2093" spans="1:2" x14ac:dyDescent="0.25">
      <c r="A2093" t="s">
        <v>1519</v>
      </c>
      <c r="B2093" t="s">
        <v>3002</v>
      </c>
    </row>
    <row r="2094" spans="1:2" x14ac:dyDescent="0.25">
      <c r="A2094" t="s">
        <v>3003</v>
      </c>
      <c r="B2094" t="s">
        <v>3004</v>
      </c>
    </row>
    <row r="2095" spans="1:2" x14ac:dyDescent="0.25">
      <c r="A2095" t="s">
        <v>3005</v>
      </c>
      <c r="B2095" t="s">
        <v>3006</v>
      </c>
    </row>
    <row r="2096" spans="1:2" x14ac:dyDescent="0.25">
      <c r="A2096" t="s">
        <v>3007</v>
      </c>
      <c r="B2096" t="s">
        <v>3008</v>
      </c>
    </row>
    <row r="2097" spans="1:2" x14ac:dyDescent="0.25">
      <c r="A2097" t="s">
        <v>3009</v>
      </c>
      <c r="B2097" t="s">
        <v>3010</v>
      </c>
    </row>
    <row r="2098" spans="1:2" x14ac:dyDescent="0.25">
      <c r="A2098" t="s">
        <v>3011</v>
      </c>
      <c r="B2098" t="s">
        <v>3012</v>
      </c>
    </row>
    <row r="2099" spans="1:2" x14ac:dyDescent="0.25">
      <c r="A2099" t="s">
        <v>3013</v>
      </c>
      <c r="B2099" t="s">
        <v>3014</v>
      </c>
    </row>
    <row r="2100" spans="1:2" x14ac:dyDescent="0.25">
      <c r="A2100" t="s">
        <v>3015</v>
      </c>
      <c r="B2100" t="s">
        <v>3016</v>
      </c>
    </row>
    <row r="2101" spans="1:2" x14ac:dyDescent="0.25">
      <c r="A2101" t="s">
        <v>3017</v>
      </c>
      <c r="B2101" t="s">
        <v>3018</v>
      </c>
    </row>
    <row r="2102" spans="1:2" x14ac:dyDescent="0.25">
      <c r="A2102" t="s">
        <v>3019</v>
      </c>
      <c r="B2102" t="s">
        <v>3020</v>
      </c>
    </row>
    <row r="2103" spans="1:2" x14ac:dyDescent="0.25">
      <c r="A2103" t="s">
        <v>3021</v>
      </c>
      <c r="B2103" t="s">
        <v>3022</v>
      </c>
    </row>
    <row r="2104" spans="1:2" x14ac:dyDescent="0.25">
      <c r="A2104" t="s">
        <v>3023</v>
      </c>
      <c r="B2104" t="s">
        <v>3024</v>
      </c>
    </row>
    <row r="2105" spans="1:2" x14ac:dyDescent="0.25">
      <c r="A2105" t="s">
        <v>3025</v>
      </c>
      <c r="B2105" t="s">
        <v>3026</v>
      </c>
    </row>
    <row r="2106" spans="1:2" x14ac:dyDescent="0.25">
      <c r="A2106" t="s">
        <v>3027</v>
      </c>
      <c r="B2106" t="s">
        <v>3028</v>
      </c>
    </row>
    <row r="2107" spans="1:2" x14ac:dyDescent="0.25">
      <c r="A2107" t="s">
        <v>3029</v>
      </c>
      <c r="B2107" t="s">
        <v>3030</v>
      </c>
    </row>
    <row r="2108" spans="1:2" x14ac:dyDescent="0.25">
      <c r="A2108" t="s">
        <v>3031</v>
      </c>
      <c r="B2108" t="s">
        <v>3032</v>
      </c>
    </row>
    <row r="2109" spans="1:2" x14ac:dyDescent="0.25">
      <c r="A2109" t="s">
        <v>3033</v>
      </c>
      <c r="B2109" t="s">
        <v>3034</v>
      </c>
    </row>
    <row r="2110" spans="1:2" x14ac:dyDescent="0.25">
      <c r="A2110" t="s">
        <v>3035</v>
      </c>
      <c r="B2110" t="s">
        <v>3036</v>
      </c>
    </row>
    <row r="2111" spans="1:2" x14ac:dyDescent="0.25">
      <c r="A2111" t="s">
        <v>3037</v>
      </c>
      <c r="B2111" t="s">
        <v>3038</v>
      </c>
    </row>
    <row r="2112" spans="1:2" x14ac:dyDescent="0.25">
      <c r="A2112" t="s">
        <v>3039</v>
      </c>
      <c r="B2112" t="s">
        <v>3040</v>
      </c>
    </row>
    <row r="2113" spans="1:2" x14ac:dyDescent="0.25">
      <c r="A2113" t="s">
        <v>3041</v>
      </c>
      <c r="B2113" t="s">
        <v>3042</v>
      </c>
    </row>
    <row r="2114" spans="1:2" x14ac:dyDescent="0.25">
      <c r="A2114" t="s">
        <v>1616</v>
      </c>
      <c r="B2114" t="s">
        <v>3043</v>
      </c>
    </row>
    <row r="2115" spans="1:2" x14ac:dyDescent="0.25">
      <c r="A2115" t="s">
        <v>3044</v>
      </c>
      <c r="B2115" t="s">
        <v>3045</v>
      </c>
    </row>
    <row r="2116" spans="1:2" x14ac:dyDescent="0.25">
      <c r="A2116" t="s">
        <v>3046</v>
      </c>
      <c r="B2116" t="s">
        <v>3047</v>
      </c>
    </row>
    <row r="2117" spans="1:2" x14ac:dyDescent="0.25">
      <c r="A2117" t="s">
        <v>3048</v>
      </c>
      <c r="B2117" t="s">
        <v>3049</v>
      </c>
    </row>
    <row r="2118" spans="1:2" x14ac:dyDescent="0.25">
      <c r="A2118" t="s">
        <v>3050</v>
      </c>
      <c r="B2118" t="s">
        <v>3051</v>
      </c>
    </row>
    <row r="2119" spans="1:2" x14ac:dyDescent="0.25">
      <c r="A2119" t="s">
        <v>3052</v>
      </c>
      <c r="B2119" t="s">
        <v>3053</v>
      </c>
    </row>
    <row r="2120" spans="1:2" x14ac:dyDescent="0.25">
      <c r="A2120" t="s">
        <v>3054</v>
      </c>
      <c r="B2120" t="s">
        <v>3055</v>
      </c>
    </row>
    <row r="2121" spans="1:2" x14ac:dyDescent="0.25">
      <c r="A2121" t="s">
        <v>3056</v>
      </c>
      <c r="B2121" t="s">
        <v>3057</v>
      </c>
    </row>
    <row r="2122" spans="1:2" x14ac:dyDescent="0.25">
      <c r="A2122" t="s">
        <v>3058</v>
      </c>
      <c r="B2122" t="s">
        <v>3059</v>
      </c>
    </row>
    <row r="2123" spans="1:2" x14ac:dyDescent="0.25">
      <c r="A2123" t="s">
        <v>3060</v>
      </c>
      <c r="B2123" t="s">
        <v>3061</v>
      </c>
    </row>
    <row r="2124" spans="1:2" x14ac:dyDescent="0.25">
      <c r="A2124" t="s">
        <v>3062</v>
      </c>
      <c r="B2124" t="s">
        <v>3063</v>
      </c>
    </row>
    <row r="2125" spans="1:2" x14ac:dyDescent="0.25">
      <c r="A2125" t="s">
        <v>3064</v>
      </c>
      <c r="B2125" t="s">
        <v>3065</v>
      </c>
    </row>
    <row r="2126" spans="1:2" x14ac:dyDescent="0.25">
      <c r="A2126" t="s">
        <v>3066</v>
      </c>
      <c r="B2126" t="s">
        <v>3067</v>
      </c>
    </row>
    <row r="2127" spans="1:2" x14ac:dyDescent="0.25">
      <c r="A2127" t="s">
        <v>3068</v>
      </c>
      <c r="B2127" t="s">
        <v>3069</v>
      </c>
    </row>
    <row r="2128" spans="1:2" x14ac:dyDescent="0.25">
      <c r="A2128" t="s">
        <v>3070</v>
      </c>
      <c r="B2128" t="s">
        <v>3071</v>
      </c>
    </row>
    <row r="2129" spans="1:2" x14ac:dyDescent="0.25">
      <c r="A2129" t="s">
        <v>3072</v>
      </c>
      <c r="B2129" t="s">
        <v>3073</v>
      </c>
    </row>
    <row r="2130" spans="1:2" x14ac:dyDescent="0.25">
      <c r="A2130" t="s">
        <v>3074</v>
      </c>
      <c r="B2130" t="s">
        <v>3075</v>
      </c>
    </row>
    <row r="2131" spans="1:2" x14ac:dyDescent="0.25">
      <c r="A2131" t="s">
        <v>3076</v>
      </c>
      <c r="B2131" t="s">
        <v>3077</v>
      </c>
    </row>
    <row r="2132" spans="1:2" x14ac:dyDescent="0.25">
      <c r="A2132" t="s">
        <v>3078</v>
      </c>
      <c r="B2132" t="s">
        <v>3079</v>
      </c>
    </row>
    <row r="2133" spans="1:2" x14ac:dyDescent="0.25">
      <c r="A2133" t="s">
        <v>3080</v>
      </c>
      <c r="B2133" t="s">
        <v>3081</v>
      </c>
    </row>
    <row r="2134" spans="1:2" x14ac:dyDescent="0.25">
      <c r="A2134" t="s">
        <v>47</v>
      </c>
      <c r="B2134" t="s">
        <v>3082</v>
      </c>
    </row>
    <row r="2135" spans="1:2" x14ac:dyDescent="0.25">
      <c r="A2135" t="s">
        <v>3083</v>
      </c>
      <c r="B2135" t="s">
        <v>3084</v>
      </c>
    </row>
    <row r="2136" spans="1:2" x14ac:dyDescent="0.25">
      <c r="A2136" t="s">
        <v>3085</v>
      </c>
      <c r="B2136" t="s">
        <v>3086</v>
      </c>
    </row>
    <row r="2137" spans="1:2" x14ac:dyDescent="0.25">
      <c r="A2137" t="s">
        <v>3087</v>
      </c>
      <c r="B2137" t="s">
        <v>3088</v>
      </c>
    </row>
    <row r="2138" spans="1:2" x14ac:dyDescent="0.25">
      <c r="A2138" t="s">
        <v>3089</v>
      </c>
      <c r="B2138" t="s">
        <v>3090</v>
      </c>
    </row>
    <row r="2139" spans="1:2" x14ac:dyDescent="0.25">
      <c r="A2139" t="s">
        <v>3091</v>
      </c>
      <c r="B2139" t="s">
        <v>3092</v>
      </c>
    </row>
    <row r="2140" spans="1:2" x14ac:dyDescent="0.25">
      <c r="A2140" t="s">
        <v>3093</v>
      </c>
      <c r="B2140" t="s">
        <v>3094</v>
      </c>
    </row>
    <row r="2141" spans="1:2" x14ac:dyDescent="0.25">
      <c r="A2141" t="s">
        <v>3095</v>
      </c>
      <c r="B2141" t="s">
        <v>3096</v>
      </c>
    </row>
    <row r="2142" spans="1:2" x14ac:dyDescent="0.25">
      <c r="A2142" t="s">
        <v>3097</v>
      </c>
      <c r="B2142" t="s">
        <v>3098</v>
      </c>
    </row>
    <row r="2143" spans="1:2" x14ac:dyDescent="0.25">
      <c r="A2143" t="s">
        <v>3099</v>
      </c>
      <c r="B2143" t="s">
        <v>3100</v>
      </c>
    </row>
    <row r="2144" spans="1:2" x14ac:dyDescent="0.25">
      <c r="A2144" t="s">
        <v>3101</v>
      </c>
      <c r="B2144" t="s">
        <v>3102</v>
      </c>
    </row>
    <row r="2145" spans="1:2" x14ac:dyDescent="0.25">
      <c r="A2145" t="s">
        <v>1546</v>
      </c>
      <c r="B2145" t="s">
        <v>3103</v>
      </c>
    </row>
    <row r="2146" spans="1:2" x14ac:dyDescent="0.25">
      <c r="A2146" t="s">
        <v>1626</v>
      </c>
      <c r="B2146" t="s">
        <v>3104</v>
      </c>
    </row>
    <row r="2147" spans="1:2" x14ac:dyDescent="0.25">
      <c r="A2147" t="s">
        <v>1632</v>
      </c>
      <c r="B2147" t="s">
        <v>3105</v>
      </c>
    </row>
    <row r="2148" spans="1:2" x14ac:dyDescent="0.25">
      <c r="A2148" t="s">
        <v>3106</v>
      </c>
      <c r="B2148" t="s">
        <v>3107</v>
      </c>
    </row>
    <row r="2149" spans="1:2" x14ac:dyDescent="0.25">
      <c r="A2149" t="s">
        <v>3108</v>
      </c>
      <c r="B2149" t="s">
        <v>3109</v>
      </c>
    </row>
    <row r="2150" spans="1:2" x14ac:dyDescent="0.25">
      <c r="A2150" t="s">
        <v>3110</v>
      </c>
      <c r="B2150" t="s">
        <v>3111</v>
      </c>
    </row>
    <row r="2151" spans="1:2" x14ac:dyDescent="0.25">
      <c r="A2151" t="s">
        <v>3112</v>
      </c>
      <c r="B2151" t="s">
        <v>3113</v>
      </c>
    </row>
    <row r="2152" spans="1:2" x14ac:dyDescent="0.25">
      <c r="A2152" t="s">
        <v>3114</v>
      </c>
      <c r="B2152" t="s">
        <v>3115</v>
      </c>
    </row>
    <row r="2153" spans="1:2" x14ac:dyDescent="0.25">
      <c r="A2153" t="s">
        <v>3116</v>
      </c>
      <c r="B2153" t="s">
        <v>3117</v>
      </c>
    </row>
    <row r="2154" spans="1:2" x14ac:dyDescent="0.25">
      <c r="A2154" t="s">
        <v>3118</v>
      </c>
      <c r="B2154" t="s">
        <v>3119</v>
      </c>
    </row>
    <row r="2155" spans="1:2" x14ac:dyDescent="0.25">
      <c r="A2155" t="s">
        <v>3120</v>
      </c>
      <c r="B2155" t="s">
        <v>3121</v>
      </c>
    </row>
    <row r="2156" spans="1:2" x14ac:dyDescent="0.25">
      <c r="A2156" t="s">
        <v>442</v>
      </c>
      <c r="B2156" t="s">
        <v>3122</v>
      </c>
    </row>
    <row r="2157" spans="1:2" x14ac:dyDescent="0.25">
      <c r="A2157" t="s">
        <v>81</v>
      </c>
      <c r="B2157" t="s">
        <v>3123</v>
      </c>
    </row>
    <row r="2158" spans="1:2" x14ac:dyDescent="0.25">
      <c r="A2158" t="s">
        <v>3124</v>
      </c>
      <c r="B2158" t="s">
        <v>3125</v>
      </c>
    </row>
    <row r="2159" spans="1:2" x14ac:dyDescent="0.25">
      <c r="A2159" t="s">
        <v>3126</v>
      </c>
      <c r="B2159" t="s">
        <v>3127</v>
      </c>
    </row>
    <row r="2160" spans="1:2" x14ac:dyDescent="0.25">
      <c r="A2160" t="s">
        <v>3128</v>
      </c>
      <c r="B2160" t="s">
        <v>3129</v>
      </c>
    </row>
    <row r="2161" spans="1:2" x14ac:dyDescent="0.25">
      <c r="A2161" t="s">
        <v>3130</v>
      </c>
      <c r="B2161" t="s">
        <v>3131</v>
      </c>
    </row>
    <row r="2162" spans="1:2" x14ac:dyDescent="0.25">
      <c r="A2162" t="s">
        <v>3132</v>
      </c>
      <c r="B2162" t="s">
        <v>3133</v>
      </c>
    </row>
    <row r="2163" spans="1:2" x14ac:dyDescent="0.25">
      <c r="A2163" t="s">
        <v>3134</v>
      </c>
      <c r="B2163" t="s">
        <v>3135</v>
      </c>
    </row>
    <row r="2164" spans="1:2" x14ac:dyDescent="0.25">
      <c r="A2164" t="s">
        <v>3136</v>
      </c>
      <c r="B2164" t="s">
        <v>3137</v>
      </c>
    </row>
    <row r="2165" spans="1:2" x14ac:dyDescent="0.25">
      <c r="A2165" t="s">
        <v>3138</v>
      </c>
      <c r="B2165" t="s">
        <v>3139</v>
      </c>
    </row>
    <row r="2166" spans="1:2" x14ac:dyDescent="0.25">
      <c r="A2166" t="s">
        <v>3140</v>
      </c>
      <c r="B2166" t="s">
        <v>3141</v>
      </c>
    </row>
    <row r="2167" spans="1:2" x14ac:dyDescent="0.25">
      <c r="A2167" t="s">
        <v>3142</v>
      </c>
      <c r="B2167" t="s">
        <v>3143</v>
      </c>
    </row>
    <row r="2168" spans="1:2" x14ac:dyDescent="0.25">
      <c r="A2168" t="s">
        <v>490</v>
      </c>
      <c r="B2168" t="s">
        <v>3144</v>
      </c>
    </row>
    <row r="2169" spans="1:2" x14ac:dyDescent="0.25">
      <c r="A2169" t="s">
        <v>29</v>
      </c>
      <c r="B2169" t="s">
        <v>3145</v>
      </c>
    </row>
    <row r="2170" spans="1:2" x14ac:dyDescent="0.25">
      <c r="A2170" t="s">
        <v>3146</v>
      </c>
      <c r="B2170" t="s">
        <v>3147</v>
      </c>
    </row>
    <row r="2171" spans="1:2" x14ac:dyDescent="0.25">
      <c r="A2171" t="s">
        <v>1499</v>
      </c>
      <c r="B2171" t="s">
        <v>3148</v>
      </c>
    </row>
    <row r="2172" spans="1:2" x14ac:dyDescent="0.25">
      <c r="A2172" t="s">
        <v>3149</v>
      </c>
      <c r="B2172" t="s">
        <v>3150</v>
      </c>
    </row>
    <row r="2173" spans="1:2" x14ac:dyDescent="0.25">
      <c r="A2173" t="s">
        <v>3151</v>
      </c>
      <c r="B2173" t="s">
        <v>3152</v>
      </c>
    </row>
    <row r="2174" spans="1:2" x14ac:dyDescent="0.25">
      <c r="A2174" t="s">
        <v>3153</v>
      </c>
      <c r="B2174" t="s">
        <v>3154</v>
      </c>
    </row>
    <row r="2175" spans="1:2" x14ac:dyDescent="0.25">
      <c r="A2175" t="s">
        <v>1705</v>
      </c>
      <c r="B2175" t="s">
        <v>3155</v>
      </c>
    </row>
    <row r="2176" spans="1:2" x14ac:dyDescent="0.25">
      <c r="A2176" t="s">
        <v>3156</v>
      </c>
      <c r="B2176" t="s">
        <v>3157</v>
      </c>
    </row>
    <row r="2177" spans="1:2" x14ac:dyDescent="0.25">
      <c r="A2177" t="s">
        <v>3158</v>
      </c>
      <c r="B2177" t="s">
        <v>3159</v>
      </c>
    </row>
    <row r="2178" spans="1:2" x14ac:dyDescent="0.25">
      <c r="A2178" t="s">
        <v>3160</v>
      </c>
      <c r="B2178" t="s">
        <v>3161</v>
      </c>
    </row>
    <row r="2179" spans="1:2" x14ac:dyDescent="0.25">
      <c r="A2179" t="s">
        <v>3162</v>
      </c>
      <c r="B2179" t="s">
        <v>3163</v>
      </c>
    </row>
    <row r="2180" spans="1:2" x14ac:dyDescent="0.25">
      <c r="A2180" t="s">
        <v>3164</v>
      </c>
      <c r="B2180" t="s">
        <v>3165</v>
      </c>
    </row>
    <row r="2181" spans="1:2" x14ac:dyDescent="0.25">
      <c r="A2181" t="s">
        <v>3166</v>
      </c>
      <c r="B2181" t="s">
        <v>3167</v>
      </c>
    </row>
    <row r="2182" spans="1:2" x14ac:dyDescent="0.25">
      <c r="A2182" t="s">
        <v>3168</v>
      </c>
      <c r="B2182" t="s">
        <v>3169</v>
      </c>
    </row>
    <row r="2183" spans="1:2" x14ac:dyDescent="0.25">
      <c r="A2183" t="s">
        <v>3170</v>
      </c>
      <c r="B2183" t="s">
        <v>3171</v>
      </c>
    </row>
    <row r="2184" spans="1:2" x14ac:dyDescent="0.25">
      <c r="A2184" t="s">
        <v>3172</v>
      </c>
      <c r="B2184" t="s">
        <v>3173</v>
      </c>
    </row>
    <row r="2185" spans="1:2" x14ac:dyDescent="0.25">
      <c r="A2185" t="s">
        <v>3174</v>
      </c>
      <c r="B2185" t="s">
        <v>3175</v>
      </c>
    </row>
    <row r="2186" spans="1:2" x14ac:dyDescent="0.25">
      <c r="A2186" t="s">
        <v>3176</v>
      </c>
      <c r="B2186" t="s">
        <v>3177</v>
      </c>
    </row>
    <row r="2187" spans="1:2" x14ac:dyDescent="0.25">
      <c r="A2187" t="s">
        <v>3178</v>
      </c>
      <c r="B2187" t="s">
        <v>3179</v>
      </c>
    </row>
    <row r="2188" spans="1:2" x14ac:dyDescent="0.25">
      <c r="A2188" t="s">
        <v>3180</v>
      </c>
      <c r="B2188" t="s">
        <v>3181</v>
      </c>
    </row>
    <row r="2189" spans="1:2" x14ac:dyDescent="0.25">
      <c r="A2189" t="s">
        <v>3182</v>
      </c>
      <c r="B2189" t="s">
        <v>3183</v>
      </c>
    </row>
    <row r="2190" spans="1:2" x14ac:dyDescent="0.25">
      <c r="A2190" t="s">
        <v>3184</v>
      </c>
      <c r="B2190" t="s">
        <v>3185</v>
      </c>
    </row>
    <row r="2191" spans="1:2" x14ac:dyDescent="0.25">
      <c r="A2191" t="s">
        <v>3186</v>
      </c>
      <c r="B2191" t="s">
        <v>3187</v>
      </c>
    </row>
    <row r="2192" spans="1:2" x14ac:dyDescent="0.25">
      <c r="A2192" t="s">
        <v>3188</v>
      </c>
      <c r="B2192" t="s">
        <v>3189</v>
      </c>
    </row>
    <row r="2193" spans="1:2" x14ac:dyDescent="0.25">
      <c r="A2193" t="s">
        <v>3190</v>
      </c>
      <c r="B2193" t="s">
        <v>3191</v>
      </c>
    </row>
    <row r="2194" spans="1:2" x14ac:dyDescent="0.25">
      <c r="A2194" t="s">
        <v>3192</v>
      </c>
      <c r="B2194" t="s">
        <v>3193</v>
      </c>
    </row>
    <row r="2195" spans="1:2" x14ac:dyDescent="0.25">
      <c r="A2195" t="s">
        <v>3194</v>
      </c>
      <c r="B2195" t="s">
        <v>3195</v>
      </c>
    </row>
    <row r="2196" spans="1:2" x14ac:dyDescent="0.25">
      <c r="A2196" t="s">
        <v>3196</v>
      </c>
      <c r="B2196" t="s">
        <v>3197</v>
      </c>
    </row>
    <row r="2197" spans="1:2" x14ac:dyDescent="0.25">
      <c r="A2197" t="s">
        <v>3198</v>
      </c>
      <c r="B2197" t="s">
        <v>3199</v>
      </c>
    </row>
    <row r="2198" spans="1:2" x14ac:dyDescent="0.25">
      <c r="A2198" t="s">
        <v>3200</v>
      </c>
      <c r="B2198" t="s">
        <v>3201</v>
      </c>
    </row>
    <row r="2199" spans="1:2" x14ac:dyDescent="0.25">
      <c r="A2199" t="s">
        <v>3202</v>
      </c>
      <c r="B2199" t="s">
        <v>3203</v>
      </c>
    </row>
    <row r="2200" spans="1:2" x14ac:dyDescent="0.25">
      <c r="A2200" t="s">
        <v>3204</v>
      </c>
      <c r="B2200" t="s">
        <v>3205</v>
      </c>
    </row>
    <row r="2201" spans="1:2" x14ac:dyDescent="0.25">
      <c r="A2201" t="s">
        <v>3206</v>
      </c>
      <c r="B2201" t="s">
        <v>3207</v>
      </c>
    </row>
    <row r="2202" spans="1:2" x14ac:dyDescent="0.25">
      <c r="A2202" t="s">
        <v>3208</v>
      </c>
      <c r="B2202" t="s">
        <v>3209</v>
      </c>
    </row>
    <row r="2203" spans="1:2" x14ac:dyDescent="0.25">
      <c r="A2203" t="s">
        <v>3210</v>
      </c>
      <c r="B2203" t="s">
        <v>3211</v>
      </c>
    </row>
    <row r="2204" spans="1:2" x14ac:dyDescent="0.25">
      <c r="A2204" t="s">
        <v>1734</v>
      </c>
      <c r="B2204" t="s">
        <v>3212</v>
      </c>
    </row>
    <row r="2205" spans="1:2" x14ac:dyDescent="0.25">
      <c r="A2205" t="s">
        <v>3213</v>
      </c>
      <c r="B2205" t="s">
        <v>3214</v>
      </c>
    </row>
    <row r="2206" spans="1:2" x14ac:dyDescent="0.25">
      <c r="A2206" t="s">
        <v>3215</v>
      </c>
      <c r="B2206" t="s">
        <v>3216</v>
      </c>
    </row>
    <row r="2207" spans="1:2" x14ac:dyDescent="0.25">
      <c r="A2207" t="s">
        <v>3217</v>
      </c>
      <c r="B2207" t="s">
        <v>3218</v>
      </c>
    </row>
    <row r="2208" spans="1:2" x14ac:dyDescent="0.25">
      <c r="A2208" t="s">
        <v>3219</v>
      </c>
      <c r="B2208" t="s">
        <v>3220</v>
      </c>
    </row>
    <row r="2209" spans="1:2" x14ac:dyDescent="0.25">
      <c r="A2209" t="s">
        <v>3221</v>
      </c>
      <c r="B2209" t="s">
        <v>3222</v>
      </c>
    </row>
    <row r="2210" spans="1:2" x14ac:dyDescent="0.25">
      <c r="A2210" t="s">
        <v>3223</v>
      </c>
      <c r="B2210" t="s">
        <v>3224</v>
      </c>
    </row>
    <row r="2211" spans="1:2" x14ac:dyDescent="0.25">
      <c r="A2211" t="s">
        <v>3225</v>
      </c>
      <c r="B2211" t="s">
        <v>3226</v>
      </c>
    </row>
    <row r="2212" spans="1:2" x14ac:dyDescent="0.25">
      <c r="A2212" t="s">
        <v>3227</v>
      </c>
      <c r="B2212" t="s">
        <v>3228</v>
      </c>
    </row>
    <row r="2213" spans="1:2" x14ac:dyDescent="0.25">
      <c r="A2213" t="s">
        <v>3229</v>
      </c>
      <c r="B2213" t="s">
        <v>3230</v>
      </c>
    </row>
    <row r="2214" spans="1:2" x14ac:dyDescent="0.25">
      <c r="A2214" t="s">
        <v>3231</v>
      </c>
      <c r="B2214" t="s">
        <v>3232</v>
      </c>
    </row>
    <row r="2215" spans="1:2" x14ac:dyDescent="0.25">
      <c r="A2215" t="s">
        <v>3233</v>
      </c>
      <c r="B2215" t="s">
        <v>3234</v>
      </c>
    </row>
    <row r="2216" spans="1:2" x14ac:dyDescent="0.25">
      <c r="A2216" t="s">
        <v>3235</v>
      </c>
      <c r="B2216" t="s">
        <v>3236</v>
      </c>
    </row>
    <row r="2217" spans="1:2" x14ac:dyDescent="0.25">
      <c r="A2217" t="s">
        <v>3237</v>
      </c>
      <c r="B2217" t="s">
        <v>3238</v>
      </c>
    </row>
    <row r="2218" spans="1:2" x14ac:dyDescent="0.25">
      <c r="A2218" t="s">
        <v>3239</v>
      </c>
      <c r="B2218" t="s">
        <v>3240</v>
      </c>
    </row>
    <row r="2219" spans="1:2" x14ac:dyDescent="0.25">
      <c r="A2219" t="s">
        <v>3241</v>
      </c>
      <c r="B2219" t="s">
        <v>3242</v>
      </c>
    </row>
    <row r="2220" spans="1:2" x14ac:dyDescent="0.25">
      <c r="A2220" t="s">
        <v>3243</v>
      </c>
      <c r="B2220" t="s">
        <v>3244</v>
      </c>
    </row>
    <row r="2221" spans="1:2" x14ac:dyDescent="0.25">
      <c r="A2221" t="s">
        <v>3245</v>
      </c>
      <c r="B2221" t="s">
        <v>3246</v>
      </c>
    </row>
    <row r="2222" spans="1:2" x14ac:dyDescent="0.25">
      <c r="A2222" t="s">
        <v>3247</v>
      </c>
      <c r="B2222" t="s">
        <v>3248</v>
      </c>
    </row>
    <row r="2223" spans="1:2" x14ac:dyDescent="0.25">
      <c r="A2223" t="s">
        <v>3249</v>
      </c>
      <c r="B2223" t="s">
        <v>3250</v>
      </c>
    </row>
    <row r="2224" spans="1:2" x14ac:dyDescent="0.25">
      <c r="A2224" t="s">
        <v>3251</v>
      </c>
      <c r="B2224" t="s">
        <v>3252</v>
      </c>
    </row>
    <row r="2225" spans="1:2" x14ac:dyDescent="0.25">
      <c r="A2225" t="s">
        <v>3253</v>
      </c>
      <c r="B2225" t="s">
        <v>3254</v>
      </c>
    </row>
    <row r="2226" spans="1:2" x14ac:dyDescent="0.25">
      <c r="A2226" t="s">
        <v>3255</v>
      </c>
      <c r="B2226" t="s">
        <v>3256</v>
      </c>
    </row>
    <row r="2227" spans="1:2" x14ac:dyDescent="0.25">
      <c r="A2227" t="s">
        <v>3257</v>
      </c>
      <c r="B2227" t="s">
        <v>3258</v>
      </c>
    </row>
    <row r="2228" spans="1:2" x14ac:dyDescent="0.25">
      <c r="A2228" t="s">
        <v>3259</v>
      </c>
      <c r="B2228" t="s">
        <v>3260</v>
      </c>
    </row>
    <row r="2229" spans="1:2" x14ac:dyDescent="0.25">
      <c r="A2229" t="s">
        <v>3261</v>
      </c>
      <c r="B2229" t="s">
        <v>3262</v>
      </c>
    </row>
    <row r="2230" spans="1:2" x14ac:dyDescent="0.25">
      <c r="A2230" t="s">
        <v>3263</v>
      </c>
      <c r="B2230" t="s">
        <v>3264</v>
      </c>
    </row>
    <row r="2231" spans="1:2" x14ac:dyDescent="0.25">
      <c r="A2231" t="s">
        <v>3265</v>
      </c>
      <c r="B2231" t="s">
        <v>3266</v>
      </c>
    </row>
    <row r="2232" spans="1:2" x14ac:dyDescent="0.25">
      <c r="A2232" t="s">
        <v>3267</v>
      </c>
      <c r="B2232" t="s">
        <v>3268</v>
      </c>
    </row>
    <row r="2233" spans="1:2" x14ac:dyDescent="0.25">
      <c r="A2233" t="s">
        <v>3269</v>
      </c>
      <c r="B2233" t="s">
        <v>3270</v>
      </c>
    </row>
    <row r="2234" spans="1:2" x14ac:dyDescent="0.25">
      <c r="A2234" t="s">
        <v>3271</v>
      </c>
      <c r="B2234" t="s">
        <v>3272</v>
      </c>
    </row>
    <row r="2235" spans="1:2" x14ac:dyDescent="0.25">
      <c r="A2235" t="s">
        <v>3273</v>
      </c>
      <c r="B2235" t="s">
        <v>3274</v>
      </c>
    </row>
    <row r="2236" spans="1:2" x14ac:dyDescent="0.25">
      <c r="A2236" t="s">
        <v>3275</v>
      </c>
      <c r="B2236" t="s">
        <v>3276</v>
      </c>
    </row>
    <row r="2237" spans="1:2" x14ac:dyDescent="0.25">
      <c r="A2237" t="s">
        <v>3277</v>
      </c>
      <c r="B2237" t="s">
        <v>3278</v>
      </c>
    </row>
    <row r="2238" spans="1:2" x14ac:dyDescent="0.25">
      <c r="A2238" t="s">
        <v>3279</v>
      </c>
      <c r="B2238" t="s">
        <v>3280</v>
      </c>
    </row>
    <row r="2239" spans="1:2" x14ac:dyDescent="0.25">
      <c r="A2239" t="s">
        <v>334</v>
      </c>
      <c r="B2239" t="s">
        <v>3281</v>
      </c>
    </row>
    <row r="2240" spans="1:2" x14ac:dyDescent="0.25">
      <c r="A2240" t="s">
        <v>3282</v>
      </c>
      <c r="B2240" t="s">
        <v>3283</v>
      </c>
    </row>
    <row r="2241" spans="1:2" x14ac:dyDescent="0.25">
      <c r="A2241" t="s">
        <v>3284</v>
      </c>
      <c r="B2241" t="s">
        <v>3285</v>
      </c>
    </row>
    <row r="2242" spans="1:2" x14ac:dyDescent="0.25">
      <c r="A2242" t="s">
        <v>254</v>
      </c>
      <c r="B2242" t="s">
        <v>3286</v>
      </c>
    </row>
    <row r="2243" spans="1:2" x14ac:dyDescent="0.25">
      <c r="A2243" t="s">
        <v>3287</v>
      </c>
      <c r="B2243" t="s">
        <v>3288</v>
      </c>
    </row>
    <row r="2244" spans="1:2" x14ac:dyDescent="0.25">
      <c r="A2244" t="s">
        <v>3289</v>
      </c>
      <c r="B2244" t="s">
        <v>3290</v>
      </c>
    </row>
    <row r="2245" spans="1:2" x14ac:dyDescent="0.25">
      <c r="A2245" t="s">
        <v>3291</v>
      </c>
      <c r="B2245" t="s">
        <v>3292</v>
      </c>
    </row>
    <row r="2246" spans="1:2" x14ac:dyDescent="0.25">
      <c r="A2246" t="s">
        <v>3293</v>
      </c>
      <c r="B2246" t="s">
        <v>3294</v>
      </c>
    </row>
    <row r="2247" spans="1:2" x14ac:dyDescent="0.25">
      <c r="A2247" t="s">
        <v>3295</v>
      </c>
      <c r="B2247" t="s">
        <v>3296</v>
      </c>
    </row>
    <row r="2248" spans="1:2" x14ac:dyDescent="0.25">
      <c r="A2248" t="s">
        <v>3297</v>
      </c>
      <c r="B2248" t="s">
        <v>3298</v>
      </c>
    </row>
    <row r="2249" spans="1:2" x14ac:dyDescent="0.25">
      <c r="A2249" t="s">
        <v>3299</v>
      </c>
      <c r="B2249" t="s">
        <v>3300</v>
      </c>
    </row>
    <row r="2250" spans="1:2" x14ac:dyDescent="0.25">
      <c r="A2250" t="s">
        <v>3301</v>
      </c>
      <c r="B2250" t="s">
        <v>3302</v>
      </c>
    </row>
    <row r="2251" spans="1:2" x14ac:dyDescent="0.25">
      <c r="A2251" t="s">
        <v>3303</v>
      </c>
      <c r="B2251" t="s">
        <v>3304</v>
      </c>
    </row>
    <row r="2252" spans="1:2" x14ac:dyDescent="0.25">
      <c r="A2252" t="s">
        <v>3305</v>
      </c>
      <c r="B2252" t="s">
        <v>3306</v>
      </c>
    </row>
    <row r="2253" spans="1:2" x14ac:dyDescent="0.25">
      <c r="A2253" t="s">
        <v>3307</v>
      </c>
      <c r="B2253" t="s">
        <v>3308</v>
      </c>
    </row>
    <row r="2254" spans="1:2" x14ac:dyDescent="0.25">
      <c r="A2254" t="s">
        <v>3309</v>
      </c>
      <c r="B2254" t="s">
        <v>3310</v>
      </c>
    </row>
    <row r="2255" spans="1:2" x14ac:dyDescent="0.25">
      <c r="A2255" t="s">
        <v>3311</v>
      </c>
      <c r="B2255" t="s">
        <v>3312</v>
      </c>
    </row>
    <row r="2256" spans="1:2" x14ac:dyDescent="0.25">
      <c r="A2256" t="s">
        <v>3313</v>
      </c>
      <c r="B2256" t="s">
        <v>3314</v>
      </c>
    </row>
    <row r="2257" spans="1:2" x14ac:dyDescent="0.25">
      <c r="A2257" t="s">
        <v>3315</v>
      </c>
      <c r="B2257" t="s">
        <v>3316</v>
      </c>
    </row>
    <row r="2258" spans="1:2" x14ac:dyDescent="0.25">
      <c r="A2258" t="s">
        <v>3317</v>
      </c>
      <c r="B2258" t="s">
        <v>3318</v>
      </c>
    </row>
    <row r="2259" spans="1:2" x14ac:dyDescent="0.25">
      <c r="A2259" t="s">
        <v>3319</v>
      </c>
      <c r="B2259" t="s">
        <v>3320</v>
      </c>
    </row>
    <row r="2260" spans="1:2" x14ac:dyDescent="0.25">
      <c r="A2260" t="s">
        <v>1501</v>
      </c>
      <c r="B2260" t="s">
        <v>3321</v>
      </c>
    </row>
    <row r="2261" spans="1:2" x14ac:dyDescent="0.25">
      <c r="A2261" t="s">
        <v>39</v>
      </c>
      <c r="B2261" t="s">
        <v>3322</v>
      </c>
    </row>
    <row r="2262" spans="1:2" x14ac:dyDescent="0.25">
      <c r="A2262" t="s">
        <v>3323</v>
      </c>
      <c r="B2262" t="s">
        <v>3324</v>
      </c>
    </row>
    <row r="2263" spans="1:2" x14ac:dyDescent="0.25">
      <c r="A2263" t="s">
        <v>3325</v>
      </c>
      <c r="B2263" t="s">
        <v>3326</v>
      </c>
    </row>
    <row r="2264" spans="1:2" x14ac:dyDescent="0.25">
      <c r="A2264" t="s">
        <v>3327</v>
      </c>
      <c r="B2264" t="s">
        <v>3328</v>
      </c>
    </row>
    <row r="2265" spans="1:2" x14ac:dyDescent="0.25">
      <c r="A2265" t="s">
        <v>3329</v>
      </c>
      <c r="B2265" t="s">
        <v>3330</v>
      </c>
    </row>
    <row r="2266" spans="1:2" x14ac:dyDescent="0.25">
      <c r="A2266" t="s">
        <v>1672</v>
      </c>
      <c r="B2266" t="s">
        <v>3331</v>
      </c>
    </row>
    <row r="2267" spans="1:2" x14ac:dyDescent="0.25">
      <c r="A2267" t="s">
        <v>3332</v>
      </c>
      <c r="B2267" t="s">
        <v>3333</v>
      </c>
    </row>
    <row r="2268" spans="1:2" x14ac:dyDescent="0.25">
      <c r="A2268" t="s">
        <v>3334</v>
      </c>
      <c r="B2268" t="s">
        <v>3335</v>
      </c>
    </row>
    <row r="2269" spans="1:2" x14ac:dyDescent="0.25">
      <c r="A2269" t="s">
        <v>3336</v>
      </c>
      <c r="B2269" t="s">
        <v>3337</v>
      </c>
    </row>
    <row r="2270" spans="1:2" x14ac:dyDescent="0.25">
      <c r="A2270" t="s">
        <v>3338</v>
      </c>
      <c r="B2270" t="s">
        <v>3339</v>
      </c>
    </row>
    <row r="2271" spans="1:2" x14ac:dyDescent="0.25">
      <c r="A2271" t="s">
        <v>3340</v>
      </c>
      <c r="B2271" t="s">
        <v>3341</v>
      </c>
    </row>
    <row r="2272" spans="1:2" x14ac:dyDescent="0.25">
      <c r="A2272" t="s">
        <v>3342</v>
      </c>
      <c r="B2272" t="s">
        <v>3343</v>
      </c>
    </row>
    <row r="2273" spans="1:2" x14ac:dyDescent="0.25">
      <c r="A2273" t="s">
        <v>3344</v>
      </c>
      <c r="B2273" t="s">
        <v>1635</v>
      </c>
    </row>
    <row r="2274" spans="1:2" x14ac:dyDescent="0.25">
      <c r="A2274" t="s">
        <v>3345</v>
      </c>
      <c r="B2274" t="s">
        <v>3346</v>
      </c>
    </row>
    <row r="2275" spans="1:2" x14ac:dyDescent="0.25">
      <c r="A2275" t="s">
        <v>3347</v>
      </c>
      <c r="B2275" t="s">
        <v>3348</v>
      </c>
    </row>
    <row r="2276" spans="1:2" x14ac:dyDescent="0.25">
      <c r="A2276" t="s">
        <v>3349</v>
      </c>
      <c r="B2276" t="s">
        <v>3350</v>
      </c>
    </row>
    <row r="2277" spans="1:2" x14ac:dyDescent="0.25">
      <c r="A2277" t="s">
        <v>3351</v>
      </c>
      <c r="B2277" t="s">
        <v>3352</v>
      </c>
    </row>
    <row r="2278" spans="1:2" x14ac:dyDescent="0.25">
      <c r="A2278" t="s">
        <v>3353</v>
      </c>
      <c r="B2278" t="s">
        <v>3354</v>
      </c>
    </row>
    <row r="2279" spans="1:2" x14ac:dyDescent="0.25">
      <c r="A2279" t="s">
        <v>3355</v>
      </c>
      <c r="B2279" t="s">
        <v>3356</v>
      </c>
    </row>
    <row r="2280" spans="1:2" x14ac:dyDescent="0.25">
      <c r="A2280" t="s">
        <v>1527</v>
      </c>
      <c r="B2280" t="s">
        <v>1528</v>
      </c>
    </row>
    <row r="2281" spans="1:2" x14ac:dyDescent="0.25">
      <c r="A2281" t="s">
        <v>3357</v>
      </c>
      <c r="B2281" t="s">
        <v>3358</v>
      </c>
    </row>
    <row r="2282" spans="1:2" x14ac:dyDescent="0.25">
      <c r="A2282" t="s">
        <v>3359</v>
      </c>
      <c r="B2282" t="s">
        <v>3360</v>
      </c>
    </row>
    <row r="2283" spans="1:2" x14ac:dyDescent="0.25">
      <c r="A2283" t="s">
        <v>3361</v>
      </c>
      <c r="B2283" t="s">
        <v>3362</v>
      </c>
    </row>
    <row r="2284" spans="1:2" x14ac:dyDescent="0.25">
      <c r="A2284" t="s">
        <v>3363</v>
      </c>
      <c r="B2284" t="s">
        <v>3364</v>
      </c>
    </row>
    <row r="2285" spans="1:2" x14ac:dyDescent="0.25">
      <c r="A2285" t="s">
        <v>3365</v>
      </c>
      <c r="B2285" t="s">
        <v>3366</v>
      </c>
    </row>
    <row r="2286" spans="1:2" x14ac:dyDescent="0.25">
      <c r="A2286" t="s">
        <v>3367</v>
      </c>
      <c r="B2286" t="s">
        <v>3368</v>
      </c>
    </row>
    <row r="2287" spans="1:2" x14ac:dyDescent="0.25">
      <c r="A2287" t="s">
        <v>3369</v>
      </c>
      <c r="B2287" t="s">
        <v>3370</v>
      </c>
    </row>
    <row r="2288" spans="1:2" x14ac:dyDescent="0.25">
      <c r="A2288" t="s">
        <v>1670</v>
      </c>
      <c r="B2288" t="s">
        <v>3371</v>
      </c>
    </row>
    <row r="2289" spans="1:2" x14ac:dyDescent="0.25">
      <c r="A2289" t="s">
        <v>3372</v>
      </c>
      <c r="B2289" t="s">
        <v>3373</v>
      </c>
    </row>
    <row r="2290" spans="1:2" x14ac:dyDescent="0.25">
      <c r="A2290" t="s">
        <v>3374</v>
      </c>
      <c r="B2290" t="s">
        <v>3375</v>
      </c>
    </row>
    <row r="2291" spans="1:2" x14ac:dyDescent="0.25">
      <c r="A2291" t="s">
        <v>3376</v>
      </c>
      <c r="B2291" t="s">
        <v>3377</v>
      </c>
    </row>
    <row r="2292" spans="1:2" x14ac:dyDescent="0.25">
      <c r="A2292" t="s">
        <v>3378</v>
      </c>
      <c r="B2292" t="s">
        <v>3379</v>
      </c>
    </row>
    <row r="2293" spans="1:2" x14ac:dyDescent="0.25">
      <c r="A2293" t="s">
        <v>3380</v>
      </c>
      <c r="B2293" t="s">
        <v>3381</v>
      </c>
    </row>
    <row r="2294" spans="1:2" x14ac:dyDescent="0.25">
      <c r="A2294" t="s">
        <v>3382</v>
      </c>
      <c r="B2294" t="s">
        <v>3383</v>
      </c>
    </row>
    <row r="2295" spans="1:2" x14ac:dyDescent="0.25">
      <c r="A2295" t="s">
        <v>3384</v>
      </c>
      <c r="B2295" t="s">
        <v>3385</v>
      </c>
    </row>
    <row r="2296" spans="1:2" x14ac:dyDescent="0.25">
      <c r="A2296" t="s">
        <v>3386</v>
      </c>
      <c r="B2296" t="s">
        <v>3387</v>
      </c>
    </row>
    <row r="2297" spans="1:2" x14ac:dyDescent="0.25">
      <c r="A2297" t="s">
        <v>1542</v>
      </c>
      <c r="B2297" t="s">
        <v>3388</v>
      </c>
    </row>
    <row r="2298" spans="1:2" x14ac:dyDescent="0.25">
      <c r="A2298" t="s">
        <v>3389</v>
      </c>
      <c r="B2298" t="s">
        <v>3390</v>
      </c>
    </row>
    <row r="2299" spans="1:2" x14ac:dyDescent="0.25">
      <c r="A2299" t="s">
        <v>3391</v>
      </c>
      <c r="B2299" t="s">
        <v>3392</v>
      </c>
    </row>
    <row r="2300" spans="1:2" x14ac:dyDescent="0.25">
      <c r="A2300" t="s">
        <v>3393</v>
      </c>
      <c r="B2300" t="s">
        <v>3394</v>
      </c>
    </row>
    <row r="2301" spans="1:2" x14ac:dyDescent="0.25">
      <c r="A2301" t="s">
        <v>3395</v>
      </c>
      <c r="B2301" t="s">
        <v>3396</v>
      </c>
    </row>
    <row r="2302" spans="1:2" x14ac:dyDescent="0.25">
      <c r="A2302" t="s">
        <v>3397</v>
      </c>
      <c r="B2302" t="s">
        <v>3398</v>
      </c>
    </row>
    <row r="2303" spans="1:2" x14ac:dyDescent="0.25">
      <c r="A2303" t="s">
        <v>3399</v>
      </c>
      <c r="B2303" t="s">
        <v>3400</v>
      </c>
    </row>
    <row r="2304" spans="1:2" x14ac:dyDescent="0.25">
      <c r="A2304" t="s">
        <v>3401</v>
      </c>
      <c r="B2304" t="s">
        <v>3402</v>
      </c>
    </row>
    <row r="2305" spans="1:2" x14ac:dyDescent="0.25">
      <c r="A2305" t="s">
        <v>3403</v>
      </c>
      <c r="B2305" t="s">
        <v>3404</v>
      </c>
    </row>
    <row r="2306" spans="1:2" x14ac:dyDescent="0.25">
      <c r="A2306" t="s">
        <v>3405</v>
      </c>
      <c r="B2306" t="s">
        <v>3406</v>
      </c>
    </row>
    <row r="2307" spans="1:2" x14ac:dyDescent="0.25">
      <c r="A2307" t="s">
        <v>3407</v>
      </c>
      <c r="B2307" t="s">
        <v>3408</v>
      </c>
    </row>
    <row r="2308" spans="1:2" x14ac:dyDescent="0.25">
      <c r="A2308" t="s">
        <v>3409</v>
      </c>
      <c r="B2308" t="s">
        <v>3410</v>
      </c>
    </row>
    <row r="2309" spans="1:2" x14ac:dyDescent="0.25">
      <c r="A2309" t="s">
        <v>3411</v>
      </c>
      <c r="B2309" t="s">
        <v>3412</v>
      </c>
    </row>
    <row r="2310" spans="1:2" x14ac:dyDescent="0.25">
      <c r="A2310" t="s">
        <v>3413</v>
      </c>
      <c r="B2310" t="s">
        <v>3414</v>
      </c>
    </row>
    <row r="2311" spans="1:2" x14ac:dyDescent="0.25">
      <c r="A2311" t="s">
        <v>3415</v>
      </c>
      <c r="B2311" t="s">
        <v>3416</v>
      </c>
    </row>
    <row r="2312" spans="1:2" x14ac:dyDescent="0.25">
      <c r="A2312" t="s">
        <v>3417</v>
      </c>
      <c r="B2312" t="s">
        <v>3418</v>
      </c>
    </row>
    <row r="2313" spans="1:2" x14ac:dyDescent="0.25">
      <c r="A2313" t="s">
        <v>3419</v>
      </c>
      <c r="B2313" t="s">
        <v>3420</v>
      </c>
    </row>
    <row r="2314" spans="1:2" x14ac:dyDescent="0.25">
      <c r="A2314" t="s">
        <v>3421</v>
      </c>
      <c r="B2314" t="s">
        <v>3422</v>
      </c>
    </row>
    <row r="2315" spans="1:2" x14ac:dyDescent="0.25">
      <c r="A2315" t="s">
        <v>3423</v>
      </c>
      <c r="B2315" t="s">
        <v>3424</v>
      </c>
    </row>
    <row r="2316" spans="1:2" x14ac:dyDescent="0.25">
      <c r="A2316" t="s">
        <v>45</v>
      </c>
      <c r="B2316" t="s">
        <v>3425</v>
      </c>
    </row>
    <row r="2317" spans="1:2" x14ac:dyDescent="0.25">
      <c r="A2317" t="s">
        <v>3426</v>
      </c>
      <c r="B2317" t="s">
        <v>3427</v>
      </c>
    </row>
    <row r="2318" spans="1:2" x14ac:dyDescent="0.25">
      <c r="A2318" t="s">
        <v>3428</v>
      </c>
      <c r="B2318" t="s">
        <v>3429</v>
      </c>
    </row>
    <row r="2319" spans="1:2" x14ac:dyDescent="0.25">
      <c r="A2319" t="s">
        <v>3430</v>
      </c>
      <c r="B2319" t="s">
        <v>3431</v>
      </c>
    </row>
    <row r="2320" spans="1:2" x14ac:dyDescent="0.25">
      <c r="A2320" t="s">
        <v>3432</v>
      </c>
      <c r="B2320" t="s">
        <v>3433</v>
      </c>
    </row>
    <row r="2321" spans="1:2" x14ac:dyDescent="0.25">
      <c r="A2321" t="s">
        <v>3434</v>
      </c>
      <c r="B2321" t="s">
        <v>3435</v>
      </c>
    </row>
    <row r="2322" spans="1:2" x14ac:dyDescent="0.25">
      <c r="A2322" t="s">
        <v>3436</v>
      </c>
      <c r="B2322" t="s">
        <v>3437</v>
      </c>
    </row>
    <row r="2323" spans="1:2" x14ac:dyDescent="0.25">
      <c r="A2323" t="s">
        <v>3438</v>
      </c>
      <c r="B2323" t="s">
        <v>3439</v>
      </c>
    </row>
    <row r="2324" spans="1:2" x14ac:dyDescent="0.25">
      <c r="A2324" t="s">
        <v>3440</v>
      </c>
      <c r="B2324" t="s">
        <v>3441</v>
      </c>
    </row>
    <row r="2325" spans="1:2" x14ac:dyDescent="0.25">
      <c r="A2325" t="s">
        <v>3442</v>
      </c>
      <c r="B2325" t="s">
        <v>3443</v>
      </c>
    </row>
    <row r="2326" spans="1:2" x14ac:dyDescent="0.25">
      <c r="A2326" t="s">
        <v>3444</v>
      </c>
      <c r="B2326" t="s">
        <v>3445</v>
      </c>
    </row>
    <row r="2327" spans="1:2" x14ac:dyDescent="0.25">
      <c r="A2327" t="s">
        <v>3446</v>
      </c>
      <c r="B2327" t="s">
        <v>3447</v>
      </c>
    </row>
    <row r="2328" spans="1:2" x14ac:dyDescent="0.25">
      <c r="A2328" t="s">
        <v>3448</v>
      </c>
      <c r="B2328" t="s">
        <v>3449</v>
      </c>
    </row>
    <row r="2329" spans="1:2" x14ac:dyDescent="0.25">
      <c r="A2329" t="s">
        <v>3450</v>
      </c>
      <c r="B2329" t="s">
        <v>3451</v>
      </c>
    </row>
    <row r="2330" spans="1:2" x14ac:dyDescent="0.25">
      <c r="A2330" t="s">
        <v>3452</v>
      </c>
      <c r="B2330" t="s">
        <v>3453</v>
      </c>
    </row>
    <row r="2331" spans="1:2" x14ac:dyDescent="0.25">
      <c r="A2331" t="s">
        <v>1508</v>
      </c>
      <c r="B2331" t="s">
        <v>1680</v>
      </c>
    </row>
    <row r="2332" spans="1:2" x14ac:dyDescent="0.25">
      <c r="A2332" t="s">
        <v>3454</v>
      </c>
      <c r="B2332" t="s">
        <v>3455</v>
      </c>
    </row>
    <row r="2333" spans="1:2" x14ac:dyDescent="0.25">
      <c r="A2333" t="s">
        <v>3456</v>
      </c>
      <c r="B2333" t="s">
        <v>3457</v>
      </c>
    </row>
    <row r="2334" spans="1:2" x14ac:dyDescent="0.25">
      <c r="A2334" t="s">
        <v>3458</v>
      </c>
      <c r="B2334" t="s">
        <v>3459</v>
      </c>
    </row>
    <row r="2335" spans="1:2" x14ac:dyDescent="0.25">
      <c r="A2335" t="s">
        <v>3460</v>
      </c>
      <c r="B2335" t="s">
        <v>3461</v>
      </c>
    </row>
    <row r="2336" spans="1:2" x14ac:dyDescent="0.25">
      <c r="A2336" t="s">
        <v>3462</v>
      </c>
      <c r="B2336" t="s">
        <v>3463</v>
      </c>
    </row>
    <row r="2337" spans="1:2" x14ac:dyDescent="0.25">
      <c r="A2337" t="s">
        <v>3464</v>
      </c>
      <c r="B2337" t="s">
        <v>3465</v>
      </c>
    </row>
    <row r="2338" spans="1:2" x14ac:dyDescent="0.25">
      <c r="A2338" t="s">
        <v>3466</v>
      </c>
      <c r="B2338" t="s">
        <v>3467</v>
      </c>
    </row>
    <row r="2339" spans="1:2" x14ac:dyDescent="0.25">
      <c r="A2339" t="s">
        <v>3468</v>
      </c>
      <c r="B2339" t="s">
        <v>3469</v>
      </c>
    </row>
    <row r="2340" spans="1:2" x14ac:dyDescent="0.25">
      <c r="A2340" t="s">
        <v>3470</v>
      </c>
      <c r="B2340" t="s">
        <v>3471</v>
      </c>
    </row>
    <row r="2341" spans="1:2" x14ac:dyDescent="0.25">
      <c r="A2341" t="s">
        <v>3472</v>
      </c>
      <c r="B2341" t="s">
        <v>3473</v>
      </c>
    </row>
    <row r="2342" spans="1:2" x14ac:dyDescent="0.25">
      <c r="A2342" t="s">
        <v>3474</v>
      </c>
      <c r="B2342" t="s">
        <v>3475</v>
      </c>
    </row>
    <row r="2343" spans="1:2" x14ac:dyDescent="0.25">
      <c r="A2343" t="s">
        <v>3476</v>
      </c>
      <c r="B2343" t="s">
        <v>3477</v>
      </c>
    </row>
    <row r="2344" spans="1:2" x14ac:dyDescent="0.25">
      <c r="A2344" t="s">
        <v>1561</v>
      </c>
      <c r="B2344" t="s">
        <v>1562</v>
      </c>
    </row>
    <row r="2345" spans="1:2" x14ac:dyDescent="0.25">
      <c r="A2345" t="s">
        <v>3478</v>
      </c>
      <c r="B2345" t="s">
        <v>3479</v>
      </c>
    </row>
    <row r="2346" spans="1:2" x14ac:dyDescent="0.25">
      <c r="A2346" t="s">
        <v>3480</v>
      </c>
      <c r="B2346" t="s">
        <v>3481</v>
      </c>
    </row>
    <row r="2347" spans="1:2" x14ac:dyDescent="0.25">
      <c r="A2347" t="s">
        <v>3482</v>
      </c>
      <c r="B2347" t="s">
        <v>3483</v>
      </c>
    </row>
    <row r="2348" spans="1:2" x14ac:dyDescent="0.25">
      <c r="A2348" t="s">
        <v>3484</v>
      </c>
      <c r="B2348" t="s">
        <v>3485</v>
      </c>
    </row>
    <row r="2349" spans="1:2" x14ac:dyDescent="0.25">
      <c r="A2349" t="s">
        <v>3486</v>
      </c>
      <c r="B2349" t="s">
        <v>3487</v>
      </c>
    </row>
    <row r="2350" spans="1:2" x14ac:dyDescent="0.25">
      <c r="A2350" t="s">
        <v>3488</v>
      </c>
      <c r="B2350" t="s">
        <v>3489</v>
      </c>
    </row>
    <row r="2351" spans="1:2" x14ac:dyDescent="0.25">
      <c r="A2351" t="s">
        <v>3490</v>
      </c>
      <c r="B2351" t="s">
        <v>3491</v>
      </c>
    </row>
    <row r="2352" spans="1:2" x14ac:dyDescent="0.25">
      <c r="A2352" t="s">
        <v>3492</v>
      </c>
      <c r="B2352" t="s">
        <v>3493</v>
      </c>
    </row>
    <row r="2353" spans="1:2" x14ac:dyDescent="0.25">
      <c r="A2353" t="s">
        <v>3494</v>
      </c>
      <c r="B2353" t="s">
        <v>3495</v>
      </c>
    </row>
    <row r="2354" spans="1:2" x14ac:dyDescent="0.25">
      <c r="A2354" t="s">
        <v>3496</v>
      </c>
      <c r="B2354" t="s">
        <v>3497</v>
      </c>
    </row>
    <row r="2355" spans="1:2" x14ac:dyDescent="0.25">
      <c r="A2355" t="s">
        <v>3498</v>
      </c>
      <c r="B2355" t="s">
        <v>3499</v>
      </c>
    </row>
    <row r="2356" spans="1:2" x14ac:dyDescent="0.25">
      <c r="A2356" t="s">
        <v>3500</v>
      </c>
      <c r="B2356" t="s">
        <v>3501</v>
      </c>
    </row>
    <row r="2357" spans="1:2" x14ac:dyDescent="0.25">
      <c r="A2357" t="s">
        <v>3502</v>
      </c>
      <c r="B2357" t="s">
        <v>3503</v>
      </c>
    </row>
    <row r="2358" spans="1:2" x14ac:dyDescent="0.25">
      <c r="A2358" t="s">
        <v>3504</v>
      </c>
      <c r="B2358" t="s">
        <v>3505</v>
      </c>
    </row>
    <row r="2359" spans="1:2" x14ac:dyDescent="0.25">
      <c r="A2359" t="s">
        <v>3506</v>
      </c>
      <c r="B2359" t="s">
        <v>3507</v>
      </c>
    </row>
    <row r="2360" spans="1:2" x14ac:dyDescent="0.25">
      <c r="A2360" t="s">
        <v>3508</v>
      </c>
      <c r="B2360" t="s">
        <v>3509</v>
      </c>
    </row>
    <row r="2361" spans="1:2" x14ac:dyDescent="0.25">
      <c r="A2361" t="s">
        <v>3510</v>
      </c>
      <c r="B2361" t="s">
        <v>3511</v>
      </c>
    </row>
    <row r="2362" spans="1:2" x14ac:dyDescent="0.25">
      <c r="A2362" t="s">
        <v>3512</v>
      </c>
      <c r="B2362" t="s">
        <v>3513</v>
      </c>
    </row>
    <row r="2363" spans="1:2" x14ac:dyDescent="0.25">
      <c r="A2363" t="s">
        <v>3514</v>
      </c>
      <c r="B2363" t="s">
        <v>3515</v>
      </c>
    </row>
    <row r="2364" spans="1:2" x14ac:dyDescent="0.25">
      <c r="A2364" t="s">
        <v>3516</v>
      </c>
      <c r="B2364" t="s">
        <v>3517</v>
      </c>
    </row>
    <row r="2365" spans="1:2" x14ac:dyDescent="0.25">
      <c r="A2365" t="s">
        <v>3518</v>
      </c>
      <c r="B2365" t="s">
        <v>3519</v>
      </c>
    </row>
    <row r="2366" spans="1:2" x14ac:dyDescent="0.25">
      <c r="A2366" t="s">
        <v>3520</v>
      </c>
      <c r="B2366" t="s">
        <v>3521</v>
      </c>
    </row>
    <row r="2367" spans="1:2" x14ac:dyDescent="0.25">
      <c r="A2367" t="s">
        <v>3522</v>
      </c>
      <c r="B2367" t="s">
        <v>3523</v>
      </c>
    </row>
    <row r="2368" spans="1:2" x14ac:dyDescent="0.25">
      <c r="A2368" t="s">
        <v>3524</v>
      </c>
      <c r="B2368" t="s">
        <v>3525</v>
      </c>
    </row>
    <row r="2369" spans="1:2" x14ac:dyDescent="0.25">
      <c r="A2369" t="s">
        <v>3526</v>
      </c>
      <c r="B2369" t="s">
        <v>3527</v>
      </c>
    </row>
    <row r="2370" spans="1:2" x14ac:dyDescent="0.25">
      <c r="A2370" t="s">
        <v>3528</v>
      </c>
      <c r="B2370" t="s">
        <v>3529</v>
      </c>
    </row>
    <row r="2371" spans="1:2" x14ac:dyDescent="0.25">
      <c r="A2371" t="s">
        <v>3530</v>
      </c>
      <c r="B2371" t="s">
        <v>3531</v>
      </c>
    </row>
    <row r="2372" spans="1:2" x14ac:dyDescent="0.25">
      <c r="A2372" t="s">
        <v>3532</v>
      </c>
      <c r="B2372" t="s">
        <v>3533</v>
      </c>
    </row>
    <row r="2373" spans="1:2" x14ac:dyDescent="0.25">
      <c r="A2373" t="s">
        <v>3534</v>
      </c>
      <c r="B2373" t="s">
        <v>3535</v>
      </c>
    </row>
    <row r="2374" spans="1:2" x14ac:dyDescent="0.25">
      <c r="A2374" t="s">
        <v>3536</v>
      </c>
      <c r="B2374" t="s">
        <v>3537</v>
      </c>
    </row>
    <row r="2375" spans="1:2" x14ac:dyDescent="0.25">
      <c r="A2375" t="s">
        <v>3538</v>
      </c>
      <c r="B2375" t="s">
        <v>3539</v>
      </c>
    </row>
    <row r="2376" spans="1:2" x14ac:dyDescent="0.25">
      <c r="A2376" t="s">
        <v>3540</v>
      </c>
      <c r="B2376" t="s">
        <v>3541</v>
      </c>
    </row>
    <row r="2377" spans="1:2" x14ac:dyDescent="0.25">
      <c r="A2377" t="s">
        <v>3542</v>
      </c>
      <c r="B2377" t="s">
        <v>3543</v>
      </c>
    </row>
    <row r="2378" spans="1:2" x14ac:dyDescent="0.25">
      <c r="A2378" t="s">
        <v>3544</v>
      </c>
      <c r="B2378" t="s">
        <v>3545</v>
      </c>
    </row>
    <row r="2379" spans="1:2" x14ac:dyDescent="0.25">
      <c r="A2379" t="s">
        <v>3546</v>
      </c>
      <c r="B2379" t="s">
        <v>3547</v>
      </c>
    </row>
    <row r="2380" spans="1:2" x14ac:dyDescent="0.25">
      <c r="A2380" t="s">
        <v>3548</v>
      </c>
      <c r="B2380" t="s">
        <v>3549</v>
      </c>
    </row>
    <row r="2381" spans="1:2" x14ac:dyDescent="0.25">
      <c r="A2381" t="s">
        <v>3550</v>
      </c>
      <c r="B2381" t="s">
        <v>3551</v>
      </c>
    </row>
    <row r="2382" spans="1:2" x14ac:dyDescent="0.25">
      <c r="A2382" t="s">
        <v>3552</v>
      </c>
      <c r="B2382" t="s">
        <v>3553</v>
      </c>
    </row>
    <row r="2383" spans="1:2" x14ac:dyDescent="0.25">
      <c r="A2383" t="s">
        <v>3554</v>
      </c>
      <c r="B2383" t="s">
        <v>3555</v>
      </c>
    </row>
    <row r="2384" spans="1:2" x14ac:dyDescent="0.25">
      <c r="A2384" t="s">
        <v>3556</v>
      </c>
      <c r="B2384" t="s">
        <v>3557</v>
      </c>
    </row>
    <row r="2385" spans="1:2" x14ac:dyDescent="0.25">
      <c r="A2385" t="s">
        <v>3558</v>
      </c>
      <c r="B2385" t="s">
        <v>3559</v>
      </c>
    </row>
    <row r="2386" spans="1:2" x14ac:dyDescent="0.25">
      <c r="A2386" t="s">
        <v>3560</v>
      </c>
      <c r="B2386" t="s">
        <v>3561</v>
      </c>
    </row>
    <row r="2387" spans="1:2" x14ac:dyDescent="0.25">
      <c r="A2387" t="s">
        <v>3562</v>
      </c>
      <c r="B2387" t="s">
        <v>3563</v>
      </c>
    </row>
    <row r="2388" spans="1:2" x14ac:dyDescent="0.25">
      <c r="A2388" t="s">
        <v>3564</v>
      </c>
      <c r="B2388" t="s">
        <v>3565</v>
      </c>
    </row>
    <row r="2389" spans="1:2" x14ac:dyDescent="0.25">
      <c r="A2389" t="s">
        <v>3566</v>
      </c>
      <c r="B2389" t="s">
        <v>3567</v>
      </c>
    </row>
    <row r="2390" spans="1:2" x14ac:dyDescent="0.25">
      <c r="A2390" t="s">
        <v>3568</v>
      </c>
      <c r="B2390" t="s">
        <v>3569</v>
      </c>
    </row>
    <row r="2391" spans="1:2" x14ac:dyDescent="0.25">
      <c r="A2391" t="s">
        <v>1497</v>
      </c>
      <c r="B2391" t="s">
        <v>3570</v>
      </c>
    </row>
    <row r="2392" spans="1:2" x14ac:dyDescent="0.25">
      <c r="A2392" t="s">
        <v>3571</v>
      </c>
      <c r="B2392" t="s">
        <v>3572</v>
      </c>
    </row>
    <row r="2393" spans="1:2" x14ac:dyDescent="0.25">
      <c r="A2393" t="s">
        <v>3573</v>
      </c>
      <c r="B2393" t="s">
        <v>3574</v>
      </c>
    </row>
    <row r="2394" spans="1:2" x14ac:dyDescent="0.25">
      <c r="A2394" t="s">
        <v>3575</v>
      </c>
      <c r="B2394" t="s">
        <v>3576</v>
      </c>
    </row>
    <row r="2395" spans="1:2" x14ac:dyDescent="0.25">
      <c r="A2395" t="s">
        <v>3577</v>
      </c>
      <c r="B2395" t="s">
        <v>3578</v>
      </c>
    </row>
    <row r="2396" spans="1:2" x14ac:dyDescent="0.25">
      <c r="A2396" t="s">
        <v>3579</v>
      </c>
      <c r="B2396" t="s">
        <v>3580</v>
      </c>
    </row>
    <row r="2397" spans="1:2" x14ac:dyDescent="0.25">
      <c r="A2397" t="s">
        <v>3581</v>
      </c>
      <c r="B2397" t="s">
        <v>3582</v>
      </c>
    </row>
    <row r="2398" spans="1:2" x14ac:dyDescent="0.25">
      <c r="A2398" t="s">
        <v>3583</v>
      </c>
      <c r="B2398" t="s">
        <v>3584</v>
      </c>
    </row>
    <row r="2399" spans="1:2" x14ac:dyDescent="0.25">
      <c r="A2399" t="s">
        <v>3585</v>
      </c>
      <c r="B2399" t="s">
        <v>3586</v>
      </c>
    </row>
    <row r="2400" spans="1:2" x14ac:dyDescent="0.25">
      <c r="A2400" t="s">
        <v>3587</v>
      </c>
      <c r="B2400" t="s">
        <v>3588</v>
      </c>
    </row>
    <row r="2401" spans="1:2" x14ac:dyDescent="0.25">
      <c r="A2401" t="s">
        <v>3589</v>
      </c>
      <c r="B2401" t="s">
        <v>3590</v>
      </c>
    </row>
    <row r="2402" spans="1:2" x14ac:dyDescent="0.25">
      <c r="A2402" t="s">
        <v>3591</v>
      </c>
      <c r="B2402" t="s">
        <v>3592</v>
      </c>
    </row>
    <row r="2403" spans="1:2" x14ac:dyDescent="0.25">
      <c r="A2403" t="s">
        <v>3593</v>
      </c>
      <c r="B2403" t="s">
        <v>3594</v>
      </c>
    </row>
    <row r="2404" spans="1:2" x14ac:dyDescent="0.25">
      <c r="A2404" t="s">
        <v>3595</v>
      </c>
      <c r="B2404" t="s">
        <v>3596</v>
      </c>
    </row>
    <row r="2405" spans="1:2" x14ac:dyDescent="0.25">
      <c r="A2405" t="s">
        <v>3597</v>
      </c>
      <c r="B2405" t="s">
        <v>3598</v>
      </c>
    </row>
    <row r="2406" spans="1:2" x14ac:dyDescent="0.25">
      <c r="A2406" t="s">
        <v>42</v>
      </c>
      <c r="B2406" t="s">
        <v>3599</v>
      </c>
    </row>
    <row r="2407" spans="1:2" x14ac:dyDescent="0.25">
      <c r="A2407" t="s">
        <v>3600</v>
      </c>
      <c r="B2407" t="s">
        <v>3601</v>
      </c>
    </row>
    <row r="2408" spans="1:2" x14ac:dyDescent="0.25">
      <c r="A2408" t="s">
        <v>3602</v>
      </c>
      <c r="B2408" t="s">
        <v>3603</v>
      </c>
    </row>
    <row r="2409" spans="1:2" x14ac:dyDescent="0.25">
      <c r="A2409" t="s">
        <v>3604</v>
      </c>
      <c r="B2409" t="s">
        <v>3605</v>
      </c>
    </row>
    <row r="2410" spans="1:2" x14ac:dyDescent="0.25">
      <c r="A2410" t="s">
        <v>3606</v>
      </c>
      <c r="B2410" t="s">
        <v>3607</v>
      </c>
    </row>
    <row r="2411" spans="1:2" x14ac:dyDescent="0.25">
      <c r="A2411" t="s">
        <v>3608</v>
      </c>
      <c r="B2411" t="s">
        <v>3609</v>
      </c>
    </row>
    <row r="2412" spans="1:2" x14ac:dyDescent="0.25">
      <c r="A2412" t="s">
        <v>3610</v>
      </c>
      <c r="B2412" t="s">
        <v>3611</v>
      </c>
    </row>
    <row r="2413" spans="1:2" x14ac:dyDescent="0.25">
      <c r="A2413" t="s">
        <v>3612</v>
      </c>
      <c r="B2413" t="s">
        <v>3613</v>
      </c>
    </row>
    <row r="2414" spans="1:2" x14ac:dyDescent="0.25">
      <c r="A2414" t="s">
        <v>3614</v>
      </c>
      <c r="B2414" t="s">
        <v>3615</v>
      </c>
    </row>
    <row r="2415" spans="1:2" x14ac:dyDescent="0.25">
      <c r="A2415" t="s">
        <v>3616</v>
      </c>
      <c r="B2415" t="s">
        <v>3617</v>
      </c>
    </row>
    <row r="2416" spans="1:2" x14ac:dyDescent="0.25">
      <c r="A2416" t="s">
        <v>3618</v>
      </c>
      <c r="B2416" t="s">
        <v>3619</v>
      </c>
    </row>
    <row r="2417" spans="1:2" x14ac:dyDescent="0.25">
      <c r="A2417" t="s">
        <v>3620</v>
      </c>
      <c r="B2417" t="s">
        <v>3621</v>
      </c>
    </row>
    <row r="2418" spans="1:2" x14ac:dyDescent="0.25">
      <c r="A2418" t="s">
        <v>3622</v>
      </c>
      <c r="B2418" t="s">
        <v>3623</v>
      </c>
    </row>
    <row r="2419" spans="1:2" x14ac:dyDescent="0.25">
      <c r="A2419" t="s">
        <v>3624</v>
      </c>
      <c r="B2419" t="s">
        <v>3625</v>
      </c>
    </row>
    <row r="2420" spans="1:2" x14ac:dyDescent="0.25">
      <c r="A2420" t="s">
        <v>3626</v>
      </c>
      <c r="B2420" t="s">
        <v>3627</v>
      </c>
    </row>
    <row r="2421" spans="1:2" x14ac:dyDescent="0.25">
      <c r="A2421" t="s">
        <v>3628</v>
      </c>
      <c r="B2421" t="s">
        <v>3629</v>
      </c>
    </row>
    <row r="2422" spans="1:2" x14ac:dyDescent="0.25">
      <c r="A2422" t="s">
        <v>3630</v>
      </c>
      <c r="B2422" t="s">
        <v>3631</v>
      </c>
    </row>
    <row r="2423" spans="1:2" x14ac:dyDescent="0.25">
      <c r="A2423" t="s">
        <v>3632</v>
      </c>
      <c r="B2423" t="s">
        <v>3633</v>
      </c>
    </row>
    <row r="2424" spans="1:2" x14ac:dyDescent="0.25">
      <c r="A2424" t="s">
        <v>3634</v>
      </c>
      <c r="B2424" t="s">
        <v>3635</v>
      </c>
    </row>
    <row r="2425" spans="1:2" x14ac:dyDescent="0.25">
      <c r="A2425" t="s">
        <v>3636</v>
      </c>
      <c r="B2425" t="s">
        <v>3637</v>
      </c>
    </row>
    <row r="2426" spans="1:2" x14ac:dyDescent="0.25">
      <c r="A2426" t="s">
        <v>3638</v>
      </c>
      <c r="B2426" t="s">
        <v>3639</v>
      </c>
    </row>
    <row r="2427" spans="1:2" x14ac:dyDescent="0.25">
      <c r="A2427" t="s">
        <v>3640</v>
      </c>
      <c r="B2427" t="s">
        <v>3641</v>
      </c>
    </row>
    <row r="2428" spans="1:2" x14ac:dyDescent="0.25">
      <c r="A2428" t="s">
        <v>3642</v>
      </c>
      <c r="B2428" t="s">
        <v>3643</v>
      </c>
    </row>
    <row r="2429" spans="1:2" x14ac:dyDescent="0.25">
      <c r="A2429" t="s">
        <v>3644</v>
      </c>
      <c r="B2429" t="s">
        <v>3645</v>
      </c>
    </row>
    <row r="2430" spans="1:2" x14ac:dyDescent="0.25">
      <c r="A2430" t="s">
        <v>3646</v>
      </c>
      <c r="B2430" t="s">
        <v>3647</v>
      </c>
    </row>
    <row r="2431" spans="1:2" x14ac:dyDescent="0.25">
      <c r="A2431" t="s">
        <v>3648</v>
      </c>
      <c r="B2431" t="s">
        <v>3649</v>
      </c>
    </row>
    <row r="2432" spans="1:2" x14ac:dyDescent="0.25">
      <c r="A2432" t="s">
        <v>3650</v>
      </c>
      <c r="B2432" t="s">
        <v>3651</v>
      </c>
    </row>
    <row r="2433" spans="1:2" x14ac:dyDescent="0.25">
      <c r="A2433" t="s">
        <v>3652</v>
      </c>
      <c r="B2433" t="s">
        <v>3653</v>
      </c>
    </row>
    <row r="2434" spans="1:2" x14ac:dyDescent="0.25">
      <c r="A2434" t="s">
        <v>3654</v>
      </c>
      <c r="B2434" t="s">
        <v>3655</v>
      </c>
    </row>
    <row r="2435" spans="1:2" x14ac:dyDescent="0.25">
      <c r="A2435" t="s">
        <v>3656</v>
      </c>
      <c r="B2435" t="s">
        <v>3657</v>
      </c>
    </row>
    <row r="2436" spans="1:2" x14ac:dyDescent="0.25">
      <c r="A2436" t="s">
        <v>3658</v>
      </c>
      <c r="B2436" t="s">
        <v>3659</v>
      </c>
    </row>
    <row r="2437" spans="1:2" x14ac:dyDescent="0.25">
      <c r="A2437" t="s">
        <v>3660</v>
      </c>
      <c r="B2437" t="s">
        <v>3661</v>
      </c>
    </row>
    <row r="2438" spans="1:2" x14ac:dyDescent="0.25">
      <c r="A2438" t="s">
        <v>3662</v>
      </c>
      <c r="B2438" t="s">
        <v>3663</v>
      </c>
    </row>
    <row r="2439" spans="1:2" x14ac:dyDescent="0.25">
      <c r="A2439" t="s">
        <v>3664</v>
      </c>
      <c r="B2439" t="s">
        <v>3665</v>
      </c>
    </row>
    <row r="2440" spans="1:2" x14ac:dyDescent="0.25">
      <c r="A2440" t="s">
        <v>3666</v>
      </c>
      <c r="B2440" t="s">
        <v>3667</v>
      </c>
    </row>
    <row r="2441" spans="1:2" x14ac:dyDescent="0.25">
      <c r="A2441" t="s">
        <v>1607</v>
      </c>
      <c r="B2441" t="s">
        <v>3668</v>
      </c>
    </row>
    <row r="2442" spans="1:2" x14ac:dyDescent="0.25">
      <c r="A2442" t="s">
        <v>3669</v>
      </c>
      <c r="B2442" t="s">
        <v>3670</v>
      </c>
    </row>
    <row r="2443" spans="1:2" x14ac:dyDescent="0.25">
      <c r="A2443" t="s">
        <v>3671</v>
      </c>
      <c r="B2443" t="s">
        <v>3672</v>
      </c>
    </row>
    <row r="2444" spans="1:2" x14ac:dyDescent="0.25">
      <c r="A2444" t="s">
        <v>3673</v>
      </c>
      <c r="B2444" t="s">
        <v>3674</v>
      </c>
    </row>
    <row r="2445" spans="1:2" x14ac:dyDescent="0.25">
      <c r="A2445" t="s">
        <v>3675</v>
      </c>
      <c r="B2445" t="s">
        <v>3676</v>
      </c>
    </row>
    <row r="2446" spans="1:2" x14ac:dyDescent="0.25">
      <c r="A2446" t="s">
        <v>3677</v>
      </c>
      <c r="B2446" t="s">
        <v>3678</v>
      </c>
    </row>
    <row r="2447" spans="1:2" x14ac:dyDescent="0.25">
      <c r="A2447" t="s">
        <v>3679</v>
      </c>
      <c r="B2447" t="s">
        <v>3680</v>
      </c>
    </row>
    <row r="2448" spans="1:2" x14ac:dyDescent="0.25">
      <c r="A2448" t="s">
        <v>3681</v>
      </c>
      <c r="B2448" t="s">
        <v>3682</v>
      </c>
    </row>
    <row r="2449" spans="1:2" x14ac:dyDescent="0.25">
      <c r="A2449" t="s">
        <v>3683</v>
      </c>
      <c r="B2449" t="s">
        <v>3684</v>
      </c>
    </row>
    <row r="2450" spans="1:2" x14ac:dyDescent="0.25">
      <c r="A2450" t="s">
        <v>3685</v>
      </c>
      <c r="B2450" t="s">
        <v>3686</v>
      </c>
    </row>
    <row r="2451" spans="1:2" x14ac:dyDescent="0.25">
      <c r="A2451" t="s">
        <v>3687</v>
      </c>
      <c r="B2451" t="s">
        <v>3688</v>
      </c>
    </row>
    <row r="2452" spans="1:2" x14ac:dyDescent="0.25">
      <c r="A2452" t="s">
        <v>3689</v>
      </c>
      <c r="B2452" t="s">
        <v>3690</v>
      </c>
    </row>
    <row r="2453" spans="1:2" x14ac:dyDescent="0.25">
      <c r="A2453" t="s">
        <v>3691</v>
      </c>
      <c r="B2453" t="s">
        <v>3692</v>
      </c>
    </row>
    <row r="2454" spans="1:2" x14ac:dyDescent="0.25">
      <c r="A2454" t="s">
        <v>3693</v>
      </c>
      <c r="B2454" t="s">
        <v>3694</v>
      </c>
    </row>
    <row r="2455" spans="1:2" x14ac:dyDescent="0.25">
      <c r="A2455" t="s">
        <v>3695</v>
      </c>
      <c r="B2455" t="s">
        <v>3696</v>
      </c>
    </row>
    <row r="2456" spans="1:2" x14ac:dyDescent="0.25">
      <c r="A2456" t="s">
        <v>3697</v>
      </c>
      <c r="B2456" t="s">
        <v>3698</v>
      </c>
    </row>
    <row r="2457" spans="1:2" x14ac:dyDescent="0.25">
      <c r="A2457" t="s">
        <v>3699</v>
      </c>
      <c r="B2457" t="s">
        <v>3700</v>
      </c>
    </row>
    <row r="2458" spans="1:2" x14ac:dyDescent="0.25">
      <c r="A2458" t="s">
        <v>3701</v>
      </c>
      <c r="B2458" t="s">
        <v>3702</v>
      </c>
    </row>
    <row r="2459" spans="1:2" x14ac:dyDescent="0.25">
      <c r="A2459" t="s">
        <v>3703</v>
      </c>
      <c r="B2459" t="s">
        <v>3704</v>
      </c>
    </row>
    <row r="2460" spans="1:2" x14ac:dyDescent="0.25">
      <c r="A2460" t="s">
        <v>3705</v>
      </c>
      <c r="B2460" t="s">
        <v>3706</v>
      </c>
    </row>
    <row r="2461" spans="1:2" x14ac:dyDescent="0.25">
      <c r="A2461" t="s">
        <v>3707</v>
      </c>
      <c r="B2461" t="s">
        <v>3708</v>
      </c>
    </row>
    <row r="2462" spans="1:2" x14ac:dyDescent="0.25">
      <c r="A2462" t="s">
        <v>1748</v>
      </c>
      <c r="B2462" t="s">
        <v>3709</v>
      </c>
    </row>
    <row r="2463" spans="1:2" x14ac:dyDescent="0.25">
      <c r="A2463" t="s">
        <v>3710</v>
      </c>
      <c r="B2463" t="s">
        <v>3711</v>
      </c>
    </row>
    <row r="2464" spans="1:2" x14ac:dyDescent="0.25">
      <c r="A2464" t="s">
        <v>3712</v>
      </c>
      <c r="B2464" t="s">
        <v>3713</v>
      </c>
    </row>
    <row r="2465" spans="1:2" x14ac:dyDescent="0.25">
      <c r="A2465" t="s">
        <v>3714</v>
      </c>
      <c r="B2465" t="s">
        <v>3715</v>
      </c>
    </row>
    <row r="2466" spans="1:2" x14ac:dyDescent="0.25">
      <c r="A2466" t="s">
        <v>575</v>
      </c>
      <c r="B2466" t="s">
        <v>576</v>
      </c>
    </row>
    <row r="2467" spans="1:2" x14ac:dyDescent="0.25">
      <c r="A2467" t="s">
        <v>3716</v>
      </c>
      <c r="B2467" t="s">
        <v>3717</v>
      </c>
    </row>
    <row r="2468" spans="1:2" x14ac:dyDescent="0.25">
      <c r="A2468" t="s">
        <v>3718</v>
      </c>
      <c r="B2468" t="s">
        <v>3719</v>
      </c>
    </row>
    <row r="2469" spans="1:2" x14ac:dyDescent="0.25">
      <c r="A2469" t="s">
        <v>3720</v>
      </c>
      <c r="B2469" t="s">
        <v>3721</v>
      </c>
    </row>
    <row r="2470" spans="1:2" x14ac:dyDescent="0.25">
      <c r="A2470" t="s">
        <v>3722</v>
      </c>
      <c r="B2470" t="s">
        <v>3723</v>
      </c>
    </row>
    <row r="2471" spans="1:2" x14ac:dyDescent="0.25">
      <c r="A2471" t="s">
        <v>3724</v>
      </c>
      <c r="B2471" t="s">
        <v>3725</v>
      </c>
    </row>
    <row r="2472" spans="1:2" x14ac:dyDescent="0.25">
      <c r="A2472" t="s">
        <v>3726</v>
      </c>
      <c r="B2472" t="s">
        <v>3727</v>
      </c>
    </row>
    <row r="2473" spans="1:2" x14ac:dyDescent="0.25">
      <c r="A2473" t="s">
        <v>3728</v>
      </c>
      <c r="B2473" t="s">
        <v>3729</v>
      </c>
    </row>
    <row r="2474" spans="1:2" x14ac:dyDescent="0.25">
      <c r="A2474" t="s">
        <v>3730</v>
      </c>
      <c r="B2474" t="s">
        <v>3731</v>
      </c>
    </row>
    <row r="2475" spans="1:2" x14ac:dyDescent="0.25">
      <c r="A2475" t="s">
        <v>3732</v>
      </c>
      <c r="B2475" t="s">
        <v>3733</v>
      </c>
    </row>
    <row r="2476" spans="1:2" x14ac:dyDescent="0.25">
      <c r="A2476" t="s">
        <v>192</v>
      </c>
      <c r="B2476" t="s">
        <v>3734</v>
      </c>
    </row>
    <row r="2477" spans="1:2" x14ac:dyDescent="0.25">
      <c r="A2477" t="s">
        <v>3735</v>
      </c>
      <c r="B2477" t="s">
        <v>3736</v>
      </c>
    </row>
    <row r="2478" spans="1:2" x14ac:dyDescent="0.25">
      <c r="A2478" t="s">
        <v>3737</v>
      </c>
      <c r="B2478" t="s">
        <v>3738</v>
      </c>
    </row>
    <row r="2479" spans="1:2" x14ac:dyDescent="0.25">
      <c r="A2479" t="s">
        <v>3739</v>
      </c>
      <c r="B2479" t="s">
        <v>3740</v>
      </c>
    </row>
    <row r="2480" spans="1:2" x14ac:dyDescent="0.25">
      <c r="A2480" t="s">
        <v>3741</v>
      </c>
      <c r="B2480" t="s">
        <v>3742</v>
      </c>
    </row>
    <row r="2481" spans="1:2" x14ac:dyDescent="0.25">
      <c r="A2481" t="s">
        <v>3743</v>
      </c>
      <c r="B2481" t="s">
        <v>3744</v>
      </c>
    </row>
    <row r="2482" spans="1:2" x14ac:dyDescent="0.25">
      <c r="A2482" t="s">
        <v>3745</v>
      </c>
      <c r="B2482" t="s">
        <v>3746</v>
      </c>
    </row>
    <row r="2483" spans="1:2" x14ac:dyDescent="0.25">
      <c r="A2483" t="s">
        <v>3747</v>
      </c>
      <c r="B2483" t="s">
        <v>3748</v>
      </c>
    </row>
    <row r="2484" spans="1:2" x14ac:dyDescent="0.25">
      <c r="A2484" t="s">
        <v>3749</v>
      </c>
      <c r="B2484" t="s">
        <v>3750</v>
      </c>
    </row>
    <row r="2485" spans="1:2" x14ac:dyDescent="0.25">
      <c r="A2485" t="s">
        <v>3751</v>
      </c>
      <c r="B2485" t="s">
        <v>3752</v>
      </c>
    </row>
    <row r="2486" spans="1:2" x14ac:dyDescent="0.25">
      <c r="A2486" t="s">
        <v>3753</v>
      </c>
      <c r="B2486" t="s">
        <v>3754</v>
      </c>
    </row>
    <row r="2487" spans="1:2" x14ac:dyDescent="0.25">
      <c r="A2487" t="s">
        <v>3755</v>
      </c>
      <c r="B2487" t="s">
        <v>3756</v>
      </c>
    </row>
    <row r="2488" spans="1:2" x14ac:dyDescent="0.25">
      <c r="A2488" t="s">
        <v>3757</v>
      </c>
      <c r="B2488" t="s">
        <v>3758</v>
      </c>
    </row>
    <row r="2489" spans="1:2" x14ac:dyDescent="0.25">
      <c r="A2489" t="s">
        <v>3759</v>
      </c>
      <c r="B2489" t="s">
        <v>3760</v>
      </c>
    </row>
    <row r="2490" spans="1:2" x14ac:dyDescent="0.25">
      <c r="A2490" t="s">
        <v>3761</v>
      </c>
      <c r="B2490" t="s">
        <v>3762</v>
      </c>
    </row>
    <row r="2491" spans="1:2" x14ac:dyDescent="0.25">
      <c r="A2491" t="s">
        <v>3763</v>
      </c>
      <c r="B2491" t="s">
        <v>3764</v>
      </c>
    </row>
    <row r="2492" spans="1:2" x14ac:dyDescent="0.25">
      <c r="A2492" t="s">
        <v>3765</v>
      </c>
      <c r="B2492" t="s">
        <v>3766</v>
      </c>
    </row>
    <row r="2493" spans="1:2" x14ac:dyDescent="0.25">
      <c r="A2493" t="s">
        <v>1663</v>
      </c>
      <c r="B2493" t="s">
        <v>1664</v>
      </c>
    </row>
    <row r="2494" spans="1:2" x14ac:dyDescent="0.25">
      <c r="A2494" t="s">
        <v>3767</v>
      </c>
      <c r="B2494" t="s">
        <v>3768</v>
      </c>
    </row>
    <row r="2495" spans="1:2" x14ac:dyDescent="0.25">
      <c r="A2495" t="s">
        <v>3769</v>
      </c>
      <c r="B2495" t="s">
        <v>3770</v>
      </c>
    </row>
    <row r="2496" spans="1:2" x14ac:dyDescent="0.25">
      <c r="A2496" t="s">
        <v>3771</v>
      </c>
      <c r="B2496" t="s">
        <v>3772</v>
      </c>
    </row>
    <row r="2497" spans="1:2" x14ac:dyDescent="0.25">
      <c r="A2497" t="s">
        <v>3773</v>
      </c>
      <c r="B2497" t="s">
        <v>3774</v>
      </c>
    </row>
    <row r="2498" spans="1:2" x14ac:dyDescent="0.25">
      <c r="A2498" t="s">
        <v>3775</v>
      </c>
      <c r="B2498" t="s">
        <v>3776</v>
      </c>
    </row>
    <row r="2499" spans="1:2" x14ac:dyDescent="0.25">
      <c r="A2499" t="s">
        <v>3777</v>
      </c>
      <c r="B2499" t="s">
        <v>3778</v>
      </c>
    </row>
    <row r="2500" spans="1:2" x14ac:dyDescent="0.25">
      <c r="A2500" t="s">
        <v>3779</v>
      </c>
      <c r="B2500" t="s">
        <v>3780</v>
      </c>
    </row>
    <row r="2501" spans="1:2" x14ac:dyDescent="0.25">
      <c r="A2501" t="s">
        <v>3781</v>
      </c>
      <c r="B2501" t="s">
        <v>3782</v>
      </c>
    </row>
    <row r="2502" spans="1:2" x14ac:dyDescent="0.25">
      <c r="A2502" t="s">
        <v>3783</v>
      </c>
      <c r="B2502" t="s">
        <v>3784</v>
      </c>
    </row>
    <row r="2503" spans="1:2" x14ac:dyDescent="0.25">
      <c r="A2503" t="s">
        <v>3785</v>
      </c>
      <c r="B2503" t="s">
        <v>3786</v>
      </c>
    </row>
    <row r="2504" spans="1:2" x14ac:dyDescent="0.25">
      <c r="A2504" t="s">
        <v>3787</v>
      </c>
      <c r="B2504" t="s">
        <v>3788</v>
      </c>
    </row>
    <row r="2505" spans="1:2" x14ac:dyDescent="0.25">
      <c r="A2505" t="s">
        <v>3789</v>
      </c>
      <c r="B2505" t="s">
        <v>3790</v>
      </c>
    </row>
    <row r="2506" spans="1:2" x14ac:dyDescent="0.25">
      <c r="A2506" t="s">
        <v>3791</v>
      </c>
      <c r="B2506" t="s">
        <v>3792</v>
      </c>
    </row>
    <row r="2507" spans="1:2" x14ac:dyDescent="0.25">
      <c r="A2507" t="s">
        <v>3793</v>
      </c>
      <c r="B2507" t="s">
        <v>3794</v>
      </c>
    </row>
    <row r="2508" spans="1:2" x14ac:dyDescent="0.25">
      <c r="A2508" t="s">
        <v>3795</v>
      </c>
      <c r="B2508" t="s">
        <v>3796</v>
      </c>
    </row>
    <row r="2509" spans="1:2" x14ac:dyDescent="0.25">
      <c r="A2509" t="s">
        <v>3021</v>
      </c>
      <c r="B2509" t="s">
        <v>3797</v>
      </c>
    </row>
    <row r="2510" spans="1:2" x14ac:dyDescent="0.25">
      <c r="A2510" t="s">
        <v>3798</v>
      </c>
      <c r="B2510" t="s">
        <v>3799</v>
      </c>
    </row>
    <row r="2511" spans="1:2" x14ac:dyDescent="0.25">
      <c r="A2511" t="s">
        <v>3800</v>
      </c>
      <c r="B2511" t="s">
        <v>3801</v>
      </c>
    </row>
    <row r="2512" spans="1:2" x14ac:dyDescent="0.25">
      <c r="A2512" t="s">
        <v>1699</v>
      </c>
      <c r="B2512" t="s">
        <v>3802</v>
      </c>
    </row>
    <row r="2513" spans="1:2" x14ac:dyDescent="0.25">
      <c r="A2513" t="s">
        <v>3803</v>
      </c>
      <c r="B2513" t="s">
        <v>3804</v>
      </c>
    </row>
    <row r="2514" spans="1:2" x14ac:dyDescent="0.25">
      <c r="A2514" t="s">
        <v>3805</v>
      </c>
      <c r="B2514" t="s">
        <v>3806</v>
      </c>
    </row>
    <row r="2515" spans="1:2" x14ac:dyDescent="0.25">
      <c r="A2515" t="s">
        <v>3807</v>
      </c>
      <c r="B2515" t="s">
        <v>3808</v>
      </c>
    </row>
    <row r="2516" spans="1:2" x14ac:dyDescent="0.25">
      <c r="A2516" t="s">
        <v>3809</v>
      </c>
      <c r="B2516" t="s">
        <v>3810</v>
      </c>
    </row>
    <row r="2517" spans="1:2" x14ac:dyDescent="0.25">
      <c r="A2517" t="s">
        <v>3811</v>
      </c>
      <c r="B2517" t="s">
        <v>3812</v>
      </c>
    </row>
    <row r="2518" spans="1:2" x14ac:dyDescent="0.25">
      <c r="A2518" t="s">
        <v>3813</v>
      </c>
      <c r="B2518" t="s">
        <v>3814</v>
      </c>
    </row>
    <row r="2519" spans="1:2" x14ac:dyDescent="0.25">
      <c r="A2519" t="s">
        <v>3815</v>
      </c>
      <c r="B2519" t="s">
        <v>3816</v>
      </c>
    </row>
    <row r="2520" spans="1:2" x14ac:dyDescent="0.25">
      <c r="A2520" t="s">
        <v>3817</v>
      </c>
      <c r="B2520" t="s">
        <v>3818</v>
      </c>
    </row>
    <row r="2521" spans="1:2" x14ac:dyDescent="0.25">
      <c r="A2521" t="s">
        <v>3819</v>
      </c>
      <c r="B2521" t="s">
        <v>3820</v>
      </c>
    </row>
    <row r="2522" spans="1:2" x14ac:dyDescent="0.25">
      <c r="A2522" t="s">
        <v>2653</v>
      </c>
      <c r="B2522" t="s">
        <v>3821</v>
      </c>
    </row>
    <row r="2523" spans="1:2" x14ac:dyDescent="0.25">
      <c r="A2523" t="s">
        <v>3822</v>
      </c>
      <c r="B2523" t="s">
        <v>3823</v>
      </c>
    </row>
    <row r="2524" spans="1:2" x14ac:dyDescent="0.25">
      <c r="A2524" t="s">
        <v>2663</v>
      </c>
      <c r="B2524" t="s">
        <v>3824</v>
      </c>
    </row>
    <row r="2525" spans="1:2" x14ac:dyDescent="0.25">
      <c r="A2525" t="s">
        <v>3825</v>
      </c>
      <c r="B2525" t="s">
        <v>3826</v>
      </c>
    </row>
    <row r="2526" spans="1:2" x14ac:dyDescent="0.25">
      <c r="A2526" t="s">
        <v>3827</v>
      </c>
      <c r="B2526" t="s">
        <v>3828</v>
      </c>
    </row>
    <row r="2527" spans="1:2" x14ac:dyDescent="0.25">
      <c r="A2527" t="s">
        <v>2728</v>
      </c>
      <c r="B2527" t="s">
        <v>3829</v>
      </c>
    </row>
    <row r="2528" spans="1:2" x14ac:dyDescent="0.25">
      <c r="A2528" t="s">
        <v>3830</v>
      </c>
      <c r="B2528" t="s">
        <v>3831</v>
      </c>
    </row>
    <row r="2529" spans="1:2" x14ac:dyDescent="0.25">
      <c r="A2529" t="s">
        <v>3832</v>
      </c>
      <c r="B2529" t="s">
        <v>3833</v>
      </c>
    </row>
    <row r="2530" spans="1:2" x14ac:dyDescent="0.25">
      <c r="A2530" t="s">
        <v>3834</v>
      </c>
      <c r="B2530" t="s">
        <v>3835</v>
      </c>
    </row>
    <row r="2531" spans="1:2" x14ac:dyDescent="0.25">
      <c r="A2531" t="s">
        <v>3836</v>
      </c>
      <c r="B2531" t="s">
        <v>3837</v>
      </c>
    </row>
    <row r="2532" spans="1:2" x14ac:dyDescent="0.25">
      <c r="A2532" t="s">
        <v>3838</v>
      </c>
      <c r="B2532" t="s">
        <v>3839</v>
      </c>
    </row>
    <row r="2533" spans="1:2" x14ac:dyDescent="0.25">
      <c r="A2533" t="s">
        <v>2934</v>
      </c>
      <c r="B2533" t="s">
        <v>3840</v>
      </c>
    </row>
    <row r="2534" spans="1:2" x14ac:dyDescent="0.25">
      <c r="A2534" t="s">
        <v>3841</v>
      </c>
      <c r="B2534" t="s">
        <v>3842</v>
      </c>
    </row>
    <row r="2535" spans="1:2" x14ac:dyDescent="0.25">
      <c r="A2535" t="s">
        <v>3843</v>
      </c>
      <c r="B2535" t="s">
        <v>3844</v>
      </c>
    </row>
    <row r="2536" spans="1:2" x14ac:dyDescent="0.25">
      <c r="A2536" t="s">
        <v>3845</v>
      </c>
      <c r="B2536" t="s">
        <v>3846</v>
      </c>
    </row>
    <row r="2537" spans="1:2" x14ac:dyDescent="0.25">
      <c r="A2537" t="s">
        <v>3847</v>
      </c>
      <c r="B2537" t="s">
        <v>3848</v>
      </c>
    </row>
    <row r="2538" spans="1:2" x14ac:dyDescent="0.25">
      <c r="A2538" t="s">
        <v>3849</v>
      </c>
      <c r="B2538" t="s">
        <v>3850</v>
      </c>
    </row>
    <row r="2539" spans="1:2" x14ac:dyDescent="0.25">
      <c r="A2539" t="s">
        <v>3851</v>
      </c>
      <c r="B2539" t="s">
        <v>3852</v>
      </c>
    </row>
    <row r="2540" spans="1:2" x14ac:dyDescent="0.25">
      <c r="A2540" t="s">
        <v>3853</v>
      </c>
      <c r="B2540" t="s">
        <v>3854</v>
      </c>
    </row>
    <row r="2541" spans="1:2" x14ac:dyDescent="0.25">
      <c r="A2541" t="s">
        <v>3855</v>
      </c>
      <c r="B2541" t="s">
        <v>3856</v>
      </c>
    </row>
    <row r="2542" spans="1:2" x14ac:dyDescent="0.25">
      <c r="A2542" t="s">
        <v>3857</v>
      </c>
      <c r="B2542" t="s">
        <v>3858</v>
      </c>
    </row>
    <row r="2543" spans="1:2" x14ac:dyDescent="0.25">
      <c r="A2543" t="s">
        <v>3859</v>
      </c>
      <c r="B2543" t="s">
        <v>3860</v>
      </c>
    </row>
    <row r="2544" spans="1:2" x14ac:dyDescent="0.25">
      <c r="A2544" t="s">
        <v>3478</v>
      </c>
      <c r="B2544" t="s">
        <v>3861</v>
      </c>
    </row>
    <row r="2545" spans="1:2" x14ac:dyDescent="0.25">
      <c r="A2545" t="s">
        <v>3862</v>
      </c>
      <c r="B2545" t="s">
        <v>3863</v>
      </c>
    </row>
    <row r="2546" spans="1:2" x14ac:dyDescent="0.25">
      <c r="A2546" t="s">
        <v>3864</v>
      </c>
      <c r="B2546" t="s">
        <v>3865</v>
      </c>
    </row>
    <row r="2547" spans="1:2" x14ac:dyDescent="0.25">
      <c r="A2547" t="s">
        <v>3866</v>
      </c>
      <c r="B2547" t="s">
        <v>3867</v>
      </c>
    </row>
    <row r="2548" spans="1:2" x14ac:dyDescent="0.25">
      <c r="A2548" t="s">
        <v>3868</v>
      </c>
      <c r="B2548" t="s">
        <v>3869</v>
      </c>
    </row>
    <row r="2549" spans="1:2" x14ac:dyDescent="0.25">
      <c r="A2549" t="s">
        <v>3870</v>
      </c>
      <c r="B2549" t="s">
        <v>3871</v>
      </c>
    </row>
    <row r="2550" spans="1:2" x14ac:dyDescent="0.25">
      <c r="A2550" t="s">
        <v>3872</v>
      </c>
      <c r="B2550" t="s">
        <v>3873</v>
      </c>
    </row>
    <row r="2551" spans="1:2" x14ac:dyDescent="0.25">
      <c r="A2551" t="s">
        <v>3874</v>
      </c>
      <c r="B2551" t="s">
        <v>3875</v>
      </c>
    </row>
    <row r="2552" spans="1:2" x14ac:dyDescent="0.25">
      <c r="A2552" t="s">
        <v>3876</v>
      </c>
      <c r="B2552" t="s">
        <v>3877</v>
      </c>
    </row>
    <row r="2553" spans="1:2" x14ac:dyDescent="0.25">
      <c r="A2553" t="s">
        <v>3878</v>
      </c>
      <c r="B2553" t="s">
        <v>3879</v>
      </c>
    </row>
    <row r="2554" spans="1:2" x14ac:dyDescent="0.25">
      <c r="A2554" t="s">
        <v>3880</v>
      </c>
      <c r="B2554" t="s">
        <v>3881</v>
      </c>
    </row>
    <row r="2555" spans="1:2" x14ac:dyDescent="0.25">
      <c r="A2555" t="s">
        <v>2484</v>
      </c>
      <c r="B2555" t="s">
        <v>3882</v>
      </c>
    </row>
    <row r="2556" spans="1:2" x14ac:dyDescent="0.25">
      <c r="A2556" t="s">
        <v>3883</v>
      </c>
      <c r="B2556" t="s">
        <v>3884</v>
      </c>
    </row>
    <row r="2557" spans="1:2" x14ac:dyDescent="0.25">
      <c r="A2557" t="s">
        <v>2575</v>
      </c>
      <c r="B2557" t="s">
        <v>3885</v>
      </c>
    </row>
    <row r="2558" spans="1:2" x14ac:dyDescent="0.25">
      <c r="A2558" t="s">
        <v>3886</v>
      </c>
      <c r="B2558" t="s">
        <v>3887</v>
      </c>
    </row>
    <row r="2559" spans="1:2" x14ac:dyDescent="0.25">
      <c r="A2559" t="s">
        <v>3888</v>
      </c>
      <c r="B2559" t="s">
        <v>3889</v>
      </c>
    </row>
    <row r="2560" spans="1:2" x14ac:dyDescent="0.25">
      <c r="A2560" t="s">
        <v>3890</v>
      </c>
      <c r="B2560" t="s">
        <v>3891</v>
      </c>
    </row>
    <row r="2561" spans="1:2" x14ac:dyDescent="0.25">
      <c r="A2561" t="s">
        <v>3892</v>
      </c>
      <c r="B2561" t="s">
        <v>3893</v>
      </c>
    </row>
    <row r="2562" spans="1:2" x14ac:dyDescent="0.25">
      <c r="A2562" t="s">
        <v>3894</v>
      </c>
      <c r="B2562" t="s">
        <v>3895</v>
      </c>
    </row>
    <row r="2563" spans="1:2" x14ac:dyDescent="0.25">
      <c r="A2563" t="s">
        <v>3896</v>
      </c>
      <c r="B2563" t="s">
        <v>3897</v>
      </c>
    </row>
    <row r="2564" spans="1:2" x14ac:dyDescent="0.25">
      <c r="A2564" t="s">
        <v>3898</v>
      </c>
      <c r="B2564" t="s">
        <v>3899</v>
      </c>
    </row>
    <row r="2565" spans="1:2" x14ac:dyDescent="0.25">
      <c r="A2565" t="s">
        <v>3900</v>
      </c>
      <c r="B2565" t="s">
        <v>3901</v>
      </c>
    </row>
    <row r="2566" spans="1:2" x14ac:dyDescent="0.25">
      <c r="A2566" t="s">
        <v>3902</v>
      </c>
      <c r="B2566" t="s">
        <v>3903</v>
      </c>
    </row>
    <row r="2567" spans="1:2" x14ac:dyDescent="0.25">
      <c r="A2567" t="s">
        <v>3904</v>
      </c>
      <c r="B2567" t="s">
        <v>3905</v>
      </c>
    </row>
    <row r="2568" spans="1:2" x14ac:dyDescent="0.25">
      <c r="A2568" t="s">
        <v>3906</v>
      </c>
      <c r="B2568" t="s">
        <v>3907</v>
      </c>
    </row>
    <row r="2569" spans="1:2" x14ac:dyDescent="0.25">
      <c r="A2569" t="s">
        <v>3908</v>
      </c>
      <c r="B2569" t="s">
        <v>3909</v>
      </c>
    </row>
    <row r="2570" spans="1:2" x14ac:dyDescent="0.25">
      <c r="A2570" t="s">
        <v>3910</v>
      </c>
      <c r="B2570" t="s">
        <v>3911</v>
      </c>
    </row>
    <row r="2571" spans="1:2" x14ac:dyDescent="0.25">
      <c r="A2571" t="s">
        <v>3912</v>
      </c>
      <c r="B2571" t="s">
        <v>3913</v>
      </c>
    </row>
    <row r="2572" spans="1:2" x14ac:dyDescent="0.25">
      <c r="A2572" t="s">
        <v>3914</v>
      </c>
      <c r="B2572" t="s">
        <v>3915</v>
      </c>
    </row>
    <row r="2573" spans="1:2" x14ac:dyDescent="0.25">
      <c r="A2573" t="s">
        <v>3916</v>
      </c>
      <c r="B2573" t="s">
        <v>3917</v>
      </c>
    </row>
    <row r="2574" spans="1:2" x14ac:dyDescent="0.25">
      <c r="A2574" t="s">
        <v>3918</v>
      </c>
      <c r="B2574" t="s">
        <v>3919</v>
      </c>
    </row>
    <row r="2575" spans="1:2" x14ac:dyDescent="0.25">
      <c r="A2575" t="s">
        <v>3920</v>
      </c>
      <c r="B2575" t="s">
        <v>3921</v>
      </c>
    </row>
    <row r="2576" spans="1:2" x14ac:dyDescent="0.25">
      <c r="A2576" t="s">
        <v>3922</v>
      </c>
      <c r="B2576" t="s">
        <v>3923</v>
      </c>
    </row>
    <row r="2577" spans="1:2" x14ac:dyDescent="0.25">
      <c r="A2577" t="s">
        <v>3924</v>
      </c>
      <c r="B2577" t="s">
        <v>3925</v>
      </c>
    </row>
    <row r="2578" spans="1:2" x14ac:dyDescent="0.25">
      <c r="A2578" t="s">
        <v>3926</v>
      </c>
      <c r="B2578" t="s">
        <v>3927</v>
      </c>
    </row>
    <row r="2579" spans="1:2" x14ac:dyDescent="0.25">
      <c r="A2579" t="s">
        <v>3928</v>
      </c>
      <c r="B2579" t="s">
        <v>3929</v>
      </c>
    </row>
    <row r="2580" spans="1:2" x14ac:dyDescent="0.25">
      <c r="A2580" t="s">
        <v>1758</v>
      </c>
      <c r="B2580" t="s">
        <v>1759</v>
      </c>
    </row>
    <row r="2581" spans="1:2" x14ac:dyDescent="0.25">
      <c r="A2581" t="s">
        <v>3930</v>
      </c>
      <c r="B2581" t="s">
        <v>3931</v>
      </c>
    </row>
    <row r="2582" spans="1:2" x14ac:dyDescent="0.25">
      <c r="A2582" t="s">
        <v>3932</v>
      </c>
      <c r="B2582" t="s">
        <v>3933</v>
      </c>
    </row>
    <row r="2583" spans="1:2" x14ac:dyDescent="0.25">
      <c r="A2583" t="s">
        <v>1762</v>
      </c>
      <c r="B2583" t="s">
        <v>1763</v>
      </c>
    </row>
    <row r="2584" spans="1:2" x14ac:dyDescent="0.25">
      <c r="A2584" t="s">
        <v>3934</v>
      </c>
      <c r="B2584" t="s">
        <v>3935</v>
      </c>
    </row>
    <row r="2585" spans="1:2" x14ac:dyDescent="0.25">
      <c r="A2585" t="s">
        <v>3936</v>
      </c>
      <c r="B2585" t="s">
        <v>3937</v>
      </c>
    </row>
    <row r="2586" spans="1:2" x14ac:dyDescent="0.25">
      <c r="A2586" t="s">
        <v>3938</v>
      </c>
      <c r="B2586" t="s">
        <v>3939</v>
      </c>
    </row>
    <row r="2587" spans="1:2" x14ac:dyDescent="0.25">
      <c r="A2587" t="s">
        <v>3940</v>
      </c>
      <c r="B2587" t="s">
        <v>3941</v>
      </c>
    </row>
    <row r="2588" spans="1:2" x14ac:dyDescent="0.25">
      <c r="A2588" t="s">
        <v>1770</v>
      </c>
      <c r="B2588" t="s">
        <v>1771</v>
      </c>
    </row>
    <row r="2589" spans="1:2" x14ac:dyDescent="0.25">
      <c r="A2589" t="s">
        <v>1774</v>
      </c>
      <c r="B2589" t="s">
        <v>1775</v>
      </c>
    </row>
    <row r="2590" spans="1:2" x14ac:dyDescent="0.25">
      <c r="A2590" t="s">
        <v>3942</v>
      </c>
      <c r="B2590" t="s">
        <v>3943</v>
      </c>
    </row>
    <row r="2591" spans="1:2" x14ac:dyDescent="0.25">
      <c r="A2591" t="s">
        <v>3944</v>
      </c>
      <c r="B2591" t="s">
        <v>3945</v>
      </c>
    </row>
    <row r="2592" spans="1:2" x14ac:dyDescent="0.25">
      <c r="A2592" t="s">
        <v>3946</v>
      </c>
      <c r="B2592" t="s">
        <v>3947</v>
      </c>
    </row>
    <row r="2593" spans="1:2" x14ac:dyDescent="0.25">
      <c r="A2593" t="s">
        <v>3948</v>
      </c>
      <c r="B2593" t="s">
        <v>3949</v>
      </c>
    </row>
    <row r="2594" spans="1:2" x14ac:dyDescent="0.25">
      <c r="A2594" t="s">
        <v>3950</v>
      </c>
      <c r="B2594" t="s">
        <v>3951</v>
      </c>
    </row>
    <row r="2595" spans="1:2" x14ac:dyDescent="0.25">
      <c r="A2595" t="s">
        <v>3952</v>
      </c>
      <c r="B2595" t="s">
        <v>3953</v>
      </c>
    </row>
    <row r="2596" spans="1:2" x14ac:dyDescent="0.25">
      <c r="A2596" t="s">
        <v>3954</v>
      </c>
      <c r="B2596" t="s">
        <v>3955</v>
      </c>
    </row>
    <row r="2597" spans="1:2" x14ac:dyDescent="0.25">
      <c r="A2597" t="s">
        <v>3956</v>
      </c>
      <c r="B2597" t="s">
        <v>3957</v>
      </c>
    </row>
    <row r="2598" spans="1:2" x14ac:dyDescent="0.25">
      <c r="A2598" t="s">
        <v>3958</v>
      </c>
      <c r="B2598" t="s">
        <v>3959</v>
      </c>
    </row>
    <row r="2599" spans="1:2" x14ac:dyDescent="0.25">
      <c r="A2599" t="s">
        <v>3960</v>
      </c>
      <c r="B2599" t="s">
        <v>3961</v>
      </c>
    </row>
    <row r="2600" spans="1:2" x14ac:dyDescent="0.25">
      <c r="A2600" t="s">
        <v>3962</v>
      </c>
      <c r="B2600" t="s">
        <v>3963</v>
      </c>
    </row>
    <row r="2601" spans="1:2" x14ac:dyDescent="0.25">
      <c r="A2601" t="s">
        <v>31</v>
      </c>
      <c r="B2601" t="s">
        <v>3964</v>
      </c>
    </row>
    <row r="2602" spans="1:2" x14ac:dyDescent="0.25">
      <c r="A2602" t="s">
        <v>3965</v>
      </c>
      <c r="B2602" t="s">
        <v>3966</v>
      </c>
    </row>
    <row r="2603" spans="1:2" x14ac:dyDescent="0.25">
      <c r="A2603" t="s">
        <v>3967</v>
      </c>
      <c r="B2603" t="s">
        <v>3968</v>
      </c>
    </row>
    <row r="2604" spans="1:2" x14ac:dyDescent="0.25">
      <c r="A2604" t="s">
        <v>3969</v>
      </c>
      <c r="B2604" t="s">
        <v>3970</v>
      </c>
    </row>
    <row r="2605" spans="1:2" x14ac:dyDescent="0.25">
      <c r="A2605" t="s">
        <v>3971</v>
      </c>
      <c r="B2605" t="s">
        <v>3972</v>
      </c>
    </row>
    <row r="2606" spans="1:2" x14ac:dyDescent="0.25">
      <c r="A2606" t="s">
        <v>3973</v>
      </c>
      <c r="B2606" t="s">
        <v>3974</v>
      </c>
    </row>
    <row r="2607" spans="1:2" x14ac:dyDescent="0.25">
      <c r="A2607" t="s">
        <v>1789</v>
      </c>
      <c r="B2607" t="s">
        <v>1790</v>
      </c>
    </row>
    <row r="2608" spans="1:2" x14ac:dyDescent="0.25">
      <c r="A2608" t="s">
        <v>3975</v>
      </c>
      <c r="B2608" t="s">
        <v>3976</v>
      </c>
    </row>
    <row r="2609" spans="1:2" x14ac:dyDescent="0.25">
      <c r="A2609" t="s">
        <v>1797</v>
      </c>
      <c r="B2609" t="s">
        <v>1798</v>
      </c>
    </row>
    <row r="2610" spans="1:2" x14ac:dyDescent="0.25">
      <c r="A2610" t="s">
        <v>3977</v>
      </c>
      <c r="B2610" t="s">
        <v>3978</v>
      </c>
    </row>
    <row r="2611" spans="1:2" x14ac:dyDescent="0.25">
      <c r="A2611" t="s">
        <v>3979</v>
      </c>
      <c r="B2611" t="s">
        <v>3980</v>
      </c>
    </row>
    <row r="2612" spans="1:2" x14ac:dyDescent="0.25">
      <c r="A2612" t="s">
        <v>3981</v>
      </c>
      <c r="B2612" t="s">
        <v>3982</v>
      </c>
    </row>
    <row r="2613" spans="1:2" x14ac:dyDescent="0.25">
      <c r="A2613" t="s">
        <v>3983</v>
      </c>
      <c r="B2613" t="s">
        <v>3984</v>
      </c>
    </row>
    <row r="2614" spans="1:2" x14ac:dyDescent="0.25">
      <c r="A2614" t="s">
        <v>3985</v>
      </c>
      <c r="B2614" t="s">
        <v>3986</v>
      </c>
    </row>
    <row r="2615" spans="1:2" x14ac:dyDescent="0.25">
      <c r="A2615" t="s">
        <v>3987</v>
      </c>
      <c r="B2615" t="s">
        <v>3988</v>
      </c>
    </row>
    <row r="2616" spans="1:2" x14ac:dyDescent="0.25">
      <c r="A2616" t="s">
        <v>1801</v>
      </c>
      <c r="B2616" t="s">
        <v>1802</v>
      </c>
    </row>
    <row r="2617" spans="1:2" x14ac:dyDescent="0.25">
      <c r="A2617" t="s">
        <v>3989</v>
      </c>
      <c r="B2617" t="s">
        <v>3990</v>
      </c>
    </row>
    <row r="2618" spans="1:2" x14ac:dyDescent="0.25">
      <c r="A2618" t="s">
        <v>1805</v>
      </c>
      <c r="B2618" t="s">
        <v>1806</v>
      </c>
    </row>
    <row r="2619" spans="1:2" x14ac:dyDescent="0.25">
      <c r="A2619" t="s">
        <v>3991</v>
      </c>
      <c r="B2619" t="s">
        <v>3992</v>
      </c>
    </row>
    <row r="2620" spans="1:2" x14ac:dyDescent="0.25">
      <c r="A2620" t="s">
        <v>3993</v>
      </c>
      <c r="B2620" t="s">
        <v>3994</v>
      </c>
    </row>
    <row r="2621" spans="1:2" x14ac:dyDescent="0.25">
      <c r="A2621" t="s">
        <v>3995</v>
      </c>
      <c r="B2621" t="s">
        <v>3996</v>
      </c>
    </row>
    <row r="2622" spans="1:2" x14ac:dyDescent="0.25">
      <c r="A2622" t="s">
        <v>3997</v>
      </c>
      <c r="B2622" t="s">
        <v>3998</v>
      </c>
    </row>
    <row r="2623" spans="1:2" x14ac:dyDescent="0.25">
      <c r="A2623" t="s">
        <v>36</v>
      </c>
      <c r="B2623" t="s">
        <v>3999</v>
      </c>
    </row>
    <row r="2624" spans="1:2" x14ac:dyDescent="0.25">
      <c r="A2624" t="s">
        <v>4000</v>
      </c>
      <c r="B2624" t="s">
        <v>4001</v>
      </c>
    </row>
    <row r="2625" spans="1:2" x14ac:dyDescent="0.25">
      <c r="A2625" t="s">
        <v>4002</v>
      </c>
      <c r="B2625" t="s">
        <v>4003</v>
      </c>
    </row>
    <row r="2626" spans="1:2" x14ac:dyDescent="0.25">
      <c r="A2626" t="s">
        <v>4004</v>
      </c>
      <c r="B2626" t="s">
        <v>4005</v>
      </c>
    </row>
    <row r="2627" spans="1:2" x14ac:dyDescent="0.25">
      <c r="A2627" t="s">
        <v>1815</v>
      </c>
      <c r="B2627" t="s">
        <v>1816</v>
      </c>
    </row>
    <row r="2628" spans="1:2" x14ac:dyDescent="0.25">
      <c r="A2628" t="s">
        <v>4006</v>
      </c>
      <c r="B2628" t="s">
        <v>4007</v>
      </c>
    </row>
    <row r="2629" spans="1:2" x14ac:dyDescent="0.25">
      <c r="A2629" t="s">
        <v>4008</v>
      </c>
      <c r="B2629" t="s">
        <v>4009</v>
      </c>
    </row>
    <row r="2630" spans="1:2" x14ac:dyDescent="0.25">
      <c r="A2630" t="s">
        <v>4010</v>
      </c>
      <c r="B2630" t="s">
        <v>4011</v>
      </c>
    </row>
    <row r="2631" spans="1:2" x14ac:dyDescent="0.25">
      <c r="A2631" t="s">
        <v>4012</v>
      </c>
      <c r="B2631" t="s">
        <v>4013</v>
      </c>
    </row>
    <row r="2632" spans="1:2" x14ac:dyDescent="0.25">
      <c r="A2632" t="s">
        <v>4014</v>
      </c>
      <c r="B2632" t="s">
        <v>4015</v>
      </c>
    </row>
    <row r="2633" spans="1:2" x14ac:dyDescent="0.25">
      <c r="A2633" t="s">
        <v>4016</v>
      </c>
      <c r="B2633" t="s">
        <v>4017</v>
      </c>
    </row>
    <row r="2634" spans="1:2" x14ac:dyDescent="0.25">
      <c r="A2634" t="s">
        <v>4018</v>
      </c>
      <c r="B2634" t="s">
        <v>4019</v>
      </c>
    </row>
    <row r="2635" spans="1:2" x14ac:dyDescent="0.25">
      <c r="A2635" t="s">
        <v>4020</v>
      </c>
      <c r="B2635" t="s">
        <v>4021</v>
      </c>
    </row>
    <row r="2636" spans="1:2" x14ac:dyDescent="0.25">
      <c r="A2636" t="s">
        <v>4022</v>
      </c>
      <c r="B2636" t="s">
        <v>4023</v>
      </c>
    </row>
    <row r="2637" spans="1:2" x14ac:dyDescent="0.25">
      <c r="A2637" t="s">
        <v>4024</v>
      </c>
      <c r="B2637" t="s">
        <v>4025</v>
      </c>
    </row>
    <row r="2638" spans="1:2" x14ac:dyDescent="0.25">
      <c r="A2638" t="s">
        <v>4026</v>
      </c>
      <c r="B2638" t="s">
        <v>4027</v>
      </c>
    </row>
    <row r="2639" spans="1:2" x14ac:dyDescent="0.25">
      <c r="A2639" t="s">
        <v>4028</v>
      </c>
      <c r="B2639" t="s">
        <v>4029</v>
      </c>
    </row>
    <row r="2640" spans="1:2" x14ac:dyDescent="0.25">
      <c r="A2640" t="s">
        <v>4030</v>
      </c>
      <c r="B2640" t="s">
        <v>4031</v>
      </c>
    </row>
    <row r="2641" spans="1:2" x14ac:dyDescent="0.25">
      <c r="A2641" t="s">
        <v>4032</v>
      </c>
      <c r="B2641" t="s">
        <v>4033</v>
      </c>
    </row>
    <row r="2642" spans="1:2" x14ac:dyDescent="0.25">
      <c r="A2642" t="s">
        <v>4034</v>
      </c>
      <c r="B2642" t="s">
        <v>4035</v>
      </c>
    </row>
    <row r="2643" spans="1:2" x14ac:dyDescent="0.25">
      <c r="A2643" t="s">
        <v>4036</v>
      </c>
      <c r="B2643" t="s">
        <v>4037</v>
      </c>
    </row>
    <row r="2644" spans="1:2" x14ac:dyDescent="0.25">
      <c r="A2644" t="s">
        <v>4038</v>
      </c>
      <c r="B2644" t="s">
        <v>4039</v>
      </c>
    </row>
    <row r="2645" spans="1:2" x14ac:dyDescent="0.25">
      <c r="A2645" t="s">
        <v>4040</v>
      </c>
      <c r="B2645" t="s">
        <v>4041</v>
      </c>
    </row>
    <row r="2646" spans="1:2" x14ac:dyDescent="0.25">
      <c r="A2646" t="s">
        <v>4042</v>
      </c>
      <c r="B2646" t="s">
        <v>4043</v>
      </c>
    </row>
    <row r="2647" spans="1:2" x14ac:dyDescent="0.25">
      <c r="A2647" t="s">
        <v>4044</v>
      </c>
      <c r="B2647" t="s">
        <v>4045</v>
      </c>
    </row>
    <row r="2648" spans="1:2" x14ac:dyDescent="0.25">
      <c r="A2648" t="s">
        <v>4046</v>
      </c>
      <c r="B2648" t="s">
        <v>4047</v>
      </c>
    </row>
    <row r="2649" spans="1:2" x14ac:dyDescent="0.25">
      <c r="A2649" t="s">
        <v>1831</v>
      </c>
      <c r="B2649" t="s">
        <v>1832</v>
      </c>
    </row>
    <row r="2650" spans="1:2" x14ac:dyDescent="0.25">
      <c r="A2650" t="s">
        <v>1833</v>
      </c>
      <c r="B2650" t="s">
        <v>1834</v>
      </c>
    </row>
    <row r="2651" spans="1:2" x14ac:dyDescent="0.25">
      <c r="A2651" t="s">
        <v>4048</v>
      </c>
      <c r="B2651" t="s">
        <v>4049</v>
      </c>
    </row>
    <row r="2652" spans="1:2" x14ac:dyDescent="0.25">
      <c r="A2652" t="s">
        <v>4050</v>
      </c>
      <c r="B2652" t="s">
        <v>4051</v>
      </c>
    </row>
    <row r="2653" spans="1:2" x14ac:dyDescent="0.25">
      <c r="A2653" t="s">
        <v>4052</v>
      </c>
      <c r="B2653" t="s">
        <v>4053</v>
      </c>
    </row>
    <row r="2654" spans="1:2" x14ac:dyDescent="0.25">
      <c r="A2654" t="s">
        <v>4054</v>
      </c>
      <c r="B2654" t="s">
        <v>4055</v>
      </c>
    </row>
    <row r="2655" spans="1:2" x14ac:dyDescent="0.25">
      <c r="A2655" t="s">
        <v>4056</v>
      </c>
      <c r="B2655" t="s">
        <v>4057</v>
      </c>
    </row>
    <row r="2656" spans="1:2" x14ac:dyDescent="0.25">
      <c r="A2656" t="s">
        <v>4058</v>
      </c>
      <c r="B2656" t="s">
        <v>4059</v>
      </c>
    </row>
    <row r="2657" spans="1:2" x14ac:dyDescent="0.25">
      <c r="A2657" t="s">
        <v>4060</v>
      </c>
      <c r="B2657" t="s">
        <v>4061</v>
      </c>
    </row>
    <row r="2658" spans="1:2" x14ac:dyDescent="0.25">
      <c r="A2658" t="s">
        <v>1845</v>
      </c>
      <c r="B2658" t="s">
        <v>1846</v>
      </c>
    </row>
    <row r="2659" spans="1:2" x14ac:dyDescent="0.25">
      <c r="A2659" t="s">
        <v>4062</v>
      </c>
      <c r="B2659" t="s">
        <v>4063</v>
      </c>
    </row>
    <row r="2660" spans="1:2" x14ac:dyDescent="0.25">
      <c r="A2660" t="s">
        <v>4064</v>
      </c>
      <c r="B2660" t="s">
        <v>4065</v>
      </c>
    </row>
    <row r="2661" spans="1:2" x14ac:dyDescent="0.25">
      <c r="A2661" t="s">
        <v>4066</v>
      </c>
      <c r="B2661" t="s">
        <v>4067</v>
      </c>
    </row>
    <row r="2662" spans="1:2" x14ac:dyDescent="0.25">
      <c r="A2662" t="s">
        <v>4068</v>
      </c>
      <c r="B2662" t="s">
        <v>4069</v>
      </c>
    </row>
    <row r="2663" spans="1:2" x14ac:dyDescent="0.25">
      <c r="A2663" t="s">
        <v>4070</v>
      </c>
      <c r="B2663" t="s">
        <v>4071</v>
      </c>
    </row>
    <row r="2664" spans="1:2" x14ac:dyDescent="0.25">
      <c r="A2664" t="s">
        <v>4072</v>
      </c>
      <c r="B2664" t="s">
        <v>4073</v>
      </c>
    </row>
    <row r="2665" spans="1:2" x14ac:dyDescent="0.25">
      <c r="A2665" t="s">
        <v>4074</v>
      </c>
      <c r="B2665" t="s">
        <v>4075</v>
      </c>
    </row>
    <row r="2666" spans="1:2" x14ac:dyDescent="0.25">
      <c r="A2666" t="s">
        <v>4076</v>
      </c>
      <c r="B2666" t="s">
        <v>4077</v>
      </c>
    </row>
    <row r="2667" spans="1:2" x14ac:dyDescent="0.25">
      <c r="A2667" t="s">
        <v>4078</v>
      </c>
      <c r="B2667" t="s">
        <v>4079</v>
      </c>
    </row>
    <row r="2668" spans="1:2" x14ac:dyDescent="0.25">
      <c r="A2668" t="s">
        <v>4080</v>
      </c>
      <c r="B2668" t="s">
        <v>4081</v>
      </c>
    </row>
    <row r="2669" spans="1:2" x14ac:dyDescent="0.25">
      <c r="A2669" t="s">
        <v>4082</v>
      </c>
      <c r="B2669" t="s">
        <v>4083</v>
      </c>
    </row>
    <row r="2670" spans="1:2" x14ac:dyDescent="0.25">
      <c r="A2670" t="s">
        <v>4084</v>
      </c>
      <c r="B2670" t="s">
        <v>4085</v>
      </c>
    </row>
    <row r="2671" spans="1:2" x14ac:dyDescent="0.25">
      <c r="A2671" t="s">
        <v>4086</v>
      </c>
      <c r="B2671" t="s">
        <v>4087</v>
      </c>
    </row>
    <row r="2672" spans="1:2" x14ac:dyDescent="0.25">
      <c r="A2672" t="s">
        <v>4088</v>
      </c>
      <c r="B2672" t="s">
        <v>4089</v>
      </c>
    </row>
    <row r="2673" spans="1:2" x14ac:dyDescent="0.25">
      <c r="A2673" t="s">
        <v>4090</v>
      </c>
      <c r="B2673" t="s">
        <v>4091</v>
      </c>
    </row>
    <row r="2674" spans="1:2" x14ac:dyDescent="0.25">
      <c r="A2674" t="s">
        <v>4092</v>
      </c>
      <c r="B2674" t="s">
        <v>4093</v>
      </c>
    </row>
    <row r="2675" spans="1:2" x14ac:dyDescent="0.25">
      <c r="A2675" t="s">
        <v>4094</v>
      </c>
      <c r="B2675" t="s">
        <v>4095</v>
      </c>
    </row>
    <row r="2676" spans="1:2" x14ac:dyDescent="0.25">
      <c r="A2676" t="s">
        <v>1870</v>
      </c>
      <c r="B2676" t="s">
        <v>1871</v>
      </c>
    </row>
    <row r="2677" spans="1:2" x14ac:dyDescent="0.25">
      <c r="A2677" t="s">
        <v>4096</v>
      </c>
      <c r="B2677" t="s">
        <v>4097</v>
      </c>
    </row>
    <row r="2678" spans="1:2" x14ac:dyDescent="0.25">
      <c r="A2678" t="s">
        <v>4098</v>
      </c>
      <c r="B2678" t="s">
        <v>4099</v>
      </c>
    </row>
    <row r="2679" spans="1:2" x14ac:dyDescent="0.25">
      <c r="A2679" t="s">
        <v>4100</v>
      </c>
      <c r="B2679" t="s">
        <v>4101</v>
      </c>
    </row>
    <row r="2680" spans="1:2" x14ac:dyDescent="0.25">
      <c r="A2680" t="s">
        <v>4102</v>
      </c>
      <c r="B2680" t="s">
        <v>4103</v>
      </c>
    </row>
    <row r="2681" spans="1:2" x14ac:dyDescent="0.25">
      <c r="A2681" t="s">
        <v>4104</v>
      </c>
      <c r="B2681" t="s">
        <v>4105</v>
      </c>
    </row>
    <row r="2682" spans="1:2" x14ac:dyDescent="0.25">
      <c r="A2682" t="s">
        <v>4106</v>
      </c>
      <c r="B2682" t="s">
        <v>4107</v>
      </c>
    </row>
    <row r="2683" spans="1:2" x14ac:dyDescent="0.25">
      <c r="A2683" t="s">
        <v>4108</v>
      </c>
      <c r="B2683" t="s">
        <v>4109</v>
      </c>
    </row>
    <row r="2684" spans="1:2" x14ac:dyDescent="0.25">
      <c r="A2684" t="s">
        <v>4110</v>
      </c>
      <c r="B2684" t="s">
        <v>4111</v>
      </c>
    </row>
    <row r="2685" spans="1:2" x14ac:dyDescent="0.25">
      <c r="A2685" t="s">
        <v>4112</v>
      </c>
      <c r="B2685" t="s">
        <v>4113</v>
      </c>
    </row>
    <row r="2686" spans="1:2" x14ac:dyDescent="0.25">
      <c r="A2686" t="s">
        <v>4114</v>
      </c>
      <c r="B2686" t="s">
        <v>4115</v>
      </c>
    </row>
    <row r="2687" spans="1:2" x14ac:dyDescent="0.25">
      <c r="A2687" t="s">
        <v>4116</v>
      </c>
      <c r="B2687" t="s">
        <v>4117</v>
      </c>
    </row>
    <row r="2688" spans="1:2" x14ac:dyDescent="0.25">
      <c r="A2688" t="s">
        <v>4118</v>
      </c>
      <c r="B2688" t="s">
        <v>4119</v>
      </c>
    </row>
    <row r="2689" spans="1:2" x14ac:dyDescent="0.25">
      <c r="A2689" t="s">
        <v>4120</v>
      </c>
      <c r="B2689" t="s">
        <v>4121</v>
      </c>
    </row>
    <row r="2690" spans="1:2" x14ac:dyDescent="0.25">
      <c r="A2690" t="s">
        <v>750</v>
      </c>
      <c r="B2690" t="s">
        <v>4122</v>
      </c>
    </row>
    <row r="2691" spans="1:2" x14ac:dyDescent="0.25">
      <c r="A2691" t="s">
        <v>4123</v>
      </c>
      <c r="B2691" t="s">
        <v>4124</v>
      </c>
    </row>
    <row r="2692" spans="1:2" x14ac:dyDescent="0.25">
      <c r="A2692" t="s">
        <v>4125</v>
      </c>
      <c r="B2692" t="s">
        <v>4126</v>
      </c>
    </row>
    <row r="2693" spans="1:2" x14ac:dyDescent="0.25">
      <c r="A2693" t="s">
        <v>1565</v>
      </c>
      <c r="B2693" t="s">
        <v>4127</v>
      </c>
    </row>
    <row r="2694" spans="1:2" x14ac:dyDescent="0.25">
      <c r="A2694" t="s">
        <v>4128</v>
      </c>
      <c r="B2694" t="s">
        <v>4129</v>
      </c>
    </row>
    <row r="2695" spans="1:2" x14ac:dyDescent="0.25">
      <c r="A2695" t="s">
        <v>4130</v>
      </c>
      <c r="B2695" t="s">
        <v>4131</v>
      </c>
    </row>
    <row r="2696" spans="1:2" x14ac:dyDescent="0.25">
      <c r="A2696" t="s">
        <v>4132</v>
      </c>
      <c r="B2696" t="s">
        <v>4133</v>
      </c>
    </row>
    <row r="2697" spans="1:2" x14ac:dyDescent="0.25">
      <c r="A2697" t="s">
        <v>1880</v>
      </c>
      <c r="B2697" t="s">
        <v>1881</v>
      </c>
    </row>
    <row r="2698" spans="1:2" x14ac:dyDescent="0.25">
      <c r="A2698" t="s">
        <v>4134</v>
      </c>
      <c r="B2698" t="s">
        <v>4135</v>
      </c>
    </row>
    <row r="2699" spans="1:2" x14ac:dyDescent="0.25">
      <c r="A2699" t="s">
        <v>4136</v>
      </c>
      <c r="B2699" t="s">
        <v>4137</v>
      </c>
    </row>
    <row r="2700" spans="1:2" x14ac:dyDescent="0.25">
      <c r="A2700" t="s">
        <v>4138</v>
      </c>
      <c r="B2700" t="s">
        <v>4139</v>
      </c>
    </row>
    <row r="2701" spans="1:2" x14ac:dyDescent="0.25">
      <c r="A2701" t="s">
        <v>4140</v>
      </c>
      <c r="B2701" t="s">
        <v>4141</v>
      </c>
    </row>
    <row r="2702" spans="1:2" x14ac:dyDescent="0.25">
      <c r="A2702" t="s">
        <v>4142</v>
      </c>
      <c r="B2702" t="s">
        <v>4143</v>
      </c>
    </row>
    <row r="2703" spans="1:2" x14ac:dyDescent="0.25">
      <c r="A2703" t="s">
        <v>4144</v>
      </c>
      <c r="B2703" t="s">
        <v>4145</v>
      </c>
    </row>
    <row r="2704" spans="1:2" x14ac:dyDescent="0.25">
      <c r="A2704" t="s">
        <v>4146</v>
      </c>
      <c r="B2704" t="s">
        <v>4147</v>
      </c>
    </row>
    <row r="2705" spans="1:2" x14ac:dyDescent="0.25">
      <c r="A2705" t="s">
        <v>4148</v>
      </c>
      <c r="B2705" t="s">
        <v>4149</v>
      </c>
    </row>
    <row r="2706" spans="1:2" x14ac:dyDescent="0.25">
      <c r="A2706" t="s">
        <v>4150</v>
      </c>
      <c r="B2706" t="s">
        <v>4151</v>
      </c>
    </row>
    <row r="2707" spans="1:2" x14ac:dyDescent="0.25">
      <c r="A2707" t="s">
        <v>4152</v>
      </c>
      <c r="B2707" t="s">
        <v>4153</v>
      </c>
    </row>
    <row r="2708" spans="1:2" x14ac:dyDescent="0.25">
      <c r="A2708" t="s">
        <v>4154</v>
      </c>
      <c r="B2708" t="s">
        <v>4155</v>
      </c>
    </row>
    <row r="2709" spans="1:2" x14ac:dyDescent="0.25">
      <c r="A2709" t="s">
        <v>4156</v>
      </c>
      <c r="B2709" t="s">
        <v>4157</v>
      </c>
    </row>
    <row r="2710" spans="1:2" x14ac:dyDescent="0.25">
      <c r="A2710" t="s">
        <v>4158</v>
      </c>
      <c r="B2710" t="s">
        <v>4159</v>
      </c>
    </row>
    <row r="2711" spans="1:2" x14ac:dyDescent="0.25">
      <c r="A2711" t="s">
        <v>4160</v>
      </c>
      <c r="B2711" t="s">
        <v>4161</v>
      </c>
    </row>
    <row r="2712" spans="1:2" x14ac:dyDescent="0.25">
      <c r="A2712" t="s">
        <v>4162</v>
      </c>
      <c r="B2712" t="s">
        <v>4163</v>
      </c>
    </row>
    <row r="2713" spans="1:2" x14ac:dyDescent="0.25">
      <c r="A2713" t="s">
        <v>4164</v>
      </c>
      <c r="B2713" t="s">
        <v>4165</v>
      </c>
    </row>
    <row r="2714" spans="1:2" x14ac:dyDescent="0.25">
      <c r="A2714" t="s">
        <v>3767</v>
      </c>
      <c r="B2714" t="s">
        <v>4166</v>
      </c>
    </row>
    <row r="2715" spans="1:2" x14ac:dyDescent="0.25">
      <c r="A2715" t="s">
        <v>4167</v>
      </c>
      <c r="B2715" t="s">
        <v>4168</v>
      </c>
    </row>
    <row r="2716" spans="1:2" x14ac:dyDescent="0.25">
      <c r="A2716" t="s">
        <v>4169</v>
      </c>
      <c r="B2716" t="s">
        <v>4170</v>
      </c>
    </row>
    <row r="2717" spans="1:2" x14ac:dyDescent="0.25">
      <c r="A2717" t="s">
        <v>4171</v>
      </c>
      <c r="B2717" t="s">
        <v>4172</v>
      </c>
    </row>
    <row r="2718" spans="1:2" x14ac:dyDescent="0.25">
      <c r="A2718" t="s">
        <v>4173</v>
      </c>
      <c r="B2718" t="s">
        <v>4174</v>
      </c>
    </row>
    <row r="2719" spans="1:2" x14ac:dyDescent="0.25">
      <c r="A2719" t="s">
        <v>4175</v>
      </c>
      <c r="B2719" t="s">
        <v>4176</v>
      </c>
    </row>
    <row r="2720" spans="1:2" x14ac:dyDescent="0.25">
      <c r="A2720" t="s">
        <v>4177</v>
      </c>
      <c r="B2720" t="s">
        <v>4178</v>
      </c>
    </row>
    <row r="2721" spans="1:2" x14ac:dyDescent="0.25">
      <c r="A2721" t="s">
        <v>4179</v>
      </c>
      <c r="B2721" t="s">
        <v>4180</v>
      </c>
    </row>
    <row r="2722" spans="1:2" x14ac:dyDescent="0.25">
      <c r="A2722" t="s">
        <v>4181</v>
      </c>
      <c r="B2722" t="s">
        <v>4182</v>
      </c>
    </row>
    <row r="2723" spans="1:2" x14ac:dyDescent="0.25">
      <c r="A2723" t="s">
        <v>4183</v>
      </c>
      <c r="B2723" t="s">
        <v>4184</v>
      </c>
    </row>
    <row r="2724" spans="1:2" x14ac:dyDescent="0.25">
      <c r="A2724" t="s">
        <v>4185</v>
      </c>
      <c r="B2724" t="s">
        <v>4186</v>
      </c>
    </row>
    <row r="2725" spans="1:2" x14ac:dyDescent="0.25">
      <c r="A2725" t="s">
        <v>34</v>
      </c>
      <c r="B2725" t="s">
        <v>4187</v>
      </c>
    </row>
    <row r="2726" spans="1:2" x14ac:dyDescent="0.25">
      <c r="A2726" t="s">
        <v>1899</v>
      </c>
      <c r="B2726" t="s">
        <v>1900</v>
      </c>
    </row>
    <row r="2727" spans="1:2" x14ac:dyDescent="0.25">
      <c r="A2727" t="s">
        <v>4188</v>
      </c>
      <c r="B2727" t="s">
        <v>4189</v>
      </c>
    </row>
    <row r="2728" spans="1:2" x14ac:dyDescent="0.25">
      <c r="A2728" t="s">
        <v>4190</v>
      </c>
      <c r="B2728" t="s">
        <v>4191</v>
      </c>
    </row>
    <row r="2729" spans="1:2" x14ac:dyDescent="0.25">
      <c r="A2729" t="s">
        <v>4192</v>
      </c>
      <c r="B2729" t="s">
        <v>4193</v>
      </c>
    </row>
    <row r="2730" spans="1:2" x14ac:dyDescent="0.25">
      <c r="A2730" t="s">
        <v>4194</v>
      </c>
      <c r="B2730" t="s">
        <v>4195</v>
      </c>
    </row>
    <row r="2731" spans="1:2" x14ac:dyDescent="0.25">
      <c r="A2731" t="s">
        <v>4196</v>
      </c>
      <c r="B2731" t="s">
        <v>4197</v>
      </c>
    </row>
    <row r="2732" spans="1:2" x14ac:dyDescent="0.25">
      <c r="A2732" t="s">
        <v>4198</v>
      </c>
      <c r="B2732" t="s">
        <v>4199</v>
      </c>
    </row>
    <row r="2733" spans="1:2" x14ac:dyDescent="0.25">
      <c r="A2733" t="s">
        <v>4200</v>
      </c>
      <c r="B2733" t="s">
        <v>4201</v>
      </c>
    </row>
    <row r="2734" spans="1:2" x14ac:dyDescent="0.25">
      <c r="A2734" t="s">
        <v>4202</v>
      </c>
      <c r="B2734" t="s">
        <v>4203</v>
      </c>
    </row>
    <row r="2735" spans="1:2" x14ac:dyDescent="0.25">
      <c r="A2735" t="s">
        <v>4204</v>
      </c>
      <c r="B2735" t="s">
        <v>4205</v>
      </c>
    </row>
    <row r="2736" spans="1:2" x14ac:dyDescent="0.25">
      <c r="A2736" t="s">
        <v>4206</v>
      </c>
      <c r="B2736" t="s">
        <v>4207</v>
      </c>
    </row>
    <row r="2737" spans="1:2" x14ac:dyDescent="0.25">
      <c r="A2737" t="s">
        <v>4208</v>
      </c>
      <c r="B2737" t="s">
        <v>4209</v>
      </c>
    </row>
    <row r="2738" spans="1:2" x14ac:dyDescent="0.25">
      <c r="A2738" t="s">
        <v>4210</v>
      </c>
      <c r="B2738" t="s">
        <v>4211</v>
      </c>
    </row>
    <row r="2739" spans="1:2" x14ac:dyDescent="0.25">
      <c r="A2739" t="s">
        <v>4212</v>
      </c>
      <c r="B2739" t="s">
        <v>4213</v>
      </c>
    </row>
    <row r="2740" spans="1:2" x14ac:dyDescent="0.25">
      <c r="A2740" t="s">
        <v>4214</v>
      </c>
      <c r="B2740" t="s">
        <v>4215</v>
      </c>
    </row>
    <row r="2741" spans="1:2" x14ac:dyDescent="0.25">
      <c r="A2741" t="s">
        <v>4216</v>
      </c>
      <c r="B2741" t="s">
        <v>4217</v>
      </c>
    </row>
    <row r="2742" spans="1:2" x14ac:dyDescent="0.25">
      <c r="A2742" t="s">
        <v>4218</v>
      </c>
      <c r="B2742" t="s">
        <v>4219</v>
      </c>
    </row>
    <row r="2743" spans="1:2" x14ac:dyDescent="0.25">
      <c r="A2743" t="s">
        <v>4220</v>
      </c>
      <c r="B2743" t="s">
        <v>4221</v>
      </c>
    </row>
    <row r="2744" spans="1:2" x14ac:dyDescent="0.25">
      <c r="A2744" t="s">
        <v>1903</v>
      </c>
      <c r="B2744" t="s">
        <v>1904</v>
      </c>
    </row>
    <row r="2745" spans="1:2" x14ac:dyDescent="0.25">
      <c r="A2745" t="s">
        <v>4222</v>
      </c>
      <c r="B2745" t="s">
        <v>4223</v>
      </c>
    </row>
    <row r="2746" spans="1:2" x14ac:dyDescent="0.25">
      <c r="A2746" t="s">
        <v>1970</v>
      </c>
      <c r="B2746" t="s">
        <v>4224</v>
      </c>
    </row>
    <row r="2747" spans="1:2" x14ac:dyDescent="0.25">
      <c r="A2747" t="s">
        <v>4225</v>
      </c>
      <c r="B2747" t="s">
        <v>4226</v>
      </c>
    </row>
    <row r="2748" spans="1:2" x14ac:dyDescent="0.25">
      <c r="A2748" t="s">
        <v>4227</v>
      </c>
      <c r="B2748" t="s">
        <v>4228</v>
      </c>
    </row>
    <row r="2749" spans="1:2" x14ac:dyDescent="0.25">
      <c r="A2749" t="s">
        <v>4229</v>
      </c>
      <c r="B2749" t="s">
        <v>4230</v>
      </c>
    </row>
    <row r="2750" spans="1:2" x14ac:dyDescent="0.25">
      <c r="A2750" t="s">
        <v>1905</v>
      </c>
      <c r="B2750" t="s">
        <v>1906</v>
      </c>
    </row>
    <row r="2751" spans="1:2" x14ac:dyDescent="0.25">
      <c r="A2751" t="s">
        <v>1909</v>
      </c>
      <c r="B2751" t="s">
        <v>1910</v>
      </c>
    </row>
    <row r="2752" spans="1:2" x14ac:dyDescent="0.25">
      <c r="A2752" t="s">
        <v>4231</v>
      </c>
      <c r="B2752" t="s">
        <v>4232</v>
      </c>
    </row>
    <row r="2753" spans="1:2" x14ac:dyDescent="0.25">
      <c r="A2753" t="s">
        <v>4233</v>
      </c>
      <c r="B2753" t="s">
        <v>4234</v>
      </c>
    </row>
    <row r="2754" spans="1:2" x14ac:dyDescent="0.25">
      <c r="A2754" t="s">
        <v>4235</v>
      </c>
      <c r="B2754" t="s">
        <v>4236</v>
      </c>
    </row>
    <row r="2755" spans="1:2" x14ac:dyDescent="0.25">
      <c r="A2755" t="s">
        <v>4237</v>
      </c>
      <c r="B2755" t="s">
        <v>4238</v>
      </c>
    </row>
    <row r="2756" spans="1:2" x14ac:dyDescent="0.25">
      <c r="A2756" t="s">
        <v>599</v>
      </c>
      <c r="B2756" t="s">
        <v>4239</v>
      </c>
    </row>
    <row r="2757" spans="1:2" x14ac:dyDescent="0.25">
      <c r="A2757" t="s">
        <v>4240</v>
      </c>
      <c r="B2757" t="s">
        <v>4241</v>
      </c>
    </row>
    <row r="2758" spans="1:2" x14ac:dyDescent="0.25">
      <c r="A2758" t="s">
        <v>4242</v>
      </c>
      <c r="B2758" t="s">
        <v>4243</v>
      </c>
    </row>
    <row r="2759" spans="1:2" x14ac:dyDescent="0.25">
      <c r="A2759" t="s">
        <v>4244</v>
      </c>
      <c r="B2759" t="s">
        <v>4245</v>
      </c>
    </row>
    <row r="2760" spans="1:2" x14ac:dyDescent="0.25">
      <c r="A2760" t="s">
        <v>732</v>
      </c>
      <c r="B2760" t="s">
        <v>4246</v>
      </c>
    </row>
    <row r="2761" spans="1:2" x14ac:dyDescent="0.25">
      <c r="A2761" t="s">
        <v>1913</v>
      </c>
      <c r="B2761" t="s">
        <v>1914</v>
      </c>
    </row>
    <row r="2762" spans="1:2" x14ac:dyDescent="0.25">
      <c r="A2762" t="s">
        <v>300</v>
      </c>
      <c r="B2762" t="s">
        <v>4247</v>
      </c>
    </row>
    <row r="2763" spans="1:2" x14ac:dyDescent="0.25">
      <c r="A2763" t="s">
        <v>4248</v>
      </c>
      <c r="B2763" t="s">
        <v>4249</v>
      </c>
    </row>
    <row r="2764" spans="1:2" x14ac:dyDescent="0.25">
      <c r="A2764" t="s">
        <v>4250</v>
      </c>
      <c r="B2764" t="s">
        <v>4251</v>
      </c>
    </row>
    <row r="2765" spans="1:2" x14ac:dyDescent="0.25">
      <c r="A2765" t="s">
        <v>4252</v>
      </c>
      <c r="B2765" t="s">
        <v>4253</v>
      </c>
    </row>
    <row r="2766" spans="1:2" x14ac:dyDescent="0.25">
      <c r="A2766" t="s">
        <v>1917</v>
      </c>
      <c r="B2766" t="s">
        <v>1918</v>
      </c>
    </row>
    <row r="2767" spans="1:2" x14ac:dyDescent="0.25">
      <c r="A2767" t="s">
        <v>4254</v>
      </c>
      <c r="B2767" t="s">
        <v>4255</v>
      </c>
    </row>
    <row r="2768" spans="1:2" x14ac:dyDescent="0.25">
      <c r="A2768" t="s">
        <v>4256</v>
      </c>
      <c r="B2768" t="s">
        <v>4257</v>
      </c>
    </row>
    <row r="2769" spans="1:2" x14ac:dyDescent="0.25">
      <c r="A2769" t="s">
        <v>4258</v>
      </c>
      <c r="B2769" t="s">
        <v>4259</v>
      </c>
    </row>
    <row r="2770" spans="1:2" x14ac:dyDescent="0.25">
      <c r="A2770" t="s">
        <v>4260</v>
      </c>
      <c r="B2770" t="s">
        <v>4261</v>
      </c>
    </row>
    <row r="2771" spans="1:2" x14ac:dyDescent="0.25">
      <c r="A2771" t="s">
        <v>4262</v>
      </c>
      <c r="B2771" t="s">
        <v>4263</v>
      </c>
    </row>
    <row r="2772" spans="1:2" x14ac:dyDescent="0.25">
      <c r="A2772" t="s">
        <v>4264</v>
      </c>
      <c r="B2772" t="s">
        <v>4265</v>
      </c>
    </row>
    <row r="2773" spans="1:2" x14ac:dyDescent="0.25">
      <c r="A2773" t="s">
        <v>4266</v>
      </c>
      <c r="B2773" t="s">
        <v>4267</v>
      </c>
    </row>
    <row r="2774" spans="1:2" x14ac:dyDescent="0.25">
      <c r="A2774" t="s">
        <v>4268</v>
      </c>
      <c r="B2774" t="s">
        <v>4269</v>
      </c>
    </row>
    <row r="2775" spans="1:2" x14ac:dyDescent="0.25">
      <c r="A2775" t="s">
        <v>4270</v>
      </c>
      <c r="B2775" t="s">
        <v>4271</v>
      </c>
    </row>
    <row r="2776" spans="1:2" x14ac:dyDescent="0.25">
      <c r="A2776" t="s">
        <v>4272</v>
      </c>
      <c r="B2776" t="s">
        <v>4273</v>
      </c>
    </row>
    <row r="2777" spans="1:2" x14ac:dyDescent="0.25">
      <c r="A2777" t="s">
        <v>4274</v>
      </c>
      <c r="B2777" t="s">
        <v>4275</v>
      </c>
    </row>
    <row r="2778" spans="1:2" x14ac:dyDescent="0.25">
      <c r="A2778" t="s">
        <v>4276</v>
      </c>
      <c r="B2778" t="s">
        <v>4277</v>
      </c>
    </row>
    <row r="2779" spans="1:2" x14ac:dyDescent="0.25">
      <c r="A2779" t="s">
        <v>4278</v>
      </c>
      <c r="B2779" t="s">
        <v>4279</v>
      </c>
    </row>
    <row r="2780" spans="1:2" x14ac:dyDescent="0.25">
      <c r="A2780" t="s">
        <v>4280</v>
      </c>
      <c r="B2780" t="s">
        <v>4281</v>
      </c>
    </row>
    <row r="2781" spans="1:2" x14ac:dyDescent="0.25">
      <c r="A2781" t="s">
        <v>4282</v>
      </c>
      <c r="B2781" t="s">
        <v>4283</v>
      </c>
    </row>
    <row r="2782" spans="1:2" x14ac:dyDescent="0.25">
      <c r="A2782" t="s">
        <v>4284</v>
      </c>
      <c r="B2782" t="s">
        <v>4285</v>
      </c>
    </row>
    <row r="2783" spans="1:2" x14ac:dyDescent="0.25">
      <c r="A2783" t="s">
        <v>4286</v>
      </c>
      <c r="B2783" t="s">
        <v>4287</v>
      </c>
    </row>
    <row r="2784" spans="1:2" x14ac:dyDescent="0.25">
      <c r="A2784" t="s">
        <v>4288</v>
      </c>
      <c r="B2784" t="s">
        <v>4289</v>
      </c>
    </row>
    <row r="2785" spans="1:2" x14ac:dyDescent="0.25">
      <c r="A2785" t="s">
        <v>4290</v>
      </c>
      <c r="B2785" t="s">
        <v>4291</v>
      </c>
    </row>
    <row r="2786" spans="1:2" x14ac:dyDescent="0.25">
      <c r="A2786" t="s">
        <v>4292</v>
      </c>
      <c r="B2786" t="s">
        <v>4293</v>
      </c>
    </row>
    <row r="2787" spans="1:2" x14ac:dyDescent="0.25">
      <c r="A2787" t="s">
        <v>4294</v>
      </c>
      <c r="B2787" t="s">
        <v>4295</v>
      </c>
    </row>
    <row r="2788" spans="1:2" x14ac:dyDescent="0.25">
      <c r="A2788" t="s">
        <v>4296</v>
      </c>
      <c r="B2788" t="s">
        <v>4297</v>
      </c>
    </row>
    <row r="2789" spans="1:2" x14ac:dyDescent="0.25">
      <c r="A2789" t="s">
        <v>4298</v>
      </c>
      <c r="B2789" t="s">
        <v>4299</v>
      </c>
    </row>
    <row r="2790" spans="1:2" x14ac:dyDescent="0.25">
      <c r="A2790" t="s">
        <v>4300</v>
      </c>
      <c r="B2790" t="s">
        <v>4301</v>
      </c>
    </row>
    <row r="2791" spans="1:2" x14ac:dyDescent="0.25">
      <c r="A2791" t="s">
        <v>4302</v>
      </c>
      <c r="B2791" t="s">
        <v>4303</v>
      </c>
    </row>
    <row r="2792" spans="1:2" x14ac:dyDescent="0.25">
      <c r="A2792" t="s">
        <v>1946</v>
      </c>
      <c r="B2792" t="s">
        <v>1947</v>
      </c>
    </row>
    <row r="2793" spans="1:2" x14ac:dyDescent="0.25">
      <c r="A2793" t="s">
        <v>4304</v>
      </c>
      <c r="B2793" t="s">
        <v>4305</v>
      </c>
    </row>
    <row r="2794" spans="1:2" x14ac:dyDescent="0.25">
      <c r="A2794" t="s">
        <v>4306</v>
      </c>
      <c r="B2794" t="s">
        <v>4307</v>
      </c>
    </row>
    <row r="2795" spans="1:2" x14ac:dyDescent="0.25">
      <c r="A2795" t="s">
        <v>4308</v>
      </c>
      <c r="B2795" t="s">
        <v>4309</v>
      </c>
    </row>
    <row r="2796" spans="1:2" x14ac:dyDescent="0.25">
      <c r="A2796" t="s">
        <v>4310</v>
      </c>
      <c r="B2796" t="s">
        <v>4311</v>
      </c>
    </row>
    <row r="2797" spans="1:2" x14ac:dyDescent="0.25">
      <c r="A2797" t="s">
        <v>1954</v>
      </c>
      <c r="B2797" t="s">
        <v>1955</v>
      </c>
    </row>
    <row r="2798" spans="1:2" x14ac:dyDescent="0.25">
      <c r="A2798" t="s">
        <v>4312</v>
      </c>
      <c r="B2798" t="s">
        <v>4313</v>
      </c>
    </row>
    <row r="2799" spans="1:2" x14ac:dyDescent="0.25">
      <c r="A2799" t="s">
        <v>4314</v>
      </c>
      <c r="B2799" t="s">
        <v>4315</v>
      </c>
    </row>
    <row r="2800" spans="1:2" x14ac:dyDescent="0.25">
      <c r="A2800" t="s">
        <v>4316</v>
      </c>
      <c r="B2800" t="s">
        <v>4317</v>
      </c>
    </row>
    <row r="2801" spans="1:2" x14ac:dyDescent="0.25">
      <c r="A2801" t="s">
        <v>1956</v>
      </c>
      <c r="B2801" t="s">
        <v>1957</v>
      </c>
    </row>
    <row r="2802" spans="1:2" x14ac:dyDescent="0.25">
      <c r="A2802" t="s">
        <v>4318</v>
      </c>
      <c r="B2802" t="s">
        <v>4319</v>
      </c>
    </row>
    <row r="2803" spans="1:2" x14ac:dyDescent="0.25">
      <c r="A2803" t="s">
        <v>4320</v>
      </c>
      <c r="B2803" t="s">
        <v>4321</v>
      </c>
    </row>
    <row r="2804" spans="1:2" x14ac:dyDescent="0.25">
      <c r="A2804" t="s">
        <v>4322</v>
      </c>
      <c r="B2804" t="s">
        <v>4323</v>
      </c>
    </row>
    <row r="2805" spans="1:2" x14ac:dyDescent="0.25">
      <c r="A2805" t="s">
        <v>4324</v>
      </c>
      <c r="B2805" t="s">
        <v>4325</v>
      </c>
    </row>
    <row r="2806" spans="1:2" x14ac:dyDescent="0.25">
      <c r="A2806" t="s">
        <v>4326</v>
      </c>
      <c r="B2806" t="s">
        <v>4327</v>
      </c>
    </row>
    <row r="2807" spans="1:2" x14ac:dyDescent="0.25">
      <c r="A2807" t="s">
        <v>1958</v>
      </c>
      <c r="B2807" t="s">
        <v>1959</v>
      </c>
    </row>
    <row r="2808" spans="1:2" x14ac:dyDescent="0.25">
      <c r="A2808" t="s">
        <v>1960</v>
      </c>
      <c r="B2808" t="s">
        <v>1961</v>
      </c>
    </row>
    <row r="2809" spans="1:2" x14ac:dyDescent="0.25">
      <c r="A2809" t="s">
        <v>4328</v>
      </c>
      <c r="B2809" t="s">
        <v>4329</v>
      </c>
    </row>
    <row r="2810" spans="1:2" x14ac:dyDescent="0.25">
      <c r="A2810" t="s">
        <v>1982</v>
      </c>
      <c r="B2810" t="s">
        <v>1983</v>
      </c>
    </row>
    <row r="2811" spans="1:2" x14ac:dyDescent="0.25">
      <c r="A2811" t="s">
        <v>4330</v>
      </c>
      <c r="B2811" t="s">
        <v>4331</v>
      </c>
    </row>
    <row r="2812" spans="1:2" x14ac:dyDescent="0.25">
      <c r="A2812" t="s">
        <v>4332</v>
      </c>
      <c r="B2812" t="s">
        <v>4333</v>
      </c>
    </row>
    <row r="2813" spans="1:2" x14ac:dyDescent="0.25">
      <c r="A2813" t="s">
        <v>4334</v>
      </c>
      <c r="B2813" t="s">
        <v>4335</v>
      </c>
    </row>
    <row r="2814" spans="1:2" x14ac:dyDescent="0.25">
      <c r="A2814" t="s">
        <v>1990</v>
      </c>
      <c r="B2814" t="s">
        <v>4336</v>
      </c>
    </row>
    <row r="2815" spans="1:2" x14ac:dyDescent="0.25">
      <c r="A2815" t="s">
        <v>4337</v>
      </c>
      <c r="B2815" t="s">
        <v>4338</v>
      </c>
    </row>
    <row r="2816" spans="1:2" x14ac:dyDescent="0.25">
      <c r="A2816" t="s">
        <v>4339</v>
      </c>
      <c r="B2816" t="s">
        <v>4340</v>
      </c>
    </row>
    <row r="2817" spans="1:2" x14ac:dyDescent="0.25">
      <c r="A2817" t="s">
        <v>4341</v>
      </c>
      <c r="B2817" t="s">
        <v>4342</v>
      </c>
    </row>
    <row r="2818" spans="1:2" x14ac:dyDescent="0.25">
      <c r="A2818" t="s">
        <v>4343</v>
      </c>
      <c r="B2818" t="s">
        <v>4344</v>
      </c>
    </row>
    <row r="2819" spans="1:2" x14ac:dyDescent="0.25">
      <c r="A2819" t="s">
        <v>4345</v>
      </c>
      <c r="B2819" t="s">
        <v>4346</v>
      </c>
    </row>
    <row r="2820" spans="1:2" x14ac:dyDescent="0.25">
      <c r="A2820" t="s">
        <v>4347</v>
      </c>
      <c r="B2820" t="s">
        <v>4348</v>
      </c>
    </row>
    <row r="2821" spans="1:2" x14ac:dyDescent="0.25">
      <c r="A2821" t="s">
        <v>4349</v>
      </c>
      <c r="B2821" t="s">
        <v>4350</v>
      </c>
    </row>
    <row r="2822" spans="1:2" x14ac:dyDescent="0.25">
      <c r="A2822" t="s">
        <v>4351</v>
      </c>
      <c r="B2822" t="s">
        <v>4352</v>
      </c>
    </row>
    <row r="2823" spans="1:2" x14ac:dyDescent="0.25">
      <c r="A2823" t="s">
        <v>4353</v>
      </c>
      <c r="B2823" t="s">
        <v>4354</v>
      </c>
    </row>
    <row r="2824" spans="1:2" x14ac:dyDescent="0.25">
      <c r="A2824" t="s">
        <v>4355</v>
      </c>
      <c r="B2824" t="s">
        <v>4356</v>
      </c>
    </row>
    <row r="2825" spans="1:2" x14ac:dyDescent="0.25">
      <c r="A2825" t="s">
        <v>4357</v>
      </c>
      <c r="B2825" t="s">
        <v>4358</v>
      </c>
    </row>
    <row r="2826" spans="1:2" x14ac:dyDescent="0.25">
      <c r="A2826" t="s">
        <v>4359</v>
      </c>
      <c r="B2826" t="s">
        <v>4360</v>
      </c>
    </row>
    <row r="2827" spans="1:2" x14ac:dyDescent="0.25">
      <c r="A2827" t="s">
        <v>4361</v>
      </c>
      <c r="B2827" t="s">
        <v>4362</v>
      </c>
    </row>
    <row r="2828" spans="1:2" x14ac:dyDescent="0.25">
      <c r="A2828" t="s">
        <v>4363</v>
      </c>
      <c r="B2828" t="s">
        <v>4364</v>
      </c>
    </row>
    <row r="2829" spans="1:2" x14ac:dyDescent="0.25">
      <c r="A2829" t="s">
        <v>4365</v>
      </c>
      <c r="B2829" t="s">
        <v>4366</v>
      </c>
    </row>
    <row r="2830" spans="1:2" x14ac:dyDescent="0.25">
      <c r="A2830" t="s">
        <v>4367</v>
      </c>
      <c r="B2830" t="s">
        <v>4368</v>
      </c>
    </row>
    <row r="2831" spans="1:2" x14ac:dyDescent="0.25">
      <c r="A2831" t="s">
        <v>4369</v>
      </c>
      <c r="B2831" t="s">
        <v>4370</v>
      </c>
    </row>
    <row r="2832" spans="1:2" x14ac:dyDescent="0.25">
      <c r="A2832" t="s">
        <v>4371</v>
      </c>
      <c r="B2832" t="s">
        <v>4372</v>
      </c>
    </row>
    <row r="2833" spans="1:2" x14ac:dyDescent="0.25">
      <c r="A2833" t="s">
        <v>51</v>
      </c>
      <c r="B2833" t="s">
        <v>50</v>
      </c>
    </row>
    <row r="2834" spans="1:2" x14ac:dyDescent="0.25">
      <c r="A2834" t="s">
        <v>2016</v>
      </c>
      <c r="B2834" t="s">
        <v>2017</v>
      </c>
    </row>
    <row r="2835" spans="1:2" x14ac:dyDescent="0.25">
      <c r="A2835" t="s">
        <v>4373</v>
      </c>
      <c r="B2835" t="s">
        <v>4374</v>
      </c>
    </row>
    <row r="2836" spans="1:2" x14ac:dyDescent="0.25">
      <c r="A2836" t="s">
        <v>4375</v>
      </c>
      <c r="B2836" t="s">
        <v>4376</v>
      </c>
    </row>
    <row r="2837" spans="1:2" x14ac:dyDescent="0.25">
      <c r="A2837" t="s">
        <v>4377</v>
      </c>
      <c r="B2837" t="s">
        <v>4378</v>
      </c>
    </row>
    <row r="2838" spans="1:2" x14ac:dyDescent="0.25">
      <c r="A2838" t="s">
        <v>4379</v>
      </c>
      <c r="B2838" t="s">
        <v>4380</v>
      </c>
    </row>
    <row r="2839" spans="1:2" x14ac:dyDescent="0.25">
      <c r="A2839" t="s">
        <v>4381</v>
      </c>
      <c r="B2839" t="s">
        <v>4382</v>
      </c>
    </row>
    <row r="2840" spans="1:2" x14ac:dyDescent="0.25">
      <c r="A2840" t="s">
        <v>4383</v>
      </c>
      <c r="B2840" t="s">
        <v>4384</v>
      </c>
    </row>
    <row r="2841" spans="1:2" x14ac:dyDescent="0.25">
      <c r="A2841" t="s">
        <v>4385</v>
      </c>
      <c r="B2841" t="s">
        <v>4386</v>
      </c>
    </row>
    <row r="2842" spans="1:2" x14ac:dyDescent="0.25">
      <c r="A2842" t="s">
        <v>4387</v>
      </c>
      <c r="B2842" t="s">
        <v>4388</v>
      </c>
    </row>
    <row r="2843" spans="1:2" x14ac:dyDescent="0.25">
      <c r="A2843" t="s">
        <v>4389</v>
      </c>
      <c r="B2843" t="s">
        <v>4390</v>
      </c>
    </row>
    <row r="2844" spans="1:2" x14ac:dyDescent="0.25">
      <c r="A2844" t="s">
        <v>4391</v>
      </c>
      <c r="B2844" t="s">
        <v>4392</v>
      </c>
    </row>
    <row r="2845" spans="1:2" x14ac:dyDescent="0.25">
      <c r="A2845" t="s">
        <v>2031</v>
      </c>
      <c r="B2845" t="s">
        <v>2032</v>
      </c>
    </row>
    <row r="2846" spans="1:2" x14ac:dyDescent="0.25">
      <c r="A2846" t="s">
        <v>4393</v>
      </c>
      <c r="B2846" t="s">
        <v>4394</v>
      </c>
    </row>
    <row r="2847" spans="1:2" x14ac:dyDescent="0.25">
      <c r="A2847" t="s">
        <v>4395</v>
      </c>
      <c r="B2847" t="s">
        <v>4396</v>
      </c>
    </row>
    <row r="2848" spans="1:2" x14ac:dyDescent="0.25">
      <c r="A2848" t="s">
        <v>4397</v>
      </c>
      <c r="B2848" t="s">
        <v>4398</v>
      </c>
    </row>
    <row r="2849" spans="1:2" x14ac:dyDescent="0.25">
      <c r="A2849" t="s">
        <v>4399</v>
      </c>
      <c r="B2849" t="s">
        <v>4400</v>
      </c>
    </row>
    <row r="2850" spans="1:2" x14ac:dyDescent="0.25">
      <c r="A2850" t="s">
        <v>4401</v>
      </c>
      <c r="B2850" t="s">
        <v>4402</v>
      </c>
    </row>
    <row r="2851" spans="1:2" x14ac:dyDescent="0.25">
      <c r="A2851" t="s">
        <v>4403</v>
      </c>
      <c r="B2851" t="s">
        <v>4404</v>
      </c>
    </row>
    <row r="2852" spans="1:2" x14ac:dyDescent="0.25">
      <c r="A2852" t="s">
        <v>4405</v>
      </c>
      <c r="B2852" t="s">
        <v>4406</v>
      </c>
    </row>
    <row r="2853" spans="1:2" x14ac:dyDescent="0.25">
      <c r="A2853" t="s">
        <v>2038</v>
      </c>
      <c r="B2853" t="s">
        <v>2039</v>
      </c>
    </row>
    <row r="2854" spans="1:2" x14ac:dyDescent="0.25">
      <c r="A2854" t="s">
        <v>4407</v>
      </c>
      <c r="B2854" t="s">
        <v>4408</v>
      </c>
    </row>
    <row r="2855" spans="1:2" x14ac:dyDescent="0.25">
      <c r="A2855" t="s">
        <v>4409</v>
      </c>
      <c r="B2855" t="s">
        <v>4410</v>
      </c>
    </row>
    <row r="2856" spans="1:2" x14ac:dyDescent="0.25">
      <c r="A2856" t="s">
        <v>4411</v>
      </c>
      <c r="B2856" t="s">
        <v>4412</v>
      </c>
    </row>
    <row r="2857" spans="1:2" x14ac:dyDescent="0.25">
      <c r="A2857" t="s">
        <v>4413</v>
      </c>
      <c r="B2857" t="s">
        <v>4414</v>
      </c>
    </row>
    <row r="2858" spans="1:2" x14ac:dyDescent="0.25">
      <c r="A2858" t="s">
        <v>4415</v>
      </c>
      <c r="B2858" t="s">
        <v>4416</v>
      </c>
    </row>
    <row r="2859" spans="1:2" x14ac:dyDescent="0.25">
      <c r="A2859" t="s">
        <v>4417</v>
      </c>
      <c r="B2859" t="s">
        <v>4418</v>
      </c>
    </row>
    <row r="2860" spans="1:2" x14ac:dyDescent="0.25">
      <c r="A2860" t="s">
        <v>4419</v>
      </c>
      <c r="B2860" t="s">
        <v>4420</v>
      </c>
    </row>
    <row r="2861" spans="1:2" x14ac:dyDescent="0.25">
      <c r="A2861" t="s">
        <v>4421</v>
      </c>
      <c r="B2861" t="s">
        <v>4422</v>
      </c>
    </row>
    <row r="2862" spans="1:2" x14ac:dyDescent="0.25">
      <c r="A2862" t="s">
        <v>4423</v>
      </c>
      <c r="B2862" t="s">
        <v>4424</v>
      </c>
    </row>
    <row r="2863" spans="1:2" x14ac:dyDescent="0.25">
      <c r="A2863" t="s">
        <v>4425</v>
      </c>
      <c r="B2863" t="s">
        <v>4426</v>
      </c>
    </row>
    <row r="2864" spans="1:2" x14ac:dyDescent="0.25">
      <c r="A2864" t="s">
        <v>4427</v>
      </c>
      <c r="B2864" t="s">
        <v>4428</v>
      </c>
    </row>
    <row r="2865" spans="1:2" x14ac:dyDescent="0.25">
      <c r="A2865" t="s">
        <v>2054</v>
      </c>
      <c r="B2865" t="s">
        <v>2055</v>
      </c>
    </row>
    <row r="2866" spans="1:2" x14ac:dyDescent="0.25">
      <c r="A2866" t="s">
        <v>4429</v>
      </c>
      <c r="B2866" t="s">
        <v>4430</v>
      </c>
    </row>
    <row r="2867" spans="1:2" x14ac:dyDescent="0.25">
      <c r="A2867" t="s">
        <v>2058</v>
      </c>
      <c r="B2867" t="s">
        <v>2059</v>
      </c>
    </row>
    <row r="2868" spans="1:2" x14ac:dyDescent="0.25">
      <c r="A2868" t="s">
        <v>4431</v>
      </c>
      <c r="B2868" t="s">
        <v>4432</v>
      </c>
    </row>
    <row r="2869" spans="1:2" x14ac:dyDescent="0.25">
      <c r="A2869" t="s">
        <v>2070</v>
      </c>
      <c r="B2869" t="s">
        <v>2071</v>
      </c>
    </row>
    <row r="2870" spans="1:2" x14ac:dyDescent="0.25">
      <c r="A2870" t="s">
        <v>4433</v>
      </c>
      <c r="B2870" t="s">
        <v>4434</v>
      </c>
    </row>
    <row r="2871" spans="1:2" x14ac:dyDescent="0.25">
      <c r="A2871" t="s">
        <v>2072</v>
      </c>
      <c r="B2871" t="s">
        <v>2073</v>
      </c>
    </row>
    <row r="2872" spans="1:2" x14ac:dyDescent="0.25">
      <c r="A2872" t="s">
        <v>2084</v>
      </c>
      <c r="B2872" t="s">
        <v>2085</v>
      </c>
    </row>
    <row r="2873" spans="1:2" x14ac:dyDescent="0.25">
      <c r="A2873" t="s">
        <v>4435</v>
      </c>
      <c r="B2873" t="s">
        <v>4436</v>
      </c>
    </row>
    <row r="2874" spans="1:2" x14ac:dyDescent="0.25">
      <c r="A2874" t="s">
        <v>4437</v>
      </c>
      <c r="B2874" t="s">
        <v>4438</v>
      </c>
    </row>
    <row r="2875" spans="1:2" x14ac:dyDescent="0.25">
      <c r="A2875" t="s">
        <v>4439</v>
      </c>
      <c r="B2875" t="s">
        <v>4440</v>
      </c>
    </row>
    <row r="2876" spans="1:2" x14ac:dyDescent="0.25">
      <c r="A2876" t="s">
        <v>4441</v>
      </c>
      <c r="B2876" t="s">
        <v>4442</v>
      </c>
    </row>
    <row r="2877" spans="1:2" x14ac:dyDescent="0.25">
      <c r="A2877" t="s">
        <v>2093</v>
      </c>
      <c r="B2877" t="s">
        <v>2094</v>
      </c>
    </row>
    <row r="2878" spans="1:2" x14ac:dyDescent="0.25">
      <c r="A2878" t="s">
        <v>2095</v>
      </c>
      <c r="B2878" t="s">
        <v>2096</v>
      </c>
    </row>
    <row r="2879" spans="1:2" x14ac:dyDescent="0.25">
      <c r="A2879" t="s">
        <v>2097</v>
      </c>
      <c r="B2879" t="s">
        <v>2098</v>
      </c>
    </row>
    <row r="2880" spans="1:2" x14ac:dyDescent="0.25">
      <c r="A2880" t="s">
        <v>4443</v>
      </c>
      <c r="B2880" t="s">
        <v>4444</v>
      </c>
    </row>
    <row r="2881" spans="1:2" x14ac:dyDescent="0.25">
      <c r="A2881" t="s">
        <v>4445</v>
      </c>
      <c r="B2881" t="s">
        <v>4446</v>
      </c>
    </row>
    <row r="2882" spans="1:2" x14ac:dyDescent="0.25">
      <c r="A2882" t="s">
        <v>4447</v>
      </c>
      <c r="B2882" t="s">
        <v>4448</v>
      </c>
    </row>
    <row r="2883" spans="1:2" x14ac:dyDescent="0.25">
      <c r="A2883" t="s">
        <v>4449</v>
      </c>
      <c r="B2883" t="s">
        <v>4450</v>
      </c>
    </row>
    <row r="2884" spans="1:2" x14ac:dyDescent="0.25">
      <c r="A2884" t="s">
        <v>4451</v>
      </c>
      <c r="B2884" t="s">
        <v>4452</v>
      </c>
    </row>
    <row r="2885" spans="1:2" x14ac:dyDescent="0.25">
      <c r="A2885" t="s">
        <v>4453</v>
      </c>
      <c r="B2885" t="s">
        <v>4454</v>
      </c>
    </row>
    <row r="2886" spans="1:2" x14ac:dyDescent="0.25">
      <c r="A2886" t="s">
        <v>2106</v>
      </c>
      <c r="B2886" t="s">
        <v>2107</v>
      </c>
    </row>
    <row r="2887" spans="1:2" x14ac:dyDescent="0.25">
      <c r="A2887" t="s">
        <v>4455</v>
      </c>
      <c r="B2887" t="s">
        <v>4456</v>
      </c>
    </row>
    <row r="2888" spans="1:2" x14ac:dyDescent="0.25">
      <c r="A2888" t="s">
        <v>4457</v>
      </c>
      <c r="B2888" t="s">
        <v>4458</v>
      </c>
    </row>
    <row r="2889" spans="1:2" x14ac:dyDescent="0.25">
      <c r="A2889" t="s">
        <v>4459</v>
      </c>
      <c r="B2889" t="s">
        <v>4460</v>
      </c>
    </row>
    <row r="2890" spans="1:2" x14ac:dyDescent="0.25">
      <c r="A2890" t="s">
        <v>4461</v>
      </c>
      <c r="B2890" t="s">
        <v>4462</v>
      </c>
    </row>
    <row r="2891" spans="1:2" x14ac:dyDescent="0.25">
      <c r="A2891" t="s">
        <v>4463</v>
      </c>
      <c r="B2891" t="s">
        <v>4464</v>
      </c>
    </row>
    <row r="2892" spans="1:2" x14ac:dyDescent="0.25">
      <c r="A2892" t="s">
        <v>4465</v>
      </c>
      <c r="B2892" t="s">
        <v>4466</v>
      </c>
    </row>
    <row r="2893" spans="1:2" x14ac:dyDescent="0.25">
      <c r="A2893" t="s">
        <v>4467</v>
      </c>
      <c r="B2893" t="s">
        <v>4468</v>
      </c>
    </row>
    <row r="2894" spans="1:2" x14ac:dyDescent="0.25">
      <c r="A2894" t="s">
        <v>4469</v>
      </c>
      <c r="B2894" t="s">
        <v>4470</v>
      </c>
    </row>
    <row r="2895" spans="1:2" x14ac:dyDescent="0.25">
      <c r="A2895" t="s">
        <v>4471</v>
      </c>
      <c r="B2895" t="s">
        <v>4472</v>
      </c>
    </row>
    <row r="2896" spans="1:2" x14ac:dyDescent="0.25">
      <c r="A2896" t="s">
        <v>4473</v>
      </c>
      <c r="B2896" t="s">
        <v>4474</v>
      </c>
    </row>
    <row r="2897" spans="1:2" x14ac:dyDescent="0.25">
      <c r="A2897" t="s">
        <v>4475</v>
      </c>
      <c r="B2897" t="s">
        <v>4476</v>
      </c>
    </row>
    <row r="2898" spans="1:2" x14ac:dyDescent="0.25">
      <c r="A2898" t="s">
        <v>4477</v>
      </c>
      <c r="B2898" t="s">
        <v>4478</v>
      </c>
    </row>
    <row r="2899" spans="1:2" x14ac:dyDescent="0.25">
      <c r="A2899" t="s">
        <v>4479</v>
      </c>
      <c r="B2899" t="s">
        <v>4480</v>
      </c>
    </row>
    <row r="2900" spans="1:2" x14ac:dyDescent="0.25">
      <c r="A2900" t="s">
        <v>4481</v>
      </c>
      <c r="B2900" t="s">
        <v>4482</v>
      </c>
    </row>
    <row r="2901" spans="1:2" x14ac:dyDescent="0.25">
      <c r="A2901" t="s">
        <v>4483</v>
      </c>
      <c r="B2901" t="s">
        <v>4484</v>
      </c>
    </row>
    <row r="2902" spans="1:2" x14ac:dyDescent="0.25">
      <c r="A2902" t="s">
        <v>4485</v>
      </c>
      <c r="B2902" t="s">
        <v>4486</v>
      </c>
    </row>
    <row r="2903" spans="1:2" x14ac:dyDescent="0.25">
      <c r="A2903" t="s">
        <v>2114</v>
      </c>
      <c r="B2903" t="s">
        <v>2115</v>
      </c>
    </row>
    <row r="2904" spans="1:2" x14ac:dyDescent="0.25">
      <c r="A2904" t="s">
        <v>4487</v>
      </c>
      <c r="B2904" t="s">
        <v>4488</v>
      </c>
    </row>
    <row r="2905" spans="1:2" x14ac:dyDescent="0.25">
      <c r="A2905" t="s">
        <v>4489</v>
      </c>
      <c r="B2905" t="s">
        <v>4490</v>
      </c>
    </row>
    <row r="2906" spans="1:2" x14ac:dyDescent="0.25">
      <c r="A2906" t="s">
        <v>4491</v>
      </c>
      <c r="B2906" t="s">
        <v>4492</v>
      </c>
    </row>
    <row r="2907" spans="1:2" x14ac:dyDescent="0.25">
      <c r="A2907" t="s">
        <v>4493</v>
      </c>
      <c r="B2907" t="s">
        <v>4494</v>
      </c>
    </row>
    <row r="2908" spans="1:2" x14ac:dyDescent="0.25">
      <c r="A2908" t="s">
        <v>32</v>
      </c>
      <c r="B2908" t="s">
        <v>4495</v>
      </c>
    </row>
    <row r="2909" spans="1:2" x14ac:dyDescent="0.25">
      <c r="A2909" t="s">
        <v>2118</v>
      </c>
      <c r="B2909" t="s">
        <v>2119</v>
      </c>
    </row>
    <row r="2910" spans="1:2" x14ac:dyDescent="0.25">
      <c r="A2910" t="s">
        <v>4496</v>
      </c>
      <c r="B2910" t="s">
        <v>4497</v>
      </c>
    </row>
    <row r="2911" spans="1:2" x14ac:dyDescent="0.25">
      <c r="A2911" t="s">
        <v>4498</v>
      </c>
      <c r="B2911" t="s">
        <v>4499</v>
      </c>
    </row>
    <row r="2912" spans="1:2" x14ac:dyDescent="0.25">
      <c r="A2912" t="s">
        <v>4500</v>
      </c>
      <c r="B2912" t="s">
        <v>4501</v>
      </c>
    </row>
    <row r="2913" spans="1:2" x14ac:dyDescent="0.25">
      <c r="A2913" t="s">
        <v>4502</v>
      </c>
      <c r="B2913" t="s">
        <v>4503</v>
      </c>
    </row>
    <row r="2914" spans="1:2" x14ac:dyDescent="0.25">
      <c r="A2914" t="s">
        <v>587</v>
      </c>
      <c r="B2914" t="s">
        <v>4504</v>
      </c>
    </row>
    <row r="2915" spans="1:2" x14ac:dyDescent="0.25">
      <c r="A2915" t="s">
        <v>4505</v>
      </c>
      <c r="B2915" t="s">
        <v>4506</v>
      </c>
    </row>
    <row r="2916" spans="1:2" x14ac:dyDescent="0.25">
      <c r="A2916" t="s">
        <v>4507</v>
      </c>
      <c r="B2916" t="s">
        <v>4508</v>
      </c>
    </row>
    <row r="2917" spans="1:2" x14ac:dyDescent="0.25">
      <c r="A2917" t="s">
        <v>4509</v>
      </c>
      <c r="B2917" t="s">
        <v>4510</v>
      </c>
    </row>
    <row r="2918" spans="1:2" x14ac:dyDescent="0.25">
      <c r="A2918" t="s">
        <v>4511</v>
      </c>
      <c r="B2918" t="s">
        <v>4512</v>
      </c>
    </row>
    <row r="2919" spans="1:2" x14ac:dyDescent="0.25">
      <c r="A2919" t="s">
        <v>4513</v>
      </c>
      <c r="B2919" t="s">
        <v>4514</v>
      </c>
    </row>
    <row r="2920" spans="1:2" x14ac:dyDescent="0.25">
      <c r="A2920" t="s">
        <v>4515</v>
      </c>
      <c r="B2920" t="s">
        <v>4516</v>
      </c>
    </row>
    <row r="2921" spans="1:2" x14ac:dyDescent="0.25">
      <c r="A2921" t="s">
        <v>4517</v>
      </c>
      <c r="B2921" t="s">
        <v>4518</v>
      </c>
    </row>
    <row r="2922" spans="1:2" x14ac:dyDescent="0.25">
      <c r="A2922" t="s">
        <v>4519</v>
      </c>
      <c r="B2922" t="s">
        <v>4520</v>
      </c>
    </row>
    <row r="2923" spans="1:2" x14ac:dyDescent="0.25">
      <c r="A2923" t="s">
        <v>4521</v>
      </c>
      <c r="B2923" t="s">
        <v>4522</v>
      </c>
    </row>
    <row r="2924" spans="1:2" x14ac:dyDescent="0.25">
      <c r="A2924" t="s">
        <v>4523</v>
      </c>
      <c r="B2924" t="s">
        <v>4524</v>
      </c>
    </row>
    <row r="2925" spans="1:2" x14ac:dyDescent="0.25">
      <c r="A2925" t="s">
        <v>4525</v>
      </c>
      <c r="B2925" t="s">
        <v>4526</v>
      </c>
    </row>
    <row r="2926" spans="1:2" x14ac:dyDescent="0.25">
      <c r="A2926" t="s">
        <v>4527</v>
      </c>
      <c r="B2926" t="s">
        <v>4528</v>
      </c>
    </row>
    <row r="2927" spans="1:2" x14ac:dyDescent="0.25">
      <c r="A2927" t="s">
        <v>4529</v>
      </c>
      <c r="B2927" t="s">
        <v>4530</v>
      </c>
    </row>
    <row r="2928" spans="1:2" x14ac:dyDescent="0.25">
      <c r="A2928" t="s">
        <v>4531</v>
      </c>
      <c r="B2928" t="s">
        <v>4532</v>
      </c>
    </row>
    <row r="2929" spans="1:2" x14ac:dyDescent="0.25">
      <c r="A2929" t="s">
        <v>4533</v>
      </c>
      <c r="B2929" t="s">
        <v>4534</v>
      </c>
    </row>
    <row r="2930" spans="1:2" x14ac:dyDescent="0.25">
      <c r="A2930" t="s">
        <v>4535</v>
      </c>
      <c r="B2930" t="s">
        <v>4536</v>
      </c>
    </row>
    <row r="2931" spans="1:2" x14ac:dyDescent="0.25">
      <c r="A2931" t="s">
        <v>2132</v>
      </c>
      <c r="B2931" t="s">
        <v>2133</v>
      </c>
    </row>
    <row r="2932" spans="1:2" x14ac:dyDescent="0.25">
      <c r="A2932" t="s">
        <v>4537</v>
      </c>
      <c r="B2932" t="s">
        <v>4538</v>
      </c>
    </row>
    <row r="2933" spans="1:2" x14ac:dyDescent="0.25">
      <c r="A2933" t="s">
        <v>4539</v>
      </c>
      <c r="B2933" t="s">
        <v>4540</v>
      </c>
    </row>
    <row r="2934" spans="1:2" x14ac:dyDescent="0.25">
      <c r="A2934" t="s">
        <v>4541</v>
      </c>
      <c r="B2934" t="s">
        <v>4542</v>
      </c>
    </row>
    <row r="2935" spans="1:2" x14ac:dyDescent="0.25">
      <c r="A2935" t="s">
        <v>2134</v>
      </c>
      <c r="B2935" t="s">
        <v>2135</v>
      </c>
    </row>
    <row r="2936" spans="1:2" x14ac:dyDescent="0.25">
      <c r="A2936" t="s">
        <v>4543</v>
      </c>
      <c r="B2936" t="s">
        <v>4544</v>
      </c>
    </row>
    <row r="2937" spans="1:2" x14ac:dyDescent="0.25">
      <c r="A2937" t="s">
        <v>4545</v>
      </c>
      <c r="B2937" t="s">
        <v>4546</v>
      </c>
    </row>
    <row r="2938" spans="1:2" x14ac:dyDescent="0.25">
      <c r="A2938" t="s">
        <v>4547</v>
      </c>
      <c r="B2938" t="s">
        <v>4548</v>
      </c>
    </row>
    <row r="2939" spans="1:2" x14ac:dyDescent="0.25">
      <c r="A2939" t="s">
        <v>4549</v>
      </c>
      <c r="B2939" t="s">
        <v>4550</v>
      </c>
    </row>
    <row r="2940" spans="1:2" x14ac:dyDescent="0.25">
      <c r="A2940" t="s">
        <v>4551</v>
      </c>
      <c r="B2940" t="s">
        <v>4552</v>
      </c>
    </row>
    <row r="2941" spans="1:2" x14ac:dyDescent="0.25">
      <c r="A2941" t="s">
        <v>766</v>
      </c>
      <c r="B2941" t="s">
        <v>4553</v>
      </c>
    </row>
    <row r="2942" spans="1:2" x14ac:dyDescent="0.25">
      <c r="A2942" t="s">
        <v>4554</v>
      </c>
      <c r="B2942" t="s">
        <v>4555</v>
      </c>
    </row>
    <row r="2943" spans="1:2" x14ac:dyDescent="0.25">
      <c r="A2943" t="s">
        <v>4556</v>
      </c>
      <c r="B2943" t="s">
        <v>4557</v>
      </c>
    </row>
    <row r="2944" spans="1:2" x14ac:dyDescent="0.25">
      <c r="A2944" t="s">
        <v>4558</v>
      </c>
      <c r="B2944" t="s">
        <v>4559</v>
      </c>
    </row>
    <row r="2945" spans="1:2" x14ac:dyDescent="0.25">
      <c r="A2945" t="s">
        <v>4560</v>
      </c>
      <c r="B2945" t="s">
        <v>4561</v>
      </c>
    </row>
    <row r="2946" spans="1:2" x14ac:dyDescent="0.25">
      <c r="A2946" t="s">
        <v>1429</v>
      </c>
      <c r="B2946" t="s">
        <v>4562</v>
      </c>
    </row>
    <row r="2947" spans="1:2" x14ac:dyDescent="0.25">
      <c r="A2947" t="s">
        <v>4563</v>
      </c>
      <c r="B2947" t="s">
        <v>4564</v>
      </c>
    </row>
    <row r="2948" spans="1:2" x14ac:dyDescent="0.25">
      <c r="A2948" t="s">
        <v>4565</v>
      </c>
      <c r="B2948" t="s">
        <v>4566</v>
      </c>
    </row>
    <row r="2949" spans="1:2" x14ac:dyDescent="0.25">
      <c r="A2949" t="s">
        <v>4567</v>
      </c>
      <c r="B2949" t="s">
        <v>4568</v>
      </c>
    </row>
    <row r="2950" spans="1:2" x14ac:dyDescent="0.25">
      <c r="A2950" t="s">
        <v>4569</v>
      </c>
      <c r="B2950" t="s">
        <v>4570</v>
      </c>
    </row>
    <row r="2951" spans="1:2" x14ac:dyDescent="0.25">
      <c r="A2951" t="s">
        <v>4571</v>
      </c>
      <c r="B2951" t="s">
        <v>4572</v>
      </c>
    </row>
    <row r="2952" spans="1:2" x14ac:dyDescent="0.25">
      <c r="A2952" t="s">
        <v>4573</v>
      </c>
      <c r="B2952" t="s">
        <v>4574</v>
      </c>
    </row>
    <row r="2953" spans="1:2" x14ac:dyDescent="0.25">
      <c r="A2953" t="s">
        <v>4575</v>
      </c>
      <c r="B2953" t="s">
        <v>4576</v>
      </c>
    </row>
    <row r="2954" spans="1:2" x14ac:dyDescent="0.25">
      <c r="A2954" t="s">
        <v>4577</v>
      </c>
      <c r="B2954" t="s">
        <v>4578</v>
      </c>
    </row>
    <row r="2955" spans="1:2" x14ac:dyDescent="0.25">
      <c r="A2955" t="s">
        <v>4579</v>
      </c>
      <c r="B2955" t="s">
        <v>4580</v>
      </c>
    </row>
    <row r="2956" spans="1:2" x14ac:dyDescent="0.25">
      <c r="A2956" t="s">
        <v>4581</v>
      </c>
      <c r="B2956" t="s">
        <v>4582</v>
      </c>
    </row>
    <row r="2957" spans="1:2" x14ac:dyDescent="0.25">
      <c r="A2957" t="s">
        <v>4583</v>
      </c>
      <c r="B2957" t="s">
        <v>4584</v>
      </c>
    </row>
    <row r="2958" spans="1:2" x14ac:dyDescent="0.25">
      <c r="A2958" t="s">
        <v>4585</v>
      </c>
      <c r="B2958" t="s">
        <v>4586</v>
      </c>
    </row>
    <row r="2959" spans="1:2" x14ac:dyDescent="0.25">
      <c r="A2959" t="s">
        <v>2158</v>
      </c>
      <c r="B2959" t="s">
        <v>2159</v>
      </c>
    </row>
    <row r="2960" spans="1:2" x14ac:dyDescent="0.25">
      <c r="A2960" t="s">
        <v>4587</v>
      </c>
      <c r="B2960" t="s">
        <v>4588</v>
      </c>
    </row>
    <row r="2961" spans="1:2" x14ac:dyDescent="0.25">
      <c r="A2961" t="s">
        <v>4589</v>
      </c>
      <c r="B2961" t="s">
        <v>4590</v>
      </c>
    </row>
    <row r="2962" spans="1:2" x14ac:dyDescent="0.25">
      <c r="A2962" t="s">
        <v>4591</v>
      </c>
      <c r="B2962" t="s">
        <v>4592</v>
      </c>
    </row>
    <row r="2963" spans="1:2" x14ac:dyDescent="0.25">
      <c r="A2963" t="s">
        <v>4593</v>
      </c>
      <c r="B2963" t="s">
        <v>4594</v>
      </c>
    </row>
    <row r="2964" spans="1:2" x14ac:dyDescent="0.25">
      <c r="A2964" t="s">
        <v>4595</v>
      </c>
      <c r="B2964" t="s">
        <v>4596</v>
      </c>
    </row>
    <row r="2965" spans="1:2" x14ac:dyDescent="0.25">
      <c r="A2965" t="s">
        <v>4597</v>
      </c>
      <c r="B2965" t="s">
        <v>4598</v>
      </c>
    </row>
    <row r="2966" spans="1:2" x14ac:dyDescent="0.25">
      <c r="A2966" t="s">
        <v>4599</v>
      </c>
      <c r="B2966" t="s">
        <v>4600</v>
      </c>
    </row>
    <row r="2967" spans="1:2" x14ac:dyDescent="0.25">
      <c r="A2967" t="s">
        <v>4601</v>
      </c>
      <c r="B2967" t="s">
        <v>4602</v>
      </c>
    </row>
    <row r="2968" spans="1:2" x14ac:dyDescent="0.25">
      <c r="A2968" t="s">
        <v>4603</v>
      </c>
      <c r="B2968" t="s">
        <v>4604</v>
      </c>
    </row>
    <row r="2969" spans="1:2" x14ac:dyDescent="0.25">
      <c r="A2969" t="s">
        <v>4605</v>
      </c>
      <c r="B2969" t="s">
        <v>4606</v>
      </c>
    </row>
    <row r="2970" spans="1:2" x14ac:dyDescent="0.25">
      <c r="A2970" t="s">
        <v>4607</v>
      </c>
      <c r="B2970" t="s">
        <v>4608</v>
      </c>
    </row>
    <row r="2971" spans="1:2" x14ac:dyDescent="0.25">
      <c r="A2971" t="s">
        <v>4609</v>
      </c>
      <c r="B2971" t="s">
        <v>4610</v>
      </c>
    </row>
    <row r="2972" spans="1:2" x14ac:dyDescent="0.25">
      <c r="A2972" t="s">
        <v>4611</v>
      </c>
      <c r="B2972" t="s">
        <v>4612</v>
      </c>
    </row>
    <row r="2973" spans="1:2" x14ac:dyDescent="0.25">
      <c r="A2973" t="s">
        <v>1001</v>
      </c>
      <c r="B2973" t="s">
        <v>4613</v>
      </c>
    </row>
    <row r="2974" spans="1:2" x14ac:dyDescent="0.25">
      <c r="A2974" t="s">
        <v>4614</v>
      </c>
      <c r="B2974" t="s">
        <v>4615</v>
      </c>
    </row>
    <row r="2975" spans="1:2" x14ac:dyDescent="0.25">
      <c r="A2975" t="s">
        <v>4616</v>
      </c>
      <c r="B2975" t="s">
        <v>4617</v>
      </c>
    </row>
    <row r="2976" spans="1:2" x14ac:dyDescent="0.25">
      <c r="A2976" t="s">
        <v>4618</v>
      </c>
      <c r="B2976" t="s">
        <v>4619</v>
      </c>
    </row>
    <row r="2977" spans="1:2" x14ac:dyDescent="0.25">
      <c r="A2977" t="s">
        <v>4620</v>
      </c>
      <c r="B2977" t="s">
        <v>4621</v>
      </c>
    </row>
    <row r="2978" spans="1:2" x14ac:dyDescent="0.25">
      <c r="A2978" t="s">
        <v>4622</v>
      </c>
      <c r="B2978" t="s">
        <v>4623</v>
      </c>
    </row>
    <row r="2979" spans="1:2" x14ac:dyDescent="0.25">
      <c r="A2979" t="s">
        <v>2170</v>
      </c>
      <c r="B2979" t="s">
        <v>2171</v>
      </c>
    </row>
    <row r="2980" spans="1:2" x14ac:dyDescent="0.25">
      <c r="A2980" t="s">
        <v>4624</v>
      </c>
      <c r="B2980" t="s">
        <v>4625</v>
      </c>
    </row>
    <row r="2981" spans="1:2" x14ac:dyDescent="0.25">
      <c r="A2981" t="s">
        <v>4626</v>
      </c>
      <c r="B2981" t="s">
        <v>4627</v>
      </c>
    </row>
    <row r="2982" spans="1:2" x14ac:dyDescent="0.25">
      <c r="A2982" t="s">
        <v>621</v>
      </c>
      <c r="B2982" t="s">
        <v>2172</v>
      </c>
    </row>
    <row r="2983" spans="1:2" x14ac:dyDescent="0.25">
      <c r="A2983" t="s">
        <v>4628</v>
      </c>
      <c r="B2983" t="s">
        <v>4629</v>
      </c>
    </row>
    <row r="2984" spans="1:2" x14ac:dyDescent="0.25">
      <c r="A2984" t="s">
        <v>4630</v>
      </c>
      <c r="B2984" t="s">
        <v>4631</v>
      </c>
    </row>
    <row r="2985" spans="1:2" x14ac:dyDescent="0.25">
      <c r="A2985" t="s">
        <v>4632</v>
      </c>
      <c r="B2985" t="s">
        <v>4633</v>
      </c>
    </row>
    <row r="2986" spans="1:2" x14ac:dyDescent="0.25">
      <c r="A2986" t="s">
        <v>4634</v>
      </c>
      <c r="B2986" t="s">
        <v>4635</v>
      </c>
    </row>
    <row r="2987" spans="1:2" x14ac:dyDescent="0.25">
      <c r="A2987" t="s">
        <v>4636</v>
      </c>
      <c r="B2987" t="s">
        <v>4637</v>
      </c>
    </row>
    <row r="2988" spans="1:2" x14ac:dyDescent="0.25">
      <c r="A2988" t="s">
        <v>4638</v>
      </c>
      <c r="B2988" t="s">
        <v>4639</v>
      </c>
    </row>
    <row r="2989" spans="1:2" x14ac:dyDescent="0.25">
      <c r="A2989" t="s">
        <v>4640</v>
      </c>
      <c r="B2989" t="s">
        <v>4641</v>
      </c>
    </row>
    <row r="2990" spans="1:2" x14ac:dyDescent="0.25">
      <c r="A2990" t="s">
        <v>4642</v>
      </c>
      <c r="B2990" t="s">
        <v>4643</v>
      </c>
    </row>
    <row r="2991" spans="1:2" x14ac:dyDescent="0.25">
      <c r="A2991" t="s">
        <v>4644</v>
      </c>
      <c r="B2991" t="s">
        <v>4645</v>
      </c>
    </row>
    <row r="2992" spans="1:2" x14ac:dyDescent="0.25">
      <c r="A2992" t="s">
        <v>4646</v>
      </c>
      <c r="B2992" t="s">
        <v>4647</v>
      </c>
    </row>
    <row r="2993" spans="1:2" x14ac:dyDescent="0.25">
      <c r="A2993" t="s">
        <v>4648</v>
      </c>
      <c r="B2993" t="s">
        <v>4649</v>
      </c>
    </row>
    <row r="2994" spans="1:2" x14ac:dyDescent="0.25">
      <c r="A2994" t="s">
        <v>4650</v>
      </c>
      <c r="B2994" t="s">
        <v>4651</v>
      </c>
    </row>
    <row r="2995" spans="1:2" x14ac:dyDescent="0.25">
      <c r="A2995" t="s">
        <v>4652</v>
      </c>
      <c r="B2995" t="s">
        <v>4653</v>
      </c>
    </row>
    <row r="2996" spans="1:2" x14ac:dyDescent="0.25">
      <c r="A2996" t="s">
        <v>4654</v>
      </c>
      <c r="B2996" t="s">
        <v>4655</v>
      </c>
    </row>
    <row r="2997" spans="1:2" x14ac:dyDescent="0.25">
      <c r="A2997" t="s">
        <v>4656</v>
      </c>
      <c r="B2997" t="s">
        <v>4657</v>
      </c>
    </row>
    <row r="2998" spans="1:2" x14ac:dyDescent="0.25">
      <c r="A2998" t="s">
        <v>4658</v>
      </c>
      <c r="B2998" t="s">
        <v>4659</v>
      </c>
    </row>
    <row r="2999" spans="1:2" x14ac:dyDescent="0.25">
      <c r="A2999" t="s">
        <v>4660</v>
      </c>
      <c r="B2999" t="s">
        <v>4661</v>
      </c>
    </row>
    <row r="3000" spans="1:2" x14ac:dyDescent="0.25">
      <c r="A3000" t="s">
        <v>4662</v>
      </c>
      <c r="B3000" t="s">
        <v>4663</v>
      </c>
    </row>
    <row r="3001" spans="1:2" x14ac:dyDescent="0.25">
      <c r="A3001" t="s">
        <v>4664</v>
      </c>
      <c r="B3001" t="s">
        <v>4665</v>
      </c>
    </row>
    <row r="3002" spans="1:2" x14ac:dyDescent="0.25">
      <c r="A3002" t="s">
        <v>4666</v>
      </c>
      <c r="B3002" t="s">
        <v>4667</v>
      </c>
    </row>
    <row r="3003" spans="1:2" x14ac:dyDescent="0.25">
      <c r="A3003" t="s">
        <v>4668</v>
      </c>
      <c r="B3003" t="s">
        <v>4669</v>
      </c>
    </row>
    <row r="3004" spans="1:2" x14ac:dyDescent="0.25">
      <c r="A3004" t="s">
        <v>4670</v>
      </c>
      <c r="B3004" t="s">
        <v>4671</v>
      </c>
    </row>
    <row r="3005" spans="1:2" x14ac:dyDescent="0.25">
      <c r="A3005" t="s">
        <v>4672</v>
      </c>
      <c r="B3005" t="s">
        <v>4673</v>
      </c>
    </row>
    <row r="3006" spans="1:2" x14ac:dyDescent="0.25">
      <c r="A3006" t="s">
        <v>4674</v>
      </c>
      <c r="B3006" t="s">
        <v>4675</v>
      </c>
    </row>
    <row r="3007" spans="1:2" x14ac:dyDescent="0.25">
      <c r="A3007" t="s">
        <v>4676</v>
      </c>
      <c r="B3007" t="s">
        <v>4677</v>
      </c>
    </row>
    <row r="3008" spans="1:2" x14ac:dyDescent="0.25">
      <c r="A3008" t="s">
        <v>4678</v>
      </c>
      <c r="B3008" t="s">
        <v>4679</v>
      </c>
    </row>
    <row r="3009" spans="1:2" x14ac:dyDescent="0.25">
      <c r="A3009" t="s">
        <v>4680</v>
      </c>
      <c r="B3009" t="s">
        <v>4681</v>
      </c>
    </row>
    <row r="3010" spans="1:2" x14ac:dyDescent="0.25">
      <c r="A3010" t="s">
        <v>4682</v>
      </c>
      <c r="B3010" t="s">
        <v>4683</v>
      </c>
    </row>
    <row r="3011" spans="1:2" x14ac:dyDescent="0.25">
      <c r="A3011" t="s">
        <v>4684</v>
      </c>
      <c r="B3011" t="s">
        <v>4685</v>
      </c>
    </row>
    <row r="3012" spans="1:2" x14ac:dyDescent="0.25">
      <c r="A3012" t="s">
        <v>4686</v>
      </c>
      <c r="B3012" t="s">
        <v>4687</v>
      </c>
    </row>
    <row r="3013" spans="1:2" x14ac:dyDescent="0.25">
      <c r="A3013" t="s">
        <v>4688</v>
      </c>
      <c r="B3013" t="s">
        <v>4689</v>
      </c>
    </row>
    <row r="3014" spans="1:2" x14ac:dyDescent="0.25">
      <c r="A3014" t="s">
        <v>4690</v>
      </c>
      <c r="B3014" t="s">
        <v>4691</v>
      </c>
    </row>
    <row r="3015" spans="1:2" x14ac:dyDescent="0.25">
      <c r="A3015" t="s">
        <v>4692</v>
      </c>
      <c r="B3015" t="s">
        <v>4693</v>
      </c>
    </row>
    <row r="3016" spans="1:2" x14ac:dyDescent="0.25">
      <c r="A3016" t="s">
        <v>4694</v>
      </c>
      <c r="B3016" t="s">
        <v>4695</v>
      </c>
    </row>
    <row r="3017" spans="1:2" x14ac:dyDescent="0.25">
      <c r="A3017" t="s">
        <v>4696</v>
      </c>
      <c r="B3017" t="s">
        <v>4697</v>
      </c>
    </row>
    <row r="3018" spans="1:2" x14ac:dyDescent="0.25">
      <c r="A3018" t="s">
        <v>4698</v>
      </c>
      <c r="B3018" t="s">
        <v>4699</v>
      </c>
    </row>
    <row r="3019" spans="1:2" x14ac:dyDescent="0.25">
      <c r="A3019" t="s">
        <v>4700</v>
      </c>
      <c r="B3019" t="s">
        <v>4701</v>
      </c>
    </row>
    <row r="3020" spans="1:2" x14ac:dyDescent="0.25">
      <c r="A3020" t="s">
        <v>4702</v>
      </c>
      <c r="B3020" t="s">
        <v>4703</v>
      </c>
    </row>
    <row r="3021" spans="1:2" x14ac:dyDescent="0.25">
      <c r="A3021" t="s">
        <v>4704</v>
      </c>
      <c r="B3021" t="s">
        <v>4705</v>
      </c>
    </row>
    <row r="3022" spans="1:2" x14ac:dyDescent="0.25">
      <c r="A3022" t="s">
        <v>2213</v>
      </c>
      <c r="B3022" t="s">
        <v>2214</v>
      </c>
    </row>
    <row r="3023" spans="1:2" x14ac:dyDescent="0.25">
      <c r="A3023" t="s">
        <v>4706</v>
      </c>
      <c r="B3023" t="s">
        <v>4707</v>
      </c>
    </row>
    <row r="3024" spans="1:2" x14ac:dyDescent="0.25">
      <c r="A3024" t="s">
        <v>2215</v>
      </c>
      <c r="B3024" t="s">
        <v>2216</v>
      </c>
    </row>
    <row r="3025" spans="1:2" x14ac:dyDescent="0.25">
      <c r="A3025" t="s">
        <v>4708</v>
      </c>
      <c r="B3025" t="s">
        <v>4709</v>
      </c>
    </row>
    <row r="3026" spans="1:2" x14ac:dyDescent="0.25">
      <c r="A3026" t="s">
        <v>4710</v>
      </c>
      <c r="B3026" t="s">
        <v>4711</v>
      </c>
    </row>
    <row r="3027" spans="1:2" x14ac:dyDescent="0.25">
      <c r="A3027" t="s">
        <v>4712</v>
      </c>
      <c r="B3027" t="s">
        <v>4713</v>
      </c>
    </row>
    <row r="3028" spans="1:2" x14ac:dyDescent="0.25">
      <c r="A3028" t="s">
        <v>4714</v>
      </c>
      <c r="B3028" t="s">
        <v>4715</v>
      </c>
    </row>
    <row r="3029" spans="1:2" x14ac:dyDescent="0.25">
      <c r="A3029" t="s">
        <v>4716</v>
      </c>
      <c r="B3029" t="s">
        <v>4717</v>
      </c>
    </row>
    <row r="3030" spans="1:2" x14ac:dyDescent="0.25">
      <c r="A3030" t="s">
        <v>4718</v>
      </c>
      <c r="B3030" t="s">
        <v>4719</v>
      </c>
    </row>
    <row r="3031" spans="1:2" x14ac:dyDescent="0.25">
      <c r="A3031" t="s">
        <v>4720</v>
      </c>
      <c r="B3031" t="s">
        <v>4721</v>
      </c>
    </row>
    <row r="3032" spans="1:2" x14ac:dyDescent="0.25">
      <c r="A3032" t="s">
        <v>4722</v>
      </c>
      <c r="B3032" t="s">
        <v>4723</v>
      </c>
    </row>
    <row r="3033" spans="1:2" x14ac:dyDescent="0.25">
      <c r="A3033" t="s">
        <v>2223</v>
      </c>
      <c r="B3033" t="s">
        <v>2224</v>
      </c>
    </row>
    <row r="3034" spans="1:2" x14ac:dyDescent="0.25">
      <c r="A3034" t="s">
        <v>2225</v>
      </c>
      <c r="B3034" t="s">
        <v>2226</v>
      </c>
    </row>
    <row r="3035" spans="1:2" x14ac:dyDescent="0.25">
      <c r="A3035" t="s">
        <v>2227</v>
      </c>
      <c r="B3035" t="s">
        <v>4724</v>
      </c>
    </row>
    <row r="3036" spans="1:2" x14ac:dyDescent="0.25">
      <c r="A3036" t="s">
        <v>4725</v>
      </c>
      <c r="B3036" t="s">
        <v>4726</v>
      </c>
    </row>
    <row r="3037" spans="1:2" x14ac:dyDescent="0.25">
      <c r="A3037" t="s">
        <v>4727</v>
      </c>
      <c r="B3037" t="s">
        <v>4728</v>
      </c>
    </row>
    <row r="3038" spans="1:2" x14ac:dyDescent="0.25">
      <c r="A3038" t="s">
        <v>4729</v>
      </c>
      <c r="B3038" t="s">
        <v>4730</v>
      </c>
    </row>
    <row r="3039" spans="1:2" x14ac:dyDescent="0.25">
      <c r="A3039" t="s">
        <v>4731</v>
      </c>
      <c r="B3039" t="s">
        <v>4732</v>
      </c>
    </row>
    <row r="3040" spans="1:2" x14ac:dyDescent="0.25">
      <c r="A3040" t="s">
        <v>4733</v>
      </c>
      <c r="B3040" t="s">
        <v>4734</v>
      </c>
    </row>
    <row r="3041" spans="1:2" x14ac:dyDescent="0.25">
      <c r="A3041" t="s">
        <v>4735</v>
      </c>
      <c r="B3041" t="s">
        <v>4736</v>
      </c>
    </row>
    <row r="3042" spans="1:2" x14ac:dyDescent="0.25">
      <c r="A3042" t="s">
        <v>4737</v>
      </c>
      <c r="B3042" t="s">
        <v>4738</v>
      </c>
    </row>
    <row r="3043" spans="1:2" x14ac:dyDescent="0.25">
      <c r="A3043" t="s">
        <v>4739</v>
      </c>
      <c r="B3043" t="s">
        <v>4740</v>
      </c>
    </row>
    <row r="3044" spans="1:2" x14ac:dyDescent="0.25">
      <c r="A3044" t="s">
        <v>4741</v>
      </c>
      <c r="B3044" t="s">
        <v>4742</v>
      </c>
    </row>
    <row r="3045" spans="1:2" x14ac:dyDescent="0.25">
      <c r="A3045" t="s">
        <v>2235</v>
      </c>
      <c r="B3045" t="s">
        <v>2236</v>
      </c>
    </row>
    <row r="3046" spans="1:2" x14ac:dyDescent="0.25">
      <c r="A3046" t="s">
        <v>4743</v>
      </c>
      <c r="B3046" t="s">
        <v>4744</v>
      </c>
    </row>
    <row r="3047" spans="1:2" x14ac:dyDescent="0.25">
      <c r="A3047" t="s">
        <v>4745</v>
      </c>
      <c r="B3047" t="s">
        <v>4746</v>
      </c>
    </row>
    <row r="3048" spans="1:2" x14ac:dyDescent="0.25">
      <c r="A3048" t="s">
        <v>4747</v>
      </c>
      <c r="B3048" t="s">
        <v>4748</v>
      </c>
    </row>
    <row r="3049" spans="1:2" x14ac:dyDescent="0.25">
      <c r="A3049" t="s">
        <v>4749</v>
      </c>
      <c r="B3049" t="s">
        <v>4750</v>
      </c>
    </row>
    <row r="3050" spans="1:2" x14ac:dyDescent="0.25">
      <c r="A3050" t="s">
        <v>4751</v>
      </c>
      <c r="B3050" t="s">
        <v>4752</v>
      </c>
    </row>
    <row r="3051" spans="1:2" x14ac:dyDescent="0.25">
      <c r="A3051" t="s">
        <v>4753</v>
      </c>
      <c r="B3051" t="s">
        <v>4754</v>
      </c>
    </row>
    <row r="3052" spans="1:2" x14ac:dyDescent="0.25">
      <c r="A3052" t="s">
        <v>4755</v>
      </c>
      <c r="B3052" t="s">
        <v>4756</v>
      </c>
    </row>
    <row r="3053" spans="1:2" x14ac:dyDescent="0.25">
      <c r="A3053" t="s">
        <v>48</v>
      </c>
      <c r="B3053" t="s">
        <v>2237</v>
      </c>
    </row>
    <row r="3054" spans="1:2" x14ac:dyDescent="0.25">
      <c r="A3054" t="s">
        <v>4757</v>
      </c>
      <c r="B3054" t="s">
        <v>4758</v>
      </c>
    </row>
    <row r="3055" spans="1:2" x14ac:dyDescent="0.25">
      <c r="A3055" t="s">
        <v>4759</v>
      </c>
      <c r="B3055" t="s">
        <v>4760</v>
      </c>
    </row>
    <row r="3056" spans="1:2" x14ac:dyDescent="0.25">
      <c r="A3056" t="s">
        <v>4761</v>
      </c>
      <c r="B3056" t="s">
        <v>4762</v>
      </c>
    </row>
    <row r="3057" spans="1:2" x14ac:dyDescent="0.25">
      <c r="A3057" t="s">
        <v>4763</v>
      </c>
      <c r="B3057" t="s">
        <v>4764</v>
      </c>
    </row>
    <row r="3058" spans="1:2" x14ac:dyDescent="0.25">
      <c r="A3058" t="s">
        <v>4765</v>
      </c>
      <c r="B3058" t="s">
        <v>4766</v>
      </c>
    </row>
    <row r="3059" spans="1:2" x14ac:dyDescent="0.25">
      <c r="A3059" t="s">
        <v>4767</v>
      </c>
      <c r="B3059" t="s">
        <v>4768</v>
      </c>
    </row>
    <row r="3060" spans="1:2" x14ac:dyDescent="0.25">
      <c r="A3060" t="s">
        <v>4769</v>
      </c>
      <c r="B3060" t="s">
        <v>4770</v>
      </c>
    </row>
    <row r="3061" spans="1:2" x14ac:dyDescent="0.25">
      <c r="A3061" t="s">
        <v>4771</v>
      </c>
      <c r="B3061" t="s">
        <v>4772</v>
      </c>
    </row>
    <row r="3062" spans="1:2" x14ac:dyDescent="0.25">
      <c r="A3062" t="s">
        <v>3716</v>
      </c>
      <c r="B3062" t="s">
        <v>4773</v>
      </c>
    </row>
    <row r="3063" spans="1:2" x14ac:dyDescent="0.25">
      <c r="A3063" t="s">
        <v>4774</v>
      </c>
      <c r="B3063" t="s">
        <v>4775</v>
      </c>
    </row>
    <row r="3064" spans="1:2" x14ac:dyDescent="0.25">
      <c r="A3064" t="s">
        <v>4776</v>
      </c>
      <c r="B3064" t="s">
        <v>4777</v>
      </c>
    </row>
    <row r="3065" spans="1:2" x14ac:dyDescent="0.25">
      <c r="A3065" t="s">
        <v>4778</v>
      </c>
      <c r="B3065" t="s">
        <v>4779</v>
      </c>
    </row>
    <row r="3066" spans="1:2" x14ac:dyDescent="0.25">
      <c r="A3066" t="s">
        <v>4780</v>
      </c>
      <c r="B3066" t="s">
        <v>4781</v>
      </c>
    </row>
    <row r="3067" spans="1:2" x14ac:dyDescent="0.25">
      <c r="A3067" t="s">
        <v>3510</v>
      </c>
      <c r="B3067" t="s">
        <v>4782</v>
      </c>
    </row>
    <row r="3068" spans="1:2" x14ac:dyDescent="0.25">
      <c r="A3068" t="s">
        <v>4783</v>
      </c>
      <c r="B3068" t="s">
        <v>4784</v>
      </c>
    </row>
    <row r="3069" spans="1:2" x14ac:dyDescent="0.25">
      <c r="A3069" t="s">
        <v>4785</v>
      </c>
      <c r="B3069" t="s">
        <v>4786</v>
      </c>
    </row>
    <row r="3070" spans="1:2" x14ac:dyDescent="0.25">
      <c r="A3070" t="s">
        <v>4787</v>
      </c>
      <c r="B3070" t="s">
        <v>4788</v>
      </c>
    </row>
    <row r="3071" spans="1:2" x14ac:dyDescent="0.25">
      <c r="A3071" t="s">
        <v>4789</v>
      </c>
      <c r="B3071" t="s">
        <v>4790</v>
      </c>
    </row>
    <row r="3072" spans="1:2" x14ac:dyDescent="0.25">
      <c r="A3072" t="s">
        <v>2190</v>
      </c>
      <c r="B3072" t="s">
        <v>4791</v>
      </c>
    </row>
    <row r="3073" spans="1:2" x14ac:dyDescent="0.25">
      <c r="A3073" t="s">
        <v>4792</v>
      </c>
      <c r="B3073" t="s">
        <v>4793</v>
      </c>
    </row>
    <row r="3074" spans="1:2" x14ac:dyDescent="0.25">
      <c r="A3074" t="s">
        <v>4794</v>
      </c>
      <c r="B3074" t="s">
        <v>4795</v>
      </c>
    </row>
    <row r="3075" spans="1:2" x14ac:dyDescent="0.25">
      <c r="A3075" t="s">
        <v>4796</v>
      </c>
      <c r="B3075" t="s">
        <v>4797</v>
      </c>
    </row>
    <row r="3076" spans="1:2" x14ac:dyDescent="0.25">
      <c r="A3076" t="s">
        <v>4798</v>
      </c>
      <c r="B3076" t="s">
        <v>4799</v>
      </c>
    </row>
    <row r="3077" spans="1:2" x14ac:dyDescent="0.25">
      <c r="A3077" t="s">
        <v>4800</v>
      </c>
      <c r="B3077" t="s">
        <v>4801</v>
      </c>
    </row>
    <row r="3078" spans="1:2" x14ac:dyDescent="0.25">
      <c r="A3078" t="s">
        <v>4802</v>
      </c>
      <c r="B3078" t="s">
        <v>4803</v>
      </c>
    </row>
    <row r="3079" spans="1:2" x14ac:dyDescent="0.25">
      <c r="A3079" t="s">
        <v>4804</v>
      </c>
      <c r="B3079" t="s">
        <v>4805</v>
      </c>
    </row>
    <row r="3080" spans="1:2" x14ac:dyDescent="0.25">
      <c r="A3080" t="s">
        <v>4806</v>
      </c>
      <c r="B3080" t="s">
        <v>4807</v>
      </c>
    </row>
    <row r="3081" spans="1:2" x14ac:dyDescent="0.25">
      <c r="A3081" t="s">
        <v>4808</v>
      </c>
      <c r="B3081" t="s">
        <v>4809</v>
      </c>
    </row>
    <row r="3082" spans="1:2" x14ac:dyDescent="0.25">
      <c r="A3082" t="s">
        <v>4810</v>
      </c>
      <c r="B3082" t="s">
        <v>4811</v>
      </c>
    </row>
    <row r="3083" spans="1:2" x14ac:dyDescent="0.25">
      <c r="A3083" t="s">
        <v>2268</v>
      </c>
      <c r="B3083" t="s">
        <v>4812</v>
      </c>
    </row>
    <row r="3084" spans="1:2" x14ac:dyDescent="0.25">
      <c r="A3084" t="s">
        <v>4813</v>
      </c>
      <c r="B3084" t="s">
        <v>4814</v>
      </c>
    </row>
    <row r="3085" spans="1:2" x14ac:dyDescent="0.25">
      <c r="A3085" t="s">
        <v>4815</v>
      </c>
      <c r="B3085" t="s">
        <v>4816</v>
      </c>
    </row>
    <row r="3086" spans="1:2" x14ac:dyDescent="0.25">
      <c r="A3086" t="s">
        <v>4817</v>
      </c>
      <c r="B3086" t="s">
        <v>4818</v>
      </c>
    </row>
    <row r="3087" spans="1:2" x14ac:dyDescent="0.25">
      <c r="A3087" t="s">
        <v>2274</v>
      </c>
      <c r="B3087" t="s">
        <v>2275</v>
      </c>
    </row>
    <row r="3088" spans="1:2" x14ac:dyDescent="0.25">
      <c r="A3088" t="s">
        <v>4819</v>
      </c>
      <c r="B3088" t="s">
        <v>4820</v>
      </c>
    </row>
    <row r="3089" spans="1:2" x14ac:dyDescent="0.25">
      <c r="A3089" t="s">
        <v>4821</v>
      </c>
      <c r="B3089" t="s">
        <v>4822</v>
      </c>
    </row>
    <row r="3090" spans="1:2" x14ac:dyDescent="0.25">
      <c r="A3090" t="s">
        <v>2282</v>
      </c>
      <c r="B3090" t="s">
        <v>2283</v>
      </c>
    </row>
    <row r="3091" spans="1:2" x14ac:dyDescent="0.25">
      <c r="A3091" t="s">
        <v>4823</v>
      </c>
      <c r="B3091" t="s">
        <v>4824</v>
      </c>
    </row>
    <row r="3092" spans="1:2" x14ac:dyDescent="0.25">
      <c r="A3092" t="s">
        <v>4825</v>
      </c>
      <c r="B3092" t="s">
        <v>4826</v>
      </c>
    </row>
    <row r="3093" spans="1:2" x14ac:dyDescent="0.25">
      <c r="A3093" t="s">
        <v>44</v>
      </c>
      <c r="B3093" t="s">
        <v>4827</v>
      </c>
    </row>
    <row r="3094" spans="1:2" x14ac:dyDescent="0.25">
      <c r="A3094" t="s">
        <v>4828</v>
      </c>
      <c r="B3094" t="s">
        <v>4829</v>
      </c>
    </row>
    <row r="3095" spans="1:2" x14ac:dyDescent="0.25">
      <c r="A3095" t="s">
        <v>4830</v>
      </c>
      <c r="B3095" t="s">
        <v>4831</v>
      </c>
    </row>
    <row r="3096" spans="1:2" x14ac:dyDescent="0.25">
      <c r="A3096" t="s">
        <v>2286</v>
      </c>
      <c r="B3096" t="s">
        <v>4832</v>
      </c>
    </row>
    <row r="3097" spans="1:2" x14ac:dyDescent="0.25">
      <c r="A3097" t="s">
        <v>4833</v>
      </c>
      <c r="B3097" t="s">
        <v>4834</v>
      </c>
    </row>
    <row r="3098" spans="1:2" x14ac:dyDescent="0.25">
      <c r="A3098" t="s">
        <v>4835</v>
      </c>
      <c r="B3098" t="s">
        <v>4836</v>
      </c>
    </row>
    <row r="3099" spans="1:2" x14ac:dyDescent="0.25">
      <c r="A3099" t="s">
        <v>4837</v>
      </c>
      <c r="B3099" t="s">
        <v>4838</v>
      </c>
    </row>
    <row r="3100" spans="1:2" x14ac:dyDescent="0.25">
      <c r="A3100" t="s">
        <v>4839</v>
      </c>
      <c r="B3100" t="s">
        <v>4840</v>
      </c>
    </row>
    <row r="3101" spans="1:2" x14ac:dyDescent="0.25">
      <c r="A3101" t="s">
        <v>4841</v>
      </c>
      <c r="B3101" t="s">
        <v>4842</v>
      </c>
    </row>
    <row r="3102" spans="1:2" x14ac:dyDescent="0.25">
      <c r="A3102" t="s">
        <v>1709</v>
      </c>
      <c r="B3102" t="s">
        <v>4843</v>
      </c>
    </row>
    <row r="3103" spans="1:2" x14ac:dyDescent="0.25">
      <c r="A3103" t="s">
        <v>4844</v>
      </c>
      <c r="B3103" t="s">
        <v>4845</v>
      </c>
    </row>
    <row r="3104" spans="1:2" x14ac:dyDescent="0.25">
      <c r="A3104" t="s">
        <v>4846</v>
      </c>
      <c r="B3104" t="s">
        <v>4847</v>
      </c>
    </row>
    <row r="3105" spans="1:2" x14ac:dyDescent="0.25">
      <c r="A3105" t="s">
        <v>4848</v>
      </c>
      <c r="B3105" t="s">
        <v>4849</v>
      </c>
    </row>
    <row r="3106" spans="1:2" x14ac:dyDescent="0.25">
      <c r="A3106" t="s">
        <v>2294</v>
      </c>
      <c r="B3106" t="s">
        <v>2295</v>
      </c>
    </row>
    <row r="3107" spans="1:2" x14ac:dyDescent="0.25">
      <c r="A3107" t="s">
        <v>2298</v>
      </c>
      <c r="B3107" t="s">
        <v>2299</v>
      </c>
    </row>
    <row r="3108" spans="1:2" x14ac:dyDescent="0.25">
      <c r="A3108" t="s">
        <v>4850</v>
      </c>
      <c r="B3108" t="s">
        <v>4851</v>
      </c>
    </row>
    <row r="3109" spans="1:2" x14ac:dyDescent="0.25">
      <c r="A3109" t="s">
        <v>4852</v>
      </c>
      <c r="B3109" t="s">
        <v>4853</v>
      </c>
    </row>
    <row r="3110" spans="1:2" x14ac:dyDescent="0.25">
      <c r="A3110" t="s">
        <v>4854</v>
      </c>
      <c r="B3110" t="s">
        <v>4855</v>
      </c>
    </row>
    <row r="3111" spans="1:2" x14ac:dyDescent="0.25">
      <c r="A3111" t="s">
        <v>4856</v>
      </c>
      <c r="B3111" t="s">
        <v>4857</v>
      </c>
    </row>
    <row r="3112" spans="1:2" x14ac:dyDescent="0.25">
      <c r="A3112" t="s">
        <v>4858</v>
      </c>
      <c r="B3112" t="s">
        <v>4859</v>
      </c>
    </row>
    <row r="3113" spans="1:2" x14ac:dyDescent="0.25">
      <c r="A3113" t="s">
        <v>4860</v>
      </c>
      <c r="B3113" t="s">
        <v>4861</v>
      </c>
    </row>
    <row r="3114" spans="1:2" x14ac:dyDescent="0.25">
      <c r="A3114" t="s">
        <v>4862</v>
      </c>
      <c r="B3114" t="s">
        <v>4863</v>
      </c>
    </row>
    <row r="3115" spans="1:2" x14ac:dyDescent="0.25">
      <c r="A3115" t="s">
        <v>4864</v>
      </c>
      <c r="B3115" t="s">
        <v>4865</v>
      </c>
    </row>
    <row r="3116" spans="1:2" x14ac:dyDescent="0.25">
      <c r="A3116" t="s">
        <v>4866</v>
      </c>
      <c r="B3116" t="s">
        <v>4867</v>
      </c>
    </row>
    <row r="3117" spans="1:2" x14ac:dyDescent="0.25">
      <c r="A3117" t="s">
        <v>4868</v>
      </c>
      <c r="B3117" t="s">
        <v>4869</v>
      </c>
    </row>
    <row r="3118" spans="1:2" x14ac:dyDescent="0.25">
      <c r="A3118" t="s">
        <v>4870</v>
      </c>
      <c r="B3118" t="s">
        <v>4871</v>
      </c>
    </row>
    <row r="3119" spans="1:2" x14ac:dyDescent="0.25">
      <c r="A3119" t="s">
        <v>4872</v>
      </c>
      <c r="B3119" t="s">
        <v>4873</v>
      </c>
    </row>
    <row r="3120" spans="1:2" x14ac:dyDescent="0.25">
      <c r="A3120" t="s">
        <v>4874</v>
      </c>
      <c r="B3120" t="s">
        <v>4875</v>
      </c>
    </row>
    <row r="3121" spans="1:2" x14ac:dyDescent="0.25">
      <c r="A3121" t="s">
        <v>4876</v>
      </c>
      <c r="B3121" t="s">
        <v>4877</v>
      </c>
    </row>
    <row r="3122" spans="1:2" x14ac:dyDescent="0.25">
      <c r="A3122" t="s">
        <v>4878</v>
      </c>
      <c r="B3122" t="s">
        <v>4879</v>
      </c>
    </row>
    <row r="3123" spans="1:2" x14ac:dyDescent="0.25">
      <c r="A3123" t="s">
        <v>4880</v>
      </c>
      <c r="B3123" t="s">
        <v>4881</v>
      </c>
    </row>
    <row r="3124" spans="1:2" x14ac:dyDescent="0.25">
      <c r="A3124" t="s">
        <v>4882</v>
      </c>
      <c r="B3124" t="s">
        <v>4883</v>
      </c>
    </row>
    <row r="3125" spans="1:2" x14ac:dyDescent="0.25">
      <c r="A3125" t="s">
        <v>4884</v>
      </c>
      <c r="B3125" t="s">
        <v>4885</v>
      </c>
    </row>
    <row r="3126" spans="1:2" x14ac:dyDescent="0.25">
      <c r="A3126" t="s">
        <v>4886</v>
      </c>
      <c r="B3126" t="s">
        <v>4887</v>
      </c>
    </row>
    <row r="3127" spans="1:2" x14ac:dyDescent="0.25">
      <c r="A3127" t="s">
        <v>4888</v>
      </c>
      <c r="B3127" t="s">
        <v>4889</v>
      </c>
    </row>
    <row r="3128" spans="1:2" x14ac:dyDescent="0.25">
      <c r="A3128" t="s">
        <v>4890</v>
      </c>
      <c r="B3128" t="s">
        <v>4891</v>
      </c>
    </row>
    <row r="3129" spans="1:2" x14ac:dyDescent="0.25">
      <c r="A3129" t="s">
        <v>4892</v>
      </c>
      <c r="B3129" t="s">
        <v>4893</v>
      </c>
    </row>
    <row r="3130" spans="1:2" x14ac:dyDescent="0.25">
      <c r="A3130" t="s">
        <v>4894</v>
      </c>
      <c r="B3130" t="s">
        <v>4895</v>
      </c>
    </row>
    <row r="3131" spans="1:2" x14ac:dyDescent="0.25">
      <c r="A3131" t="s">
        <v>4896</v>
      </c>
      <c r="B3131" t="s">
        <v>4897</v>
      </c>
    </row>
    <row r="3132" spans="1:2" x14ac:dyDescent="0.25">
      <c r="A3132" t="s">
        <v>91</v>
      </c>
      <c r="B3132" t="s">
        <v>4898</v>
      </c>
    </row>
    <row r="3133" spans="1:2" x14ac:dyDescent="0.25">
      <c r="A3133" t="s">
        <v>4899</v>
      </c>
      <c r="B3133" t="s">
        <v>4900</v>
      </c>
    </row>
    <row r="3134" spans="1:2" x14ac:dyDescent="0.25">
      <c r="A3134" t="s">
        <v>2317</v>
      </c>
      <c r="B3134" t="s">
        <v>2318</v>
      </c>
    </row>
    <row r="3135" spans="1:2" x14ac:dyDescent="0.25">
      <c r="A3135" t="s">
        <v>2321</v>
      </c>
      <c r="B3135" t="s">
        <v>2322</v>
      </c>
    </row>
    <row r="3136" spans="1:2" x14ac:dyDescent="0.25">
      <c r="A3136" t="s">
        <v>4901</v>
      </c>
      <c r="B3136" t="s">
        <v>4902</v>
      </c>
    </row>
    <row r="3137" spans="1:2" x14ac:dyDescent="0.25">
      <c r="A3137" t="s">
        <v>4903</v>
      </c>
      <c r="B3137" t="s">
        <v>4904</v>
      </c>
    </row>
    <row r="3138" spans="1:2" x14ac:dyDescent="0.25">
      <c r="A3138" t="s">
        <v>37</v>
      </c>
      <c r="B3138" t="s">
        <v>4905</v>
      </c>
    </row>
    <row r="3139" spans="1:2" x14ac:dyDescent="0.25">
      <c r="A3139" t="s">
        <v>4906</v>
      </c>
      <c r="B3139" t="s">
        <v>4907</v>
      </c>
    </row>
    <row r="3140" spans="1:2" x14ac:dyDescent="0.25">
      <c r="A3140" t="s">
        <v>4908</v>
      </c>
      <c r="B3140" t="s">
        <v>4909</v>
      </c>
    </row>
    <row r="3141" spans="1:2" x14ac:dyDescent="0.25">
      <c r="A3141" t="s">
        <v>1703</v>
      </c>
      <c r="B3141" t="s">
        <v>4910</v>
      </c>
    </row>
    <row r="3142" spans="1:2" x14ac:dyDescent="0.25">
      <c r="A3142" t="s">
        <v>4911</v>
      </c>
      <c r="B3142" t="s">
        <v>4912</v>
      </c>
    </row>
    <row r="3143" spans="1:2" x14ac:dyDescent="0.25">
      <c r="A3143" t="s">
        <v>4913</v>
      </c>
      <c r="B3143" t="s">
        <v>4914</v>
      </c>
    </row>
    <row r="3144" spans="1:2" x14ac:dyDescent="0.25">
      <c r="A3144" t="s">
        <v>4915</v>
      </c>
      <c r="B3144" t="s">
        <v>4916</v>
      </c>
    </row>
    <row r="3145" spans="1:2" x14ac:dyDescent="0.25">
      <c r="A3145" t="s">
        <v>4917</v>
      </c>
      <c r="B3145" t="s">
        <v>4918</v>
      </c>
    </row>
    <row r="3146" spans="1:2" x14ac:dyDescent="0.25">
      <c r="A3146" t="s">
        <v>4919</v>
      </c>
      <c r="B3146" t="s">
        <v>4920</v>
      </c>
    </row>
    <row r="3147" spans="1:2" x14ac:dyDescent="0.25">
      <c r="A3147" t="s">
        <v>4921</v>
      </c>
      <c r="B3147" t="s">
        <v>4922</v>
      </c>
    </row>
    <row r="3148" spans="1:2" x14ac:dyDescent="0.25">
      <c r="A3148" t="s">
        <v>4923</v>
      </c>
      <c r="B3148" t="s">
        <v>4924</v>
      </c>
    </row>
    <row r="3149" spans="1:2" x14ac:dyDescent="0.25">
      <c r="A3149" t="s">
        <v>4925</v>
      </c>
      <c r="B3149" t="s">
        <v>4926</v>
      </c>
    </row>
    <row r="3150" spans="1:2" x14ac:dyDescent="0.25">
      <c r="A3150" t="s">
        <v>2342</v>
      </c>
      <c r="B3150" t="s">
        <v>2343</v>
      </c>
    </row>
    <row r="3151" spans="1:2" x14ac:dyDescent="0.25">
      <c r="A3151" t="s">
        <v>4927</v>
      </c>
      <c r="B3151" t="s">
        <v>4928</v>
      </c>
    </row>
    <row r="3152" spans="1:2" x14ac:dyDescent="0.25">
      <c r="A3152" t="s">
        <v>4929</v>
      </c>
      <c r="B3152" t="s">
        <v>4930</v>
      </c>
    </row>
    <row r="3153" spans="1:2" x14ac:dyDescent="0.25">
      <c r="A3153" t="s">
        <v>4931</v>
      </c>
      <c r="B3153" t="s">
        <v>4932</v>
      </c>
    </row>
    <row r="3154" spans="1:2" x14ac:dyDescent="0.25">
      <c r="A3154" t="s">
        <v>4933</v>
      </c>
      <c r="B3154" t="s">
        <v>4934</v>
      </c>
    </row>
    <row r="3155" spans="1:2" x14ac:dyDescent="0.25">
      <c r="A3155" t="s">
        <v>4935</v>
      </c>
      <c r="B3155" t="s">
        <v>4936</v>
      </c>
    </row>
    <row r="3156" spans="1:2" x14ac:dyDescent="0.25">
      <c r="A3156" t="s">
        <v>4937</v>
      </c>
      <c r="B3156" t="s">
        <v>4938</v>
      </c>
    </row>
    <row r="3157" spans="1:2" x14ac:dyDescent="0.25">
      <c r="A3157" t="s">
        <v>4939</v>
      </c>
      <c r="B3157" t="s">
        <v>4940</v>
      </c>
    </row>
    <row r="3158" spans="1:2" x14ac:dyDescent="0.25">
      <c r="A3158" t="s">
        <v>4941</v>
      </c>
      <c r="B3158" t="s">
        <v>4942</v>
      </c>
    </row>
    <row r="3159" spans="1:2" x14ac:dyDescent="0.25">
      <c r="A3159" t="s">
        <v>2348</v>
      </c>
      <c r="B3159" t="s">
        <v>2349</v>
      </c>
    </row>
    <row r="3160" spans="1:2" x14ac:dyDescent="0.25">
      <c r="A3160" t="s">
        <v>4943</v>
      </c>
      <c r="B3160" t="s">
        <v>4944</v>
      </c>
    </row>
    <row r="3161" spans="1:2" x14ac:dyDescent="0.25">
      <c r="A3161" t="s">
        <v>4945</v>
      </c>
      <c r="B3161" t="s">
        <v>4946</v>
      </c>
    </row>
    <row r="3162" spans="1:2" x14ac:dyDescent="0.25">
      <c r="A3162" t="s">
        <v>4947</v>
      </c>
      <c r="B3162" t="s">
        <v>4948</v>
      </c>
    </row>
    <row r="3163" spans="1:2" x14ac:dyDescent="0.25">
      <c r="A3163" t="s">
        <v>4949</v>
      </c>
      <c r="B3163" t="s">
        <v>4950</v>
      </c>
    </row>
    <row r="3164" spans="1:2" x14ac:dyDescent="0.25">
      <c r="A3164" t="s">
        <v>4951</v>
      </c>
      <c r="B3164" t="s">
        <v>4952</v>
      </c>
    </row>
    <row r="3165" spans="1:2" x14ac:dyDescent="0.25">
      <c r="A3165" t="s">
        <v>4953</v>
      </c>
      <c r="B3165" t="s">
        <v>4954</v>
      </c>
    </row>
    <row r="3166" spans="1:2" x14ac:dyDescent="0.25">
      <c r="A3166" t="s">
        <v>4955</v>
      </c>
      <c r="B3166" t="s">
        <v>4956</v>
      </c>
    </row>
    <row r="3167" spans="1:2" x14ac:dyDescent="0.25">
      <c r="A3167" t="s">
        <v>4957</v>
      </c>
      <c r="B3167" t="s">
        <v>4958</v>
      </c>
    </row>
    <row r="3168" spans="1:2" x14ac:dyDescent="0.25">
      <c r="A3168" t="s">
        <v>4959</v>
      </c>
      <c r="B3168" t="s">
        <v>4960</v>
      </c>
    </row>
    <row r="3169" spans="1:2" x14ac:dyDescent="0.25">
      <c r="A3169" t="s">
        <v>4961</v>
      </c>
      <c r="B3169" t="s">
        <v>4962</v>
      </c>
    </row>
    <row r="3170" spans="1:2" x14ac:dyDescent="0.25">
      <c r="A3170" t="s">
        <v>1597</v>
      </c>
      <c r="B3170" t="s">
        <v>4963</v>
      </c>
    </row>
    <row r="3171" spans="1:2" x14ac:dyDescent="0.25">
      <c r="A3171" t="s">
        <v>4964</v>
      </c>
      <c r="B3171" t="s">
        <v>4965</v>
      </c>
    </row>
    <row r="3172" spans="1:2" x14ac:dyDescent="0.25">
      <c r="A3172" t="s">
        <v>4966</v>
      </c>
      <c r="B3172" t="s">
        <v>4967</v>
      </c>
    </row>
    <row r="3173" spans="1:2" x14ac:dyDescent="0.25">
      <c r="A3173" t="s">
        <v>4968</v>
      </c>
      <c r="B3173" t="s">
        <v>4969</v>
      </c>
    </row>
    <row r="3174" spans="1:2" x14ac:dyDescent="0.25">
      <c r="A3174" t="s">
        <v>4970</v>
      </c>
      <c r="B3174" t="s">
        <v>4971</v>
      </c>
    </row>
    <row r="3175" spans="1:2" x14ac:dyDescent="0.25">
      <c r="A3175" t="s">
        <v>4972</v>
      </c>
      <c r="B3175" t="s">
        <v>4973</v>
      </c>
    </row>
    <row r="3176" spans="1:2" x14ac:dyDescent="0.25">
      <c r="A3176" t="s">
        <v>4974</v>
      </c>
      <c r="B3176" t="s">
        <v>4975</v>
      </c>
    </row>
    <row r="3177" spans="1:2" x14ac:dyDescent="0.25">
      <c r="A3177" t="s">
        <v>4976</v>
      </c>
      <c r="B3177" t="s">
        <v>4977</v>
      </c>
    </row>
    <row r="3178" spans="1:2" x14ac:dyDescent="0.25">
      <c r="A3178" t="s">
        <v>4978</v>
      </c>
      <c r="B3178" t="s">
        <v>4979</v>
      </c>
    </row>
    <row r="3179" spans="1:2" x14ac:dyDescent="0.25">
      <c r="A3179" t="s">
        <v>4980</v>
      </c>
      <c r="B3179" t="s">
        <v>4981</v>
      </c>
    </row>
    <row r="3180" spans="1:2" x14ac:dyDescent="0.25">
      <c r="A3180" t="s">
        <v>4982</v>
      </c>
      <c r="B3180" t="s">
        <v>4983</v>
      </c>
    </row>
    <row r="3181" spans="1:2" x14ac:dyDescent="0.25">
      <c r="A3181" t="s">
        <v>4984</v>
      </c>
      <c r="B3181" t="s">
        <v>4985</v>
      </c>
    </row>
    <row r="3182" spans="1:2" x14ac:dyDescent="0.25">
      <c r="A3182" t="s">
        <v>4986</v>
      </c>
      <c r="B3182" t="s">
        <v>4987</v>
      </c>
    </row>
    <row r="3183" spans="1:2" x14ac:dyDescent="0.25">
      <c r="A3183" t="s">
        <v>4988</v>
      </c>
      <c r="B3183" t="s">
        <v>4989</v>
      </c>
    </row>
    <row r="3184" spans="1:2" x14ac:dyDescent="0.25">
      <c r="A3184" t="s">
        <v>4990</v>
      </c>
      <c r="B3184" t="s">
        <v>4991</v>
      </c>
    </row>
    <row r="3185" spans="1:2" x14ac:dyDescent="0.25">
      <c r="A3185" t="s">
        <v>4992</v>
      </c>
      <c r="B3185" t="s">
        <v>4993</v>
      </c>
    </row>
    <row r="3186" spans="1:2" x14ac:dyDescent="0.25">
      <c r="A3186" t="s">
        <v>4994</v>
      </c>
      <c r="B3186" t="s">
        <v>4995</v>
      </c>
    </row>
    <row r="3187" spans="1:2" x14ac:dyDescent="0.25">
      <c r="A3187" t="s">
        <v>4996</v>
      </c>
      <c r="B3187" t="s">
        <v>4997</v>
      </c>
    </row>
    <row r="3188" spans="1:2" x14ac:dyDescent="0.25">
      <c r="A3188" t="s">
        <v>4998</v>
      </c>
      <c r="B3188" t="s">
        <v>4999</v>
      </c>
    </row>
    <row r="3189" spans="1:2" x14ac:dyDescent="0.25">
      <c r="A3189" t="s">
        <v>5000</v>
      </c>
      <c r="B3189" t="s">
        <v>5001</v>
      </c>
    </row>
    <row r="3190" spans="1:2" x14ac:dyDescent="0.25">
      <c r="A3190" t="s">
        <v>5002</v>
      </c>
      <c r="B3190" t="s">
        <v>5003</v>
      </c>
    </row>
    <row r="3191" spans="1:2" x14ac:dyDescent="0.25">
      <c r="A3191" t="s">
        <v>5004</v>
      </c>
      <c r="B3191" t="s">
        <v>5005</v>
      </c>
    </row>
    <row r="3192" spans="1:2" x14ac:dyDescent="0.25">
      <c r="A3192" t="s">
        <v>5006</v>
      </c>
      <c r="B3192" t="s">
        <v>5007</v>
      </c>
    </row>
    <row r="3193" spans="1:2" x14ac:dyDescent="0.25">
      <c r="A3193" t="s">
        <v>5008</v>
      </c>
      <c r="B3193" t="s">
        <v>5009</v>
      </c>
    </row>
    <row r="3194" spans="1:2" x14ac:dyDescent="0.25">
      <c r="A3194" t="s">
        <v>5010</v>
      </c>
      <c r="B3194" t="s">
        <v>5011</v>
      </c>
    </row>
    <row r="3195" spans="1:2" x14ac:dyDescent="0.25">
      <c r="A3195" t="s">
        <v>5012</v>
      </c>
      <c r="B3195" t="s">
        <v>5013</v>
      </c>
    </row>
    <row r="3196" spans="1:2" x14ac:dyDescent="0.25">
      <c r="A3196" t="s">
        <v>5014</v>
      </c>
      <c r="B3196" t="s">
        <v>5015</v>
      </c>
    </row>
    <row r="3197" spans="1:2" x14ac:dyDescent="0.25">
      <c r="A3197" t="s">
        <v>5016</v>
      </c>
      <c r="B3197" t="s">
        <v>5017</v>
      </c>
    </row>
    <row r="3198" spans="1:2" x14ac:dyDescent="0.25">
      <c r="A3198" t="s">
        <v>1684</v>
      </c>
      <c r="B3198" t="s">
        <v>5018</v>
      </c>
    </row>
    <row r="3199" spans="1:2" x14ac:dyDescent="0.25">
      <c r="A3199" t="s">
        <v>5019</v>
      </c>
      <c r="B3199" t="s">
        <v>5020</v>
      </c>
    </row>
    <row r="3200" spans="1:2" x14ac:dyDescent="0.25">
      <c r="A3200" t="s">
        <v>5021</v>
      </c>
      <c r="B3200" t="s">
        <v>5022</v>
      </c>
    </row>
    <row r="3201" spans="1:2" x14ac:dyDescent="0.25">
      <c r="A3201" t="s">
        <v>2366</v>
      </c>
      <c r="B3201" t="s">
        <v>2367</v>
      </c>
    </row>
    <row r="3202" spans="1:2" x14ac:dyDescent="0.25">
      <c r="A3202" t="s">
        <v>5023</v>
      </c>
      <c r="B3202" t="s">
        <v>5024</v>
      </c>
    </row>
    <row r="3203" spans="1:2" x14ac:dyDescent="0.25">
      <c r="A3203" t="s">
        <v>5025</v>
      </c>
      <c r="B3203" t="s">
        <v>5026</v>
      </c>
    </row>
    <row r="3204" spans="1:2" x14ac:dyDescent="0.25">
      <c r="A3204" t="s">
        <v>5027</v>
      </c>
      <c r="B3204" t="s">
        <v>5028</v>
      </c>
    </row>
    <row r="3205" spans="1:2" x14ac:dyDescent="0.25">
      <c r="A3205" t="s">
        <v>5029</v>
      </c>
      <c r="B3205" t="s">
        <v>5030</v>
      </c>
    </row>
    <row r="3206" spans="1:2" x14ac:dyDescent="0.25">
      <c r="A3206" t="s">
        <v>5031</v>
      </c>
      <c r="B3206" t="s">
        <v>5032</v>
      </c>
    </row>
    <row r="3207" spans="1:2" x14ac:dyDescent="0.25">
      <c r="A3207" t="s">
        <v>5033</v>
      </c>
      <c r="B3207" t="s">
        <v>5034</v>
      </c>
    </row>
    <row r="3208" spans="1:2" x14ac:dyDescent="0.25">
      <c r="A3208" t="s">
        <v>5035</v>
      </c>
      <c r="B3208" t="s">
        <v>5036</v>
      </c>
    </row>
    <row r="3209" spans="1:2" x14ac:dyDescent="0.25">
      <c r="A3209" t="s">
        <v>5037</v>
      </c>
      <c r="B3209" t="s">
        <v>5038</v>
      </c>
    </row>
    <row r="3210" spans="1:2" x14ac:dyDescent="0.25">
      <c r="A3210" t="s">
        <v>2380</v>
      </c>
      <c r="B3210" t="s">
        <v>2381</v>
      </c>
    </row>
    <row r="3211" spans="1:2" x14ac:dyDescent="0.25">
      <c r="A3211" t="s">
        <v>5039</v>
      </c>
      <c r="B3211" t="s">
        <v>5040</v>
      </c>
    </row>
    <row r="3212" spans="1:2" x14ac:dyDescent="0.25">
      <c r="A3212" t="s">
        <v>5041</v>
      </c>
      <c r="B3212" t="s">
        <v>5042</v>
      </c>
    </row>
    <row r="3213" spans="1:2" x14ac:dyDescent="0.25">
      <c r="A3213" t="s">
        <v>5043</v>
      </c>
      <c r="B3213" t="s">
        <v>5044</v>
      </c>
    </row>
    <row r="3214" spans="1:2" x14ac:dyDescent="0.25">
      <c r="A3214" t="s">
        <v>2384</v>
      </c>
      <c r="B3214" t="s">
        <v>2385</v>
      </c>
    </row>
    <row r="3215" spans="1:2" x14ac:dyDescent="0.25">
      <c r="A3215" t="s">
        <v>5045</v>
      </c>
      <c r="B3215" t="s">
        <v>5046</v>
      </c>
    </row>
    <row r="3216" spans="1:2" x14ac:dyDescent="0.25">
      <c r="A3216" t="s">
        <v>5047</v>
      </c>
      <c r="B3216" t="s">
        <v>5048</v>
      </c>
    </row>
    <row r="3217" spans="1:2" x14ac:dyDescent="0.25">
      <c r="A3217" t="s">
        <v>2386</v>
      </c>
      <c r="B3217" t="s">
        <v>2387</v>
      </c>
    </row>
    <row r="3218" spans="1:2" x14ac:dyDescent="0.25">
      <c r="A3218" t="s">
        <v>5049</v>
      </c>
      <c r="B3218" t="s">
        <v>5050</v>
      </c>
    </row>
    <row r="3219" spans="1:2" x14ac:dyDescent="0.25">
      <c r="A3219" t="s">
        <v>5051</v>
      </c>
      <c r="B3219" t="s">
        <v>5052</v>
      </c>
    </row>
    <row r="3220" spans="1:2" x14ac:dyDescent="0.25">
      <c r="A3220" t="s">
        <v>2390</v>
      </c>
      <c r="B3220" t="s">
        <v>2391</v>
      </c>
    </row>
    <row r="3221" spans="1:2" x14ac:dyDescent="0.25">
      <c r="A3221" t="s">
        <v>5053</v>
      </c>
      <c r="B3221" t="s">
        <v>5054</v>
      </c>
    </row>
    <row r="3222" spans="1:2" x14ac:dyDescent="0.25">
      <c r="A3222" t="s">
        <v>2392</v>
      </c>
      <c r="B3222" t="s">
        <v>2393</v>
      </c>
    </row>
    <row r="3223" spans="1:2" x14ac:dyDescent="0.25">
      <c r="A3223" t="s">
        <v>5055</v>
      </c>
      <c r="B3223" t="s">
        <v>5056</v>
      </c>
    </row>
    <row r="3224" spans="1:2" x14ac:dyDescent="0.25">
      <c r="A3224" t="s">
        <v>5057</v>
      </c>
      <c r="B3224" t="s">
        <v>5058</v>
      </c>
    </row>
    <row r="3225" spans="1:2" x14ac:dyDescent="0.25">
      <c r="A3225" t="s">
        <v>5059</v>
      </c>
      <c r="B3225" t="s">
        <v>5060</v>
      </c>
    </row>
    <row r="3226" spans="1:2" x14ac:dyDescent="0.25">
      <c r="A3226" t="s">
        <v>5061</v>
      </c>
      <c r="B3226" t="s">
        <v>5062</v>
      </c>
    </row>
    <row r="3227" spans="1:2" x14ac:dyDescent="0.25">
      <c r="A3227" t="s">
        <v>5063</v>
      </c>
      <c r="B3227" t="s">
        <v>5064</v>
      </c>
    </row>
    <row r="3228" spans="1:2" x14ac:dyDescent="0.25">
      <c r="A3228" t="s">
        <v>5065</v>
      </c>
      <c r="B3228" t="s">
        <v>5066</v>
      </c>
    </row>
    <row r="3229" spans="1:2" x14ac:dyDescent="0.25">
      <c r="A3229" t="s">
        <v>5067</v>
      </c>
      <c r="B3229" t="s">
        <v>5068</v>
      </c>
    </row>
    <row r="3230" spans="1:2" x14ac:dyDescent="0.25">
      <c r="A3230" t="s">
        <v>5069</v>
      </c>
      <c r="B3230" t="s">
        <v>5070</v>
      </c>
    </row>
    <row r="3231" spans="1:2" x14ac:dyDescent="0.25">
      <c r="A3231" t="s">
        <v>5071</v>
      </c>
      <c r="B3231" t="s">
        <v>5072</v>
      </c>
    </row>
    <row r="3232" spans="1:2" x14ac:dyDescent="0.25">
      <c r="A3232" t="s">
        <v>5073</v>
      </c>
      <c r="B3232" t="s">
        <v>5074</v>
      </c>
    </row>
    <row r="3233" spans="1:2" x14ac:dyDescent="0.25">
      <c r="A3233" t="s">
        <v>5075</v>
      </c>
      <c r="B3233" t="s">
        <v>5076</v>
      </c>
    </row>
    <row r="3234" spans="1:2" x14ac:dyDescent="0.25">
      <c r="A3234" t="s">
        <v>5077</v>
      </c>
      <c r="B3234" t="s">
        <v>5078</v>
      </c>
    </row>
    <row r="3235" spans="1:2" x14ac:dyDescent="0.25">
      <c r="A3235" t="s">
        <v>5079</v>
      </c>
      <c r="B3235" t="s">
        <v>5080</v>
      </c>
    </row>
    <row r="3236" spans="1:2" x14ac:dyDescent="0.25">
      <c r="A3236" t="s">
        <v>5081</v>
      </c>
      <c r="B3236" t="s">
        <v>5082</v>
      </c>
    </row>
    <row r="3237" spans="1:2" x14ac:dyDescent="0.25">
      <c r="A3237" t="s">
        <v>5083</v>
      </c>
      <c r="B3237" t="s">
        <v>5084</v>
      </c>
    </row>
    <row r="3238" spans="1:2" x14ac:dyDescent="0.25">
      <c r="A3238" t="s">
        <v>5085</v>
      </c>
      <c r="B3238" t="s">
        <v>5086</v>
      </c>
    </row>
    <row r="3239" spans="1:2" x14ac:dyDescent="0.25">
      <c r="A3239" t="s">
        <v>5087</v>
      </c>
      <c r="B3239" t="s">
        <v>5088</v>
      </c>
    </row>
    <row r="3240" spans="1:2" x14ac:dyDescent="0.25">
      <c r="A3240" t="s">
        <v>5089</v>
      </c>
      <c r="B3240" t="s">
        <v>5090</v>
      </c>
    </row>
    <row r="3241" spans="1:2" x14ac:dyDescent="0.25">
      <c r="A3241" t="s">
        <v>5091</v>
      </c>
      <c r="B3241" t="s">
        <v>5092</v>
      </c>
    </row>
    <row r="3242" spans="1:2" x14ac:dyDescent="0.25">
      <c r="A3242" t="s">
        <v>5093</v>
      </c>
      <c r="B3242" t="s">
        <v>5094</v>
      </c>
    </row>
    <row r="3243" spans="1:2" x14ac:dyDescent="0.25">
      <c r="A3243" t="s">
        <v>2414</v>
      </c>
      <c r="B3243" t="s">
        <v>2415</v>
      </c>
    </row>
    <row r="3244" spans="1:2" x14ac:dyDescent="0.25">
      <c r="A3244" t="s">
        <v>5095</v>
      </c>
      <c r="B3244" t="s">
        <v>5096</v>
      </c>
    </row>
    <row r="3245" spans="1:2" x14ac:dyDescent="0.25">
      <c r="A3245" t="s">
        <v>5097</v>
      </c>
      <c r="B3245" t="s">
        <v>5098</v>
      </c>
    </row>
    <row r="3246" spans="1:2" x14ac:dyDescent="0.25">
      <c r="A3246" t="s">
        <v>5099</v>
      </c>
      <c r="B3246" t="s">
        <v>5100</v>
      </c>
    </row>
    <row r="3247" spans="1:2" x14ac:dyDescent="0.25">
      <c r="A3247" t="s">
        <v>5101</v>
      </c>
      <c r="B3247" t="s">
        <v>5102</v>
      </c>
    </row>
    <row r="3248" spans="1:2" x14ac:dyDescent="0.25">
      <c r="A3248" t="s">
        <v>2422</v>
      </c>
      <c r="B3248" t="s">
        <v>2423</v>
      </c>
    </row>
    <row r="3249" spans="1:2" x14ac:dyDescent="0.25">
      <c r="A3249" t="s">
        <v>5103</v>
      </c>
      <c r="B3249" t="s">
        <v>5104</v>
      </c>
    </row>
    <row r="3250" spans="1:2" x14ac:dyDescent="0.25">
      <c r="A3250" t="s">
        <v>5105</v>
      </c>
      <c r="B3250" t="s">
        <v>5106</v>
      </c>
    </row>
    <row r="3251" spans="1:2" x14ac:dyDescent="0.25">
      <c r="A3251" t="s">
        <v>5107</v>
      </c>
      <c r="B3251" t="s">
        <v>5108</v>
      </c>
    </row>
    <row r="3252" spans="1:2" x14ac:dyDescent="0.25">
      <c r="A3252" t="s">
        <v>5109</v>
      </c>
      <c r="B3252" t="s">
        <v>5110</v>
      </c>
    </row>
    <row r="3253" spans="1:2" x14ac:dyDescent="0.25">
      <c r="A3253" t="s">
        <v>5111</v>
      </c>
      <c r="B3253" t="s">
        <v>5112</v>
      </c>
    </row>
    <row r="3254" spans="1:2" x14ac:dyDescent="0.25">
      <c r="A3254" t="s">
        <v>5113</v>
      </c>
      <c r="B3254" t="s">
        <v>5114</v>
      </c>
    </row>
    <row r="3255" spans="1:2" x14ac:dyDescent="0.25">
      <c r="A3255" t="s">
        <v>5115</v>
      </c>
      <c r="B3255" t="s">
        <v>5116</v>
      </c>
    </row>
    <row r="3256" spans="1:2" x14ac:dyDescent="0.25">
      <c r="A3256" t="s">
        <v>5117</v>
      </c>
      <c r="B3256" t="s">
        <v>5118</v>
      </c>
    </row>
    <row r="3257" spans="1:2" x14ac:dyDescent="0.25">
      <c r="A3257" t="s">
        <v>5119</v>
      </c>
      <c r="B3257" t="s">
        <v>5120</v>
      </c>
    </row>
    <row r="3258" spans="1:2" x14ac:dyDescent="0.25">
      <c r="A3258" t="s">
        <v>5121</v>
      </c>
      <c r="B3258" t="s">
        <v>5122</v>
      </c>
    </row>
    <row r="3259" spans="1:2" x14ac:dyDescent="0.25">
      <c r="A3259" t="s">
        <v>5123</v>
      </c>
      <c r="B3259" t="s">
        <v>5124</v>
      </c>
    </row>
    <row r="3260" spans="1:2" x14ac:dyDescent="0.25">
      <c r="A3260" t="s">
        <v>5125</v>
      </c>
      <c r="B3260" t="s">
        <v>5126</v>
      </c>
    </row>
    <row r="3261" spans="1:2" x14ac:dyDescent="0.25">
      <c r="A3261" t="s">
        <v>5127</v>
      </c>
      <c r="B3261" t="s">
        <v>5128</v>
      </c>
    </row>
    <row r="3262" spans="1:2" x14ac:dyDescent="0.25">
      <c r="A3262" t="s">
        <v>5129</v>
      </c>
      <c r="B3262" t="s">
        <v>5130</v>
      </c>
    </row>
    <row r="3263" spans="1:2" x14ac:dyDescent="0.25">
      <c r="A3263" t="s">
        <v>1584</v>
      </c>
      <c r="B3263" t="s">
        <v>2435</v>
      </c>
    </row>
    <row r="3264" spans="1:2" x14ac:dyDescent="0.25">
      <c r="A3264" t="s">
        <v>5131</v>
      </c>
      <c r="B3264" t="s">
        <v>5132</v>
      </c>
    </row>
    <row r="3265" spans="1:2" x14ac:dyDescent="0.25">
      <c r="A3265" t="s">
        <v>5133</v>
      </c>
      <c r="B3265" t="s">
        <v>5134</v>
      </c>
    </row>
    <row r="3266" spans="1:2" x14ac:dyDescent="0.25">
      <c r="A3266" t="s">
        <v>5135</v>
      </c>
      <c r="B3266" t="s">
        <v>5136</v>
      </c>
    </row>
    <row r="3267" spans="1:2" x14ac:dyDescent="0.25">
      <c r="A3267" t="s">
        <v>2438</v>
      </c>
      <c r="B3267" t="s">
        <v>2439</v>
      </c>
    </row>
    <row r="3268" spans="1:2" x14ac:dyDescent="0.25">
      <c r="A3268" t="s">
        <v>2442</v>
      </c>
      <c r="B3268" t="s">
        <v>2443</v>
      </c>
    </row>
    <row r="3269" spans="1:2" x14ac:dyDescent="0.25">
      <c r="A3269" t="s">
        <v>5137</v>
      </c>
      <c r="B3269" t="s">
        <v>5138</v>
      </c>
    </row>
    <row r="3270" spans="1:2" x14ac:dyDescent="0.25">
      <c r="A3270" t="s">
        <v>5139</v>
      </c>
      <c r="B3270" t="s">
        <v>5140</v>
      </c>
    </row>
    <row r="3271" spans="1:2" x14ac:dyDescent="0.25">
      <c r="A3271" t="s">
        <v>5141</v>
      </c>
      <c r="B3271" t="s">
        <v>5142</v>
      </c>
    </row>
    <row r="3272" spans="1:2" x14ac:dyDescent="0.25">
      <c r="A3272" t="s">
        <v>5143</v>
      </c>
      <c r="B3272" t="s">
        <v>5144</v>
      </c>
    </row>
    <row r="3273" spans="1:2" x14ac:dyDescent="0.25">
      <c r="A3273" t="s">
        <v>5145</v>
      </c>
      <c r="B3273" t="s">
        <v>5146</v>
      </c>
    </row>
    <row r="3274" spans="1:2" x14ac:dyDescent="0.25">
      <c r="A3274" t="s">
        <v>2452</v>
      </c>
      <c r="B3274" t="s">
        <v>5147</v>
      </c>
    </row>
    <row r="3275" spans="1:2" x14ac:dyDescent="0.25">
      <c r="A3275" t="s">
        <v>5148</v>
      </c>
      <c r="B3275" t="s">
        <v>5149</v>
      </c>
    </row>
    <row r="3276" spans="1:2" x14ac:dyDescent="0.25">
      <c r="A3276" t="s">
        <v>5150</v>
      </c>
      <c r="B3276" t="s">
        <v>5151</v>
      </c>
    </row>
    <row r="3277" spans="1:2" x14ac:dyDescent="0.25">
      <c r="A3277" t="s">
        <v>3282</v>
      </c>
      <c r="B3277" t="s">
        <v>5152</v>
      </c>
    </row>
    <row r="3278" spans="1:2" x14ac:dyDescent="0.25">
      <c r="A3278" t="s">
        <v>5153</v>
      </c>
      <c r="B3278" t="s">
        <v>5154</v>
      </c>
    </row>
    <row r="3279" spans="1:2" x14ac:dyDescent="0.25">
      <c r="A3279" t="s">
        <v>2464</v>
      </c>
      <c r="B3279" t="s">
        <v>2465</v>
      </c>
    </row>
    <row r="3280" spans="1:2" x14ac:dyDescent="0.25">
      <c r="A3280" t="s">
        <v>2468</v>
      </c>
      <c r="B3280" t="s">
        <v>2469</v>
      </c>
    </row>
    <row r="3281" spans="1:2" x14ac:dyDescent="0.25">
      <c r="A3281" t="s">
        <v>5155</v>
      </c>
      <c r="B3281" t="s">
        <v>5156</v>
      </c>
    </row>
    <row r="3282" spans="1:2" x14ac:dyDescent="0.25">
      <c r="A3282" t="s">
        <v>5157</v>
      </c>
      <c r="B3282" t="s">
        <v>5158</v>
      </c>
    </row>
    <row r="3283" spans="1:2" x14ac:dyDescent="0.25">
      <c r="A3283" t="s">
        <v>5159</v>
      </c>
      <c r="B3283" t="s">
        <v>5160</v>
      </c>
    </row>
    <row r="3284" spans="1:2" x14ac:dyDescent="0.25">
      <c r="A3284" t="s">
        <v>5161</v>
      </c>
      <c r="B3284" t="s">
        <v>5162</v>
      </c>
    </row>
    <row r="3285" spans="1:2" x14ac:dyDescent="0.25">
      <c r="A3285" t="s">
        <v>5163</v>
      </c>
      <c r="B3285" t="s">
        <v>5164</v>
      </c>
    </row>
    <row r="3286" spans="1:2" x14ac:dyDescent="0.25">
      <c r="A3286" t="s">
        <v>5165</v>
      </c>
      <c r="B3286" t="s">
        <v>5166</v>
      </c>
    </row>
    <row r="3287" spans="1:2" x14ac:dyDescent="0.25">
      <c r="A3287" t="s">
        <v>5167</v>
      </c>
      <c r="B3287" t="s">
        <v>5168</v>
      </c>
    </row>
    <row r="3288" spans="1:2" x14ac:dyDescent="0.25">
      <c r="A3288" t="s">
        <v>2473</v>
      </c>
      <c r="B3288" t="s">
        <v>2474</v>
      </c>
    </row>
    <row r="3289" spans="1:2" x14ac:dyDescent="0.25">
      <c r="A3289" t="s">
        <v>5169</v>
      </c>
      <c r="B3289" t="s">
        <v>5170</v>
      </c>
    </row>
    <row r="3290" spans="1:2" x14ac:dyDescent="0.25">
      <c r="A3290" t="s">
        <v>5171</v>
      </c>
      <c r="B3290" t="s">
        <v>5172</v>
      </c>
    </row>
    <row r="3291" spans="1:2" x14ac:dyDescent="0.25">
      <c r="A3291" t="s">
        <v>5173</v>
      </c>
      <c r="B3291" t="s">
        <v>5174</v>
      </c>
    </row>
    <row r="3292" spans="1:2" x14ac:dyDescent="0.25">
      <c r="A3292" t="s">
        <v>5175</v>
      </c>
      <c r="B3292" t="s">
        <v>5176</v>
      </c>
    </row>
    <row r="3293" spans="1:2" x14ac:dyDescent="0.25">
      <c r="A3293" t="s">
        <v>5177</v>
      </c>
      <c r="B3293" t="s">
        <v>5178</v>
      </c>
    </row>
    <row r="3294" spans="1:2" x14ac:dyDescent="0.25">
      <c r="A3294" t="s">
        <v>5179</v>
      </c>
      <c r="B3294" t="s">
        <v>5180</v>
      </c>
    </row>
    <row r="3295" spans="1:2" x14ac:dyDescent="0.25">
      <c r="A3295" t="s">
        <v>5181</v>
      </c>
      <c r="B3295" t="s">
        <v>5182</v>
      </c>
    </row>
    <row r="3296" spans="1:2" x14ac:dyDescent="0.25">
      <c r="A3296" t="s">
        <v>5183</v>
      </c>
      <c r="B3296" t="s">
        <v>5184</v>
      </c>
    </row>
    <row r="3297" spans="1:2" x14ac:dyDescent="0.25">
      <c r="A3297" t="s">
        <v>5185</v>
      </c>
      <c r="B3297" t="s">
        <v>5186</v>
      </c>
    </row>
    <row r="3298" spans="1:2" x14ac:dyDescent="0.25">
      <c r="A3298" t="s">
        <v>5187</v>
      </c>
      <c r="B3298" t="s">
        <v>5188</v>
      </c>
    </row>
    <row r="3299" spans="1:2" x14ac:dyDescent="0.25">
      <c r="A3299" t="s">
        <v>5189</v>
      </c>
      <c r="B3299" t="s">
        <v>5190</v>
      </c>
    </row>
    <row r="3300" spans="1:2" x14ac:dyDescent="0.25">
      <c r="A3300" t="s">
        <v>5191</v>
      </c>
      <c r="B3300" t="s">
        <v>5192</v>
      </c>
    </row>
    <row r="3301" spans="1:2" x14ac:dyDescent="0.25">
      <c r="A3301" t="s">
        <v>5193</v>
      </c>
      <c r="B3301" t="s">
        <v>5194</v>
      </c>
    </row>
    <row r="3302" spans="1:2" x14ac:dyDescent="0.25">
      <c r="A3302" t="s">
        <v>5195</v>
      </c>
      <c r="B3302" t="s">
        <v>5196</v>
      </c>
    </row>
    <row r="3303" spans="1:2" x14ac:dyDescent="0.25">
      <c r="A3303" t="s">
        <v>5197</v>
      </c>
      <c r="B3303" t="s">
        <v>5198</v>
      </c>
    </row>
    <row r="3304" spans="1:2" x14ac:dyDescent="0.25">
      <c r="A3304" t="s">
        <v>5199</v>
      </c>
      <c r="B3304" t="s">
        <v>5200</v>
      </c>
    </row>
    <row r="3305" spans="1:2" x14ac:dyDescent="0.25">
      <c r="A3305" t="s">
        <v>2488</v>
      </c>
      <c r="B3305" t="s">
        <v>2489</v>
      </c>
    </row>
    <row r="3306" spans="1:2" x14ac:dyDescent="0.25">
      <c r="A3306" t="s">
        <v>5201</v>
      </c>
      <c r="B3306" t="s">
        <v>5202</v>
      </c>
    </row>
    <row r="3307" spans="1:2" x14ac:dyDescent="0.25">
      <c r="A3307" t="s">
        <v>5203</v>
      </c>
      <c r="B3307" t="s">
        <v>5204</v>
      </c>
    </row>
    <row r="3308" spans="1:2" x14ac:dyDescent="0.25">
      <c r="A3308" t="s">
        <v>5205</v>
      </c>
      <c r="B3308" t="s">
        <v>5206</v>
      </c>
    </row>
    <row r="3309" spans="1:2" x14ac:dyDescent="0.25">
      <c r="A3309" t="s">
        <v>5207</v>
      </c>
      <c r="B3309" t="s">
        <v>5208</v>
      </c>
    </row>
    <row r="3310" spans="1:2" x14ac:dyDescent="0.25">
      <c r="A3310" t="s">
        <v>5209</v>
      </c>
      <c r="B3310" t="s">
        <v>5210</v>
      </c>
    </row>
    <row r="3311" spans="1:2" x14ac:dyDescent="0.25">
      <c r="A3311" t="s">
        <v>5211</v>
      </c>
      <c r="B3311" t="s">
        <v>5212</v>
      </c>
    </row>
    <row r="3312" spans="1:2" x14ac:dyDescent="0.25">
      <c r="A3312" t="s">
        <v>5213</v>
      </c>
      <c r="B3312" t="s">
        <v>5214</v>
      </c>
    </row>
    <row r="3313" spans="1:2" x14ac:dyDescent="0.25">
      <c r="A3313" t="s">
        <v>5215</v>
      </c>
      <c r="B3313" t="s">
        <v>5216</v>
      </c>
    </row>
    <row r="3314" spans="1:2" x14ac:dyDescent="0.25">
      <c r="A3314" t="s">
        <v>2490</v>
      </c>
      <c r="B3314" t="s">
        <v>2491</v>
      </c>
    </row>
    <row r="3315" spans="1:2" x14ac:dyDescent="0.25">
      <c r="A3315" t="s">
        <v>2494</v>
      </c>
      <c r="B3315" t="s">
        <v>2495</v>
      </c>
    </row>
    <row r="3316" spans="1:2" x14ac:dyDescent="0.25">
      <c r="A3316" t="s">
        <v>5217</v>
      </c>
      <c r="B3316" t="s">
        <v>5218</v>
      </c>
    </row>
    <row r="3317" spans="1:2" x14ac:dyDescent="0.25">
      <c r="A3317" t="s">
        <v>5219</v>
      </c>
      <c r="B3317" t="s">
        <v>5220</v>
      </c>
    </row>
    <row r="3318" spans="1:2" x14ac:dyDescent="0.25">
      <c r="A3318" t="s">
        <v>5221</v>
      </c>
      <c r="B3318" t="s">
        <v>5222</v>
      </c>
    </row>
    <row r="3319" spans="1:2" x14ac:dyDescent="0.25">
      <c r="A3319" t="s">
        <v>5223</v>
      </c>
      <c r="B3319" t="s">
        <v>5224</v>
      </c>
    </row>
    <row r="3320" spans="1:2" x14ac:dyDescent="0.25">
      <c r="A3320" t="s">
        <v>5225</v>
      </c>
      <c r="B3320" t="s">
        <v>5226</v>
      </c>
    </row>
    <row r="3321" spans="1:2" x14ac:dyDescent="0.25">
      <c r="A3321" t="s">
        <v>5227</v>
      </c>
      <c r="B3321" t="s">
        <v>5228</v>
      </c>
    </row>
    <row r="3322" spans="1:2" x14ac:dyDescent="0.25">
      <c r="A3322" t="s">
        <v>2504</v>
      </c>
      <c r="B3322" t="s">
        <v>2505</v>
      </c>
    </row>
    <row r="3323" spans="1:2" x14ac:dyDescent="0.25">
      <c r="A3323" t="s">
        <v>5229</v>
      </c>
      <c r="B3323" t="s">
        <v>5230</v>
      </c>
    </row>
    <row r="3324" spans="1:2" x14ac:dyDescent="0.25">
      <c r="A3324" t="s">
        <v>5231</v>
      </c>
      <c r="B3324" t="s">
        <v>5232</v>
      </c>
    </row>
    <row r="3325" spans="1:2" x14ac:dyDescent="0.25">
      <c r="A3325" t="s">
        <v>5233</v>
      </c>
      <c r="B3325" t="s">
        <v>5234</v>
      </c>
    </row>
    <row r="3326" spans="1:2" x14ac:dyDescent="0.25">
      <c r="A3326" t="s">
        <v>5235</v>
      </c>
      <c r="B3326" t="s">
        <v>5236</v>
      </c>
    </row>
    <row r="3327" spans="1:2" x14ac:dyDescent="0.25">
      <c r="A3327" t="s">
        <v>5237</v>
      </c>
      <c r="B3327" t="s">
        <v>5238</v>
      </c>
    </row>
    <row r="3328" spans="1:2" x14ac:dyDescent="0.25">
      <c r="A3328" t="s">
        <v>5239</v>
      </c>
      <c r="B3328" t="s">
        <v>5240</v>
      </c>
    </row>
    <row r="3329" spans="1:2" x14ac:dyDescent="0.25">
      <c r="A3329" t="s">
        <v>5241</v>
      </c>
      <c r="B3329" t="s">
        <v>5242</v>
      </c>
    </row>
    <row r="3330" spans="1:2" x14ac:dyDescent="0.25">
      <c r="A3330" t="s">
        <v>5243</v>
      </c>
      <c r="B3330" t="s">
        <v>5244</v>
      </c>
    </row>
    <row r="3331" spans="1:2" x14ac:dyDescent="0.25">
      <c r="A3331" t="s">
        <v>5245</v>
      </c>
      <c r="B3331" t="s">
        <v>5246</v>
      </c>
    </row>
    <row r="3332" spans="1:2" x14ac:dyDescent="0.25">
      <c r="A3332" t="s">
        <v>5247</v>
      </c>
      <c r="B3332" t="s">
        <v>5248</v>
      </c>
    </row>
    <row r="3333" spans="1:2" x14ac:dyDescent="0.25">
      <c r="A3333" t="s">
        <v>5249</v>
      </c>
      <c r="B3333" t="s">
        <v>5250</v>
      </c>
    </row>
    <row r="3334" spans="1:2" x14ac:dyDescent="0.25">
      <c r="A3334" t="s">
        <v>2520</v>
      </c>
      <c r="B3334" t="s">
        <v>2521</v>
      </c>
    </row>
    <row r="3335" spans="1:2" x14ac:dyDescent="0.25">
      <c r="A3335" t="s">
        <v>5251</v>
      </c>
      <c r="B3335" t="s">
        <v>5252</v>
      </c>
    </row>
    <row r="3336" spans="1:2" x14ac:dyDescent="0.25">
      <c r="A3336" t="s">
        <v>5253</v>
      </c>
      <c r="B3336" t="s">
        <v>5254</v>
      </c>
    </row>
    <row r="3337" spans="1:2" x14ac:dyDescent="0.25">
      <c r="A3337" t="s">
        <v>5255</v>
      </c>
      <c r="B3337" t="s">
        <v>5256</v>
      </c>
    </row>
    <row r="3338" spans="1:2" x14ac:dyDescent="0.25">
      <c r="A3338" t="s">
        <v>5257</v>
      </c>
      <c r="B3338" t="s">
        <v>5258</v>
      </c>
    </row>
    <row r="3339" spans="1:2" x14ac:dyDescent="0.25">
      <c r="A3339" t="s">
        <v>5259</v>
      </c>
      <c r="B3339" t="s">
        <v>5260</v>
      </c>
    </row>
    <row r="3340" spans="1:2" x14ac:dyDescent="0.25">
      <c r="A3340" t="s">
        <v>5261</v>
      </c>
      <c r="B3340" t="s">
        <v>5262</v>
      </c>
    </row>
    <row r="3341" spans="1:2" x14ac:dyDescent="0.25">
      <c r="A3341" t="s">
        <v>5263</v>
      </c>
      <c r="B3341" t="s">
        <v>5264</v>
      </c>
    </row>
    <row r="3342" spans="1:2" x14ac:dyDescent="0.25">
      <c r="A3342" t="s">
        <v>5265</v>
      </c>
      <c r="B3342" t="s">
        <v>5266</v>
      </c>
    </row>
    <row r="3343" spans="1:2" x14ac:dyDescent="0.25">
      <c r="A3343" t="s">
        <v>5267</v>
      </c>
      <c r="B3343" t="s">
        <v>5268</v>
      </c>
    </row>
    <row r="3344" spans="1:2" x14ac:dyDescent="0.25">
      <c r="A3344" t="s">
        <v>5269</v>
      </c>
      <c r="B3344" t="s">
        <v>5270</v>
      </c>
    </row>
    <row r="3345" spans="1:2" x14ac:dyDescent="0.25">
      <c r="A3345" t="s">
        <v>5271</v>
      </c>
      <c r="B3345" t="s">
        <v>5272</v>
      </c>
    </row>
    <row r="3346" spans="1:2" x14ac:dyDescent="0.25">
      <c r="A3346" t="s">
        <v>5273</v>
      </c>
      <c r="B3346" t="s">
        <v>5274</v>
      </c>
    </row>
    <row r="3347" spans="1:2" x14ac:dyDescent="0.25">
      <c r="A3347" t="s">
        <v>5275</v>
      </c>
      <c r="B3347" t="s">
        <v>5276</v>
      </c>
    </row>
    <row r="3348" spans="1:2" x14ac:dyDescent="0.25">
      <c r="A3348" t="s">
        <v>5277</v>
      </c>
      <c r="B3348" t="s">
        <v>5278</v>
      </c>
    </row>
    <row r="3349" spans="1:2" x14ac:dyDescent="0.25">
      <c r="A3349" t="s">
        <v>5279</v>
      </c>
      <c r="B3349" t="s">
        <v>5280</v>
      </c>
    </row>
    <row r="3350" spans="1:2" x14ac:dyDescent="0.25">
      <c r="A3350" t="s">
        <v>5281</v>
      </c>
      <c r="B3350" t="s">
        <v>5282</v>
      </c>
    </row>
    <row r="3351" spans="1:2" x14ac:dyDescent="0.25">
      <c r="A3351" t="s">
        <v>5283</v>
      </c>
      <c r="B3351" t="s">
        <v>5284</v>
      </c>
    </row>
    <row r="3352" spans="1:2" x14ac:dyDescent="0.25">
      <c r="A3352" t="s">
        <v>2531</v>
      </c>
      <c r="B3352" t="s">
        <v>2532</v>
      </c>
    </row>
    <row r="3353" spans="1:2" x14ac:dyDescent="0.25">
      <c r="A3353" t="s">
        <v>5285</v>
      </c>
      <c r="B3353" t="s">
        <v>5286</v>
      </c>
    </row>
    <row r="3354" spans="1:2" x14ac:dyDescent="0.25">
      <c r="A3354" t="s">
        <v>5287</v>
      </c>
      <c r="B3354" t="s">
        <v>5288</v>
      </c>
    </row>
    <row r="3355" spans="1:2" x14ac:dyDescent="0.25">
      <c r="A3355" t="s">
        <v>5289</v>
      </c>
      <c r="B3355" t="s">
        <v>5290</v>
      </c>
    </row>
    <row r="3356" spans="1:2" x14ac:dyDescent="0.25">
      <c r="A3356" t="s">
        <v>5291</v>
      </c>
      <c r="B3356" t="s">
        <v>5292</v>
      </c>
    </row>
    <row r="3357" spans="1:2" x14ac:dyDescent="0.25">
      <c r="A3357" t="s">
        <v>5293</v>
      </c>
      <c r="B3357" t="s">
        <v>5294</v>
      </c>
    </row>
    <row r="3358" spans="1:2" x14ac:dyDescent="0.25">
      <c r="A3358" t="s">
        <v>5295</v>
      </c>
      <c r="B3358" t="s">
        <v>5296</v>
      </c>
    </row>
    <row r="3359" spans="1:2" x14ac:dyDescent="0.25">
      <c r="A3359" t="s">
        <v>5297</v>
      </c>
      <c r="B3359" t="s">
        <v>5298</v>
      </c>
    </row>
    <row r="3360" spans="1:2" x14ac:dyDescent="0.25">
      <c r="A3360" t="s">
        <v>5299</v>
      </c>
      <c r="B3360" t="s">
        <v>5300</v>
      </c>
    </row>
    <row r="3361" spans="1:2" x14ac:dyDescent="0.25">
      <c r="A3361" t="s">
        <v>5301</v>
      </c>
      <c r="B3361" t="s">
        <v>5302</v>
      </c>
    </row>
    <row r="3362" spans="1:2" x14ac:dyDescent="0.25">
      <c r="A3362" t="s">
        <v>5303</v>
      </c>
      <c r="B3362" t="s">
        <v>5304</v>
      </c>
    </row>
    <row r="3363" spans="1:2" x14ac:dyDescent="0.25">
      <c r="A3363" t="s">
        <v>5305</v>
      </c>
      <c r="B3363" t="s">
        <v>5306</v>
      </c>
    </row>
    <row r="3364" spans="1:2" x14ac:dyDescent="0.25">
      <c r="A3364" t="s">
        <v>5307</v>
      </c>
      <c r="B3364" t="s">
        <v>5308</v>
      </c>
    </row>
    <row r="3365" spans="1:2" x14ac:dyDescent="0.25">
      <c r="A3365" t="s">
        <v>5309</v>
      </c>
      <c r="B3365" t="s">
        <v>5310</v>
      </c>
    </row>
    <row r="3366" spans="1:2" x14ac:dyDescent="0.25">
      <c r="A3366" t="s">
        <v>5311</v>
      </c>
      <c r="B3366" t="s">
        <v>5312</v>
      </c>
    </row>
    <row r="3367" spans="1:2" x14ac:dyDescent="0.25">
      <c r="A3367" t="s">
        <v>5313</v>
      </c>
      <c r="B3367" t="s">
        <v>5314</v>
      </c>
    </row>
    <row r="3368" spans="1:2" x14ac:dyDescent="0.25">
      <c r="A3368" t="s">
        <v>33</v>
      </c>
      <c r="B3368" t="s">
        <v>5315</v>
      </c>
    </row>
    <row r="3369" spans="1:2" x14ac:dyDescent="0.25">
      <c r="A3369" t="s">
        <v>2555</v>
      </c>
      <c r="B3369" t="s">
        <v>2556</v>
      </c>
    </row>
    <row r="3370" spans="1:2" x14ac:dyDescent="0.25">
      <c r="A3370" t="s">
        <v>5316</v>
      </c>
      <c r="B3370" t="s">
        <v>5317</v>
      </c>
    </row>
    <row r="3371" spans="1:2" x14ac:dyDescent="0.25">
      <c r="A3371" t="s">
        <v>2557</v>
      </c>
      <c r="B3371" t="s">
        <v>2558</v>
      </c>
    </row>
    <row r="3372" spans="1:2" x14ac:dyDescent="0.25">
      <c r="A3372" t="s">
        <v>5318</v>
      </c>
      <c r="B3372" t="s">
        <v>5319</v>
      </c>
    </row>
    <row r="3373" spans="1:2" x14ac:dyDescent="0.25">
      <c r="A3373" t="s">
        <v>5320</v>
      </c>
      <c r="B3373" t="s">
        <v>5321</v>
      </c>
    </row>
    <row r="3374" spans="1:2" x14ac:dyDescent="0.25">
      <c r="A3374" t="s">
        <v>5322</v>
      </c>
      <c r="B3374" t="s">
        <v>5323</v>
      </c>
    </row>
    <row r="3375" spans="1:2" x14ac:dyDescent="0.25">
      <c r="A3375" t="s">
        <v>5324</v>
      </c>
      <c r="B3375" t="s">
        <v>5325</v>
      </c>
    </row>
    <row r="3376" spans="1:2" x14ac:dyDescent="0.25">
      <c r="A3376" t="s">
        <v>5326</v>
      </c>
      <c r="B3376" t="s">
        <v>5327</v>
      </c>
    </row>
    <row r="3377" spans="1:2" x14ac:dyDescent="0.25">
      <c r="A3377" t="s">
        <v>2561</v>
      </c>
      <c r="B3377" t="s">
        <v>5328</v>
      </c>
    </row>
    <row r="3378" spans="1:2" x14ac:dyDescent="0.25">
      <c r="A3378" t="s">
        <v>5329</v>
      </c>
      <c r="B3378" t="s">
        <v>5330</v>
      </c>
    </row>
    <row r="3379" spans="1:2" x14ac:dyDescent="0.25">
      <c r="A3379" t="s">
        <v>5331</v>
      </c>
      <c r="B3379" t="s">
        <v>5332</v>
      </c>
    </row>
    <row r="3380" spans="1:2" x14ac:dyDescent="0.25">
      <c r="A3380" t="s">
        <v>5333</v>
      </c>
      <c r="B3380" t="s">
        <v>5334</v>
      </c>
    </row>
    <row r="3381" spans="1:2" x14ac:dyDescent="0.25">
      <c r="A3381" t="s">
        <v>5335</v>
      </c>
      <c r="B3381" t="s">
        <v>5336</v>
      </c>
    </row>
    <row r="3382" spans="1:2" x14ac:dyDescent="0.25">
      <c r="A3382" t="s">
        <v>5337</v>
      </c>
      <c r="B3382" t="s">
        <v>5338</v>
      </c>
    </row>
    <row r="3383" spans="1:2" x14ac:dyDescent="0.25">
      <c r="A3383" t="s">
        <v>5339</v>
      </c>
      <c r="B3383" t="s">
        <v>5340</v>
      </c>
    </row>
    <row r="3384" spans="1:2" x14ac:dyDescent="0.25">
      <c r="A3384" t="s">
        <v>5341</v>
      </c>
      <c r="B3384" t="s">
        <v>5342</v>
      </c>
    </row>
    <row r="3385" spans="1:2" x14ac:dyDescent="0.25">
      <c r="A3385" t="s">
        <v>292</v>
      </c>
      <c r="B3385" t="s">
        <v>293</v>
      </c>
    </row>
    <row r="3386" spans="1:2" x14ac:dyDescent="0.25">
      <c r="A3386" t="s">
        <v>5343</v>
      </c>
      <c r="B3386" t="s">
        <v>5344</v>
      </c>
    </row>
    <row r="3387" spans="1:2" x14ac:dyDescent="0.25">
      <c r="A3387" t="s">
        <v>1046</v>
      </c>
      <c r="B3387" t="s">
        <v>5345</v>
      </c>
    </row>
    <row r="3388" spans="1:2" x14ac:dyDescent="0.25">
      <c r="A3388" t="s">
        <v>5346</v>
      </c>
      <c r="B3388" t="s">
        <v>5347</v>
      </c>
    </row>
    <row r="3389" spans="1:2" x14ac:dyDescent="0.25">
      <c r="A3389" t="s">
        <v>304</v>
      </c>
      <c r="B3389" t="s">
        <v>2565</v>
      </c>
    </row>
    <row r="3390" spans="1:2" x14ac:dyDescent="0.25">
      <c r="A3390" t="s">
        <v>5348</v>
      </c>
      <c r="B3390" t="s">
        <v>5349</v>
      </c>
    </row>
    <row r="3391" spans="1:2" x14ac:dyDescent="0.25">
      <c r="A3391" t="s">
        <v>1212</v>
      </c>
      <c r="B3391" t="s">
        <v>5350</v>
      </c>
    </row>
    <row r="3392" spans="1:2" x14ac:dyDescent="0.25">
      <c r="A3392" t="s">
        <v>432</v>
      </c>
      <c r="B3392" t="s">
        <v>5351</v>
      </c>
    </row>
    <row r="3393" spans="1:2" x14ac:dyDescent="0.25">
      <c r="A3393" t="s">
        <v>127</v>
      </c>
      <c r="B3393" t="s">
        <v>5352</v>
      </c>
    </row>
    <row r="3394" spans="1:2" x14ac:dyDescent="0.25">
      <c r="A3394" t="s">
        <v>119</v>
      </c>
      <c r="B3394" t="s">
        <v>2567</v>
      </c>
    </row>
    <row r="3395" spans="1:2" x14ac:dyDescent="0.25">
      <c r="A3395" t="s">
        <v>547</v>
      </c>
      <c r="B3395" t="s">
        <v>2568</v>
      </c>
    </row>
    <row r="3396" spans="1:2" x14ac:dyDescent="0.25">
      <c r="A3396" t="s">
        <v>5353</v>
      </c>
      <c r="B3396" t="s">
        <v>5354</v>
      </c>
    </row>
    <row r="3397" spans="1:2" x14ac:dyDescent="0.25">
      <c r="A3397" t="s">
        <v>5355</v>
      </c>
      <c r="B3397" t="s">
        <v>5356</v>
      </c>
    </row>
    <row r="3398" spans="1:2" x14ac:dyDescent="0.25">
      <c r="A3398" t="s">
        <v>5357</v>
      </c>
      <c r="B3398" t="s">
        <v>5358</v>
      </c>
    </row>
    <row r="3399" spans="1:2" x14ac:dyDescent="0.25">
      <c r="A3399" t="s">
        <v>5359</v>
      </c>
      <c r="B3399" t="s">
        <v>5360</v>
      </c>
    </row>
    <row r="3400" spans="1:2" x14ac:dyDescent="0.25">
      <c r="A3400" t="s">
        <v>5361</v>
      </c>
      <c r="B3400" t="s">
        <v>5362</v>
      </c>
    </row>
    <row r="3401" spans="1:2" x14ac:dyDescent="0.25">
      <c r="A3401" t="s">
        <v>5363</v>
      </c>
      <c r="B3401" t="s">
        <v>5364</v>
      </c>
    </row>
    <row r="3402" spans="1:2" x14ac:dyDescent="0.25">
      <c r="A3402" t="s">
        <v>5365</v>
      </c>
      <c r="B3402" t="s">
        <v>5366</v>
      </c>
    </row>
    <row r="3403" spans="1:2" x14ac:dyDescent="0.25">
      <c r="A3403" t="s">
        <v>5367</v>
      </c>
      <c r="B3403" t="s">
        <v>5368</v>
      </c>
    </row>
    <row r="3404" spans="1:2" x14ac:dyDescent="0.25">
      <c r="A3404" t="s">
        <v>5369</v>
      </c>
      <c r="B3404" t="s">
        <v>5370</v>
      </c>
    </row>
    <row r="3405" spans="1:2" x14ac:dyDescent="0.25">
      <c r="A3405" t="s">
        <v>5371</v>
      </c>
      <c r="B3405" t="s">
        <v>5372</v>
      </c>
    </row>
    <row r="3406" spans="1:2" x14ac:dyDescent="0.25">
      <c r="A3406" t="s">
        <v>2577</v>
      </c>
      <c r="B3406" t="s">
        <v>2578</v>
      </c>
    </row>
    <row r="3407" spans="1:2" x14ac:dyDescent="0.25">
      <c r="A3407" t="s">
        <v>1571</v>
      </c>
      <c r="B3407" t="s">
        <v>5373</v>
      </c>
    </row>
    <row r="3408" spans="1:2" x14ac:dyDescent="0.25">
      <c r="A3408" t="s">
        <v>5374</v>
      </c>
      <c r="B3408" t="s">
        <v>5375</v>
      </c>
    </row>
    <row r="3409" spans="1:2" x14ac:dyDescent="0.25">
      <c r="A3409" t="s">
        <v>5376</v>
      </c>
      <c r="B3409" t="s">
        <v>5377</v>
      </c>
    </row>
    <row r="3410" spans="1:2" x14ac:dyDescent="0.25">
      <c r="A3410" t="s">
        <v>5378</v>
      </c>
      <c r="B3410" t="s">
        <v>5379</v>
      </c>
    </row>
    <row r="3411" spans="1:2" x14ac:dyDescent="0.25">
      <c r="A3411" t="s">
        <v>5380</v>
      </c>
      <c r="B3411" t="s">
        <v>5381</v>
      </c>
    </row>
    <row r="3412" spans="1:2" x14ac:dyDescent="0.25">
      <c r="A3412" t="s">
        <v>5382</v>
      </c>
      <c r="B3412" t="s">
        <v>5383</v>
      </c>
    </row>
    <row r="3413" spans="1:2" x14ac:dyDescent="0.25">
      <c r="A3413" t="s">
        <v>5384</v>
      </c>
      <c r="B3413" t="s">
        <v>5385</v>
      </c>
    </row>
    <row r="3414" spans="1:2" x14ac:dyDescent="0.25">
      <c r="A3414" t="s">
        <v>5386</v>
      </c>
      <c r="B3414" t="s">
        <v>5387</v>
      </c>
    </row>
    <row r="3415" spans="1:2" x14ac:dyDescent="0.25">
      <c r="A3415" t="s">
        <v>5388</v>
      </c>
      <c r="B3415" t="s">
        <v>5389</v>
      </c>
    </row>
    <row r="3416" spans="1:2" x14ac:dyDescent="0.25">
      <c r="A3416" t="s">
        <v>5390</v>
      </c>
      <c r="B3416" t="s">
        <v>5391</v>
      </c>
    </row>
    <row r="3417" spans="1:2" x14ac:dyDescent="0.25">
      <c r="A3417" t="s">
        <v>5392</v>
      </c>
      <c r="B3417" t="s">
        <v>5393</v>
      </c>
    </row>
    <row r="3418" spans="1:2" x14ac:dyDescent="0.25">
      <c r="A3418" t="s">
        <v>5394</v>
      </c>
      <c r="B3418" t="s">
        <v>5395</v>
      </c>
    </row>
    <row r="3419" spans="1:2" x14ac:dyDescent="0.25">
      <c r="A3419" t="s">
        <v>5396</v>
      </c>
      <c r="B3419" t="s">
        <v>5397</v>
      </c>
    </row>
    <row r="3420" spans="1:2" x14ac:dyDescent="0.25">
      <c r="A3420" t="s">
        <v>5398</v>
      </c>
      <c r="B3420" t="s">
        <v>5399</v>
      </c>
    </row>
    <row r="3421" spans="1:2" x14ac:dyDescent="0.25">
      <c r="A3421" t="s">
        <v>5400</v>
      </c>
      <c r="B3421" t="s">
        <v>5401</v>
      </c>
    </row>
    <row r="3422" spans="1:2" x14ac:dyDescent="0.25">
      <c r="A3422" t="s">
        <v>5402</v>
      </c>
      <c r="B3422" t="s">
        <v>5403</v>
      </c>
    </row>
    <row r="3423" spans="1:2" x14ac:dyDescent="0.25">
      <c r="A3423" t="s">
        <v>5404</v>
      </c>
      <c r="B3423" t="s">
        <v>5405</v>
      </c>
    </row>
    <row r="3424" spans="1:2" x14ac:dyDescent="0.25">
      <c r="A3424" t="s">
        <v>5406</v>
      </c>
      <c r="B3424" t="s">
        <v>5407</v>
      </c>
    </row>
    <row r="3425" spans="1:2" x14ac:dyDescent="0.25">
      <c r="A3425" t="s">
        <v>5408</v>
      </c>
      <c r="B3425" t="s">
        <v>5409</v>
      </c>
    </row>
    <row r="3426" spans="1:2" x14ac:dyDescent="0.25">
      <c r="A3426" t="s">
        <v>5410</v>
      </c>
      <c r="B3426" t="s">
        <v>5411</v>
      </c>
    </row>
    <row r="3427" spans="1:2" x14ac:dyDescent="0.25">
      <c r="A3427" t="s">
        <v>2587</v>
      </c>
      <c r="B3427" t="s">
        <v>2588</v>
      </c>
    </row>
    <row r="3428" spans="1:2" x14ac:dyDescent="0.25">
      <c r="A3428" t="s">
        <v>5412</v>
      </c>
      <c r="B3428" t="s">
        <v>5413</v>
      </c>
    </row>
    <row r="3429" spans="1:2" x14ac:dyDescent="0.25">
      <c r="A3429" t="s">
        <v>5414</v>
      </c>
      <c r="B3429" t="s">
        <v>5415</v>
      </c>
    </row>
    <row r="3430" spans="1:2" x14ac:dyDescent="0.25">
      <c r="A3430" t="s">
        <v>5416</v>
      </c>
      <c r="B3430" t="s">
        <v>5417</v>
      </c>
    </row>
    <row r="3431" spans="1:2" x14ac:dyDescent="0.25">
      <c r="A3431" t="s">
        <v>5418</v>
      </c>
      <c r="B3431" t="s">
        <v>5419</v>
      </c>
    </row>
    <row r="3432" spans="1:2" x14ac:dyDescent="0.25">
      <c r="A3432" t="s">
        <v>5420</v>
      </c>
      <c r="B3432" t="s">
        <v>5421</v>
      </c>
    </row>
    <row r="3433" spans="1:2" x14ac:dyDescent="0.25">
      <c r="A3433" t="s">
        <v>5422</v>
      </c>
      <c r="B3433" t="s">
        <v>5423</v>
      </c>
    </row>
    <row r="3434" spans="1:2" x14ac:dyDescent="0.25">
      <c r="A3434" t="s">
        <v>5424</v>
      </c>
      <c r="B3434" t="s">
        <v>5425</v>
      </c>
    </row>
    <row r="3435" spans="1:2" x14ac:dyDescent="0.25">
      <c r="A3435" t="s">
        <v>5426</v>
      </c>
      <c r="B3435" t="s">
        <v>5427</v>
      </c>
    </row>
    <row r="3436" spans="1:2" x14ac:dyDescent="0.25">
      <c r="A3436" t="s">
        <v>158</v>
      </c>
      <c r="B3436" t="s">
        <v>5428</v>
      </c>
    </row>
    <row r="3437" spans="1:2" x14ac:dyDescent="0.25">
      <c r="A3437" t="s">
        <v>5429</v>
      </c>
      <c r="B3437" t="s">
        <v>5430</v>
      </c>
    </row>
    <row r="3438" spans="1:2" x14ac:dyDescent="0.25">
      <c r="A3438" t="s">
        <v>5431</v>
      </c>
      <c r="B3438" t="s">
        <v>5432</v>
      </c>
    </row>
    <row r="3439" spans="1:2" x14ac:dyDescent="0.25">
      <c r="A3439" t="s">
        <v>5433</v>
      </c>
      <c r="B3439" t="s">
        <v>5434</v>
      </c>
    </row>
    <row r="3440" spans="1:2" x14ac:dyDescent="0.25">
      <c r="A3440" t="s">
        <v>5435</v>
      </c>
      <c r="B3440" t="s">
        <v>5436</v>
      </c>
    </row>
    <row r="3441" spans="1:2" x14ac:dyDescent="0.25">
      <c r="A3441" t="s">
        <v>5437</v>
      </c>
      <c r="B3441" t="s">
        <v>5438</v>
      </c>
    </row>
    <row r="3442" spans="1:2" x14ac:dyDescent="0.25">
      <c r="A3442" t="s">
        <v>5439</v>
      </c>
      <c r="B3442" t="s">
        <v>5440</v>
      </c>
    </row>
    <row r="3443" spans="1:2" x14ac:dyDescent="0.25">
      <c r="A3443" t="s">
        <v>5441</v>
      </c>
      <c r="B3443" t="s">
        <v>5442</v>
      </c>
    </row>
    <row r="3444" spans="1:2" x14ac:dyDescent="0.25">
      <c r="A3444" t="s">
        <v>5443</v>
      </c>
      <c r="B3444" t="s">
        <v>5444</v>
      </c>
    </row>
    <row r="3445" spans="1:2" x14ac:dyDescent="0.25">
      <c r="A3445" t="s">
        <v>2599</v>
      </c>
      <c r="B3445" t="s">
        <v>2600</v>
      </c>
    </row>
    <row r="3446" spans="1:2" x14ac:dyDescent="0.25">
      <c r="A3446" t="s">
        <v>5445</v>
      </c>
      <c r="B3446" t="s">
        <v>5446</v>
      </c>
    </row>
    <row r="3447" spans="1:2" x14ac:dyDescent="0.25">
      <c r="A3447" t="s">
        <v>5447</v>
      </c>
      <c r="B3447" t="s">
        <v>5448</v>
      </c>
    </row>
    <row r="3448" spans="1:2" x14ac:dyDescent="0.25">
      <c r="A3448" t="s">
        <v>5449</v>
      </c>
      <c r="B3448" t="s">
        <v>5450</v>
      </c>
    </row>
    <row r="3449" spans="1:2" x14ac:dyDescent="0.25">
      <c r="A3449" t="s">
        <v>5451</v>
      </c>
      <c r="B3449" t="s">
        <v>5452</v>
      </c>
    </row>
    <row r="3450" spans="1:2" x14ac:dyDescent="0.25">
      <c r="A3450" t="s">
        <v>5453</v>
      </c>
      <c r="B3450" t="s">
        <v>5454</v>
      </c>
    </row>
    <row r="3451" spans="1:2" x14ac:dyDescent="0.25">
      <c r="A3451" t="s">
        <v>5455</v>
      </c>
      <c r="B3451" t="s">
        <v>5456</v>
      </c>
    </row>
    <row r="3452" spans="1:2" x14ac:dyDescent="0.25">
      <c r="A3452" t="s">
        <v>5457</v>
      </c>
      <c r="B3452" t="s">
        <v>5458</v>
      </c>
    </row>
    <row r="3453" spans="1:2" x14ac:dyDescent="0.25">
      <c r="A3453" t="s">
        <v>5459</v>
      </c>
      <c r="B3453" t="s">
        <v>5460</v>
      </c>
    </row>
    <row r="3454" spans="1:2" x14ac:dyDescent="0.25">
      <c r="A3454" t="s">
        <v>5461</v>
      </c>
      <c r="B3454" t="s">
        <v>5462</v>
      </c>
    </row>
    <row r="3455" spans="1:2" x14ac:dyDescent="0.25">
      <c r="A3455" t="s">
        <v>5463</v>
      </c>
      <c r="B3455" t="s">
        <v>5464</v>
      </c>
    </row>
    <row r="3456" spans="1:2" x14ac:dyDescent="0.25">
      <c r="A3456" t="s">
        <v>2603</v>
      </c>
      <c r="B3456" t="s">
        <v>2604</v>
      </c>
    </row>
    <row r="3457" spans="1:2" x14ac:dyDescent="0.25">
      <c r="A3457" t="s">
        <v>5465</v>
      </c>
      <c r="B3457" t="s">
        <v>5466</v>
      </c>
    </row>
    <row r="3458" spans="1:2" x14ac:dyDescent="0.25">
      <c r="A3458" t="s">
        <v>5467</v>
      </c>
      <c r="B3458" t="s">
        <v>5468</v>
      </c>
    </row>
    <row r="3459" spans="1:2" x14ac:dyDescent="0.25">
      <c r="A3459" t="s">
        <v>5469</v>
      </c>
      <c r="B3459" t="s">
        <v>5470</v>
      </c>
    </row>
    <row r="3460" spans="1:2" x14ac:dyDescent="0.25">
      <c r="A3460" t="s">
        <v>5471</v>
      </c>
      <c r="B3460" t="s">
        <v>5472</v>
      </c>
    </row>
    <row r="3461" spans="1:2" x14ac:dyDescent="0.25">
      <c r="A3461" t="s">
        <v>5473</v>
      </c>
      <c r="B3461" t="s">
        <v>5474</v>
      </c>
    </row>
    <row r="3462" spans="1:2" x14ac:dyDescent="0.25">
      <c r="A3462" t="s">
        <v>5475</v>
      </c>
      <c r="B3462" t="s">
        <v>5476</v>
      </c>
    </row>
    <row r="3463" spans="1:2" x14ac:dyDescent="0.25">
      <c r="A3463" t="s">
        <v>5477</v>
      </c>
      <c r="B3463" t="s">
        <v>5478</v>
      </c>
    </row>
    <row r="3464" spans="1:2" x14ac:dyDescent="0.25">
      <c r="A3464" t="s">
        <v>5479</v>
      </c>
      <c r="B3464" t="s">
        <v>5480</v>
      </c>
    </row>
    <row r="3465" spans="1:2" x14ac:dyDescent="0.25">
      <c r="A3465" t="s">
        <v>5481</v>
      </c>
      <c r="B3465" t="s">
        <v>5482</v>
      </c>
    </row>
    <row r="3466" spans="1:2" x14ac:dyDescent="0.25">
      <c r="A3466" t="s">
        <v>2610</v>
      </c>
      <c r="B3466" t="s">
        <v>2611</v>
      </c>
    </row>
    <row r="3467" spans="1:2" x14ac:dyDescent="0.25">
      <c r="A3467" t="s">
        <v>218</v>
      </c>
      <c r="B3467" t="s">
        <v>5483</v>
      </c>
    </row>
    <row r="3468" spans="1:2" x14ac:dyDescent="0.25">
      <c r="A3468" t="s">
        <v>5484</v>
      </c>
      <c r="B3468" t="s">
        <v>5485</v>
      </c>
    </row>
    <row r="3469" spans="1:2" x14ac:dyDescent="0.25">
      <c r="A3469" t="s">
        <v>2616</v>
      </c>
      <c r="B3469" t="s">
        <v>2617</v>
      </c>
    </row>
    <row r="3470" spans="1:2" x14ac:dyDescent="0.25">
      <c r="A3470" t="s">
        <v>5486</v>
      </c>
      <c r="B3470" t="s">
        <v>5487</v>
      </c>
    </row>
    <row r="3471" spans="1:2" x14ac:dyDescent="0.25">
      <c r="A3471" t="s">
        <v>5488</v>
      </c>
      <c r="B3471" t="s">
        <v>5489</v>
      </c>
    </row>
    <row r="3472" spans="1:2" x14ac:dyDescent="0.25">
      <c r="A3472" t="s">
        <v>5490</v>
      </c>
      <c r="B3472" t="s">
        <v>5491</v>
      </c>
    </row>
    <row r="3473" spans="1:2" x14ac:dyDescent="0.25">
      <c r="A3473" t="s">
        <v>5492</v>
      </c>
      <c r="B3473" t="s">
        <v>5493</v>
      </c>
    </row>
    <row r="3474" spans="1:2" x14ac:dyDescent="0.25">
      <c r="A3474" t="s">
        <v>5494</v>
      </c>
      <c r="B3474" t="s">
        <v>5495</v>
      </c>
    </row>
    <row r="3475" spans="1:2" x14ac:dyDescent="0.25">
      <c r="A3475" t="s">
        <v>5496</v>
      </c>
      <c r="B3475" t="s">
        <v>5497</v>
      </c>
    </row>
    <row r="3476" spans="1:2" x14ac:dyDescent="0.25">
      <c r="A3476" t="s">
        <v>5498</v>
      </c>
      <c r="B3476" t="s">
        <v>5499</v>
      </c>
    </row>
    <row r="3477" spans="1:2" x14ac:dyDescent="0.25">
      <c r="A3477" t="s">
        <v>5500</v>
      </c>
      <c r="B3477" t="s">
        <v>5501</v>
      </c>
    </row>
    <row r="3478" spans="1:2" x14ac:dyDescent="0.25">
      <c r="A3478" t="s">
        <v>5502</v>
      </c>
      <c r="B3478" t="s">
        <v>5503</v>
      </c>
    </row>
    <row r="3479" spans="1:2" x14ac:dyDescent="0.25">
      <c r="A3479" t="s">
        <v>5504</v>
      </c>
      <c r="B3479" t="s">
        <v>5505</v>
      </c>
    </row>
    <row r="3480" spans="1:2" x14ac:dyDescent="0.25">
      <c r="A3480" t="s">
        <v>5506</v>
      </c>
      <c r="B3480" t="s">
        <v>5507</v>
      </c>
    </row>
    <row r="3481" spans="1:2" x14ac:dyDescent="0.25">
      <c r="A3481" t="s">
        <v>5508</v>
      </c>
      <c r="B3481" t="s">
        <v>5509</v>
      </c>
    </row>
    <row r="3482" spans="1:2" x14ac:dyDescent="0.25">
      <c r="A3482" t="s">
        <v>5510</v>
      </c>
      <c r="B3482" t="s">
        <v>5511</v>
      </c>
    </row>
    <row r="3483" spans="1:2" x14ac:dyDescent="0.25">
      <c r="A3483" t="s">
        <v>5512</v>
      </c>
      <c r="B3483" t="s">
        <v>5513</v>
      </c>
    </row>
    <row r="3484" spans="1:2" x14ac:dyDescent="0.25">
      <c r="A3484" t="s">
        <v>5514</v>
      </c>
      <c r="B3484" t="s">
        <v>5515</v>
      </c>
    </row>
    <row r="3485" spans="1:2" x14ac:dyDescent="0.25">
      <c r="A3485" t="s">
        <v>5516</v>
      </c>
      <c r="B3485" t="s">
        <v>5517</v>
      </c>
    </row>
    <row r="3486" spans="1:2" x14ac:dyDescent="0.25">
      <c r="A3486" t="s">
        <v>5518</v>
      </c>
      <c r="B3486" t="s">
        <v>5519</v>
      </c>
    </row>
    <row r="3487" spans="1:2" x14ac:dyDescent="0.25">
      <c r="A3487" t="s">
        <v>5520</v>
      </c>
      <c r="B3487" t="s">
        <v>5521</v>
      </c>
    </row>
    <row r="3488" spans="1:2" x14ac:dyDescent="0.25">
      <c r="A3488" t="s">
        <v>5522</v>
      </c>
      <c r="B3488" t="s">
        <v>5523</v>
      </c>
    </row>
    <row r="3489" spans="1:2" x14ac:dyDescent="0.25">
      <c r="A3489" t="s">
        <v>5524</v>
      </c>
      <c r="B3489" t="s">
        <v>5525</v>
      </c>
    </row>
    <row r="3490" spans="1:2" x14ac:dyDescent="0.25">
      <c r="A3490" t="s">
        <v>5526</v>
      </c>
      <c r="B3490" t="s">
        <v>5527</v>
      </c>
    </row>
    <row r="3491" spans="1:2" x14ac:dyDescent="0.25">
      <c r="A3491" t="s">
        <v>5528</v>
      </c>
      <c r="B3491" t="s">
        <v>5529</v>
      </c>
    </row>
    <row r="3492" spans="1:2" x14ac:dyDescent="0.25">
      <c r="A3492" t="s">
        <v>5530</v>
      </c>
      <c r="B3492" t="s">
        <v>5531</v>
      </c>
    </row>
    <row r="3493" spans="1:2" x14ac:dyDescent="0.25">
      <c r="A3493" t="s">
        <v>5532</v>
      </c>
      <c r="B3493" t="s">
        <v>5533</v>
      </c>
    </row>
    <row r="3494" spans="1:2" x14ac:dyDescent="0.25">
      <c r="A3494" t="s">
        <v>2637</v>
      </c>
      <c r="B3494" t="s">
        <v>2638</v>
      </c>
    </row>
    <row r="3495" spans="1:2" x14ac:dyDescent="0.25">
      <c r="A3495" t="s">
        <v>5534</v>
      </c>
      <c r="B3495" t="s">
        <v>5535</v>
      </c>
    </row>
    <row r="3496" spans="1:2" x14ac:dyDescent="0.25">
      <c r="A3496" t="s">
        <v>5536</v>
      </c>
      <c r="B3496" t="s">
        <v>5537</v>
      </c>
    </row>
    <row r="3497" spans="1:2" x14ac:dyDescent="0.25">
      <c r="A3497" t="s">
        <v>5538</v>
      </c>
      <c r="B3497" t="s">
        <v>5539</v>
      </c>
    </row>
    <row r="3498" spans="1:2" x14ac:dyDescent="0.25">
      <c r="A3498" t="s">
        <v>2651</v>
      </c>
      <c r="B3498" t="s">
        <v>2652</v>
      </c>
    </row>
    <row r="3499" spans="1:2" x14ac:dyDescent="0.25">
      <c r="A3499" t="s">
        <v>5540</v>
      </c>
      <c r="B3499" t="s">
        <v>5541</v>
      </c>
    </row>
    <row r="3500" spans="1:2" x14ac:dyDescent="0.25">
      <c r="A3500" t="s">
        <v>5542</v>
      </c>
      <c r="B3500" t="s">
        <v>5543</v>
      </c>
    </row>
    <row r="3501" spans="1:2" x14ac:dyDescent="0.25">
      <c r="A3501" t="s">
        <v>5544</v>
      </c>
      <c r="B3501" t="s">
        <v>5545</v>
      </c>
    </row>
    <row r="3502" spans="1:2" x14ac:dyDescent="0.25">
      <c r="A3502" t="s">
        <v>5546</v>
      </c>
      <c r="B3502" t="s">
        <v>5547</v>
      </c>
    </row>
    <row r="3503" spans="1:2" x14ac:dyDescent="0.25">
      <c r="A3503" t="s">
        <v>5548</v>
      </c>
      <c r="B3503" t="s">
        <v>5549</v>
      </c>
    </row>
    <row r="3504" spans="1:2" x14ac:dyDescent="0.25">
      <c r="A3504" t="s">
        <v>2657</v>
      </c>
      <c r="B3504" t="s">
        <v>2658</v>
      </c>
    </row>
    <row r="3505" spans="1:2" x14ac:dyDescent="0.25">
      <c r="A3505" t="s">
        <v>5550</v>
      </c>
      <c r="B3505" t="s">
        <v>5551</v>
      </c>
    </row>
    <row r="3506" spans="1:2" x14ac:dyDescent="0.25">
      <c r="A3506" t="s">
        <v>5552</v>
      </c>
      <c r="B3506" t="s">
        <v>5553</v>
      </c>
    </row>
    <row r="3507" spans="1:2" x14ac:dyDescent="0.25">
      <c r="A3507" t="s">
        <v>5554</v>
      </c>
      <c r="B3507" t="s">
        <v>5555</v>
      </c>
    </row>
    <row r="3508" spans="1:2" x14ac:dyDescent="0.25">
      <c r="A3508" t="s">
        <v>5556</v>
      </c>
      <c r="B3508" t="s">
        <v>5557</v>
      </c>
    </row>
    <row r="3509" spans="1:2" x14ac:dyDescent="0.25">
      <c r="A3509" t="s">
        <v>5558</v>
      </c>
      <c r="B3509" t="s">
        <v>5559</v>
      </c>
    </row>
    <row r="3510" spans="1:2" x14ac:dyDescent="0.25">
      <c r="A3510" t="s">
        <v>5560</v>
      </c>
      <c r="B3510" t="s">
        <v>5561</v>
      </c>
    </row>
    <row r="3511" spans="1:2" x14ac:dyDescent="0.25">
      <c r="A3511" t="s">
        <v>5562</v>
      </c>
      <c r="B3511" t="s">
        <v>5563</v>
      </c>
    </row>
    <row r="3512" spans="1:2" x14ac:dyDescent="0.25">
      <c r="A3512" t="s">
        <v>5564</v>
      </c>
      <c r="B3512" t="s">
        <v>5565</v>
      </c>
    </row>
    <row r="3513" spans="1:2" x14ac:dyDescent="0.25">
      <c r="A3513" t="s">
        <v>5566</v>
      </c>
      <c r="B3513" t="s">
        <v>5567</v>
      </c>
    </row>
    <row r="3514" spans="1:2" x14ac:dyDescent="0.25">
      <c r="A3514" t="s">
        <v>5568</v>
      </c>
      <c r="B3514" t="s">
        <v>5569</v>
      </c>
    </row>
    <row r="3515" spans="1:2" x14ac:dyDescent="0.25">
      <c r="A3515" t="s">
        <v>5570</v>
      </c>
      <c r="B3515" t="s">
        <v>5571</v>
      </c>
    </row>
    <row r="3516" spans="1:2" x14ac:dyDescent="0.25">
      <c r="A3516" t="s">
        <v>5572</v>
      </c>
      <c r="B3516" t="s">
        <v>5573</v>
      </c>
    </row>
    <row r="3517" spans="1:2" x14ac:dyDescent="0.25">
      <c r="A3517" t="s">
        <v>5574</v>
      </c>
      <c r="B3517" t="s">
        <v>5575</v>
      </c>
    </row>
    <row r="3518" spans="1:2" x14ac:dyDescent="0.25">
      <c r="A3518" t="s">
        <v>5576</v>
      </c>
      <c r="B3518" t="s">
        <v>5577</v>
      </c>
    </row>
    <row r="3519" spans="1:2" x14ac:dyDescent="0.25">
      <c r="A3519" t="s">
        <v>5578</v>
      </c>
      <c r="B3519" t="s">
        <v>5579</v>
      </c>
    </row>
    <row r="3520" spans="1:2" x14ac:dyDescent="0.25">
      <c r="A3520" t="s">
        <v>5580</v>
      </c>
      <c r="B3520" t="s">
        <v>5581</v>
      </c>
    </row>
    <row r="3521" spans="1:2" x14ac:dyDescent="0.25">
      <c r="A3521" t="s">
        <v>5582</v>
      </c>
      <c r="B3521" t="s">
        <v>5583</v>
      </c>
    </row>
    <row r="3522" spans="1:2" x14ac:dyDescent="0.25">
      <c r="A3522" t="s">
        <v>5584</v>
      </c>
      <c r="B3522" t="s">
        <v>5585</v>
      </c>
    </row>
    <row r="3523" spans="1:2" x14ac:dyDescent="0.25">
      <c r="A3523" t="s">
        <v>5586</v>
      </c>
      <c r="B3523" t="s">
        <v>5587</v>
      </c>
    </row>
    <row r="3524" spans="1:2" x14ac:dyDescent="0.25">
      <c r="A3524" t="s">
        <v>5588</v>
      </c>
      <c r="B3524" t="s">
        <v>5589</v>
      </c>
    </row>
    <row r="3525" spans="1:2" x14ac:dyDescent="0.25">
      <c r="A3525" t="s">
        <v>5590</v>
      </c>
      <c r="B3525" t="s">
        <v>5591</v>
      </c>
    </row>
    <row r="3526" spans="1:2" x14ac:dyDescent="0.25">
      <c r="A3526" t="s">
        <v>5592</v>
      </c>
      <c r="B3526" t="s">
        <v>5593</v>
      </c>
    </row>
    <row r="3527" spans="1:2" x14ac:dyDescent="0.25">
      <c r="A3527" t="s">
        <v>5594</v>
      </c>
      <c r="B3527" t="s">
        <v>5595</v>
      </c>
    </row>
    <row r="3528" spans="1:2" x14ac:dyDescent="0.25">
      <c r="A3528" t="s">
        <v>5596</v>
      </c>
      <c r="B3528" t="s">
        <v>5597</v>
      </c>
    </row>
    <row r="3529" spans="1:2" x14ac:dyDescent="0.25">
      <c r="A3529" t="s">
        <v>5598</v>
      </c>
      <c r="B3529" t="s">
        <v>5599</v>
      </c>
    </row>
    <row r="3530" spans="1:2" x14ac:dyDescent="0.25">
      <c r="A3530" t="s">
        <v>5600</v>
      </c>
      <c r="B3530" t="s">
        <v>5601</v>
      </c>
    </row>
    <row r="3531" spans="1:2" x14ac:dyDescent="0.25">
      <c r="A3531" t="s">
        <v>5602</v>
      </c>
      <c r="B3531" t="s">
        <v>5603</v>
      </c>
    </row>
    <row r="3532" spans="1:2" x14ac:dyDescent="0.25">
      <c r="A3532" t="s">
        <v>5604</v>
      </c>
      <c r="B3532" t="s">
        <v>5605</v>
      </c>
    </row>
    <row r="3533" spans="1:2" x14ac:dyDescent="0.25">
      <c r="A3533" t="s">
        <v>5606</v>
      </c>
      <c r="B3533" t="s">
        <v>5607</v>
      </c>
    </row>
    <row r="3534" spans="1:2" x14ac:dyDescent="0.25">
      <c r="A3534" t="s">
        <v>5608</v>
      </c>
      <c r="B3534" t="s">
        <v>5609</v>
      </c>
    </row>
    <row r="3535" spans="1:2" x14ac:dyDescent="0.25">
      <c r="A3535" t="s">
        <v>1540</v>
      </c>
      <c r="B3535" t="s">
        <v>1541</v>
      </c>
    </row>
    <row r="3536" spans="1:2" x14ac:dyDescent="0.25">
      <c r="A3536" t="s">
        <v>5610</v>
      </c>
      <c r="B3536" t="s">
        <v>5611</v>
      </c>
    </row>
    <row r="3537" spans="1:2" x14ac:dyDescent="0.25">
      <c r="A3537" t="s">
        <v>5612</v>
      </c>
      <c r="B3537" t="s">
        <v>5613</v>
      </c>
    </row>
    <row r="3538" spans="1:2" x14ac:dyDescent="0.25">
      <c r="A3538" t="s">
        <v>2684</v>
      </c>
      <c r="B3538" t="s">
        <v>2685</v>
      </c>
    </row>
    <row r="3539" spans="1:2" x14ac:dyDescent="0.25">
      <c r="A3539" t="s">
        <v>5614</v>
      </c>
      <c r="B3539" t="s">
        <v>5615</v>
      </c>
    </row>
    <row r="3540" spans="1:2" x14ac:dyDescent="0.25">
      <c r="A3540" t="s">
        <v>5616</v>
      </c>
      <c r="B3540" t="s">
        <v>5617</v>
      </c>
    </row>
    <row r="3541" spans="1:2" x14ac:dyDescent="0.25">
      <c r="A3541" t="s">
        <v>5618</v>
      </c>
      <c r="B3541" t="s">
        <v>5619</v>
      </c>
    </row>
    <row r="3542" spans="1:2" x14ac:dyDescent="0.25">
      <c r="A3542" t="s">
        <v>5620</v>
      </c>
      <c r="B3542" t="s">
        <v>5621</v>
      </c>
    </row>
    <row r="3543" spans="1:2" x14ac:dyDescent="0.25">
      <c r="A3543" t="s">
        <v>5622</v>
      </c>
      <c r="B3543" t="s">
        <v>5623</v>
      </c>
    </row>
    <row r="3544" spans="1:2" x14ac:dyDescent="0.25">
      <c r="A3544" t="s">
        <v>5624</v>
      </c>
      <c r="B3544" t="s">
        <v>5625</v>
      </c>
    </row>
    <row r="3545" spans="1:2" x14ac:dyDescent="0.25">
      <c r="A3545" t="s">
        <v>5626</v>
      </c>
      <c r="B3545" t="s">
        <v>5627</v>
      </c>
    </row>
    <row r="3546" spans="1:2" x14ac:dyDescent="0.25">
      <c r="A3546" t="s">
        <v>5628</v>
      </c>
      <c r="B3546" t="s">
        <v>5629</v>
      </c>
    </row>
    <row r="3547" spans="1:2" x14ac:dyDescent="0.25">
      <c r="A3547" t="s">
        <v>2686</v>
      </c>
      <c r="B3547" t="s">
        <v>2687</v>
      </c>
    </row>
    <row r="3548" spans="1:2" x14ac:dyDescent="0.25">
      <c r="A3548" t="s">
        <v>5630</v>
      </c>
      <c r="B3548" t="s">
        <v>5631</v>
      </c>
    </row>
    <row r="3549" spans="1:2" x14ac:dyDescent="0.25">
      <c r="A3549" t="s">
        <v>5632</v>
      </c>
      <c r="B3549" t="s">
        <v>5633</v>
      </c>
    </row>
    <row r="3550" spans="1:2" x14ac:dyDescent="0.25">
      <c r="A3550" t="s">
        <v>5634</v>
      </c>
      <c r="B3550" t="s">
        <v>5635</v>
      </c>
    </row>
    <row r="3551" spans="1:2" x14ac:dyDescent="0.25">
      <c r="A3551" t="s">
        <v>5636</v>
      </c>
      <c r="B3551" t="s">
        <v>5637</v>
      </c>
    </row>
    <row r="3552" spans="1:2" x14ac:dyDescent="0.25">
      <c r="A3552" t="s">
        <v>5638</v>
      </c>
      <c r="B3552" t="s">
        <v>5639</v>
      </c>
    </row>
    <row r="3553" spans="1:2" x14ac:dyDescent="0.25">
      <c r="A3553" t="s">
        <v>5640</v>
      </c>
      <c r="B3553" t="s">
        <v>5641</v>
      </c>
    </row>
    <row r="3554" spans="1:2" x14ac:dyDescent="0.25">
      <c r="A3554" t="s">
        <v>5642</v>
      </c>
      <c r="B3554" t="s">
        <v>5643</v>
      </c>
    </row>
    <row r="3555" spans="1:2" x14ac:dyDescent="0.25">
      <c r="A3555" t="s">
        <v>5644</v>
      </c>
      <c r="B3555" t="s">
        <v>5645</v>
      </c>
    </row>
    <row r="3556" spans="1:2" x14ac:dyDescent="0.25">
      <c r="A3556" t="s">
        <v>5646</v>
      </c>
      <c r="B3556" t="s">
        <v>5647</v>
      </c>
    </row>
    <row r="3557" spans="1:2" x14ac:dyDescent="0.25">
      <c r="A3557" t="s">
        <v>5648</v>
      </c>
      <c r="B3557" t="s">
        <v>5649</v>
      </c>
    </row>
    <row r="3558" spans="1:2" x14ac:dyDescent="0.25">
      <c r="A3558" t="s">
        <v>2695</v>
      </c>
      <c r="B3558" t="s">
        <v>2696</v>
      </c>
    </row>
    <row r="3559" spans="1:2" x14ac:dyDescent="0.25">
      <c r="A3559" t="s">
        <v>5650</v>
      </c>
      <c r="B3559" t="s">
        <v>5651</v>
      </c>
    </row>
    <row r="3560" spans="1:2" x14ac:dyDescent="0.25">
      <c r="A3560" t="s">
        <v>5652</v>
      </c>
      <c r="B3560" t="s">
        <v>5653</v>
      </c>
    </row>
    <row r="3561" spans="1:2" x14ac:dyDescent="0.25">
      <c r="A3561" t="s">
        <v>5654</v>
      </c>
      <c r="B3561" t="s">
        <v>5655</v>
      </c>
    </row>
    <row r="3562" spans="1:2" x14ac:dyDescent="0.25">
      <c r="A3562" t="s">
        <v>5656</v>
      </c>
      <c r="B3562" t="s">
        <v>5657</v>
      </c>
    </row>
    <row r="3563" spans="1:2" x14ac:dyDescent="0.25">
      <c r="A3563" t="s">
        <v>5658</v>
      </c>
      <c r="B3563" t="s">
        <v>5659</v>
      </c>
    </row>
    <row r="3564" spans="1:2" x14ac:dyDescent="0.25">
      <c r="A3564" t="s">
        <v>5660</v>
      </c>
      <c r="B3564" t="s">
        <v>5661</v>
      </c>
    </row>
    <row r="3565" spans="1:2" x14ac:dyDescent="0.25">
      <c r="A3565" t="s">
        <v>5662</v>
      </c>
      <c r="B3565" t="s">
        <v>5663</v>
      </c>
    </row>
    <row r="3566" spans="1:2" x14ac:dyDescent="0.25">
      <c r="A3566" t="s">
        <v>2714</v>
      </c>
      <c r="B3566" t="s">
        <v>2715</v>
      </c>
    </row>
    <row r="3567" spans="1:2" x14ac:dyDescent="0.25">
      <c r="A3567" t="s">
        <v>5664</v>
      </c>
      <c r="B3567" t="s">
        <v>5665</v>
      </c>
    </row>
    <row r="3568" spans="1:2" x14ac:dyDescent="0.25">
      <c r="A3568" t="s">
        <v>5666</v>
      </c>
      <c r="B3568" t="s">
        <v>5667</v>
      </c>
    </row>
    <row r="3569" spans="1:2" x14ac:dyDescent="0.25">
      <c r="A3569" t="s">
        <v>5668</v>
      </c>
      <c r="B3569" t="s">
        <v>5669</v>
      </c>
    </row>
    <row r="3570" spans="1:2" x14ac:dyDescent="0.25">
      <c r="A3570" t="s">
        <v>2716</v>
      </c>
      <c r="B3570" t="s">
        <v>2717</v>
      </c>
    </row>
    <row r="3571" spans="1:2" x14ac:dyDescent="0.25">
      <c r="A3571" t="s">
        <v>2718</v>
      </c>
      <c r="B3571" t="s">
        <v>2719</v>
      </c>
    </row>
    <row r="3572" spans="1:2" x14ac:dyDescent="0.25">
      <c r="A3572" t="s">
        <v>5670</v>
      </c>
      <c r="B3572" t="s">
        <v>5671</v>
      </c>
    </row>
    <row r="3573" spans="1:2" x14ac:dyDescent="0.25">
      <c r="A3573" t="s">
        <v>5672</v>
      </c>
      <c r="B3573" t="s">
        <v>5673</v>
      </c>
    </row>
    <row r="3574" spans="1:2" x14ac:dyDescent="0.25">
      <c r="A3574" t="s">
        <v>5674</v>
      </c>
      <c r="B3574" t="s">
        <v>5675</v>
      </c>
    </row>
    <row r="3575" spans="1:2" x14ac:dyDescent="0.25">
      <c r="A3575" t="s">
        <v>5676</v>
      </c>
      <c r="B3575" t="s">
        <v>5677</v>
      </c>
    </row>
    <row r="3576" spans="1:2" x14ac:dyDescent="0.25">
      <c r="A3576" t="s">
        <v>2722</v>
      </c>
      <c r="B3576" t="s">
        <v>2723</v>
      </c>
    </row>
    <row r="3577" spans="1:2" x14ac:dyDescent="0.25">
      <c r="A3577" t="s">
        <v>5678</v>
      </c>
      <c r="B3577" t="s">
        <v>5679</v>
      </c>
    </row>
    <row r="3578" spans="1:2" x14ac:dyDescent="0.25">
      <c r="A3578" t="s">
        <v>2571</v>
      </c>
      <c r="B3578" t="s">
        <v>5680</v>
      </c>
    </row>
    <row r="3579" spans="1:2" x14ac:dyDescent="0.25">
      <c r="A3579" t="s">
        <v>5681</v>
      </c>
      <c r="B3579" t="s">
        <v>5682</v>
      </c>
    </row>
    <row r="3580" spans="1:2" x14ac:dyDescent="0.25">
      <c r="A3580" t="s">
        <v>5683</v>
      </c>
      <c r="B3580" t="s">
        <v>5684</v>
      </c>
    </row>
    <row r="3581" spans="1:2" x14ac:dyDescent="0.25">
      <c r="A3581" t="s">
        <v>5685</v>
      </c>
      <c r="B3581" t="s">
        <v>5686</v>
      </c>
    </row>
    <row r="3582" spans="1:2" x14ac:dyDescent="0.25">
      <c r="A3582" t="s">
        <v>5687</v>
      </c>
      <c r="B3582" t="s">
        <v>5688</v>
      </c>
    </row>
    <row r="3583" spans="1:2" x14ac:dyDescent="0.25">
      <c r="A3583" t="s">
        <v>5689</v>
      </c>
      <c r="B3583" t="s">
        <v>5690</v>
      </c>
    </row>
    <row r="3584" spans="1:2" x14ac:dyDescent="0.25">
      <c r="A3584" t="s">
        <v>5691</v>
      </c>
      <c r="B3584" t="s">
        <v>5692</v>
      </c>
    </row>
    <row r="3585" spans="1:2" x14ac:dyDescent="0.25">
      <c r="A3585" t="s">
        <v>5693</v>
      </c>
      <c r="B3585" t="s">
        <v>5694</v>
      </c>
    </row>
    <row r="3586" spans="1:2" x14ac:dyDescent="0.25">
      <c r="A3586" t="s">
        <v>5695</v>
      </c>
      <c r="B3586" t="s">
        <v>5696</v>
      </c>
    </row>
    <row r="3587" spans="1:2" x14ac:dyDescent="0.25">
      <c r="A3587" t="s">
        <v>5697</v>
      </c>
      <c r="B3587" t="s">
        <v>5698</v>
      </c>
    </row>
    <row r="3588" spans="1:2" x14ac:dyDescent="0.25">
      <c r="A3588" t="s">
        <v>1486</v>
      </c>
      <c r="B3588" t="s">
        <v>1487</v>
      </c>
    </row>
    <row r="3589" spans="1:2" x14ac:dyDescent="0.25">
      <c r="A3589" t="s">
        <v>5699</v>
      </c>
      <c r="B3589" t="s">
        <v>5700</v>
      </c>
    </row>
    <row r="3590" spans="1:2" x14ac:dyDescent="0.25">
      <c r="A3590" t="s">
        <v>5701</v>
      </c>
      <c r="B3590" t="s">
        <v>5702</v>
      </c>
    </row>
    <row r="3591" spans="1:2" x14ac:dyDescent="0.25">
      <c r="A3591" t="s">
        <v>5703</v>
      </c>
      <c r="B3591" t="s">
        <v>5704</v>
      </c>
    </row>
    <row r="3592" spans="1:2" x14ac:dyDescent="0.25">
      <c r="A3592" t="s">
        <v>5705</v>
      </c>
      <c r="B3592" t="s">
        <v>5706</v>
      </c>
    </row>
    <row r="3593" spans="1:2" x14ac:dyDescent="0.25">
      <c r="A3593" t="s">
        <v>2734</v>
      </c>
      <c r="B3593" t="s">
        <v>2735</v>
      </c>
    </row>
    <row r="3594" spans="1:2" x14ac:dyDescent="0.25">
      <c r="A3594" t="s">
        <v>5707</v>
      </c>
      <c r="B3594" t="s">
        <v>5708</v>
      </c>
    </row>
    <row r="3595" spans="1:2" x14ac:dyDescent="0.25">
      <c r="A3595" t="s">
        <v>5709</v>
      </c>
      <c r="B3595" t="s">
        <v>5710</v>
      </c>
    </row>
    <row r="3596" spans="1:2" x14ac:dyDescent="0.25">
      <c r="A3596" t="s">
        <v>5711</v>
      </c>
      <c r="B3596" t="s">
        <v>5712</v>
      </c>
    </row>
    <row r="3597" spans="1:2" x14ac:dyDescent="0.25">
      <c r="A3597" t="s">
        <v>5713</v>
      </c>
      <c r="B3597" t="s">
        <v>5714</v>
      </c>
    </row>
    <row r="3598" spans="1:2" x14ac:dyDescent="0.25">
      <c r="A3598" t="s">
        <v>5715</v>
      </c>
      <c r="B3598" t="s">
        <v>5716</v>
      </c>
    </row>
    <row r="3599" spans="1:2" x14ac:dyDescent="0.25">
      <c r="A3599" t="s">
        <v>5717</v>
      </c>
      <c r="B3599" t="s">
        <v>5718</v>
      </c>
    </row>
    <row r="3600" spans="1:2" x14ac:dyDescent="0.25">
      <c r="A3600" t="s">
        <v>2744</v>
      </c>
      <c r="B3600" t="s">
        <v>2745</v>
      </c>
    </row>
    <row r="3601" spans="1:2" x14ac:dyDescent="0.25">
      <c r="A3601" t="s">
        <v>5719</v>
      </c>
      <c r="B3601" t="s">
        <v>5720</v>
      </c>
    </row>
    <row r="3602" spans="1:2" x14ac:dyDescent="0.25">
      <c r="A3602" t="s">
        <v>5721</v>
      </c>
      <c r="B3602" t="s">
        <v>5722</v>
      </c>
    </row>
    <row r="3603" spans="1:2" x14ac:dyDescent="0.25">
      <c r="A3603" t="s">
        <v>5723</v>
      </c>
      <c r="B3603" t="s">
        <v>5724</v>
      </c>
    </row>
    <row r="3604" spans="1:2" x14ac:dyDescent="0.25">
      <c r="A3604" t="s">
        <v>5725</v>
      </c>
      <c r="B3604" t="s">
        <v>5726</v>
      </c>
    </row>
    <row r="3605" spans="1:2" x14ac:dyDescent="0.25">
      <c r="A3605" t="s">
        <v>5727</v>
      </c>
      <c r="B3605" t="s">
        <v>5728</v>
      </c>
    </row>
    <row r="3606" spans="1:2" x14ac:dyDescent="0.25">
      <c r="A3606" t="s">
        <v>5729</v>
      </c>
      <c r="B3606" t="s">
        <v>5730</v>
      </c>
    </row>
    <row r="3607" spans="1:2" x14ac:dyDescent="0.25">
      <c r="A3607" t="s">
        <v>5731</v>
      </c>
      <c r="B3607" t="s">
        <v>5732</v>
      </c>
    </row>
    <row r="3608" spans="1:2" x14ac:dyDescent="0.25">
      <c r="A3608" t="s">
        <v>5733</v>
      </c>
      <c r="B3608" t="s">
        <v>5734</v>
      </c>
    </row>
    <row r="3609" spans="1:2" x14ac:dyDescent="0.25">
      <c r="A3609" t="s">
        <v>5735</v>
      </c>
      <c r="B3609" t="s">
        <v>5736</v>
      </c>
    </row>
    <row r="3610" spans="1:2" x14ac:dyDescent="0.25">
      <c r="A3610" t="s">
        <v>5737</v>
      </c>
      <c r="B3610" t="s">
        <v>5738</v>
      </c>
    </row>
    <row r="3611" spans="1:2" x14ac:dyDescent="0.25">
      <c r="A3611" t="s">
        <v>5739</v>
      </c>
      <c r="B3611" t="s">
        <v>5740</v>
      </c>
    </row>
    <row r="3612" spans="1:2" x14ac:dyDescent="0.25">
      <c r="A3612" t="s">
        <v>5741</v>
      </c>
      <c r="B3612" t="s">
        <v>5742</v>
      </c>
    </row>
    <row r="3613" spans="1:2" x14ac:dyDescent="0.25">
      <c r="A3613" t="s">
        <v>5743</v>
      </c>
      <c r="B3613" t="s">
        <v>5744</v>
      </c>
    </row>
    <row r="3614" spans="1:2" x14ac:dyDescent="0.25">
      <c r="A3614" t="s">
        <v>5745</v>
      </c>
      <c r="B3614" t="s">
        <v>5746</v>
      </c>
    </row>
    <row r="3615" spans="1:2" x14ac:dyDescent="0.25">
      <c r="A3615" t="s">
        <v>5747</v>
      </c>
      <c r="B3615" t="s">
        <v>5748</v>
      </c>
    </row>
    <row r="3616" spans="1:2" x14ac:dyDescent="0.25">
      <c r="A3616" t="s">
        <v>5749</v>
      </c>
      <c r="B3616" t="s">
        <v>5750</v>
      </c>
    </row>
    <row r="3617" spans="1:2" x14ac:dyDescent="0.25">
      <c r="A3617" t="s">
        <v>5751</v>
      </c>
      <c r="B3617" t="s">
        <v>5752</v>
      </c>
    </row>
    <row r="3618" spans="1:2" x14ac:dyDescent="0.25">
      <c r="A3618" t="s">
        <v>5753</v>
      </c>
      <c r="B3618" t="s">
        <v>5754</v>
      </c>
    </row>
    <row r="3619" spans="1:2" x14ac:dyDescent="0.25">
      <c r="A3619" t="s">
        <v>5755</v>
      </c>
      <c r="B3619" t="s">
        <v>5756</v>
      </c>
    </row>
    <row r="3620" spans="1:2" x14ac:dyDescent="0.25">
      <c r="A3620" t="s">
        <v>5757</v>
      </c>
      <c r="B3620" t="s">
        <v>5758</v>
      </c>
    </row>
    <row r="3621" spans="1:2" x14ac:dyDescent="0.25">
      <c r="A3621" t="s">
        <v>5759</v>
      </c>
      <c r="B3621" t="s">
        <v>5760</v>
      </c>
    </row>
    <row r="3622" spans="1:2" x14ac:dyDescent="0.25">
      <c r="A3622" t="s">
        <v>5761</v>
      </c>
      <c r="B3622" t="s">
        <v>5762</v>
      </c>
    </row>
    <row r="3623" spans="1:2" x14ac:dyDescent="0.25">
      <c r="A3623" t="s">
        <v>5763</v>
      </c>
      <c r="B3623" t="s">
        <v>5764</v>
      </c>
    </row>
    <row r="3624" spans="1:2" x14ac:dyDescent="0.25">
      <c r="A3624" t="s">
        <v>5765</v>
      </c>
      <c r="B3624" t="s">
        <v>5766</v>
      </c>
    </row>
    <row r="3625" spans="1:2" x14ac:dyDescent="0.25">
      <c r="A3625" t="s">
        <v>5767</v>
      </c>
      <c r="B3625" t="s">
        <v>5768</v>
      </c>
    </row>
    <row r="3626" spans="1:2" x14ac:dyDescent="0.25">
      <c r="A3626" t="s">
        <v>5769</v>
      </c>
      <c r="B3626" t="s">
        <v>5770</v>
      </c>
    </row>
    <row r="3627" spans="1:2" x14ac:dyDescent="0.25">
      <c r="A3627" t="s">
        <v>5771</v>
      </c>
      <c r="B3627" t="s">
        <v>5772</v>
      </c>
    </row>
    <row r="3628" spans="1:2" x14ac:dyDescent="0.25">
      <c r="A3628" t="s">
        <v>5773</v>
      </c>
      <c r="B3628" t="s">
        <v>5774</v>
      </c>
    </row>
    <row r="3629" spans="1:2" x14ac:dyDescent="0.25">
      <c r="A3629" t="s">
        <v>5775</v>
      </c>
      <c r="B3629" t="s">
        <v>5776</v>
      </c>
    </row>
    <row r="3630" spans="1:2" x14ac:dyDescent="0.25">
      <c r="A3630" t="s">
        <v>5777</v>
      </c>
      <c r="B3630" t="s">
        <v>5778</v>
      </c>
    </row>
    <row r="3631" spans="1:2" x14ac:dyDescent="0.25">
      <c r="A3631" t="s">
        <v>5779</v>
      </c>
      <c r="B3631" t="s">
        <v>5780</v>
      </c>
    </row>
    <row r="3632" spans="1:2" x14ac:dyDescent="0.25">
      <c r="A3632" t="s">
        <v>5781</v>
      </c>
      <c r="B3632" t="s">
        <v>5782</v>
      </c>
    </row>
    <row r="3633" spans="1:2" x14ac:dyDescent="0.25">
      <c r="A3633" t="s">
        <v>5783</v>
      </c>
      <c r="B3633" t="s">
        <v>5784</v>
      </c>
    </row>
    <row r="3634" spans="1:2" x14ac:dyDescent="0.25">
      <c r="A3634" t="s">
        <v>5785</v>
      </c>
      <c r="B3634" t="s">
        <v>5786</v>
      </c>
    </row>
    <row r="3635" spans="1:2" x14ac:dyDescent="0.25">
      <c r="A3635" t="s">
        <v>5787</v>
      </c>
      <c r="B3635" t="s">
        <v>5788</v>
      </c>
    </row>
    <row r="3636" spans="1:2" x14ac:dyDescent="0.25">
      <c r="A3636" t="s">
        <v>5789</v>
      </c>
      <c r="B3636" t="s">
        <v>5790</v>
      </c>
    </row>
    <row r="3637" spans="1:2" x14ac:dyDescent="0.25">
      <c r="A3637" t="s">
        <v>5791</v>
      </c>
      <c r="B3637" t="s">
        <v>5792</v>
      </c>
    </row>
    <row r="3638" spans="1:2" x14ac:dyDescent="0.25">
      <c r="A3638" t="s">
        <v>5793</v>
      </c>
      <c r="B3638" t="s">
        <v>5794</v>
      </c>
    </row>
    <row r="3639" spans="1:2" x14ac:dyDescent="0.25">
      <c r="A3639" t="s">
        <v>5795</v>
      </c>
      <c r="B3639" t="s">
        <v>5796</v>
      </c>
    </row>
    <row r="3640" spans="1:2" x14ac:dyDescent="0.25">
      <c r="A3640" t="s">
        <v>5797</v>
      </c>
      <c r="B3640" t="s">
        <v>5798</v>
      </c>
    </row>
    <row r="3641" spans="1:2" x14ac:dyDescent="0.25">
      <c r="A3641" t="s">
        <v>5799</v>
      </c>
      <c r="B3641" t="s">
        <v>5800</v>
      </c>
    </row>
    <row r="3642" spans="1:2" x14ac:dyDescent="0.25">
      <c r="A3642" t="s">
        <v>5801</v>
      </c>
      <c r="B3642" t="s">
        <v>5802</v>
      </c>
    </row>
    <row r="3643" spans="1:2" x14ac:dyDescent="0.25">
      <c r="A3643" t="s">
        <v>5803</v>
      </c>
      <c r="B3643" t="s">
        <v>5804</v>
      </c>
    </row>
    <row r="3644" spans="1:2" x14ac:dyDescent="0.25">
      <c r="A3644" t="s">
        <v>2765</v>
      </c>
      <c r="B3644" t="s">
        <v>2766</v>
      </c>
    </row>
    <row r="3645" spans="1:2" x14ac:dyDescent="0.25">
      <c r="A3645" t="s">
        <v>5805</v>
      </c>
      <c r="B3645" t="s">
        <v>5806</v>
      </c>
    </row>
    <row r="3646" spans="1:2" x14ac:dyDescent="0.25">
      <c r="A3646" t="s">
        <v>5807</v>
      </c>
      <c r="B3646" t="s">
        <v>5808</v>
      </c>
    </row>
    <row r="3647" spans="1:2" x14ac:dyDescent="0.25">
      <c r="A3647" t="s">
        <v>5809</v>
      </c>
      <c r="B3647" t="s">
        <v>5810</v>
      </c>
    </row>
    <row r="3648" spans="1:2" x14ac:dyDescent="0.25">
      <c r="A3648" t="s">
        <v>5811</v>
      </c>
      <c r="B3648" t="s">
        <v>5812</v>
      </c>
    </row>
    <row r="3649" spans="1:2" x14ac:dyDescent="0.25">
      <c r="A3649" t="s">
        <v>5813</v>
      </c>
      <c r="B3649" t="s">
        <v>5814</v>
      </c>
    </row>
    <row r="3650" spans="1:2" x14ac:dyDescent="0.25">
      <c r="A3650" t="s">
        <v>5815</v>
      </c>
      <c r="B3650" t="s">
        <v>5816</v>
      </c>
    </row>
    <row r="3651" spans="1:2" x14ac:dyDescent="0.25">
      <c r="A3651" t="s">
        <v>5817</v>
      </c>
      <c r="B3651" t="s">
        <v>5818</v>
      </c>
    </row>
    <row r="3652" spans="1:2" x14ac:dyDescent="0.25">
      <c r="A3652" t="s">
        <v>5819</v>
      </c>
      <c r="B3652" t="s">
        <v>5820</v>
      </c>
    </row>
    <row r="3653" spans="1:2" x14ac:dyDescent="0.25">
      <c r="A3653" t="s">
        <v>5821</v>
      </c>
      <c r="B3653" t="s">
        <v>5822</v>
      </c>
    </row>
    <row r="3654" spans="1:2" x14ac:dyDescent="0.25">
      <c r="A3654" t="s">
        <v>5823</v>
      </c>
      <c r="B3654" t="s">
        <v>5824</v>
      </c>
    </row>
    <row r="3655" spans="1:2" x14ac:dyDescent="0.25">
      <c r="A3655" t="s">
        <v>5825</v>
      </c>
      <c r="B3655" t="s">
        <v>5826</v>
      </c>
    </row>
    <row r="3656" spans="1:2" x14ac:dyDescent="0.25">
      <c r="A3656" t="s">
        <v>5827</v>
      </c>
      <c r="B3656" t="s">
        <v>5828</v>
      </c>
    </row>
    <row r="3657" spans="1:2" x14ac:dyDescent="0.25">
      <c r="A3657" t="s">
        <v>5829</v>
      </c>
      <c r="B3657" t="s">
        <v>5830</v>
      </c>
    </row>
    <row r="3658" spans="1:2" x14ac:dyDescent="0.25">
      <c r="A3658" t="s">
        <v>5831</v>
      </c>
      <c r="B3658" t="s">
        <v>5832</v>
      </c>
    </row>
    <row r="3659" spans="1:2" x14ac:dyDescent="0.25">
      <c r="A3659" t="s">
        <v>5833</v>
      </c>
      <c r="B3659" t="s">
        <v>5834</v>
      </c>
    </row>
    <row r="3660" spans="1:2" x14ac:dyDescent="0.25">
      <c r="A3660" t="s">
        <v>5835</v>
      </c>
      <c r="B3660" t="s">
        <v>5836</v>
      </c>
    </row>
    <row r="3661" spans="1:2" x14ac:dyDescent="0.25">
      <c r="A3661" t="s">
        <v>5837</v>
      </c>
      <c r="B3661" t="s">
        <v>5838</v>
      </c>
    </row>
    <row r="3662" spans="1:2" x14ac:dyDescent="0.25">
      <c r="A3662" t="s">
        <v>2777</v>
      </c>
      <c r="B3662" t="s">
        <v>5839</v>
      </c>
    </row>
    <row r="3663" spans="1:2" x14ac:dyDescent="0.25">
      <c r="A3663" t="s">
        <v>5840</v>
      </c>
      <c r="B3663" t="s">
        <v>5841</v>
      </c>
    </row>
    <row r="3664" spans="1:2" x14ac:dyDescent="0.25">
      <c r="A3664" t="s">
        <v>5842</v>
      </c>
      <c r="B3664" t="s">
        <v>5843</v>
      </c>
    </row>
    <row r="3665" spans="1:2" x14ac:dyDescent="0.25">
      <c r="A3665" t="s">
        <v>5844</v>
      </c>
      <c r="B3665" t="s">
        <v>5845</v>
      </c>
    </row>
    <row r="3666" spans="1:2" x14ac:dyDescent="0.25">
      <c r="A3666" t="s">
        <v>5846</v>
      </c>
      <c r="B3666" t="s">
        <v>5847</v>
      </c>
    </row>
    <row r="3667" spans="1:2" x14ac:dyDescent="0.25">
      <c r="A3667" t="s">
        <v>5848</v>
      </c>
      <c r="B3667" t="s">
        <v>5849</v>
      </c>
    </row>
    <row r="3668" spans="1:2" x14ac:dyDescent="0.25">
      <c r="A3668" t="s">
        <v>5850</v>
      </c>
      <c r="B3668" t="s">
        <v>5851</v>
      </c>
    </row>
    <row r="3669" spans="1:2" x14ac:dyDescent="0.25">
      <c r="A3669" t="s">
        <v>5852</v>
      </c>
      <c r="B3669" t="s">
        <v>5853</v>
      </c>
    </row>
    <row r="3670" spans="1:2" x14ac:dyDescent="0.25">
      <c r="A3670" t="s">
        <v>5854</v>
      </c>
      <c r="B3670" t="s">
        <v>5855</v>
      </c>
    </row>
    <row r="3671" spans="1:2" x14ac:dyDescent="0.25">
      <c r="A3671" t="s">
        <v>5856</v>
      </c>
      <c r="B3671" t="s">
        <v>5857</v>
      </c>
    </row>
    <row r="3672" spans="1:2" x14ac:dyDescent="0.25">
      <c r="A3672" t="s">
        <v>1686</v>
      </c>
      <c r="B3672" t="s">
        <v>5858</v>
      </c>
    </row>
    <row r="3673" spans="1:2" x14ac:dyDescent="0.25">
      <c r="A3673" t="s">
        <v>5859</v>
      </c>
      <c r="B3673" t="s">
        <v>5860</v>
      </c>
    </row>
    <row r="3674" spans="1:2" x14ac:dyDescent="0.25">
      <c r="A3674" t="s">
        <v>5861</v>
      </c>
      <c r="B3674" t="s">
        <v>5862</v>
      </c>
    </row>
    <row r="3675" spans="1:2" x14ac:dyDescent="0.25">
      <c r="A3675" t="s">
        <v>5863</v>
      </c>
      <c r="B3675" t="s">
        <v>5864</v>
      </c>
    </row>
    <row r="3676" spans="1:2" x14ac:dyDescent="0.25">
      <c r="A3676" t="s">
        <v>5865</v>
      </c>
      <c r="B3676" t="s">
        <v>5866</v>
      </c>
    </row>
    <row r="3677" spans="1:2" x14ac:dyDescent="0.25">
      <c r="A3677" t="s">
        <v>5867</v>
      </c>
      <c r="B3677" t="s">
        <v>5868</v>
      </c>
    </row>
    <row r="3678" spans="1:2" x14ac:dyDescent="0.25">
      <c r="A3678" t="s">
        <v>5869</v>
      </c>
      <c r="B3678" t="s">
        <v>5870</v>
      </c>
    </row>
    <row r="3679" spans="1:2" x14ac:dyDescent="0.25">
      <c r="A3679" t="s">
        <v>5871</v>
      </c>
      <c r="B3679" t="s">
        <v>5872</v>
      </c>
    </row>
    <row r="3680" spans="1:2" x14ac:dyDescent="0.25">
      <c r="A3680" t="s">
        <v>5873</v>
      </c>
      <c r="B3680" t="s">
        <v>5874</v>
      </c>
    </row>
    <row r="3681" spans="1:2" x14ac:dyDescent="0.25">
      <c r="A3681" t="s">
        <v>5875</v>
      </c>
      <c r="B3681" t="s">
        <v>5876</v>
      </c>
    </row>
    <row r="3682" spans="1:2" x14ac:dyDescent="0.25">
      <c r="A3682" t="s">
        <v>5877</v>
      </c>
      <c r="B3682" t="s">
        <v>5878</v>
      </c>
    </row>
    <row r="3683" spans="1:2" x14ac:dyDescent="0.25">
      <c r="A3683" t="s">
        <v>5879</v>
      </c>
      <c r="B3683" t="s">
        <v>5880</v>
      </c>
    </row>
    <row r="3684" spans="1:2" x14ac:dyDescent="0.25">
      <c r="A3684" t="s">
        <v>5881</v>
      </c>
      <c r="B3684" t="s">
        <v>5882</v>
      </c>
    </row>
    <row r="3685" spans="1:2" x14ac:dyDescent="0.25">
      <c r="A3685" t="s">
        <v>5883</v>
      </c>
      <c r="B3685" t="s">
        <v>5884</v>
      </c>
    </row>
    <row r="3686" spans="1:2" x14ac:dyDescent="0.25">
      <c r="A3686" t="s">
        <v>5885</v>
      </c>
      <c r="B3686" t="s">
        <v>5886</v>
      </c>
    </row>
    <row r="3687" spans="1:2" x14ac:dyDescent="0.25">
      <c r="A3687" t="s">
        <v>5887</v>
      </c>
      <c r="B3687" t="s">
        <v>5888</v>
      </c>
    </row>
    <row r="3688" spans="1:2" x14ac:dyDescent="0.25">
      <c r="A3688" t="s">
        <v>5889</v>
      </c>
      <c r="B3688" t="s">
        <v>5890</v>
      </c>
    </row>
    <row r="3689" spans="1:2" x14ac:dyDescent="0.25">
      <c r="A3689" t="s">
        <v>5891</v>
      </c>
      <c r="B3689" t="s">
        <v>5892</v>
      </c>
    </row>
    <row r="3690" spans="1:2" x14ac:dyDescent="0.25">
      <c r="A3690" t="s">
        <v>2790</v>
      </c>
      <c r="B3690" t="s">
        <v>5893</v>
      </c>
    </row>
    <row r="3691" spans="1:2" x14ac:dyDescent="0.25">
      <c r="A3691" t="s">
        <v>2792</v>
      </c>
      <c r="B3691" t="s">
        <v>2793</v>
      </c>
    </row>
    <row r="3692" spans="1:2" x14ac:dyDescent="0.25">
      <c r="A3692" t="s">
        <v>5894</v>
      </c>
      <c r="B3692" t="s">
        <v>5895</v>
      </c>
    </row>
    <row r="3693" spans="1:2" x14ac:dyDescent="0.25">
      <c r="A3693" t="s">
        <v>2796</v>
      </c>
      <c r="B3693" t="s">
        <v>2797</v>
      </c>
    </row>
    <row r="3694" spans="1:2" x14ac:dyDescent="0.25">
      <c r="A3694" t="s">
        <v>2798</v>
      </c>
      <c r="B3694" t="s">
        <v>2799</v>
      </c>
    </row>
    <row r="3695" spans="1:2" x14ac:dyDescent="0.25">
      <c r="A3695" t="s">
        <v>5896</v>
      </c>
      <c r="B3695" t="s">
        <v>5897</v>
      </c>
    </row>
    <row r="3696" spans="1:2" x14ac:dyDescent="0.25">
      <c r="A3696" t="s">
        <v>5898</v>
      </c>
      <c r="B3696" t="s">
        <v>5899</v>
      </c>
    </row>
    <row r="3697" spans="1:2" x14ac:dyDescent="0.25">
      <c r="A3697" t="s">
        <v>5900</v>
      </c>
      <c r="B3697" t="s">
        <v>5901</v>
      </c>
    </row>
    <row r="3698" spans="1:2" x14ac:dyDescent="0.25">
      <c r="A3698" t="s">
        <v>5902</v>
      </c>
      <c r="B3698" t="s">
        <v>5903</v>
      </c>
    </row>
    <row r="3699" spans="1:2" x14ac:dyDescent="0.25">
      <c r="A3699" t="s">
        <v>5904</v>
      </c>
      <c r="B3699" t="s">
        <v>5905</v>
      </c>
    </row>
    <row r="3700" spans="1:2" x14ac:dyDescent="0.25">
      <c r="A3700" t="s">
        <v>5906</v>
      </c>
      <c r="B3700" t="s">
        <v>5907</v>
      </c>
    </row>
    <row r="3701" spans="1:2" x14ac:dyDescent="0.25">
      <c r="A3701" t="s">
        <v>5908</v>
      </c>
      <c r="B3701" t="s">
        <v>5909</v>
      </c>
    </row>
    <row r="3702" spans="1:2" x14ac:dyDescent="0.25">
      <c r="A3702" t="s">
        <v>2812</v>
      </c>
      <c r="B3702" t="s">
        <v>5910</v>
      </c>
    </row>
    <row r="3703" spans="1:2" x14ac:dyDescent="0.25">
      <c r="A3703" t="s">
        <v>5911</v>
      </c>
      <c r="B3703" t="s">
        <v>5912</v>
      </c>
    </row>
    <row r="3704" spans="1:2" x14ac:dyDescent="0.25">
      <c r="A3704" t="s">
        <v>5913</v>
      </c>
      <c r="B3704" t="s">
        <v>5914</v>
      </c>
    </row>
    <row r="3705" spans="1:2" x14ac:dyDescent="0.25">
      <c r="A3705" t="s">
        <v>5915</v>
      </c>
      <c r="B3705" t="s">
        <v>5916</v>
      </c>
    </row>
    <row r="3706" spans="1:2" x14ac:dyDescent="0.25">
      <c r="A3706" t="s">
        <v>2815</v>
      </c>
      <c r="B3706" t="s">
        <v>2816</v>
      </c>
    </row>
    <row r="3707" spans="1:2" x14ac:dyDescent="0.25">
      <c r="A3707" t="s">
        <v>5917</v>
      </c>
      <c r="B3707" t="s">
        <v>5918</v>
      </c>
    </row>
    <row r="3708" spans="1:2" x14ac:dyDescent="0.25">
      <c r="A3708" t="s">
        <v>2821</v>
      </c>
      <c r="B3708" t="s">
        <v>2822</v>
      </c>
    </row>
    <row r="3709" spans="1:2" x14ac:dyDescent="0.25">
      <c r="A3709" t="s">
        <v>5919</v>
      </c>
      <c r="B3709" t="s">
        <v>5920</v>
      </c>
    </row>
    <row r="3710" spans="1:2" x14ac:dyDescent="0.25">
      <c r="A3710" t="s">
        <v>2827</v>
      </c>
      <c r="B3710" t="s">
        <v>2828</v>
      </c>
    </row>
    <row r="3711" spans="1:2" x14ac:dyDescent="0.25">
      <c r="A3711" t="s">
        <v>5921</v>
      </c>
      <c r="B3711" t="s">
        <v>5922</v>
      </c>
    </row>
    <row r="3712" spans="1:2" x14ac:dyDescent="0.25">
      <c r="A3712" t="s">
        <v>460</v>
      </c>
      <c r="B3712" t="s">
        <v>461</v>
      </c>
    </row>
    <row r="3713" spans="1:2" x14ac:dyDescent="0.25">
      <c r="A3713" t="s">
        <v>5923</v>
      </c>
      <c r="B3713" t="s">
        <v>5924</v>
      </c>
    </row>
    <row r="3714" spans="1:2" x14ac:dyDescent="0.25">
      <c r="A3714" t="s">
        <v>5925</v>
      </c>
      <c r="B3714" t="s">
        <v>5926</v>
      </c>
    </row>
    <row r="3715" spans="1:2" x14ac:dyDescent="0.25">
      <c r="A3715" t="s">
        <v>5927</v>
      </c>
      <c r="B3715" t="s">
        <v>5928</v>
      </c>
    </row>
    <row r="3716" spans="1:2" x14ac:dyDescent="0.25">
      <c r="A3716" t="s">
        <v>5929</v>
      </c>
      <c r="B3716" t="s">
        <v>5930</v>
      </c>
    </row>
    <row r="3717" spans="1:2" x14ac:dyDescent="0.25">
      <c r="A3717" t="s">
        <v>5931</v>
      </c>
      <c r="B3717" t="s">
        <v>5932</v>
      </c>
    </row>
    <row r="3718" spans="1:2" x14ac:dyDescent="0.25">
      <c r="A3718" t="s">
        <v>5933</v>
      </c>
      <c r="B3718" t="s">
        <v>5934</v>
      </c>
    </row>
    <row r="3719" spans="1:2" x14ac:dyDescent="0.25">
      <c r="A3719" t="s">
        <v>5935</v>
      </c>
      <c r="B3719" t="s">
        <v>5936</v>
      </c>
    </row>
    <row r="3720" spans="1:2" x14ac:dyDescent="0.25">
      <c r="A3720" t="s">
        <v>5937</v>
      </c>
      <c r="B3720" t="s">
        <v>5938</v>
      </c>
    </row>
    <row r="3721" spans="1:2" x14ac:dyDescent="0.25">
      <c r="A3721" t="s">
        <v>5939</v>
      </c>
      <c r="B3721" t="s">
        <v>5940</v>
      </c>
    </row>
    <row r="3722" spans="1:2" x14ac:dyDescent="0.25">
      <c r="A3722" t="s">
        <v>2846</v>
      </c>
      <c r="B3722" t="s">
        <v>2847</v>
      </c>
    </row>
    <row r="3723" spans="1:2" x14ac:dyDescent="0.25">
      <c r="A3723" t="s">
        <v>5941</v>
      </c>
      <c r="B3723" t="s">
        <v>5942</v>
      </c>
    </row>
    <row r="3724" spans="1:2" x14ac:dyDescent="0.25">
      <c r="A3724" t="s">
        <v>5943</v>
      </c>
      <c r="B3724" t="s">
        <v>5944</v>
      </c>
    </row>
    <row r="3725" spans="1:2" x14ac:dyDescent="0.25">
      <c r="A3725" t="s">
        <v>5945</v>
      </c>
      <c r="B3725" t="s">
        <v>5946</v>
      </c>
    </row>
    <row r="3726" spans="1:2" x14ac:dyDescent="0.25">
      <c r="A3726" t="s">
        <v>5947</v>
      </c>
      <c r="B3726" t="s">
        <v>5948</v>
      </c>
    </row>
    <row r="3727" spans="1:2" x14ac:dyDescent="0.25">
      <c r="A3727" t="s">
        <v>5949</v>
      </c>
      <c r="B3727" t="s">
        <v>5950</v>
      </c>
    </row>
    <row r="3728" spans="1:2" x14ac:dyDescent="0.25">
      <c r="A3728" t="s">
        <v>5951</v>
      </c>
      <c r="B3728" t="s">
        <v>5952</v>
      </c>
    </row>
    <row r="3729" spans="1:2" x14ac:dyDescent="0.25">
      <c r="A3729" t="s">
        <v>5953</v>
      </c>
      <c r="B3729" t="s">
        <v>5954</v>
      </c>
    </row>
    <row r="3730" spans="1:2" x14ac:dyDescent="0.25">
      <c r="A3730" t="s">
        <v>5955</v>
      </c>
      <c r="B3730" t="s">
        <v>5956</v>
      </c>
    </row>
    <row r="3731" spans="1:2" x14ac:dyDescent="0.25">
      <c r="A3731" t="s">
        <v>2853</v>
      </c>
      <c r="B3731" t="s">
        <v>2854</v>
      </c>
    </row>
    <row r="3732" spans="1:2" x14ac:dyDescent="0.25">
      <c r="A3732" t="s">
        <v>5957</v>
      </c>
      <c r="B3732" t="s">
        <v>5958</v>
      </c>
    </row>
    <row r="3733" spans="1:2" x14ac:dyDescent="0.25">
      <c r="A3733" t="s">
        <v>5959</v>
      </c>
      <c r="B3733" t="s">
        <v>5960</v>
      </c>
    </row>
    <row r="3734" spans="1:2" x14ac:dyDescent="0.25">
      <c r="A3734" t="s">
        <v>5961</v>
      </c>
      <c r="B3734" t="s">
        <v>5962</v>
      </c>
    </row>
    <row r="3735" spans="1:2" x14ac:dyDescent="0.25">
      <c r="A3735" t="s">
        <v>5963</v>
      </c>
      <c r="B3735" t="s">
        <v>5964</v>
      </c>
    </row>
    <row r="3736" spans="1:2" x14ac:dyDescent="0.25">
      <c r="A3736" t="s">
        <v>5965</v>
      </c>
      <c r="B3736" t="s">
        <v>5966</v>
      </c>
    </row>
    <row r="3737" spans="1:2" x14ac:dyDescent="0.25">
      <c r="A3737" t="s">
        <v>5967</v>
      </c>
      <c r="B3737" t="s">
        <v>5968</v>
      </c>
    </row>
    <row r="3738" spans="1:2" x14ac:dyDescent="0.25">
      <c r="A3738" t="s">
        <v>5969</v>
      </c>
      <c r="B3738" t="s">
        <v>5970</v>
      </c>
    </row>
    <row r="3739" spans="1:2" x14ac:dyDescent="0.25">
      <c r="A3739" t="s">
        <v>5971</v>
      </c>
      <c r="B3739" t="s">
        <v>5972</v>
      </c>
    </row>
    <row r="3740" spans="1:2" x14ac:dyDescent="0.25">
      <c r="A3740" t="s">
        <v>5973</v>
      </c>
      <c r="B3740" t="s">
        <v>5974</v>
      </c>
    </row>
    <row r="3741" spans="1:2" x14ac:dyDescent="0.25">
      <c r="A3741" t="s">
        <v>5975</v>
      </c>
      <c r="B3741" t="s">
        <v>5976</v>
      </c>
    </row>
    <row r="3742" spans="1:2" x14ac:dyDescent="0.25">
      <c r="A3742" t="s">
        <v>5977</v>
      </c>
      <c r="B3742" t="s">
        <v>5978</v>
      </c>
    </row>
    <row r="3743" spans="1:2" x14ac:dyDescent="0.25">
      <c r="A3743" t="s">
        <v>5979</v>
      </c>
      <c r="B3743" t="s">
        <v>5980</v>
      </c>
    </row>
    <row r="3744" spans="1:2" x14ac:dyDescent="0.25">
      <c r="A3744" t="s">
        <v>5981</v>
      </c>
      <c r="B3744" t="s">
        <v>5982</v>
      </c>
    </row>
    <row r="3745" spans="1:2" x14ac:dyDescent="0.25">
      <c r="A3745" t="s">
        <v>5983</v>
      </c>
      <c r="B3745" t="s">
        <v>5984</v>
      </c>
    </row>
    <row r="3746" spans="1:2" x14ac:dyDescent="0.25">
      <c r="A3746" t="s">
        <v>5985</v>
      </c>
      <c r="B3746" t="s">
        <v>5986</v>
      </c>
    </row>
    <row r="3747" spans="1:2" x14ac:dyDescent="0.25">
      <c r="A3747" t="s">
        <v>5987</v>
      </c>
      <c r="B3747" t="s">
        <v>5988</v>
      </c>
    </row>
    <row r="3748" spans="1:2" x14ac:dyDescent="0.25">
      <c r="A3748" t="s">
        <v>2859</v>
      </c>
      <c r="B3748" t="s">
        <v>2860</v>
      </c>
    </row>
    <row r="3749" spans="1:2" x14ac:dyDescent="0.25">
      <c r="A3749" t="s">
        <v>5989</v>
      </c>
      <c r="B3749" t="s">
        <v>5990</v>
      </c>
    </row>
    <row r="3750" spans="1:2" x14ac:dyDescent="0.25">
      <c r="A3750" t="s">
        <v>5991</v>
      </c>
      <c r="B3750" t="s">
        <v>5992</v>
      </c>
    </row>
    <row r="3751" spans="1:2" x14ac:dyDescent="0.25">
      <c r="A3751" t="s">
        <v>5993</v>
      </c>
      <c r="B3751" t="s">
        <v>5994</v>
      </c>
    </row>
    <row r="3752" spans="1:2" x14ac:dyDescent="0.25">
      <c r="A3752" t="s">
        <v>5995</v>
      </c>
      <c r="B3752" t="s">
        <v>5996</v>
      </c>
    </row>
    <row r="3753" spans="1:2" x14ac:dyDescent="0.25">
      <c r="A3753" t="s">
        <v>5997</v>
      </c>
      <c r="B3753" t="s">
        <v>5998</v>
      </c>
    </row>
    <row r="3754" spans="1:2" x14ac:dyDescent="0.25">
      <c r="A3754" t="s">
        <v>5999</v>
      </c>
      <c r="B3754" t="s">
        <v>6000</v>
      </c>
    </row>
    <row r="3755" spans="1:2" x14ac:dyDescent="0.25">
      <c r="A3755" t="s">
        <v>6001</v>
      </c>
      <c r="B3755" t="s">
        <v>6002</v>
      </c>
    </row>
    <row r="3756" spans="1:2" x14ac:dyDescent="0.25">
      <c r="A3756" t="s">
        <v>6003</v>
      </c>
      <c r="B3756" t="s">
        <v>6004</v>
      </c>
    </row>
    <row r="3757" spans="1:2" x14ac:dyDescent="0.25">
      <c r="A3757" t="s">
        <v>6005</v>
      </c>
      <c r="B3757" t="s">
        <v>6006</v>
      </c>
    </row>
    <row r="3758" spans="1:2" x14ac:dyDescent="0.25">
      <c r="A3758" t="s">
        <v>2867</v>
      </c>
      <c r="B3758" t="s">
        <v>2868</v>
      </c>
    </row>
    <row r="3759" spans="1:2" x14ac:dyDescent="0.25">
      <c r="A3759" t="s">
        <v>2869</v>
      </c>
      <c r="B3759" t="s">
        <v>2870</v>
      </c>
    </row>
    <row r="3760" spans="1:2" x14ac:dyDescent="0.25">
      <c r="A3760" t="s">
        <v>6007</v>
      </c>
      <c r="B3760" t="s">
        <v>6008</v>
      </c>
    </row>
    <row r="3761" spans="1:2" x14ac:dyDescent="0.25">
      <c r="A3761" t="s">
        <v>6009</v>
      </c>
      <c r="B3761" t="s">
        <v>6010</v>
      </c>
    </row>
    <row r="3762" spans="1:2" x14ac:dyDescent="0.25">
      <c r="A3762" t="s">
        <v>6011</v>
      </c>
      <c r="B3762" t="s">
        <v>6012</v>
      </c>
    </row>
    <row r="3763" spans="1:2" x14ac:dyDescent="0.25">
      <c r="A3763" t="s">
        <v>859</v>
      </c>
      <c r="B3763" t="s">
        <v>6013</v>
      </c>
    </row>
    <row r="3764" spans="1:2" x14ac:dyDescent="0.25">
      <c r="A3764" t="s">
        <v>6014</v>
      </c>
      <c r="B3764" t="s">
        <v>6015</v>
      </c>
    </row>
    <row r="3765" spans="1:2" x14ac:dyDescent="0.25">
      <c r="A3765" t="s">
        <v>6016</v>
      </c>
      <c r="B3765" t="s">
        <v>6017</v>
      </c>
    </row>
    <row r="3766" spans="1:2" x14ac:dyDescent="0.25">
      <c r="A3766" t="s">
        <v>6018</v>
      </c>
      <c r="B3766" t="s">
        <v>6019</v>
      </c>
    </row>
    <row r="3767" spans="1:2" x14ac:dyDescent="0.25">
      <c r="A3767" t="s">
        <v>6020</v>
      </c>
      <c r="B3767" t="s">
        <v>6021</v>
      </c>
    </row>
    <row r="3768" spans="1:2" x14ac:dyDescent="0.25">
      <c r="A3768" t="s">
        <v>6022</v>
      </c>
      <c r="B3768" t="s">
        <v>6023</v>
      </c>
    </row>
    <row r="3769" spans="1:2" x14ac:dyDescent="0.25">
      <c r="A3769" t="s">
        <v>6024</v>
      </c>
      <c r="B3769" t="s">
        <v>6025</v>
      </c>
    </row>
    <row r="3770" spans="1:2" x14ac:dyDescent="0.25">
      <c r="A3770" t="s">
        <v>6026</v>
      </c>
      <c r="B3770" t="s">
        <v>6027</v>
      </c>
    </row>
    <row r="3771" spans="1:2" x14ac:dyDescent="0.25">
      <c r="A3771" t="s">
        <v>6028</v>
      </c>
      <c r="B3771" t="s">
        <v>6029</v>
      </c>
    </row>
    <row r="3772" spans="1:2" x14ac:dyDescent="0.25">
      <c r="A3772" t="s">
        <v>6030</v>
      </c>
      <c r="B3772" t="s">
        <v>6031</v>
      </c>
    </row>
    <row r="3773" spans="1:2" x14ac:dyDescent="0.25">
      <c r="A3773" t="s">
        <v>6032</v>
      </c>
      <c r="B3773" t="s">
        <v>6033</v>
      </c>
    </row>
    <row r="3774" spans="1:2" x14ac:dyDescent="0.25">
      <c r="A3774" t="s">
        <v>6034</v>
      </c>
      <c r="B3774" t="s">
        <v>6035</v>
      </c>
    </row>
    <row r="3775" spans="1:2" x14ac:dyDescent="0.25">
      <c r="A3775" t="s">
        <v>6036</v>
      </c>
      <c r="B3775" t="s">
        <v>6037</v>
      </c>
    </row>
    <row r="3776" spans="1:2" x14ac:dyDescent="0.25">
      <c r="A3776" t="s">
        <v>6038</v>
      </c>
      <c r="B3776" t="s">
        <v>6039</v>
      </c>
    </row>
    <row r="3777" spans="1:2" x14ac:dyDescent="0.25">
      <c r="A3777" t="s">
        <v>6040</v>
      </c>
      <c r="B3777" t="s">
        <v>6041</v>
      </c>
    </row>
    <row r="3778" spans="1:2" x14ac:dyDescent="0.25">
      <c r="A3778" t="s">
        <v>6042</v>
      </c>
      <c r="B3778" t="s">
        <v>6043</v>
      </c>
    </row>
    <row r="3779" spans="1:2" x14ac:dyDescent="0.25">
      <c r="A3779" t="s">
        <v>6044</v>
      </c>
      <c r="B3779" t="s">
        <v>6045</v>
      </c>
    </row>
    <row r="3780" spans="1:2" x14ac:dyDescent="0.25">
      <c r="A3780" t="s">
        <v>6046</v>
      </c>
      <c r="B3780" t="s">
        <v>6047</v>
      </c>
    </row>
    <row r="3781" spans="1:2" x14ac:dyDescent="0.25">
      <c r="A3781" t="s">
        <v>6048</v>
      </c>
      <c r="B3781" t="s">
        <v>6049</v>
      </c>
    </row>
    <row r="3782" spans="1:2" x14ac:dyDescent="0.25">
      <c r="A3782" t="s">
        <v>6050</v>
      </c>
      <c r="B3782" t="s">
        <v>6051</v>
      </c>
    </row>
    <row r="3783" spans="1:2" x14ac:dyDescent="0.25">
      <c r="A3783" t="s">
        <v>6052</v>
      </c>
      <c r="B3783" t="s">
        <v>6053</v>
      </c>
    </row>
    <row r="3784" spans="1:2" x14ac:dyDescent="0.25">
      <c r="A3784" t="s">
        <v>6054</v>
      </c>
      <c r="B3784" t="s">
        <v>6055</v>
      </c>
    </row>
    <row r="3785" spans="1:2" x14ac:dyDescent="0.25">
      <c r="A3785" t="s">
        <v>6056</v>
      </c>
      <c r="B3785" t="s">
        <v>6057</v>
      </c>
    </row>
    <row r="3786" spans="1:2" x14ac:dyDescent="0.25">
      <c r="A3786" t="s">
        <v>2903</v>
      </c>
      <c r="B3786" t="s">
        <v>6058</v>
      </c>
    </row>
    <row r="3787" spans="1:2" x14ac:dyDescent="0.25">
      <c r="A3787" t="s">
        <v>2905</v>
      </c>
      <c r="B3787" t="s">
        <v>2906</v>
      </c>
    </row>
    <row r="3788" spans="1:2" x14ac:dyDescent="0.25">
      <c r="A3788" t="s">
        <v>6059</v>
      </c>
      <c r="B3788" t="s">
        <v>6060</v>
      </c>
    </row>
    <row r="3789" spans="1:2" x14ac:dyDescent="0.25">
      <c r="A3789" t="s">
        <v>2907</v>
      </c>
      <c r="B3789" t="s">
        <v>2908</v>
      </c>
    </row>
    <row r="3790" spans="1:2" x14ac:dyDescent="0.25">
      <c r="A3790" t="s">
        <v>1433</v>
      </c>
      <c r="B3790" t="s">
        <v>6061</v>
      </c>
    </row>
    <row r="3791" spans="1:2" x14ac:dyDescent="0.25">
      <c r="A3791" t="s">
        <v>6062</v>
      </c>
      <c r="B3791" t="s">
        <v>6063</v>
      </c>
    </row>
    <row r="3792" spans="1:2" x14ac:dyDescent="0.25">
      <c r="A3792" t="s">
        <v>6064</v>
      </c>
      <c r="B3792" t="s">
        <v>6065</v>
      </c>
    </row>
    <row r="3793" spans="1:2" x14ac:dyDescent="0.25">
      <c r="A3793" t="s">
        <v>6066</v>
      </c>
      <c r="B3793" t="s">
        <v>6067</v>
      </c>
    </row>
    <row r="3794" spans="1:2" x14ac:dyDescent="0.25">
      <c r="A3794" t="s">
        <v>6068</v>
      </c>
      <c r="B3794" t="s">
        <v>6069</v>
      </c>
    </row>
    <row r="3795" spans="1:2" x14ac:dyDescent="0.25">
      <c r="A3795" t="s">
        <v>6070</v>
      </c>
      <c r="B3795" t="s">
        <v>6071</v>
      </c>
    </row>
    <row r="3796" spans="1:2" x14ac:dyDescent="0.25">
      <c r="A3796" t="s">
        <v>1620</v>
      </c>
      <c r="B3796" t="s">
        <v>2915</v>
      </c>
    </row>
    <row r="3797" spans="1:2" x14ac:dyDescent="0.25">
      <c r="A3797" t="s">
        <v>6072</v>
      </c>
      <c r="B3797" t="s">
        <v>6073</v>
      </c>
    </row>
    <row r="3798" spans="1:2" x14ac:dyDescent="0.25">
      <c r="A3798" t="s">
        <v>6074</v>
      </c>
      <c r="B3798" t="s">
        <v>6075</v>
      </c>
    </row>
    <row r="3799" spans="1:2" x14ac:dyDescent="0.25">
      <c r="A3799" t="s">
        <v>6076</v>
      </c>
      <c r="B3799" t="s">
        <v>6077</v>
      </c>
    </row>
    <row r="3800" spans="1:2" x14ac:dyDescent="0.25">
      <c r="A3800" t="s">
        <v>2922</v>
      </c>
      <c r="B3800" t="s">
        <v>2923</v>
      </c>
    </row>
    <row r="3801" spans="1:2" x14ac:dyDescent="0.25">
      <c r="A3801" t="s">
        <v>2926</v>
      </c>
      <c r="B3801" t="s">
        <v>2927</v>
      </c>
    </row>
    <row r="3802" spans="1:2" x14ac:dyDescent="0.25">
      <c r="A3802" t="s">
        <v>6078</v>
      </c>
      <c r="B3802" t="s">
        <v>6079</v>
      </c>
    </row>
    <row r="3803" spans="1:2" x14ac:dyDescent="0.25">
      <c r="A3803" t="s">
        <v>6080</v>
      </c>
      <c r="B3803" t="s">
        <v>6081</v>
      </c>
    </row>
    <row r="3804" spans="1:2" x14ac:dyDescent="0.25">
      <c r="A3804" t="s">
        <v>6082</v>
      </c>
      <c r="B3804" t="s">
        <v>6083</v>
      </c>
    </row>
    <row r="3805" spans="1:2" x14ac:dyDescent="0.25">
      <c r="A3805" t="s">
        <v>6084</v>
      </c>
      <c r="B3805" t="s">
        <v>6085</v>
      </c>
    </row>
    <row r="3806" spans="1:2" x14ac:dyDescent="0.25">
      <c r="A3806" t="s">
        <v>2932</v>
      </c>
      <c r="B3806" t="s">
        <v>2933</v>
      </c>
    </row>
    <row r="3807" spans="1:2" x14ac:dyDescent="0.25">
      <c r="A3807" t="s">
        <v>6086</v>
      </c>
      <c r="B3807" t="s">
        <v>6087</v>
      </c>
    </row>
    <row r="3808" spans="1:2" x14ac:dyDescent="0.25">
      <c r="A3808" t="s">
        <v>2936</v>
      </c>
      <c r="B3808" t="s">
        <v>2937</v>
      </c>
    </row>
    <row r="3809" spans="1:2" x14ac:dyDescent="0.25">
      <c r="A3809" t="s">
        <v>6088</v>
      </c>
      <c r="B3809" t="s">
        <v>6089</v>
      </c>
    </row>
    <row r="3810" spans="1:2" x14ac:dyDescent="0.25">
      <c r="A3810" t="s">
        <v>6090</v>
      </c>
      <c r="B3810" t="s">
        <v>6091</v>
      </c>
    </row>
    <row r="3811" spans="1:2" x14ac:dyDescent="0.25">
      <c r="A3811" t="s">
        <v>6092</v>
      </c>
      <c r="B3811" t="s">
        <v>6093</v>
      </c>
    </row>
    <row r="3812" spans="1:2" x14ac:dyDescent="0.25">
      <c r="A3812" t="s">
        <v>6094</v>
      </c>
      <c r="B3812" t="s">
        <v>6095</v>
      </c>
    </row>
    <row r="3813" spans="1:2" x14ac:dyDescent="0.25">
      <c r="A3813" t="s">
        <v>6096</v>
      </c>
      <c r="B3813" t="s">
        <v>6097</v>
      </c>
    </row>
    <row r="3814" spans="1:2" x14ac:dyDescent="0.25">
      <c r="A3814" t="s">
        <v>6098</v>
      </c>
      <c r="B3814" t="s">
        <v>6099</v>
      </c>
    </row>
    <row r="3815" spans="1:2" x14ac:dyDescent="0.25">
      <c r="A3815" t="s">
        <v>6100</v>
      </c>
      <c r="B3815" t="s">
        <v>6101</v>
      </c>
    </row>
    <row r="3816" spans="1:2" x14ac:dyDescent="0.25">
      <c r="A3816" t="s">
        <v>6102</v>
      </c>
      <c r="B3816" t="s">
        <v>6103</v>
      </c>
    </row>
    <row r="3817" spans="1:2" x14ac:dyDescent="0.25">
      <c r="A3817" t="s">
        <v>6104</v>
      </c>
      <c r="B3817" t="s">
        <v>6105</v>
      </c>
    </row>
    <row r="3818" spans="1:2" x14ac:dyDescent="0.25">
      <c r="A3818" t="s">
        <v>6106</v>
      </c>
      <c r="B3818" t="s">
        <v>6107</v>
      </c>
    </row>
    <row r="3819" spans="1:2" x14ac:dyDescent="0.25">
      <c r="A3819" t="s">
        <v>6108</v>
      </c>
      <c r="B3819" t="s">
        <v>6109</v>
      </c>
    </row>
    <row r="3820" spans="1:2" x14ac:dyDescent="0.25">
      <c r="A3820" t="s">
        <v>6110</v>
      </c>
      <c r="B3820" t="s">
        <v>6111</v>
      </c>
    </row>
    <row r="3821" spans="1:2" x14ac:dyDescent="0.25">
      <c r="A3821" t="s">
        <v>6112</v>
      </c>
      <c r="B3821" t="s">
        <v>6113</v>
      </c>
    </row>
    <row r="3822" spans="1:2" x14ac:dyDescent="0.25">
      <c r="A3822" t="s">
        <v>6114</v>
      </c>
      <c r="B3822" t="s">
        <v>6115</v>
      </c>
    </row>
    <row r="3823" spans="1:2" x14ac:dyDescent="0.25">
      <c r="A3823" t="s">
        <v>6116</v>
      </c>
      <c r="B3823" t="s">
        <v>6117</v>
      </c>
    </row>
    <row r="3824" spans="1:2" x14ac:dyDescent="0.25">
      <c r="A3824" t="s">
        <v>6118</v>
      </c>
      <c r="B3824" t="s">
        <v>6119</v>
      </c>
    </row>
    <row r="3825" spans="1:2" x14ac:dyDescent="0.25">
      <c r="A3825" t="s">
        <v>6120</v>
      </c>
      <c r="B3825" t="s">
        <v>6121</v>
      </c>
    </row>
    <row r="3826" spans="1:2" x14ac:dyDescent="0.25">
      <c r="A3826" t="s">
        <v>6122</v>
      </c>
      <c r="B3826" t="s">
        <v>6123</v>
      </c>
    </row>
    <row r="3827" spans="1:2" x14ac:dyDescent="0.25">
      <c r="A3827" t="s">
        <v>6124</v>
      </c>
      <c r="B3827" t="s">
        <v>6125</v>
      </c>
    </row>
    <row r="3828" spans="1:2" x14ac:dyDescent="0.25">
      <c r="A3828" t="s">
        <v>756</v>
      </c>
      <c r="B3828" t="s">
        <v>757</v>
      </c>
    </row>
    <row r="3829" spans="1:2" x14ac:dyDescent="0.25">
      <c r="A3829" t="s">
        <v>6126</v>
      </c>
      <c r="B3829" t="s">
        <v>6127</v>
      </c>
    </row>
    <row r="3830" spans="1:2" x14ac:dyDescent="0.25">
      <c r="A3830" t="s">
        <v>6128</v>
      </c>
      <c r="B3830" t="s">
        <v>6129</v>
      </c>
    </row>
    <row r="3831" spans="1:2" x14ac:dyDescent="0.25">
      <c r="A3831" t="s">
        <v>6130</v>
      </c>
      <c r="B3831" t="s">
        <v>6131</v>
      </c>
    </row>
    <row r="3832" spans="1:2" x14ac:dyDescent="0.25">
      <c r="A3832" t="s">
        <v>6132</v>
      </c>
      <c r="B3832" t="s">
        <v>6133</v>
      </c>
    </row>
    <row r="3833" spans="1:2" x14ac:dyDescent="0.25">
      <c r="A3833" t="s">
        <v>6134</v>
      </c>
      <c r="B3833" t="s">
        <v>6135</v>
      </c>
    </row>
    <row r="3834" spans="1:2" x14ac:dyDescent="0.25">
      <c r="A3834" t="s">
        <v>6136</v>
      </c>
      <c r="B3834" t="s">
        <v>6137</v>
      </c>
    </row>
    <row r="3835" spans="1:2" x14ac:dyDescent="0.25">
      <c r="A3835" t="s">
        <v>6138</v>
      </c>
      <c r="B3835" t="s">
        <v>6139</v>
      </c>
    </row>
    <row r="3836" spans="1:2" x14ac:dyDescent="0.25">
      <c r="A3836" t="s">
        <v>875</v>
      </c>
      <c r="B3836" t="s">
        <v>2946</v>
      </c>
    </row>
    <row r="3837" spans="1:2" x14ac:dyDescent="0.25">
      <c r="A3837" t="s">
        <v>6140</v>
      </c>
      <c r="B3837" t="s">
        <v>6141</v>
      </c>
    </row>
    <row r="3838" spans="1:2" x14ac:dyDescent="0.25">
      <c r="A3838" t="s">
        <v>6142</v>
      </c>
      <c r="B3838" t="s">
        <v>6143</v>
      </c>
    </row>
    <row r="3839" spans="1:2" x14ac:dyDescent="0.25">
      <c r="A3839" t="s">
        <v>6144</v>
      </c>
      <c r="B3839" t="s">
        <v>6145</v>
      </c>
    </row>
    <row r="3840" spans="1:2" x14ac:dyDescent="0.25">
      <c r="A3840" t="s">
        <v>6146</v>
      </c>
      <c r="B3840" t="s">
        <v>6147</v>
      </c>
    </row>
    <row r="3841" spans="1:2" x14ac:dyDescent="0.25">
      <c r="A3841" t="s">
        <v>6148</v>
      </c>
      <c r="B3841" t="s">
        <v>6149</v>
      </c>
    </row>
    <row r="3842" spans="1:2" x14ac:dyDescent="0.25">
      <c r="A3842" t="s">
        <v>6150</v>
      </c>
      <c r="B3842" t="s">
        <v>6151</v>
      </c>
    </row>
    <row r="3843" spans="1:2" x14ac:dyDescent="0.25">
      <c r="A3843" t="s">
        <v>6152</v>
      </c>
      <c r="B3843" t="s">
        <v>6153</v>
      </c>
    </row>
    <row r="3844" spans="1:2" x14ac:dyDescent="0.25">
      <c r="A3844" t="s">
        <v>6154</v>
      </c>
      <c r="B3844" t="s">
        <v>6155</v>
      </c>
    </row>
    <row r="3845" spans="1:2" x14ac:dyDescent="0.25">
      <c r="A3845" t="s">
        <v>6156</v>
      </c>
      <c r="B3845" t="s">
        <v>6157</v>
      </c>
    </row>
    <row r="3846" spans="1:2" x14ac:dyDescent="0.25">
      <c r="A3846" t="s">
        <v>6158</v>
      </c>
      <c r="B3846" t="s">
        <v>6159</v>
      </c>
    </row>
    <row r="3847" spans="1:2" x14ac:dyDescent="0.25">
      <c r="A3847" t="s">
        <v>2593</v>
      </c>
      <c r="B3847" t="s">
        <v>6160</v>
      </c>
    </row>
    <row r="3848" spans="1:2" x14ac:dyDescent="0.25">
      <c r="A3848" t="s">
        <v>6161</v>
      </c>
      <c r="B3848" t="s">
        <v>6162</v>
      </c>
    </row>
    <row r="3849" spans="1:2" x14ac:dyDescent="0.25">
      <c r="A3849" t="s">
        <v>6163</v>
      </c>
      <c r="B3849" t="s">
        <v>6164</v>
      </c>
    </row>
    <row r="3850" spans="1:2" x14ac:dyDescent="0.25">
      <c r="A3850" t="s">
        <v>6165</v>
      </c>
      <c r="B3850" t="s">
        <v>6166</v>
      </c>
    </row>
    <row r="3851" spans="1:2" x14ac:dyDescent="0.25">
      <c r="A3851" t="s">
        <v>6167</v>
      </c>
      <c r="B3851" t="s">
        <v>6168</v>
      </c>
    </row>
    <row r="3852" spans="1:2" x14ac:dyDescent="0.25">
      <c r="A3852" t="s">
        <v>6169</v>
      </c>
      <c r="B3852" t="s">
        <v>6170</v>
      </c>
    </row>
    <row r="3853" spans="1:2" x14ac:dyDescent="0.25">
      <c r="A3853" t="s">
        <v>6171</v>
      </c>
      <c r="B3853" t="s">
        <v>6172</v>
      </c>
    </row>
    <row r="3854" spans="1:2" x14ac:dyDescent="0.25">
      <c r="A3854" t="s">
        <v>6173</v>
      </c>
      <c r="B3854" t="s">
        <v>6174</v>
      </c>
    </row>
    <row r="3855" spans="1:2" x14ac:dyDescent="0.25">
      <c r="A3855" t="s">
        <v>6175</v>
      </c>
      <c r="B3855" t="s">
        <v>6176</v>
      </c>
    </row>
    <row r="3856" spans="1:2" x14ac:dyDescent="0.25">
      <c r="A3856" t="s">
        <v>6177</v>
      </c>
      <c r="B3856" t="s">
        <v>6178</v>
      </c>
    </row>
    <row r="3857" spans="1:2" x14ac:dyDescent="0.25">
      <c r="A3857" t="s">
        <v>6179</v>
      </c>
      <c r="B3857" t="s">
        <v>6180</v>
      </c>
    </row>
    <row r="3858" spans="1:2" x14ac:dyDescent="0.25">
      <c r="A3858" t="s">
        <v>6181</v>
      </c>
      <c r="B3858" t="s">
        <v>6182</v>
      </c>
    </row>
    <row r="3859" spans="1:2" x14ac:dyDescent="0.25">
      <c r="A3859" t="s">
        <v>6183</v>
      </c>
      <c r="B3859" t="s">
        <v>6184</v>
      </c>
    </row>
    <row r="3860" spans="1:2" x14ac:dyDescent="0.25">
      <c r="A3860" t="s">
        <v>6185</v>
      </c>
      <c r="B3860" t="s">
        <v>6186</v>
      </c>
    </row>
    <row r="3861" spans="1:2" x14ac:dyDescent="0.25">
      <c r="A3861" t="s">
        <v>6187</v>
      </c>
      <c r="B3861" t="s">
        <v>6188</v>
      </c>
    </row>
    <row r="3862" spans="1:2" x14ac:dyDescent="0.25">
      <c r="A3862" t="s">
        <v>6189</v>
      </c>
      <c r="B3862" t="s">
        <v>6190</v>
      </c>
    </row>
    <row r="3863" spans="1:2" x14ac:dyDescent="0.25">
      <c r="A3863" t="s">
        <v>6191</v>
      </c>
      <c r="B3863" t="s">
        <v>6192</v>
      </c>
    </row>
    <row r="3864" spans="1:2" x14ac:dyDescent="0.25">
      <c r="A3864" t="s">
        <v>6193</v>
      </c>
      <c r="B3864" t="s">
        <v>6194</v>
      </c>
    </row>
    <row r="3865" spans="1:2" x14ac:dyDescent="0.25">
      <c r="A3865" t="s">
        <v>6195</v>
      </c>
      <c r="B3865" t="s">
        <v>6196</v>
      </c>
    </row>
    <row r="3866" spans="1:2" x14ac:dyDescent="0.25">
      <c r="A3866" t="s">
        <v>6197</v>
      </c>
      <c r="B3866" t="s">
        <v>6198</v>
      </c>
    </row>
    <row r="3867" spans="1:2" x14ac:dyDescent="0.25">
      <c r="A3867" t="s">
        <v>6199</v>
      </c>
      <c r="B3867" t="s">
        <v>6200</v>
      </c>
    </row>
    <row r="3868" spans="1:2" x14ac:dyDescent="0.25">
      <c r="A3868" t="s">
        <v>6201</v>
      </c>
      <c r="B3868" t="s">
        <v>6202</v>
      </c>
    </row>
    <row r="3869" spans="1:2" x14ac:dyDescent="0.25">
      <c r="A3869" t="s">
        <v>1550</v>
      </c>
      <c r="B3869" t="s">
        <v>6203</v>
      </c>
    </row>
    <row r="3870" spans="1:2" x14ac:dyDescent="0.25">
      <c r="A3870" t="s">
        <v>6204</v>
      </c>
      <c r="B3870" t="s">
        <v>6205</v>
      </c>
    </row>
    <row r="3871" spans="1:2" x14ac:dyDescent="0.25">
      <c r="A3871" t="s">
        <v>6206</v>
      </c>
      <c r="B3871" t="s">
        <v>6207</v>
      </c>
    </row>
    <row r="3872" spans="1:2" x14ac:dyDescent="0.25">
      <c r="A3872" t="s">
        <v>6208</v>
      </c>
      <c r="B3872" t="s">
        <v>6209</v>
      </c>
    </row>
    <row r="3873" spans="1:2" x14ac:dyDescent="0.25">
      <c r="A3873" t="s">
        <v>6210</v>
      </c>
      <c r="B3873" t="s">
        <v>6211</v>
      </c>
    </row>
    <row r="3874" spans="1:2" x14ac:dyDescent="0.25">
      <c r="A3874" t="s">
        <v>6212</v>
      </c>
      <c r="B3874" t="s">
        <v>6213</v>
      </c>
    </row>
    <row r="3875" spans="1:2" x14ac:dyDescent="0.25">
      <c r="A3875" t="s">
        <v>6214</v>
      </c>
      <c r="B3875" t="s">
        <v>6215</v>
      </c>
    </row>
    <row r="3876" spans="1:2" x14ac:dyDescent="0.25">
      <c r="A3876" t="s">
        <v>6216</v>
      </c>
      <c r="B3876" t="s">
        <v>6217</v>
      </c>
    </row>
    <row r="3877" spans="1:2" x14ac:dyDescent="0.25">
      <c r="A3877" t="s">
        <v>6218</v>
      </c>
      <c r="B3877" t="s">
        <v>6219</v>
      </c>
    </row>
    <row r="3878" spans="1:2" x14ac:dyDescent="0.25">
      <c r="A3878" t="s">
        <v>6220</v>
      </c>
      <c r="B3878" t="s">
        <v>6221</v>
      </c>
    </row>
    <row r="3879" spans="1:2" x14ac:dyDescent="0.25">
      <c r="A3879" t="s">
        <v>6222</v>
      </c>
      <c r="B3879" t="s">
        <v>6223</v>
      </c>
    </row>
    <row r="3880" spans="1:2" x14ac:dyDescent="0.25">
      <c r="A3880" t="s">
        <v>6224</v>
      </c>
      <c r="B3880" t="s">
        <v>6225</v>
      </c>
    </row>
    <row r="3881" spans="1:2" x14ac:dyDescent="0.25">
      <c r="A3881" t="s">
        <v>6226</v>
      </c>
      <c r="B3881" t="s">
        <v>6227</v>
      </c>
    </row>
    <row r="3882" spans="1:2" x14ac:dyDescent="0.25">
      <c r="A3882" t="s">
        <v>3405</v>
      </c>
      <c r="B3882" t="s">
        <v>6228</v>
      </c>
    </row>
    <row r="3883" spans="1:2" x14ac:dyDescent="0.25">
      <c r="A3883" t="s">
        <v>6229</v>
      </c>
      <c r="B3883" t="s">
        <v>6230</v>
      </c>
    </row>
    <row r="3884" spans="1:2" x14ac:dyDescent="0.25">
      <c r="A3884" t="s">
        <v>6231</v>
      </c>
      <c r="B3884" t="s">
        <v>6232</v>
      </c>
    </row>
    <row r="3885" spans="1:2" x14ac:dyDescent="0.25">
      <c r="A3885" t="s">
        <v>6233</v>
      </c>
      <c r="B3885" t="s">
        <v>6234</v>
      </c>
    </row>
    <row r="3886" spans="1:2" x14ac:dyDescent="0.25">
      <c r="A3886" t="s">
        <v>6235</v>
      </c>
      <c r="B3886" t="s">
        <v>6236</v>
      </c>
    </row>
    <row r="3887" spans="1:2" x14ac:dyDescent="0.25">
      <c r="A3887" t="s">
        <v>6237</v>
      </c>
      <c r="B3887" t="s">
        <v>6238</v>
      </c>
    </row>
    <row r="3888" spans="1:2" x14ac:dyDescent="0.25">
      <c r="A3888" t="s">
        <v>6239</v>
      </c>
      <c r="B3888" t="s">
        <v>6240</v>
      </c>
    </row>
    <row r="3889" spans="1:2" x14ac:dyDescent="0.25">
      <c r="A3889" t="s">
        <v>6241</v>
      </c>
      <c r="B3889" t="s">
        <v>6242</v>
      </c>
    </row>
    <row r="3890" spans="1:2" x14ac:dyDescent="0.25">
      <c r="A3890" t="s">
        <v>6243</v>
      </c>
      <c r="B3890" t="s">
        <v>6244</v>
      </c>
    </row>
    <row r="3891" spans="1:2" x14ac:dyDescent="0.25">
      <c r="A3891" t="s">
        <v>6245</v>
      </c>
      <c r="B3891" t="s">
        <v>6246</v>
      </c>
    </row>
    <row r="3892" spans="1:2" x14ac:dyDescent="0.25">
      <c r="A3892" t="s">
        <v>6247</v>
      </c>
      <c r="B3892" t="s">
        <v>6248</v>
      </c>
    </row>
    <row r="3893" spans="1:2" x14ac:dyDescent="0.25">
      <c r="A3893" t="s">
        <v>6249</v>
      </c>
      <c r="B3893" t="s">
        <v>6250</v>
      </c>
    </row>
    <row r="3894" spans="1:2" x14ac:dyDescent="0.25">
      <c r="A3894" t="s">
        <v>6251</v>
      </c>
      <c r="B3894" t="s">
        <v>6252</v>
      </c>
    </row>
    <row r="3895" spans="1:2" x14ac:dyDescent="0.25">
      <c r="A3895" t="s">
        <v>6253</v>
      </c>
      <c r="B3895" t="s">
        <v>6254</v>
      </c>
    </row>
    <row r="3896" spans="1:2" x14ac:dyDescent="0.25">
      <c r="A3896" t="s">
        <v>6255</v>
      </c>
      <c r="B3896" t="s">
        <v>6256</v>
      </c>
    </row>
    <row r="3897" spans="1:2" x14ac:dyDescent="0.25">
      <c r="A3897" t="s">
        <v>6257</v>
      </c>
      <c r="B3897" t="s">
        <v>6258</v>
      </c>
    </row>
    <row r="3898" spans="1:2" x14ac:dyDescent="0.25">
      <c r="A3898" t="s">
        <v>6259</v>
      </c>
      <c r="B3898" t="s">
        <v>6260</v>
      </c>
    </row>
    <row r="3899" spans="1:2" x14ac:dyDescent="0.25">
      <c r="A3899" t="s">
        <v>6261</v>
      </c>
      <c r="B3899" t="s">
        <v>6262</v>
      </c>
    </row>
    <row r="3900" spans="1:2" x14ac:dyDescent="0.25">
      <c r="A3900" t="s">
        <v>6263</v>
      </c>
      <c r="B3900" t="s">
        <v>6264</v>
      </c>
    </row>
    <row r="3901" spans="1:2" x14ac:dyDescent="0.25">
      <c r="A3901" t="s">
        <v>6265</v>
      </c>
      <c r="B3901" t="s">
        <v>6266</v>
      </c>
    </row>
    <row r="3902" spans="1:2" x14ac:dyDescent="0.25">
      <c r="A3902" t="s">
        <v>6267</v>
      </c>
      <c r="B3902" t="s">
        <v>6268</v>
      </c>
    </row>
    <row r="3903" spans="1:2" x14ac:dyDescent="0.25">
      <c r="A3903" t="s">
        <v>6269</v>
      </c>
      <c r="B3903" t="s">
        <v>6270</v>
      </c>
    </row>
    <row r="3904" spans="1:2" x14ac:dyDescent="0.25">
      <c r="A3904" t="s">
        <v>6271</v>
      </c>
      <c r="B3904" t="s">
        <v>6272</v>
      </c>
    </row>
    <row r="3905" spans="1:2" x14ac:dyDescent="0.25">
      <c r="A3905" t="s">
        <v>6273</v>
      </c>
      <c r="B3905" t="s">
        <v>6274</v>
      </c>
    </row>
    <row r="3906" spans="1:2" x14ac:dyDescent="0.25">
      <c r="A3906" t="s">
        <v>1599</v>
      </c>
      <c r="B3906" t="s">
        <v>6275</v>
      </c>
    </row>
    <row r="3907" spans="1:2" x14ac:dyDescent="0.25">
      <c r="A3907" t="s">
        <v>6276</v>
      </c>
      <c r="B3907" t="s">
        <v>6277</v>
      </c>
    </row>
    <row r="3908" spans="1:2" x14ac:dyDescent="0.25">
      <c r="A3908" t="s">
        <v>6278</v>
      </c>
      <c r="B3908" t="s">
        <v>6279</v>
      </c>
    </row>
    <row r="3909" spans="1:2" x14ac:dyDescent="0.25">
      <c r="A3909" t="s">
        <v>6280</v>
      </c>
      <c r="B3909" t="s">
        <v>6281</v>
      </c>
    </row>
    <row r="3910" spans="1:2" x14ac:dyDescent="0.25">
      <c r="A3910" t="s">
        <v>6282</v>
      </c>
      <c r="B3910" t="s">
        <v>6283</v>
      </c>
    </row>
    <row r="3911" spans="1:2" x14ac:dyDescent="0.25">
      <c r="A3911" t="s">
        <v>6284</v>
      </c>
      <c r="B3911" t="s">
        <v>6285</v>
      </c>
    </row>
    <row r="3912" spans="1:2" x14ac:dyDescent="0.25">
      <c r="A3912" t="s">
        <v>6286</v>
      </c>
      <c r="B3912" t="s">
        <v>6287</v>
      </c>
    </row>
    <row r="3913" spans="1:2" x14ac:dyDescent="0.25">
      <c r="A3913" t="s">
        <v>6288</v>
      </c>
      <c r="B3913" t="s">
        <v>6289</v>
      </c>
    </row>
    <row r="3914" spans="1:2" x14ac:dyDescent="0.25">
      <c r="A3914" t="s">
        <v>2959</v>
      </c>
      <c r="B3914" t="s">
        <v>2960</v>
      </c>
    </row>
    <row r="3915" spans="1:2" x14ac:dyDescent="0.25">
      <c r="A3915" t="s">
        <v>6290</v>
      </c>
      <c r="B3915" t="s">
        <v>6291</v>
      </c>
    </row>
    <row r="3916" spans="1:2" x14ac:dyDescent="0.25">
      <c r="A3916" t="s">
        <v>6292</v>
      </c>
      <c r="B3916" t="s">
        <v>6293</v>
      </c>
    </row>
    <row r="3917" spans="1:2" x14ac:dyDescent="0.25">
      <c r="A3917" t="s">
        <v>6294</v>
      </c>
      <c r="B3917" t="s">
        <v>6295</v>
      </c>
    </row>
    <row r="3918" spans="1:2" x14ac:dyDescent="0.25">
      <c r="A3918" t="s">
        <v>6296</v>
      </c>
      <c r="B3918" t="s">
        <v>6297</v>
      </c>
    </row>
    <row r="3919" spans="1:2" x14ac:dyDescent="0.25">
      <c r="A3919" t="s">
        <v>551</v>
      </c>
      <c r="B3919" t="s">
        <v>2965</v>
      </c>
    </row>
    <row r="3920" spans="1:2" x14ac:dyDescent="0.25">
      <c r="A3920" t="s">
        <v>6298</v>
      </c>
      <c r="B3920" t="s">
        <v>6299</v>
      </c>
    </row>
    <row r="3921" spans="1:2" x14ac:dyDescent="0.25">
      <c r="A3921" t="s">
        <v>6300</v>
      </c>
      <c r="B3921" t="s">
        <v>6301</v>
      </c>
    </row>
    <row r="3922" spans="1:2" x14ac:dyDescent="0.25">
      <c r="A3922" t="s">
        <v>6302</v>
      </c>
      <c r="B3922" t="s">
        <v>6303</v>
      </c>
    </row>
    <row r="3923" spans="1:2" x14ac:dyDescent="0.25">
      <c r="A3923" t="s">
        <v>6304</v>
      </c>
      <c r="B3923" t="s">
        <v>6305</v>
      </c>
    </row>
    <row r="3924" spans="1:2" x14ac:dyDescent="0.25">
      <c r="A3924" t="s">
        <v>6306</v>
      </c>
      <c r="B3924" t="s">
        <v>6307</v>
      </c>
    </row>
    <row r="3925" spans="1:2" x14ac:dyDescent="0.25">
      <c r="A3925" t="s">
        <v>6308</v>
      </c>
      <c r="B3925" t="s">
        <v>6309</v>
      </c>
    </row>
    <row r="3926" spans="1:2" x14ac:dyDescent="0.25">
      <c r="A3926" t="s">
        <v>6310</v>
      </c>
      <c r="B3926" t="s">
        <v>6311</v>
      </c>
    </row>
    <row r="3927" spans="1:2" x14ac:dyDescent="0.25">
      <c r="A3927" t="s">
        <v>3705</v>
      </c>
      <c r="B3927" t="s">
        <v>6312</v>
      </c>
    </row>
    <row r="3928" spans="1:2" x14ac:dyDescent="0.25">
      <c r="A3928" t="s">
        <v>6313</v>
      </c>
      <c r="B3928" t="s">
        <v>6314</v>
      </c>
    </row>
    <row r="3929" spans="1:2" x14ac:dyDescent="0.25">
      <c r="A3929" t="s">
        <v>6315</v>
      </c>
      <c r="B3929" t="s">
        <v>6316</v>
      </c>
    </row>
    <row r="3930" spans="1:2" x14ac:dyDescent="0.25">
      <c r="A3930" t="s">
        <v>3029</v>
      </c>
      <c r="B3930" t="s">
        <v>6317</v>
      </c>
    </row>
    <row r="3931" spans="1:2" x14ac:dyDescent="0.25">
      <c r="A3931" t="s">
        <v>6318</v>
      </c>
      <c r="B3931" t="s">
        <v>6319</v>
      </c>
    </row>
    <row r="3932" spans="1:2" x14ac:dyDescent="0.25">
      <c r="A3932" t="s">
        <v>2994</v>
      </c>
      <c r="B3932" t="s">
        <v>2995</v>
      </c>
    </row>
    <row r="3933" spans="1:2" x14ac:dyDescent="0.25">
      <c r="A3933" t="s">
        <v>6320</v>
      </c>
      <c r="B3933" t="s">
        <v>6321</v>
      </c>
    </row>
    <row r="3934" spans="1:2" x14ac:dyDescent="0.25">
      <c r="A3934" t="s">
        <v>6322</v>
      </c>
      <c r="B3934" t="s">
        <v>6323</v>
      </c>
    </row>
    <row r="3935" spans="1:2" x14ac:dyDescent="0.25">
      <c r="A3935" t="s">
        <v>6324</v>
      </c>
      <c r="B3935" t="s">
        <v>6325</v>
      </c>
    </row>
    <row r="3936" spans="1:2" x14ac:dyDescent="0.25">
      <c r="A3936" t="s">
        <v>6326</v>
      </c>
      <c r="B3936" t="s">
        <v>6327</v>
      </c>
    </row>
    <row r="3937" spans="1:2" x14ac:dyDescent="0.25">
      <c r="A3937" t="s">
        <v>3007</v>
      </c>
      <c r="B3937" t="s">
        <v>3008</v>
      </c>
    </row>
    <row r="3938" spans="1:2" x14ac:dyDescent="0.25">
      <c r="A3938" t="s">
        <v>6328</v>
      </c>
      <c r="B3938" t="s">
        <v>6329</v>
      </c>
    </row>
    <row r="3939" spans="1:2" x14ac:dyDescent="0.25">
      <c r="A3939" t="s">
        <v>6330</v>
      </c>
      <c r="B3939" t="s">
        <v>6331</v>
      </c>
    </row>
    <row r="3940" spans="1:2" x14ac:dyDescent="0.25">
      <c r="A3940" t="s">
        <v>6332</v>
      </c>
      <c r="B3940" t="s">
        <v>6333</v>
      </c>
    </row>
    <row r="3941" spans="1:2" x14ac:dyDescent="0.25">
      <c r="A3941" t="s">
        <v>6334</v>
      </c>
      <c r="B3941" t="s">
        <v>6335</v>
      </c>
    </row>
    <row r="3942" spans="1:2" x14ac:dyDescent="0.25">
      <c r="A3942" t="s">
        <v>6336</v>
      </c>
      <c r="B3942" t="s">
        <v>6337</v>
      </c>
    </row>
    <row r="3943" spans="1:2" x14ac:dyDescent="0.25">
      <c r="A3943" t="s">
        <v>6338</v>
      </c>
      <c r="B3943" t="s">
        <v>6339</v>
      </c>
    </row>
    <row r="3944" spans="1:2" x14ac:dyDescent="0.25">
      <c r="A3944" t="s">
        <v>6340</v>
      </c>
      <c r="B3944" t="s">
        <v>6341</v>
      </c>
    </row>
    <row r="3945" spans="1:2" x14ac:dyDescent="0.25">
      <c r="A3945" t="s">
        <v>6342</v>
      </c>
      <c r="B3945" t="s">
        <v>6343</v>
      </c>
    </row>
    <row r="3946" spans="1:2" x14ac:dyDescent="0.25">
      <c r="A3946" t="s">
        <v>6344</v>
      </c>
      <c r="B3946" t="s">
        <v>6345</v>
      </c>
    </row>
    <row r="3947" spans="1:2" x14ac:dyDescent="0.25">
      <c r="A3947" t="s">
        <v>6346</v>
      </c>
      <c r="B3947" t="s">
        <v>6347</v>
      </c>
    </row>
    <row r="3948" spans="1:2" x14ac:dyDescent="0.25">
      <c r="A3948" t="s">
        <v>6348</v>
      </c>
      <c r="B3948" t="s">
        <v>6349</v>
      </c>
    </row>
    <row r="3949" spans="1:2" x14ac:dyDescent="0.25">
      <c r="A3949" t="s">
        <v>3017</v>
      </c>
      <c r="B3949" t="s">
        <v>3018</v>
      </c>
    </row>
    <row r="3950" spans="1:2" x14ac:dyDescent="0.25">
      <c r="A3950" t="s">
        <v>6350</v>
      </c>
      <c r="B3950" t="s">
        <v>6351</v>
      </c>
    </row>
    <row r="3951" spans="1:2" x14ac:dyDescent="0.25">
      <c r="A3951" t="s">
        <v>6352</v>
      </c>
      <c r="B3951" t="s">
        <v>6353</v>
      </c>
    </row>
    <row r="3952" spans="1:2" x14ac:dyDescent="0.25">
      <c r="A3952" t="s">
        <v>6354</v>
      </c>
      <c r="B3952" t="s">
        <v>6355</v>
      </c>
    </row>
    <row r="3953" spans="1:2" x14ac:dyDescent="0.25">
      <c r="A3953" t="s">
        <v>6356</v>
      </c>
      <c r="B3953" t="s">
        <v>6357</v>
      </c>
    </row>
    <row r="3954" spans="1:2" x14ac:dyDescent="0.25">
      <c r="A3954" t="s">
        <v>46</v>
      </c>
      <c r="B3954" t="s">
        <v>6358</v>
      </c>
    </row>
    <row r="3955" spans="1:2" x14ac:dyDescent="0.25">
      <c r="A3955" t="s">
        <v>6359</v>
      </c>
      <c r="B3955" t="s">
        <v>6360</v>
      </c>
    </row>
    <row r="3956" spans="1:2" x14ac:dyDescent="0.25">
      <c r="A3956" t="s">
        <v>6361</v>
      </c>
      <c r="B3956" t="s">
        <v>6362</v>
      </c>
    </row>
    <row r="3957" spans="1:2" x14ac:dyDescent="0.25">
      <c r="A3957" t="s">
        <v>6363</v>
      </c>
      <c r="B3957" t="s">
        <v>6364</v>
      </c>
    </row>
    <row r="3958" spans="1:2" x14ac:dyDescent="0.25">
      <c r="A3958" t="s">
        <v>6365</v>
      </c>
      <c r="B3958" t="s">
        <v>6366</v>
      </c>
    </row>
    <row r="3959" spans="1:2" x14ac:dyDescent="0.25">
      <c r="A3959" t="s">
        <v>6367</v>
      </c>
      <c r="B3959" t="s">
        <v>6368</v>
      </c>
    </row>
    <row r="3960" spans="1:2" x14ac:dyDescent="0.25">
      <c r="A3960" t="s">
        <v>6369</v>
      </c>
      <c r="B3960" t="s">
        <v>6370</v>
      </c>
    </row>
    <row r="3961" spans="1:2" x14ac:dyDescent="0.25">
      <c r="A3961" t="s">
        <v>6371</v>
      </c>
      <c r="B3961" t="s">
        <v>6372</v>
      </c>
    </row>
    <row r="3962" spans="1:2" x14ac:dyDescent="0.25">
      <c r="A3962" t="s">
        <v>6373</v>
      </c>
      <c r="B3962" t="s">
        <v>6374</v>
      </c>
    </row>
    <row r="3963" spans="1:2" x14ac:dyDescent="0.25">
      <c r="A3963" t="s">
        <v>3035</v>
      </c>
      <c r="B3963" t="s">
        <v>3036</v>
      </c>
    </row>
    <row r="3964" spans="1:2" x14ac:dyDescent="0.25">
      <c r="A3964" t="s">
        <v>6375</v>
      </c>
      <c r="B3964" t="s">
        <v>6376</v>
      </c>
    </row>
    <row r="3965" spans="1:2" x14ac:dyDescent="0.25">
      <c r="A3965" t="s">
        <v>6377</v>
      </c>
      <c r="B3965" t="s">
        <v>6378</v>
      </c>
    </row>
    <row r="3966" spans="1:2" x14ac:dyDescent="0.25">
      <c r="A3966" t="s">
        <v>6379</v>
      </c>
      <c r="B3966" t="s">
        <v>6380</v>
      </c>
    </row>
    <row r="3967" spans="1:2" x14ac:dyDescent="0.25">
      <c r="A3967" t="s">
        <v>6381</v>
      </c>
      <c r="B3967" t="s">
        <v>6382</v>
      </c>
    </row>
    <row r="3968" spans="1:2" x14ac:dyDescent="0.25">
      <c r="A3968" t="s">
        <v>6383</v>
      </c>
      <c r="B3968" t="s">
        <v>6384</v>
      </c>
    </row>
    <row r="3969" spans="1:2" x14ac:dyDescent="0.25">
      <c r="A3969" t="s">
        <v>6385</v>
      </c>
      <c r="B3969" t="s">
        <v>6386</v>
      </c>
    </row>
    <row r="3970" spans="1:2" x14ac:dyDescent="0.25">
      <c r="A3970" t="s">
        <v>3037</v>
      </c>
      <c r="B3970" t="s">
        <v>3038</v>
      </c>
    </row>
    <row r="3971" spans="1:2" x14ac:dyDescent="0.25">
      <c r="A3971" t="s">
        <v>6387</v>
      </c>
      <c r="B3971" t="s">
        <v>6388</v>
      </c>
    </row>
    <row r="3972" spans="1:2" x14ac:dyDescent="0.25">
      <c r="A3972" t="s">
        <v>6389</v>
      </c>
      <c r="B3972" t="s">
        <v>6390</v>
      </c>
    </row>
    <row r="3973" spans="1:2" x14ac:dyDescent="0.25">
      <c r="A3973" t="s">
        <v>6391</v>
      </c>
      <c r="B3973" t="s">
        <v>6392</v>
      </c>
    </row>
    <row r="3974" spans="1:2" x14ac:dyDescent="0.25">
      <c r="A3974" t="s">
        <v>6393</v>
      </c>
      <c r="B3974" t="s">
        <v>6394</v>
      </c>
    </row>
    <row r="3975" spans="1:2" x14ac:dyDescent="0.25">
      <c r="A3975" t="s">
        <v>6395</v>
      </c>
      <c r="B3975" t="s">
        <v>6396</v>
      </c>
    </row>
    <row r="3976" spans="1:2" x14ac:dyDescent="0.25">
      <c r="A3976" t="s">
        <v>6397</v>
      </c>
      <c r="B3976" t="s">
        <v>6398</v>
      </c>
    </row>
    <row r="3977" spans="1:2" x14ac:dyDescent="0.25">
      <c r="A3977" t="s">
        <v>6399</v>
      </c>
      <c r="B3977" t="s">
        <v>6400</v>
      </c>
    </row>
    <row r="3978" spans="1:2" x14ac:dyDescent="0.25">
      <c r="A3978" t="s">
        <v>2308</v>
      </c>
      <c r="B3978" t="s">
        <v>6401</v>
      </c>
    </row>
    <row r="3979" spans="1:2" x14ac:dyDescent="0.25">
      <c r="A3979" t="s">
        <v>6402</v>
      </c>
      <c r="B3979" t="s">
        <v>6403</v>
      </c>
    </row>
    <row r="3980" spans="1:2" x14ac:dyDescent="0.25">
      <c r="A3980" t="s">
        <v>6404</v>
      </c>
      <c r="B3980" t="s">
        <v>6405</v>
      </c>
    </row>
    <row r="3981" spans="1:2" x14ac:dyDescent="0.25">
      <c r="A3981" t="s">
        <v>6406</v>
      </c>
      <c r="B3981" t="s">
        <v>6407</v>
      </c>
    </row>
    <row r="3982" spans="1:2" x14ac:dyDescent="0.25">
      <c r="A3982" t="s">
        <v>6408</v>
      </c>
      <c r="B3982" t="s">
        <v>6409</v>
      </c>
    </row>
    <row r="3983" spans="1:2" x14ac:dyDescent="0.25">
      <c r="A3983" t="s">
        <v>6410</v>
      </c>
      <c r="B3983" t="s">
        <v>6411</v>
      </c>
    </row>
    <row r="3984" spans="1:2" x14ac:dyDescent="0.25">
      <c r="A3984" t="s">
        <v>6412</v>
      </c>
      <c r="B3984" t="s">
        <v>6413</v>
      </c>
    </row>
    <row r="3985" spans="1:2" x14ac:dyDescent="0.25">
      <c r="A3985" t="s">
        <v>6414</v>
      </c>
      <c r="B3985" t="s">
        <v>6415</v>
      </c>
    </row>
    <row r="3986" spans="1:2" x14ac:dyDescent="0.25">
      <c r="A3986" t="s">
        <v>6416</v>
      </c>
      <c r="B3986" t="s">
        <v>6417</v>
      </c>
    </row>
    <row r="3987" spans="1:2" x14ac:dyDescent="0.25">
      <c r="A3987" t="s">
        <v>6418</v>
      </c>
      <c r="B3987" t="s">
        <v>6419</v>
      </c>
    </row>
    <row r="3988" spans="1:2" x14ac:dyDescent="0.25">
      <c r="A3988" t="s">
        <v>6420</v>
      </c>
      <c r="B3988" t="s">
        <v>6421</v>
      </c>
    </row>
    <row r="3989" spans="1:2" x14ac:dyDescent="0.25">
      <c r="A3989" t="s">
        <v>6422</v>
      </c>
      <c r="B3989" t="s">
        <v>6423</v>
      </c>
    </row>
    <row r="3990" spans="1:2" x14ac:dyDescent="0.25">
      <c r="A3990" t="s">
        <v>6424</v>
      </c>
      <c r="B3990" t="s">
        <v>6425</v>
      </c>
    </row>
    <row r="3991" spans="1:2" x14ac:dyDescent="0.25">
      <c r="A3991" t="s">
        <v>3087</v>
      </c>
      <c r="B3991" t="s">
        <v>6426</v>
      </c>
    </row>
    <row r="3992" spans="1:2" x14ac:dyDescent="0.25">
      <c r="A3992" t="s">
        <v>6427</v>
      </c>
      <c r="B3992" t="s">
        <v>6428</v>
      </c>
    </row>
    <row r="3993" spans="1:2" x14ac:dyDescent="0.25">
      <c r="A3993" t="s">
        <v>6429</v>
      </c>
      <c r="B3993" t="s">
        <v>6430</v>
      </c>
    </row>
    <row r="3994" spans="1:2" x14ac:dyDescent="0.25">
      <c r="A3994" t="s">
        <v>6431</v>
      </c>
      <c r="B3994" t="s">
        <v>6432</v>
      </c>
    </row>
    <row r="3995" spans="1:2" x14ac:dyDescent="0.25">
      <c r="A3995" t="s">
        <v>6433</v>
      </c>
      <c r="B3995" t="s">
        <v>6434</v>
      </c>
    </row>
    <row r="3996" spans="1:2" x14ac:dyDescent="0.25">
      <c r="A3996" t="s">
        <v>6435</v>
      </c>
      <c r="B3996" t="s">
        <v>6436</v>
      </c>
    </row>
    <row r="3997" spans="1:2" x14ac:dyDescent="0.25">
      <c r="A3997" t="s">
        <v>6437</v>
      </c>
      <c r="B3997" t="s">
        <v>6438</v>
      </c>
    </row>
    <row r="3998" spans="1:2" x14ac:dyDescent="0.25">
      <c r="A3998" t="s">
        <v>6439</v>
      </c>
      <c r="B3998" t="s">
        <v>6440</v>
      </c>
    </row>
    <row r="3999" spans="1:2" x14ac:dyDescent="0.25">
      <c r="A3999" t="s">
        <v>6441</v>
      </c>
      <c r="B3999" t="s">
        <v>6442</v>
      </c>
    </row>
    <row r="4000" spans="1:2" x14ac:dyDescent="0.25">
      <c r="A4000" t="s">
        <v>6443</v>
      </c>
      <c r="B4000" t="s">
        <v>6444</v>
      </c>
    </row>
    <row r="4001" spans="1:2" x14ac:dyDescent="0.25">
      <c r="A4001" t="s">
        <v>6445</v>
      </c>
      <c r="B4001" t="s">
        <v>6446</v>
      </c>
    </row>
    <row r="4002" spans="1:2" x14ac:dyDescent="0.25">
      <c r="A4002" t="s">
        <v>6447</v>
      </c>
      <c r="B4002" t="s">
        <v>6448</v>
      </c>
    </row>
    <row r="4003" spans="1:2" x14ac:dyDescent="0.25">
      <c r="A4003" t="s">
        <v>6449</v>
      </c>
      <c r="B4003" t="s">
        <v>6450</v>
      </c>
    </row>
    <row r="4004" spans="1:2" x14ac:dyDescent="0.25">
      <c r="A4004" t="s">
        <v>6451</v>
      </c>
      <c r="B4004" t="s">
        <v>6452</v>
      </c>
    </row>
    <row r="4005" spans="1:2" x14ac:dyDescent="0.25">
      <c r="A4005" t="s">
        <v>6453</v>
      </c>
      <c r="B4005" t="s">
        <v>6454</v>
      </c>
    </row>
    <row r="4006" spans="1:2" x14ac:dyDescent="0.25">
      <c r="A4006" t="s">
        <v>6455</v>
      </c>
      <c r="B4006" t="s">
        <v>6456</v>
      </c>
    </row>
    <row r="4007" spans="1:2" x14ac:dyDescent="0.25">
      <c r="A4007" t="s">
        <v>6457</v>
      </c>
      <c r="B4007" t="s">
        <v>6458</v>
      </c>
    </row>
    <row r="4008" spans="1:2" x14ac:dyDescent="0.25">
      <c r="A4008" t="s">
        <v>6459</v>
      </c>
      <c r="B4008" t="s">
        <v>6460</v>
      </c>
    </row>
    <row r="4009" spans="1:2" x14ac:dyDescent="0.25">
      <c r="A4009" t="s">
        <v>6461</v>
      </c>
      <c r="B4009" t="s">
        <v>6462</v>
      </c>
    </row>
    <row r="4010" spans="1:2" x14ac:dyDescent="0.25">
      <c r="A4010" t="s">
        <v>6463</v>
      </c>
      <c r="B4010" t="s">
        <v>6464</v>
      </c>
    </row>
    <row r="4011" spans="1:2" x14ac:dyDescent="0.25">
      <c r="A4011" t="s">
        <v>268</v>
      </c>
      <c r="B4011" t="s">
        <v>6465</v>
      </c>
    </row>
    <row r="4012" spans="1:2" x14ac:dyDescent="0.25">
      <c r="A4012" t="s">
        <v>6466</v>
      </c>
      <c r="B4012" t="s">
        <v>6467</v>
      </c>
    </row>
    <row r="4013" spans="1:2" x14ac:dyDescent="0.25">
      <c r="A4013" t="s">
        <v>6468</v>
      </c>
      <c r="B4013" t="s">
        <v>6469</v>
      </c>
    </row>
    <row r="4014" spans="1:2" x14ac:dyDescent="0.25">
      <c r="A4014" t="s">
        <v>6470</v>
      </c>
      <c r="B4014" t="s">
        <v>6471</v>
      </c>
    </row>
    <row r="4015" spans="1:2" x14ac:dyDescent="0.25">
      <c r="A4015" t="s">
        <v>6472</v>
      </c>
      <c r="B4015" t="s">
        <v>6473</v>
      </c>
    </row>
    <row r="4016" spans="1:2" x14ac:dyDescent="0.25">
      <c r="A4016" t="s">
        <v>6474</v>
      </c>
      <c r="B4016" t="s">
        <v>6475</v>
      </c>
    </row>
    <row r="4017" spans="1:2" x14ac:dyDescent="0.25">
      <c r="A4017" t="s">
        <v>6476</v>
      </c>
      <c r="B4017" t="s">
        <v>6477</v>
      </c>
    </row>
    <row r="4018" spans="1:2" x14ac:dyDescent="0.25">
      <c r="A4018" t="s">
        <v>6478</v>
      </c>
      <c r="B4018" t="s">
        <v>6479</v>
      </c>
    </row>
    <row r="4019" spans="1:2" x14ac:dyDescent="0.25">
      <c r="A4019" t="s">
        <v>6480</v>
      </c>
      <c r="B4019" t="s">
        <v>6481</v>
      </c>
    </row>
    <row r="4020" spans="1:2" x14ac:dyDescent="0.25">
      <c r="A4020" t="s">
        <v>6482</v>
      </c>
      <c r="B4020" t="s">
        <v>6483</v>
      </c>
    </row>
    <row r="4021" spans="1:2" x14ac:dyDescent="0.25">
      <c r="A4021" t="s">
        <v>6484</v>
      </c>
      <c r="B4021" t="s">
        <v>6485</v>
      </c>
    </row>
    <row r="4022" spans="1:2" x14ac:dyDescent="0.25">
      <c r="A4022" t="s">
        <v>6486</v>
      </c>
      <c r="B4022" t="s">
        <v>6487</v>
      </c>
    </row>
    <row r="4023" spans="1:2" x14ac:dyDescent="0.25">
      <c r="A4023" t="s">
        <v>6488</v>
      </c>
      <c r="B4023" t="s">
        <v>6489</v>
      </c>
    </row>
    <row r="4024" spans="1:2" x14ac:dyDescent="0.25">
      <c r="A4024" t="s">
        <v>6490</v>
      </c>
      <c r="B4024" t="s">
        <v>6491</v>
      </c>
    </row>
    <row r="4025" spans="1:2" x14ac:dyDescent="0.25">
      <c r="A4025" t="s">
        <v>3064</v>
      </c>
      <c r="B4025" t="s">
        <v>3065</v>
      </c>
    </row>
    <row r="4026" spans="1:2" x14ac:dyDescent="0.25">
      <c r="A4026" t="s">
        <v>6492</v>
      </c>
      <c r="B4026" t="s">
        <v>6493</v>
      </c>
    </row>
    <row r="4027" spans="1:2" x14ac:dyDescent="0.25">
      <c r="A4027" t="s">
        <v>6494</v>
      </c>
      <c r="B4027" t="s">
        <v>6495</v>
      </c>
    </row>
    <row r="4028" spans="1:2" x14ac:dyDescent="0.25">
      <c r="A4028" t="s">
        <v>6496</v>
      </c>
      <c r="B4028" t="s">
        <v>6497</v>
      </c>
    </row>
    <row r="4029" spans="1:2" x14ac:dyDescent="0.25">
      <c r="A4029" t="s">
        <v>6498</v>
      </c>
      <c r="B4029" t="s">
        <v>6499</v>
      </c>
    </row>
    <row r="4030" spans="1:2" x14ac:dyDescent="0.25">
      <c r="A4030" t="s">
        <v>6500</v>
      </c>
      <c r="B4030" t="s">
        <v>6501</v>
      </c>
    </row>
    <row r="4031" spans="1:2" x14ac:dyDescent="0.25">
      <c r="A4031" t="s">
        <v>6502</v>
      </c>
      <c r="B4031" t="s">
        <v>6503</v>
      </c>
    </row>
    <row r="4032" spans="1:2" x14ac:dyDescent="0.25">
      <c r="A4032" t="s">
        <v>6504</v>
      </c>
      <c r="B4032" t="s">
        <v>6505</v>
      </c>
    </row>
    <row r="4033" spans="1:2" x14ac:dyDescent="0.25">
      <c r="A4033" t="s">
        <v>6506</v>
      </c>
      <c r="B4033" t="s">
        <v>6507</v>
      </c>
    </row>
    <row r="4034" spans="1:2" x14ac:dyDescent="0.25">
      <c r="A4034" t="s">
        <v>6508</v>
      </c>
      <c r="B4034" t="s">
        <v>6509</v>
      </c>
    </row>
    <row r="4035" spans="1:2" x14ac:dyDescent="0.25">
      <c r="A4035" t="s">
        <v>6510</v>
      </c>
      <c r="B4035" t="s">
        <v>6511</v>
      </c>
    </row>
    <row r="4036" spans="1:2" x14ac:dyDescent="0.25">
      <c r="A4036" t="s">
        <v>6512</v>
      </c>
      <c r="B4036" t="s">
        <v>6513</v>
      </c>
    </row>
    <row r="4037" spans="1:2" x14ac:dyDescent="0.25">
      <c r="A4037" t="s">
        <v>6514</v>
      </c>
      <c r="B4037" t="s">
        <v>6515</v>
      </c>
    </row>
    <row r="4038" spans="1:2" x14ac:dyDescent="0.25">
      <c r="A4038" t="s">
        <v>6516</v>
      </c>
      <c r="B4038" t="s">
        <v>6517</v>
      </c>
    </row>
    <row r="4039" spans="1:2" x14ac:dyDescent="0.25">
      <c r="A4039" t="s">
        <v>6518</v>
      </c>
      <c r="B4039" t="s">
        <v>6519</v>
      </c>
    </row>
    <row r="4040" spans="1:2" x14ac:dyDescent="0.25">
      <c r="A4040" t="s">
        <v>6520</v>
      </c>
      <c r="B4040" t="s">
        <v>6521</v>
      </c>
    </row>
    <row r="4041" spans="1:2" x14ac:dyDescent="0.25">
      <c r="A4041" t="s">
        <v>6522</v>
      </c>
      <c r="B4041" t="s">
        <v>6523</v>
      </c>
    </row>
    <row r="4042" spans="1:2" x14ac:dyDescent="0.25">
      <c r="A4042" t="s">
        <v>6524</v>
      </c>
      <c r="B4042" t="s">
        <v>6525</v>
      </c>
    </row>
    <row r="4043" spans="1:2" x14ac:dyDescent="0.25">
      <c r="A4043" t="s">
        <v>6526</v>
      </c>
      <c r="B4043" t="s">
        <v>6527</v>
      </c>
    </row>
    <row r="4044" spans="1:2" x14ac:dyDescent="0.25">
      <c r="A4044" t="s">
        <v>6528</v>
      </c>
      <c r="B4044" t="s">
        <v>6529</v>
      </c>
    </row>
    <row r="4045" spans="1:2" x14ac:dyDescent="0.25">
      <c r="A4045" t="s">
        <v>6530</v>
      </c>
      <c r="B4045" t="s">
        <v>6531</v>
      </c>
    </row>
    <row r="4046" spans="1:2" x14ac:dyDescent="0.25">
      <c r="A4046" t="s">
        <v>6532</v>
      </c>
      <c r="B4046" t="s">
        <v>6533</v>
      </c>
    </row>
    <row r="4047" spans="1:2" x14ac:dyDescent="0.25">
      <c r="A4047" t="s">
        <v>6534</v>
      </c>
      <c r="B4047" t="s">
        <v>6535</v>
      </c>
    </row>
    <row r="4048" spans="1:2" x14ac:dyDescent="0.25">
      <c r="A4048" t="s">
        <v>6536</v>
      </c>
      <c r="B4048" t="s">
        <v>6537</v>
      </c>
    </row>
    <row r="4049" spans="1:2" x14ac:dyDescent="0.25">
      <c r="A4049" t="s">
        <v>6538</v>
      </c>
      <c r="B4049" t="s">
        <v>6539</v>
      </c>
    </row>
    <row r="4050" spans="1:2" x14ac:dyDescent="0.25">
      <c r="A4050" t="s">
        <v>6540</v>
      </c>
      <c r="B4050" t="s">
        <v>6541</v>
      </c>
    </row>
    <row r="4051" spans="1:2" x14ac:dyDescent="0.25">
      <c r="A4051" t="s">
        <v>47</v>
      </c>
      <c r="B4051" t="s">
        <v>3082</v>
      </c>
    </row>
    <row r="4052" spans="1:2" x14ac:dyDescent="0.25">
      <c r="A4052" t="s">
        <v>6542</v>
      </c>
      <c r="B4052" t="s">
        <v>6543</v>
      </c>
    </row>
    <row r="4053" spans="1:2" x14ac:dyDescent="0.25">
      <c r="A4053" t="s">
        <v>6544</v>
      </c>
      <c r="B4053" t="s">
        <v>6545</v>
      </c>
    </row>
    <row r="4054" spans="1:2" x14ac:dyDescent="0.25">
      <c r="A4054" t="s">
        <v>3089</v>
      </c>
      <c r="B4054" t="s">
        <v>3090</v>
      </c>
    </row>
    <row r="4055" spans="1:2" x14ac:dyDescent="0.25">
      <c r="A4055" t="s">
        <v>6546</v>
      </c>
      <c r="B4055" t="s">
        <v>6547</v>
      </c>
    </row>
    <row r="4056" spans="1:2" x14ac:dyDescent="0.25">
      <c r="A4056" t="s">
        <v>1544</v>
      </c>
      <c r="B4056" t="s">
        <v>6548</v>
      </c>
    </row>
    <row r="4057" spans="1:2" x14ac:dyDescent="0.25">
      <c r="A4057" t="s">
        <v>6549</v>
      </c>
      <c r="B4057" t="s">
        <v>6550</v>
      </c>
    </row>
    <row r="4058" spans="1:2" x14ac:dyDescent="0.25">
      <c r="A4058" t="s">
        <v>6551</v>
      </c>
      <c r="B4058" t="s">
        <v>6552</v>
      </c>
    </row>
    <row r="4059" spans="1:2" x14ac:dyDescent="0.25">
      <c r="A4059" t="s">
        <v>6553</v>
      </c>
      <c r="B4059" t="s">
        <v>6554</v>
      </c>
    </row>
    <row r="4060" spans="1:2" x14ac:dyDescent="0.25">
      <c r="A4060" t="s">
        <v>6555</v>
      </c>
      <c r="B4060" t="s">
        <v>6556</v>
      </c>
    </row>
    <row r="4061" spans="1:2" x14ac:dyDescent="0.25">
      <c r="A4061" t="s">
        <v>6557</v>
      </c>
      <c r="B4061" t="s">
        <v>6558</v>
      </c>
    </row>
    <row r="4062" spans="1:2" x14ac:dyDescent="0.25">
      <c r="A4062" t="s">
        <v>3095</v>
      </c>
      <c r="B4062" t="s">
        <v>3096</v>
      </c>
    </row>
    <row r="4063" spans="1:2" x14ac:dyDescent="0.25">
      <c r="A4063" t="s">
        <v>6559</v>
      </c>
      <c r="B4063" t="s">
        <v>6560</v>
      </c>
    </row>
    <row r="4064" spans="1:2" x14ac:dyDescent="0.25">
      <c r="A4064" t="s">
        <v>6561</v>
      </c>
      <c r="B4064" t="s">
        <v>6562</v>
      </c>
    </row>
    <row r="4065" spans="1:2" x14ac:dyDescent="0.25">
      <c r="A4065" t="s">
        <v>6563</v>
      </c>
      <c r="B4065" t="s">
        <v>6564</v>
      </c>
    </row>
    <row r="4066" spans="1:2" x14ac:dyDescent="0.25">
      <c r="A4066" t="s">
        <v>6565</v>
      </c>
      <c r="B4066" t="s">
        <v>6566</v>
      </c>
    </row>
    <row r="4067" spans="1:2" x14ac:dyDescent="0.25">
      <c r="A4067" t="s">
        <v>6567</v>
      </c>
      <c r="B4067" t="s">
        <v>6568</v>
      </c>
    </row>
    <row r="4068" spans="1:2" x14ac:dyDescent="0.25">
      <c r="A4068" t="s">
        <v>6569</v>
      </c>
      <c r="B4068" t="s">
        <v>6570</v>
      </c>
    </row>
    <row r="4069" spans="1:2" x14ac:dyDescent="0.25">
      <c r="A4069" t="s">
        <v>6571</v>
      </c>
      <c r="B4069" t="s">
        <v>6572</v>
      </c>
    </row>
    <row r="4070" spans="1:2" x14ac:dyDescent="0.25">
      <c r="A4070" t="s">
        <v>6573</v>
      </c>
      <c r="B4070" t="s">
        <v>6574</v>
      </c>
    </row>
    <row r="4071" spans="1:2" x14ac:dyDescent="0.25">
      <c r="A4071" t="s">
        <v>6575</v>
      </c>
      <c r="B4071" t="s">
        <v>6576</v>
      </c>
    </row>
    <row r="4072" spans="1:2" x14ac:dyDescent="0.25">
      <c r="A4072" t="s">
        <v>6577</v>
      </c>
      <c r="B4072" t="s">
        <v>6578</v>
      </c>
    </row>
    <row r="4073" spans="1:2" x14ac:dyDescent="0.25">
      <c r="A4073" t="s">
        <v>6579</v>
      </c>
      <c r="B4073" t="s">
        <v>6580</v>
      </c>
    </row>
    <row r="4074" spans="1:2" x14ac:dyDescent="0.25">
      <c r="A4074" t="s">
        <v>6581</v>
      </c>
      <c r="B4074" t="s">
        <v>6582</v>
      </c>
    </row>
    <row r="4075" spans="1:2" x14ac:dyDescent="0.25">
      <c r="A4075" t="s">
        <v>6583</v>
      </c>
      <c r="B4075" t="s">
        <v>6584</v>
      </c>
    </row>
    <row r="4076" spans="1:2" x14ac:dyDescent="0.25">
      <c r="A4076" t="s">
        <v>6585</v>
      </c>
      <c r="B4076" t="s">
        <v>6586</v>
      </c>
    </row>
    <row r="4077" spans="1:2" x14ac:dyDescent="0.25">
      <c r="A4077" t="s">
        <v>6587</v>
      </c>
      <c r="B4077" t="s">
        <v>6588</v>
      </c>
    </row>
    <row r="4078" spans="1:2" x14ac:dyDescent="0.25">
      <c r="A4078" t="s">
        <v>6589</v>
      </c>
      <c r="B4078" t="s">
        <v>6590</v>
      </c>
    </row>
    <row r="4079" spans="1:2" x14ac:dyDescent="0.25">
      <c r="A4079" t="s">
        <v>6591</v>
      </c>
      <c r="B4079" t="s">
        <v>6592</v>
      </c>
    </row>
    <row r="4080" spans="1:2" x14ac:dyDescent="0.25">
      <c r="A4080" t="s">
        <v>6593</v>
      </c>
      <c r="B4080" t="s">
        <v>6594</v>
      </c>
    </row>
    <row r="4081" spans="1:2" x14ac:dyDescent="0.25">
      <c r="A4081" t="s">
        <v>6595</v>
      </c>
      <c r="B4081" t="s">
        <v>6596</v>
      </c>
    </row>
    <row r="4082" spans="1:2" x14ac:dyDescent="0.25">
      <c r="A4082" t="s">
        <v>6597</v>
      </c>
      <c r="B4082" t="s">
        <v>6598</v>
      </c>
    </row>
    <row r="4083" spans="1:2" x14ac:dyDescent="0.25">
      <c r="A4083" t="s">
        <v>6599</v>
      </c>
      <c r="B4083" t="s">
        <v>6600</v>
      </c>
    </row>
    <row r="4084" spans="1:2" x14ac:dyDescent="0.25">
      <c r="A4084" t="s">
        <v>6601</v>
      </c>
      <c r="B4084" t="s">
        <v>6602</v>
      </c>
    </row>
    <row r="4085" spans="1:2" x14ac:dyDescent="0.25">
      <c r="A4085" t="s">
        <v>6603</v>
      </c>
      <c r="B4085" t="s">
        <v>6604</v>
      </c>
    </row>
    <row r="4086" spans="1:2" x14ac:dyDescent="0.25">
      <c r="A4086" t="s">
        <v>6605</v>
      </c>
      <c r="B4086" t="s">
        <v>6606</v>
      </c>
    </row>
    <row r="4087" spans="1:2" x14ac:dyDescent="0.25">
      <c r="A4087" t="s">
        <v>6607</v>
      </c>
      <c r="B4087" t="s">
        <v>6608</v>
      </c>
    </row>
    <row r="4088" spans="1:2" x14ac:dyDescent="0.25">
      <c r="A4088" t="s">
        <v>6609</v>
      </c>
      <c r="B4088" t="s">
        <v>6610</v>
      </c>
    </row>
    <row r="4089" spans="1:2" x14ac:dyDescent="0.25">
      <c r="A4089" t="s">
        <v>6611</v>
      </c>
      <c r="B4089" t="s">
        <v>6612</v>
      </c>
    </row>
    <row r="4090" spans="1:2" x14ac:dyDescent="0.25">
      <c r="A4090" t="s">
        <v>6613</v>
      </c>
      <c r="B4090" t="s">
        <v>6614</v>
      </c>
    </row>
    <row r="4091" spans="1:2" x14ac:dyDescent="0.25">
      <c r="A4091" t="s">
        <v>6615</v>
      </c>
      <c r="B4091" t="s">
        <v>6616</v>
      </c>
    </row>
    <row r="4092" spans="1:2" x14ac:dyDescent="0.25">
      <c r="A4092" t="s">
        <v>6617</v>
      </c>
      <c r="B4092" t="s">
        <v>6618</v>
      </c>
    </row>
    <row r="4093" spans="1:2" x14ac:dyDescent="0.25">
      <c r="A4093" t="s">
        <v>3116</v>
      </c>
      <c r="B4093" t="s">
        <v>3117</v>
      </c>
    </row>
    <row r="4094" spans="1:2" x14ac:dyDescent="0.25">
      <c r="A4094" t="s">
        <v>6619</v>
      </c>
      <c r="B4094" t="s">
        <v>6620</v>
      </c>
    </row>
    <row r="4095" spans="1:2" x14ac:dyDescent="0.25">
      <c r="A4095" t="s">
        <v>6621</v>
      </c>
      <c r="B4095" t="s">
        <v>6622</v>
      </c>
    </row>
    <row r="4096" spans="1:2" x14ac:dyDescent="0.25">
      <c r="A4096" t="s">
        <v>6623</v>
      </c>
      <c r="B4096" t="s">
        <v>6624</v>
      </c>
    </row>
    <row r="4097" spans="1:2" x14ac:dyDescent="0.25">
      <c r="A4097" t="s">
        <v>6625</v>
      </c>
      <c r="B4097" t="s">
        <v>6626</v>
      </c>
    </row>
    <row r="4098" spans="1:2" x14ac:dyDescent="0.25">
      <c r="A4098" t="s">
        <v>6627</v>
      </c>
      <c r="B4098" t="s">
        <v>6628</v>
      </c>
    </row>
    <row r="4099" spans="1:2" x14ac:dyDescent="0.25">
      <c r="A4099" t="s">
        <v>6629</v>
      </c>
      <c r="B4099" t="s">
        <v>6630</v>
      </c>
    </row>
    <row r="4100" spans="1:2" x14ac:dyDescent="0.25">
      <c r="A4100" t="s">
        <v>6631</v>
      </c>
      <c r="B4100" t="s">
        <v>6632</v>
      </c>
    </row>
    <row r="4101" spans="1:2" x14ac:dyDescent="0.25">
      <c r="A4101" t="s">
        <v>6633</v>
      </c>
      <c r="B4101" t="s">
        <v>6634</v>
      </c>
    </row>
    <row r="4102" spans="1:2" x14ac:dyDescent="0.25">
      <c r="A4102" t="s">
        <v>6635</v>
      </c>
      <c r="B4102" t="s">
        <v>6636</v>
      </c>
    </row>
    <row r="4103" spans="1:2" x14ac:dyDescent="0.25">
      <c r="A4103" t="s">
        <v>6637</v>
      </c>
      <c r="B4103" t="s">
        <v>6638</v>
      </c>
    </row>
    <row r="4104" spans="1:2" x14ac:dyDescent="0.25">
      <c r="A4104" t="s">
        <v>6639</v>
      </c>
      <c r="B4104" t="s">
        <v>6640</v>
      </c>
    </row>
    <row r="4105" spans="1:2" x14ac:dyDescent="0.25">
      <c r="A4105" t="s">
        <v>6641</v>
      </c>
      <c r="B4105" t="s">
        <v>6642</v>
      </c>
    </row>
    <row r="4106" spans="1:2" x14ac:dyDescent="0.25">
      <c r="A4106" t="s">
        <v>6643</v>
      </c>
      <c r="B4106" t="s">
        <v>6644</v>
      </c>
    </row>
    <row r="4107" spans="1:2" x14ac:dyDescent="0.25">
      <c r="A4107" t="s">
        <v>6645</v>
      </c>
      <c r="B4107" t="s">
        <v>6646</v>
      </c>
    </row>
    <row r="4108" spans="1:2" x14ac:dyDescent="0.25">
      <c r="A4108" t="s">
        <v>6647</v>
      </c>
      <c r="B4108" t="s">
        <v>6648</v>
      </c>
    </row>
    <row r="4109" spans="1:2" x14ac:dyDescent="0.25">
      <c r="A4109" t="s">
        <v>6649</v>
      </c>
      <c r="B4109" t="s">
        <v>6650</v>
      </c>
    </row>
    <row r="4110" spans="1:2" x14ac:dyDescent="0.25">
      <c r="A4110" t="s">
        <v>6651</v>
      </c>
      <c r="B4110" t="s">
        <v>6652</v>
      </c>
    </row>
    <row r="4111" spans="1:2" x14ac:dyDescent="0.25">
      <c r="A4111" t="s">
        <v>6653</v>
      </c>
      <c r="B4111" t="s">
        <v>6654</v>
      </c>
    </row>
    <row r="4112" spans="1:2" x14ac:dyDescent="0.25">
      <c r="A4112" t="s">
        <v>6655</v>
      </c>
      <c r="B4112" t="s">
        <v>6656</v>
      </c>
    </row>
    <row r="4113" spans="1:2" x14ac:dyDescent="0.25">
      <c r="A4113" t="s">
        <v>6657</v>
      </c>
      <c r="B4113" t="s">
        <v>6658</v>
      </c>
    </row>
    <row r="4114" spans="1:2" x14ac:dyDescent="0.25">
      <c r="A4114" t="s">
        <v>6659</v>
      </c>
      <c r="B4114" t="s">
        <v>6660</v>
      </c>
    </row>
    <row r="4115" spans="1:2" x14ac:dyDescent="0.25">
      <c r="A4115" t="s">
        <v>6661</v>
      </c>
      <c r="B4115" t="s">
        <v>6662</v>
      </c>
    </row>
    <row r="4116" spans="1:2" x14ac:dyDescent="0.25">
      <c r="A4116" t="s">
        <v>6663</v>
      </c>
      <c r="B4116" t="s">
        <v>6664</v>
      </c>
    </row>
    <row r="4117" spans="1:2" x14ac:dyDescent="0.25">
      <c r="A4117" t="s">
        <v>6665</v>
      </c>
      <c r="B4117" t="s">
        <v>6666</v>
      </c>
    </row>
    <row r="4118" spans="1:2" x14ac:dyDescent="0.25">
      <c r="A4118" t="s">
        <v>6667</v>
      </c>
      <c r="B4118" t="s">
        <v>6668</v>
      </c>
    </row>
    <row r="4119" spans="1:2" x14ac:dyDescent="0.25">
      <c r="A4119" t="s">
        <v>6669</v>
      </c>
      <c r="B4119" t="s">
        <v>6670</v>
      </c>
    </row>
    <row r="4120" spans="1:2" x14ac:dyDescent="0.25">
      <c r="A4120" t="s">
        <v>6671</v>
      </c>
      <c r="B4120" t="s">
        <v>6672</v>
      </c>
    </row>
    <row r="4121" spans="1:2" x14ac:dyDescent="0.25">
      <c r="A4121" t="s">
        <v>6673</v>
      </c>
      <c r="B4121" t="s">
        <v>6674</v>
      </c>
    </row>
    <row r="4122" spans="1:2" x14ac:dyDescent="0.25">
      <c r="A4122" t="s">
        <v>6675</v>
      </c>
      <c r="B4122" t="s">
        <v>6676</v>
      </c>
    </row>
    <row r="4123" spans="1:2" x14ac:dyDescent="0.25">
      <c r="A4123" t="s">
        <v>6677</v>
      </c>
      <c r="B4123" t="s">
        <v>6678</v>
      </c>
    </row>
    <row r="4124" spans="1:2" x14ac:dyDescent="0.25">
      <c r="A4124" t="s">
        <v>6679</v>
      </c>
      <c r="B4124" t="s">
        <v>6680</v>
      </c>
    </row>
    <row r="4125" spans="1:2" x14ac:dyDescent="0.25">
      <c r="A4125" t="s">
        <v>6681</v>
      </c>
      <c r="B4125" t="s">
        <v>6682</v>
      </c>
    </row>
    <row r="4126" spans="1:2" x14ac:dyDescent="0.25">
      <c r="A4126" t="s">
        <v>6683</v>
      </c>
      <c r="B4126" t="s">
        <v>6684</v>
      </c>
    </row>
    <row r="4127" spans="1:2" x14ac:dyDescent="0.25">
      <c r="A4127" t="s">
        <v>6685</v>
      </c>
      <c r="B4127" t="s">
        <v>6686</v>
      </c>
    </row>
    <row r="4128" spans="1:2" x14ac:dyDescent="0.25">
      <c r="A4128" t="s">
        <v>6687</v>
      </c>
      <c r="B4128" t="s">
        <v>6688</v>
      </c>
    </row>
    <row r="4129" spans="1:2" x14ac:dyDescent="0.25">
      <c r="A4129" t="s">
        <v>6689</v>
      </c>
      <c r="B4129" t="s">
        <v>6690</v>
      </c>
    </row>
    <row r="4130" spans="1:2" x14ac:dyDescent="0.25">
      <c r="A4130" t="s">
        <v>6691</v>
      </c>
      <c r="B4130" t="s">
        <v>6692</v>
      </c>
    </row>
    <row r="4131" spans="1:2" x14ac:dyDescent="0.25">
      <c r="A4131" t="s">
        <v>6693</v>
      </c>
      <c r="B4131" t="s">
        <v>6694</v>
      </c>
    </row>
    <row r="4132" spans="1:2" x14ac:dyDescent="0.25">
      <c r="A4132" t="s">
        <v>6695</v>
      </c>
      <c r="B4132" t="s">
        <v>6696</v>
      </c>
    </row>
    <row r="4133" spans="1:2" x14ac:dyDescent="0.25">
      <c r="A4133" t="s">
        <v>6697</v>
      </c>
      <c r="B4133" t="s">
        <v>6698</v>
      </c>
    </row>
    <row r="4134" spans="1:2" x14ac:dyDescent="0.25">
      <c r="A4134" t="s">
        <v>3142</v>
      </c>
      <c r="B4134" t="s">
        <v>3143</v>
      </c>
    </row>
    <row r="4135" spans="1:2" x14ac:dyDescent="0.25">
      <c r="A4135" t="s">
        <v>6699</v>
      </c>
      <c r="B4135" t="s">
        <v>6700</v>
      </c>
    </row>
    <row r="4136" spans="1:2" x14ac:dyDescent="0.25">
      <c r="A4136" t="s">
        <v>490</v>
      </c>
      <c r="B4136" t="s">
        <v>737</v>
      </c>
    </row>
    <row r="4137" spans="1:2" x14ac:dyDescent="0.25">
      <c r="A4137" t="s">
        <v>6701</v>
      </c>
      <c r="B4137" t="s">
        <v>6702</v>
      </c>
    </row>
    <row r="4138" spans="1:2" x14ac:dyDescent="0.25">
      <c r="A4138" t="s">
        <v>6703</v>
      </c>
      <c r="B4138" t="s">
        <v>6704</v>
      </c>
    </row>
    <row r="4139" spans="1:2" x14ac:dyDescent="0.25">
      <c r="A4139" t="s">
        <v>6705</v>
      </c>
      <c r="B4139" t="s">
        <v>6706</v>
      </c>
    </row>
    <row r="4140" spans="1:2" x14ac:dyDescent="0.25">
      <c r="A4140" t="s">
        <v>6707</v>
      </c>
      <c r="B4140" t="s">
        <v>6708</v>
      </c>
    </row>
    <row r="4141" spans="1:2" x14ac:dyDescent="0.25">
      <c r="A4141" t="s">
        <v>6709</v>
      </c>
      <c r="B4141" t="s">
        <v>6710</v>
      </c>
    </row>
    <row r="4142" spans="1:2" x14ac:dyDescent="0.25">
      <c r="A4142" t="s">
        <v>6711</v>
      </c>
      <c r="B4142" t="s">
        <v>6712</v>
      </c>
    </row>
    <row r="4143" spans="1:2" x14ac:dyDescent="0.25">
      <c r="A4143" t="s">
        <v>6713</v>
      </c>
      <c r="B4143" t="s">
        <v>6714</v>
      </c>
    </row>
    <row r="4144" spans="1:2" x14ac:dyDescent="0.25">
      <c r="A4144" t="s">
        <v>6715</v>
      </c>
      <c r="B4144" t="s">
        <v>6716</v>
      </c>
    </row>
    <row r="4145" spans="1:2" x14ac:dyDescent="0.25">
      <c r="A4145" t="s">
        <v>29</v>
      </c>
      <c r="B4145" t="s">
        <v>3145</v>
      </c>
    </row>
    <row r="4146" spans="1:2" x14ac:dyDescent="0.25">
      <c r="A4146" t="s">
        <v>6717</v>
      </c>
      <c r="B4146" t="s">
        <v>6718</v>
      </c>
    </row>
    <row r="4147" spans="1:2" x14ac:dyDescent="0.25">
      <c r="A4147" t="s">
        <v>6719</v>
      </c>
      <c r="B4147" t="s">
        <v>6720</v>
      </c>
    </row>
    <row r="4148" spans="1:2" x14ac:dyDescent="0.25">
      <c r="A4148" t="s">
        <v>3149</v>
      </c>
      <c r="B4148" t="s">
        <v>6721</v>
      </c>
    </row>
    <row r="4149" spans="1:2" x14ac:dyDescent="0.25">
      <c r="A4149" t="s">
        <v>6722</v>
      </c>
      <c r="B4149" t="s">
        <v>6723</v>
      </c>
    </row>
    <row r="4150" spans="1:2" x14ac:dyDescent="0.25">
      <c r="A4150" t="s">
        <v>6724</v>
      </c>
      <c r="B4150" t="s">
        <v>6725</v>
      </c>
    </row>
    <row r="4151" spans="1:2" x14ac:dyDescent="0.25">
      <c r="A4151" t="s">
        <v>6726</v>
      </c>
      <c r="B4151" t="s">
        <v>6727</v>
      </c>
    </row>
    <row r="4152" spans="1:2" x14ac:dyDescent="0.25">
      <c r="A4152" t="s">
        <v>6728</v>
      </c>
      <c r="B4152" t="s">
        <v>6729</v>
      </c>
    </row>
    <row r="4153" spans="1:2" x14ac:dyDescent="0.25">
      <c r="A4153" t="s">
        <v>6730</v>
      </c>
      <c r="B4153" t="s">
        <v>6731</v>
      </c>
    </row>
    <row r="4154" spans="1:2" x14ac:dyDescent="0.25">
      <c r="A4154" t="s">
        <v>6732</v>
      </c>
      <c r="B4154" t="s">
        <v>6733</v>
      </c>
    </row>
    <row r="4155" spans="1:2" x14ac:dyDescent="0.25">
      <c r="A4155" t="s">
        <v>6734</v>
      </c>
      <c r="B4155" t="s">
        <v>6735</v>
      </c>
    </row>
    <row r="4156" spans="1:2" x14ac:dyDescent="0.25">
      <c r="A4156" t="s">
        <v>6736</v>
      </c>
      <c r="B4156" t="s">
        <v>6737</v>
      </c>
    </row>
    <row r="4157" spans="1:2" x14ac:dyDescent="0.25">
      <c r="A4157" t="s">
        <v>6738</v>
      </c>
      <c r="B4157" t="s">
        <v>6739</v>
      </c>
    </row>
    <row r="4158" spans="1:2" x14ac:dyDescent="0.25">
      <c r="A4158" t="s">
        <v>6740</v>
      </c>
      <c r="B4158" t="s">
        <v>6741</v>
      </c>
    </row>
    <row r="4159" spans="1:2" x14ac:dyDescent="0.25">
      <c r="A4159" t="s">
        <v>6742</v>
      </c>
      <c r="B4159" t="s">
        <v>6743</v>
      </c>
    </row>
    <row r="4160" spans="1:2" x14ac:dyDescent="0.25">
      <c r="A4160" t="s">
        <v>6744</v>
      </c>
      <c r="B4160" t="s">
        <v>6745</v>
      </c>
    </row>
    <row r="4161" spans="1:2" x14ac:dyDescent="0.25">
      <c r="A4161" t="s">
        <v>6746</v>
      </c>
      <c r="B4161" t="s">
        <v>6747</v>
      </c>
    </row>
    <row r="4162" spans="1:2" x14ac:dyDescent="0.25">
      <c r="A4162" t="s">
        <v>3156</v>
      </c>
      <c r="B4162" t="s">
        <v>3157</v>
      </c>
    </row>
    <row r="4163" spans="1:2" x14ac:dyDescent="0.25">
      <c r="A4163" t="s">
        <v>6748</v>
      </c>
      <c r="B4163" t="s">
        <v>6749</v>
      </c>
    </row>
    <row r="4164" spans="1:2" x14ac:dyDescent="0.25">
      <c r="A4164" t="s">
        <v>6750</v>
      </c>
      <c r="B4164" t="s">
        <v>6751</v>
      </c>
    </row>
    <row r="4165" spans="1:2" x14ac:dyDescent="0.25">
      <c r="A4165" t="s">
        <v>6752</v>
      </c>
      <c r="B4165" t="s">
        <v>6753</v>
      </c>
    </row>
    <row r="4166" spans="1:2" x14ac:dyDescent="0.25">
      <c r="A4166" t="s">
        <v>6754</v>
      </c>
      <c r="B4166" t="s">
        <v>6755</v>
      </c>
    </row>
    <row r="4167" spans="1:2" x14ac:dyDescent="0.25">
      <c r="A4167" t="s">
        <v>6756</v>
      </c>
      <c r="B4167" t="s">
        <v>6757</v>
      </c>
    </row>
    <row r="4168" spans="1:2" x14ac:dyDescent="0.25">
      <c r="A4168" t="s">
        <v>6758</v>
      </c>
      <c r="B4168" t="s">
        <v>6759</v>
      </c>
    </row>
    <row r="4169" spans="1:2" x14ac:dyDescent="0.25">
      <c r="A4169" t="s">
        <v>6760</v>
      </c>
      <c r="B4169" t="s">
        <v>6761</v>
      </c>
    </row>
    <row r="4170" spans="1:2" x14ac:dyDescent="0.25">
      <c r="A4170" t="s">
        <v>6762</v>
      </c>
      <c r="B4170" t="s">
        <v>6763</v>
      </c>
    </row>
    <row r="4171" spans="1:2" x14ac:dyDescent="0.25">
      <c r="A4171" t="s">
        <v>6764</v>
      </c>
      <c r="B4171" t="s">
        <v>6765</v>
      </c>
    </row>
    <row r="4172" spans="1:2" x14ac:dyDescent="0.25">
      <c r="A4172" t="s">
        <v>6766</v>
      </c>
      <c r="B4172" t="s">
        <v>6767</v>
      </c>
    </row>
    <row r="4173" spans="1:2" x14ac:dyDescent="0.25">
      <c r="A4173" t="s">
        <v>2591</v>
      </c>
      <c r="B4173" t="s">
        <v>6768</v>
      </c>
    </row>
    <row r="4174" spans="1:2" x14ac:dyDescent="0.25">
      <c r="A4174" t="s">
        <v>6769</v>
      </c>
      <c r="B4174" t="s">
        <v>6770</v>
      </c>
    </row>
    <row r="4175" spans="1:2" x14ac:dyDescent="0.25">
      <c r="A4175" t="s">
        <v>6771</v>
      </c>
      <c r="B4175" t="s">
        <v>6772</v>
      </c>
    </row>
    <row r="4176" spans="1:2" x14ac:dyDescent="0.25">
      <c r="A4176" t="s">
        <v>1492</v>
      </c>
      <c r="B4176" t="s">
        <v>1493</v>
      </c>
    </row>
    <row r="4177" spans="1:2" x14ac:dyDescent="0.25">
      <c r="A4177" t="s">
        <v>6773</v>
      </c>
      <c r="B4177" t="s">
        <v>6774</v>
      </c>
    </row>
    <row r="4178" spans="1:2" x14ac:dyDescent="0.25">
      <c r="A4178" t="s">
        <v>6775</v>
      </c>
      <c r="B4178" t="s">
        <v>6776</v>
      </c>
    </row>
    <row r="4179" spans="1:2" x14ac:dyDescent="0.25">
      <c r="A4179" t="s">
        <v>6777</v>
      </c>
      <c r="B4179" t="s">
        <v>6778</v>
      </c>
    </row>
    <row r="4180" spans="1:2" x14ac:dyDescent="0.25">
      <c r="A4180" t="s">
        <v>6779</v>
      </c>
      <c r="B4180" t="s">
        <v>6780</v>
      </c>
    </row>
    <row r="4181" spans="1:2" x14ac:dyDescent="0.25">
      <c r="A4181" t="s">
        <v>2122</v>
      </c>
      <c r="B4181" t="s">
        <v>6781</v>
      </c>
    </row>
    <row r="4182" spans="1:2" x14ac:dyDescent="0.25">
      <c r="A4182" t="s">
        <v>3176</v>
      </c>
      <c r="B4182" t="s">
        <v>3177</v>
      </c>
    </row>
    <row r="4183" spans="1:2" x14ac:dyDescent="0.25">
      <c r="A4183" t="s">
        <v>6782</v>
      </c>
      <c r="B4183" t="s">
        <v>6783</v>
      </c>
    </row>
    <row r="4184" spans="1:2" x14ac:dyDescent="0.25">
      <c r="A4184" t="s">
        <v>6784</v>
      </c>
      <c r="B4184" t="s">
        <v>6785</v>
      </c>
    </row>
    <row r="4185" spans="1:2" x14ac:dyDescent="0.25">
      <c r="A4185" t="s">
        <v>6786</v>
      </c>
      <c r="B4185" t="s">
        <v>6787</v>
      </c>
    </row>
    <row r="4186" spans="1:2" x14ac:dyDescent="0.25">
      <c r="A4186" t="s">
        <v>6788</v>
      </c>
      <c r="B4186" t="s">
        <v>6789</v>
      </c>
    </row>
    <row r="4187" spans="1:2" x14ac:dyDescent="0.25">
      <c r="A4187" t="s">
        <v>6790</v>
      </c>
      <c r="B4187" t="s">
        <v>6791</v>
      </c>
    </row>
    <row r="4188" spans="1:2" x14ac:dyDescent="0.25">
      <c r="A4188" t="s">
        <v>6792</v>
      </c>
      <c r="B4188" t="s">
        <v>6793</v>
      </c>
    </row>
    <row r="4189" spans="1:2" x14ac:dyDescent="0.25">
      <c r="A4189" t="s">
        <v>6794</v>
      </c>
      <c r="B4189" t="s">
        <v>6795</v>
      </c>
    </row>
    <row r="4190" spans="1:2" x14ac:dyDescent="0.25">
      <c r="A4190" t="s">
        <v>6796</v>
      </c>
      <c r="B4190" t="s">
        <v>6797</v>
      </c>
    </row>
    <row r="4191" spans="1:2" x14ac:dyDescent="0.25">
      <c r="A4191" t="s">
        <v>6798</v>
      </c>
      <c r="B4191" t="s">
        <v>6799</v>
      </c>
    </row>
    <row r="4192" spans="1:2" x14ac:dyDescent="0.25">
      <c r="A4192" t="s">
        <v>6800</v>
      </c>
      <c r="B4192" t="s">
        <v>6801</v>
      </c>
    </row>
    <row r="4193" spans="1:2" x14ac:dyDescent="0.25">
      <c r="A4193" t="s">
        <v>6802</v>
      </c>
      <c r="B4193" t="s">
        <v>6803</v>
      </c>
    </row>
    <row r="4194" spans="1:2" x14ac:dyDescent="0.25">
      <c r="A4194" t="s">
        <v>6804</v>
      </c>
      <c r="B4194" t="s">
        <v>6805</v>
      </c>
    </row>
    <row r="4195" spans="1:2" x14ac:dyDescent="0.25">
      <c r="A4195" t="s">
        <v>6806</v>
      </c>
      <c r="B4195" t="s">
        <v>6807</v>
      </c>
    </row>
    <row r="4196" spans="1:2" x14ac:dyDescent="0.25">
      <c r="A4196" t="s">
        <v>6808</v>
      </c>
      <c r="B4196" t="s">
        <v>6809</v>
      </c>
    </row>
    <row r="4197" spans="1:2" x14ac:dyDescent="0.25">
      <c r="A4197" t="s">
        <v>6810</v>
      </c>
      <c r="B4197" t="s">
        <v>6811</v>
      </c>
    </row>
    <row r="4198" spans="1:2" x14ac:dyDescent="0.25">
      <c r="A4198" t="s">
        <v>6812</v>
      </c>
      <c r="B4198" t="s">
        <v>6813</v>
      </c>
    </row>
    <row r="4199" spans="1:2" x14ac:dyDescent="0.25">
      <c r="A4199" t="s">
        <v>6814</v>
      </c>
      <c r="B4199" t="s">
        <v>6815</v>
      </c>
    </row>
    <row r="4200" spans="1:2" x14ac:dyDescent="0.25">
      <c r="A4200" t="s">
        <v>6816</v>
      </c>
      <c r="B4200" t="s">
        <v>6817</v>
      </c>
    </row>
    <row r="4201" spans="1:2" x14ac:dyDescent="0.25">
      <c r="A4201" t="s">
        <v>6818</v>
      </c>
      <c r="B4201" t="s">
        <v>6819</v>
      </c>
    </row>
    <row r="4202" spans="1:2" x14ac:dyDescent="0.25">
      <c r="A4202" t="s">
        <v>6820</v>
      </c>
      <c r="B4202" t="s">
        <v>6821</v>
      </c>
    </row>
    <row r="4203" spans="1:2" x14ac:dyDescent="0.25">
      <c r="A4203" t="s">
        <v>6822</v>
      </c>
      <c r="B4203" t="s">
        <v>6823</v>
      </c>
    </row>
    <row r="4204" spans="1:2" x14ac:dyDescent="0.25">
      <c r="A4204" t="s">
        <v>6824</v>
      </c>
      <c r="B4204" t="s">
        <v>6825</v>
      </c>
    </row>
    <row r="4205" spans="1:2" x14ac:dyDescent="0.25">
      <c r="A4205" t="s">
        <v>6826</v>
      </c>
      <c r="B4205" t="s">
        <v>6827</v>
      </c>
    </row>
    <row r="4206" spans="1:2" x14ac:dyDescent="0.25">
      <c r="A4206" t="s">
        <v>6828</v>
      </c>
      <c r="B4206" t="s">
        <v>6829</v>
      </c>
    </row>
    <row r="4207" spans="1:2" x14ac:dyDescent="0.25">
      <c r="A4207" t="s">
        <v>3186</v>
      </c>
      <c r="B4207" t="s">
        <v>3187</v>
      </c>
    </row>
    <row r="4208" spans="1:2" x14ac:dyDescent="0.25">
      <c r="A4208" t="s">
        <v>6830</v>
      </c>
      <c r="B4208" t="s">
        <v>6831</v>
      </c>
    </row>
    <row r="4209" spans="1:2" x14ac:dyDescent="0.25">
      <c r="A4209" t="s">
        <v>6832</v>
      </c>
      <c r="B4209" t="s">
        <v>6833</v>
      </c>
    </row>
    <row r="4210" spans="1:2" x14ac:dyDescent="0.25">
      <c r="A4210" t="s">
        <v>6834</v>
      </c>
      <c r="B4210" t="s">
        <v>6835</v>
      </c>
    </row>
    <row r="4211" spans="1:2" x14ac:dyDescent="0.25">
      <c r="A4211" t="s">
        <v>6836</v>
      </c>
      <c r="B4211" t="s">
        <v>6837</v>
      </c>
    </row>
    <row r="4212" spans="1:2" x14ac:dyDescent="0.25">
      <c r="A4212" t="s">
        <v>6838</v>
      </c>
      <c r="B4212" t="s">
        <v>6839</v>
      </c>
    </row>
    <row r="4213" spans="1:2" x14ac:dyDescent="0.25">
      <c r="A4213" t="s">
        <v>6840</v>
      </c>
      <c r="B4213" t="s">
        <v>6841</v>
      </c>
    </row>
    <row r="4214" spans="1:2" x14ac:dyDescent="0.25">
      <c r="A4214" t="s">
        <v>3192</v>
      </c>
      <c r="B4214" t="s">
        <v>6842</v>
      </c>
    </row>
    <row r="4215" spans="1:2" x14ac:dyDescent="0.25">
      <c r="A4215" t="s">
        <v>6843</v>
      </c>
      <c r="B4215" t="s">
        <v>6844</v>
      </c>
    </row>
    <row r="4216" spans="1:2" x14ac:dyDescent="0.25">
      <c r="A4216" t="s">
        <v>1638</v>
      </c>
      <c r="B4216" t="s">
        <v>6845</v>
      </c>
    </row>
    <row r="4217" spans="1:2" x14ac:dyDescent="0.25">
      <c r="A4217" t="s">
        <v>6846</v>
      </c>
      <c r="B4217" t="s">
        <v>6847</v>
      </c>
    </row>
    <row r="4218" spans="1:2" x14ac:dyDescent="0.25">
      <c r="A4218" t="s">
        <v>6848</v>
      </c>
      <c r="B4218" t="s">
        <v>6849</v>
      </c>
    </row>
    <row r="4219" spans="1:2" x14ac:dyDescent="0.25">
      <c r="A4219" t="s">
        <v>3196</v>
      </c>
      <c r="B4219" t="s">
        <v>3197</v>
      </c>
    </row>
    <row r="4220" spans="1:2" x14ac:dyDescent="0.25">
      <c r="A4220" t="s">
        <v>6850</v>
      </c>
      <c r="B4220" t="s">
        <v>6851</v>
      </c>
    </row>
    <row r="4221" spans="1:2" x14ac:dyDescent="0.25">
      <c r="A4221" t="s">
        <v>6852</v>
      </c>
      <c r="B4221" t="s">
        <v>6853</v>
      </c>
    </row>
    <row r="4222" spans="1:2" x14ac:dyDescent="0.25">
      <c r="A4222" t="s">
        <v>6854</v>
      </c>
      <c r="B4222" t="s">
        <v>6855</v>
      </c>
    </row>
    <row r="4223" spans="1:2" x14ac:dyDescent="0.25">
      <c r="A4223" t="s">
        <v>6856</v>
      </c>
      <c r="B4223" t="s">
        <v>6857</v>
      </c>
    </row>
    <row r="4224" spans="1:2" x14ac:dyDescent="0.25">
      <c r="A4224" t="s">
        <v>6858</v>
      </c>
      <c r="B4224" t="s">
        <v>6859</v>
      </c>
    </row>
    <row r="4225" spans="1:2" x14ac:dyDescent="0.25">
      <c r="A4225" t="s">
        <v>6860</v>
      </c>
      <c r="B4225" t="s">
        <v>6861</v>
      </c>
    </row>
    <row r="4226" spans="1:2" x14ac:dyDescent="0.25">
      <c r="A4226" t="s">
        <v>6862</v>
      </c>
      <c r="B4226" t="s">
        <v>6863</v>
      </c>
    </row>
    <row r="4227" spans="1:2" x14ac:dyDescent="0.25">
      <c r="A4227" t="s">
        <v>6864</v>
      </c>
      <c r="B4227" t="s">
        <v>6865</v>
      </c>
    </row>
    <row r="4228" spans="1:2" x14ac:dyDescent="0.25">
      <c r="A4228" t="s">
        <v>6866</v>
      </c>
      <c r="B4228" t="s">
        <v>6867</v>
      </c>
    </row>
    <row r="4229" spans="1:2" x14ac:dyDescent="0.25">
      <c r="A4229" t="s">
        <v>35</v>
      </c>
      <c r="B4229" t="s">
        <v>6868</v>
      </c>
    </row>
    <row r="4230" spans="1:2" x14ac:dyDescent="0.25">
      <c r="A4230" t="s">
        <v>6869</v>
      </c>
      <c r="B4230" t="s">
        <v>6870</v>
      </c>
    </row>
    <row r="4231" spans="1:2" x14ac:dyDescent="0.25">
      <c r="A4231" t="s">
        <v>6871</v>
      </c>
      <c r="B4231" t="s">
        <v>6872</v>
      </c>
    </row>
    <row r="4232" spans="1:2" x14ac:dyDescent="0.25">
      <c r="A4232" t="s">
        <v>6873</v>
      </c>
      <c r="B4232" t="s">
        <v>6874</v>
      </c>
    </row>
    <row r="4233" spans="1:2" x14ac:dyDescent="0.25">
      <c r="A4233" t="s">
        <v>6875</v>
      </c>
      <c r="B4233" t="s">
        <v>6876</v>
      </c>
    </row>
    <row r="4234" spans="1:2" x14ac:dyDescent="0.25">
      <c r="A4234" t="s">
        <v>6877</v>
      </c>
      <c r="B4234" t="s">
        <v>6878</v>
      </c>
    </row>
    <row r="4235" spans="1:2" x14ac:dyDescent="0.25">
      <c r="A4235" t="s">
        <v>6879</v>
      </c>
      <c r="B4235" t="s">
        <v>6880</v>
      </c>
    </row>
    <row r="4236" spans="1:2" x14ac:dyDescent="0.25">
      <c r="A4236" t="s">
        <v>6881</v>
      </c>
      <c r="B4236" t="s">
        <v>6882</v>
      </c>
    </row>
    <row r="4237" spans="1:2" x14ac:dyDescent="0.25">
      <c r="A4237" t="s">
        <v>6883</v>
      </c>
      <c r="B4237" t="s">
        <v>6884</v>
      </c>
    </row>
    <row r="4238" spans="1:2" x14ac:dyDescent="0.25">
      <c r="A4238" t="s">
        <v>6885</v>
      </c>
      <c r="B4238" t="s">
        <v>6886</v>
      </c>
    </row>
    <row r="4239" spans="1:2" x14ac:dyDescent="0.25">
      <c r="A4239" t="s">
        <v>3215</v>
      </c>
      <c r="B4239" t="s">
        <v>3216</v>
      </c>
    </row>
    <row r="4240" spans="1:2" x14ac:dyDescent="0.25">
      <c r="A4240" t="s">
        <v>6887</v>
      </c>
      <c r="B4240" t="s">
        <v>6888</v>
      </c>
    </row>
    <row r="4241" spans="1:2" x14ac:dyDescent="0.25">
      <c r="A4241" t="s">
        <v>6889</v>
      </c>
      <c r="B4241" t="s">
        <v>6890</v>
      </c>
    </row>
    <row r="4242" spans="1:2" x14ac:dyDescent="0.25">
      <c r="A4242" t="s">
        <v>3219</v>
      </c>
      <c r="B4242" t="s">
        <v>3220</v>
      </c>
    </row>
    <row r="4243" spans="1:2" x14ac:dyDescent="0.25">
      <c r="A4243" t="s">
        <v>6891</v>
      </c>
      <c r="B4243" t="s">
        <v>6892</v>
      </c>
    </row>
    <row r="4244" spans="1:2" x14ac:dyDescent="0.25">
      <c r="A4244" t="s">
        <v>3223</v>
      </c>
      <c r="B4244" t="s">
        <v>6893</v>
      </c>
    </row>
    <row r="4245" spans="1:2" x14ac:dyDescent="0.25">
      <c r="A4245" t="s">
        <v>6894</v>
      </c>
      <c r="B4245" t="s">
        <v>6895</v>
      </c>
    </row>
    <row r="4246" spans="1:2" x14ac:dyDescent="0.25">
      <c r="A4246" t="s">
        <v>6896</v>
      </c>
      <c r="B4246" t="s">
        <v>6897</v>
      </c>
    </row>
    <row r="4247" spans="1:2" x14ac:dyDescent="0.25">
      <c r="A4247" t="s">
        <v>6898</v>
      </c>
      <c r="B4247" t="s">
        <v>6899</v>
      </c>
    </row>
    <row r="4248" spans="1:2" x14ac:dyDescent="0.25">
      <c r="A4248" t="s">
        <v>6900</v>
      </c>
      <c r="B4248" t="s">
        <v>6901</v>
      </c>
    </row>
    <row r="4249" spans="1:2" x14ac:dyDescent="0.25">
      <c r="A4249" t="s">
        <v>6902</v>
      </c>
      <c r="B4249" t="s">
        <v>6903</v>
      </c>
    </row>
    <row r="4250" spans="1:2" x14ac:dyDescent="0.25">
      <c r="A4250" t="s">
        <v>6904</v>
      </c>
      <c r="B4250" t="s">
        <v>6905</v>
      </c>
    </row>
    <row r="4251" spans="1:2" x14ac:dyDescent="0.25">
      <c r="A4251" t="s">
        <v>6906</v>
      </c>
      <c r="B4251" t="s">
        <v>6907</v>
      </c>
    </row>
    <row r="4252" spans="1:2" x14ac:dyDescent="0.25">
      <c r="A4252" t="s">
        <v>3231</v>
      </c>
      <c r="B4252" t="s">
        <v>3232</v>
      </c>
    </row>
    <row r="4253" spans="1:2" x14ac:dyDescent="0.25">
      <c r="A4253" t="s">
        <v>6908</v>
      </c>
      <c r="B4253" t="s">
        <v>6909</v>
      </c>
    </row>
    <row r="4254" spans="1:2" x14ac:dyDescent="0.25">
      <c r="A4254" t="s">
        <v>6910</v>
      </c>
      <c r="B4254" t="s">
        <v>6911</v>
      </c>
    </row>
    <row r="4255" spans="1:2" x14ac:dyDescent="0.25">
      <c r="A4255" t="s">
        <v>6912</v>
      </c>
      <c r="B4255" t="s">
        <v>6913</v>
      </c>
    </row>
    <row r="4256" spans="1:2" x14ac:dyDescent="0.25">
      <c r="A4256" t="s">
        <v>6914</v>
      </c>
      <c r="B4256" t="s">
        <v>6915</v>
      </c>
    </row>
    <row r="4257" spans="1:2" x14ac:dyDescent="0.25">
      <c r="A4257" t="s">
        <v>3502</v>
      </c>
      <c r="B4257" t="s">
        <v>6916</v>
      </c>
    </row>
    <row r="4258" spans="1:2" x14ac:dyDescent="0.25">
      <c r="A4258" t="s">
        <v>6917</v>
      </c>
      <c r="B4258" t="s">
        <v>6918</v>
      </c>
    </row>
    <row r="4259" spans="1:2" x14ac:dyDescent="0.25">
      <c r="A4259" t="s">
        <v>6919</v>
      </c>
      <c r="B4259" t="s">
        <v>6920</v>
      </c>
    </row>
    <row r="4260" spans="1:2" x14ac:dyDescent="0.25">
      <c r="A4260" t="s">
        <v>6921</v>
      </c>
      <c r="B4260" t="s">
        <v>6922</v>
      </c>
    </row>
    <row r="4261" spans="1:2" x14ac:dyDescent="0.25">
      <c r="A4261" t="s">
        <v>6923</v>
      </c>
      <c r="B4261" t="s">
        <v>6924</v>
      </c>
    </row>
    <row r="4262" spans="1:2" x14ac:dyDescent="0.25">
      <c r="A4262" t="s">
        <v>6925</v>
      </c>
      <c r="B4262" t="s">
        <v>6926</v>
      </c>
    </row>
    <row r="4263" spans="1:2" x14ac:dyDescent="0.25">
      <c r="A4263" t="s">
        <v>6927</v>
      </c>
      <c r="B4263" t="s">
        <v>6928</v>
      </c>
    </row>
    <row r="4264" spans="1:2" x14ac:dyDescent="0.25">
      <c r="A4264" t="s">
        <v>115</v>
      </c>
      <c r="B4264" t="s">
        <v>6929</v>
      </c>
    </row>
    <row r="4265" spans="1:2" x14ac:dyDescent="0.25">
      <c r="A4265" t="s">
        <v>6930</v>
      </c>
      <c r="B4265" t="s">
        <v>6931</v>
      </c>
    </row>
    <row r="4266" spans="1:2" x14ac:dyDescent="0.25">
      <c r="A4266" t="s">
        <v>6932</v>
      </c>
      <c r="B4266" t="s">
        <v>6933</v>
      </c>
    </row>
    <row r="4267" spans="1:2" x14ac:dyDescent="0.25">
      <c r="A4267" t="s">
        <v>6934</v>
      </c>
      <c r="B4267" t="s">
        <v>6935</v>
      </c>
    </row>
    <row r="4268" spans="1:2" x14ac:dyDescent="0.25">
      <c r="A4268" t="s">
        <v>6936</v>
      </c>
      <c r="B4268" t="s">
        <v>6937</v>
      </c>
    </row>
    <row r="4269" spans="1:2" x14ac:dyDescent="0.25">
      <c r="A4269" t="s">
        <v>6938</v>
      </c>
      <c r="B4269" t="s">
        <v>6939</v>
      </c>
    </row>
    <row r="4270" spans="1:2" x14ac:dyDescent="0.25">
      <c r="A4270" t="s">
        <v>6940</v>
      </c>
      <c r="B4270" t="s">
        <v>6941</v>
      </c>
    </row>
    <row r="4271" spans="1:2" x14ac:dyDescent="0.25">
      <c r="A4271" t="s">
        <v>6942</v>
      </c>
      <c r="B4271" t="s">
        <v>6943</v>
      </c>
    </row>
    <row r="4272" spans="1:2" x14ac:dyDescent="0.25">
      <c r="A4272" t="s">
        <v>6944</v>
      </c>
      <c r="B4272" t="s">
        <v>6945</v>
      </c>
    </row>
    <row r="4273" spans="1:2" x14ac:dyDescent="0.25">
      <c r="A4273" t="s">
        <v>6946</v>
      </c>
      <c r="B4273" t="s">
        <v>6947</v>
      </c>
    </row>
    <row r="4274" spans="1:2" x14ac:dyDescent="0.25">
      <c r="A4274" t="s">
        <v>6948</v>
      </c>
      <c r="B4274" t="s">
        <v>6949</v>
      </c>
    </row>
    <row r="4275" spans="1:2" x14ac:dyDescent="0.25">
      <c r="A4275" t="s">
        <v>6950</v>
      </c>
      <c r="B4275" t="s">
        <v>6951</v>
      </c>
    </row>
    <row r="4276" spans="1:2" x14ac:dyDescent="0.25">
      <c r="A4276" t="s">
        <v>6952</v>
      </c>
      <c r="B4276" t="s">
        <v>6953</v>
      </c>
    </row>
    <row r="4277" spans="1:2" x14ac:dyDescent="0.25">
      <c r="A4277" t="s">
        <v>6954</v>
      </c>
      <c r="B4277" t="s">
        <v>6955</v>
      </c>
    </row>
    <row r="4278" spans="1:2" x14ac:dyDescent="0.25">
      <c r="A4278" t="s">
        <v>6956</v>
      </c>
      <c r="B4278" t="s">
        <v>6957</v>
      </c>
    </row>
    <row r="4279" spans="1:2" x14ac:dyDescent="0.25">
      <c r="A4279" t="s">
        <v>6958</v>
      </c>
      <c r="B4279" t="s">
        <v>6959</v>
      </c>
    </row>
    <row r="4280" spans="1:2" x14ac:dyDescent="0.25">
      <c r="A4280" t="s">
        <v>3247</v>
      </c>
      <c r="B4280" t="s">
        <v>3248</v>
      </c>
    </row>
    <row r="4281" spans="1:2" x14ac:dyDescent="0.25">
      <c r="A4281" t="s">
        <v>6960</v>
      </c>
      <c r="B4281" t="s">
        <v>6961</v>
      </c>
    </row>
    <row r="4282" spans="1:2" x14ac:dyDescent="0.25">
      <c r="A4282" t="s">
        <v>6962</v>
      </c>
      <c r="B4282" t="s">
        <v>6963</v>
      </c>
    </row>
    <row r="4283" spans="1:2" x14ac:dyDescent="0.25">
      <c r="A4283" t="s">
        <v>6964</v>
      </c>
      <c r="B4283" t="s">
        <v>6965</v>
      </c>
    </row>
    <row r="4284" spans="1:2" x14ac:dyDescent="0.25">
      <c r="A4284" t="s">
        <v>3253</v>
      </c>
      <c r="B4284" t="s">
        <v>3254</v>
      </c>
    </row>
    <row r="4285" spans="1:2" x14ac:dyDescent="0.25">
      <c r="A4285" t="s">
        <v>6966</v>
      </c>
      <c r="B4285" t="s">
        <v>6967</v>
      </c>
    </row>
    <row r="4286" spans="1:2" x14ac:dyDescent="0.25">
      <c r="A4286" t="s">
        <v>6968</v>
      </c>
      <c r="B4286" t="s">
        <v>6969</v>
      </c>
    </row>
    <row r="4287" spans="1:2" x14ac:dyDescent="0.25">
      <c r="A4287" t="s">
        <v>3257</v>
      </c>
      <c r="B4287" t="s">
        <v>3258</v>
      </c>
    </row>
    <row r="4288" spans="1:2" x14ac:dyDescent="0.25">
      <c r="A4288" t="s">
        <v>6970</v>
      </c>
      <c r="B4288" t="s">
        <v>6971</v>
      </c>
    </row>
    <row r="4289" spans="1:2" x14ac:dyDescent="0.25">
      <c r="A4289" t="s">
        <v>6972</v>
      </c>
      <c r="B4289" t="s">
        <v>6973</v>
      </c>
    </row>
    <row r="4290" spans="1:2" x14ac:dyDescent="0.25">
      <c r="A4290" t="s">
        <v>6974</v>
      </c>
      <c r="B4290" t="s">
        <v>6975</v>
      </c>
    </row>
    <row r="4291" spans="1:2" x14ac:dyDescent="0.25">
      <c r="A4291" t="s">
        <v>6976</v>
      </c>
      <c r="B4291" t="s">
        <v>6977</v>
      </c>
    </row>
    <row r="4292" spans="1:2" x14ac:dyDescent="0.25">
      <c r="A4292" t="s">
        <v>6978</v>
      </c>
      <c r="B4292" t="s">
        <v>6979</v>
      </c>
    </row>
    <row r="4293" spans="1:2" x14ac:dyDescent="0.25">
      <c r="A4293" t="s">
        <v>6980</v>
      </c>
      <c r="B4293" t="s">
        <v>6981</v>
      </c>
    </row>
    <row r="4294" spans="1:2" x14ac:dyDescent="0.25">
      <c r="A4294" t="s">
        <v>6982</v>
      </c>
      <c r="B4294" t="s">
        <v>6983</v>
      </c>
    </row>
    <row r="4295" spans="1:2" x14ac:dyDescent="0.25">
      <c r="A4295" t="s">
        <v>3261</v>
      </c>
      <c r="B4295" t="s">
        <v>3262</v>
      </c>
    </row>
    <row r="4296" spans="1:2" x14ac:dyDescent="0.25">
      <c r="A4296" t="s">
        <v>6984</v>
      </c>
      <c r="B4296" t="s">
        <v>6985</v>
      </c>
    </row>
    <row r="4297" spans="1:2" x14ac:dyDescent="0.25">
      <c r="A4297" t="s">
        <v>6986</v>
      </c>
      <c r="B4297" t="s">
        <v>6987</v>
      </c>
    </row>
    <row r="4298" spans="1:2" x14ac:dyDescent="0.25">
      <c r="A4298" t="s">
        <v>6988</v>
      </c>
      <c r="B4298" t="s">
        <v>6989</v>
      </c>
    </row>
    <row r="4299" spans="1:2" x14ac:dyDescent="0.25">
      <c r="A4299" t="s">
        <v>6990</v>
      </c>
      <c r="B4299" t="s">
        <v>6991</v>
      </c>
    </row>
    <row r="4300" spans="1:2" x14ac:dyDescent="0.25">
      <c r="A4300" t="s">
        <v>6992</v>
      </c>
      <c r="B4300" t="s">
        <v>6993</v>
      </c>
    </row>
    <row r="4301" spans="1:2" x14ac:dyDescent="0.25">
      <c r="A4301" t="s">
        <v>6994</v>
      </c>
      <c r="B4301" t="s">
        <v>6995</v>
      </c>
    </row>
    <row r="4302" spans="1:2" x14ac:dyDescent="0.25">
      <c r="A4302" t="s">
        <v>334</v>
      </c>
      <c r="B4302" t="s">
        <v>3281</v>
      </c>
    </row>
    <row r="4303" spans="1:2" x14ac:dyDescent="0.25">
      <c r="A4303" t="s">
        <v>6996</v>
      </c>
      <c r="B4303" t="s">
        <v>6997</v>
      </c>
    </row>
    <row r="4304" spans="1:2" x14ac:dyDescent="0.25">
      <c r="A4304" t="s">
        <v>6998</v>
      </c>
      <c r="B4304" t="s">
        <v>6999</v>
      </c>
    </row>
    <row r="4305" spans="1:2" x14ac:dyDescent="0.25">
      <c r="A4305" t="s">
        <v>7000</v>
      </c>
      <c r="B4305" t="s">
        <v>7001</v>
      </c>
    </row>
    <row r="4306" spans="1:2" x14ac:dyDescent="0.25">
      <c r="A4306" t="s">
        <v>7002</v>
      </c>
      <c r="B4306" t="s">
        <v>7003</v>
      </c>
    </row>
    <row r="4307" spans="1:2" x14ac:dyDescent="0.25">
      <c r="A4307" t="s">
        <v>7004</v>
      </c>
      <c r="B4307" t="s">
        <v>7005</v>
      </c>
    </row>
    <row r="4308" spans="1:2" x14ac:dyDescent="0.25">
      <c r="A4308" t="s">
        <v>7006</v>
      </c>
      <c r="B4308" t="s">
        <v>7007</v>
      </c>
    </row>
    <row r="4309" spans="1:2" x14ac:dyDescent="0.25">
      <c r="A4309" t="s">
        <v>742</v>
      </c>
      <c r="B4309" t="s">
        <v>7008</v>
      </c>
    </row>
    <row r="4310" spans="1:2" x14ac:dyDescent="0.25">
      <c r="A4310" t="s">
        <v>7009</v>
      </c>
      <c r="B4310" t="s">
        <v>7010</v>
      </c>
    </row>
    <row r="4311" spans="1:2" x14ac:dyDescent="0.25">
      <c r="A4311" t="s">
        <v>7011</v>
      </c>
      <c r="B4311" t="s">
        <v>7012</v>
      </c>
    </row>
    <row r="4312" spans="1:2" x14ac:dyDescent="0.25">
      <c r="A4312" t="s">
        <v>7013</v>
      </c>
      <c r="B4312" t="s">
        <v>7014</v>
      </c>
    </row>
    <row r="4313" spans="1:2" x14ac:dyDescent="0.25">
      <c r="A4313" t="s">
        <v>7015</v>
      </c>
      <c r="B4313" t="s">
        <v>7016</v>
      </c>
    </row>
    <row r="4314" spans="1:2" x14ac:dyDescent="0.25">
      <c r="A4314" t="s">
        <v>7017</v>
      </c>
      <c r="B4314" t="s">
        <v>7018</v>
      </c>
    </row>
    <row r="4315" spans="1:2" x14ac:dyDescent="0.25">
      <c r="A4315" t="s">
        <v>7019</v>
      </c>
      <c r="B4315" t="s">
        <v>7020</v>
      </c>
    </row>
    <row r="4316" spans="1:2" x14ac:dyDescent="0.25">
      <c r="A4316" t="s">
        <v>7021</v>
      </c>
      <c r="B4316" t="s">
        <v>7022</v>
      </c>
    </row>
    <row r="4317" spans="1:2" x14ac:dyDescent="0.25">
      <c r="A4317" t="s">
        <v>7023</v>
      </c>
      <c r="B4317" t="s">
        <v>7024</v>
      </c>
    </row>
    <row r="4318" spans="1:2" x14ac:dyDescent="0.25">
      <c r="A4318" t="s">
        <v>7025</v>
      </c>
      <c r="B4318" t="s">
        <v>7026</v>
      </c>
    </row>
    <row r="4319" spans="1:2" x14ac:dyDescent="0.25">
      <c r="A4319" t="s">
        <v>7027</v>
      </c>
      <c r="B4319" t="s">
        <v>7028</v>
      </c>
    </row>
    <row r="4320" spans="1:2" x14ac:dyDescent="0.25">
      <c r="A4320" t="s">
        <v>7029</v>
      </c>
      <c r="B4320" t="s">
        <v>7030</v>
      </c>
    </row>
    <row r="4321" spans="1:2" x14ac:dyDescent="0.25">
      <c r="A4321" t="s">
        <v>7031</v>
      </c>
      <c r="B4321" t="s">
        <v>7032</v>
      </c>
    </row>
    <row r="4322" spans="1:2" x14ac:dyDescent="0.25">
      <c r="A4322" t="s">
        <v>7033</v>
      </c>
      <c r="B4322" t="s">
        <v>7034</v>
      </c>
    </row>
    <row r="4323" spans="1:2" x14ac:dyDescent="0.25">
      <c r="A4323" t="s">
        <v>7035</v>
      </c>
      <c r="B4323" t="s">
        <v>7036</v>
      </c>
    </row>
    <row r="4324" spans="1:2" x14ac:dyDescent="0.25">
      <c r="A4324" t="s">
        <v>1534</v>
      </c>
      <c r="B4324" t="s">
        <v>7037</v>
      </c>
    </row>
    <row r="4325" spans="1:2" x14ac:dyDescent="0.25">
      <c r="A4325" t="s">
        <v>7038</v>
      </c>
      <c r="B4325" t="s">
        <v>7039</v>
      </c>
    </row>
    <row r="4326" spans="1:2" x14ac:dyDescent="0.25">
      <c r="A4326" t="s">
        <v>7040</v>
      </c>
      <c r="B4326" t="s">
        <v>7041</v>
      </c>
    </row>
    <row r="4327" spans="1:2" x14ac:dyDescent="0.25">
      <c r="A4327" t="s">
        <v>254</v>
      </c>
      <c r="B4327" t="s">
        <v>3286</v>
      </c>
    </row>
    <row r="4328" spans="1:2" x14ac:dyDescent="0.25">
      <c r="A4328" t="s">
        <v>7042</v>
      </c>
      <c r="B4328" t="s">
        <v>7043</v>
      </c>
    </row>
    <row r="4329" spans="1:2" x14ac:dyDescent="0.25">
      <c r="A4329" t="s">
        <v>7044</v>
      </c>
      <c r="B4329" t="s">
        <v>7045</v>
      </c>
    </row>
    <row r="4330" spans="1:2" x14ac:dyDescent="0.25">
      <c r="A4330" t="s">
        <v>7046</v>
      </c>
      <c r="B4330" t="s">
        <v>7047</v>
      </c>
    </row>
    <row r="4331" spans="1:2" x14ac:dyDescent="0.25">
      <c r="A4331" t="s">
        <v>7048</v>
      </c>
      <c r="B4331" t="s">
        <v>7049</v>
      </c>
    </row>
    <row r="4332" spans="1:2" x14ac:dyDescent="0.25">
      <c r="A4332" t="s">
        <v>3295</v>
      </c>
      <c r="B4332" t="s">
        <v>3296</v>
      </c>
    </row>
    <row r="4333" spans="1:2" x14ac:dyDescent="0.25">
      <c r="A4333" t="s">
        <v>7050</v>
      </c>
      <c r="B4333" t="s">
        <v>7051</v>
      </c>
    </row>
    <row r="4334" spans="1:2" x14ac:dyDescent="0.25">
      <c r="A4334" t="s">
        <v>7052</v>
      </c>
      <c r="B4334" t="s">
        <v>7053</v>
      </c>
    </row>
    <row r="4335" spans="1:2" x14ac:dyDescent="0.25">
      <c r="A4335" t="s">
        <v>7054</v>
      </c>
      <c r="B4335" t="s">
        <v>7055</v>
      </c>
    </row>
    <row r="4336" spans="1:2" x14ac:dyDescent="0.25">
      <c r="A4336" t="s">
        <v>7056</v>
      </c>
      <c r="B4336" t="s">
        <v>7057</v>
      </c>
    </row>
    <row r="4337" spans="1:2" x14ac:dyDescent="0.25">
      <c r="A4337" t="s">
        <v>3297</v>
      </c>
      <c r="B4337" t="s">
        <v>7058</v>
      </c>
    </row>
    <row r="4338" spans="1:2" x14ac:dyDescent="0.25">
      <c r="A4338" t="s">
        <v>7059</v>
      </c>
      <c r="B4338" t="s">
        <v>7060</v>
      </c>
    </row>
    <row r="4339" spans="1:2" x14ac:dyDescent="0.25">
      <c r="A4339" t="s">
        <v>7061</v>
      </c>
      <c r="B4339" t="s">
        <v>7062</v>
      </c>
    </row>
    <row r="4340" spans="1:2" x14ac:dyDescent="0.25">
      <c r="A4340" t="s">
        <v>7063</v>
      </c>
      <c r="B4340" t="s">
        <v>7064</v>
      </c>
    </row>
    <row r="4341" spans="1:2" x14ac:dyDescent="0.25">
      <c r="A4341" t="s">
        <v>3307</v>
      </c>
      <c r="B4341" t="s">
        <v>7065</v>
      </c>
    </row>
    <row r="4342" spans="1:2" x14ac:dyDescent="0.25">
      <c r="A4342" t="s">
        <v>3311</v>
      </c>
      <c r="B4342" t="s">
        <v>3312</v>
      </c>
    </row>
    <row r="4343" spans="1:2" x14ac:dyDescent="0.25">
      <c r="A4343" t="s">
        <v>7066</v>
      </c>
      <c r="B4343" t="s">
        <v>7067</v>
      </c>
    </row>
    <row r="4344" spans="1:2" x14ac:dyDescent="0.25">
      <c r="A4344" t="s">
        <v>7068</v>
      </c>
      <c r="B4344" t="s">
        <v>7069</v>
      </c>
    </row>
    <row r="4345" spans="1:2" x14ac:dyDescent="0.25">
      <c r="A4345" t="s">
        <v>7070</v>
      </c>
      <c r="B4345" t="s">
        <v>7071</v>
      </c>
    </row>
    <row r="4346" spans="1:2" x14ac:dyDescent="0.25">
      <c r="A4346" t="s">
        <v>7072</v>
      </c>
      <c r="B4346" t="s">
        <v>7073</v>
      </c>
    </row>
    <row r="4347" spans="1:2" x14ac:dyDescent="0.25">
      <c r="A4347" t="s">
        <v>7074</v>
      </c>
      <c r="B4347" t="s">
        <v>7075</v>
      </c>
    </row>
    <row r="4348" spans="1:2" x14ac:dyDescent="0.25">
      <c r="A4348" t="s">
        <v>7076</v>
      </c>
      <c r="B4348" t="s">
        <v>7077</v>
      </c>
    </row>
    <row r="4349" spans="1:2" x14ac:dyDescent="0.25">
      <c r="A4349" t="s">
        <v>7078</v>
      </c>
      <c r="B4349" t="s">
        <v>7079</v>
      </c>
    </row>
    <row r="4350" spans="1:2" x14ac:dyDescent="0.25">
      <c r="A4350" t="s">
        <v>7080</v>
      </c>
      <c r="B4350" t="s">
        <v>7081</v>
      </c>
    </row>
    <row r="4351" spans="1:2" x14ac:dyDescent="0.25">
      <c r="A4351" t="s">
        <v>7082</v>
      </c>
      <c r="B4351" t="s">
        <v>7083</v>
      </c>
    </row>
    <row r="4352" spans="1:2" x14ac:dyDescent="0.25">
      <c r="A4352" t="s">
        <v>7084</v>
      </c>
      <c r="B4352" t="s">
        <v>7085</v>
      </c>
    </row>
    <row r="4353" spans="1:2" x14ac:dyDescent="0.25">
      <c r="A4353" t="s">
        <v>7086</v>
      </c>
      <c r="B4353" t="s">
        <v>7087</v>
      </c>
    </row>
    <row r="4354" spans="1:2" x14ac:dyDescent="0.25">
      <c r="A4354" t="s">
        <v>2953</v>
      </c>
      <c r="B4354" t="s">
        <v>7088</v>
      </c>
    </row>
    <row r="4355" spans="1:2" x14ac:dyDescent="0.25">
      <c r="A4355" t="s">
        <v>7089</v>
      </c>
      <c r="B4355" t="s">
        <v>7090</v>
      </c>
    </row>
    <row r="4356" spans="1:2" x14ac:dyDescent="0.25">
      <c r="A4356" t="s">
        <v>7091</v>
      </c>
      <c r="B4356" t="s">
        <v>7092</v>
      </c>
    </row>
    <row r="4357" spans="1:2" x14ac:dyDescent="0.25">
      <c r="A4357" t="s">
        <v>7093</v>
      </c>
      <c r="B4357" t="s">
        <v>7094</v>
      </c>
    </row>
    <row r="4358" spans="1:2" x14ac:dyDescent="0.25">
      <c r="A4358" t="s">
        <v>7095</v>
      </c>
      <c r="B4358" t="s">
        <v>7096</v>
      </c>
    </row>
    <row r="4359" spans="1:2" x14ac:dyDescent="0.25">
      <c r="A4359" t="s">
        <v>7097</v>
      </c>
      <c r="B4359" t="s">
        <v>7098</v>
      </c>
    </row>
    <row r="4360" spans="1:2" x14ac:dyDescent="0.25">
      <c r="A4360" t="s">
        <v>7099</v>
      </c>
      <c r="B4360" t="s">
        <v>7100</v>
      </c>
    </row>
    <row r="4361" spans="1:2" x14ac:dyDescent="0.25">
      <c r="A4361" t="s">
        <v>7101</v>
      </c>
      <c r="B4361" t="s">
        <v>7102</v>
      </c>
    </row>
    <row r="4362" spans="1:2" x14ac:dyDescent="0.25">
      <c r="A4362" t="s">
        <v>7103</v>
      </c>
      <c r="B4362" t="s">
        <v>7104</v>
      </c>
    </row>
    <row r="4363" spans="1:2" x14ac:dyDescent="0.25">
      <c r="A4363" t="s">
        <v>7105</v>
      </c>
      <c r="B4363" t="s">
        <v>7106</v>
      </c>
    </row>
    <row r="4364" spans="1:2" x14ac:dyDescent="0.25">
      <c r="A4364" t="s">
        <v>7107</v>
      </c>
      <c r="B4364" t="s">
        <v>7108</v>
      </c>
    </row>
    <row r="4365" spans="1:2" x14ac:dyDescent="0.25">
      <c r="A4365" t="s">
        <v>3332</v>
      </c>
      <c r="B4365" t="s">
        <v>3333</v>
      </c>
    </row>
    <row r="4366" spans="1:2" x14ac:dyDescent="0.25">
      <c r="A4366" t="s">
        <v>7109</v>
      </c>
      <c r="B4366" t="s">
        <v>7110</v>
      </c>
    </row>
    <row r="4367" spans="1:2" x14ac:dyDescent="0.25">
      <c r="A4367" t="s">
        <v>3338</v>
      </c>
      <c r="B4367" t="s">
        <v>3339</v>
      </c>
    </row>
    <row r="4368" spans="1:2" x14ac:dyDescent="0.25">
      <c r="A4368" t="s">
        <v>7111</v>
      </c>
      <c r="B4368" t="s">
        <v>7112</v>
      </c>
    </row>
    <row r="4369" spans="1:2" x14ac:dyDescent="0.25">
      <c r="A4369" t="s">
        <v>7113</v>
      </c>
      <c r="B4369" t="s">
        <v>7114</v>
      </c>
    </row>
    <row r="4370" spans="1:2" x14ac:dyDescent="0.25">
      <c r="A4370" t="s">
        <v>7115</v>
      </c>
      <c r="B4370" t="s">
        <v>7116</v>
      </c>
    </row>
    <row r="4371" spans="1:2" x14ac:dyDescent="0.25">
      <c r="A4371" t="s">
        <v>7117</v>
      </c>
      <c r="B4371" t="s">
        <v>7118</v>
      </c>
    </row>
    <row r="4372" spans="1:2" x14ac:dyDescent="0.25">
      <c r="A4372" t="s">
        <v>7119</v>
      </c>
      <c r="B4372" t="s">
        <v>7120</v>
      </c>
    </row>
    <row r="4373" spans="1:2" x14ac:dyDescent="0.25">
      <c r="A4373" t="s">
        <v>7121</v>
      </c>
      <c r="B4373" t="s">
        <v>7122</v>
      </c>
    </row>
    <row r="4374" spans="1:2" x14ac:dyDescent="0.25">
      <c r="A4374" t="s">
        <v>7123</v>
      </c>
      <c r="B4374" t="s">
        <v>7124</v>
      </c>
    </row>
    <row r="4375" spans="1:2" x14ac:dyDescent="0.25">
      <c r="A4375" t="s">
        <v>7125</v>
      </c>
      <c r="B4375" t="s">
        <v>7126</v>
      </c>
    </row>
    <row r="4376" spans="1:2" x14ac:dyDescent="0.25">
      <c r="A4376" t="s">
        <v>7127</v>
      </c>
      <c r="B4376" t="s">
        <v>7128</v>
      </c>
    </row>
    <row r="4377" spans="1:2" x14ac:dyDescent="0.25">
      <c r="A4377" t="s">
        <v>7129</v>
      </c>
      <c r="B4377" t="s">
        <v>7130</v>
      </c>
    </row>
    <row r="4378" spans="1:2" x14ac:dyDescent="0.25">
      <c r="A4378" t="s">
        <v>7131</v>
      </c>
      <c r="B4378" t="s">
        <v>7132</v>
      </c>
    </row>
    <row r="4379" spans="1:2" x14ac:dyDescent="0.25">
      <c r="A4379" t="s">
        <v>7133</v>
      </c>
      <c r="B4379" t="s">
        <v>7134</v>
      </c>
    </row>
    <row r="4380" spans="1:2" x14ac:dyDescent="0.25">
      <c r="A4380" t="s">
        <v>7135</v>
      </c>
      <c r="B4380" t="s">
        <v>7136</v>
      </c>
    </row>
    <row r="4381" spans="1:2" x14ac:dyDescent="0.25">
      <c r="A4381" t="s">
        <v>7137</v>
      </c>
      <c r="B4381" t="s">
        <v>7138</v>
      </c>
    </row>
    <row r="4382" spans="1:2" x14ac:dyDescent="0.25">
      <c r="A4382" t="s">
        <v>7139</v>
      </c>
      <c r="B4382" t="s">
        <v>7140</v>
      </c>
    </row>
    <row r="4383" spans="1:2" x14ac:dyDescent="0.25">
      <c r="A4383" t="s">
        <v>7141</v>
      </c>
      <c r="B4383" t="s">
        <v>7142</v>
      </c>
    </row>
    <row r="4384" spans="1:2" x14ac:dyDescent="0.25">
      <c r="A4384" t="s">
        <v>7143</v>
      </c>
      <c r="B4384" t="s">
        <v>7144</v>
      </c>
    </row>
    <row r="4385" spans="1:2" x14ac:dyDescent="0.25">
      <c r="A4385" t="s">
        <v>7145</v>
      </c>
      <c r="B4385" t="s">
        <v>7146</v>
      </c>
    </row>
    <row r="4386" spans="1:2" x14ac:dyDescent="0.25">
      <c r="A4386" t="s">
        <v>7147</v>
      </c>
      <c r="B4386" t="s">
        <v>7148</v>
      </c>
    </row>
    <row r="4387" spans="1:2" x14ac:dyDescent="0.25">
      <c r="A4387" t="s">
        <v>7149</v>
      </c>
      <c r="B4387" t="s">
        <v>7150</v>
      </c>
    </row>
    <row r="4388" spans="1:2" x14ac:dyDescent="0.25">
      <c r="A4388" t="s">
        <v>7151</v>
      </c>
      <c r="B4388" t="s">
        <v>7152</v>
      </c>
    </row>
    <row r="4389" spans="1:2" x14ac:dyDescent="0.25">
      <c r="A4389" t="s">
        <v>3349</v>
      </c>
      <c r="B4389" t="s">
        <v>3350</v>
      </c>
    </row>
    <row r="4390" spans="1:2" x14ac:dyDescent="0.25">
      <c r="A4390" t="s">
        <v>7153</v>
      </c>
      <c r="B4390" t="s">
        <v>7154</v>
      </c>
    </row>
    <row r="4391" spans="1:2" x14ac:dyDescent="0.25">
      <c r="A4391" t="s">
        <v>7155</v>
      </c>
      <c r="B4391" t="s">
        <v>7156</v>
      </c>
    </row>
    <row r="4392" spans="1:2" x14ac:dyDescent="0.25">
      <c r="A4392" t="s">
        <v>7157</v>
      </c>
      <c r="B4392" t="s">
        <v>7158</v>
      </c>
    </row>
    <row r="4393" spans="1:2" x14ac:dyDescent="0.25">
      <c r="A4393" t="s">
        <v>3355</v>
      </c>
      <c r="B4393" t="s">
        <v>3356</v>
      </c>
    </row>
    <row r="4394" spans="1:2" x14ac:dyDescent="0.25">
      <c r="A4394" t="s">
        <v>7159</v>
      </c>
      <c r="B4394" t="s">
        <v>7160</v>
      </c>
    </row>
    <row r="4395" spans="1:2" x14ac:dyDescent="0.25">
      <c r="A4395" t="s">
        <v>7161</v>
      </c>
      <c r="B4395" t="s">
        <v>7162</v>
      </c>
    </row>
    <row r="4396" spans="1:2" x14ac:dyDescent="0.25">
      <c r="A4396" t="s">
        <v>7163</v>
      </c>
      <c r="B4396" t="s">
        <v>7164</v>
      </c>
    </row>
    <row r="4397" spans="1:2" x14ac:dyDescent="0.25">
      <c r="A4397" t="s">
        <v>7165</v>
      </c>
      <c r="B4397" t="s">
        <v>7166</v>
      </c>
    </row>
    <row r="4398" spans="1:2" x14ac:dyDescent="0.25">
      <c r="A4398" t="s">
        <v>7167</v>
      </c>
      <c r="B4398" t="s">
        <v>7168</v>
      </c>
    </row>
    <row r="4399" spans="1:2" x14ac:dyDescent="0.25">
      <c r="A4399" t="s">
        <v>7169</v>
      </c>
      <c r="B4399" t="s">
        <v>7170</v>
      </c>
    </row>
    <row r="4400" spans="1:2" x14ac:dyDescent="0.25">
      <c r="A4400" t="s">
        <v>7171</v>
      </c>
      <c r="B4400" t="s">
        <v>7172</v>
      </c>
    </row>
    <row r="4401" spans="1:2" x14ac:dyDescent="0.25">
      <c r="A4401" t="s">
        <v>7173</v>
      </c>
      <c r="B4401" t="s">
        <v>7174</v>
      </c>
    </row>
    <row r="4402" spans="1:2" x14ac:dyDescent="0.25">
      <c r="A4402" t="s">
        <v>7175</v>
      </c>
      <c r="B4402" t="s">
        <v>7176</v>
      </c>
    </row>
    <row r="4403" spans="1:2" x14ac:dyDescent="0.25">
      <c r="A4403" t="s">
        <v>7177</v>
      </c>
      <c r="B4403" t="s">
        <v>7178</v>
      </c>
    </row>
    <row r="4404" spans="1:2" x14ac:dyDescent="0.25">
      <c r="A4404" t="s">
        <v>3367</v>
      </c>
      <c r="B4404" t="s">
        <v>3368</v>
      </c>
    </row>
    <row r="4405" spans="1:2" x14ac:dyDescent="0.25">
      <c r="A4405" t="s">
        <v>7179</v>
      </c>
      <c r="B4405" t="s">
        <v>7180</v>
      </c>
    </row>
    <row r="4406" spans="1:2" x14ac:dyDescent="0.25">
      <c r="A4406" t="s">
        <v>7181</v>
      </c>
      <c r="B4406" t="s">
        <v>7182</v>
      </c>
    </row>
    <row r="4407" spans="1:2" x14ac:dyDescent="0.25">
      <c r="A4407" t="s">
        <v>7183</v>
      </c>
      <c r="B4407" t="s">
        <v>7184</v>
      </c>
    </row>
    <row r="4408" spans="1:2" x14ac:dyDescent="0.25">
      <c r="A4408" t="s">
        <v>7185</v>
      </c>
      <c r="B4408" t="s">
        <v>7186</v>
      </c>
    </row>
    <row r="4409" spans="1:2" x14ac:dyDescent="0.25">
      <c r="A4409" t="s">
        <v>7187</v>
      </c>
      <c r="B4409" t="s">
        <v>7188</v>
      </c>
    </row>
    <row r="4410" spans="1:2" x14ac:dyDescent="0.25">
      <c r="A4410" t="s">
        <v>7189</v>
      </c>
      <c r="B4410" t="s">
        <v>7190</v>
      </c>
    </row>
    <row r="4411" spans="1:2" x14ac:dyDescent="0.25">
      <c r="A4411" t="s">
        <v>7191</v>
      </c>
      <c r="B4411" t="s">
        <v>7192</v>
      </c>
    </row>
    <row r="4412" spans="1:2" x14ac:dyDescent="0.25">
      <c r="A4412" t="s">
        <v>7193</v>
      </c>
      <c r="B4412" t="s">
        <v>7194</v>
      </c>
    </row>
    <row r="4413" spans="1:2" x14ac:dyDescent="0.25">
      <c r="A4413" t="s">
        <v>7195</v>
      </c>
      <c r="B4413" t="s">
        <v>7196</v>
      </c>
    </row>
    <row r="4414" spans="1:2" x14ac:dyDescent="0.25">
      <c r="A4414" t="s">
        <v>7197</v>
      </c>
      <c r="B4414" t="s">
        <v>7198</v>
      </c>
    </row>
    <row r="4415" spans="1:2" x14ac:dyDescent="0.25">
      <c r="A4415" t="s">
        <v>7199</v>
      </c>
      <c r="B4415" t="s">
        <v>7200</v>
      </c>
    </row>
    <row r="4416" spans="1:2" x14ac:dyDescent="0.25">
      <c r="A4416" t="s">
        <v>7201</v>
      </c>
      <c r="B4416" t="s">
        <v>7202</v>
      </c>
    </row>
    <row r="4417" spans="1:2" x14ac:dyDescent="0.25">
      <c r="A4417" t="s">
        <v>7203</v>
      </c>
      <c r="B4417" t="s">
        <v>7204</v>
      </c>
    </row>
    <row r="4418" spans="1:2" x14ac:dyDescent="0.25">
      <c r="A4418" t="s">
        <v>7205</v>
      </c>
      <c r="B4418" t="s">
        <v>7206</v>
      </c>
    </row>
    <row r="4419" spans="1:2" x14ac:dyDescent="0.25">
      <c r="A4419" t="s">
        <v>7207</v>
      </c>
      <c r="B4419" t="s">
        <v>7208</v>
      </c>
    </row>
    <row r="4420" spans="1:2" x14ac:dyDescent="0.25">
      <c r="A4420" t="s">
        <v>7209</v>
      </c>
      <c r="B4420" t="s">
        <v>7210</v>
      </c>
    </row>
    <row r="4421" spans="1:2" x14ac:dyDescent="0.25">
      <c r="A4421" t="s">
        <v>3384</v>
      </c>
      <c r="B4421" t="s">
        <v>3385</v>
      </c>
    </row>
    <row r="4422" spans="1:2" x14ac:dyDescent="0.25">
      <c r="A4422" t="s">
        <v>7211</v>
      </c>
      <c r="B4422" t="s">
        <v>7212</v>
      </c>
    </row>
    <row r="4423" spans="1:2" x14ac:dyDescent="0.25">
      <c r="A4423" t="s">
        <v>7213</v>
      </c>
      <c r="B4423" t="s">
        <v>7214</v>
      </c>
    </row>
    <row r="4424" spans="1:2" x14ac:dyDescent="0.25">
      <c r="A4424" t="s">
        <v>3391</v>
      </c>
      <c r="B4424" t="s">
        <v>3392</v>
      </c>
    </row>
    <row r="4425" spans="1:2" x14ac:dyDescent="0.25">
      <c r="A4425" t="s">
        <v>7215</v>
      </c>
      <c r="B4425" t="s">
        <v>7216</v>
      </c>
    </row>
    <row r="4426" spans="1:2" x14ac:dyDescent="0.25">
      <c r="A4426" t="s">
        <v>3397</v>
      </c>
      <c r="B4426" t="s">
        <v>3398</v>
      </c>
    </row>
    <row r="4427" spans="1:2" x14ac:dyDescent="0.25">
      <c r="A4427" t="s">
        <v>7217</v>
      </c>
      <c r="B4427" t="s">
        <v>7218</v>
      </c>
    </row>
    <row r="4428" spans="1:2" x14ac:dyDescent="0.25">
      <c r="A4428" t="s">
        <v>7219</v>
      </c>
      <c r="B4428" t="s">
        <v>7220</v>
      </c>
    </row>
    <row r="4429" spans="1:2" x14ac:dyDescent="0.25">
      <c r="A4429" t="s">
        <v>7221</v>
      </c>
      <c r="B4429" t="s">
        <v>7222</v>
      </c>
    </row>
    <row r="4430" spans="1:2" x14ac:dyDescent="0.25">
      <c r="A4430" t="s">
        <v>7223</v>
      </c>
      <c r="B4430" t="s">
        <v>7224</v>
      </c>
    </row>
    <row r="4431" spans="1:2" x14ac:dyDescent="0.25">
      <c r="A4431" t="s">
        <v>7225</v>
      </c>
      <c r="B4431" t="s">
        <v>7226</v>
      </c>
    </row>
    <row r="4432" spans="1:2" x14ac:dyDescent="0.25">
      <c r="A4432" t="s">
        <v>7227</v>
      </c>
      <c r="B4432" t="s">
        <v>7228</v>
      </c>
    </row>
    <row r="4433" spans="1:2" x14ac:dyDescent="0.25">
      <c r="A4433" t="s">
        <v>7229</v>
      </c>
      <c r="B4433" t="s">
        <v>7230</v>
      </c>
    </row>
    <row r="4434" spans="1:2" x14ac:dyDescent="0.25">
      <c r="A4434" t="s">
        <v>7231</v>
      </c>
      <c r="B4434" t="s">
        <v>7232</v>
      </c>
    </row>
    <row r="4435" spans="1:2" x14ac:dyDescent="0.25">
      <c r="A4435" t="s">
        <v>77</v>
      </c>
      <c r="B4435" t="s">
        <v>7233</v>
      </c>
    </row>
    <row r="4436" spans="1:2" x14ac:dyDescent="0.25">
      <c r="A4436" t="s">
        <v>7234</v>
      </c>
      <c r="B4436" t="s">
        <v>7235</v>
      </c>
    </row>
    <row r="4437" spans="1:2" x14ac:dyDescent="0.25">
      <c r="A4437" t="s">
        <v>7236</v>
      </c>
      <c r="B4437" t="s">
        <v>7237</v>
      </c>
    </row>
    <row r="4438" spans="1:2" x14ac:dyDescent="0.25">
      <c r="A4438" t="s">
        <v>3409</v>
      </c>
      <c r="B4438" t="s">
        <v>3410</v>
      </c>
    </row>
    <row r="4439" spans="1:2" x14ac:dyDescent="0.25">
      <c r="A4439" t="s">
        <v>7238</v>
      </c>
      <c r="B4439" t="s">
        <v>7239</v>
      </c>
    </row>
    <row r="4440" spans="1:2" x14ac:dyDescent="0.25">
      <c r="A4440" t="s">
        <v>101</v>
      </c>
      <c r="B4440" t="s">
        <v>7240</v>
      </c>
    </row>
    <row r="4441" spans="1:2" x14ac:dyDescent="0.25">
      <c r="A4441" t="s">
        <v>7241</v>
      </c>
      <c r="B4441" t="s">
        <v>7242</v>
      </c>
    </row>
    <row r="4442" spans="1:2" x14ac:dyDescent="0.25">
      <c r="A4442" t="s">
        <v>7243</v>
      </c>
      <c r="B4442" t="s">
        <v>7244</v>
      </c>
    </row>
    <row r="4443" spans="1:2" x14ac:dyDescent="0.25">
      <c r="A4443" t="s">
        <v>7245</v>
      </c>
      <c r="B4443" t="s">
        <v>7246</v>
      </c>
    </row>
    <row r="4444" spans="1:2" x14ac:dyDescent="0.25">
      <c r="A4444" t="s">
        <v>7247</v>
      </c>
      <c r="B4444" t="s">
        <v>7248</v>
      </c>
    </row>
    <row r="4445" spans="1:2" x14ac:dyDescent="0.25">
      <c r="A4445" t="s">
        <v>7249</v>
      </c>
      <c r="B4445" t="s">
        <v>7250</v>
      </c>
    </row>
    <row r="4446" spans="1:2" x14ac:dyDescent="0.25">
      <c r="A4446" t="s">
        <v>7251</v>
      </c>
      <c r="B4446" t="s">
        <v>7252</v>
      </c>
    </row>
    <row r="4447" spans="1:2" x14ac:dyDescent="0.25">
      <c r="A4447" t="s">
        <v>3423</v>
      </c>
      <c r="B4447" t="s">
        <v>3424</v>
      </c>
    </row>
    <row r="4448" spans="1:2" x14ac:dyDescent="0.25">
      <c r="A4448" t="s">
        <v>7253</v>
      </c>
      <c r="B4448" t="s">
        <v>7254</v>
      </c>
    </row>
    <row r="4449" spans="1:2" x14ac:dyDescent="0.25">
      <c r="A4449" t="s">
        <v>7255</v>
      </c>
      <c r="B4449" t="s">
        <v>7256</v>
      </c>
    </row>
    <row r="4450" spans="1:2" x14ac:dyDescent="0.25">
      <c r="A4450" t="s">
        <v>7257</v>
      </c>
      <c r="B4450" t="s">
        <v>7258</v>
      </c>
    </row>
    <row r="4451" spans="1:2" x14ac:dyDescent="0.25">
      <c r="A4451" t="s">
        <v>7259</v>
      </c>
      <c r="B4451" t="s">
        <v>7260</v>
      </c>
    </row>
    <row r="4452" spans="1:2" x14ac:dyDescent="0.25">
      <c r="A4452" t="s">
        <v>7261</v>
      </c>
      <c r="B4452" t="s">
        <v>7262</v>
      </c>
    </row>
    <row r="4453" spans="1:2" x14ac:dyDescent="0.25">
      <c r="A4453" t="s">
        <v>7263</v>
      </c>
      <c r="B4453" t="s">
        <v>7264</v>
      </c>
    </row>
    <row r="4454" spans="1:2" x14ac:dyDescent="0.25">
      <c r="A4454" t="s">
        <v>7265</v>
      </c>
      <c r="B4454" t="s">
        <v>7266</v>
      </c>
    </row>
    <row r="4455" spans="1:2" x14ac:dyDescent="0.25">
      <c r="A4455" t="s">
        <v>2705</v>
      </c>
      <c r="B4455" t="s">
        <v>7267</v>
      </c>
    </row>
    <row r="4456" spans="1:2" x14ac:dyDescent="0.25">
      <c r="A4456" t="s">
        <v>7268</v>
      </c>
      <c r="B4456" t="s">
        <v>7269</v>
      </c>
    </row>
    <row r="4457" spans="1:2" x14ac:dyDescent="0.25">
      <c r="A4457" t="s">
        <v>1586</v>
      </c>
      <c r="B4457" t="s">
        <v>1587</v>
      </c>
    </row>
    <row r="4458" spans="1:2" x14ac:dyDescent="0.25">
      <c r="A4458" t="s">
        <v>7270</v>
      </c>
      <c r="B4458" t="s">
        <v>7271</v>
      </c>
    </row>
    <row r="4459" spans="1:2" x14ac:dyDescent="0.25">
      <c r="A4459" t="s">
        <v>7272</v>
      </c>
      <c r="B4459" t="s">
        <v>7273</v>
      </c>
    </row>
    <row r="4460" spans="1:2" x14ac:dyDescent="0.25">
      <c r="A4460" t="s">
        <v>7274</v>
      </c>
      <c r="B4460" t="s">
        <v>7275</v>
      </c>
    </row>
    <row r="4461" spans="1:2" x14ac:dyDescent="0.25">
      <c r="A4461" t="s">
        <v>7276</v>
      </c>
      <c r="B4461" t="s">
        <v>7277</v>
      </c>
    </row>
    <row r="4462" spans="1:2" x14ac:dyDescent="0.25">
      <c r="A4462" t="s">
        <v>7278</v>
      </c>
      <c r="B4462" t="s">
        <v>7279</v>
      </c>
    </row>
    <row r="4463" spans="1:2" x14ac:dyDescent="0.25">
      <c r="A4463" t="s">
        <v>7280</v>
      </c>
      <c r="B4463" t="s">
        <v>7281</v>
      </c>
    </row>
    <row r="4464" spans="1:2" x14ac:dyDescent="0.25">
      <c r="A4464" t="s">
        <v>7282</v>
      </c>
      <c r="B4464" t="s">
        <v>7283</v>
      </c>
    </row>
    <row r="4465" spans="1:2" x14ac:dyDescent="0.25">
      <c r="A4465" t="s">
        <v>7284</v>
      </c>
      <c r="B4465" t="s">
        <v>7285</v>
      </c>
    </row>
    <row r="4466" spans="1:2" x14ac:dyDescent="0.25">
      <c r="A4466" t="s">
        <v>7286</v>
      </c>
      <c r="B4466" t="s">
        <v>7287</v>
      </c>
    </row>
    <row r="4467" spans="1:2" x14ac:dyDescent="0.25">
      <c r="A4467" t="s">
        <v>7288</v>
      </c>
      <c r="B4467" t="s">
        <v>7289</v>
      </c>
    </row>
    <row r="4468" spans="1:2" x14ac:dyDescent="0.25">
      <c r="A4468" t="s">
        <v>7290</v>
      </c>
      <c r="B4468" t="s">
        <v>7291</v>
      </c>
    </row>
    <row r="4469" spans="1:2" x14ac:dyDescent="0.25">
      <c r="A4469" t="s">
        <v>7292</v>
      </c>
      <c r="B4469" t="s">
        <v>7293</v>
      </c>
    </row>
    <row r="4470" spans="1:2" x14ac:dyDescent="0.25">
      <c r="A4470" t="s">
        <v>7294</v>
      </c>
      <c r="B4470" t="s">
        <v>7295</v>
      </c>
    </row>
    <row r="4471" spans="1:2" x14ac:dyDescent="0.25">
      <c r="A4471" t="s">
        <v>7296</v>
      </c>
      <c r="B4471" t="s">
        <v>7297</v>
      </c>
    </row>
    <row r="4472" spans="1:2" x14ac:dyDescent="0.25">
      <c r="A4472" t="s">
        <v>7298</v>
      </c>
      <c r="B4472" t="s">
        <v>7299</v>
      </c>
    </row>
    <row r="4473" spans="1:2" x14ac:dyDescent="0.25">
      <c r="A4473" t="s">
        <v>818</v>
      </c>
      <c r="B4473" t="s">
        <v>7300</v>
      </c>
    </row>
    <row r="4474" spans="1:2" x14ac:dyDescent="0.25">
      <c r="A4474" t="s">
        <v>7301</v>
      </c>
      <c r="B4474" t="s">
        <v>7302</v>
      </c>
    </row>
    <row r="4475" spans="1:2" x14ac:dyDescent="0.25">
      <c r="A4475" t="s">
        <v>7303</v>
      </c>
      <c r="B4475" t="s">
        <v>7304</v>
      </c>
    </row>
    <row r="4476" spans="1:2" x14ac:dyDescent="0.25">
      <c r="A4476" t="s">
        <v>7305</v>
      </c>
      <c r="B4476" t="s">
        <v>7306</v>
      </c>
    </row>
    <row r="4477" spans="1:2" x14ac:dyDescent="0.25">
      <c r="A4477" t="s">
        <v>7307</v>
      </c>
      <c r="B4477" t="s">
        <v>7308</v>
      </c>
    </row>
    <row r="4478" spans="1:2" x14ac:dyDescent="0.25">
      <c r="A4478" t="s">
        <v>7309</v>
      </c>
      <c r="B4478" t="s">
        <v>7310</v>
      </c>
    </row>
    <row r="4479" spans="1:2" x14ac:dyDescent="0.25">
      <c r="A4479" t="s">
        <v>7311</v>
      </c>
      <c r="B4479" t="s">
        <v>7312</v>
      </c>
    </row>
    <row r="4480" spans="1:2" x14ac:dyDescent="0.25">
      <c r="A4480" t="s">
        <v>7313</v>
      </c>
      <c r="B4480" t="s">
        <v>7314</v>
      </c>
    </row>
    <row r="4481" spans="1:2" x14ac:dyDescent="0.25">
      <c r="A4481" t="s">
        <v>7315</v>
      </c>
      <c r="B4481" t="s">
        <v>7316</v>
      </c>
    </row>
    <row r="4482" spans="1:2" x14ac:dyDescent="0.25">
      <c r="A4482" t="s">
        <v>7317</v>
      </c>
      <c r="B4482" t="s">
        <v>7318</v>
      </c>
    </row>
    <row r="4483" spans="1:2" x14ac:dyDescent="0.25">
      <c r="A4483" t="s">
        <v>7319</v>
      </c>
      <c r="B4483" t="s">
        <v>7320</v>
      </c>
    </row>
    <row r="4484" spans="1:2" x14ac:dyDescent="0.25">
      <c r="A4484" t="s">
        <v>7321</v>
      </c>
      <c r="B4484" t="s">
        <v>7322</v>
      </c>
    </row>
    <row r="4485" spans="1:2" x14ac:dyDescent="0.25">
      <c r="A4485" t="s">
        <v>7323</v>
      </c>
      <c r="B4485" t="s">
        <v>7324</v>
      </c>
    </row>
    <row r="4486" spans="1:2" x14ac:dyDescent="0.25">
      <c r="A4486" t="s">
        <v>7325</v>
      </c>
      <c r="B4486" t="s">
        <v>7326</v>
      </c>
    </row>
    <row r="4487" spans="1:2" x14ac:dyDescent="0.25">
      <c r="A4487" t="s">
        <v>7327</v>
      </c>
      <c r="B4487" t="s">
        <v>7328</v>
      </c>
    </row>
    <row r="4488" spans="1:2" x14ac:dyDescent="0.25">
      <c r="A4488" t="s">
        <v>7329</v>
      </c>
      <c r="B4488" t="s">
        <v>7330</v>
      </c>
    </row>
    <row r="4489" spans="1:2" x14ac:dyDescent="0.25">
      <c r="A4489" t="s">
        <v>7331</v>
      </c>
      <c r="B4489" t="s">
        <v>7332</v>
      </c>
    </row>
    <row r="4490" spans="1:2" x14ac:dyDescent="0.25">
      <c r="A4490" t="s">
        <v>7333</v>
      </c>
      <c r="B4490" t="s">
        <v>7334</v>
      </c>
    </row>
    <row r="4491" spans="1:2" x14ac:dyDescent="0.25">
      <c r="A4491" t="s">
        <v>7335</v>
      </c>
      <c r="B4491" t="s">
        <v>7336</v>
      </c>
    </row>
    <row r="4492" spans="1:2" x14ac:dyDescent="0.25">
      <c r="A4492" t="s">
        <v>7337</v>
      </c>
      <c r="B4492" t="s">
        <v>7338</v>
      </c>
    </row>
    <row r="4493" spans="1:2" x14ac:dyDescent="0.25">
      <c r="A4493" t="s">
        <v>7339</v>
      </c>
      <c r="B4493" t="s">
        <v>7340</v>
      </c>
    </row>
    <row r="4494" spans="1:2" x14ac:dyDescent="0.25">
      <c r="A4494" t="s">
        <v>7341</v>
      </c>
      <c r="B4494" t="s">
        <v>7342</v>
      </c>
    </row>
    <row r="4495" spans="1:2" x14ac:dyDescent="0.25">
      <c r="A4495" t="s">
        <v>3472</v>
      </c>
      <c r="B4495" t="s">
        <v>3473</v>
      </c>
    </row>
    <row r="4496" spans="1:2" x14ac:dyDescent="0.25">
      <c r="A4496" t="s">
        <v>7343</v>
      </c>
      <c r="B4496" t="s">
        <v>7344</v>
      </c>
    </row>
    <row r="4497" spans="1:2" x14ac:dyDescent="0.25">
      <c r="A4497" t="s">
        <v>7345</v>
      </c>
      <c r="B4497" t="s">
        <v>7346</v>
      </c>
    </row>
    <row r="4498" spans="1:2" x14ac:dyDescent="0.25">
      <c r="A4498" t="s">
        <v>7347</v>
      </c>
      <c r="B4498" t="s">
        <v>7348</v>
      </c>
    </row>
    <row r="4499" spans="1:2" x14ac:dyDescent="0.25">
      <c r="A4499" t="s">
        <v>7349</v>
      </c>
      <c r="B4499" t="s">
        <v>7350</v>
      </c>
    </row>
    <row r="4500" spans="1:2" x14ac:dyDescent="0.25">
      <c r="A4500" t="s">
        <v>7351</v>
      </c>
      <c r="B4500" t="s">
        <v>7352</v>
      </c>
    </row>
    <row r="4501" spans="1:2" x14ac:dyDescent="0.25">
      <c r="A4501" t="s">
        <v>7353</v>
      </c>
      <c r="B4501" t="s">
        <v>7354</v>
      </c>
    </row>
    <row r="4502" spans="1:2" x14ac:dyDescent="0.25">
      <c r="A4502" t="s">
        <v>3476</v>
      </c>
      <c r="B4502" t="s">
        <v>3477</v>
      </c>
    </row>
    <row r="4503" spans="1:2" x14ac:dyDescent="0.25">
      <c r="A4503" t="s">
        <v>7355</v>
      </c>
      <c r="B4503" t="s">
        <v>7356</v>
      </c>
    </row>
    <row r="4504" spans="1:2" x14ac:dyDescent="0.25">
      <c r="A4504" t="s">
        <v>7357</v>
      </c>
      <c r="B4504" t="s">
        <v>7358</v>
      </c>
    </row>
    <row r="4505" spans="1:2" x14ac:dyDescent="0.25">
      <c r="A4505" t="s">
        <v>7359</v>
      </c>
      <c r="B4505" t="s">
        <v>7360</v>
      </c>
    </row>
    <row r="4506" spans="1:2" x14ac:dyDescent="0.25">
      <c r="A4506" t="s">
        <v>7361</v>
      </c>
      <c r="B4506" t="s">
        <v>7362</v>
      </c>
    </row>
    <row r="4507" spans="1:2" x14ac:dyDescent="0.25">
      <c r="A4507" t="s">
        <v>7363</v>
      </c>
      <c r="B4507" t="s">
        <v>7364</v>
      </c>
    </row>
    <row r="4508" spans="1:2" x14ac:dyDescent="0.25">
      <c r="A4508" t="s">
        <v>7365</v>
      </c>
      <c r="B4508" t="s">
        <v>7366</v>
      </c>
    </row>
    <row r="4509" spans="1:2" x14ac:dyDescent="0.25">
      <c r="A4509" t="s">
        <v>7367</v>
      </c>
      <c r="B4509" t="s">
        <v>7368</v>
      </c>
    </row>
    <row r="4510" spans="1:2" x14ac:dyDescent="0.25">
      <c r="A4510" t="s">
        <v>7369</v>
      </c>
      <c r="B4510" t="s">
        <v>7370</v>
      </c>
    </row>
    <row r="4511" spans="1:2" x14ac:dyDescent="0.25">
      <c r="A4511" t="s">
        <v>7371</v>
      </c>
      <c r="B4511" t="s">
        <v>7372</v>
      </c>
    </row>
    <row r="4512" spans="1:2" x14ac:dyDescent="0.25">
      <c r="A4512" t="s">
        <v>7373</v>
      </c>
      <c r="B4512" t="s">
        <v>7374</v>
      </c>
    </row>
    <row r="4513" spans="1:2" x14ac:dyDescent="0.25">
      <c r="A4513" t="s">
        <v>7375</v>
      </c>
      <c r="B4513" t="s">
        <v>7376</v>
      </c>
    </row>
    <row r="4514" spans="1:2" x14ac:dyDescent="0.25">
      <c r="A4514" t="s">
        <v>7377</v>
      </c>
      <c r="B4514" t="s">
        <v>7378</v>
      </c>
    </row>
    <row r="4515" spans="1:2" x14ac:dyDescent="0.25">
      <c r="A4515" t="s">
        <v>7379</v>
      </c>
      <c r="B4515" t="s">
        <v>7380</v>
      </c>
    </row>
    <row r="4516" spans="1:2" x14ac:dyDescent="0.25">
      <c r="A4516" t="s">
        <v>7381</v>
      </c>
      <c r="B4516" t="s">
        <v>7382</v>
      </c>
    </row>
    <row r="4517" spans="1:2" x14ac:dyDescent="0.25">
      <c r="A4517" t="s">
        <v>7383</v>
      </c>
      <c r="B4517" t="s">
        <v>7384</v>
      </c>
    </row>
    <row r="4518" spans="1:2" x14ac:dyDescent="0.25">
      <c r="A4518" t="s">
        <v>7385</v>
      </c>
      <c r="B4518" t="s">
        <v>7386</v>
      </c>
    </row>
    <row r="4519" spans="1:2" x14ac:dyDescent="0.25">
      <c r="A4519" t="s">
        <v>7387</v>
      </c>
      <c r="B4519" t="s">
        <v>7388</v>
      </c>
    </row>
    <row r="4520" spans="1:2" x14ac:dyDescent="0.25">
      <c r="A4520" t="s">
        <v>7389</v>
      </c>
      <c r="B4520" t="s">
        <v>7390</v>
      </c>
    </row>
    <row r="4521" spans="1:2" x14ac:dyDescent="0.25">
      <c r="A4521" t="s">
        <v>7391</v>
      </c>
      <c r="B4521" t="s">
        <v>7392</v>
      </c>
    </row>
    <row r="4522" spans="1:2" x14ac:dyDescent="0.25">
      <c r="A4522" t="s">
        <v>7393</v>
      </c>
      <c r="B4522" t="s">
        <v>7394</v>
      </c>
    </row>
    <row r="4523" spans="1:2" x14ac:dyDescent="0.25">
      <c r="A4523" t="s">
        <v>7395</v>
      </c>
      <c r="B4523" t="s">
        <v>7396</v>
      </c>
    </row>
    <row r="4524" spans="1:2" x14ac:dyDescent="0.25">
      <c r="A4524" t="s">
        <v>7397</v>
      </c>
      <c r="B4524" t="s">
        <v>7398</v>
      </c>
    </row>
    <row r="4525" spans="1:2" x14ac:dyDescent="0.25">
      <c r="A4525" t="s">
        <v>7399</v>
      </c>
      <c r="B4525" t="s">
        <v>7400</v>
      </c>
    </row>
    <row r="4526" spans="1:2" x14ac:dyDescent="0.25">
      <c r="A4526" t="s">
        <v>7401</v>
      </c>
      <c r="B4526" t="s">
        <v>7402</v>
      </c>
    </row>
    <row r="4527" spans="1:2" x14ac:dyDescent="0.25">
      <c r="A4527" t="s">
        <v>7403</v>
      </c>
      <c r="B4527" t="s">
        <v>7404</v>
      </c>
    </row>
    <row r="4528" spans="1:2" x14ac:dyDescent="0.25">
      <c r="A4528" t="s">
        <v>7405</v>
      </c>
      <c r="B4528" t="s">
        <v>7406</v>
      </c>
    </row>
    <row r="4529" spans="1:2" x14ac:dyDescent="0.25">
      <c r="A4529" t="s">
        <v>7407</v>
      </c>
      <c r="B4529" t="s">
        <v>7408</v>
      </c>
    </row>
    <row r="4530" spans="1:2" x14ac:dyDescent="0.25">
      <c r="A4530" t="s">
        <v>7409</v>
      </c>
      <c r="B4530" t="s">
        <v>7410</v>
      </c>
    </row>
    <row r="4531" spans="1:2" x14ac:dyDescent="0.25">
      <c r="A4531" t="s">
        <v>7411</v>
      </c>
      <c r="B4531" t="s">
        <v>7412</v>
      </c>
    </row>
    <row r="4532" spans="1:2" x14ac:dyDescent="0.25">
      <c r="A4532" t="s">
        <v>7413</v>
      </c>
      <c r="B4532" t="s">
        <v>7414</v>
      </c>
    </row>
    <row r="4533" spans="1:2" x14ac:dyDescent="0.25">
      <c r="A4533" t="s">
        <v>7415</v>
      </c>
      <c r="B4533" t="s">
        <v>7416</v>
      </c>
    </row>
    <row r="4534" spans="1:2" x14ac:dyDescent="0.25">
      <c r="A4534" t="s">
        <v>7417</v>
      </c>
      <c r="B4534" t="s">
        <v>7418</v>
      </c>
    </row>
    <row r="4535" spans="1:2" x14ac:dyDescent="0.25">
      <c r="A4535" t="s">
        <v>7419</v>
      </c>
      <c r="B4535" t="s">
        <v>7420</v>
      </c>
    </row>
    <row r="4536" spans="1:2" x14ac:dyDescent="0.25">
      <c r="A4536" t="s">
        <v>7421</v>
      </c>
      <c r="B4536" t="s">
        <v>7422</v>
      </c>
    </row>
    <row r="4537" spans="1:2" x14ac:dyDescent="0.25">
      <c r="A4537" t="s">
        <v>7423</v>
      </c>
      <c r="B4537" t="s">
        <v>7424</v>
      </c>
    </row>
    <row r="4538" spans="1:2" x14ac:dyDescent="0.25">
      <c r="A4538" t="s">
        <v>7425</v>
      </c>
      <c r="B4538" t="s">
        <v>7426</v>
      </c>
    </row>
    <row r="4539" spans="1:2" x14ac:dyDescent="0.25">
      <c r="A4539" t="s">
        <v>7427</v>
      </c>
      <c r="B4539" t="s">
        <v>7428</v>
      </c>
    </row>
    <row r="4540" spans="1:2" x14ac:dyDescent="0.25">
      <c r="A4540" t="s">
        <v>7429</v>
      </c>
      <c r="B4540" t="s">
        <v>7430</v>
      </c>
    </row>
    <row r="4541" spans="1:2" x14ac:dyDescent="0.25">
      <c r="A4541" t="s">
        <v>7431</v>
      </c>
      <c r="B4541" t="s">
        <v>7432</v>
      </c>
    </row>
    <row r="4542" spans="1:2" x14ac:dyDescent="0.25">
      <c r="A4542" t="s">
        <v>7433</v>
      </c>
      <c r="B4542" t="s">
        <v>7434</v>
      </c>
    </row>
    <row r="4543" spans="1:2" x14ac:dyDescent="0.25">
      <c r="A4543" t="s">
        <v>3508</v>
      </c>
      <c r="B4543" t="s">
        <v>7435</v>
      </c>
    </row>
    <row r="4544" spans="1:2" x14ac:dyDescent="0.25">
      <c r="A4544" t="s">
        <v>7436</v>
      </c>
      <c r="B4544" t="s">
        <v>7437</v>
      </c>
    </row>
    <row r="4545" spans="1:2" x14ac:dyDescent="0.25">
      <c r="A4545" t="s">
        <v>7438</v>
      </c>
      <c r="B4545" t="s">
        <v>7439</v>
      </c>
    </row>
    <row r="4546" spans="1:2" x14ac:dyDescent="0.25">
      <c r="A4546" t="s">
        <v>7440</v>
      </c>
      <c r="B4546" t="s">
        <v>7441</v>
      </c>
    </row>
    <row r="4547" spans="1:2" x14ac:dyDescent="0.25">
      <c r="A4547" t="s">
        <v>7442</v>
      </c>
      <c r="B4547" t="s">
        <v>7443</v>
      </c>
    </row>
    <row r="4548" spans="1:2" x14ac:dyDescent="0.25">
      <c r="A4548" t="s">
        <v>3520</v>
      </c>
      <c r="B4548" t="s">
        <v>3521</v>
      </c>
    </row>
    <row r="4549" spans="1:2" x14ac:dyDescent="0.25">
      <c r="A4549" t="s">
        <v>7444</v>
      </c>
      <c r="B4549" t="s">
        <v>7445</v>
      </c>
    </row>
    <row r="4550" spans="1:2" x14ac:dyDescent="0.25">
      <c r="A4550" t="s">
        <v>7446</v>
      </c>
      <c r="B4550" t="s">
        <v>7447</v>
      </c>
    </row>
    <row r="4551" spans="1:2" x14ac:dyDescent="0.25">
      <c r="A4551" t="s">
        <v>7448</v>
      </c>
      <c r="B4551" t="s">
        <v>7449</v>
      </c>
    </row>
    <row r="4552" spans="1:2" x14ac:dyDescent="0.25">
      <c r="A4552" t="s">
        <v>7450</v>
      </c>
      <c r="B4552" t="s">
        <v>7451</v>
      </c>
    </row>
    <row r="4553" spans="1:2" x14ac:dyDescent="0.25">
      <c r="A4553" t="s">
        <v>3524</v>
      </c>
      <c r="B4553" t="s">
        <v>3525</v>
      </c>
    </row>
    <row r="4554" spans="1:2" x14ac:dyDescent="0.25">
      <c r="A4554" t="s">
        <v>7452</v>
      </c>
      <c r="B4554" t="s">
        <v>7453</v>
      </c>
    </row>
    <row r="4555" spans="1:2" x14ac:dyDescent="0.25">
      <c r="A4555" t="s">
        <v>7454</v>
      </c>
      <c r="B4555" t="s">
        <v>7455</v>
      </c>
    </row>
    <row r="4556" spans="1:2" x14ac:dyDescent="0.25">
      <c r="A4556" t="s">
        <v>3528</v>
      </c>
      <c r="B4556" t="s">
        <v>7456</v>
      </c>
    </row>
    <row r="4557" spans="1:2" x14ac:dyDescent="0.25">
      <c r="A4557" t="s">
        <v>7457</v>
      </c>
      <c r="B4557" t="s">
        <v>7458</v>
      </c>
    </row>
    <row r="4558" spans="1:2" x14ac:dyDescent="0.25">
      <c r="A4558" t="s">
        <v>7459</v>
      </c>
      <c r="B4558" t="s">
        <v>7460</v>
      </c>
    </row>
    <row r="4559" spans="1:2" x14ac:dyDescent="0.25">
      <c r="A4559" t="s">
        <v>7461</v>
      </c>
      <c r="B4559" t="s">
        <v>7462</v>
      </c>
    </row>
    <row r="4560" spans="1:2" x14ac:dyDescent="0.25">
      <c r="A4560" t="s">
        <v>7463</v>
      </c>
      <c r="B4560" t="s">
        <v>7464</v>
      </c>
    </row>
    <row r="4561" spans="1:2" x14ac:dyDescent="0.25">
      <c r="A4561" t="s">
        <v>7465</v>
      </c>
      <c r="B4561" t="s">
        <v>7466</v>
      </c>
    </row>
    <row r="4562" spans="1:2" x14ac:dyDescent="0.25">
      <c r="A4562" t="s">
        <v>7467</v>
      </c>
      <c r="B4562" t="s">
        <v>7468</v>
      </c>
    </row>
    <row r="4563" spans="1:2" x14ac:dyDescent="0.25">
      <c r="A4563" t="s">
        <v>3532</v>
      </c>
      <c r="B4563" t="s">
        <v>3533</v>
      </c>
    </row>
    <row r="4564" spans="1:2" x14ac:dyDescent="0.25">
      <c r="A4564" t="s">
        <v>3534</v>
      </c>
      <c r="B4564" t="s">
        <v>3535</v>
      </c>
    </row>
    <row r="4565" spans="1:2" x14ac:dyDescent="0.25">
      <c r="A4565" t="s">
        <v>7469</v>
      </c>
      <c r="B4565" t="s">
        <v>7470</v>
      </c>
    </row>
    <row r="4566" spans="1:2" x14ac:dyDescent="0.25">
      <c r="A4566" t="s">
        <v>7471</v>
      </c>
      <c r="B4566" t="s">
        <v>7472</v>
      </c>
    </row>
    <row r="4567" spans="1:2" x14ac:dyDescent="0.25">
      <c r="A4567" t="s">
        <v>7473</v>
      </c>
      <c r="B4567" t="s">
        <v>7474</v>
      </c>
    </row>
    <row r="4568" spans="1:2" x14ac:dyDescent="0.25">
      <c r="A4568" t="s">
        <v>7475</v>
      </c>
      <c r="B4568" t="s">
        <v>7476</v>
      </c>
    </row>
    <row r="4569" spans="1:2" x14ac:dyDescent="0.25">
      <c r="A4569" t="s">
        <v>3542</v>
      </c>
      <c r="B4569" t="s">
        <v>3543</v>
      </c>
    </row>
    <row r="4570" spans="1:2" x14ac:dyDescent="0.25">
      <c r="A4570" t="s">
        <v>7477</v>
      </c>
      <c r="B4570" t="s">
        <v>7478</v>
      </c>
    </row>
    <row r="4571" spans="1:2" x14ac:dyDescent="0.25">
      <c r="A4571" t="s">
        <v>7479</v>
      </c>
      <c r="B4571" t="s">
        <v>7480</v>
      </c>
    </row>
    <row r="4572" spans="1:2" x14ac:dyDescent="0.25">
      <c r="A4572" t="s">
        <v>2244</v>
      </c>
      <c r="B4572" t="s">
        <v>7481</v>
      </c>
    </row>
    <row r="4573" spans="1:2" x14ac:dyDescent="0.25">
      <c r="A4573" t="s">
        <v>7482</v>
      </c>
      <c r="B4573" t="s">
        <v>7483</v>
      </c>
    </row>
    <row r="4574" spans="1:2" x14ac:dyDescent="0.25">
      <c r="A4574" t="s">
        <v>7484</v>
      </c>
      <c r="B4574" t="s">
        <v>7485</v>
      </c>
    </row>
    <row r="4575" spans="1:2" x14ac:dyDescent="0.25">
      <c r="A4575" t="s">
        <v>7486</v>
      </c>
      <c r="B4575" t="s">
        <v>7487</v>
      </c>
    </row>
    <row r="4576" spans="1:2" x14ac:dyDescent="0.25">
      <c r="A4576" t="s">
        <v>7488</v>
      </c>
      <c r="B4576" t="s">
        <v>7489</v>
      </c>
    </row>
    <row r="4577" spans="1:2" x14ac:dyDescent="0.25">
      <c r="A4577" t="s">
        <v>3556</v>
      </c>
      <c r="B4577" t="s">
        <v>7490</v>
      </c>
    </row>
    <row r="4578" spans="1:2" x14ac:dyDescent="0.25">
      <c r="A4578" t="s">
        <v>7491</v>
      </c>
      <c r="B4578" t="s">
        <v>7492</v>
      </c>
    </row>
    <row r="4579" spans="1:2" x14ac:dyDescent="0.25">
      <c r="A4579" t="s">
        <v>7493</v>
      </c>
      <c r="B4579" t="s">
        <v>7494</v>
      </c>
    </row>
    <row r="4580" spans="1:2" x14ac:dyDescent="0.25">
      <c r="A4580" t="s">
        <v>3558</v>
      </c>
      <c r="B4580" t="s">
        <v>3559</v>
      </c>
    </row>
    <row r="4581" spans="1:2" x14ac:dyDescent="0.25">
      <c r="A4581" t="s">
        <v>7495</v>
      </c>
      <c r="B4581" t="s">
        <v>7496</v>
      </c>
    </row>
    <row r="4582" spans="1:2" x14ac:dyDescent="0.25">
      <c r="A4582" t="s">
        <v>7497</v>
      </c>
      <c r="B4582" t="s">
        <v>7498</v>
      </c>
    </row>
    <row r="4583" spans="1:2" x14ac:dyDescent="0.25">
      <c r="A4583" t="s">
        <v>7499</v>
      </c>
      <c r="B4583" t="s">
        <v>7500</v>
      </c>
    </row>
    <row r="4584" spans="1:2" x14ac:dyDescent="0.25">
      <c r="A4584" t="s">
        <v>7501</v>
      </c>
      <c r="B4584" t="s">
        <v>7502</v>
      </c>
    </row>
    <row r="4585" spans="1:2" x14ac:dyDescent="0.25">
      <c r="A4585" t="s">
        <v>7503</v>
      </c>
      <c r="B4585" t="s">
        <v>7504</v>
      </c>
    </row>
    <row r="4586" spans="1:2" x14ac:dyDescent="0.25">
      <c r="A4586" t="s">
        <v>7505</v>
      </c>
      <c r="B4586" t="s">
        <v>7506</v>
      </c>
    </row>
    <row r="4587" spans="1:2" x14ac:dyDescent="0.25">
      <c r="A4587" t="s">
        <v>7507</v>
      </c>
      <c r="B4587" t="s">
        <v>7508</v>
      </c>
    </row>
    <row r="4588" spans="1:2" x14ac:dyDescent="0.25">
      <c r="A4588" t="s">
        <v>7509</v>
      </c>
      <c r="B4588" t="s">
        <v>7510</v>
      </c>
    </row>
    <row r="4589" spans="1:2" x14ac:dyDescent="0.25">
      <c r="A4589" t="s">
        <v>7511</v>
      </c>
      <c r="B4589" t="s">
        <v>7512</v>
      </c>
    </row>
    <row r="4590" spans="1:2" x14ac:dyDescent="0.25">
      <c r="A4590" t="s">
        <v>7513</v>
      </c>
      <c r="B4590" t="s">
        <v>7514</v>
      </c>
    </row>
    <row r="4591" spans="1:2" x14ac:dyDescent="0.25">
      <c r="A4591" t="s">
        <v>7515</v>
      </c>
      <c r="B4591" t="s">
        <v>7516</v>
      </c>
    </row>
    <row r="4592" spans="1:2" x14ac:dyDescent="0.25">
      <c r="A4592" t="s">
        <v>3571</v>
      </c>
      <c r="B4592" t="s">
        <v>3572</v>
      </c>
    </row>
    <row r="4593" spans="1:2" x14ac:dyDescent="0.25">
      <c r="A4593" t="s">
        <v>7517</v>
      </c>
      <c r="B4593" t="s">
        <v>7518</v>
      </c>
    </row>
    <row r="4594" spans="1:2" x14ac:dyDescent="0.25">
      <c r="A4594" t="s">
        <v>7519</v>
      </c>
      <c r="B4594" t="s">
        <v>7520</v>
      </c>
    </row>
    <row r="4595" spans="1:2" x14ac:dyDescent="0.25">
      <c r="A4595" t="s">
        <v>7521</v>
      </c>
      <c r="B4595" t="s">
        <v>7522</v>
      </c>
    </row>
    <row r="4596" spans="1:2" x14ac:dyDescent="0.25">
      <c r="A4596" t="s">
        <v>7523</v>
      </c>
      <c r="B4596" t="s">
        <v>7524</v>
      </c>
    </row>
    <row r="4597" spans="1:2" x14ac:dyDescent="0.25">
      <c r="A4597" t="s">
        <v>7525</v>
      </c>
      <c r="B4597" t="s">
        <v>7526</v>
      </c>
    </row>
    <row r="4598" spans="1:2" x14ac:dyDescent="0.25">
      <c r="A4598" t="s">
        <v>3579</v>
      </c>
      <c r="B4598" t="s">
        <v>3580</v>
      </c>
    </row>
    <row r="4599" spans="1:2" x14ac:dyDescent="0.25">
      <c r="A4599" t="s">
        <v>3581</v>
      </c>
      <c r="B4599" t="s">
        <v>3582</v>
      </c>
    </row>
    <row r="4600" spans="1:2" x14ac:dyDescent="0.25">
      <c r="A4600" t="s">
        <v>7527</v>
      </c>
      <c r="B4600" t="s">
        <v>7528</v>
      </c>
    </row>
    <row r="4601" spans="1:2" x14ac:dyDescent="0.25">
      <c r="A4601" t="s">
        <v>7529</v>
      </c>
      <c r="B4601" t="s">
        <v>7530</v>
      </c>
    </row>
    <row r="4602" spans="1:2" x14ac:dyDescent="0.25">
      <c r="A4602" t="s">
        <v>3583</v>
      </c>
      <c r="B4602" t="s">
        <v>3584</v>
      </c>
    </row>
    <row r="4603" spans="1:2" x14ac:dyDescent="0.25">
      <c r="A4603" t="s">
        <v>7531</v>
      </c>
      <c r="B4603" t="s">
        <v>7532</v>
      </c>
    </row>
    <row r="4604" spans="1:2" x14ac:dyDescent="0.25">
      <c r="A4604" t="s">
        <v>7533</v>
      </c>
      <c r="B4604" t="s">
        <v>7534</v>
      </c>
    </row>
    <row r="4605" spans="1:2" x14ac:dyDescent="0.25">
      <c r="A4605" t="s">
        <v>7535</v>
      </c>
      <c r="B4605" t="s">
        <v>7536</v>
      </c>
    </row>
    <row r="4606" spans="1:2" x14ac:dyDescent="0.25">
      <c r="A4606" t="s">
        <v>7537</v>
      </c>
      <c r="B4606" t="s">
        <v>7538</v>
      </c>
    </row>
    <row r="4607" spans="1:2" x14ac:dyDescent="0.25">
      <c r="A4607" t="s">
        <v>7539</v>
      </c>
      <c r="B4607" t="s">
        <v>7540</v>
      </c>
    </row>
    <row r="4608" spans="1:2" x14ac:dyDescent="0.25">
      <c r="A4608" t="s">
        <v>7541</v>
      </c>
      <c r="B4608" t="s">
        <v>7542</v>
      </c>
    </row>
    <row r="4609" spans="1:2" x14ac:dyDescent="0.25">
      <c r="A4609" t="s">
        <v>3593</v>
      </c>
      <c r="B4609" t="s">
        <v>3594</v>
      </c>
    </row>
    <row r="4610" spans="1:2" x14ac:dyDescent="0.25">
      <c r="A4610" t="s">
        <v>3595</v>
      </c>
      <c r="B4610" t="s">
        <v>3596</v>
      </c>
    </row>
    <row r="4611" spans="1:2" x14ac:dyDescent="0.25">
      <c r="A4611" t="s">
        <v>7543</v>
      </c>
      <c r="B4611" t="s">
        <v>7544</v>
      </c>
    </row>
    <row r="4612" spans="1:2" x14ac:dyDescent="0.25">
      <c r="A4612" t="s">
        <v>7545</v>
      </c>
      <c r="B4612" t="s">
        <v>7546</v>
      </c>
    </row>
    <row r="4613" spans="1:2" x14ac:dyDescent="0.25">
      <c r="A4613" t="s">
        <v>7547</v>
      </c>
      <c r="B4613" t="s">
        <v>7548</v>
      </c>
    </row>
    <row r="4614" spans="1:2" x14ac:dyDescent="0.25">
      <c r="A4614" t="s">
        <v>7549</v>
      </c>
      <c r="B4614" t="s">
        <v>7550</v>
      </c>
    </row>
    <row r="4615" spans="1:2" x14ac:dyDescent="0.25">
      <c r="A4615" t="s">
        <v>7551</v>
      </c>
      <c r="B4615" t="s">
        <v>7552</v>
      </c>
    </row>
    <row r="4616" spans="1:2" x14ac:dyDescent="0.25">
      <c r="A4616" t="s">
        <v>7553</v>
      </c>
      <c r="B4616" t="s">
        <v>7554</v>
      </c>
    </row>
    <row r="4617" spans="1:2" x14ac:dyDescent="0.25">
      <c r="A4617" t="s">
        <v>7555</v>
      </c>
      <c r="B4617" t="s">
        <v>7556</v>
      </c>
    </row>
    <row r="4618" spans="1:2" x14ac:dyDescent="0.25">
      <c r="A4618" t="s">
        <v>7557</v>
      </c>
      <c r="B4618" t="s">
        <v>7558</v>
      </c>
    </row>
    <row r="4619" spans="1:2" x14ac:dyDescent="0.25">
      <c r="A4619" t="s">
        <v>7559</v>
      </c>
      <c r="B4619" t="s">
        <v>7560</v>
      </c>
    </row>
    <row r="4620" spans="1:2" x14ac:dyDescent="0.25">
      <c r="A4620" t="s">
        <v>7561</v>
      </c>
      <c r="B4620" t="s">
        <v>7562</v>
      </c>
    </row>
    <row r="4621" spans="1:2" x14ac:dyDescent="0.25">
      <c r="A4621" t="s">
        <v>7563</v>
      </c>
      <c r="B4621" t="s">
        <v>7564</v>
      </c>
    </row>
    <row r="4622" spans="1:2" x14ac:dyDescent="0.25">
      <c r="A4622" t="s">
        <v>7565</v>
      </c>
      <c r="B4622" t="s">
        <v>7566</v>
      </c>
    </row>
    <row r="4623" spans="1:2" x14ac:dyDescent="0.25">
      <c r="A4623" t="s">
        <v>7567</v>
      </c>
      <c r="B4623" t="s">
        <v>7568</v>
      </c>
    </row>
    <row r="4624" spans="1:2" x14ac:dyDescent="0.25">
      <c r="A4624" t="s">
        <v>43</v>
      </c>
      <c r="B4624" t="s">
        <v>7569</v>
      </c>
    </row>
    <row r="4625" spans="1:2" x14ac:dyDescent="0.25">
      <c r="A4625" t="s">
        <v>7570</v>
      </c>
      <c r="B4625" t="s">
        <v>7571</v>
      </c>
    </row>
    <row r="4626" spans="1:2" x14ac:dyDescent="0.25">
      <c r="A4626" t="s">
        <v>7572</v>
      </c>
      <c r="B4626" t="s">
        <v>7573</v>
      </c>
    </row>
    <row r="4627" spans="1:2" x14ac:dyDescent="0.25">
      <c r="A4627" t="s">
        <v>7574</v>
      </c>
      <c r="B4627" t="s">
        <v>7575</v>
      </c>
    </row>
    <row r="4628" spans="1:2" x14ac:dyDescent="0.25">
      <c r="A4628" t="s">
        <v>3608</v>
      </c>
      <c r="B4628" t="s">
        <v>3609</v>
      </c>
    </row>
    <row r="4629" spans="1:2" x14ac:dyDescent="0.25">
      <c r="A4629" t="s">
        <v>7576</v>
      </c>
      <c r="B4629" t="s">
        <v>7577</v>
      </c>
    </row>
    <row r="4630" spans="1:2" x14ac:dyDescent="0.25">
      <c r="A4630" t="s">
        <v>7578</v>
      </c>
      <c r="B4630" t="s">
        <v>7579</v>
      </c>
    </row>
    <row r="4631" spans="1:2" x14ac:dyDescent="0.25">
      <c r="A4631" t="s">
        <v>7580</v>
      </c>
      <c r="B4631" t="s">
        <v>7581</v>
      </c>
    </row>
    <row r="4632" spans="1:2" x14ac:dyDescent="0.25">
      <c r="A4632" t="s">
        <v>7582</v>
      </c>
      <c r="B4632" t="s">
        <v>7583</v>
      </c>
    </row>
    <row r="4633" spans="1:2" x14ac:dyDescent="0.25">
      <c r="A4633" t="s">
        <v>7584</v>
      </c>
      <c r="B4633" t="s">
        <v>7585</v>
      </c>
    </row>
    <row r="4634" spans="1:2" x14ac:dyDescent="0.25">
      <c r="A4634" t="s">
        <v>7586</v>
      </c>
      <c r="B4634" t="s">
        <v>7587</v>
      </c>
    </row>
    <row r="4635" spans="1:2" x14ac:dyDescent="0.25">
      <c r="A4635" t="s">
        <v>7588</v>
      </c>
      <c r="B4635" t="s">
        <v>7589</v>
      </c>
    </row>
    <row r="4636" spans="1:2" x14ac:dyDescent="0.25">
      <c r="A4636" t="s">
        <v>3618</v>
      </c>
      <c r="B4636" t="s">
        <v>3619</v>
      </c>
    </row>
    <row r="4637" spans="1:2" x14ac:dyDescent="0.25">
      <c r="A4637" t="s">
        <v>3622</v>
      </c>
      <c r="B4637" t="s">
        <v>3623</v>
      </c>
    </row>
    <row r="4638" spans="1:2" x14ac:dyDescent="0.25">
      <c r="A4638" t="s">
        <v>7590</v>
      </c>
      <c r="B4638" t="s">
        <v>7591</v>
      </c>
    </row>
    <row r="4639" spans="1:2" x14ac:dyDescent="0.25">
      <c r="A4639" t="s">
        <v>3626</v>
      </c>
      <c r="B4639" t="s">
        <v>3627</v>
      </c>
    </row>
    <row r="4640" spans="1:2" x14ac:dyDescent="0.25">
      <c r="A4640" t="s">
        <v>3628</v>
      </c>
      <c r="B4640" t="s">
        <v>3629</v>
      </c>
    </row>
    <row r="4641" spans="1:2" x14ac:dyDescent="0.25">
      <c r="A4641" t="s">
        <v>3630</v>
      </c>
      <c r="B4641" t="s">
        <v>3631</v>
      </c>
    </row>
    <row r="4642" spans="1:2" x14ac:dyDescent="0.25">
      <c r="A4642" t="s">
        <v>7592</v>
      </c>
      <c r="B4642" t="s">
        <v>7593</v>
      </c>
    </row>
    <row r="4643" spans="1:2" x14ac:dyDescent="0.25">
      <c r="A4643" t="s">
        <v>7594</v>
      </c>
      <c r="B4643" t="s">
        <v>7595</v>
      </c>
    </row>
    <row r="4644" spans="1:2" x14ac:dyDescent="0.25">
      <c r="A4644" t="s">
        <v>3636</v>
      </c>
      <c r="B4644" t="s">
        <v>3637</v>
      </c>
    </row>
    <row r="4645" spans="1:2" x14ac:dyDescent="0.25">
      <c r="A4645" t="s">
        <v>3638</v>
      </c>
      <c r="B4645" t="s">
        <v>3639</v>
      </c>
    </row>
    <row r="4646" spans="1:2" x14ac:dyDescent="0.25">
      <c r="A4646" t="s">
        <v>7596</v>
      </c>
      <c r="B4646" t="s">
        <v>7597</v>
      </c>
    </row>
    <row r="4647" spans="1:2" x14ac:dyDescent="0.25">
      <c r="A4647" t="s">
        <v>3640</v>
      </c>
      <c r="B4647" t="s">
        <v>3641</v>
      </c>
    </row>
    <row r="4648" spans="1:2" x14ac:dyDescent="0.25">
      <c r="A4648" t="s">
        <v>7598</v>
      </c>
      <c r="B4648" t="s">
        <v>7599</v>
      </c>
    </row>
    <row r="4649" spans="1:2" x14ac:dyDescent="0.25">
      <c r="A4649" t="s">
        <v>7600</v>
      </c>
      <c r="B4649" t="s">
        <v>7601</v>
      </c>
    </row>
    <row r="4650" spans="1:2" x14ac:dyDescent="0.25">
      <c r="A4650" t="s">
        <v>7602</v>
      </c>
      <c r="B4650" t="s">
        <v>7603</v>
      </c>
    </row>
    <row r="4651" spans="1:2" x14ac:dyDescent="0.25">
      <c r="A4651" t="s">
        <v>7604</v>
      </c>
      <c r="B4651" t="s">
        <v>7605</v>
      </c>
    </row>
    <row r="4652" spans="1:2" x14ac:dyDescent="0.25">
      <c r="A4652" t="s">
        <v>7606</v>
      </c>
      <c r="B4652" t="s">
        <v>7607</v>
      </c>
    </row>
    <row r="4653" spans="1:2" x14ac:dyDescent="0.25">
      <c r="A4653" t="s">
        <v>7608</v>
      </c>
      <c r="B4653" t="s">
        <v>7609</v>
      </c>
    </row>
    <row r="4654" spans="1:2" x14ac:dyDescent="0.25">
      <c r="A4654" t="s">
        <v>7610</v>
      </c>
      <c r="B4654" t="s">
        <v>7611</v>
      </c>
    </row>
    <row r="4655" spans="1:2" x14ac:dyDescent="0.25">
      <c r="A4655" t="s">
        <v>7612</v>
      </c>
      <c r="B4655" t="s">
        <v>7613</v>
      </c>
    </row>
    <row r="4656" spans="1:2" x14ac:dyDescent="0.25">
      <c r="A4656" t="s">
        <v>7614</v>
      </c>
      <c r="B4656" t="s">
        <v>7615</v>
      </c>
    </row>
    <row r="4657" spans="1:2" x14ac:dyDescent="0.25">
      <c r="A4657" t="s">
        <v>7616</v>
      </c>
      <c r="B4657" t="s">
        <v>7617</v>
      </c>
    </row>
    <row r="4658" spans="1:2" x14ac:dyDescent="0.25">
      <c r="A4658" t="s">
        <v>7618</v>
      </c>
      <c r="B4658" t="s">
        <v>7619</v>
      </c>
    </row>
    <row r="4659" spans="1:2" x14ac:dyDescent="0.25">
      <c r="A4659" t="s">
        <v>7620</v>
      </c>
      <c r="B4659" t="s">
        <v>7621</v>
      </c>
    </row>
    <row r="4660" spans="1:2" x14ac:dyDescent="0.25">
      <c r="A4660" t="s">
        <v>7622</v>
      </c>
      <c r="B4660" t="s">
        <v>7623</v>
      </c>
    </row>
    <row r="4661" spans="1:2" x14ac:dyDescent="0.25">
      <c r="A4661" t="s">
        <v>7624</v>
      </c>
      <c r="B4661" t="s">
        <v>7625</v>
      </c>
    </row>
    <row r="4662" spans="1:2" x14ac:dyDescent="0.25">
      <c r="A4662" t="s">
        <v>7626</v>
      </c>
      <c r="B4662" t="s">
        <v>7627</v>
      </c>
    </row>
    <row r="4663" spans="1:2" x14ac:dyDescent="0.25">
      <c r="A4663" t="s">
        <v>7628</v>
      </c>
      <c r="B4663" t="s">
        <v>7629</v>
      </c>
    </row>
    <row r="4664" spans="1:2" x14ac:dyDescent="0.25">
      <c r="A4664" t="s">
        <v>3656</v>
      </c>
      <c r="B4664" t="s">
        <v>3657</v>
      </c>
    </row>
    <row r="4665" spans="1:2" x14ac:dyDescent="0.25">
      <c r="A4665" t="s">
        <v>7630</v>
      </c>
      <c r="B4665" t="s">
        <v>7631</v>
      </c>
    </row>
    <row r="4666" spans="1:2" x14ac:dyDescent="0.25">
      <c r="A4666" t="s">
        <v>7632</v>
      </c>
      <c r="B4666" t="s">
        <v>7633</v>
      </c>
    </row>
    <row r="4667" spans="1:2" x14ac:dyDescent="0.25">
      <c r="A4667" t="s">
        <v>7634</v>
      </c>
      <c r="B4667" t="s">
        <v>7635</v>
      </c>
    </row>
    <row r="4668" spans="1:2" x14ac:dyDescent="0.25">
      <c r="A4668" t="s">
        <v>7636</v>
      </c>
      <c r="B4668" t="s">
        <v>7637</v>
      </c>
    </row>
    <row r="4669" spans="1:2" x14ac:dyDescent="0.25">
      <c r="A4669" t="s">
        <v>7638</v>
      </c>
      <c r="B4669" t="s">
        <v>7639</v>
      </c>
    </row>
    <row r="4670" spans="1:2" x14ac:dyDescent="0.25">
      <c r="A4670" t="s">
        <v>7640</v>
      </c>
      <c r="B4670" t="s">
        <v>7641</v>
      </c>
    </row>
    <row r="4671" spans="1:2" x14ac:dyDescent="0.25">
      <c r="A4671" t="s">
        <v>7642</v>
      </c>
      <c r="B4671" t="s">
        <v>7643</v>
      </c>
    </row>
    <row r="4672" spans="1:2" x14ac:dyDescent="0.25">
      <c r="A4672" t="s">
        <v>7644</v>
      </c>
      <c r="B4672" t="s">
        <v>7645</v>
      </c>
    </row>
    <row r="4673" spans="1:2" x14ac:dyDescent="0.25">
      <c r="A4673" t="s">
        <v>7646</v>
      </c>
      <c r="B4673" t="s">
        <v>7647</v>
      </c>
    </row>
    <row r="4674" spans="1:2" x14ac:dyDescent="0.25">
      <c r="A4674" t="s">
        <v>7648</v>
      </c>
      <c r="B4674" t="s">
        <v>7649</v>
      </c>
    </row>
    <row r="4675" spans="1:2" x14ac:dyDescent="0.25">
      <c r="A4675" t="s">
        <v>7650</v>
      </c>
      <c r="B4675" t="s">
        <v>7651</v>
      </c>
    </row>
    <row r="4676" spans="1:2" x14ac:dyDescent="0.25">
      <c r="A4676" t="s">
        <v>7652</v>
      </c>
      <c r="B4676" t="s">
        <v>7653</v>
      </c>
    </row>
    <row r="4677" spans="1:2" x14ac:dyDescent="0.25">
      <c r="A4677" t="s">
        <v>7654</v>
      </c>
      <c r="B4677" t="s">
        <v>7655</v>
      </c>
    </row>
    <row r="4678" spans="1:2" x14ac:dyDescent="0.25">
      <c r="A4678" t="s">
        <v>7656</v>
      </c>
      <c r="B4678" t="s">
        <v>7657</v>
      </c>
    </row>
    <row r="4679" spans="1:2" x14ac:dyDescent="0.25">
      <c r="A4679" t="s">
        <v>7658</v>
      </c>
      <c r="B4679" t="s">
        <v>7659</v>
      </c>
    </row>
    <row r="4680" spans="1:2" x14ac:dyDescent="0.25">
      <c r="A4680" t="s">
        <v>7660</v>
      </c>
      <c r="B4680" t="s">
        <v>7661</v>
      </c>
    </row>
    <row r="4681" spans="1:2" x14ac:dyDescent="0.25">
      <c r="A4681" t="s">
        <v>7662</v>
      </c>
      <c r="B4681" t="s">
        <v>7663</v>
      </c>
    </row>
    <row r="4682" spans="1:2" x14ac:dyDescent="0.25">
      <c r="A4682" t="s">
        <v>7664</v>
      </c>
      <c r="B4682" t="s">
        <v>7665</v>
      </c>
    </row>
    <row r="4683" spans="1:2" x14ac:dyDescent="0.25">
      <c r="A4683" t="s">
        <v>7666</v>
      </c>
      <c r="B4683" t="s">
        <v>7667</v>
      </c>
    </row>
    <row r="4684" spans="1:2" x14ac:dyDescent="0.25">
      <c r="A4684" t="s">
        <v>7668</v>
      </c>
      <c r="B4684" t="s">
        <v>7669</v>
      </c>
    </row>
    <row r="4685" spans="1:2" x14ac:dyDescent="0.25">
      <c r="A4685" t="s">
        <v>7670</v>
      </c>
      <c r="B4685" t="s">
        <v>7671</v>
      </c>
    </row>
    <row r="4686" spans="1:2" x14ac:dyDescent="0.25">
      <c r="A4686" t="s">
        <v>7672</v>
      </c>
      <c r="B4686" t="s">
        <v>7673</v>
      </c>
    </row>
    <row r="4687" spans="1:2" x14ac:dyDescent="0.25">
      <c r="A4687" t="s">
        <v>7674</v>
      </c>
      <c r="B4687" t="s">
        <v>7675</v>
      </c>
    </row>
    <row r="4688" spans="1:2" x14ac:dyDescent="0.25">
      <c r="A4688" t="s">
        <v>7676</v>
      </c>
      <c r="B4688" t="s">
        <v>7677</v>
      </c>
    </row>
    <row r="4689" spans="1:2" x14ac:dyDescent="0.25">
      <c r="A4689" t="s">
        <v>7678</v>
      </c>
      <c r="B4689" t="s">
        <v>7679</v>
      </c>
    </row>
    <row r="4690" spans="1:2" x14ac:dyDescent="0.25">
      <c r="A4690" t="s">
        <v>7680</v>
      </c>
      <c r="B4690" t="s">
        <v>7681</v>
      </c>
    </row>
    <row r="4691" spans="1:2" x14ac:dyDescent="0.25">
      <c r="A4691" t="s">
        <v>7682</v>
      </c>
      <c r="B4691" t="s">
        <v>7683</v>
      </c>
    </row>
    <row r="4692" spans="1:2" x14ac:dyDescent="0.25">
      <c r="A4692" t="s">
        <v>7684</v>
      </c>
      <c r="B4692" t="s">
        <v>7685</v>
      </c>
    </row>
    <row r="4693" spans="1:2" x14ac:dyDescent="0.25">
      <c r="A4693" t="s">
        <v>7686</v>
      </c>
      <c r="B4693" t="s">
        <v>7687</v>
      </c>
    </row>
    <row r="4694" spans="1:2" x14ac:dyDescent="0.25">
      <c r="A4694" t="s">
        <v>7688</v>
      </c>
      <c r="B4694" t="s">
        <v>7689</v>
      </c>
    </row>
    <row r="4695" spans="1:2" x14ac:dyDescent="0.25">
      <c r="A4695" t="s">
        <v>7690</v>
      </c>
      <c r="B4695" t="s">
        <v>7691</v>
      </c>
    </row>
    <row r="4696" spans="1:2" x14ac:dyDescent="0.25">
      <c r="A4696" t="s">
        <v>7692</v>
      </c>
      <c r="B4696" t="s">
        <v>7693</v>
      </c>
    </row>
    <row r="4697" spans="1:2" x14ac:dyDescent="0.25">
      <c r="A4697" t="s">
        <v>7694</v>
      </c>
      <c r="B4697" t="s">
        <v>7695</v>
      </c>
    </row>
    <row r="4698" spans="1:2" x14ac:dyDescent="0.25">
      <c r="A4698" t="s">
        <v>7696</v>
      </c>
      <c r="B4698" t="s">
        <v>7697</v>
      </c>
    </row>
    <row r="4699" spans="1:2" x14ac:dyDescent="0.25">
      <c r="A4699" t="s">
        <v>7698</v>
      </c>
      <c r="B4699" t="s">
        <v>7699</v>
      </c>
    </row>
    <row r="4700" spans="1:2" x14ac:dyDescent="0.25">
      <c r="A4700" t="s">
        <v>7700</v>
      </c>
      <c r="B4700" t="s">
        <v>7701</v>
      </c>
    </row>
    <row r="4701" spans="1:2" x14ac:dyDescent="0.25">
      <c r="A4701" t="s">
        <v>7702</v>
      </c>
      <c r="B4701" t="s">
        <v>7703</v>
      </c>
    </row>
    <row r="4702" spans="1:2" x14ac:dyDescent="0.25">
      <c r="A4702" t="s">
        <v>7704</v>
      </c>
      <c r="B4702" t="s">
        <v>7705</v>
      </c>
    </row>
    <row r="4703" spans="1:2" x14ac:dyDescent="0.25">
      <c r="A4703" t="s">
        <v>7706</v>
      </c>
      <c r="B4703" t="s">
        <v>7707</v>
      </c>
    </row>
    <row r="4704" spans="1:2" x14ac:dyDescent="0.25">
      <c r="A4704" t="s">
        <v>7708</v>
      </c>
      <c r="B4704" t="s">
        <v>7709</v>
      </c>
    </row>
    <row r="4705" spans="1:2" x14ac:dyDescent="0.25">
      <c r="A4705" t="s">
        <v>3749</v>
      </c>
      <c r="B4705" t="s">
        <v>7710</v>
      </c>
    </row>
    <row r="4706" spans="1:2" x14ac:dyDescent="0.25">
      <c r="A4706" t="s">
        <v>7711</v>
      </c>
      <c r="B4706" t="s">
        <v>7712</v>
      </c>
    </row>
    <row r="4707" spans="1:2" x14ac:dyDescent="0.25">
      <c r="A4707" t="s">
        <v>7713</v>
      </c>
      <c r="B4707" t="s">
        <v>7714</v>
      </c>
    </row>
    <row r="4708" spans="1:2" x14ac:dyDescent="0.25">
      <c r="A4708" t="s">
        <v>3697</v>
      </c>
      <c r="B4708" t="s">
        <v>3698</v>
      </c>
    </row>
    <row r="4709" spans="1:2" x14ac:dyDescent="0.25">
      <c r="A4709" t="s">
        <v>7715</v>
      </c>
      <c r="B4709" t="s">
        <v>7716</v>
      </c>
    </row>
    <row r="4710" spans="1:2" x14ac:dyDescent="0.25">
      <c r="A4710" t="s">
        <v>7717</v>
      </c>
      <c r="B4710" t="s">
        <v>7718</v>
      </c>
    </row>
    <row r="4711" spans="1:2" x14ac:dyDescent="0.25">
      <c r="A4711" t="s">
        <v>7719</v>
      </c>
      <c r="B4711" t="s">
        <v>7720</v>
      </c>
    </row>
    <row r="4712" spans="1:2" x14ac:dyDescent="0.25">
      <c r="A4712" t="s">
        <v>575</v>
      </c>
      <c r="B4712" t="s">
        <v>576</v>
      </c>
    </row>
    <row r="4713" spans="1:2" x14ac:dyDescent="0.25">
      <c r="A4713" t="s">
        <v>7721</v>
      </c>
      <c r="B4713" t="s">
        <v>7722</v>
      </c>
    </row>
    <row r="4714" spans="1:2" x14ac:dyDescent="0.25">
      <c r="A4714" t="s">
        <v>7723</v>
      </c>
      <c r="B4714" t="s">
        <v>7724</v>
      </c>
    </row>
    <row r="4715" spans="1:2" x14ac:dyDescent="0.25">
      <c r="A4715" t="s">
        <v>7725</v>
      </c>
      <c r="B4715" t="s">
        <v>7726</v>
      </c>
    </row>
    <row r="4716" spans="1:2" x14ac:dyDescent="0.25">
      <c r="A4716" t="s">
        <v>7727</v>
      </c>
      <c r="B4716" t="s">
        <v>7728</v>
      </c>
    </row>
    <row r="4717" spans="1:2" x14ac:dyDescent="0.25">
      <c r="A4717" t="s">
        <v>3718</v>
      </c>
      <c r="B4717" t="s">
        <v>7729</v>
      </c>
    </row>
    <row r="4718" spans="1:2" x14ac:dyDescent="0.25">
      <c r="A4718" t="s">
        <v>7730</v>
      </c>
      <c r="B4718" t="s">
        <v>7731</v>
      </c>
    </row>
    <row r="4719" spans="1:2" x14ac:dyDescent="0.25">
      <c r="A4719" t="s">
        <v>3720</v>
      </c>
      <c r="B4719" t="s">
        <v>3721</v>
      </c>
    </row>
    <row r="4720" spans="1:2" x14ac:dyDescent="0.25">
      <c r="A4720" t="s">
        <v>7732</v>
      </c>
      <c r="B4720" t="s">
        <v>7733</v>
      </c>
    </row>
    <row r="4721" spans="1:2" x14ac:dyDescent="0.25">
      <c r="A4721" t="s">
        <v>3722</v>
      </c>
      <c r="B4721" t="s">
        <v>3723</v>
      </c>
    </row>
    <row r="4722" spans="1:2" x14ac:dyDescent="0.25">
      <c r="A4722" t="s">
        <v>3724</v>
      </c>
      <c r="B4722" t="s">
        <v>3725</v>
      </c>
    </row>
    <row r="4723" spans="1:2" x14ac:dyDescent="0.25">
      <c r="A4723" t="s">
        <v>3732</v>
      </c>
      <c r="B4723" t="s">
        <v>3733</v>
      </c>
    </row>
    <row r="4724" spans="1:2" x14ac:dyDescent="0.25">
      <c r="A4724" t="s">
        <v>7734</v>
      </c>
      <c r="B4724" t="s">
        <v>7735</v>
      </c>
    </row>
    <row r="4725" spans="1:2" x14ac:dyDescent="0.25">
      <c r="A4725" t="s">
        <v>192</v>
      </c>
      <c r="B4725" t="s">
        <v>3734</v>
      </c>
    </row>
    <row r="4726" spans="1:2" x14ac:dyDescent="0.25">
      <c r="A4726" t="s">
        <v>3735</v>
      </c>
      <c r="B4726" t="s">
        <v>3736</v>
      </c>
    </row>
    <row r="4727" spans="1:2" x14ac:dyDescent="0.25">
      <c r="A4727" t="s">
        <v>7736</v>
      </c>
      <c r="B4727" t="s">
        <v>7737</v>
      </c>
    </row>
    <row r="4728" spans="1:2" x14ac:dyDescent="0.25">
      <c r="A4728" t="s">
        <v>7738</v>
      </c>
      <c r="B4728" t="s">
        <v>7739</v>
      </c>
    </row>
    <row r="4729" spans="1:2" x14ac:dyDescent="0.25">
      <c r="A4729" t="s">
        <v>7740</v>
      </c>
      <c r="B4729" t="s">
        <v>7741</v>
      </c>
    </row>
    <row r="4730" spans="1:2" x14ac:dyDescent="0.25">
      <c r="A4730" t="s">
        <v>7742</v>
      </c>
      <c r="B4730" t="s">
        <v>7743</v>
      </c>
    </row>
    <row r="4731" spans="1:2" x14ac:dyDescent="0.25">
      <c r="A4731" t="s">
        <v>7744</v>
      </c>
      <c r="B4731" t="s">
        <v>7745</v>
      </c>
    </row>
    <row r="4732" spans="1:2" x14ac:dyDescent="0.25">
      <c r="A4732" t="s">
        <v>7746</v>
      </c>
      <c r="B4732" t="s">
        <v>7747</v>
      </c>
    </row>
    <row r="4733" spans="1:2" x14ac:dyDescent="0.25">
      <c r="A4733" t="s">
        <v>7748</v>
      </c>
      <c r="B4733" t="s">
        <v>7749</v>
      </c>
    </row>
    <row r="4734" spans="1:2" x14ac:dyDescent="0.25">
      <c r="A4734" t="s">
        <v>7750</v>
      </c>
      <c r="B4734" t="s">
        <v>7751</v>
      </c>
    </row>
    <row r="4735" spans="1:2" x14ac:dyDescent="0.25">
      <c r="A4735" t="s">
        <v>7752</v>
      </c>
      <c r="B4735" t="s">
        <v>7753</v>
      </c>
    </row>
    <row r="4736" spans="1:2" x14ac:dyDescent="0.25">
      <c r="A4736" t="s">
        <v>3747</v>
      </c>
      <c r="B4736" t="s">
        <v>7754</v>
      </c>
    </row>
    <row r="4737" spans="1:2" x14ac:dyDescent="0.25">
      <c r="A4737" t="s">
        <v>7755</v>
      </c>
      <c r="B4737" t="s">
        <v>7756</v>
      </c>
    </row>
    <row r="4738" spans="1:2" x14ac:dyDescent="0.25">
      <c r="A4738" t="s">
        <v>7757</v>
      </c>
      <c r="B4738" t="s">
        <v>7758</v>
      </c>
    </row>
    <row r="4739" spans="1:2" x14ac:dyDescent="0.25">
      <c r="A4739" t="s">
        <v>7759</v>
      </c>
      <c r="B4739" t="s">
        <v>7760</v>
      </c>
    </row>
    <row r="4740" spans="1:2" x14ac:dyDescent="0.25">
      <c r="A4740" t="s">
        <v>7761</v>
      </c>
      <c r="B4740" t="s">
        <v>7762</v>
      </c>
    </row>
    <row r="4741" spans="1:2" x14ac:dyDescent="0.25">
      <c r="A4741" t="s">
        <v>7763</v>
      </c>
      <c r="B4741" t="s">
        <v>7764</v>
      </c>
    </row>
    <row r="4742" spans="1:2" x14ac:dyDescent="0.25">
      <c r="A4742" t="s">
        <v>7765</v>
      </c>
      <c r="B4742" t="s">
        <v>7766</v>
      </c>
    </row>
    <row r="4743" spans="1:2" x14ac:dyDescent="0.25">
      <c r="A4743" t="s">
        <v>7767</v>
      </c>
      <c r="B4743" t="s">
        <v>7768</v>
      </c>
    </row>
    <row r="4744" spans="1:2" x14ac:dyDescent="0.25">
      <c r="A4744" t="s">
        <v>7769</v>
      </c>
      <c r="B4744" t="s">
        <v>7770</v>
      </c>
    </row>
    <row r="4745" spans="1:2" x14ac:dyDescent="0.25">
      <c r="A4745" t="s">
        <v>7771</v>
      </c>
      <c r="B4745" t="s">
        <v>7772</v>
      </c>
    </row>
    <row r="4746" spans="1:2" x14ac:dyDescent="0.25">
      <c r="A4746" t="s">
        <v>7773</v>
      </c>
      <c r="B4746" t="s">
        <v>7774</v>
      </c>
    </row>
    <row r="4747" spans="1:2" x14ac:dyDescent="0.25">
      <c r="A4747" t="s">
        <v>7775</v>
      </c>
      <c r="B4747" t="s">
        <v>7776</v>
      </c>
    </row>
    <row r="4748" spans="1:2" x14ac:dyDescent="0.25">
      <c r="A4748" t="s">
        <v>7777</v>
      </c>
      <c r="B4748" t="s">
        <v>7778</v>
      </c>
    </row>
    <row r="4749" spans="1:2" x14ac:dyDescent="0.25">
      <c r="A4749" t="s">
        <v>7779</v>
      </c>
      <c r="B4749" t="s">
        <v>7780</v>
      </c>
    </row>
    <row r="4750" spans="1:2" x14ac:dyDescent="0.25">
      <c r="A4750" t="s">
        <v>7781</v>
      </c>
      <c r="B4750" t="s">
        <v>7782</v>
      </c>
    </row>
    <row r="4751" spans="1:2" x14ac:dyDescent="0.25">
      <c r="A4751" t="s">
        <v>7783</v>
      </c>
      <c r="B4751" t="s">
        <v>7784</v>
      </c>
    </row>
    <row r="4752" spans="1:2" x14ac:dyDescent="0.25">
      <c r="A4752" t="s">
        <v>7785</v>
      </c>
      <c r="B4752" t="s">
        <v>7786</v>
      </c>
    </row>
    <row r="4753" spans="1:2" x14ac:dyDescent="0.25">
      <c r="A4753" t="s">
        <v>7787</v>
      </c>
      <c r="B4753" t="s">
        <v>7788</v>
      </c>
    </row>
    <row r="4754" spans="1:2" x14ac:dyDescent="0.25">
      <c r="A4754" t="s">
        <v>7789</v>
      </c>
      <c r="B4754" t="s">
        <v>7790</v>
      </c>
    </row>
    <row r="4755" spans="1:2" x14ac:dyDescent="0.25">
      <c r="A4755" t="s">
        <v>7791</v>
      </c>
      <c r="B4755" t="s">
        <v>7792</v>
      </c>
    </row>
    <row r="4756" spans="1:2" x14ac:dyDescent="0.25">
      <c r="A4756" t="s">
        <v>7793</v>
      </c>
      <c r="B4756" t="s">
        <v>7794</v>
      </c>
    </row>
    <row r="4757" spans="1:2" x14ac:dyDescent="0.25">
      <c r="A4757" t="s">
        <v>7795</v>
      </c>
      <c r="B4757" t="s">
        <v>7796</v>
      </c>
    </row>
    <row r="4758" spans="1:2" x14ac:dyDescent="0.25">
      <c r="A4758" t="s">
        <v>7797</v>
      </c>
      <c r="B4758" t="s">
        <v>7798</v>
      </c>
    </row>
    <row r="4759" spans="1:2" x14ac:dyDescent="0.25">
      <c r="A4759" t="s">
        <v>7799</v>
      </c>
      <c r="B4759" t="s">
        <v>7800</v>
      </c>
    </row>
    <row r="4760" spans="1:2" x14ac:dyDescent="0.25">
      <c r="A4760" t="s">
        <v>7801</v>
      </c>
      <c r="B4760" t="s">
        <v>7802</v>
      </c>
    </row>
    <row r="4761" spans="1:2" x14ac:dyDescent="0.25">
      <c r="A4761" t="s">
        <v>7803</v>
      </c>
      <c r="B4761" t="s">
        <v>7804</v>
      </c>
    </row>
    <row r="4762" spans="1:2" x14ac:dyDescent="0.25">
      <c r="A4762" t="s">
        <v>7805</v>
      </c>
      <c r="B4762" t="s">
        <v>7806</v>
      </c>
    </row>
    <row r="4763" spans="1:2" x14ac:dyDescent="0.25">
      <c r="A4763" t="s">
        <v>7807</v>
      </c>
      <c r="B4763" t="s">
        <v>7808</v>
      </c>
    </row>
    <row r="4764" spans="1:2" x14ac:dyDescent="0.25">
      <c r="A4764" t="s">
        <v>7809</v>
      </c>
      <c r="B4764" t="s">
        <v>7810</v>
      </c>
    </row>
    <row r="4765" spans="1:2" x14ac:dyDescent="0.25">
      <c r="A4765" t="s">
        <v>7811</v>
      </c>
      <c r="B4765" t="s">
        <v>7812</v>
      </c>
    </row>
    <row r="4766" spans="1:2" x14ac:dyDescent="0.25">
      <c r="A4766" t="s">
        <v>7813</v>
      </c>
      <c r="B4766" t="s">
        <v>7814</v>
      </c>
    </row>
    <row r="4767" spans="1:2" x14ac:dyDescent="0.25">
      <c r="A4767" t="s">
        <v>7815</v>
      </c>
      <c r="B4767" t="s">
        <v>7816</v>
      </c>
    </row>
    <row r="4768" spans="1:2" x14ac:dyDescent="0.25">
      <c r="A4768" t="s">
        <v>7817</v>
      </c>
      <c r="B4768" t="s">
        <v>7818</v>
      </c>
    </row>
    <row r="4769" spans="1:2" x14ac:dyDescent="0.25">
      <c r="A4769" t="s">
        <v>3771</v>
      </c>
      <c r="B4769" t="s">
        <v>3772</v>
      </c>
    </row>
    <row r="4770" spans="1:2" x14ac:dyDescent="0.25">
      <c r="A4770" t="s">
        <v>3773</v>
      </c>
      <c r="B4770" t="s">
        <v>3774</v>
      </c>
    </row>
    <row r="4771" spans="1:2" x14ac:dyDescent="0.25">
      <c r="A4771" t="s">
        <v>7819</v>
      </c>
      <c r="B4771" t="s">
        <v>7820</v>
      </c>
    </row>
    <row r="4772" spans="1:2" x14ac:dyDescent="0.25">
      <c r="A4772" t="s">
        <v>3775</v>
      </c>
      <c r="B4772" t="s">
        <v>3776</v>
      </c>
    </row>
    <row r="4773" spans="1:2" x14ac:dyDescent="0.25">
      <c r="A4773" t="s">
        <v>7821</v>
      </c>
      <c r="B4773" t="s">
        <v>7822</v>
      </c>
    </row>
    <row r="4774" spans="1:2" x14ac:dyDescent="0.25">
      <c r="A4774" t="s">
        <v>7823</v>
      </c>
      <c r="B4774" t="s">
        <v>7824</v>
      </c>
    </row>
    <row r="4775" spans="1:2" x14ac:dyDescent="0.25">
      <c r="A4775" t="s">
        <v>7825</v>
      </c>
      <c r="B4775" t="s">
        <v>7826</v>
      </c>
    </row>
    <row r="4776" spans="1:2" x14ac:dyDescent="0.25">
      <c r="A4776" t="s">
        <v>7827</v>
      </c>
      <c r="B4776" t="s">
        <v>7828</v>
      </c>
    </row>
    <row r="4777" spans="1:2" x14ac:dyDescent="0.25">
      <c r="A4777" t="s">
        <v>7829</v>
      </c>
      <c r="B4777" t="s">
        <v>7830</v>
      </c>
    </row>
    <row r="4778" spans="1:2" x14ac:dyDescent="0.25">
      <c r="A4778" t="s">
        <v>7831</v>
      </c>
      <c r="B4778" t="s">
        <v>7832</v>
      </c>
    </row>
    <row r="4779" spans="1:2" x14ac:dyDescent="0.25">
      <c r="A4779" t="s">
        <v>7833</v>
      </c>
      <c r="B4779" t="s">
        <v>7834</v>
      </c>
    </row>
    <row r="4780" spans="1:2" x14ac:dyDescent="0.25">
      <c r="A4780" t="s">
        <v>7835</v>
      </c>
      <c r="B4780" t="s">
        <v>7836</v>
      </c>
    </row>
    <row r="4781" spans="1:2" x14ac:dyDescent="0.25">
      <c r="A4781" t="s">
        <v>4435</v>
      </c>
      <c r="B4781" t="s">
        <v>7837</v>
      </c>
    </row>
    <row r="4782" spans="1:2" x14ac:dyDescent="0.25">
      <c r="A4782" t="s">
        <v>7838</v>
      </c>
      <c r="B4782" t="s">
        <v>7839</v>
      </c>
    </row>
    <row r="4783" spans="1:2" x14ac:dyDescent="0.25">
      <c r="A4783" t="s">
        <v>3251</v>
      </c>
      <c r="B4783" t="s">
        <v>3252</v>
      </c>
    </row>
    <row r="4784" spans="1:2" x14ac:dyDescent="0.25">
      <c r="A4784" s="33" t="s">
        <v>7840</v>
      </c>
      <c r="B4784" t="s">
        <v>7841</v>
      </c>
    </row>
    <row r="4785" spans="1:2" x14ac:dyDescent="0.25">
      <c r="A4785" t="s">
        <v>7842</v>
      </c>
      <c r="B4785" t="s">
        <v>7843</v>
      </c>
    </row>
    <row r="4786" spans="1:2" x14ac:dyDescent="0.25">
      <c r="A4786" t="s">
        <v>7844</v>
      </c>
      <c r="B4786" t="s">
        <v>7845</v>
      </c>
    </row>
    <row r="4787" spans="1:2" x14ac:dyDescent="0.25">
      <c r="A4787" t="s">
        <v>7846</v>
      </c>
      <c r="B4787" t="s">
        <v>7847</v>
      </c>
    </row>
    <row r="4788" spans="1:2" x14ac:dyDescent="0.25">
      <c r="A4788" t="s">
        <v>2203</v>
      </c>
      <c r="B4788" t="s">
        <v>7848</v>
      </c>
    </row>
    <row r="4789" spans="1:2" x14ac:dyDescent="0.25">
      <c r="A4789" t="s">
        <v>4947</v>
      </c>
      <c r="B4789" t="s">
        <v>4948</v>
      </c>
    </row>
    <row r="4790" spans="1:2" x14ac:dyDescent="0.25">
      <c r="A4790" t="s">
        <v>1485</v>
      </c>
      <c r="B4790" t="s">
        <v>1367</v>
      </c>
    </row>
    <row r="4791" spans="1:2" x14ac:dyDescent="0.25">
      <c r="A4791" t="s">
        <v>7883</v>
      </c>
      <c r="B4791" t="s">
        <v>7884</v>
      </c>
    </row>
    <row r="4792" spans="1:2" x14ac:dyDescent="0.25">
      <c r="A4792" t="s">
        <v>7885</v>
      </c>
      <c r="B4792" t="s">
        <v>7886</v>
      </c>
    </row>
    <row r="4793" spans="1:2" x14ac:dyDescent="0.25">
      <c r="A4793" t="s">
        <v>7887</v>
      </c>
      <c r="B4793" t="s">
        <v>7888</v>
      </c>
    </row>
    <row r="4794" spans="1:2" x14ac:dyDescent="0.25">
      <c r="A4794" t="s">
        <v>7896</v>
      </c>
      <c r="B4794" t="s">
        <v>7897</v>
      </c>
    </row>
    <row r="4795" spans="1:2" x14ac:dyDescent="0.25">
      <c r="A4795" t="s">
        <v>7898</v>
      </c>
      <c r="B4795" t="s">
        <v>7899</v>
      </c>
    </row>
    <row r="4796" spans="1:2" x14ac:dyDescent="0.25">
      <c r="A4796" t="s">
        <v>7900</v>
      </c>
      <c r="B4796" t="s">
        <v>7901</v>
      </c>
    </row>
    <row r="4797" spans="1:2" x14ac:dyDescent="0.25">
      <c r="A4797" t="s">
        <v>7902</v>
      </c>
      <c r="B4797" t="s">
        <v>7903</v>
      </c>
    </row>
    <row r="4798" spans="1:2" x14ac:dyDescent="0.25">
      <c r="A4798" s="23" t="s">
        <v>7904</v>
      </c>
      <c r="B4798" t="s">
        <v>7905</v>
      </c>
    </row>
    <row r="4799" spans="1:2" x14ac:dyDescent="0.25">
      <c r="A4799" s="23" t="s">
        <v>7906</v>
      </c>
      <c r="B4799" t="s">
        <v>7907</v>
      </c>
    </row>
    <row r="4800" spans="1:2" x14ac:dyDescent="0.25">
      <c r="A4800" s="1" t="s">
        <v>7877</v>
      </c>
      <c r="B4800" t="s">
        <v>7878</v>
      </c>
    </row>
    <row r="4801" spans="1:2" x14ac:dyDescent="0.25">
      <c r="A4801" s="26" t="s">
        <v>7908</v>
      </c>
      <c r="B4801" s="25" t="s">
        <v>7909</v>
      </c>
    </row>
    <row r="4802" spans="1:2" x14ac:dyDescent="0.25">
      <c r="A4802" s="1" t="s">
        <v>7968</v>
      </c>
      <c r="B4802" t="s">
        <v>7969</v>
      </c>
    </row>
    <row r="4803" spans="1:2" x14ac:dyDescent="0.25">
      <c r="A4803" s="1" t="s">
        <v>1524</v>
      </c>
      <c r="B4803" t="s">
        <v>7985</v>
      </c>
    </row>
    <row r="4804" spans="1:2" x14ac:dyDescent="0.25">
      <c r="A4804" s="1" t="s">
        <v>7986</v>
      </c>
      <c r="B4804" t="s">
        <v>7987</v>
      </c>
    </row>
    <row r="4805" spans="1:2" x14ac:dyDescent="0.25">
      <c r="A4805" s="1" t="s">
        <v>7988</v>
      </c>
      <c r="B4805" t="s">
        <v>7989</v>
      </c>
    </row>
    <row r="4806" spans="1:2" x14ac:dyDescent="0.25">
      <c r="A4806" s="1" t="s">
        <v>7990</v>
      </c>
      <c r="B4806" t="s">
        <v>7991</v>
      </c>
    </row>
    <row r="4807" spans="1:2" x14ac:dyDescent="0.25">
      <c r="A4807" s="33" t="s">
        <v>8071</v>
      </c>
      <c r="B4807" t="s">
        <v>8072</v>
      </c>
    </row>
    <row r="4808" spans="1:2" x14ac:dyDescent="0.25">
      <c r="A4808" s="33" t="s">
        <v>8073</v>
      </c>
      <c r="B4808" t="s">
        <v>8074</v>
      </c>
    </row>
    <row r="4809" spans="1:2" x14ac:dyDescent="0.25">
      <c r="A4809" s="33" t="s">
        <v>8075</v>
      </c>
      <c r="B4809" t="s">
        <v>8076</v>
      </c>
    </row>
    <row r="4810" spans="1:2" x14ac:dyDescent="0.25">
      <c r="B4810" t="s">
        <v>8077</v>
      </c>
    </row>
    <row r="4811" spans="1:2" x14ac:dyDescent="0.25">
      <c r="A4811" s="34" t="s">
        <v>8116</v>
      </c>
      <c r="B4811" t="s">
        <v>8117</v>
      </c>
    </row>
    <row r="4812" spans="1:2" x14ac:dyDescent="0.25">
      <c r="A4812" s="33" t="s">
        <v>8044</v>
      </c>
      <c r="B4812" t="s">
        <v>8045</v>
      </c>
    </row>
    <row r="4813" spans="1:2" x14ac:dyDescent="0.25">
      <c r="A4813" s="33" t="s">
        <v>8119</v>
      </c>
      <c r="B4813" t="s">
        <v>8120</v>
      </c>
    </row>
    <row r="4814" spans="1:2" x14ac:dyDescent="0.25">
      <c r="A4814" s="1" t="s">
        <v>8160</v>
      </c>
      <c r="B4814" t="s">
        <v>8161</v>
      </c>
    </row>
    <row r="4815" spans="1:2" x14ac:dyDescent="0.25">
      <c r="A4815" s="1" t="s">
        <v>8162</v>
      </c>
      <c r="B4815" t="s">
        <v>8163</v>
      </c>
    </row>
    <row r="4816" spans="1:2" x14ac:dyDescent="0.25">
      <c r="A4816" s="1" t="s">
        <v>8166</v>
      </c>
      <c r="B4816" t="s">
        <v>8167</v>
      </c>
    </row>
    <row r="4817" spans="1:2" x14ac:dyDescent="0.25">
      <c r="A4817" s="1" t="s">
        <v>8646</v>
      </c>
      <c r="B4817" t="s">
        <v>8169</v>
      </c>
    </row>
    <row r="4818" spans="1:2" x14ac:dyDescent="0.25">
      <c r="A4818" s="1" t="s">
        <v>8170</v>
      </c>
      <c r="B4818" t="s">
        <v>8171</v>
      </c>
    </row>
    <row r="4819" spans="1:2" x14ac:dyDescent="0.25">
      <c r="A4819" s="1" t="s">
        <v>8172</v>
      </c>
      <c r="B4819" t="s">
        <v>8173</v>
      </c>
    </row>
    <row r="4820" spans="1:2" x14ac:dyDescent="0.25">
      <c r="A4820" s="1" t="s">
        <v>8174</v>
      </c>
      <c r="B4820" t="s">
        <v>8175</v>
      </c>
    </row>
    <row r="4821" spans="1:2" x14ac:dyDescent="0.25">
      <c r="A4821" s="1" t="s">
        <v>8176</v>
      </c>
      <c r="B4821" t="s">
        <v>8177</v>
      </c>
    </row>
    <row r="4822" spans="1:2" x14ac:dyDescent="0.25">
      <c r="A4822" s="1" t="s">
        <v>8178</v>
      </c>
      <c r="B4822" t="s">
        <v>8179</v>
      </c>
    </row>
    <row r="4823" spans="1:2" x14ac:dyDescent="0.25">
      <c r="A4823" s="1" t="s">
        <v>8213</v>
      </c>
      <c r="B4823" t="s">
        <v>8181</v>
      </c>
    </row>
    <row r="4824" spans="1:2" x14ac:dyDescent="0.25">
      <c r="A4824" s="48" t="s">
        <v>8182</v>
      </c>
      <c r="B4824" t="s">
        <v>8183</v>
      </c>
    </row>
    <row r="4825" spans="1:2" x14ac:dyDescent="0.25">
      <c r="A4825" s="47" t="s">
        <v>8647</v>
      </c>
      <c r="B4825" t="s">
        <v>8185</v>
      </c>
    </row>
    <row r="4826" spans="1:2" x14ac:dyDescent="0.25">
      <c r="A4826" s="1" t="s">
        <v>8186</v>
      </c>
      <c r="B4826" t="s">
        <v>8187</v>
      </c>
    </row>
    <row r="4827" spans="1:2" x14ac:dyDescent="0.25">
      <c r="A4827" s="49" t="s">
        <v>8188</v>
      </c>
      <c r="B4827" t="s">
        <v>8189</v>
      </c>
    </row>
    <row r="4828" spans="1:2" x14ac:dyDescent="0.25">
      <c r="A4828" s="49" t="s">
        <v>8190</v>
      </c>
      <c r="B4828" t="s">
        <v>8191</v>
      </c>
    </row>
    <row r="4829" spans="1:2" x14ac:dyDescent="0.25">
      <c r="A4829" s="49" t="s">
        <v>8192</v>
      </c>
      <c r="B4829" t="s">
        <v>8193</v>
      </c>
    </row>
    <row r="4830" spans="1:2" x14ac:dyDescent="0.25">
      <c r="A4830" s="49" t="s">
        <v>8194</v>
      </c>
      <c r="B4830" t="s">
        <v>8195</v>
      </c>
    </row>
    <row r="4831" spans="1:2" x14ac:dyDescent="0.25">
      <c r="A4831" s="49" t="s">
        <v>8196</v>
      </c>
      <c r="B4831" t="s">
        <v>8197</v>
      </c>
    </row>
    <row r="4832" spans="1:2" x14ac:dyDescent="0.25">
      <c r="A4832" s="50" t="s">
        <v>8201</v>
      </c>
      <c r="B4832" t="s">
        <v>8202</v>
      </c>
    </row>
    <row r="4833" spans="1:2" x14ac:dyDescent="0.25">
      <c r="A4833" s="50" t="s">
        <v>8203</v>
      </c>
      <c r="B4833" t="s">
        <v>8204</v>
      </c>
    </row>
    <row r="4834" spans="1:2" x14ac:dyDescent="0.25">
      <c r="A4834" s="50" t="s">
        <v>8205</v>
      </c>
      <c r="B4834" t="s">
        <v>8206</v>
      </c>
    </row>
    <row r="4835" spans="1:2" x14ac:dyDescent="0.25">
      <c r="A4835" s="50" t="s">
        <v>8650</v>
      </c>
      <c r="B4835" t="s">
        <v>8208</v>
      </c>
    </row>
    <row r="4836" spans="1:2" x14ac:dyDescent="0.25">
      <c r="A4836" s="50" t="s">
        <v>8209</v>
      </c>
      <c r="B4836" t="s">
        <v>8210</v>
      </c>
    </row>
    <row r="4837" spans="1:2" x14ac:dyDescent="0.25">
      <c r="A4837" s="50" t="s">
        <v>8211</v>
      </c>
      <c r="B4837" t="s">
        <v>8212</v>
      </c>
    </row>
    <row r="4838" spans="1:2" x14ac:dyDescent="0.25">
      <c r="A4838" s="50" t="s">
        <v>8214</v>
      </c>
      <c r="B4838" t="s">
        <v>8215</v>
      </c>
    </row>
    <row r="4839" spans="1:2" x14ac:dyDescent="0.25">
      <c r="A4839" s="50" t="s">
        <v>8216</v>
      </c>
      <c r="B4839" t="s">
        <v>8217</v>
      </c>
    </row>
    <row r="4840" spans="1:2" x14ac:dyDescent="0.25">
      <c r="A4840" s="50" t="s">
        <v>8636</v>
      </c>
      <c r="B4840" t="s">
        <v>8219</v>
      </c>
    </row>
    <row r="4841" spans="1:2" x14ac:dyDescent="0.25">
      <c r="A4841" s="50" t="s">
        <v>8220</v>
      </c>
      <c r="B4841" t="s">
        <v>8221</v>
      </c>
    </row>
    <row r="4842" spans="1:2" x14ac:dyDescent="0.25">
      <c r="A4842" s="50" t="s">
        <v>8222</v>
      </c>
      <c r="B4842" t="s">
        <v>8223</v>
      </c>
    </row>
    <row r="4843" spans="1:2" x14ac:dyDescent="0.25">
      <c r="A4843" s="50" t="s">
        <v>8224</v>
      </c>
      <c r="B4843" t="s">
        <v>8225</v>
      </c>
    </row>
    <row r="4844" spans="1:2" x14ac:dyDescent="0.25">
      <c r="A4844" s="50" t="s">
        <v>8226</v>
      </c>
      <c r="B4844" t="s">
        <v>8227</v>
      </c>
    </row>
    <row r="4845" spans="1:2" x14ac:dyDescent="0.25">
      <c r="A4845" s="50" t="s">
        <v>8719</v>
      </c>
      <c r="B4845" t="s">
        <v>8229</v>
      </c>
    </row>
    <row r="4846" spans="1:2" x14ac:dyDescent="0.25">
      <c r="A4846" s="52" t="s">
        <v>8230</v>
      </c>
      <c r="B4846" s="25" t="s">
        <v>8231</v>
      </c>
    </row>
    <row r="4847" spans="1:2" x14ac:dyDescent="0.25">
      <c r="A4847" s="52" t="s">
        <v>8232</v>
      </c>
      <c r="B4847" s="25" t="s">
        <v>8233</v>
      </c>
    </row>
    <row r="4848" spans="1:2" x14ac:dyDescent="0.25">
      <c r="A4848" s="52" t="s">
        <v>8718</v>
      </c>
      <c r="B4848" s="25" t="s">
        <v>8235</v>
      </c>
    </row>
    <row r="4849" spans="1:2" x14ac:dyDescent="0.25">
      <c r="A4849" s="52" t="s">
        <v>8236</v>
      </c>
      <c r="B4849" s="25" t="s">
        <v>8237</v>
      </c>
    </row>
    <row r="4850" spans="1:2" x14ac:dyDescent="0.25">
      <c r="A4850" s="52" t="s">
        <v>8239</v>
      </c>
      <c r="B4850" s="25" t="s">
        <v>8240</v>
      </c>
    </row>
    <row r="4851" spans="1:2" x14ac:dyDescent="0.25">
      <c r="A4851" s="52" t="s">
        <v>8241</v>
      </c>
      <c r="B4851" s="25" t="s">
        <v>8242</v>
      </c>
    </row>
    <row r="4852" spans="1:2" x14ac:dyDescent="0.25">
      <c r="A4852" s="52" t="s">
        <v>8243</v>
      </c>
      <c r="B4852" s="25" t="s">
        <v>8244</v>
      </c>
    </row>
    <row r="4853" spans="1:2" x14ac:dyDescent="0.25">
      <c r="A4853" s="52" t="s">
        <v>8245</v>
      </c>
      <c r="B4853" s="25" t="s">
        <v>8246</v>
      </c>
    </row>
    <row r="4854" spans="1:2" x14ac:dyDescent="0.25">
      <c r="A4854" s="52" t="s">
        <v>8247</v>
      </c>
      <c r="B4854" s="25" t="s">
        <v>8248</v>
      </c>
    </row>
    <row r="4855" spans="1:2" x14ac:dyDescent="0.25">
      <c r="A4855" s="52" t="s">
        <v>8249</v>
      </c>
      <c r="B4855" s="25" t="s">
        <v>8250</v>
      </c>
    </row>
    <row r="4856" spans="1:2" x14ac:dyDescent="0.25">
      <c r="A4856" s="52" t="s">
        <v>8251</v>
      </c>
      <c r="B4856" s="25" t="s">
        <v>8252</v>
      </c>
    </row>
    <row r="4857" spans="1:2" x14ac:dyDescent="0.25">
      <c r="A4857" s="52" t="s">
        <v>8253</v>
      </c>
      <c r="B4857" s="25" t="s">
        <v>8254</v>
      </c>
    </row>
    <row r="4858" spans="1:2" x14ac:dyDescent="0.25">
      <c r="A4858" s="52" t="s">
        <v>8748</v>
      </c>
      <c r="B4858" s="25" t="s">
        <v>8256</v>
      </c>
    </row>
    <row r="4859" spans="1:2" x14ac:dyDescent="0.25">
      <c r="A4859" s="52" t="s">
        <v>8257</v>
      </c>
      <c r="B4859" s="25" t="s">
        <v>8258</v>
      </c>
    </row>
    <row r="4860" spans="1:2" x14ac:dyDescent="0.25">
      <c r="A4860" s="52" t="s">
        <v>8259</v>
      </c>
      <c r="B4860" s="25" t="s">
        <v>8260</v>
      </c>
    </row>
    <row r="4861" spans="1:2" x14ac:dyDescent="0.25">
      <c r="A4861" s="52" t="s">
        <v>8261</v>
      </c>
      <c r="B4861" s="25" t="s">
        <v>8262</v>
      </c>
    </row>
    <row r="4862" spans="1:2" x14ac:dyDescent="0.25">
      <c r="A4862" s="52" t="s">
        <v>8263</v>
      </c>
      <c r="B4862" s="25" t="s">
        <v>8264</v>
      </c>
    </row>
    <row r="4863" spans="1:2" x14ac:dyDescent="0.25">
      <c r="A4863" s="52" t="s">
        <v>8265</v>
      </c>
      <c r="B4863" s="25" t="s">
        <v>8266</v>
      </c>
    </row>
    <row r="4864" spans="1:2" x14ac:dyDescent="0.25">
      <c r="A4864" s="52" t="s">
        <v>8717</v>
      </c>
      <c r="B4864" s="25" t="s">
        <v>8268</v>
      </c>
    </row>
    <row r="4865" spans="1:2" x14ac:dyDescent="0.25">
      <c r="A4865" s="52" t="s">
        <v>8269</v>
      </c>
      <c r="B4865" s="25" t="s">
        <v>8270</v>
      </c>
    </row>
    <row r="4866" spans="1:2" x14ac:dyDescent="0.25">
      <c r="A4866" s="52" t="s">
        <v>8657</v>
      </c>
      <c r="B4866" s="25" t="s">
        <v>8272</v>
      </c>
    </row>
    <row r="4867" spans="1:2" x14ac:dyDescent="0.25">
      <c r="A4867" s="52" t="s">
        <v>8273</v>
      </c>
      <c r="B4867" s="25" t="s">
        <v>8274</v>
      </c>
    </row>
    <row r="4868" spans="1:2" x14ac:dyDescent="0.25">
      <c r="A4868" s="52" t="s">
        <v>8275</v>
      </c>
      <c r="B4868" s="25" t="s">
        <v>8276</v>
      </c>
    </row>
    <row r="4869" spans="1:2" x14ac:dyDescent="0.25">
      <c r="A4869" s="52" t="s">
        <v>8277</v>
      </c>
      <c r="B4869" s="25" t="s">
        <v>8278</v>
      </c>
    </row>
    <row r="4870" spans="1:2" x14ac:dyDescent="0.25">
      <c r="A4870" s="52" t="s">
        <v>8708</v>
      </c>
      <c r="B4870" s="25" t="s">
        <v>8280</v>
      </c>
    </row>
    <row r="4871" spans="1:2" x14ac:dyDescent="0.25">
      <c r="A4871" s="50" t="s">
        <v>8281</v>
      </c>
      <c r="B4871" s="25" t="s">
        <v>8282</v>
      </c>
    </row>
    <row r="4872" spans="1:2" x14ac:dyDescent="0.25">
      <c r="A4872" s="52" t="s">
        <v>8283</v>
      </c>
      <c r="B4872" s="25" t="s">
        <v>8284</v>
      </c>
    </row>
    <row r="4873" spans="1:2" x14ac:dyDescent="0.25">
      <c r="A4873" s="52" t="s">
        <v>8285</v>
      </c>
      <c r="B4873" s="25" t="s">
        <v>8286</v>
      </c>
    </row>
    <row r="4874" spans="1:2" x14ac:dyDescent="0.25">
      <c r="A4874" s="52" t="s">
        <v>8287</v>
      </c>
      <c r="B4874" s="25" t="s">
        <v>8288</v>
      </c>
    </row>
    <row r="4875" spans="1:2" x14ac:dyDescent="0.25">
      <c r="A4875" s="52" t="s">
        <v>8289</v>
      </c>
      <c r="B4875" s="25" t="s">
        <v>8290</v>
      </c>
    </row>
    <row r="4876" spans="1:2" x14ac:dyDescent="0.25">
      <c r="A4876" s="52" t="s">
        <v>8291</v>
      </c>
      <c r="B4876" s="25" t="s">
        <v>8292</v>
      </c>
    </row>
    <row r="4877" spans="1:2" x14ac:dyDescent="0.25">
      <c r="A4877" s="52" t="s">
        <v>8328</v>
      </c>
      <c r="B4877" s="25" t="s">
        <v>8294</v>
      </c>
    </row>
    <row r="4878" spans="1:2" x14ac:dyDescent="0.25">
      <c r="A4878" s="52" t="s">
        <v>8295</v>
      </c>
      <c r="B4878" s="25" t="s">
        <v>935</v>
      </c>
    </row>
    <row r="4879" spans="1:2" x14ac:dyDescent="0.25">
      <c r="A4879" s="52" t="s">
        <v>8296</v>
      </c>
      <c r="B4879" s="25" t="s">
        <v>8297</v>
      </c>
    </row>
    <row r="4880" spans="1:2" x14ac:dyDescent="0.25">
      <c r="A4880" s="52" t="s">
        <v>8298</v>
      </c>
      <c r="B4880" s="25" t="s">
        <v>8299</v>
      </c>
    </row>
    <row r="4881" spans="1:2" x14ac:dyDescent="0.25">
      <c r="A4881" s="52" t="s">
        <v>8300</v>
      </c>
      <c r="B4881" s="25" t="s">
        <v>8301</v>
      </c>
    </row>
    <row r="4882" spans="1:2" x14ac:dyDescent="0.25">
      <c r="A4882" s="52" t="s">
        <v>8302</v>
      </c>
      <c r="B4882" s="25" t="s">
        <v>8303</v>
      </c>
    </row>
    <row r="4883" spans="1:2" x14ac:dyDescent="0.25">
      <c r="A4883" s="52" t="s">
        <v>8304</v>
      </c>
      <c r="B4883" s="25" t="s">
        <v>8305</v>
      </c>
    </row>
    <row r="4884" spans="1:2" x14ac:dyDescent="0.25">
      <c r="A4884" s="52" t="s">
        <v>8306</v>
      </c>
      <c r="B4884" s="25" t="s">
        <v>8307</v>
      </c>
    </row>
    <row r="4885" spans="1:2" x14ac:dyDescent="0.25">
      <c r="A4885" s="52" t="s">
        <v>8308</v>
      </c>
      <c r="B4885" s="25" t="s">
        <v>8309</v>
      </c>
    </row>
    <row r="4886" spans="1:2" x14ac:dyDescent="0.25">
      <c r="A4886" s="52" t="s">
        <v>8310</v>
      </c>
      <c r="B4886" s="25" t="s">
        <v>8311</v>
      </c>
    </row>
    <row r="4887" spans="1:2" x14ac:dyDescent="0.25">
      <c r="A4887" s="52" t="s">
        <v>8312</v>
      </c>
      <c r="B4887" s="25" t="s">
        <v>8313</v>
      </c>
    </row>
    <row r="4888" spans="1:2" x14ac:dyDescent="0.25">
      <c r="A4888" s="52" t="s">
        <v>8314</v>
      </c>
      <c r="B4888" s="25" t="s">
        <v>8315</v>
      </c>
    </row>
    <row r="4889" spans="1:2" x14ac:dyDescent="0.25">
      <c r="A4889" s="52" t="s">
        <v>8316</v>
      </c>
      <c r="B4889" s="25" t="s">
        <v>8317</v>
      </c>
    </row>
    <row r="4890" spans="1:2" x14ac:dyDescent="0.25">
      <c r="A4890" s="52" t="s">
        <v>8318</v>
      </c>
      <c r="B4890" s="25" t="s">
        <v>8319</v>
      </c>
    </row>
    <row r="4891" spans="1:2" x14ac:dyDescent="0.25">
      <c r="A4891" s="52" t="s">
        <v>8320</v>
      </c>
      <c r="B4891" s="25" t="s">
        <v>8321</v>
      </c>
    </row>
    <row r="4892" spans="1:2" x14ac:dyDescent="0.25">
      <c r="A4892" s="52" t="s">
        <v>8322</v>
      </c>
      <c r="B4892" s="25" t="s">
        <v>8323</v>
      </c>
    </row>
    <row r="4893" spans="1:2" x14ac:dyDescent="0.25">
      <c r="A4893" s="52" t="s">
        <v>8324</v>
      </c>
      <c r="B4893" s="25" t="s">
        <v>8325</v>
      </c>
    </row>
    <row r="4894" spans="1:2" x14ac:dyDescent="0.25">
      <c r="A4894" s="52" t="s">
        <v>8326</v>
      </c>
      <c r="B4894" s="25" t="s">
        <v>8327</v>
      </c>
    </row>
    <row r="4895" spans="1:2" x14ac:dyDescent="0.25">
      <c r="A4895" s="53" t="s">
        <v>8329</v>
      </c>
      <c r="B4895" s="25" t="s">
        <v>8330</v>
      </c>
    </row>
    <row r="4896" spans="1:2" x14ac:dyDescent="0.25">
      <c r="A4896" s="54" t="s">
        <v>8331</v>
      </c>
      <c r="B4896" s="25" t="s">
        <v>8332</v>
      </c>
    </row>
    <row r="4897" spans="1:2" x14ac:dyDescent="0.25">
      <c r="A4897" s="33" t="s">
        <v>8336</v>
      </c>
      <c r="B4897" s="25" t="s">
        <v>8337</v>
      </c>
    </row>
    <row r="4898" spans="1:2" x14ac:dyDescent="0.25">
      <c r="A4898" s="55" t="s">
        <v>8350</v>
      </c>
      <c r="B4898" s="25" t="s">
        <v>8351</v>
      </c>
    </row>
    <row r="4899" spans="1:2" x14ac:dyDescent="0.25">
      <c r="A4899" s="34" t="s">
        <v>8361</v>
      </c>
      <c r="B4899" t="s">
        <v>8362</v>
      </c>
    </row>
    <row r="4900" spans="1:2" x14ac:dyDescent="0.25">
      <c r="A4900" s="34" t="s">
        <v>8363</v>
      </c>
      <c r="B4900" t="s">
        <v>8364</v>
      </c>
    </row>
    <row r="4901" spans="1:2" x14ac:dyDescent="0.25">
      <c r="A4901" s="34" t="s">
        <v>8365</v>
      </c>
      <c r="B4901" t="s">
        <v>8366</v>
      </c>
    </row>
    <row r="4902" spans="1:2" x14ac:dyDescent="0.25">
      <c r="A4902" s="34" t="s">
        <v>8368</v>
      </c>
      <c r="B4902" t="s">
        <v>8369</v>
      </c>
    </row>
    <row r="4903" spans="1:2" x14ac:dyDescent="0.25">
      <c r="A4903" s="1" t="s">
        <v>8371</v>
      </c>
      <c r="B4903" t="s">
        <v>8372</v>
      </c>
    </row>
    <row r="4904" spans="1:2" x14ac:dyDescent="0.25">
      <c r="A4904" s="1" t="s">
        <v>8383</v>
      </c>
      <c r="B4904" t="s">
        <v>8384</v>
      </c>
    </row>
    <row r="4905" spans="1:2" x14ac:dyDescent="0.25">
      <c r="A4905" s="54" t="s">
        <v>8391</v>
      </c>
      <c r="B4905" s="25" t="s">
        <v>8392</v>
      </c>
    </row>
    <row r="4906" spans="1:2" x14ac:dyDescent="0.25">
      <c r="A4906" s="54" t="s">
        <v>8393</v>
      </c>
      <c r="B4906" s="25" t="s">
        <v>8394</v>
      </c>
    </row>
    <row r="4907" spans="1:2" x14ac:dyDescent="0.25">
      <c r="A4907" s="54" t="s">
        <v>8396</v>
      </c>
      <c r="B4907" s="25" t="s">
        <v>8397</v>
      </c>
    </row>
    <row r="4908" spans="1:2" x14ac:dyDescent="0.25">
      <c r="A4908" s="54" t="s">
        <v>8399</v>
      </c>
      <c r="B4908" s="25" t="s">
        <v>8400</v>
      </c>
    </row>
    <row r="4909" spans="1:2" x14ac:dyDescent="0.25">
      <c r="A4909" s="54" t="s">
        <v>8402</v>
      </c>
      <c r="B4909" s="25" t="s">
        <v>8403</v>
      </c>
    </row>
    <row r="4910" spans="1:2" x14ac:dyDescent="0.25">
      <c r="A4910" s="54" t="s">
        <v>8404</v>
      </c>
      <c r="B4910" s="25" t="s">
        <v>8405</v>
      </c>
    </row>
    <row r="4911" spans="1:2" x14ac:dyDescent="0.25">
      <c r="A4911" s="53" t="s">
        <v>8407</v>
      </c>
      <c r="B4911" s="25" t="s">
        <v>8408</v>
      </c>
    </row>
    <row r="4912" spans="1:2" x14ac:dyDescent="0.25">
      <c r="A4912" s="54" t="s">
        <v>8410</v>
      </c>
      <c r="B4912" s="25" t="s">
        <v>8411</v>
      </c>
    </row>
    <row r="4913" spans="1:2" x14ac:dyDescent="0.25">
      <c r="A4913" s="54" t="s">
        <v>8412</v>
      </c>
      <c r="B4913" s="25" t="s">
        <v>8413</v>
      </c>
    </row>
    <row r="4914" spans="1:2" x14ac:dyDescent="0.25">
      <c r="A4914" s="54" t="s">
        <v>8414</v>
      </c>
      <c r="B4914" s="25" t="s">
        <v>8415</v>
      </c>
    </row>
    <row r="4915" spans="1:2" x14ac:dyDescent="0.25">
      <c r="A4915" s="54" t="s">
        <v>8416</v>
      </c>
      <c r="B4915" s="25" t="s">
        <v>8417</v>
      </c>
    </row>
    <row r="4916" spans="1:2" x14ac:dyDescent="0.25">
      <c r="A4916" s="54" t="s">
        <v>8418</v>
      </c>
      <c r="B4916" s="25" t="s">
        <v>8419</v>
      </c>
    </row>
    <row r="4917" spans="1:2" x14ac:dyDescent="0.25">
      <c r="A4917" s="54" t="s">
        <v>8421</v>
      </c>
      <c r="B4917" s="25" t="s">
        <v>8422</v>
      </c>
    </row>
    <row r="4918" spans="1:2" x14ac:dyDescent="0.25">
      <c r="A4918" s="54" t="s">
        <v>8424</v>
      </c>
      <c r="B4918" s="25" t="s">
        <v>8425</v>
      </c>
    </row>
    <row r="4919" spans="1:2" x14ac:dyDescent="0.25">
      <c r="A4919" s="54" t="s">
        <v>8426</v>
      </c>
      <c r="B4919" s="25" t="s">
        <v>8427</v>
      </c>
    </row>
    <row r="4920" spans="1:2" x14ac:dyDescent="0.25">
      <c r="A4920" s="54" t="s">
        <v>8428</v>
      </c>
      <c r="B4920" s="25" t="s">
        <v>8429</v>
      </c>
    </row>
    <row r="4921" spans="1:2" x14ac:dyDescent="0.25">
      <c r="A4921" s="54" t="s">
        <v>8431</v>
      </c>
      <c r="B4921" s="25" t="s">
        <v>8432</v>
      </c>
    </row>
    <row r="4922" spans="1:2" x14ac:dyDescent="0.25">
      <c r="A4922" s="54" t="s">
        <v>8433</v>
      </c>
      <c r="B4922" s="25" t="s">
        <v>8434</v>
      </c>
    </row>
    <row r="4923" spans="1:2" x14ac:dyDescent="0.25">
      <c r="A4923" s="54" t="s">
        <v>8436</v>
      </c>
      <c r="B4923" s="25" t="s">
        <v>8437</v>
      </c>
    </row>
    <row r="4924" spans="1:2" x14ac:dyDescent="0.25">
      <c r="A4924" s="54" t="s">
        <v>8438</v>
      </c>
      <c r="B4924" s="25" t="s">
        <v>8439</v>
      </c>
    </row>
    <row r="4925" spans="1:2" x14ac:dyDescent="0.25">
      <c r="A4925" s="54" t="s">
        <v>8441</v>
      </c>
      <c r="B4925" s="25" t="s">
        <v>8442</v>
      </c>
    </row>
    <row r="4926" spans="1:2" x14ac:dyDescent="0.25">
      <c r="A4926" s="54" t="s">
        <v>8445</v>
      </c>
      <c r="B4926" s="25" t="s">
        <v>8446</v>
      </c>
    </row>
    <row r="4927" spans="1:2" x14ac:dyDescent="0.25">
      <c r="A4927" s="54" t="s">
        <v>8448</v>
      </c>
      <c r="B4927" s="25" t="s">
        <v>8449</v>
      </c>
    </row>
    <row r="4928" spans="1:2" x14ac:dyDescent="0.25">
      <c r="A4928" s="54" t="s">
        <v>8451</v>
      </c>
      <c r="B4928" s="25" t="s">
        <v>8452</v>
      </c>
    </row>
    <row r="4929" spans="1:2" x14ac:dyDescent="0.25">
      <c r="A4929" s="54" t="s">
        <v>8651</v>
      </c>
      <c r="B4929" s="25" t="s">
        <v>8454</v>
      </c>
    </row>
    <row r="4930" spans="1:2" x14ac:dyDescent="0.25">
      <c r="A4930" s="54" t="s">
        <v>8456</v>
      </c>
      <c r="B4930" s="25" t="s">
        <v>8457</v>
      </c>
    </row>
    <row r="4931" spans="1:2" x14ac:dyDescent="0.25">
      <c r="A4931" s="54" t="s">
        <v>8458</v>
      </c>
      <c r="B4931" s="25" t="s">
        <v>8459</v>
      </c>
    </row>
    <row r="4932" spans="1:2" x14ac:dyDescent="0.25">
      <c r="A4932" s="54" t="s">
        <v>8460</v>
      </c>
      <c r="B4932" s="25" t="s">
        <v>8461</v>
      </c>
    </row>
    <row r="4933" spans="1:2" x14ac:dyDescent="0.25">
      <c r="A4933" s="54" t="s">
        <v>8462</v>
      </c>
      <c r="B4933" s="25" t="s">
        <v>8463</v>
      </c>
    </row>
    <row r="4934" spans="1:2" x14ac:dyDescent="0.25">
      <c r="A4934" s="53" t="s">
        <v>8467</v>
      </c>
      <c r="B4934" s="25" t="s">
        <v>8468</v>
      </c>
    </row>
    <row r="4935" spans="1:2" x14ac:dyDescent="0.25">
      <c r="A4935" s="54" t="s">
        <v>8469</v>
      </c>
      <c r="B4935" s="25" t="s">
        <v>8470</v>
      </c>
    </row>
    <row r="4936" spans="1:2" x14ac:dyDescent="0.25">
      <c r="A4936" s="54" t="s">
        <v>8472</v>
      </c>
      <c r="B4936" s="25" t="s">
        <v>8473</v>
      </c>
    </row>
    <row r="4937" spans="1:2" x14ac:dyDescent="0.25">
      <c r="A4937" s="54" t="s">
        <v>8474</v>
      </c>
      <c r="B4937" s="25" t="s">
        <v>8475</v>
      </c>
    </row>
    <row r="4938" spans="1:2" x14ac:dyDescent="0.25">
      <c r="A4938" s="54" t="s">
        <v>8476</v>
      </c>
      <c r="B4938" s="25" t="s">
        <v>8477</v>
      </c>
    </row>
    <row r="4939" spans="1:2" x14ac:dyDescent="0.25">
      <c r="A4939" s="54" t="s">
        <v>8478</v>
      </c>
      <c r="B4939" s="25" t="s">
        <v>803</v>
      </c>
    </row>
    <row r="4940" spans="1:2" x14ac:dyDescent="0.25">
      <c r="A4940" s="54" t="s">
        <v>8480</v>
      </c>
      <c r="B4940" s="25" t="s">
        <v>8481</v>
      </c>
    </row>
    <row r="4941" spans="1:2" x14ac:dyDescent="0.25">
      <c r="A4941" s="54" t="s">
        <v>8482</v>
      </c>
      <c r="B4941" s="25" t="s">
        <v>8483</v>
      </c>
    </row>
    <row r="4942" spans="1:2" x14ac:dyDescent="0.25">
      <c r="A4942" s="1" t="s">
        <v>8493</v>
      </c>
      <c r="B4942" t="s">
        <v>8494</v>
      </c>
    </row>
    <row r="4943" spans="1:2" x14ac:dyDescent="0.25">
      <c r="A4943" s="1" t="s">
        <v>8496</v>
      </c>
      <c r="B4943" t="s">
        <v>8497</v>
      </c>
    </row>
    <row r="4944" spans="1:2" x14ac:dyDescent="0.25">
      <c r="A4944" s="1" t="s">
        <v>8498</v>
      </c>
      <c r="B4944" t="s">
        <v>8499</v>
      </c>
    </row>
    <row r="4945" spans="1:2" x14ac:dyDescent="0.25">
      <c r="A4945" s="1" t="s">
        <v>8500</v>
      </c>
      <c r="B4945" t="s">
        <v>8501</v>
      </c>
    </row>
    <row r="4946" spans="1:2" x14ac:dyDescent="0.25">
      <c r="A4946" s="1" t="s">
        <v>8502</v>
      </c>
      <c r="B4946" t="s">
        <v>8503</v>
      </c>
    </row>
    <row r="4947" spans="1:2" x14ac:dyDescent="0.25">
      <c r="A4947" s="1" t="s">
        <v>8504</v>
      </c>
      <c r="B4947" t="s">
        <v>8505</v>
      </c>
    </row>
    <row r="4948" spans="1:2" x14ac:dyDescent="0.25">
      <c r="A4948" s="1" t="s">
        <v>8507</v>
      </c>
      <c r="B4948" t="s">
        <v>8508</v>
      </c>
    </row>
    <row r="4949" spans="1:2" x14ac:dyDescent="0.25">
      <c r="A4949" s="1" t="s">
        <v>8510</v>
      </c>
      <c r="B4949" t="s">
        <v>8511</v>
      </c>
    </row>
    <row r="4950" spans="1:2" x14ac:dyDescent="0.25">
      <c r="A4950" s="1" t="s">
        <v>8512</v>
      </c>
      <c r="B4950" t="s">
        <v>8513</v>
      </c>
    </row>
    <row r="4951" spans="1:2" x14ac:dyDescent="0.25">
      <c r="A4951" s="1" t="s">
        <v>8514</v>
      </c>
      <c r="B4951" t="s">
        <v>8515</v>
      </c>
    </row>
    <row r="4952" spans="1:2" x14ac:dyDescent="0.25">
      <c r="A4952" s="1" t="s">
        <v>8516</v>
      </c>
      <c r="B4952" t="s">
        <v>8517</v>
      </c>
    </row>
    <row r="4953" spans="1:2" x14ac:dyDescent="0.25">
      <c r="A4953" s="1" t="s">
        <v>8540</v>
      </c>
      <c r="B4953" t="s">
        <v>1165</v>
      </c>
    </row>
    <row r="4954" spans="1:2" x14ac:dyDescent="0.25">
      <c r="A4954" s="1" t="s">
        <v>8541</v>
      </c>
      <c r="B4954" t="s">
        <v>8542</v>
      </c>
    </row>
    <row r="4955" spans="1:2" x14ac:dyDescent="0.25">
      <c r="A4955" s="1" t="s">
        <v>8544</v>
      </c>
      <c r="B4955" t="s">
        <v>8545</v>
      </c>
    </row>
    <row r="4956" spans="1:2" x14ac:dyDescent="0.25">
      <c r="A4956" s="1" t="s">
        <v>8546</v>
      </c>
      <c r="B4956" t="s">
        <v>1351</v>
      </c>
    </row>
    <row r="4957" spans="1:2" x14ac:dyDescent="0.25">
      <c r="A4957" s="1" t="s">
        <v>8547</v>
      </c>
      <c r="B4957" t="s">
        <v>8548</v>
      </c>
    </row>
    <row r="4958" spans="1:2" x14ac:dyDescent="0.25">
      <c r="A4958" s="1" t="s">
        <v>8549</v>
      </c>
      <c r="B4958" t="s">
        <v>8550</v>
      </c>
    </row>
    <row r="4959" spans="1:2" x14ac:dyDescent="0.25">
      <c r="A4959" s="34" t="s">
        <v>8310</v>
      </c>
      <c r="B4959" t="s">
        <v>8311</v>
      </c>
    </row>
    <row r="4960" spans="1:2" x14ac:dyDescent="0.25">
      <c r="A4960" s="1" t="s">
        <v>8551</v>
      </c>
      <c r="B4960" t="s">
        <v>8552</v>
      </c>
    </row>
    <row r="4961" spans="1:2" x14ac:dyDescent="0.25">
      <c r="A4961" s="1" t="s">
        <v>8553</v>
      </c>
      <c r="B4961" t="s">
        <v>8554</v>
      </c>
    </row>
    <row r="4962" spans="1:2" x14ac:dyDescent="0.25">
      <c r="A4962" s="1" t="s">
        <v>8555</v>
      </c>
      <c r="B4962" t="s">
        <v>8556</v>
      </c>
    </row>
    <row r="4963" spans="1:2" x14ac:dyDescent="0.25">
      <c r="A4963" s="1" t="s">
        <v>8557</v>
      </c>
      <c r="B4963" t="s">
        <v>8558</v>
      </c>
    </row>
    <row r="4964" spans="1:2" x14ac:dyDescent="0.25">
      <c r="A4964" s="1" t="s">
        <v>8559</v>
      </c>
      <c r="B4964" t="s">
        <v>8560</v>
      </c>
    </row>
    <row r="4965" spans="1:2" x14ac:dyDescent="0.25">
      <c r="A4965" s="1" t="s">
        <v>8561</v>
      </c>
      <c r="B4965" t="s">
        <v>8562</v>
      </c>
    </row>
    <row r="4966" spans="1:2" x14ac:dyDescent="0.25">
      <c r="A4966" s="1" t="s">
        <v>8563</v>
      </c>
      <c r="B4966" t="s">
        <v>8564</v>
      </c>
    </row>
    <row r="4967" spans="1:2" x14ac:dyDescent="0.25">
      <c r="A4967" s="1" t="s">
        <v>8565</v>
      </c>
      <c r="B4967" t="s">
        <v>8566</v>
      </c>
    </row>
    <row r="4968" spans="1:2" x14ac:dyDescent="0.25">
      <c r="A4968" s="1" t="s">
        <v>8567</v>
      </c>
      <c r="B4968" t="s">
        <v>8568</v>
      </c>
    </row>
    <row r="4969" spans="1:2" x14ac:dyDescent="0.25">
      <c r="A4969" s="1" t="s">
        <v>8569</v>
      </c>
      <c r="B4969" t="s">
        <v>8570</v>
      </c>
    </row>
    <row r="4970" spans="1:2" x14ac:dyDescent="0.25">
      <c r="A4970" s="1" t="s">
        <v>8571</v>
      </c>
      <c r="B4970" t="s">
        <v>8572</v>
      </c>
    </row>
    <row r="4971" spans="1:2" x14ac:dyDescent="0.25">
      <c r="A4971" s="1" t="s">
        <v>8573</v>
      </c>
      <c r="B4971" t="s">
        <v>8574</v>
      </c>
    </row>
    <row r="4972" spans="1:2" x14ac:dyDescent="0.25">
      <c r="A4972" s="1" t="s">
        <v>8579</v>
      </c>
      <c r="B4972" t="s">
        <v>8580</v>
      </c>
    </row>
    <row r="4973" spans="1:2" x14ac:dyDescent="0.25">
      <c r="A4973" s="1" t="s">
        <v>8581</v>
      </c>
      <c r="B4973" t="s">
        <v>8582</v>
      </c>
    </row>
    <row r="4974" spans="1:2" x14ac:dyDescent="0.25">
      <c r="A4974" s="1" t="s">
        <v>8583</v>
      </c>
      <c r="B4974" t="s">
        <v>8584</v>
      </c>
    </row>
    <row r="4975" spans="1:2" x14ac:dyDescent="0.25">
      <c r="A4975" s="34" t="s">
        <v>8586</v>
      </c>
      <c r="B4975" t="s">
        <v>8587</v>
      </c>
    </row>
    <row r="4976" spans="1:2" x14ac:dyDescent="0.25">
      <c r="A4976" s="1" t="s">
        <v>8590</v>
      </c>
      <c r="B4976" t="s">
        <v>8591</v>
      </c>
    </row>
    <row r="4977" spans="1:2" x14ac:dyDescent="0.25">
      <c r="A4977" s="1" t="s">
        <v>8592</v>
      </c>
      <c r="B4977" t="s">
        <v>8593</v>
      </c>
    </row>
    <row r="4978" spans="1:2" x14ac:dyDescent="0.25">
      <c r="A4978" s="1" t="s">
        <v>8596</v>
      </c>
      <c r="B4978" t="s">
        <v>8597</v>
      </c>
    </row>
    <row r="4979" spans="1:2" x14ac:dyDescent="0.25">
      <c r="A4979" s="1" t="s">
        <v>8598</v>
      </c>
      <c r="B4979" t="s">
        <v>8599</v>
      </c>
    </row>
    <row r="4980" spans="1:2" x14ac:dyDescent="0.25">
      <c r="A4980" s="1" t="s">
        <v>8595</v>
      </c>
      <c r="B4980" t="s">
        <v>8601</v>
      </c>
    </row>
    <row r="4981" spans="1:2" x14ac:dyDescent="0.25">
      <c r="A4981" s="1" t="s">
        <v>8637</v>
      </c>
      <c r="B4981" t="s">
        <v>8638</v>
      </c>
    </row>
    <row r="4982" spans="1:2" x14ac:dyDescent="0.25">
      <c r="A4982" s="1" t="s">
        <v>8639</v>
      </c>
      <c r="B4982" t="s">
        <v>8640</v>
      </c>
    </row>
    <row r="4983" spans="1:2" x14ac:dyDescent="0.25">
      <c r="A4983" s="1" t="s">
        <v>8642</v>
      </c>
      <c r="B4983" t="s">
        <v>8643</v>
      </c>
    </row>
    <row r="4984" spans="1:2" x14ac:dyDescent="0.25">
      <c r="A4984" s="1" t="s">
        <v>8644</v>
      </c>
      <c r="B4984" t="s">
        <v>8645</v>
      </c>
    </row>
    <row r="4985" spans="1:2" x14ac:dyDescent="0.25">
      <c r="A4985" s="1" t="s">
        <v>8648</v>
      </c>
      <c r="B4985" t="s">
        <v>8649</v>
      </c>
    </row>
    <row r="4986" spans="1:2" x14ac:dyDescent="0.25">
      <c r="A4986" s="1" t="s">
        <v>8652</v>
      </c>
      <c r="B4986" t="s">
        <v>8653</v>
      </c>
    </row>
    <row r="4987" spans="1:2" x14ac:dyDescent="0.25">
      <c r="A4987" s="1" t="s">
        <v>8655</v>
      </c>
      <c r="B4987" t="s">
        <v>8656</v>
      </c>
    </row>
    <row r="4988" spans="1:2" x14ac:dyDescent="0.25">
      <c r="A4988" s="1" t="s">
        <v>8658</v>
      </c>
      <c r="B4988" t="s">
        <v>8659</v>
      </c>
    </row>
    <row r="4989" spans="1:2" x14ac:dyDescent="0.25">
      <c r="A4989" s="1" t="s">
        <v>8660</v>
      </c>
      <c r="B4989" t="s">
        <v>8661</v>
      </c>
    </row>
    <row r="4990" spans="1:2" x14ac:dyDescent="0.25">
      <c r="A4990" s="1" t="s">
        <v>8662</v>
      </c>
      <c r="B4990" t="s">
        <v>8663</v>
      </c>
    </row>
    <row r="4991" spans="1:2" x14ac:dyDescent="0.25">
      <c r="A4991" s="1" t="s">
        <v>1732</v>
      </c>
      <c r="B4991" t="s">
        <v>8667</v>
      </c>
    </row>
    <row r="4992" spans="1:2" x14ac:dyDescent="0.25">
      <c r="A4992" s="1" t="s">
        <v>8668</v>
      </c>
      <c r="B4992" t="s">
        <v>8669</v>
      </c>
    </row>
    <row r="4993" spans="1:2" x14ac:dyDescent="0.25">
      <c r="A4993" s="1" t="s">
        <v>8671</v>
      </c>
      <c r="B4993" t="s">
        <v>8672</v>
      </c>
    </row>
    <row r="4994" spans="1:2" x14ac:dyDescent="0.25">
      <c r="A4994" s="1" t="s">
        <v>8675</v>
      </c>
      <c r="B4994" t="s">
        <v>1628</v>
      </c>
    </row>
    <row r="4995" spans="1:2" x14ac:dyDescent="0.25">
      <c r="A4995" s="1" t="s">
        <v>8676</v>
      </c>
      <c r="B4995" t="s">
        <v>8677</v>
      </c>
    </row>
    <row r="4996" spans="1:2" x14ac:dyDescent="0.25">
      <c r="A4996" s="1" t="s">
        <v>8702</v>
      </c>
      <c r="B4996" t="s">
        <v>8703</v>
      </c>
    </row>
    <row r="4997" spans="1:2" x14ac:dyDescent="0.25">
      <c r="A4997" s="1" t="s">
        <v>8704</v>
      </c>
      <c r="B4997" t="s">
        <v>8705</v>
      </c>
    </row>
    <row r="4998" spans="1:2" x14ac:dyDescent="0.25">
      <c r="A4998" s="1" t="s">
        <v>8706</v>
      </c>
      <c r="B4998" t="s">
        <v>8707</v>
      </c>
    </row>
    <row r="4999" spans="1:2" x14ac:dyDescent="0.25">
      <c r="A4999" s="1" t="s">
        <v>8709</v>
      </c>
      <c r="B4999" t="s">
        <v>8710</v>
      </c>
    </row>
    <row r="5000" spans="1:2" x14ac:dyDescent="0.25">
      <c r="A5000" s="1" t="s">
        <v>8711</v>
      </c>
      <c r="B5000" t="s">
        <v>8712</v>
      </c>
    </row>
    <row r="5001" spans="1:2" x14ac:dyDescent="0.25">
      <c r="A5001" s="1" t="s">
        <v>8713</v>
      </c>
      <c r="B5001" t="s">
        <v>8714</v>
      </c>
    </row>
    <row r="5002" spans="1:2" x14ac:dyDescent="0.25">
      <c r="A5002" s="1" t="s">
        <v>8715</v>
      </c>
      <c r="B5002" t="s">
        <v>8716</v>
      </c>
    </row>
    <row r="5003" spans="1:2" x14ac:dyDescent="0.25">
      <c r="A5003" s="1" t="s">
        <v>8720</v>
      </c>
      <c r="B5003" t="s">
        <v>8721</v>
      </c>
    </row>
    <row r="5004" spans="1:2" x14ac:dyDescent="0.25">
      <c r="A5004" s="1" t="s">
        <v>8722</v>
      </c>
      <c r="B5004" t="s">
        <v>8723</v>
      </c>
    </row>
    <row r="5005" spans="1:2" x14ac:dyDescent="0.25">
      <c r="A5005" s="1" t="s">
        <v>8724</v>
      </c>
      <c r="B5005" t="s">
        <v>8725</v>
      </c>
    </row>
    <row r="5006" spans="1:2" x14ac:dyDescent="0.25">
      <c r="A5006" s="1" t="s">
        <v>8727</v>
      </c>
      <c r="B5006" t="s">
        <v>8728</v>
      </c>
    </row>
    <row r="5007" spans="1:2" x14ac:dyDescent="0.25">
      <c r="A5007" s="1" t="s">
        <v>8729</v>
      </c>
      <c r="B5007" t="s">
        <v>8730</v>
      </c>
    </row>
    <row r="5008" spans="1:2" x14ac:dyDescent="0.25">
      <c r="A5008" s="1" t="s">
        <v>8732</v>
      </c>
      <c r="B5008" t="s">
        <v>8733</v>
      </c>
    </row>
    <row r="5009" spans="1:2" x14ac:dyDescent="0.25">
      <c r="A5009" s="1" t="s">
        <v>8734</v>
      </c>
      <c r="B5009" t="s">
        <v>8735</v>
      </c>
    </row>
    <row r="5010" spans="1:2" x14ac:dyDescent="0.25">
      <c r="A5010" s="1" t="s">
        <v>8736</v>
      </c>
      <c r="B5010" t="s">
        <v>8737</v>
      </c>
    </row>
    <row r="5011" spans="1:2" x14ac:dyDescent="0.25">
      <c r="A5011" s="1" t="s">
        <v>8738</v>
      </c>
      <c r="B5011" t="s">
        <v>8739</v>
      </c>
    </row>
    <row r="5012" spans="1:2" x14ac:dyDescent="0.25">
      <c r="A5012" s="1" t="s">
        <v>8740</v>
      </c>
      <c r="B5012" t="s">
        <v>8741</v>
      </c>
    </row>
    <row r="5013" spans="1:2" x14ac:dyDescent="0.25">
      <c r="A5013" s="1" t="s">
        <v>8742</v>
      </c>
      <c r="B5013" t="s">
        <v>8743</v>
      </c>
    </row>
    <row r="5014" spans="1:2" x14ac:dyDescent="0.25">
      <c r="A5014" s="1" t="s">
        <v>8744</v>
      </c>
      <c r="B5014" t="s">
        <v>8745</v>
      </c>
    </row>
    <row r="5015" spans="1:2" x14ac:dyDescent="0.25">
      <c r="A5015" s="60" t="s">
        <v>8746</v>
      </c>
      <c r="B5015" t="s">
        <v>8747</v>
      </c>
    </row>
    <row r="5016" spans="1:2" x14ac:dyDescent="0.25">
      <c r="A5016" s="1" t="s">
        <v>8753</v>
      </c>
      <c r="B5016" t="s">
        <v>8754</v>
      </c>
    </row>
    <row r="5017" spans="1:2" x14ac:dyDescent="0.25">
      <c r="A5017" s="1" t="s">
        <v>8756</v>
      </c>
      <c r="B5017" t="s">
        <v>8757</v>
      </c>
    </row>
    <row r="5018" spans="1:2" x14ac:dyDescent="0.25">
      <c r="A5018" s="1" t="s">
        <v>8758</v>
      </c>
      <c r="B5018" t="s">
        <v>8759</v>
      </c>
    </row>
    <row r="5019" spans="1:2" x14ac:dyDescent="0.25">
      <c r="A5019" s="1" t="s">
        <v>8762</v>
      </c>
      <c r="B5019" t="s">
        <v>8763</v>
      </c>
    </row>
    <row r="5020" spans="1:2" x14ac:dyDescent="0.25">
      <c r="A5020" s="1" t="s">
        <v>8785</v>
      </c>
      <c r="B5020" t="s">
        <v>8786</v>
      </c>
    </row>
    <row r="5021" spans="1:2" x14ac:dyDescent="0.25">
      <c r="A5021" s="1" t="s">
        <v>8787</v>
      </c>
      <c r="B5021" t="s">
        <v>8788</v>
      </c>
    </row>
    <row r="5022" spans="1:2" x14ac:dyDescent="0.25">
      <c r="A5022" s="1" t="s">
        <v>8789</v>
      </c>
      <c r="B5022" t="s">
        <v>8790</v>
      </c>
    </row>
    <row r="5023" spans="1:2" x14ac:dyDescent="0.25">
      <c r="A5023" s="1" t="s">
        <v>8791</v>
      </c>
      <c r="B5023" t="s">
        <v>8792</v>
      </c>
    </row>
    <row r="5024" spans="1:2" x14ac:dyDescent="0.25">
      <c r="A5024" s="1" t="s">
        <v>8793</v>
      </c>
      <c r="B5024" t="s">
        <v>8794</v>
      </c>
    </row>
    <row r="5025" spans="1:2" x14ac:dyDescent="0.25">
      <c r="A5025" s="1" t="s">
        <v>8795</v>
      </c>
      <c r="B5025" t="s">
        <v>8796</v>
      </c>
    </row>
    <row r="5026" spans="1:2" x14ac:dyDescent="0.25">
      <c r="A5026" s="34" t="s">
        <v>8797</v>
      </c>
      <c r="B5026" t="s">
        <v>8798</v>
      </c>
    </row>
    <row r="5027" spans="1:2" x14ac:dyDescent="0.25">
      <c r="A5027" s="1" t="s">
        <v>8799</v>
      </c>
      <c r="B5027" t="s">
        <v>8800</v>
      </c>
    </row>
    <row r="5028" spans="1:2" x14ac:dyDescent="0.25">
      <c r="A5028" s="1" t="s">
        <v>8801</v>
      </c>
      <c r="B5028" t="s">
        <v>8802</v>
      </c>
    </row>
    <row r="5029" spans="1:2" x14ac:dyDescent="0.25">
      <c r="A5029" s="1" t="s">
        <v>8803</v>
      </c>
      <c r="B5029" t="s">
        <v>8804</v>
      </c>
    </row>
    <row r="5030" spans="1:2" x14ac:dyDescent="0.25">
      <c r="A5030" s="34" t="s">
        <v>8805</v>
      </c>
      <c r="B5030" t="s">
        <v>8806</v>
      </c>
    </row>
    <row r="5031" spans="1:2" x14ac:dyDescent="0.25">
      <c r="A5031" s="1" t="s">
        <v>8808</v>
      </c>
      <c r="B5031" t="s">
        <v>8809</v>
      </c>
    </row>
    <row r="5032" spans="1:2" x14ac:dyDescent="0.25">
      <c r="A5032" s="1" t="s">
        <v>8812</v>
      </c>
      <c r="B5032" t="s">
        <v>8813</v>
      </c>
    </row>
    <row r="5033" spans="1:2" x14ac:dyDescent="0.25">
      <c r="A5033" s="1" t="s">
        <v>8815</v>
      </c>
      <c r="B5033" t="s">
        <v>8816</v>
      </c>
    </row>
    <row r="5034" spans="1:2" x14ac:dyDescent="0.25">
      <c r="A5034" s="1" t="s">
        <v>8255</v>
      </c>
      <c r="B5034" t="s">
        <v>8256</v>
      </c>
    </row>
    <row r="5035" spans="1:2" x14ac:dyDescent="0.25">
      <c r="A5035" s="1" t="s">
        <v>8821</v>
      </c>
      <c r="B5035" t="s">
        <v>8822</v>
      </c>
    </row>
    <row r="5036" spans="1:2" x14ac:dyDescent="0.25">
      <c r="A5036" s="1" t="s">
        <v>8829</v>
      </c>
      <c r="B5036" t="s">
        <v>8830</v>
      </c>
    </row>
    <row r="5037" spans="1:2" x14ac:dyDescent="0.25">
      <c r="A5037" s="1" t="s">
        <v>8833</v>
      </c>
      <c r="B5037" t="s">
        <v>8834</v>
      </c>
    </row>
    <row r="5038" spans="1:2" x14ac:dyDescent="0.25">
      <c r="A5038" s="1" t="s">
        <v>8835</v>
      </c>
      <c r="B5038" t="s">
        <v>8231</v>
      </c>
    </row>
    <row r="5039" spans="1:2" x14ac:dyDescent="0.25">
      <c r="A5039" s="1" t="s">
        <v>8836</v>
      </c>
      <c r="B5039" t="s">
        <v>8837</v>
      </c>
    </row>
    <row r="5040" spans="1:2" x14ac:dyDescent="0.25">
      <c r="A5040" s="1" t="s">
        <v>8842</v>
      </c>
      <c r="B5040" t="s">
        <v>8843</v>
      </c>
    </row>
    <row r="5041" spans="1:2" x14ac:dyDescent="0.25">
      <c r="A5041" s="1" t="s">
        <v>8848</v>
      </c>
      <c r="B5041" t="s">
        <v>1192</v>
      </c>
    </row>
    <row r="5042" spans="1:2" x14ac:dyDescent="0.25">
      <c r="A5042" s="1" t="s">
        <v>8850</v>
      </c>
      <c r="B5042" t="s">
        <v>8851</v>
      </c>
    </row>
    <row r="5043" spans="1:2" x14ac:dyDescent="0.25">
      <c r="A5043" s="1" t="s">
        <v>8853</v>
      </c>
      <c r="B5043" t="s">
        <v>8854</v>
      </c>
    </row>
    <row r="5044" spans="1:2" x14ac:dyDescent="0.25">
      <c r="A5044" s="1" t="s">
        <v>8855</v>
      </c>
      <c r="B5044" t="s">
        <v>8856</v>
      </c>
    </row>
    <row r="5045" spans="1:2" x14ac:dyDescent="0.25">
      <c r="A5045" s="1" t="s">
        <v>8858</v>
      </c>
      <c r="B5045" t="s">
        <v>8859</v>
      </c>
    </row>
    <row r="5046" spans="1:2" x14ac:dyDescent="0.25">
      <c r="A5046" s="1" t="s">
        <v>8862</v>
      </c>
      <c r="B5046" t="s">
        <v>8863</v>
      </c>
    </row>
    <row r="5047" spans="1:2" x14ac:dyDescent="0.25">
      <c r="A5047" s="1" t="s">
        <v>8865</v>
      </c>
      <c r="B5047" t="s">
        <v>8866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M20"/>
  <sheetViews>
    <sheetView zoomScaleNormal="100" workbookViewId="0">
      <selection activeCell="I18" sqref="I18"/>
    </sheetView>
  </sheetViews>
  <sheetFormatPr baseColWidth="10" defaultRowHeight="15" x14ac:dyDescent="0.25"/>
  <cols>
    <col min="1" max="1" width="11.85546875" bestFit="1" customWidth="1"/>
    <col min="6" max="6" width="12.5703125" bestFit="1" customWidth="1"/>
    <col min="8" max="9" width="12.5703125" bestFit="1" customWidth="1"/>
    <col min="11" max="11" width="12.5703125" bestFit="1" customWidth="1"/>
  </cols>
  <sheetData>
    <row r="1" spans="1:13" ht="15.75" thickBot="1" x14ac:dyDescent="0.3"/>
    <row r="2" spans="1:13" x14ac:dyDescent="0.25">
      <c r="A2" s="98" t="s">
        <v>8911</v>
      </c>
      <c r="B2" s="99"/>
      <c r="C2" s="99"/>
      <c r="D2" s="100"/>
      <c r="E2" s="101"/>
      <c r="F2" s="102"/>
      <c r="G2" s="103" t="s">
        <v>8896</v>
      </c>
      <c r="H2" s="103" t="s">
        <v>8897</v>
      </c>
      <c r="I2" s="103" t="s">
        <v>8898</v>
      </c>
      <c r="J2" s="103" t="s">
        <v>8899</v>
      </c>
      <c r="K2" s="103" t="s">
        <v>8900</v>
      </c>
      <c r="L2" s="104" t="s">
        <v>8901</v>
      </c>
      <c r="M2" s="105"/>
    </row>
    <row r="3" spans="1:13" ht="15.75" thickBot="1" x14ac:dyDescent="0.3">
      <c r="A3" s="106"/>
      <c r="B3" s="107"/>
      <c r="C3" s="107"/>
      <c r="D3" s="108"/>
      <c r="E3" s="25"/>
      <c r="F3" s="25"/>
      <c r="G3" s="109"/>
      <c r="H3" s="109"/>
      <c r="I3" s="109"/>
      <c r="J3" s="109"/>
      <c r="K3" s="109"/>
      <c r="L3" s="110"/>
      <c r="M3" s="111"/>
    </row>
    <row r="4" spans="1:13" x14ac:dyDescent="0.25">
      <c r="A4" s="106"/>
      <c r="B4" s="107"/>
      <c r="C4" s="107"/>
      <c r="D4" s="108"/>
      <c r="E4" s="25"/>
      <c r="F4" s="25"/>
      <c r="G4" s="112">
        <f>+Tabla3[[#Totals],[V EXENTA]]</f>
        <v>2162.98</v>
      </c>
      <c r="H4" s="112">
        <f>+Tabla2[[#Totals],[V. GRAVADA]]</f>
        <v>51054.66</v>
      </c>
      <c r="I4" s="112">
        <f>+Tabla3[[#Totals],[V GRAVADAS]]</f>
        <v>22290.959999999992</v>
      </c>
      <c r="J4" s="112">
        <f>+Tabla3[[#Totals],[EX SERVICE]]</f>
        <v>5895.32</v>
      </c>
      <c r="K4" s="113"/>
      <c r="L4" s="114"/>
      <c r="M4" s="115"/>
    </row>
    <row r="5" spans="1:13" x14ac:dyDescent="0.25">
      <c r="A5" s="106"/>
      <c r="B5" s="107"/>
      <c r="C5" s="107"/>
      <c r="D5" s="108"/>
      <c r="E5" s="25"/>
      <c r="F5" s="25"/>
      <c r="G5" s="112"/>
      <c r="H5" s="112"/>
      <c r="I5" s="116">
        <f>+I4/1.13</f>
        <v>19726.513274336277</v>
      </c>
      <c r="J5" s="112"/>
      <c r="K5" s="113"/>
      <c r="L5" s="114"/>
      <c r="M5" s="115"/>
    </row>
    <row r="6" spans="1:13" x14ac:dyDescent="0.25">
      <c r="A6" s="106"/>
      <c r="B6" s="107"/>
      <c r="C6" s="107"/>
      <c r="D6" s="108"/>
      <c r="E6" s="25"/>
      <c r="F6" s="25"/>
      <c r="G6" s="112"/>
      <c r="H6" s="112"/>
      <c r="I6" s="112"/>
      <c r="J6" s="112"/>
      <c r="K6" s="113"/>
      <c r="L6" s="114"/>
      <c r="M6" s="115"/>
    </row>
    <row r="7" spans="1:13" ht="15.75" thickBot="1" x14ac:dyDescent="0.3">
      <c r="A7" s="106"/>
      <c r="B7" s="107"/>
      <c r="C7" s="107"/>
      <c r="D7" s="108"/>
      <c r="E7" s="25"/>
      <c r="F7" s="25"/>
      <c r="G7" s="112"/>
      <c r="H7" s="112"/>
      <c r="I7" s="112"/>
      <c r="J7" s="112"/>
      <c r="K7" s="113"/>
      <c r="L7" s="114"/>
      <c r="M7" s="115"/>
    </row>
    <row r="8" spans="1:13" ht="15.75" thickBot="1" x14ac:dyDescent="0.3">
      <c r="A8" s="106"/>
      <c r="B8" s="107"/>
      <c r="C8" s="107"/>
      <c r="D8" s="108"/>
      <c r="E8" s="25"/>
      <c r="F8" s="25"/>
      <c r="G8" s="112"/>
      <c r="H8" s="112"/>
      <c r="I8" s="116">
        <f>+I7/1.13</f>
        <v>0</v>
      </c>
      <c r="J8" s="112"/>
      <c r="K8" s="113"/>
      <c r="L8" s="117" t="s">
        <v>8902</v>
      </c>
      <c r="M8" s="115"/>
    </row>
    <row r="9" spans="1:13" ht="15.75" thickBot="1" x14ac:dyDescent="0.3">
      <c r="A9" s="106"/>
      <c r="B9" s="107"/>
      <c r="C9" s="107"/>
      <c r="D9" s="108"/>
      <c r="E9" s="25"/>
      <c r="F9" s="25"/>
      <c r="G9" s="5">
        <f>SUM(G4:G8)</f>
        <v>2162.98</v>
      </c>
      <c r="H9" s="5">
        <f>+H4+H7</f>
        <v>51054.66</v>
      </c>
      <c r="I9" s="5">
        <f>+I8+I5</f>
        <v>19726.513274336277</v>
      </c>
      <c r="J9" s="5">
        <f>+J4</f>
        <v>5895.32</v>
      </c>
      <c r="K9" s="5">
        <f>SUM(G9:J9)</f>
        <v>78839.473274336284</v>
      </c>
      <c r="L9" s="118">
        <f>+K9*0.0175</f>
        <v>1379.6907823008851</v>
      </c>
      <c r="M9" s="115"/>
    </row>
    <row r="10" spans="1:13" x14ac:dyDescent="0.25">
      <c r="A10" s="106"/>
      <c r="B10" s="107"/>
      <c r="C10" s="107"/>
      <c r="D10" s="108"/>
      <c r="E10" s="25"/>
      <c r="F10" s="25"/>
      <c r="G10" s="45"/>
      <c r="H10" s="45"/>
      <c r="I10" s="45"/>
      <c r="J10" s="45"/>
      <c r="K10" s="45"/>
      <c r="L10" s="119"/>
      <c r="M10" s="120">
        <f>+L9+L10</f>
        <v>1379.6907823008851</v>
      </c>
    </row>
    <row r="11" spans="1:13" ht="15.75" thickBot="1" x14ac:dyDescent="0.3">
      <c r="A11" s="106"/>
      <c r="B11" s="107"/>
      <c r="C11" s="107"/>
      <c r="D11" s="108"/>
      <c r="E11" s="25"/>
      <c r="F11" s="25"/>
      <c r="G11" s="45"/>
      <c r="H11" s="45"/>
      <c r="I11" s="45"/>
      <c r="J11" s="45"/>
      <c r="K11" s="45" t="s">
        <v>8903</v>
      </c>
      <c r="L11" s="121"/>
      <c r="M11" s="122"/>
    </row>
    <row r="12" spans="1:13" ht="15.75" thickBot="1" x14ac:dyDescent="0.3">
      <c r="A12" s="106"/>
      <c r="B12" s="107"/>
      <c r="C12" s="107"/>
      <c r="D12" s="108"/>
      <c r="E12" s="25"/>
      <c r="F12" s="25"/>
      <c r="G12" s="45"/>
      <c r="H12" s="45"/>
      <c r="I12" s="45"/>
      <c r="J12" s="45"/>
      <c r="K12" s="45"/>
      <c r="L12" s="123"/>
      <c r="M12" s="115"/>
    </row>
    <row r="13" spans="1:13" ht="15.75" thickBot="1" x14ac:dyDescent="0.3">
      <c r="A13" s="106"/>
      <c r="B13" s="107"/>
      <c r="C13" s="107"/>
      <c r="D13" s="108"/>
      <c r="E13" s="124"/>
      <c r="F13" s="125" t="s">
        <v>8904</v>
      </c>
      <c r="G13" s="5" t="s">
        <v>8905</v>
      </c>
      <c r="H13" s="126"/>
      <c r="I13" s="4" t="s">
        <v>8906</v>
      </c>
      <c r="J13" s="45"/>
      <c r="K13" s="45">
        <f>+K9+G9</f>
        <v>81002.45327433628</v>
      </c>
      <c r="L13" s="123"/>
      <c r="M13" s="115"/>
    </row>
    <row r="14" spans="1:13" x14ac:dyDescent="0.25">
      <c r="A14" s="106"/>
      <c r="B14" s="107"/>
      <c r="C14" s="107"/>
      <c r="D14" s="108"/>
      <c r="E14" s="25" t="s">
        <v>8907</v>
      </c>
      <c r="F14" s="112">
        <f>+Tabla1[[#Totals],[C. GRAVADA]]</f>
        <v>55458.49</v>
      </c>
      <c r="G14" s="112">
        <f>+Tabla1[[#Totals],[C. EXENTAS]]</f>
        <v>0</v>
      </c>
      <c r="H14" s="113" t="s">
        <v>8907</v>
      </c>
      <c r="I14" s="127">
        <f>+H9+I9</f>
        <v>70781.173274336281</v>
      </c>
      <c r="J14" s="45"/>
      <c r="K14" s="45">
        <f>+K13/K9</f>
        <v>1.0274352416393437</v>
      </c>
      <c r="L14" s="123">
        <f>+K14*F15-F15</f>
        <v>197.79721963340671</v>
      </c>
      <c r="M14" s="115"/>
    </row>
    <row r="15" spans="1:13" x14ac:dyDescent="0.25">
      <c r="A15" s="106"/>
      <c r="B15" s="107"/>
      <c r="C15" s="107"/>
      <c r="D15" s="108"/>
      <c r="E15" s="25" t="s">
        <v>8908</v>
      </c>
      <c r="F15" s="112">
        <f>+F14*0.13</f>
        <v>7209.6036999999997</v>
      </c>
      <c r="G15" s="112"/>
      <c r="H15" s="113" t="s">
        <v>8908</v>
      </c>
      <c r="I15" s="127">
        <f>+I14*0.13</f>
        <v>9201.5525256637175</v>
      </c>
      <c r="J15" s="45"/>
      <c r="K15" s="45"/>
      <c r="L15" s="123"/>
      <c r="M15" s="115"/>
    </row>
    <row r="16" spans="1:13" ht="15.75" thickBot="1" x14ac:dyDescent="0.3">
      <c r="A16" s="106"/>
      <c r="B16" s="107"/>
      <c r="C16" s="107"/>
      <c r="D16" s="108"/>
      <c r="E16" s="25"/>
      <c r="F16" s="112"/>
      <c r="G16" s="112"/>
      <c r="H16" s="113"/>
      <c r="I16" s="127"/>
      <c r="J16" s="45"/>
      <c r="K16" s="45"/>
      <c r="L16" s="128">
        <f>+L9+L10+J18</f>
        <v>3014.8168275980097</v>
      </c>
      <c r="M16" s="115"/>
    </row>
    <row r="17" spans="1:13" ht="15.75" thickTop="1" x14ac:dyDescent="0.25">
      <c r="A17" s="106"/>
      <c r="B17" s="107"/>
      <c r="C17" s="107"/>
      <c r="D17" s="108"/>
      <c r="E17" s="25"/>
      <c r="F17" s="129"/>
      <c r="G17" s="130" t="s">
        <v>8909</v>
      </c>
      <c r="H17" s="113"/>
      <c r="I17" s="131" t="s">
        <v>8910</v>
      </c>
      <c r="J17" s="45"/>
      <c r="K17" s="45"/>
      <c r="L17" s="123"/>
      <c r="M17" s="115"/>
    </row>
    <row r="18" spans="1:13" ht="15.75" thickBot="1" x14ac:dyDescent="0.3">
      <c r="A18" s="106"/>
      <c r="B18" s="107"/>
      <c r="C18" s="107"/>
      <c r="D18" s="108"/>
      <c r="E18" s="25"/>
      <c r="F18" s="132">
        <f>+F15+F16</f>
        <v>7209.6036999999997</v>
      </c>
      <c r="G18" s="133">
        <f>+L14</f>
        <v>197.79721963340671</v>
      </c>
      <c r="H18" s="134">
        <f>+I15-G19</f>
        <v>2189.7460452971245</v>
      </c>
      <c r="I18" s="135">
        <f>+Tabla1[[#Totals],[PERCEPCIONES]]</f>
        <v>554.62</v>
      </c>
      <c r="J18" s="136">
        <f>+H18-I18-I19</f>
        <v>1635.1260452971246</v>
      </c>
      <c r="K18" s="45"/>
      <c r="L18" s="123"/>
      <c r="M18" s="115"/>
    </row>
    <row r="19" spans="1:13" ht="15.75" thickBot="1" x14ac:dyDescent="0.3">
      <c r="A19" s="106"/>
      <c r="B19" s="107"/>
      <c r="C19" s="107"/>
      <c r="D19" s="108"/>
      <c r="E19" s="25"/>
      <c r="F19" s="25"/>
      <c r="G19" s="137">
        <f>+F18-G18</f>
        <v>7011.806480366593</v>
      </c>
      <c r="H19" s="45"/>
      <c r="I19" s="45"/>
      <c r="J19" s="45"/>
      <c r="K19" s="45"/>
      <c r="L19" s="123"/>
      <c r="M19" s="115"/>
    </row>
    <row r="20" spans="1:13" ht="15.75" thickBot="1" x14ac:dyDescent="0.3">
      <c r="A20" s="138"/>
      <c r="B20" s="139"/>
      <c r="C20" s="139"/>
      <c r="D20" s="140"/>
      <c r="E20" s="141"/>
      <c r="F20" s="141"/>
      <c r="G20" s="142"/>
      <c r="H20" s="142"/>
      <c r="I20" s="142"/>
      <c r="J20" s="142"/>
      <c r="K20" s="142"/>
      <c r="L20" s="143"/>
      <c r="M20" s="144"/>
    </row>
  </sheetData>
  <mergeCells count="10">
    <mergeCell ref="K2:K3"/>
    <mergeCell ref="L2:M3"/>
    <mergeCell ref="L10:L11"/>
    <mergeCell ref="M10:M11"/>
    <mergeCell ref="A2:D20"/>
    <mergeCell ref="E2:F2"/>
    <mergeCell ref="G2:G3"/>
    <mergeCell ref="H2:H3"/>
    <mergeCell ref="I2:I3"/>
    <mergeCell ref="J2:J3"/>
  </mergeCells>
  <conditionalFormatting sqref="L2 L15:M20 M13:M14 L12:M12 L4:M10">
    <cfRule type="containsText" dxfId="17" priority="2" operator="containsText" text="DATO">
      <formula>NOT(ISERROR(SEARCH("DATO",L2)))</formula>
    </cfRule>
  </conditionalFormatting>
  <conditionalFormatting sqref="L13:L14">
    <cfRule type="containsText" dxfId="16" priority="1" operator="containsText" text="DATO">
      <formula>NOT(ISERROR(SEARCH("DATO",L13)))</formula>
    </cfRule>
  </conditionalFormatting>
  <pageMargins left="0.7" right="0.7" top="0.75" bottom="0.75" header="0.3" footer="0.3"/>
  <pageSetup orientation="landscape" horizontalDpi="4294967294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</vt:i4>
      </vt:variant>
    </vt:vector>
  </HeadingPairs>
  <TitlesOfParts>
    <vt:vector size="12" baseType="lpstr">
      <vt:lpstr>Compras</vt:lpstr>
      <vt:lpstr>Libro de Compras</vt:lpstr>
      <vt:lpstr>Contribuyente</vt:lpstr>
      <vt:lpstr>Libro de Contribuyente</vt:lpstr>
      <vt:lpstr>Consumidor</vt:lpstr>
      <vt:lpstr>Libro de Consumidor</vt:lpstr>
      <vt:lpstr>Hoja1</vt:lpstr>
      <vt:lpstr>RETENCIONES</vt:lpstr>
      <vt:lpstr>LIBRO DE RETENCIONES</vt:lpstr>
      <vt:lpstr>base de clientes</vt:lpstr>
      <vt:lpstr>DECLARACION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pablo</cp:lastModifiedBy>
  <cp:lastPrinted>2022-08-12T17:06:17Z</cp:lastPrinted>
  <dcterms:created xsi:type="dcterms:W3CDTF">2021-04-05T22:54:25Z</dcterms:created>
  <dcterms:modified xsi:type="dcterms:W3CDTF">2022-09-14T22:31:09Z</dcterms:modified>
</cp:coreProperties>
</file>