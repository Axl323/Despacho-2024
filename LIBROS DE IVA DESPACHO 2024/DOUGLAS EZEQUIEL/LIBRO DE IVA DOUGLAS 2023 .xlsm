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0640" windowHeight="11160" firstSheet="1" activeTab="1"/>
  </bookViews>
  <sheets>
    <sheet name="PROINSCRITO" sheetId="28" state="hidden" r:id="rId1"/>
    <sheet name="Libro de Compras" sheetId="7" r:id="rId2"/>
    <sheet name="Libro de Contribuyente" sheetId="8" r:id="rId3"/>
    <sheet name="CLIENTE" sheetId="23" state="hidden" r:id="rId4"/>
    <sheet name="TABLA CONTRIBUYENTES" sheetId="22" state="hidden" r:id="rId5"/>
    <sheet name="Libro de Consumidor" sheetId="10" r:id="rId6"/>
    <sheet name="menor a 200" sheetId="26" state="hidden" r:id="rId7"/>
    <sheet name="mayor a 200" sheetId="27" state="hidden" r:id="rId8"/>
    <sheet name="TABLA CONSUMIDOR" sheetId="25" state="hidden" r:id="rId9"/>
    <sheet name="CLIENTE MENOR A 200" sheetId="24" state="hidden" r:id="rId10"/>
    <sheet name="RETENCIONES CONTA" sheetId="30" state="hidden" r:id="rId11"/>
    <sheet name="RETENCIONES 10%" sheetId="31" state="hidden" r:id="rId12"/>
  </sheets>
  <externalReferences>
    <externalReference r:id="rId13"/>
  </externalReferences>
  <definedNames>
    <definedName name="_xlnm._FilterDatabase" localSheetId="3" hidden="1">CLIENTE!$A$1:$W$5026</definedName>
    <definedName name="_xlnm._FilterDatabase" localSheetId="9" hidden="1">'CLIENTE MENOR A 200'!$A$1:$Z$651</definedName>
    <definedName name="_xlnm._FilterDatabase" localSheetId="7" hidden="1">'mayor a 200'!$A$1:$K$89</definedName>
    <definedName name="_xlnm._FilterDatabase" localSheetId="6" hidden="1">'menor a 200'!$A$1:$F$1</definedName>
    <definedName name="_xlnm._FilterDatabase" localSheetId="0" hidden="1">PROINSCRITO!$A$1:$AC$669</definedName>
    <definedName name="_xlnm._FilterDatabase" localSheetId="10" hidden="1">'RETENCIONES CONTA'!$A$1:$P$4</definedName>
  </definedNames>
  <calcPr calcId="145621"/>
  <pivotCaches>
    <pivotCache cacheId="24" r:id="rId14"/>
    <pivotCache cacheId="2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G2" i="30" l="1"/>
  <c r="F2" i="30" s="1"/>
  <c r="I2" i="30"/>
  <c r="H2" i="30" s="1"/>
  <c r="G3" i="30"/>
  <c r="F3" i="30" s="1"/>
  <c r="I3" i="30"/>
  <c r="H3" i="30" s="1"/>
  <c r="E27" i="22"/>
  <c r="E559" i="22"/>
  <c r="I10" i="31" l="1"/>
  <c r="J10" i="31"/>
  <c r="K10" i="31"/>
  <c r="L10" i="31"/>
  <c r="M10" i="31"/>
  <c r="N10" i="31"/>
  <c r="O10" i="31"/>
  <c r="P10" i="31"/>
  <c r="H10" i="31"/>
  <c r="S10" i="31"/>
  <c r="E868" i="22" l="1"/>
  <c r="P5" i="30" l="1"/>
  <c r="N5" i="30"/>
  <c r="M5" i="30"/>
  <c r="L5" i="30"/>
  <c r="K5" i="30"/>
  <c r="T39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H132" i="22" l="1"/>
  <c r="R391" i="7" l="1"/>
  <c r="M334" i="10" l="1"/>
  <c r="N334" i="10"/>
  <c r="O334" i="10"/>
  <c r="O335" i="10" s="1"/>
  <c r="O336" i="10" s="1"/>
  <c r="P334" i="10"/>
  <c r="Q334" i="10"/>
  <c r="R334" i="10"/>
  <c r="S334" i="10"/>
  <c r="T334" i="10"/>
  <c r="U334" i="10"/>
  <c r="L334" i="10"/>
  <c r="L638" i="8" l="1"/>
  <c r="M638" i="8"/>
  <c r="N638" i="8"/>
  <c r="O638" i="8"/>
  <c r="P638" i="8"/>
  <c r="Q638" i="8"/>
  <c r="K638" i="8"/>
  <c r="J391" i="7" l="1"/>
  <c r="K391" i="7"/>
  <c r="L391" i="7"/>
  <c r="M391" i="7"/>
  <c r="N391" i="7"/>
  <c r="O391" i="7"/>
  <c r="P391" i="7"/>
  <c r="I391" i="7"/>
  <c r="H391" i="7"/>
</calcChain>
</file>

<file path=xl/comments1.xml><?xml version="1.0" encoding="utf-8"?>
<comments xmlns="http://schemas.openxmlformats.org/spreadsheetml/2006/main">
  <authors>
    <author>despacho rivas</author>
  </authors>
  <commentList>
    <comment ref="A101" authorId="0">
      <text>
        <r>
          <rPr>
            <b/>
            <sz val="9"/>
            <color indexed="81"/>
            <rFont val="Tahoma"/>
            <charset val="1"/>
          </rPr>
          <t>despacho rivas:</t>
        </r>
        <r>
          <rPr>
            <sz val="9"/>
            <color indexed="81"/>
            <rFont val="Tahoma"/>
            <charset val="1"/>
          </rPr>
          <t xml:space="preserve">
ATT. CLIENTE
</t>
        </r>
      </text>
    </comment>
    <comment ref="G175" authorId="0">
      <text>
        <r>
          <rPr>
            <b/>
            <sz val="9"/>
            <color indexed="81"/>
            <rFont val="Tahoma"/>
            <charset val="1"/>
          </rPr>
          <t>despacho rivas:</t>
        </r>
        <r>
          <rPr>
            <sz val="9"/>
            <color indexed="81"/>
            <rFont val="Tahoma"/>
            <charset val="1"/>
          </rPr>
          <t xml:space="preserve">
ATENCION PERSONAL</t>
        </r>
      </text>
    </comment>
  </commentList>
</comments>
</file>

<file path=xl/comments2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3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<sst xmlns="http://schemas.openxmlformats.org/spreadsheetml/2006/main" count="18850" uniqueCount="1318">
  <si>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</si>
  <si>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</si>
  <si>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</si>
  <si>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</si>
  <si>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</si>
  <si>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</si>
  <si>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</si>
  <si>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</si>
  <si>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</si>
  <si>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</si>
  <si>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</si>
  <si>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</si>
  <si>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</si>
  <si>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</si>
  <si>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</si>
  <si>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</si>
  <si>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</si>
  <si>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</si>
  <si>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</si>
  <si>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</si>
  <si>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</si>
  <si>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</si>
  <si>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</si>
  <si>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</si>
  <si>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</si>
  <si>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</si>
  <si>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</si>
  <si>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</si>
  <si>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</si>
  <si>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06141909001034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</si>
  <si>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</si>
  <si>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</si>
  <si>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</si>
  <si>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</si>
  <si>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</si>
  <si>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</si>
  <si>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</si>
  <si>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</si>
  <si>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</si>
  <si>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</si>
  <si>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</si>
  <si>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</si>
  <si>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</si>
  <si>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</si>
  <si>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</si>
  <si>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</si>
  <si>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</si>
  <si>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</si>
  <si>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</si>
  <si>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</si>
  <si>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</si>
  <si>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</si>
  <si>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</si>
  <si>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</si>
  <si>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06142212650014</t>
  </si>
  <si>
    <t>FARMACIAS SAN NICOLAS, S.A.</t>
  </si>
  <si>
    <t>06140311031048</t>
  </si>
  <si>
    <t>FUNDACION MISION MEDICA DE EL SALVADOR</t>
  </si>
  <si>
    <t>06142709750018</t>
  </si>
  <si>
    <t>CLINICA CASA DE SALUD, S.A.</t>
  </si>
  <si>
    <t>06141106071025</t>
  </si>
  <si>
    <t>FARMACIAS EUROPEAS, S.A. DE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</si>
  <si>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</si>
  <si>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</si>
  <si>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</si>
  <si>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</si>
  <si>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</si>
  <si>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</si>
  <si>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06140803791110</t>
  </si>
  <si>
    <t>ROLANDO ANTONIO AGUIRRE</t>
  </si>
  <si>
    <t>06140205121038</t>
  </si>
  <si>
    <t>POLICLINICA DE OJOS, S.A. DE</t>
  </si>
  <si>
    <t>06142610051058</t>
  </si>
  <si>
    <t>MEDICAFF SA DE CV</t>
  </si>
  <si>
    <t>06142204831336</t>
  </si>
  <si>
    <t>RAFAEL ERNESTO QUEZADA GALDAMEZ</t>
  </si>
  <si>
    <t>06140711111016</t>
  </si>
  <si>
    <t>06141907171056</t>
  </si>
  <si>
    <t>CESMI S.A DE C.V.</t>
  </si>
  <si>
    <t>02101602941017</t>
  </si>
  <si>
    <t>ISAC S.A DE C.V.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</si>
  <si>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</si>
  <si>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</si>
  <si>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</si>
  <si>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</si>
  <si>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</si>
  <si>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</si>
  <si>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06140602600019</t>
  </si>
  <si>
    <t>CARLOS AGUILAR CHAVARRIA</t>
  </si>
  <si>
    <t>06071402171010</t>
  </si>
  <si>
    <t>SEV. MEDICOS SAN PEDRO</t>
  </si>
  <si>
    <t>06141504911068</t>
  </si>
  <si>
    <t>PROYECTOS E INVERSIONES,S.A</t>
  </si>
  <si>
    <t>06141908811067</t>
  </si>
  <si>
    <t>SHEYLA JOSSABETH GAITAN</t>
  </si>
  <si>
    <t>06141705620038</t>
  </si>
  <si>
    <t>ASOCIACION DEMOGRAFICA</t>
  </si>
  <si>
    <t>06142707041014</t>
  </si>
  <si>
    <t>06130407761017</t>
  </si>
  <si>
    <t>CARLOS EDERSON ANZORA</t>
  </si>
  <si>
    <t>06140706460139</t>
  </si>
  <si>
    <t>CARLOS ALBERTO SALMERON</t>
  </si>
  <si>
    <t>06142002961017</t>
  </si>
  <si>
    <t>DIALISIS DE EL SALVADOR, S.A.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</si>
  <si>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</si>
  <si>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</si>
  <si>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</si>
  <si>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</si>
  <si>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</si>
  <si>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</si>
  <si>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</si>
  <si>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</si>
  <si>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06143105181040</t>
  </si>
  <si>
    <t>MEDICAL RENT, S.A DE C.V.</t>
  </si>
  <si>
    <t>02102402171027</t>
  </si>
  <si>
    <t>CABRERA ASOCIADOS, S.A. DE C</t>
  </si>
  <si>
    <t>06140312700042</t>
  </si>
  <si>
    <t>COFARSAL DE R.L</t>
  </si>
  <si>
    <t>11082201781017</t>
  </si>
  <si>
    <t>MANUEL ANTONIO PARADA</t>
  </si>
  <si>
    <t>03121406801023</t>
  </si>
  <si>
    <t>NORMA LIZETH RIVERA</t>
  </si>
  <si>
    <t>06142610051066</t>
  </si>
  <si>
    <t>OPRUMEDICAL, S.A. DE C.V.</t>
  </si>
  <si>
    <t>06140511881038</t>
  </si>
  <si>
    <t>RASEGO, S.A. DE C.V.</t>
  </si>
  <si>
    <t>08021212871024</t>
  </si>
  <si>
    <t>MARIEL ELIZABETH NAVARRO</t>
  </si>
  <si>
    <t>JUAN CARLOS RIVERA MENJIVAR</t>
  </si>
  <si>
    <t>06143010031041</t>
  </si>
  <si>
    <t>HOSPITAL DE LA PIEL</t>
  </si>
  <si>
    <t>13122307721012</t>
  </si>
  <si>
    <t>ALBA LILIAN MARTINEZ</t>
  </si>
  <si>
    <t>SERVICIOS MEDICOS INTEGRALES</t>
  </si>
  <si>
    <t>06141605121041</t>
  </si>
  <si>
    <t>MUNDO MEDICO QUIMICO, S.A. DE C.V.</t>
  </si>
  <si>
    <t>06141903911074</t>
  </si>
  <si>
    <t>PROSIPLASTIC, S.A. DE C.V.</t>
  </si>
  <si>
    <t>06190912650013</t>
  </si>
  <si>
    <t>DOUGLAS ARTURO GUEVARA</t>
  </si>
  <si>
    <t>SAUL JEREMIAS PINEDA RENDEROS</t>
  </si>
  <si>
    <t>06140201151013</t>
  </si>
  <si>
    <t>LEMUS COMPANY S.A DE C.V</t>
  </si>
  <si>
    <t>06142703981055</t>
  </si>
  <si>
    <t>DROGUERIA PISA, S.A. DE C.V.</t>
  </si>
  <si>
    <t>CENTRO MEDICO LOURDES</t>
  </si>
  <si>
    <t>06141809801351</t>
  </si>
  <si>
    <t>CECILIA IVETTE GUERRERO DE</t>
  </si>
  <si>
    <t>06140608801284</t>
  </si>
  <si>
    <t>LILIAN VERONICA AGUIRRE</t>
  </si>
  <si>
    <t>09040806661010</t>
  </si>
  <si>
    <t>SOLUCIANO MEDARDO LEIVA MELENDEZ</t>
  </si>
  <si>
    <t>03112905680011</t>
  </si>
  <si>
    <t>CARLOS SALVADOR ZALAZAR MINEROS</t>
  </si>
  <si>
    <t>13122611821015</t>
  </si>
  <si>
    <t>JOSE OMAR FLORES PERLA</t>
  </si>
  <si>
    <t>06141001680070</t>
  </si>
  <si>
    <t>NORMA ELOISA ROMERO MEDRANO</t>
  </si>
  <si>
    <t>06140506141077</t>
  </si>
  <si>
    <t>LUIS REYNALDO CASTILLO LANDAVERDE</t>
  </si>
  <si>
    <t>06141203791032</t>
  </si>
  <si>
    <t>MARCELO AMAYA</t>
  </si>
  <si>
    <t>94832404991012</t>
  </si>
  <si>
    <t>HELADOS SARITA, S.A. DE C.V.</t>
  </si>
  <si>
    <t>04070802600010</t>
  </si>
  <si>
    <t>JOSE ELIAS ESCOBAR</t>
  </si>
  <si>
    <t xml:space="preserve"> 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</si>
  <si>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</si>
  <si>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</si>
  <si>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</si>
  <si>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</si>
  <si>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</si>
  <si>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</si>
  <si>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</si>
  <si>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</si>
  <si>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</si>
  <si>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</si>
  <si>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</si>
  <si>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</si>
  <si>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</si>
  <si>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</si>
  <si>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05043110741013</t>
  </si>
  <si>
    <t>OSCAR HUMBERTO RIVAS INTERIANO</t>
  </si>
  <si>
    <t>06142307091063</t>
  </si>
  <si>
    <t>CENTROAMERICA COMERCIAL, S.A.</t>
  </si>
  <si>
    <t>06142407750010</t>
  </si>
  <si>
    <t>LABORATORIOS VIJOSA S.A DE C.V</t>
  </si>
  <si>
    <t>07151508430012</t>
  </si>
  <si>
    <t>MARIA TRANSITO FIGUEROA</t>
  </si>
  <si>
    <t>05030410891020</t>
  </si>
  <si>
    <t>06142406870019</t>
  </si>
  <si>
    <t>RICOH EL SALVADOR, S.A. DE C.V.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</si>
  <si>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</si>
  <si>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</si>
  <si>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</si>
  <si>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</si>
  <si>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</si>
  <si>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</si>
  <si>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</si>
  <si>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</si>
  <si>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</si>
  <si>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</si>
  <si>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</si>
  <si>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</si>
  <si>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</si>
  <si>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</si>
  <si>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</si>
  <si>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</si>
  <si>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</si>
  <si>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</si>
  <si>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</si>
  <si>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</si>
  <si>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12171109131010</t>
  </si>
  <si>
    <t>DROG PHARMA, S.A. DE C.V.</t>
  </si>
  <si>
    <t>06142501101070</t>
  </si>
  <si>
    <t>SERVICIOS Y LOGISTICA DE CARGA WALNYS, S.A. DE C.V.</t>
  </si>
  <si>
    <t>06141909961054</t>
  </si>
  <si>
    <t>ANGEL S.A DE C.V.</t>
  </si>
  <si>
    <t>RAFAEL RENE CANALES PINAUD</t>
  </si>
  <si>
    <t>06140210081052</t>
  </si>
  <si>
    <t>FERRETERIA EPA S.A. DE C.V.</t>
  </si>
  <si>
    <t>06140812610145</t>
  </si>
  <si>
    <t>C IMBERTON, S.A.DE C.V.</t>
  </si>
  <si>
    <t>06140406191018</t>
  </si>
  <si>
    <t>FORZA ENERGY, S.A. DE C.V.</t>
  </si>
  <si>
    <t>06141007840010</t>
  </si>
  <si>
    <t>DROCOSAL, S.A. DE C.V.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</si>
  <si>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</si>
  <si>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</si>
  <si>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</si>
  <si>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</si>
  <si>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</si>
  <si>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</si>
  <si>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</si>
  <si>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</si>
  <si>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</si>
  <si>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06141609031012</t>
  </si>
  <si>
    <t>COMLUB,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</si>
  <si>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</si>
  <si>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</si>
  <si>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</si>
  <si>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</si>
  <si>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</si>
  <si>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</si>
  <si>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</si>
  <si>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</si>
  <si>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06140207670045</t>
  </si>
  <si>
    <t>MARIO ALBERTO MIRANDA FONSECA</t>
  </si>
  <si>
    <t>ISMER, S.A. DE C.V.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</si>
  <si>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</si>
  <si>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</si>
  <si>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</si>
  <si>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</si>
  <si>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</si>
  <si>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</si>
  <si>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</si>
  <si>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06141512001054</t>
  </si>
  <si>
    <t>GRUPO PAILL, S.A. DE C.V.</t>
  </si>
  <si>
    <t>06141303151073</t>
  </si>
  <si>
    <t>VITAL MEDICAL, S.A. DE C.V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</si>
  <si>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</si>
  <si>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</si>
  <si>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</si>
  <si>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</si>
  <si>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</si>
  <si>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</si>
  <si>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</si>
  <si>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</si>
  <si>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</si>
  <si>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</si>
  <si>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06140307951051</t>
  </si>
  <si>
    <t>ROCELI CONSULTORES, S.A. DE C.</t>
  </si>
  <si>
    <t>06142006031022</t>
  </si>
  <si>
    <t>FERRUSAL, S.A. DE C.V.</t>
  </si>
  <si>
    <t>06142610981012</t>
  </si>
  <si>
    <t>CTE TELECOM PERSONAL S.A. DE C.V.</t>
  </si>
  <si>
    <t>06143009921068</t>
  </si>
  <si>
    <t>IMPORTADORA RAMIREZ S.A. DE C.V.</t>
  </si>
  <si>
    <t>11181602731029</t>
  </si>
  <si>
    <t>TRANSPORTES RAF</t>
  </si>
  <si>
    <t>05110804510015</t>
  </si>
  <si>
    <t>CARLOS ALBERTO RAMIREZ VALIENTE</t>
  </si>
  <si>
    <t>06140706911055</t>
  </si>
  <si>
    <t>DEMPAQUE, S.A. DE C.V.</t>
  </si>
  <si>
    <t>06143107971090</t>
  </si>
  <si>
    <t>OPERADORA DEL SUR, S.A. DE C.V.</t>
  </si>
  <si>
    <t>12170701191011</t>
  </si>
  <si>
    <t>VASQUEZ RODRIGUEZ, S.A. DE C.V.</t>
  </si>
  <si>
    <t>09031006711010</t>
  </si>
  <si>
    <t>MARGARITA GUZMAN DE BAIRES</t>
  </si>
  <si>
    <t>12173101051010</t>
  </si>
  <si>
    <t>INVERSIONES CARDUMEN, S.A. DE C.V.</t>
  </si>
  <si>
    <t>06140709360024</t>
  </si>
  <si>
    <t>ANA ROSA PERALTA DE BONILLA</t>
  </si>
  <si>
    <t>13071610671016</t>
  </si>
  <si>
    <t>GERARDO ABIDAIL CABALLERO</t>
  </si>
  <si>
    <t>06142312610117</t>
  </si>
  <si>
    <t>RODRIGO ANTONIO ARGUETA ECHEGOYEN</t>
  </si>
  <si>
    <t>TONY ALBERTO PEREZ</t>
  </si>
  <si>
    <t>06141702660013</t>
  </si>
  <si>
    <t>ALSI, S.A. C.V.</t>
  </si>
  <si>
    <t>06142806901106</t>
  </si>
  <si>
    <t>ABEL OSVALDO SANTOS RIVERA</t>
  </si>
  <si>
    <t>06141108001032</t>
  </si>
  <si>
    <t>UNION COMERCIAL DE EL SALVADOR, S.A. DE C.V.</t>
  </si>
  <si>
    <t>02101207920015</t>
  </si>
  <si>
    <t>AES CLESA Y COMPAÑIA, S. EN C. DE C. V.</t>
  </si>
  <si>
    <t>06142302770010</t>
  </si>
  <si>
    <t>ALPINA, S.A. DE C.V.</t>
  </si>
  <si>
    <t>06141411690013</t>
  </si>
  <si>
    <t>ASEGURADORA SUIZA SALVADOREÑA, S.A.</t>
  </si>
  <si>
    <t>05110402951018</t>
  </si>
  <si>
    <t>BANCO PROMERICA, S.A.</t>
  </si>
  <si>
    <t>06141711900013</t>
  </si>
  <si>
    <t>CIA.DE ALUMBRADO ELECTRICO DE SAN SALVADOR, S.A. DE C.V.</t>
  </si>
  <si>
    <t>06140106710049</t>
  </si>
  <si>
    <t>COMPAÑIA PANAMEÑA DE AVIACION, S.A.</t>
  </si>
  <si>
    <t>06142704001062</t>
  </si>
  <si>
    <t>CORPORACION CEFA, S. A. DE C. V.</t>
  </si>
  <si>
    <t>06142012041013</t>
  </si>
  <si>
    <t>CORPORACION DE TIENDAS INTERNACIONALES, S.A. DE C.V.</t>
  </si>
  <si>
    <t>06140103951010</t>
  </si>
  <si>
    <t>DHL GLOBAL FORWARDING ( EL SALVADOR), S.A DE C.V</t>
  </si>
  <si>
    <t>06143112510011</t>
  </si>
  <si>
    <t>DISTRIBUIDORA DE AUTOMOVILES, S.A. DE C.V.</t>
  </si>
  <si>
    <t>06141611951013</t>
  </si>
  <si>
    <t>DISTRIBUIDORA DE ELECTRICIDAD DEL SUR, S.A. DE C.V.</t>
  </si>
  <si>
    <t>06141612991019</t>
  </si>
  <si>
    <t>DISTRIBUIDORA DE LUBRICANTES Y COMBUSTIBLES, S.A. DE C.V.</t>
  </si>
  <si>
    <t>06143101630050</t>
  </si>
  <si>
    <t>DOÑAN VALLE JOSE ADRIAN</t>
  </si>
  <si>
    <t>06143008800030</t>
  </si>
  <si>
    <t>DROGUERIA NUEVA SAN CARLOS, S.A. DE C.V.</t>
  </si>
  <si>
    <t>06142801420027</t>
  </si>
  <si>
    <t>DROGUERIA SANTA LUCIA, S.A. DE C.V.</t>
  </si>
  <si>
    <t>06140110911040</t>
  </si>
  <si>
    <t>DROGUERIA UNIVERSAL S. A. DE C. V.</t>
  </si>
  <si>
    <t>06142003971040</t>
  </si>
  <si>
    <t>DURACION EN ELECTRODOMESTICOS, S.A. DE C.V.</t>
  </si>
  <si>
    <t>06142305771172</t>
  </si>
  <si>
    <t>DURAN ESCOBAR SALVADOR ANTONIO</t>
  </si>
  <si>
    <t>05112308101011</t>
  </si>
  <si>
    <t>EL NUEVO MILAGRO, S.A DE C.V</t>
  </si>
  <si>
    <t>06141307921051</t>
  </si>
  <si>
    <t>ELECTROLAB MEDIC, S.A. DE C.V.</t>
  </si>
  <si>
    <t>06142209520012</t>
  </si>
  <si>
    <t>EMPRESAS ADOC, S.A. DE C.V.</t>
  </si>
  <si>
    <t>FARMACIAS EUROPEAS, S.A. DE C.V.</t>
  </si>
  <si>
    <t>06141407790021</t>
  </si>
  <si>
    <t>GAMMA LABORATORIES, S.A. DE C.V.</t>
  </si>
  <si>
    <t>06142808921104</t>
  </si>
  <si>
    <t>GUARDADO, S.A. DE C.V.</t>
  </si>
  <si>
    <t>06140411660046</t>
  </si>
  <si>
    <t>GUTIERREZ PORTILLO HOWARD CRISTOBAL</t>
  </si>
  <si>
    <t>06141312850038</t>
  </si>
  <si>
    <t>IMPRESSA, S.A. DE C.V.</t>
  </si>
  <si>
    <t>06140101840022</t>
  </si>
  <si>
    <t>INDUSTRIAL LA PALMA, S.A. DE C.V.</t>
  </si>
  <si>
    <t>06143001780012</t>
  </si>
  <si>
    <t>LA CASA DEL REPUESTO, S.A. DE C.V.</t>
  </si>
  <si>
    <t>06141408610014</t>
  </si>
  <si>
    <t>LABORATORIOS ARSAL,S.A. DE C.V.</t>
  </si>
  <si>
    <t>06140611800022</t>
  </si>
  <si>
    <t>LABORATORIOS SUIZOS, S. A. DE C. V.</t>
  </si>
  <si>
    <t>06142505071078</t>
  </si>
  <si>
    <t>LETERAGO, S.A. DE C.V.</t>
  </si>
  <si>
    <t>06142711760019</t>
  </si>
  <si>
    <t>MATRICERIA INDUSTRIAL ROXY, S.A. DE C.V.</t>
  </si>
  <si>
    <t>06142608770012</t>
  </si>
  <si>
    <t>MEDIDENT, S.A. DE C.V.</t>
  </si>
  <si>
    <t>06141402891011</t>
  </si>
  <si>
    <t>MENFAR, S. A. DE C. V.</t>
  </si>
  <si>
    <t>06143003921015</t>
  </si>
  <si>
    <t>MONTREAL, S. A. DE C. V.</t>
  </si>
  <si>
    <t>06140501350010</t>
  </si>
  <si>
    <t>OVIDIO J.VIDES, S.A. DE C.V.</t>
  </si>
  <si>
    <t>06141603991030</t>
  </si>
  <si>
    <t>PRICESMART EL SALVADOR, S.A. DE C.V.</t>
  </si>
  <si>
    <t>06143112690013</t>
  </si>
  <si>
    <t>PRODUCTOS ALIMENTICIOS DIANA, S.A. DE C.V.</t>
  </si>
  <si>
    <t>06143107620016</t>
  </si>
  <si>
    <t>06141202620014</t>
  </si>
  <si>
    <t>SEGUROS E INVERSIONES, S.A.</t>
  </si>
  <si>
    <t>06142911390029</t>
  </si>
  <si>
    <t>TACA INTERNATIONAL AIRLINES, S.A.</t>
  </si>
  <si>
    <t>06140104620021</t>
  </si>
  <si>
    <t>TALLER DIDEA, S.A. DE C.V.</t>
  </si>
  <si>
    <t>02102701001014</t>
  </si>
  <si>
    <t>UNILLANTAS, S.A. DE C.V.</t>
  </si>
  <si>
    <t>06140806450012</t>
  </si>
  <si>
    <t>VIDUC, S.A. DE C.V.</t>
  </si>
  <si>
    <t>08210507660026</t>
  </si>
  <si>
    <t>VILLALTA CARCAMO JOSE LUIS</t>
  </si>
  <si>
    <t>06142405850104</t>
  </si>
  <si>
    <t>ASOCIACION SALVADOREÑA PRO SALUD RURAL</t>
  </si>
  <si>
    <t>06140107740062</t>
  </si>
  <si>
    <t>BANCO CENTRAL DE RESERVA DE EL SALVADOR</t>
  </si>
  <si>
    <t>06140505041109</t>
  </si>
  <si>
    <t>CLIMAVA, S.A. DE C.V.</t>
  </si>
  <si>
    <t>06143005660025</t>
  </si>
  <si>
    <t>COMPAÑIA FARMACEUTICA, S.A. DE C.V.</t>
  </si>
  <si>
    <t>06170103310012</t>
  </si>
  <si>
    <t>DIRECCION GENERAL DE SANIDAD VEGETAL Y ANIMAL</t>
  </si>
  <si>
    <t>06140210961028</t>
  </si>
  <si>
    <t>DISTRIBUCION E INVERSION, S.A. DE C.V.</t>
  </si>
  <si>
    <t>06142306881010</t>
  </si>
  <si>
    <t>FERROCENTRO,S.A. DE C.V.</t>
  </si>
  <si>
    <t>06141708001052</t>
  </si>
  <si>
    <t>FONDO DE ACTIV. ESPEC. M.O.P. TRANSP. VIVIENDA Y DESARROLLO URBANO</t>
  </si>
  <si>
    <t>06140101680018</t>
  </si>
  <si>
    <t>J. A. APARICIO, S. A. DE C. V.</t>
  </si>
  <si>
    <t>06143105820014</t>
  </si>
  <si>
    <t>LABORATORIOS GENERIX, S.A DE C.V.</t>
  </si>
  <si>
    <t>06140303881024</t>
  </si>
  <si>
    <t>MOLDEADOS SALVADOREÑOS, S.A. DE C.V.</t>
  </si>
  <si>
    <t>06142406031056</t>
  </si>
  <si>
    <t>REAL EXPRESS, S. A. DE C.V.</t>
  </si>
  <si>
    <t>06140605830048</t>
  </si>
  <si>
    <t>RIALSA, S.A. DE C.V.</t>
  </si>
  <si>
    <t>06141901770025</t>
  </si>
  <si>
    <t>RONASA S. A. DE C. V.</t>
  </si>
  <si>
    <t>06141612031031</t>
  </si>
  <si>
    <t>SERVICIOS PERSONALES Y ADMINISTRATIVOS, S.A. DE C.V.</t>
  </si>
  <si>
    <t>06141903071049</t>
  </si>
  <si>
    <t>SUEÑO, S.A. DE C.V.</t>
  </si>
  <si>
    <t>12170509850014</t>
  </si>
  <si>
    <t>TURISTICAS DE ORIENTE, S.A DE C.V.</t>
  </si>
  <si>
    <t>06140404081061</t>
  </si>
  <si>
    <t>UNIVERSAL DE EMPAQUES, S..A DE C.V.</t>
  </si>
  <si>
    <t>06140108191030</t>
  </si>
  <si>
    <t>RENNERLAB S.A. DE C.V.</t>
  </si>
  <si>
    <t>06143007891048</t>
  </si>
  <si>
    <t>06142407131054</t>
  </si>
  <si>
    <t>CORPORATIVO CONTROLET EL SALVADOR, S.A. DE C.V.</t>
  </si>
  <si>
    <t>ANULADA</t>
  </si>
  <si>
    <t>0-0</t>
  </si>
  <si>
    <t>NICOLAS ANDRES HERNANDEZ SALAZAR</t>
  </si>
  <si>
    <t>15041RESIN181822020</t>
  </si>
  <si>
    <t>11211902801017</t>
  </si>
  <si>
    <t>JOSUE BENJAMIN NUILA HERNANDEZ</t>
  </si>
  <si>
    <t>01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</si>
  <si>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</si>
  <si>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</si>
  <si>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</si>
  <si>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</si>
  <si>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</si>
  <si>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</si>
  <si>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</si>
  <si>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</si>
  <si>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</si>
  <si>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</si>
  <si>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</si>
  <si>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02101107171019</t>
  </si>
  <si>
    <t>SERINGTEC, S.A. DE C.V.</t>
  </si>
  <si>
    <t>12151904761013</t>
  </si>
  <si>
    <t>SOCRATES CHAVES RIVAS</t>
  </si>
  <si>
    <t>Mes</t>
  </si>
  <si>
    <t>NCR</t>
  </si>
  <si>
    <t>Monto Retención 1%</t>
  </si>
  <si>
    <t>Número de anexo</t>
  </si>
  <si>
    <t>11100209671014</t>
  </si>
  <si>
    <t>MILITZA DEL CARMEN RODRIGUEZ ZELAYA</t>
  </si>
  <si>
    <t>VIOLETA MARISOL CAMPOS RODRIGUEZ</t>
  </si>
  <si>
    <t>06140812091091</t>
  </si>
  <si>
    <t>CORPORATIVE SYSTEMS OF HEALTH, S.A. DE C.V.</t>
  </si>
  <si>
    <t>0</t>
  </si>
  <si>
    <t>Total general</t>
  </si>
  <si>
    <t>Suma de VENTA TOTAL</t>
  </si>
  <si>
    <t>PERCEPCIONES</t>
  </si>
  <si>
    <t>EDWIN MAURICIO PARADA DOMINGUEZ</t>
  </si>
  <si>
    <t>06140602141037</t>
  </si>
  <si>
    <t>INVERSIONES MAREM S.A. DE C.V.</t>
  </si>
  <si>
    <t>06142309831030</t>
  </si>
  <si>
    <t>JACQUELINE GUADALUPE JUAREZ SANDOVAL FOOT CENTER</t>
  </si>
  <si>
    <t>06141502051029</t>
  </si>
  <si>
    <t>CLINICA MUJER S.A DE C.V</t>
  </si>
  <si>
    <t>DUCA</t>
  </si>
  <si>
    <t>06141012141020</t>
  </si>
  <si>
    <t>GM CAPITAL, S.A DE C.V.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</si>
  <si>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</si>
  <si>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</si>
  <si>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</si>
  <si>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</si>
  <si>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</si>
  <si>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</si>
  <si>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</si>
  <si>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</si>
  <si>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</si>
  <si>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</si>
  <si>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</si>
  <si>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</si>
  <si>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</si>
  <si>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</si>
  <si>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</si>
  <si>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</si>
  <si>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</si>
  <si>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</si>
  <si>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</si>
  <si>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</si>
  <si>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</si>
  <si>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</si>
  <si>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</si>
  <si>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</si>
  <si>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</si>
  <si>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</si>
  <si>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</si>
  <si>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</si>
  <si>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</si>
  <si>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FEBRERO</t>
  </si>
  <si>
    <t>01/02/2022</t>
  </si>
  <si>
    <t>07152711701010</t>
  </si>
  <si>
    <t>RAMIRO ANTONIO FIGUEROA GALDAMEZ</t>
  </si>
  <si>
    <t>01010310750017</t>
  </si>
  <si>
    <t>CENTRO CLINICO HOSPITALARIO, S.A. DE C.V.</t>
  </si>
  <si>
    <t>20SD000C</t>
  </si>
  <si>
    <t>20SD003C</t>
  </si>
  <si>
    <t>3</t>
  </si>
  <si>
    <t>12</t>
  </si>
  <si>
    <t>21DS000U</t>
  </si>
  <si>
    <t>19DS000U</t>
  </si>
  <si>
    <t>21DS000C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</si>
  <si>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</si>
  <si>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</si>
  <si>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</si>
  <si>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</si>
  <si>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</si>
  <si>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</si>
  <si>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</si>
  <si>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</si>
  <si>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</si>
  <si>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</si>
  <si>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</si>
  <si>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</si>
  <si>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</si>
  <si>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</si>
  <si>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21/02/2022</t>
  </si>
  <si>
    <t>ANA LILIAN VELASQUEZ DE ARGUETA</t>
  </si>
  <si>
    <t>16/02/2022</t>
  </si>
  <si>
    <t>15/02/2022</t>
  </si>
  <si>
    <t>14/02/2022</t>
  </si>
  <si>
    <t>10/02/2022</t>
  </si>
  <si>
    <t>03/02/2022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</si>
  <si>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</si>
  <si>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</si>
  <si>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</si>
  <si>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</si>
  <si>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</si>
  <si>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</si>
  <si>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</si>
  <si>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</si>
  <si>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15041RESIN763002021</t>
  </si>
  <si>
    <t>21DS003F</t>
  </si>
  <si>
    <t>06141710151037</t>
  </si>
  <si>
    <t>CENTRO DE MEDICINA NUCLEAR DE EL SALVADOR S.A. DE C.V.</t>
  </si>
  <si>
    <t>MARZO</t>
  </si>
  <si>
    <t>31/03/2022</t>
  </si>
  <si>
    <t>30/03/2022</t>
  </si>
  <si>
    <t>29/03/2022</t>
  </si>
  <si>
    <t>25/03/2022</t>
  </si>
  <si>
    <t>24/03/2022</t>
  </si>
  <si>
    <t>23/03/2022</t>
  </si>
  <si>
    <t>019183514</t>
  </si>
  <si>
    <t>EDGARD MILTON GARCIA</t>
  </si>
  <si>
    <t>22/03/2022</t>
  </si>
  <si>
    <t>21/03/2022</t>
  </si>
  <si>
    <t>17/03/2022</t>
  </si>
  <si>
    <t>10102606211010</t>
  </si>
  <si>
    <t>ONCOSAVI S.A DE C.V</t>
  </si>
  <si>
    <t>14/03/2022</t>
  </si>
  <si>
    <t>11/03/2022</t>
  </si>
  <si>
    <t>09/03/2022</t>
  </si>
  <si>
    <t>07/03/2022</t>
  </si>
  <si>
    <t>04/03/2022</t>
  </si>
  <si>
    <t>03/03/2022</t>
  </si>
  <si>
    <t>02/03/2022</t>
  </si>
  <si>
    <t>01/03/2022</t>
  </si>
  <si>
    <t>11020404600018</t>
  </si>
  <si>
    <t>JOSE VICTORINO ARIAS DIAZ</t>
  </si>
  <si>
    <t>06140709121055</t>
  </si>
  <si>
    <t>INVERBOL S.A DE C.V.</t>
  </si>
  <si>
    <t>28/03/2022</t>
  </si>
  <si>
    <t>08/03/2022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</si>
  <si>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</si>
  <si>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</si>
  <si>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</si>
  <si>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</si>
  <si>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</si>
  <si>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</si>
  <si>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</si>
  <si>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</si>
  <si>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</si>
  <si>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</si>
  <si>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</si>
  <si>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</si>
  <si>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</si>
  <si>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26/04/2022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</si>
  <si>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</si>
  <si>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</si>
  <si>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</si>
  <si>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</si>
  <si>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</si>
  <si>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</si>
  <si>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</si>
  <si>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</si>
  <si>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</si>
  <si>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06143012981020</t>
  </si>
  <si>
    <t>INDUSTRIAL VICAL, S.A. DE C.V.</t>
  </si>
  <si>
    <t>31/05/2022</t>
  </si>
  <si>
    <t>30/05/2022</t>
  </si>
  <si>
    <t>27/05/2022</t>
  </si>
  <si>
    <t>26/05/2022</t>
  </si>
  <si>
    <t>23/05/2022</t>
  </si>
  <si>
    <t>20/05/2022</t>
  </si>
  <si>
    <t>19/05/2022</t>
  </si>
  <si>
    <t>17/05/2022</t>
  </si>
  <si>
    <t>16/05/2022</t>
  </si>
  <si>
    <t>13/05/2022</t>
  </si>
  <si>
    <t>12/05/2022</t>
  </si>
  <si>
    <t>11/05/2022</t>
  </si>
  <si>
    <t>09/05/2022</t>
  </si>
  <si>
    <t>05/05/2022</t>
  </si>
  <si>
    <t>03/05/2022</t>
  </si>
  <si>
    <t>02/05/2022</t>
  </si>
  <si>
    <t>024227145</t>
  </si>
  <si>
    <t>SELVIN VALDEMAR LOPEZ</t>
  </si>
  <si>
    <t>06/05/2022</t>
  </si>
  <si>
    <t>14/05/2022</t>
  </si>
  <si>
    <t>21/05/2022</t>
  </si>
  <si>
    <t>20DS000C</t>
  </si>
  <si>
    <t>SUCURSAL</t>
  </si>
  <si>
    <t xml:space="preserve">  </t>
  </si>
  <si>
    <t>28/06/2022</t>
  </si>
  <si>
    <t>06140806951020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</si>
  <si>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</si>
  <si>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</si>
  <si>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</si>
  <si>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</si>
  <si>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</si>
  <si>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</si>
  <si>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</si>
  <si>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</si>
  <si>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</si>
  <si>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</si>
  <si>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</si>
  <si>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</si>
  <si>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</si>
  <si>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</si>
  <si>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</si>
  <si>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</si>
  <si>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</si>
  <si>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</si>
  <si>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</si>
  <si>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</si>
  <si>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</si>
  <si>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</si>
  <si>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</si>
  <si>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</si>
  <si>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</si>
  <si>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</si>
  <si>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</si>
  <si>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</si>
  <si>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</si>
  <si>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04/06/2022</t>
  </si>
  <si>
    <t>11/06/2022</t>
  </si>
  <si>
    <t>25/06/2022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</si>
  <si>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</si>
  <si>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</si>
  <si>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</si>
  <si>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</si>
  <si>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</si>
  <si>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</si>
  <si>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</si>
  <si>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</si>
  <si>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</si>
  <si>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</si>
  <si>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</si>
  <si>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</si>
  <si>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</si>
  <si>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</si>
  <si>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</si>
  <si>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</si>
  <si>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</si>
  <si>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</si>
  <si>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</si>
  <si>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</si>
  <si>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</si>
  <si>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</si>
  <si>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</si>
  <si>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</si>
  <si>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</si>
  <si>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</si>
  <si>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</si>
  <si>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</si>
  <si>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</si>
  <si>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</si>
  <si>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</si>
  <si>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</si>
  <si>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</si>
  <si>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</si>
  <si>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</si>
  <si>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</si>
  <si>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</si>
  <si>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</si>
  <si>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</si>
  <si>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</si>
  <si>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</si>
  <si>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</si>
  <si>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</si>
  <si>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</si>
  <si>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</si>
  <si>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</si>
  <si>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</si>
  <si>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</si>
  <si>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</si>
  <si>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</si>
  <si>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</si>
  <si>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</si>
  <si>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</si>
  <si>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</si>
  <si>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</si>
  <si>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</si>
  <si>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</si>
  <si>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</si>
  <si>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</si>
  <si>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</si>
  <si>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</si>
  <si>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</si>
  <si>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</si>
  <si>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</si>
  <si>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</si>
  <si>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</si>
  <si>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</si>
  <si>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</si>
  <si>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</si>
  <si>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</si>
  <si>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</si>
  <si>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</si>
  <si>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</si>
  <si>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</si>
  <si>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</si>
  <si>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</si>
  <si>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</si>
  <si>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</si>
  <si>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</si>
  <si>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</si>
  <si>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</si>
  <si>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</si>
  <si>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</si>
  <si>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</si>
  <si>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</si>
  <si>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</si>
  <si>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</si>
  <si>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</si>
  <si>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</si>
  <si>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</si>
  <si>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</si>
  <si>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041549110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</si>
  <si>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</si>
  <si>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</si>
  <si>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</si>
  <si>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</si>
  <si>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</si>
  <si>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</si>
  <si>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</si>
  <si>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</si>
  <si>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</si>
  <si>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</si>
  <si>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</si>
  <si>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</si>
  <si>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</si>
  <si>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</si>
  <si>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</si>
  <si>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26/09/2022</t>
  </si>
  <si>
    <t>12/09/2022</t>
  </si>
  <si>
    <t>06/09/2022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</si>
  <si>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</si>
  <si>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</si>
  <si>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</si>
  <si>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</si>
  <si>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</si>
  <si>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</si>
  <si>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</si>
  <si>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</si>
  <si>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</si>
  <si>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</si>
  <si>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</si>
  <si>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</si>
  <si>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</si>
  <si>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</si>
  <si>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</si>
  <si>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</si>
  <si>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</si>
  <si>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042645406</t>
  </si>
  <si>
    <t>IRVIN KEVIN JOSEPHT GARCIA MARTINEZ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</si>
  <si>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</si>
  <si>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</si>
  <si>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</si>
  <si>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</si>
  <si>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</si>
  <si>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</si>
  <si>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</si>
  <si>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</si>
  <si>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</si>
  <si>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</si>
  <si>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</si>
  <si>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</si>
  <si>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</si>
  <si>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</si>
  <si>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</si>
  <si>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</si>
  <si>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</si>
  <si>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</si>
  <si>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</si>
  <si>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</si>
  <si>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</si>
  <si>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</si>
  <si>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</si>
  <si>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</si>
  <si>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</si>
  <si>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</si>
  <si>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</si>
  <si>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</si>
  <si>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</si>
  <si>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</si>
  <si>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</si>
  <si>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</si>
  <si>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</si>
  <si>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</si>
  <si>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</si>
  <si>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</si>
  <si>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</si>
  <si>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</si>
  <si>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</si>
  <si>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</si>
  <si>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Columna6</t>
  </si>
  <si>
    <t>Columna7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</si>
  <si>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</si>
  <si>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</si>
  <si>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</si>
  <si>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</si>
  <si>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</si>
  <si>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</si>
  <si>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</si>
  <si>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</si>
  <si>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</si>
  <si>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</si>
  <si>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</si>
  <si>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</si>
  <si>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</si>
  <si>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</si>
  <si>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</si>
  <si>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</si>
  <si>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</si>
  <si>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</si>
  <si>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</si>
  <si>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</si>
  <si>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</si>
  <si>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</si>
  <si>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</si>
  <si>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</si>
  <si>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</si>
  <si>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</si>
  <si>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</si>
  <si>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</si>
  <si>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</si>
  <si>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</si>
  <si>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</si>
  <si>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</si>
  <si>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</si>
  <si>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</si>
  <si>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</si>
  <si>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</si>
  <si>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</si>
  <si>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</si>
  <si>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</si>
  <si>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</si>
  <si>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</si>
  <si>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</si>
  <si>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</si>
  <si>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</si>
  <si>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</si>
  <si>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</si>
  <si>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</si>
  <si>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</si>
  <si>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</si>
  <si>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</si>
  <si>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</si>
  <si>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</si>
  <si>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</si>
  <si>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</si>
  <si>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</si>
  <si>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</si>
  <si>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</si>
  <si>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</si>
  <si>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</si>
  <si>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</si>
  <si>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</si>
  <si>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</si>
  <si>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</si>
  <si>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</si>
  <si>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</si>
  <si>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</si>
  <si>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</si>
  <si>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</si>
  <si>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</si>
  <si>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</si>
  <si>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</si>
  <si>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MORENA DEL ROSARIO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</si>
  <si>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</si>
  <si>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</si>
  <si>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</si>
  <si>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</si>
  <si>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</si>
  <si>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</si>
  <si>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</si>
  <si>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04071405751037</t>
  </si>
  <si>
    <t>JOSE ERICK RAUDA QUIJADA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</si>
  <si>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</si>
  <si>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</si>
  <si>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</si>
  <si>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</si>
  <si>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</si>
  <si>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</si>
  <si>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</si>
  <si>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</si>
  <si>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</si>
  <si>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</si>
  <si>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</si>
  <si>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</si>
  <si>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</si>
  <si>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</si>
  <si>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</si>
  <si>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</si>
  <si>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</si>
  <si>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</si>
  <si>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</si>
  <si>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</si>
  <si>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</si>
  <si>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24/12/2022</t>
  </si>
  <si>
    <t>17/12/2022</t>
  </si>
  <si>
    <t>06140802181017</t>
  </si>
  <si>
    <t>OLIMPO TECNOLOGIAS, S.A. DE C.V.</t>
  </si>
  <si>
    <t>122022</t>
  </si>
  <si>
    <t>GUEVARA MARTINEZ DOUGLAS ARTURO</t>
  </si>
  <si>
    <t>ENE-JUNIO</t>
  </si>
  <si>
    <t>JULIO-DIC</t>
  </si>
  <si>
    <t>(en blanco)</t>
  </si>
  <si>
    <t>(Varios elementos)</t>
  </si>
  <si>
    <t>06/01/2023</t>
  </si>
  <si>
    <t>06081710941019</t>
  </si>
  <si>
    <t>WILLIAM GERARDO VELASQUEZ LOPEZ</t>
  </si>
  <si>
    <t>02101203791044</t>
  </si>
  <si>
    <t>JESUS OSWALDO GUTIERREZ HENRIQUEZ</t>
  </si>
  <si>
    <t>019839301</t>
  </si>
  <si>
    <t>SIRIA MARGARITA ANDRADE BONILLA LAB. CLINICO PERFILAB</t>
  </si>
  <si>
    <t>05112711901230</t>
  </si>
  <si>
    <t>EDWIN MAURICIO RAMIREZ MELGAR</t>
  </si>
  <si>
    <t>04162801801018</t>
  </si>
  <si>
    <t>MARIA ELIZABETH MONTOYA DE COREA</t>
  </si>
  <si>
    <t>026445820</t>
  </si>
  <si>
    <t>LENY MAYENCI SANTOS DE PEREZ</t>
  </si>
  <si>
    <t>06142210201034</t>
  </si>
  <si>
    <t>VITAE EL SALVADOR</t>
  </si>
  <si>
    <t>05062802490010</t>
  </si>
  <si>
    <t>GUILLERMO ARRIOLA DISTRIBUIDORA ARRIOLA</t>
  </si>
  <si>
    <t>06143006101027</t>
  </si>
  <si>
    <t>ROWALT PHARMACEUTICAL, S.A DE C.V.</t>
  </si>
  <si>
    <t>07091204851019</t>
  </si>
  <si>
    <t>DR LUIS BALTAZAR GUZMAN RODRÍGEZ</t>
  </si>
  <si>
    <t>12171206131017</t>
  </si>
  <si>
    <t>DROGUERIA SCHUBERT</t>
  </si>
  <si>
    <t>06141211211100</t>
  </si>
  <si>
    <t>INVERSIONES LUK</t>
  </si>
  <si>
    <t>01012609821088</t>
  </si>
  <si>
    <t>HENDY MAURICIO MAGAÑA LOPEZ</t>
  </si>
  <si>
    <t>048066422</t>
  </si>
  <si>
    <t>LUIS ROBERTO VELASQUEZ RAMOS</t>
  </si>
  <si>
    <t>05031610151010</t>
  </si>
  <si>
    <t>GRUPO DUARTE LOPEZ S.A DE C.V.</t>
  </si>
  <si>
    <t>07022701211013</t>
  </si>
  <si>
    <t>CENTRO DE CIRUGIA AMBULATORIA SAN JOSE S.A DE C.V.</t>
  </si>
  <si>
    <t>021499599</t>
  </si>
  <si>
    <t xml:space="preserve">MORENA DE LOS ANGELES LUCERO VALLE </t>
  </si>
  <si>
    <t>06143005051093</t>
  </si>
  <si>
    <t>CENTRO DE ENFERMEDADES RENALES DE EL SALVADOR S.A DE C.V. CENERSAL</t>
  </si>
  <si>
    <t>022015445</t>
  </si>
  <si>
    <t>SONIA ELIZABETH ALFARO LOPEZ CLINICA HEMEONCOLOGICA</t>
  </si>
  <si>
    <t>06141308670025</t>
  </si>
  <si>
    <t xml:space="preserve">LIZETH BEATRIZ CHAVEZ DE ALFARO </t>
  </si>
  <si>
    <t>08152705851011</t>
  </si>
  <si>
    <t>DR JOSE ENMANUEL PINEDA MARTINEZ</t>
  </si>
  <si>
    <t>06141007760062</t>
  </si>
  <si>
    <t>SALVADOR JOSE MAURICIO HERNANDEZ PEREZ SOHO LAS CASCADAS</t>
  </si>
  <si>
    <t>06142506791376</t>
  </si>
  <si>
    <t xml:space="preserve">MARIO JONATAN UGARTE RECINOS </t>
  </si>
  <si>
    <t>06140410181043</t>
  </si>
  <si>
    <t xml:space="preserve">CENTRO INTEGRAL DE ENFERMEDADES RENALES </t>
  </si>
  <si>
    <t>DINA DEL CARMEN SARAVIA DE ARGUETA DISTRIBUIDORA MAHANAIM</t>
  </si>
  <si>
    <t>06191001781032</t>
  </si>
  <si>
    <t>ANA GERALDINA GOMEZ FUENTES</t>
  </si>
  <si>
    <t>06141710871412</t>
  </si>
  <si>
    <t>JOSE EFRAÍN CONRADO GARMENDEZ FARMACIA BOSQUES DE LA PAZ</t>
  </si>
  <si>
    <t>06171109670013</t>
  </si>
  <si>
    <t>ANA PATRICIA POLIO VIDA DE ÁNGEL</t>
  </si>
  <si>
    <t>006360149</t>
  </si>
  <si>
    <t>IRMA JEANNETTE CORTEZ DE MOLINA</t>
  </si>
  <si>
    <t>06161711691036</t>
  </si>
  <si>
    <t>GLADYS ELIZABETH HERNANDEZ DE SANCHEZ GLADYS HERNANDEZ</t>
  </si>
  <si>
    <t>000794196</t>
  </si>
  <si>
    <t xml:space="preserve">MARTHA RUT JAIME DE DUARTE </t>
  </si>
  <si>
    <t>06142107801015</t>
  </si>
  <si>
    <t xml:space="preserve">ROBERTO AXITL CABRERA SEGURA </t>
  </si>
  <si>
    <t>07070404671018</t>
  </si>
  <si>
    <t>JOSE JULIO PÉREZ MOZ</t>
  </si>
  <si>
    <t>06142004211031</t>
  </si>
  <si>
    <t>STANMA S.A. DE C.V.</t>
  </si>
  <si>
    <t>06142110721278</t>
  </si>
  <si>
    <t>JENNY LISSETE CASTRO DE HERNÁNDEZ</t>
  </si>
  <si>
    <t>06102702640013</t>
  </si>
  <si>
    <t>JOSE FRANCISCO MANZUR HENRIQUEZ</t>
  </si>
  <si>
    <t>13142106881012</t>
  </si>
  <si>
    <t>DR RAFAEL RIVAS RAMOS</t>
  </si>
  <si>
    <t>94502607791027</t>
  </si>
  <si>
    <t>AMERICARES FOUNDATION INC</t>
  </si>
  <si>
    <t>06142111141070</t>
  </si>
  <si>
    <t>06141202191082</t>
  </si>
  <si>
    <t>MEDICOS MIRANDA MARTINEZ MEZA S.A. DE C.V. MEDIMART</t>
  </si>
  <si>
    <t>06140903570090</t>
  </si>
  <si>
    <t>ANDRES ORLANDO VILLANUEVA GARCÍA</t>
  </si>
  <si>
    <t>06141103971688</t>
  </si>
  <si>
    <t>JOHANNA BEATRIZ GOMEZ DE GUEVARA</t>
  </si>
  <si>
    <t>06141710740026</t>
  </si>
  <si>
    <t>JOSE ENRIQUE HERNANDEZ PEREZ</t>
  </si>
  <si>
    <t>06141303530020</t>
  </si>
  <si>
    <t>JOSE ANTONIO RAMOS MENJIVAR</t>
  </si>
  <si>
    <t>06141406831137</t>
  </si>
  <si>
    <t>DRA IRIS REBECA CAMPOS CASTRO</t>
  </si>
  <si>
    <t>06142201151032</t>
  </si>
  <si>
    <t xml:space="preserve">DROGERIA ALTERNATIVA FARMACEUTICO </t>
  </si>
  <si>
    <t>06140707071018</t>
  </si>
  <si>
    <t>DROGUERIA PIERRI, S.A DE C.V.</t>
  </si>
  <si>
    <t>06141407151059</t>
  </si>
  <si>
    <t>FARMEX INTERNACIONAL S.A DE C.V.</t>
  </si>
  <si>
    <t>06191006781014</t>
  </si>
  <si>
    <t>SONIA GUADALUPE A DE. ELIAS</t>
  </si>
  <si>
    <t>06140206091035</t>
  </si>
  <si>
    <t>DISTRIBUIDORA VAZ, S.A. DE C.V.</t>
  </si>
  <si>
    <t>06031011741015</t>
  </si>
  <si>
    <t>YVES PORTILLO CANALES</t>
  </si>
  <si>
    <t>05111408620029</t>
  </si>
  <si>
    <t>CELIA IRMA RUBIO DE MANZANO</t>
  </si>
  <si>
    <t>06140703710037</t>
  </si>
  <si>
    <t>DELIA ELENA OSORIO CALDERON</t>
  </si>
  <si>
    <t>05022102730012</t>
  </si>
  <si>
    <t>CARLOS GILBERTO RIVAS</t>
  </si>
  <si>
    <t>06141512570104</t>
  </si>
  <si>
    <t>RICARDO JOSE PAZ CASTELLANOS</t>
  </si>
  <si>
    <t>06141911621023</t>
  </si>
  <si>
    <t>ANA RUTH RAMOS BARRERA</t>
  </si>
  <si>
    <t>01080109201011</t>
  </si>
  <si>
    <t>R ROSALES INVERSIONES S.A. DE C.V.</t>
  </si>
  <si>
    <t>06140611710033</t>
  </si>
  <si>
    <t>RICARDO OLMEDO SANCHEZ</t>
  </si>
  <si>
    <t>06141404630043</t>
  </si>
  <si>
    <t>RICARDO ALEJANDRO PATIÑO</t>
  </si>
  <si>
    <t>06142508661070</t>
  </si>
  <si>
    <t>EDGARD MAURICIO DE JESUS DABOUB VALDEZ</t>
  </si>
  <si>
    <t>06142010721092</t>
  </si>
  <si>
    <t>ANA LIDIA BENITEZ DE CRUZ</t>
  </si>
  <si>
    <t>06140911181027</t>
  </si>
  <si>
    <t>HPQ S.A. DE C.V.</t>
  </si>
  <si>
    <t>038816728</t>
  </si>
  <si>
    <t>ANDREA CRISTINA CASTRO CARRANZA</t>
  </si>
  <si>
    <t>06142012570023</t>
  </si>
  <si>
    <t>RICARDO ANTONIO GOMEZ GONZALEZ</t>
  </si>
  <si>
    <t>05111703660018</t>
  </si>
  <si>
    <t>JOSE ERIBERTO GUERRERO CHACOR</t>
  </si>
  <si>
    <t>06140304901037</t>
  </si>
  <si>
    <t>ENRIMAR S.A. DE C.V.</t>
  </si>
  <si>
    <t>06141309831246</t>
  </si>
  <si>
    <t>HUGO OMAR MARROQUIN MARTINEZ</t>
  </si>
  <si>
    <t>06142708861341</t>
  </si>
  <si>
    <t>06141902091038</t>
  </si>
  <si>
    <t>PRODUCTOS DE DIAGNOSTICO Y LABORATORIO, S.A. DE C.V.</t>
  </si>
  <si>
    <t>06141710891014</t>
  </si>
  <si>
    <t>EUROSALVADOREÑA, S.A. DE C.V.</t>
  </si>
  <si>
    <t>06081908831022</t>
  </si>
  <si>
    <t>IRMA TERESA FLORES DE GARCIA</t>
  </si>
  <si>
    <t>06140203751352</t>
  </si>
  <si>
    <t>02101710550034</t>
  </si>
  <si>
    <t>OSCAR ALFREDO GOMEZ</t>
  </si>
  <si>
    <t>06140404670108</t>
  </si>
  <si>
    <t>CARLOS ARTURO ROMERO GUERRA</t>
  </si>
  <si>
    <t>08222804731018</t>
  </si>
  <si>
    <t>LUIS ORLANDO MOLINA GALAN</t>
  </si>
  <si>
    <t>94111705821016</t>
  </si>
  <si>
    <t>NERBERT ARNOLDO GARAY CORNEJO</t>
  </si>
  <si>
    <t>02101601741065</t>
  </si>
  <si>
    <t>LUIS ALONSO HERNANDEZ MAGAÑA</t>
  </si>
  <si>
    <t>06140812731198</t>
  </si>
  <si>
    <t>NAPOLEON AVENDAÑO CHACON</t>
  </si>
  <si>
    <t>06140801831344</t>
  </si>
  <si>
    <t>SAMUEL ALEXANDER FLORES ALEMAN</t>
  </si>
  <si>
    <t>06142508711132</t>
  </si>
  <si>
    <t>JOSE LUIS VALLADARES HERNANDEZ</t>
  </si>
  <si>
    <t>02103007761016</t>
  </si>
  <si>
    <t>NELSON ARMANDO ALONZO MEDRANO</t>
  </si>
  <si>
    <t>06140305181038</t>
  </si>
  <si>
    <t>GRUPO M &amp; R</t>
  </si>
  <si>
    <t>05111504191014</t>
  </si>
  <si>
    <t>PROVETSA, S.A. DE C.V.</t>
  </si>
  <si>
    <t>06141710630099</t>
  </si>
  <si>
    <t>ROSA MARGARITA DURAN DE COLORADO</t>
  </si>
  <si>
    <t>08061805691016</t>
  </si>
  <si>
    <t>ALVARO GUILLERMO SANCHEZ CHAVEZ</t>
  </si>
  <si>
    <t>05120502771012</t>
  </si>
  <si>
    <t>CARLOS ROBERTO QUINO CERNA</t>
  </si>
  <si>
    <t>019866552</t>
  </si>
  <si>
    <t>06141509480057</t>
  </si>
  <si>
    <t>RICARDO OSCAR ALFARO</t>
  </si>
  <si>
    <t>06143004081029</t>
  </si>
  <si>
    <t>INSUMED, S.A. DE C.V.</t>
  </si>
  <si>
    <t>12172503161010</t>
  </si>
  <si>
    <t>06181004500016</t>
  </si>
  <si>
    <t>GUILLERMO PALENCIA</t>
  </si>
  <si>
    <t>03142309580055</t>
  </si>
  <si>
    <t>RAUL ERNESTO GUTIERREZ PALOMO</t>
  </si>
  <si>
    <t>06143110570041</t>
  </si>
  <si>
    <t>ALEX FUENTES VALENCIA</t>
  </si>
  <si>
    <t>11092702580019</t>
  </si>
  <si>
    <t>JULIA AMADA SARAVIA VELA</t>
  </si>
  <si>
    <t>11232012690010</t>
  </si>
  <si>
    <t>MANUEL RIGOBERTO SOTO</t>
  </si>
  <si>
    <t>06142101161049</t>
  </si>
  <si>
    <t>SERVICIOS MEDICOS Y ASOCIADOS A&amp;O, S.A. DE C.V.</t>
  </si>
  <si>
    <t>03031810580013</t>
  </si>
  <si>
    <t>GLADYS SEGURA VALLADARES DE CABRERA</t>
  </si>
  <si>
    <t>06140804211037</t>
  </si>
  <si>
    <t>AVANT PHARMACEUTICAL, S.A. DE C.V.</t>
  </si>
  <si>
    <t>02101105660016</t>
  </si>
  <si>
    <t>MIGUEL ANGEL ORTEGA ORTEGA</t>
  </si>
  <si>
    <t>11220301630016</t>
  </si>
  <si>
    <t>041978424</t>
  </si>
  <si>
    <t>GEOVANNI ALEXANDER MORENO FUENTES</t>
  </si>
  <si>
    <t>93932401711028</t>
  </si>
  <si>
    <t>CARLOS MARIO OSORIO CORDERO</t>
  </si>
  <si>
    <t>06142204221023</t>
  </si>
  <si>
    <t>MEDISERR S.A. DE C.V.</t>
  </si>
  <si>
    <t>06140905161103</t>
  </si>
  <si>
    <t>RODILLOS AVANZADOS, S.A. DE C.V.</t>
  </si>
  <si>
    <t>06140203211064</t>
  </si>
  <si>
    <t>PROFERCO, S.A. DE C.V.</t>
  </si>
  <si>
    <t>12173008781017</t>
  </si>
  <si>
    <t>NELSON MOLINA HERRERA</t>
  </si>
  <si>
    <t>06141002901059</t>
  </si>
  <si>
    <t>SERPROINSA, S.A. DE C.V.</t>
  </si>
  <si>
    <t>06141505801029</t>
  </si>
  <si>
    <t>NELSON ISMAEL NOLASCO PORTILLO</t>
  </si>
  <si>
    <t>06141012650070</t>
  </si>
  <si>
    <t>EDUARDO GUSTAVO SANTOS VIDES</t>
  </si>
  <si>
    <t>06140307201010</t>
  </si>
  <si>
    <t>DROGUERIA COORPORATIVA SALVADOREÑA</t>
  </si>
  <si>
    <t>0904086661010</t>
  </si>
  <si>
    <t>06072201861040</t>
  </si>
  <si>
    <t>MIGUEL ANGEL HERNANDEZ RODRIGUEZ</t>
  </si>
  <si>
    <t>06142404171055</t>
  </si>
  <si>
    <t>GRUPO GUSO, S.A. DE C.V.</t>
  </si>
  <si>
    <t>013103320</t>
  </si>
  <si>
    <t>15041RESIN553512022</t>
  </si>
  <si>
    <t>22SD001C</t>
  </si>
  <si>
    <t>06143001651029</t>
  </si>
  <si>
    <t>VIOLETA MARITZA LOPEZ DE POLANCO</t>
  </si>
  <si>
    <t>047175472</t>
  </si>
  <si>
    <t>SARA HELENIA GUZMAN MOLINA</t>
  </si>
  <si>
    <t>03061511670016</t>
  </si>
  <si>
    <t>JOSE MANUEL VELADO</t>
  </si>
  <si>
    <t>11092105741018</t>
  </si>
  <si>
    <t>ROSA LOURDES VIGIL DE ALTUVE</t>
  </si>
  <si>
    <t>028944082</t>
  </si>
  <si>
    <t>ROSALVO FRANSISCO VELASQUEZ BRUNO</t>
  </si>
  <si>
    <t>11111505861017</t>
  </si>
  <si>
    <t>XAVIER VALLADARES</t>
  </si>
  <si>
    <t>06062910221016</t>
  </si>
  <si>
    <t>UDP CENTRO MEDICO SANLUCAS HL</t>
  </si>
  <si>
    <t>06142305221083</t>
  </si>
  <si>
    <t>OLIVO VERDE S.A. DE C.V.</t>
  </si>
  <si>
    <t>15041RESIN102922020</t>
  </si>
  <si>
    <t>25/01/2023</t>
  </si>
  <si>
    <t>05/01/2023</t>
  </si>
  <si>
    <t>26/01/2023</t>
  </si>
  <si>
    <t>04/01/2023</t>
  </si>
  <si>
    <t>20SD001F</t>
  </si>
  <si>
    <t>15041RESIN459692020</t>
  </si>
  <si>
    <t>11</t>
  </si>
  <si>
    <t>038333649</t>
  </si>
  <si>
    <t>LUIS HERNAN ALVARADO</t>
  </si>
  <si>
    <t>19DS001C</t>
  </si>
  <si>
    <t>15041RESIN405632019</t>
  </si>
  <si>
    <t>20SD000X</t>
  </si>
  <si>
    <t>15041RESIN135142020</t>
  </si>
  <si>
    <t>20SD000F</t>
  </si>
  <si>
    <t>31/01/2023</t>
  </si>
  <si>
    <t>30/01/2023</t>
  </si>
  <si>
    <t>27/01/2023</t>
  </si>
  <si>
    <t>24/01/2023</t>
  </si>
  <si>
    <t>23/01/2023</t>
  </si>
  <si>
    <t>20/01/2023</t>
  </si>
  <si>
    <t>19/01/2023</t>
  </si>
  <si>
    <t>18/01/2023</t>
  </si>
  <si>
    <t>14/01/2023</t>
  </si>
  <si>
    <t>13/01/2023</t>
  </si>
  <si>
    <t>12/01/2023</t>
  </si>
  <si>
    <t>11/01/2023</t>
  </si>
  <si>
    <t>10/01/2023</t>
  </si>
  <si>
    <t>09/01/2023</t>
  </si>
  <si>
    <t>03/01/2023</t>
  </si>
  <si>
    <t>09030808821019</t>
  </si>
  <si>
    <t>DOMINGO BENJAMIN GUZAMAN FRANCO</t>
  </si>
  <si>
    <t>15/11/2023</t>
  </si>
  <si>
    <t>01022105590010</t>
  </si>
  <si>
    <t>CARLOS HOMERO MENJIVAR</t>
  </si>
  <si>
    <t>05</t>
  </si>
  <si>
    <t>31/12/2022</t>
  </si>
  <si>
    <t>22SD000U</t>
  </si>
  <si>
    <t>06081802971020</t>
  </si>
  <si>
    <t>BAIRON MISAEL QUINTANILLA AMAYA</t>
  </si>
  <si>
    <t>22SD000C</t>
  </si>
  <si>
    <t>06140810680053</t>
  </si>
  <si>
    <t>HUGO URIEL MENDOZA MEJIA</t>
  </si>
  <si>
    <t>16/01/2023</t>
  </si>
  <si>
    <t>17/01/2023</t>
  </si>
  <si>
    <t>REDIFAR, S.A. DE C.V.</t>
  </si>
  <si>
    <t>21SD000C</t>
  </si>
  <si>
    <t>06141903221083</t>
  </si>
  <si>
    <t>AVELDANA, S.A. DE C.V.</t>
  </si>
  <si>
    <t>28/02/2023</t>
  </si>
  <si>
    <t>27/02/2023</t>
  </si>
  <si>
    <t>24/02/2023</t>
  </si>
  <si>
    <t>23/02/2023</t>
  </si>
  <si>
    <t>22/02/2023</t>
  </si>
  <si>
    <t>21/02/2023</t>
  </si>
  <si>
    <t>20/02/2023</t>
  </si>
  <si>
    <t>16/02/2023</t>
  </si>
  <si>
    <t>15/02/2023</t>
  </si>
  <si>
    <t>14/02/2023</t>
  </si>
  <si>
    <t>11/02/2023</t>
  </si>
  <si>
    <t>10/02/2023</t>
  </si>
  <si>
    <t>09/02/2023</t>
  </si>
  <si>
    <t>08/02/2023</t>
  </si>
  <si>
    <t>07/02/2023</t>
  </si>
  <si>
    <t>06/02/203</t>
  </si>
  <si>
    <t>03/02/2023</t>
  </si>
  <si>
    <t>02/02/2023</t>
  </si>
  <si>
    <t>01/02/2023</t>
  </si>
  <si>
    <t>13/02/2023</t>
  </si>
  <si>
    <t>17/02/2023</t>
  </si>
  <si>
    <t>06141101121105</t>
  </si>
  <si>
    <t>GLOBAL SKIN EL SALVADOR, S.A. DE C.V.</t>
  </si>
  <si>
    <t>06141604071040</t>
  </si>
  <si>
    <t>SOCIEDAD MOUNTSINAI, S.A. DE C.V.</t>
  </si>
  <si>
    <t>06141905520143</t>
  </si>
  <si>
    <t>SONIA MABEL MOLINA DE GUZMAN</t>
  </si>
  <si>
    <t>MULTIMEDICA INTERNACIONAL, S.A. DE C.V.</t>
  </si>
  <si>
    <t>07/02/203</t>
  </si>
  <si>
    <t>06140804540071</t>
  </si>
  <si>
    <t>ROBERTO FRANSISCO VIDES CASANOVA</t>
  </si>
  <si>
    <t>01/01/2023</t>
  </si>
  <si>
    <t>06141106071026</t>
  </si>
  <si>
    <t>22/01/2023</t>
  </si>
  <si>
    <t>06/02/2023</t>
  </si>
  <si>
    <t>18/02/2023</t>
  </si>
  <si>
    <t>27/03/2023</t>
  </si>
  <si>
    <t>16/03/2023</t>
  </si>
  <si>
    <t>09/03/2023</t>
  </si>
  <si>
    <t>01/03/2023</t>
  </si>
  <si>
    <t>31/03/2023</t>
  </si>
  <si>
    <t>30/03/2023</t>
  </si>
  <si>
    <t>29/03/2023</t>
  </si>
  <si>
    <t>28/03/2023</t>
  </si>
  <si>
    <t>24/03/2023</t>
  </si>
  <si>
    <t>23/03/2023</t>
  </si>
  <si>
    <t>21/03/2023</t>
  </si>
  <si>
    <t>20/03/2023</t>
  </si>
  <si>
    <t>17/03/2023</t>
  </si>
  <si>
    <t>15/03/2023</t>
  </si>
  <si>
    <t>14/03/2023</t>
  </si>
  <si>
    <t>10/03/2023</t>
  </si>
  <si>
    <t>08/03/2023</t>
  </si>
  <si>
    <t>07/03/2023</t>
  </si>
  <si>
    <t>06/03/2023</t>
  </si>
  <si>
    <t>03/03/2023</t>
  </si>
  <si>
    <t>02/03/2023</t>
  </si>
  <si>
    <t>JHOSSELYNNE GRACIELA ANZORA RODRIGUEZ</t>
  </si>
  <si>
    <t>12092510931014</t>
  </si>
  <si>
    <t>MARTA YENIS QUINTANILLA PORTILLO</t>
  </si>
  <si>
    <t>06140702151030</t>
  </si>
  <si>
    <t>INVERSIONES VETERINARIAS FLORES CRUZ, S.A. DE C.V.</t>
  </si>
  <si>
    <t>06140106161036</t>
  </si>
  <si>
    <t>ENDI, S.A. DE C.V.</t>
  </si>
  <si>
    <t>15041RESIN427142018</t>
  </si>
  <si>
    <t>18SD000T</t>
  </si>
  <si>
    <t>06142610921095</t>
  </si>
  <si>
    <t>CECILIA PATRICIA ALEMAN REYES</t>
  </si>
  <si>
    <t>13/03/2023</t>
  </si>
  <si>
    <t>06142807201051</t>
  </si>
  <si>
    <t>GUZMAN AUTOPARTS, S.A. DE C.V.</t>
  </si>
  <si>
    <t>003936307</t>
  </si>
  <si>
    <t>BBSTORE</t>
  </si>
  <si>
    <t>26/03/2023</t>
  </si>
  <si>
    <t>06141007211036</t>
  </si>
  <si>
    <t>MULTI INVERSIONES M&amp;E, S.A. DE C.V.</t>
  </si>
  <si>
    <t>06140909211083</t>
  </si>
  <si>
    <t>ALESSANDRE, S.A. DE C.V.</t>
  </si>
  <si>
    <t>22/03/2023</t>
  </si>
  <si>
    <t>020890611</t>
  </si>
  <si>
    <t>RICARDO ERNESTO GIRON SANTOS</t>
  </si>
  <si>
    <t>04/02/2023</t>
  </si>
  <si>
    <t>06141701891014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</si>
</sst>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14" fontId="0" fillId="0" borderId="0" xfId="0" applyNumberFormat="1"/>
    <xf numFmtId="44" fontId="0" fillId="0" borderId="0" xfId="0" applyNumberFormat="1"/>
    <xf numFmtId="49" fontId="3" fillId="0" borderId="6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0" fillId="2" borderId="0" xfId="0" applyFill="1"/>
    <xf numFmtId="0" fontId="6" fillId="3" borderId="8" xfId="0" applyFont="1" applyFill="1" applyBorder="1"/>
    <xf numFmtId="0" fontId="6" fillId="3" borderId="7" xfId="0" applyFont="1" applyFill="1" applyBorder="1"/>
    <xf numFmtId="0" fontId="6" fillId="3" borderId="9" xfId="0" applyFont="1" applyFill="1" applyBorder="1"/>
    <xf numFmtId="44" fontId="6" fillId="3" borderId="7" xfId="1" applyFont="1" applyFill="1" applyBorder="1"/>
    <xf numFmtId="14" fontId="6" fillId="5" borderId="5" xfId="0" applyNumberFormat="1" applyFont="1" applyFill="1" applyBorder="1"/>
    <xf numFmtId="0" fontId="6" fillId="5" borderId="10" xfId="0" applyFont="1" applyFill="1" applyBorder="1"/>
    <xf numFmtId="2" fontId="6" fillId="5" borderId="10" xfId="0" applyNumberFormat="1" applyFont="1" applyFill="1" applyBorder="1"/>
    <xf numFmtId="2" fontId="6" fillId="5" borderId="11" xfId="0" applyNumberFormat="1" applyFont="1" applyFill="1" applyBorder="1" applyAlignment="1">
      <alignment horizontal="center" wrapText="1"/>
    </xf>
    <xf numFmtId="44" fontId="6" fillId="5" borderId="10" xfId="1" applyFont="1" applyFill="1" applyBorder="1"/>
    <xf numFmtId="44" fontId="6" fillId="5" borderId="11" xfId="1" applyFont="1" applyFill="1" applyBorder="1" applyAlignment="1">
      <alignment horizontal="center" wrapText="1"/>
    </xf>
    <xf numFmtId="0" fontId="6" fillId="5" borderId="5" xfId="0" applyFont="1" applyFill="1" applyBorder="1"/>
    <xf numFmtId="14" fontId="6" fillId="5" borderId="10" xfId="0" applyNumberFormat="1" applyFont="1" applyFill="1" applyBorder="1"/>
    <xf numFmtId="49" fontId="0" fillId="4" borderId="10" xfId="0" applyNumberFormat="1" applyFill="1" applyBorder="1"/>
    <xf numFmtId="44" fontId="0" fillId="0" borderId="0" xfId="1" pivotButton="1" applyFont="1"/>
    <xf numFmtId="44" fontId="7" fillId="0" borderId="0" xfId="1" applyFont="1" applyAlignment="1">
      <alignment horizontal="left" indent="4"/>
    </xf>
    <xf numFmtId="44" fontId="0" fillId="0" borderId="0" xfId="1" applyFont="1" applyFill="1"/>
    <xf numFmtId="49" fontId="0" fillId="4" borderId="11" xfId="0" applyNumberFormat="1" applyFill="1" applyBorder="1" applyAlignment="1">
      <alignment horizontal="right"/>
    </xf>
    <xf numFmtId="0" fontId="3" fillId="0" borderId="0" xfId="0" applyFont="1"/>
    <xf numFmtId="14" fontId="0" fillId="0" borderId="0" xfId="0" quotePrefix="1" applyNumberFormat="1"/>
    <xf numFmtId="44" fontId="0" fillId="0" borderId="0" xfId="1" quotePrefix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79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spacho rivas" refreshedDate="44956.372420833337" createdVersion="7" refreshedVersion="8" minRefreshableVersion="3" recordCount="1">
  <cacheSource type="worksheet">
    <worksheetSource name="Tabla2"/>
  </cacheSource>
  <cacheFields count="20">
    <cacheField name="MES" numFmtId="0">
      <sharedItems containsNonDate="0" containsBlank="1" count="13">
        <m/>
        <s v="MAYO" u="1"/>
        <s v="NOVIEMBRE" u="1"/>
        <s v="ABRIL" u="1"/>
        <s v="DICIEMBRE" u="1"/>
        <s v="JULIO" u="1"/>
        <s v="JUNIO" u="1"/>
        <s v="ENERO" u="1"/>
        <s v="SEPTIEMBRE" u="1"/>
        <s v="OCTUBRE" u="1"/>
        <s v="FEBRERO" u="1"/>
        <s v="MARZO" u="1"/>
        <s v="AGOSTO" u="1"/>
      </sharedItems>
    </cacheField>
    <cacheField name="FECHA" numFmtId="0">
      <sharedItems containsNonDate="0" containsDate="1" containsBlank="1" containsMixedTypes="1" minDate="2022-01-03T00:00:00" maxDate="2022-12-31T00:00:00" count="269">
        <m/>
        <d v="2022-07-26T00:00:00" u="1"/>
        <s v="07/01/2022" u="1"/>
        <d v="2022-10-28T00:00:00" u="1"/>
        <s v="20/04/2022" u="1"/>
        <d v="2022-11-09T00:00:00" u="1"/>
        <d v="2022-07-22T00:00:00" u="1"/>
        <d v="2022-10-24T00:00:00" u="1"/>
        <s v="15/03/2022" u="1"/>
        <s v="18/08/2022" u="1"/>
        <s v="03/08/2022" u="1"/>
        <d v="2022-07-18T00:00:00" u="1"/>
        <d v="2022-10-20T00:00:00" u="1"/>
        <d v="2022-11-01T00:00:00" u="1"/>
        <s v="23/05/2022" u="1"/>
        <d v="2022-07-14T00:00:00" u="1"/>
        <d v="2022-06-29T00:00:00" u="1"/>
        <s v="18/04/2022" u="1"/>
        <d v="2022-04-08T00:00:00" u="1"/>
        <s v="23/03/2022" u="1"/>
        <s v="26/08/2022" u="1"/>
        <d v="2022-10-12T00:00:00" u="1"/>
        <s v="11/08/2022" u="1"/>
        <d v="2022-06-25T00:00:00" u="1"/>
        <s v="18/02/2022" u="1"/>
        <d v="2022-09-27T00:00:00" u="1"/>
        <s v="03/02/2022" u="1"/>
        <d v="2022-07-06T00:00:00" u="1"/>
        <d v="2022-12-29T00:00:00" u="1"/>
        <d v="2022-10-08T00:00:00" u="1"/>
        <s v="31/05/2022" u="1"/>
        <d v="2022-06-21T00:00:00" u="1"/>
        <d v="2022-09-23T00:00:00" u="1"/>
        <d v="2022-07-02T00:00:00" u="1"/>
        <s v="06/05/2022" u="1"/>
        <s v="26/04/2022" u="1"/>
        <d v="2022-10-04T00:00:00" u="1"/>
        <s v="11/04/2022" u="1"/>
        <s v="31/03/2022" u="1"/>
        <d v="2022-09-19T00:00:00" u="1"/>
        <d v="2022-12-21T00:00:00" u="1"/>
        <s v="09/08/2022" u="1"/>
        <s v="11/02/2022" u="1"/>
        <s v="31/01/2022" u="1"/>
        <d v="2022-06-13T00:00:00" u="1"/>
        <s v="06/01/2022" u="1"/>
        <s v="29/05/2022" u="1"/>
        <d v="2022-06-09T00:00:00" u="1"/>
        <s v="14/05/2022" u="1"/>
        <d v="2022-12-13T00:00:00" u="1"/>
        <s v="29/03/2022" u="1"/>
        <d v="2022-06-05T00:00:00" u="1"/>
        <d v="2022-11-28T00:00:00" u="1"/>
        <s v="14/03/2022" u="1"/>
        <s v="17/08/2022" u="1"/>
        <d v="2022-09-07T00:00:00" u="1"/>
        <s v="02/08/2022" u="1"/>
        <d v="2022-12-09T00:00:00" u="1"/>
        <s v="09/02/2022" u="1"/>
        <d v="2022-06-01T00:00:00" u="1"/>
        <d v="2022-11-24T00:00:00" u="1"/>
        <s v="14/01/2022" u="1"/>
        <d v="2022-12-05T00:00:00" u="1"/>
        <s v="22/03/2022" u="1"/>
        <d v="2022-12-01T00:00:00" u="1"/>
        <s v="25/08/2022" u="1"/>
        <s v="10/08/2022" u="1"/>
        <d v="2022-11-16T00:00:00" u="1"/>
        <d v="2022-07-29T00:00:00" u="1"/>
        <s v="17/02/2022" u="1"/>
        <d v="2022-10-31T00:00:00" u="1"/>
        <s v="02/02/2022" u="1"/>
        <s v="30/05/2022" u="1"/>
        <d v="2022-07-25T00:00:00" u="1"/>
        <d v="2022-10-27T00:00:00" u="1"/>
        <s v="05/05/2022" u="1"/>
        <s v="25/04/2022" u="1"/>
        <s v="30/03/2022" u="1"/>
        <d v="2022-11-08T00:00:00" u="1"/>
        <d v="2022-07-21T00:00:00" u="1"/>
        <s v="25/02/2022" u="1"/>
        <s v="08/08/2022" u="1"/>
        <s v="10/02/2022" u="1"/>
        <d v="2022-11-04T00:00:00" u="1"/>
        <d v="2022-10-19T00:00:00" u="1"/>
        <s v="05/01/2022" u="1"/>
        <s v="28/05/2022" u="1"/>
        <s v="13/05/2022" u="1"/>
        <d v="2022-07-13T00:00:00" u="1"/>
        <d v="2022-06-28T00:00:00" u="1"/>
        <s v="08/04/2022" u="1"/>
        <s v="28/03/2022" u="1"/>
        <d v="2022-09-30T00:00:00" u="1"/>
        <d v="2022-07-09T00:00:00" u="1"/>
        <s v="16/08/2022" u="1"/>
        <d v="2022-10-11T00:00:00" u="1"/>
        <s v="01/08/2022" u="1"/>
        <d v="2022-06-24T00:00:00" u="1"/>
        <s v="08/02/2022" u="1"/>
        <s v="28/01/2022" u="1"/>
        <d v="2022-09-26T00:00:00" u="1"/>
        <s v="13/01/2022" u="1"/>
        <d v="2022-07-05T00:00:00" u="1"/>
        <d v="2022-12-28T00:00:00" u="1"/>
        <d v="2022-10-07T00:00:00" u="1"/>
        <s v="21/05/2022" u="1"/>
        <d v="2022-06-20T00:00:00" u="1"/>
        <d v="2022-09-22T00:00:00" u="1"/>
        <d v="2022-07-01T00:00:00" u="1"/>
        <d v="2022-10-03T00:00:00" u="1"/>
        <s v="01/04/2022" u="1"/>
        <s v="21/03/2022" u="1"/>
        <d v="2022-06-16T00:00:00" u="1"/>
        <s v="24/08/2022" u="1"/>
        <d v="2022-12-20T00:00:00" u="1"/>
        <s v="16/02/2022" u="1"/>
        <s v="01/02/2022" u="1"/>
        <s v="21/01/2022" u="1"/>
        <d v="2022-09-14T00:00:00" u="1"/>
        <d v="2022-12-16T00:00:00" u="1"/>
        <s v="19/05/2022" u="1"/>
        <d v="2022-06-08T00:00:00" u="1"/>
        <s v="04/05/2022" u="1"/>
        <d v="2022-12-12T00:00:00" u="1"/>
        <d v="2022-06-04T00:00:00" u="1"/>
        <s v="04/03/2022" u="1"/>
        <s v="24/02/2022" u="1"/>
        <d v="2022-09-06T00:00:00" u="1"/>
        <d v="2022-12-08T00:00:00" u="1"/>
        <s v="19/01/2022" u="1"/>
        <d v="2022-11-23T00:00:00" u="1"/>
        <s v="04/01/2022" u="1"/>
        <s v="27/05/2022" u="1"/>
        <d v="2022-09-02T00:00:00" u="1"/>
        <s v="12/05/2022" u="1"/>
        <s v="07/04/2022" u="1"/>
        <s v="12/03/2022" u="1"/>
        <s v="15/08/2022" u="1"/>
        <d v="2022-11-15T00:00:00" u="1"/>
        <d v="2022-07-28T00:00:00" u="1"/>
        <s v="07/02/2022" u="1"/>
        <s v="27/01/2022" u="1"/>
        <s v="12/01/2022" u="1"/>
        <s v="20/05/2022" u="1"/>
        <d v="2022-11-11T00:00:00" u="1"/>
        <d v="2022-10-26T00:00:00" u="1"/>
        <d v="2022-11-07T00:00:00" u="1"/>
        <s v="23/08/2022" u="1"/>
        <d v="2022-07-20T00:00:00" u="1"/>
        <s v="15/02/2022" u="1"/>
        <s v="20/01/2022" u="1"/>
        <d v="2022-11-03T00:00:00" u="1"/>
        <d v="2022-10-18T00:00:00" u="1"/>
        <s v="18/05/2022" u="1"/>
        <s v="03/05/2022" u="1"/>
        <d v="2022-07-12T00:00:00" u="1"/>
        <d v="2022-10-14T00:00:00" u="1"/>
        <s v="31/08/2022" u="1"/>
        <d v="2022-06-27T00:00:00" u="1"/>
        <s v="18/03/2022" u="1"/>
        <d v="2022-09-29T00:00:00" u="1"/>
        <s v="03/03/2022" u="1"/>
        <s v="23/02/2022" u="1"/>
        <d v="2022-07-08T00:00:00" u="1"/>
        <d v="2022-06-23T00:00:00" u="1"/>
        <s v="18/01/2022" u="1"/>
        <s v="03/01/2022" u="1"/>
        <d v="2022-07-04T00:00:00" u="1"/>
        <d v="2022-12-27T00:00:00" u="1"/>
        <s v="26/05/2022" u="1"/>
        <d v="2022-10-06T00:00:00" u="1"/>
        <s v="11/05/2022" u="1"/>
        <d v="2022-09-21T00:00:00" u="1"/>
        <d v="2022-12-23T00:00:00" u="1"/>
        <s v="06/04/2022" u="1"/>
        <s v="29/08/2022" u="1"/>
        <s v="11/03/2022" u="1"/>
        <d v="2022-06-15T00:00:00" u="1"/>
        <s v="03/05/20222" u="1"/>
        <d v="2022-12-19T00:00:00" u="1"/>
        <s v="26/01/2022" u="1"/>
        <s v="11/01/2022" u="1"/>
        <d v="2022-09-13T00:00:00" u="1"/>
        <d v="2022-12-15T00:00:00" u="1"/>
        <s v="09/05/2022" u="1"/>
        <s v="29/04/2022" u="1"/>
        <d v="2022-06-07T00:00:00" u="1"/>
        <d v="2022-11-30T00:00:00" u="1"/>
        <d v="2022-09-09T00:00:00" u="1"/>
        <s v="22/08/2022" u="1"/>
        <s v="09/03/2022" u="1"/>
        <d v="2022-06-03T00:00:00" u="1"/>
        <d v="2022-11-26T00:00:00" u="1"/>
        <s v="14/02/2022" u="1"/>
        <d v="2022-09-05T00:00:00" u="1"/>
        <d v="2022-12-07T00:00:00" u="1"/>
        <d v="2022-11-22T00:00:00" u="1"/>
        <s v="17/05/2022" u="1"/>
        <d v="2022-09-01T00:00:00" u="1"/>
        <s v="02/05/2022" u="1"/>
        <s v="22/04/2022" u="1"/>
        <s v="30/08/2022" u="1"/>
        <d v="2022-11-18T00:00:00" u="1"/>
        <s v="17/03/2022" u="1"/>
        <s v="02/03/2022" u="1"/>
        <s v="22/02/2022" u="1"/>
        <d v="2022-11-14T00:00:00" u="1"/>
        <d v="2022-07-27T00:00:00" u="1"/>
        <s v="17/01/2022" u="1"/>
        <s v="25/05/2022" u="1"/>
        <s v="30/04/2022" u="1"/>
        <d v="2022-11-10T00:00:00" u="1"/>
        <d v="2022-10-25T00:00:00" u="1"/>
        <s v="05/04/2022" u="1"/>
        <s v="25/03/2022" u="1"/>
        <s v="10/03/2022" u="1"/>
        <d v="2022-07-19T00:00:00" u="1"/>
        <d v="2022-10-21T00:00:00" u="1"/>
        <s v="25/01/2022" u="1"/>
        <s v="10/01/2022" u="1"/>
        <d v="2022-07-15T00:00:00" u="1"/>
        <d v="2022-10-17T00:00:00" u="1"/>
        <d v="2022-06-30T00:00:00" u="1"/>
        <s v="28/04/2022" u="1"/>
        <s v="13/04/2022" u="1"/>
        <d v="2022-07-11T00:00:00" u="1"/>
        <d v="2022-10-13T00:00:00" u="1"/>
        <d v="2022-01-03T00:00:00" u="1"/>
        <s v="08/03/2022" u="1"/>
        <s v="28/02/2022" u="1"/>
        <d v="2022-09-28T00:00:00" u="1"/>
        <s v="17/02/2021" u="1"/>
        <d v="2022-07-07T00:00:00" u="1"/>
        <d v="2022-12-30T00:00:00" u="1"/>
        <d v="2022-06-22T00:00:00" u="1"/>
        <s v="16/05/2022" u="1"/>
        <d v="2022-10-05T00:00:00" u="1"/>
        <s v="01/05/2022" u="1"/>
        <s v="21/04/2022" u="1"/>
        <d v="2022-06-18T00:00:00" u="1"/>
        <d v="2022-09-20T00:00:00" u="1"/>
        <d v="2022-12-22T00:00:00" u="1"/>
        <s v="16/03/2022" u="1"/>
        <s v="19/08/2022" u="1"/>
        <s v="01/03/2022" u="1"/>
        <s v="21/02/2022" u="1"/>
        <d v="2022-06-14T00:00:00" u="1"/>
        <d v="2022-06-10T00:00:00" u="1"/>
        <s v="24/05/2022" u="1"/>
        <d v="2022-09-12T00:00:00" u="1"/>
        <d v="2022-12-14T00:00:00" u="1"/>
        <s v="19/04/2022" u="1"/>
        <d v="2022-06-06T00:00:00" u="1"/>
        <d v="2022-11-29T00:00:00" u="1"/>
        <s v="04/04/2022" u="1"/>
        <s v="24/03/2022" u="1"/>
        <d v="2022-09-08T00:00:00" u="1"/>
        <d v="2022-06-02T00:00:00" u="1"/>
        <d v="2022-11-25T00:00:00" u="1"/>
        <s v="04/02/2022" u="1"/>
        <s v="24/01/2022" u="1"/>
        <d v="2022-12-06T00:00:00" u="1"/>
        <d v="2022-11-21T00:00:00" u="1"/>
        <s v="27/04/2022" u="1"/>
        <s v="12/04/2022" u="1"/>
        <d v="2022-12-02T00:00:00" u="1"/>
        <d v="2022-11-17T00:00:00" u="1"/>
        <s v="07/03/2022" u="1"/>
        <s v="27/02/2022" u="1"/>
      </sharedItems>
    </cacheField>
    <cacheField name="CLASE DE DOC" numFmtId="0">
      <sharedItems containsNonDate="0" containsString="0" containsBlank="1"/>
    </cacheField>
    <cacheField name="TIPO DE DOC" numFmtId="0">
      <sharedItems containsNonDate="0" containsBlank="1" count="3">
        <m/>
        <s v="03" u="1"/>
        <s v="05" u="1"/>
      </sharedItems>
    </cacheField>
    <cacheField name="N° DE RESOLUCION" numFmtId="0">
      <sharedItems containsNonDate="0" containsString="0" containsBlank="1"/>
    </cacheField>
    <cacheField name="SERIE " numFmtId="0">
      <sharedItems containsNonDate="0" containsString="0" containsBlank="1"/>
    </cacheField>
    <cacheField name="N° DOC" numFmtId="0">
      <sharedItems containsNonDate="0" containsString="0" containsBlank="1" containsNumber="1" containsInteger="1" minValue="1" maxValue="9425" count="6933">
        <m/>
        <n v="392" u="1"/>
        <n v="187" u="1"/>
        <n v="5318" u="1"/>
        <n v="89" u="1"/>
        <n v="3611" u="1"/>
        <n v="2515" u="1"/>
        <n v="20" u="1"/>
        <n v="5361" u="1"/>
        <n v="5404" u="1"/>
        <n v="3654" u="1"/>
        <n v="2558" u="1"/>
        <n v="1755" u="1"/>
        <n v="1207" u="1"/>
        <n v="5447" u="1"/>
        <n v="5490" u="1"/>
        <n v="3697" u="1"/>
        <n v="2601" u="1"/>
        <n v="5533" u="1"/>
        <n v="5576" u="1"/>
        <n v="3740" u="1"/>
        <n v="2644" u="1"/>
        <n v="1798" u="1"/>
        <n v="1250" u="1"/>
        <n v="863" u="1"/>
        <n v="5619" u="1"/>
        <n v="589" u="1"/>
        <n v="5662" u="1"/>
        <n v="3783" u="1"/>
        <n v="2687" u="1"/>
        <n v="5705" u="1"/>
        <n v="5748" u="1"/>
        <n v="3826" u="1"/>
        <n v="2730" u="1"/>
        <n v="1841" u="1"/>
        <n v="1293" u="1"/>
        <n v="5791" u="1"/>
        <n v="5834" u="1"/>
        <n v="3869" u="1"/>
        <n v="2773" u="1"/>
        <n v="5877" u="1"/>
        <n v="5920" u="1"/>
        <n v="3912" u="1"/>
        <n v="2816" u="1"/>
        <n v="1884" u="1"/>
        <n v="1336" u="1"/>
        <n v="906" u="1"/>
        <n v="5963" u="1"/>
        <n v="632" u="1"/>
        <n v="435" u="1"/>
        <n v="298" u="1"/>
        <n v="140" u="1"/>
        <n v="6006" u="1"/>
        <n v="3955" u="1"/>
        <n v="2859" u="1"/>
        <n v="6049" u="1"/>
        <n v="6092" u="1"/>
        <n v="3998" u="1"/>
        <n v="2902" u="1"/>
        <n v="1927" u="1"/>
        <n v="1379" u="1"/>
        <n v="4041" u="1"/>
        <n v="2945" u="1"/>
        <n v="4084" u="1"/>
        <n v="2988" u="1"/>
        <n v="1970" u="1"/>
        <n v="1422" u="1"/>
        <n v="949" u="1"/>
        <n v="675" u="1"/>
        <n v="4115" u="1"/>
        <n v="4158" u="1"/>
        <n v="3031" u="1"/>
        <n v="4201" u="1"/>
        <n v="6436" u="1"/>
        <n v="4244" u="1"/>
        <n v="3074" u="1"/>
        <n v="2013" u="1"/>
        <n v="1465" u="1"/>
        <n v="6479" u="1"/>
        <n v="4287" u="1"/>
        <n v="6522" u="1"/>
        <n v="4330" u="1"/>
        <n v="3117" u="1"/>
        <n v="6565" u="1"/>
        <n v="4373" u="1"/>
        <n v="6608" u="1"/>
        <n v="4416" u="1"/>
        <n v="3160" u="1"/>
        <n v="2064" u="1"/>
        <n v="1508" u="1"/>
        <n v="992" u="1"/>
        <n v="6651" u="1"/>
        <n v="718" u="1"/>
        <n v="4459" u="1"/>
        <n v="478" u="1"/>
        <n v="341" u="1"/>
        <n v="230" u="1"/>
        <n v="6694" u="1"/>
        <n v="4502" u="1"/>
        <n v="3203" u="1"/>
        <n v="53" u="1"/>
        <n v="2107" u="1"/>
        <n v="6737" u="1"/>
        <n v="4545" u="1"/>
        <n v="6780" u="1"/>
        <n v="4588" u="1"/>
        <n v="3246" u="1"/>
        <n v="2150" u="1"/>
        <n v="1551" u="1"/>
        <n v="6823" u="1"/>
        <n v="4631" u="1"/>
        <n v="6866" u="1"/>
        <n v="4674" u="1"/>
        <n v="3289" u="1"/>
        <n v="2193" u="1"/>
        <n v="6909" u="1"/>
        <n v="4717" u="1"/>
        <n v="6952" u="1"/>
        <n v="4760" u="1"/>
        <n v="3332" u="1"/>
        <n v="2236" u="1"/>
        <n v="1594" u="1"/>
        <n v="1046" u="1"/>
        <n v="6995" u="1"/>
        <n v="761" u="1"/>
        <n v="4803" u="1"/>
        <n v="7038" u="1"/>
        <n v="4846" u="1"/>
        <n v="3375" u="1"/>
        <n v="2279" u="1"/>
        <n v="7081" u="1"/>
        <n v="4889" u="1"/>
        <n v="7124" u="1"/>
        <n v="4932" u="1"/>
        <n v="3418" u="1"/>
        <n v="2322" u="1"/>
        <n v="1637" u="1"/>
        <n v="1089" u="1"/>
        <n v="7167" u="1"/>
        <n v="4975" u="1"/>
        <n v="7210" u="1"/>
        <n v="5018" u="1"/>
        <n v="3461" u="1"/>
        <n v="2365" u="1"/>
        <n v="5061" u="1"/>
        <n v="5104" u="1"/>
        <n v="3504" u="1"/>
        <n v="2408" u="1"/>
        <n v="1680" u="1"/>
        <n v="1132" u="1"/>
        <n v="804" u="1"/>
        <n v="5147" u="1"/>
        <n v="530" u="1"/>
        <n v="384" u="1"/>
        <n v="183" u="1"/>
        <n v="5190" u="1"/>
        <n v="87" u="1"/>
        <n v="3547" u="1"/>
        <n v="2451" u="1"/>
        <n v="5233" u="1"/>
        <n v="5276" u="1"/>
        <n v="3590" u="1"/>
        <n v="2494" u="1"/>
        <n v="1723" u="1"/>
        <n v="1175" u="1"/>
        <n v="5319" u="1"/>
        <n v="5362" u="1"/>
        <n v="3633" u="1"/>
        <n v="2537" u="1"/>
        <n v="5405" u="1"/>
        <n v="5448" u="1"/>
        <n v="3676" u="1"/>
        <n v="2580" u="1"/>
        <n v="1766" u="1"/>
        <n v="1218" u="1"/>
        <n v="847" u="1"/>
        <n v="5491" u="1"/>
        <n v="573" u="1"/>
        <n v="5534" u="1"/>
        <n v="3719" u="1"/>
        <n v="2623" u="1"/>
        <n v="5577" u="1"/>
        <n v="5620" u="1"/>
        <n v="3762" u="1"/>
        <n v="2666" u="1"/>
        <n v="1809" u="1"/>
        <n v="1261" u="1"/>
        <n v="5663" u="1"/>
        <n v="5706" u="1"/>
        <n v="3805" u="1"/>
        <n v="2709" u="1"/>
        <n v="5749" u="1"/>
        <n v="5792" u="1"/>
        <n v="3848" u="1"/>
        <n v="2752" u="1"/>
        <n v="1852" u="1"/>
        <n v="1304" u="1"/>
        <n v="890" u="1"/>
        <n v="5835" u="1"/>
        <n v="616" u="1"/>
        <n v="427" u="1"/>
        <n v="290" u="1"/>
        <n v="136" u="1"/>
        <n v="5878" u="1"/>
        <n v="3891" u="1"/>
        <n v="2795" u="1"/>
        <n v="5921" u="1"/>
        <n v="5964" u="1"/>
        <n v="3934" u="1"/>
        <n v="2838" u="1"/>
        <n v="1895" u="1"/>
        <n v="1347" u="1"/>
        <n v="6007" u="1"/>
        <n v="6050" u="1"/>
        <n v="3977" u="1"/>
        <n v="2881" u="1"/>
        <n v="6093" u="1"/>
        <n v="4020" u="1"/>
        <n v="2924" u="1"/>
        <n v="1938" u="1"/>
        <n v="1390" u="1"/>
        <n v="933" u="1"/>
        <n v="659" u="1"/>
        <n v="4063" u="1"/>
        <n v="2967" u="1"/>
        <n v="4116" u="1"/>
        <n v="3010" u="1"/>
        <n v="1981" u="1"/>
        <n v="1433" u="1"/>
        <n v="4159" u="1"/>
        <n v="4202" u="1"/>
        <n v="3053" u="1"/>
        <n v="6437" u="1"/>
        <n v="4245" u="1"/>
        <n v="6480" u="1"/>
        <n v="4288" u="1"/>
        <n v="3096" u="1"/>
        <n v="2024" u="1"/>
        <n v="1476" u="1"/>
        <n v="976" u="1"/>
        <n v="6523" u="1"/>
        <n v="702" u="1"/>
        <n v="4331" u="1"/>
        <n v="470" u="1"/>
        <n v="333" u="1"/>
        <n v="226" u="1"/>
        <n v="6566" u="1"/>
        <n v="4374" u="1"/>
        <n v="3139" u="1"/>
        <n v="52" u="1"/>
        <n v="6609" u="1"/>
        <n v="4417" u="1"/>
        <n v="6652" u="1"/>
        <n v="4460" u="1"/>
        <n v="3182" u="1"/>
        <n v="2086" u="1"/>
        <n v="1519" u="1"/>
        <n v="6695" u="1"/>
        <n v="4503" u="1"/>
        <n v="6738" u="1"/>
        <n v="4546" u="1"/>
        <n v="3225" u="1"/>
        <n v="2129" u="1"/>
        <n v="6781" u="1"/>
        <n v="4589" u="1"/>
        <n v="6824" u="1"/>
        <n v="4632" u="1"/>
        <n v="3268" u="1"/>
        <n v="2172" u="1"/>
        <n v="1562" u="1"/>
        <n v="1019" u="1"/>
        <n v="6867" u="1"/>
        <n v="745" u="1"/>
        <n v="4675" u="1"/>
        <n v="6910" u="1"/>
        <n v="4718" u="1"/>
        <n v="3311" u="1"/>
        <n v="2215" u="1"/>
        <n v="6953" u="1"/>
        <n v="4761" u="1"/>
        <n v="6996" u="1"/>
        <n v="4804" u="1"/>
        <n v="3354" u="1"/>
        <n v="2258" u="1"/>
        <n v="1605" u="1"/>
        <n v="1057" u="1"/>
        <n v="7039" u="1"/>
        <n v="4847" u="1"/>
        <n v="7082" u="1"/>
        <n v="4890" u="1"/>
        <n v="3397" u="1"/>
        <n v="2301" u="1"/>
        <n v="7125" u="1"/>
        <n v="4933" u="1"/>
        <n v="7168" u="1"/>
        <n v="4976" u="1"/>
        <n v="3440" u="1"/>
        <n v="2344" u="1"/>
        <n v="1648" u="1"/>
        <n v="1100" u="1"/>
        <n v="7211" u="1"/>
        <n v="788" u="1"/>
        <n v="5019" u="1"/>
        <n v="514" u="1"/>
        <n v="376" u="1"/>
        <n v="179" u="1"/>
        <n v="5062" u="1"/>
        <n v="85" u="1"/>
        <n v="3483" u="1"/>
        <n v="2387" u="1"/>
        <n v="19" u="1"/>
        <n v="5105" u="1"/>
        <n v="5148" u="1"/>
        <n v="3526" u="1"/>
        <n v="2430" u="1"/>
        <n v="1691" u="1"/>
        <n v="1143" u="1"/>
        <n v="5191" u="1"/>
        <n v="5234" u="1"/>
        <n v="3569" u="1"/>
        <n v="2473" u="1"/>
        <n v="5277" u="1"/>
        <n v="5320" u="1"/>
        <n v="3612" u="1"/>
        <n v="2516" u="1"/>
        <n v="1734" u="1"/>
        <n v="1186" u="1"/>
        <n v="831" u="1"/>
        <n v="5363" u="1"/>
        <n v="557" u="1"/>
        <n v="5406" u="1"/>
        <n v="3655" u="1"/>
        <n v="2559" u="1"/>
        <n v="5449" u="1"/>
        <n v="5492" u="1"/>
        <n v="3698" u="1"/>
        <n v="2602" u="1"/>
        <n v="1777" u="1"/>
        <n v="1229" u="1"/>
        <n v="5535" u="1"/>
        <n v="5578" u="1"/>
        <n v="3741" u="1"/>
        <n v="2645" u="1"/>
        <n v="5621" u="1"/>
        <n v="5664" u="1"/>
        <n v="3784" u="1"/>
        <n v="2688" u="1"/>
        <n v="1820" u="1"/>
        <n v="1272" u="1"/>
        <n v="874" u="1"/>
        <n v="5707" u="1"/>
        <n v="600" u="1"/>
        <n v="419" u="1"/>
        <n v="282" u="1"/>
        <n v="132" u="1"/>
        <n v="5750" u="1"/>
        <n v="3827" u="1"/>
        <n v="2731" u="1"/>
        <n v="5793" u="1"/>
        <n v="7" u="1"/>
        <n v="5836" u="1"/>
        <n v="3870" u="1"/>
        <n v="2774" u="1"/>
        <n v="1863" u="1"/>
        <n v="1315" u="1"/>
        <n v="5879" u="1"/>
        <n v="5922" u="1"/>
        <n v="3913" u="1"/>
        <n v="2817" u="1"/>
        <n v="5965" u="1"/>
        <n v="6008" u="1"/>
        <n v="3956" u="1"/>
        <n v="2860" u="1"/>
        <n v="1906" u="1"/>
        <n v="1358" u="1"/>
        <n v="917" u="1"/>
        <n v="6051" u="1"/>
        <n v="643" u="1"/>
        <n v="6094" u="1"/>
        <n v="3999" u="1"/>
        <n v="2903" u="1"/>
        <n v="4042" u="1"/>
        <n v="2946" u="1"/>
        <n v="1949" u="1"/>
        <n v="1401" u="1"/>
        <n v="4085" u="1"/>
        <n v="2989" u="1"/>
        <n v="4117" u="1"/>
        <n v="4160" u="1"/>
        <n v="3032" u="1"/>
        <n v="1992" u="1"/>
        <n v="1444" u="1"/>
        <n v="960" u="1"/>
        <n v="686" u="1"/>
        <n v="4203" u="1"/>
        <n v="462" u="1"/>
        <n v="325" u="1"/>
        <n v="222" u="1"/>
        <n v="6438" u="1"/>
        <n v="4246" u="1"/>
        <n v="3075" u="1"/>
        <n v="51" u="1"/>
        <n v="6481" u="1"/>
        <n v="4289" u="1"/>
        <n v="6524" u="1"/>
        <n v="4332" u="1"/>
        <n v="3118" u="1"/>
        <n v="2035" u="1"/>
        <n v="1487" u="1"/>
        <n v="6567" u="1"/>
        <n v="4375" u="1"/>
        <n v="6610" u="1"/>
        <n v="4418" u="1"/>
        <n v="3161" u="1"/>
        <n v="2065" u="1"/>
        <n v="6653" u="1"/>
        <n v="4461" u="1"/>
        <n v="6696" u="1"/>
        <n v="4504" u="1"/>
        <n v="3204" u="1"/>
        <n v="2108" u="1"/>
        <n v="1530" u="1"/>
        <n v="1003" u="1"/>
        <n v="6739" u="1"/>
        <n v="729" u="1"/>
        <n v="4547" u="1"/>
        <n v="6782" u="1"/>
        <n v="4590" u="1"/>
        <n v="3247" u="1"/>
        <n v="2151" u="1"/>
        <n v="6825" u="1"/>
        <n v="4633" u="1"/>
        <n v="6868" u="1"/>
        <n v="4676" u="1"/>
        <n v="3290" u="1"/>
        <n v="2194" u="1"/>
        <n v="1573" u="1"/>
        <n v="1025" u="1"/>
        <n v="6911" u="1"/>
        <n v="4719" u="1"/>
        <n v="6954" u="1"/>
        <n v="4762" u="1"/>
        <n v="3333" u="1"/>
        <n v="2237" u="1"/>
        <n v="6997" u="1"/>
        <n v="4805" u="1"/>
        <n v="7040" u="1"/>
        <n v="4848" u="1"/>
        <n v="3376" u="1"/>
        <n v="2280" u="1"/>
        <n v="1616" u="1"/>
        <n v="1068" u="1"/>
        <n v="7083" u="1"/>
        <n v="772" u="1"/>
        <n v="4891" u="1"/>
        <n v="505" u="1"/>
        <n v="368" u="1"/>
        <n v="175" u="1"/>
        <n v="7126" u="1"/>
        <n v="4934" u="1"/>
        <n v="83" u="1"/>
        <n v="3419" u="1"/>
        <n v="2323" u="1"/>
        <n v="7169" u="1"/>
        <n v="4977" u="1"/>
        <n v="7212" u="1"/>
        <n v="5020" u="1"/>
        <n v="3462" u="1"/>
        <n v="2366" u="1"/>
        <n v="1659" u="1"/>
        <n v="1111" u="1"/>
        <n v="5063" u="1"/>
        <n v="5106" u="1"/>
        <n v="3505" u="1"/>
        <n v="2409" u="1"/>
        <n v="5149" u="1"/>
        <n v="5192" u="1"/>
        <n v="3548" u="1"/>
        <n v="2452" u="1"/>
        <n v="1702" u="1"/>
        <n v="1154" u="1"/>
        <n v="815" u="1"/>
        <n v="5235" u="1"/>
        <n v="541" u="1"/>
        <n v="5278" u="1"/>
        <n v="3591" u="1"/>
        <n v="2495" u="1"/>
        <n v="5321" u="1"/>
        <n v="5364" u="1"/>
        <n v="3634" u="1"/>
        <n v="2538" u="1"/>
        <n v="1745" u="1"/>
        <n v="1197" u="1"/>
        <n v="5407" u="1"/>
        <n v="5450" u="1"/>
        <n v="3677" u="1"/>
        <n v="2581" u="1"/>
        <n v="5493" u="1"/>
        <n v="5536" u="1"/>
        <n v="3720" u="1"/>
        <n v="2624" u="1"/>
        <n v="1788" u="1"/>
        <n v="1240" u="1"/>
        <n v="858" u="1"/>
        <n v="5579" u="1"/>
        <n v="584" u="1"/>
        <n v="411" u="1"/>
        <n v="274" u="1"/>
        <n v="128" u="1"/>
        <n v="5622" u="1"/>
        <n v="3763" u="1"/>
        <n v="2667" u="1"/>
        <n v="5665" u="1"/>
        <n v="5708" u="1"/>
        <n v="3806" u="1"/>
        <n v="2710" u="1"/>
        <n v="1831" u="1"/>
        <n v="1283" u="1"/>
        <n v="5751" u="1"/>
        <n v="5794" u="1"/>
        <n v="3849" u="1"/>
        <n v="2753" u="1"/>
        <n v="5837" u="1"/>
        <n v="5880" u="1"/>
        <n v="3892" u="1"/>
        <n v="2796" u="1"/>
        <n v="1874" u="1"/>
        <n v="1326" u="1"/>
        <n v="901" u="1"/>
        <n v="5923" u="1"/>
        <n v="627" u="1"/>
        <n v="5966" u="1"/>
        <n v="3935" u="1"/>
        <n v="2839" u="1"/>
        <n v="6009" u="1"/>
        <n v="6052" u="1"/>
        <n v="3978" u="1"/>
        <n v="2882" u="1"/>
        <n v="1917" u="1"/>
        <n v="1369" u="1"/>
        <n v="6095" u="1"/>
        <n v="4021" u="1"/>
        <n v="2925" u="1"/>
        <n v="4064" u="1"/>
        <n v="2968" u="1"/>
        <n v="1960" u="1"/>
        <n v="1412" u="1"/>
        <n v="944" u="1"/>
        <n v="670" u="1"/>
        <n v="454" u="1"/>
        <n v="317" u="1"/>
        <n v="218" u="1"/>
        <n v="4118" u="1"/>
        <n v="3011" u="1"/>
        <n v="50" u="1"/>
        <n v="4161" u="1"/>
        <n v="4204" u="1"/>
        <n v="3054" u="1"/>
        <n v="2003" u="1"/>
        <n v="1455" u="1"/>
        <n v="6439" u="1"/>
        <n v="4247" u="1"/>
        <n v="6482" u="1"/>
        <n v="4290" u="1"/>
        <n v="3097" u="1"/>
        <n v="6525" u="1"/>
        <n v="4333" u="1"/>
        <n v="6568" u="1"/>
        <n v="4376" u="1"/>
        <n v="3140" u="1"/>
        <n v="2046" u="1"/>
        <n v="1498" u="1"/>
        <n v="987" u="1"/>
        <n v="6611" u="1"/>
        <n v="713" u="1"/>
        <n v="4419" u="1"/>
        <n v="6654" u="1"/>
        <n v="4462" u="1"/>
        <n v="3183" u="1"/>
        <n v="2087" u="1"/>
        <n v="6697" u="1"/>
        <n v="4505" u="1"/>
        <n v="6740" u="1"/>
        <n v="4548" u="1"/>
        <n v="3226" u="1"/>
        <n v="2130" u="1"/>
        <n v="1541" u="1"/>
        <n v="6783" u="1"/>
        <n v="4591" u="1"/>
        <n v="6826" u="1"/>
        <n v="4634" u="1"/>
        <n v="3269" u="1"/>
        <n v="2173" u="1"/>
        <n v="6869" u="1"/>
        <n v="4677" u="1"/>
        <n v="6912" u="1"/>
        <n v="4720" u="1"/>
        <n v="3312" u="1"/>
        <n v="2216" u="1"/>
        <n v="1584" u="1"/>
        <n v="1036" u="1"/>
        <n v="6955" u="1"/>
        <n v="756" u="1"/>
        <n v="4763" u="1"/>
        <n v="497" u="1"/>
        <n v="360" u="1"/>
        <n v="171" u="1"/>
        <n v="6998" u="1"/>
        <n v="4806" u="1"/>
        <n v="81" u="1"/>
        <n v="3355" u="1"/>
        <n v="2259" u="1"/>
        <n v="7041" u="1"/>
        <n v="18" u="1"/>
        <n v="4849" u="1"/>
        <n v="7084" u="1"/>
        <n v="4892" u="1"/>
        <n v="3398" u="1"/>
        <n v="2302" u="1"/>
        <n v="1627" u="1"/>
        <n v="1079" u="1"/>
        <n v="7127" u="1"/>
        <n v="4935" u="1"/>
        <n v="7170" u="1"/>
        <n v="4978" u="1"/>
        <n v="3441" u="1"/>
        <n v="2345" u="1"/>
        <n v="7213" u="1"/>
        <n v="5021" u="1"/>
        <n v="5064" u="1"/>
        <n v="3484" u="1"/>
        <n v="2388" u="1"/>
        <n v="1670" u="1"/>
        <n v="1122" u="1"/>
        <n v="799" u="1"/>
        <n v="5107" u="1"/>
        <n v="525" u="1"/>
        <n v="5150" u="1"/>
        <n v="3527" u="1"/>
        <n v="2431" u="1"/>
        <n v="5193" u="1"/>
        <n v="5236" u="1"/>
        <n v="3570" u="1"/>
        <n v="2474" u="1"/>
        <n v="1713" u="1"/>
        <n v="1165" u="1"/>
        <n v="5279" u="1"/>
        <n v="5322" u="1"/>
        <n v="3613" u="1"/>
        <n v="2517" u="1"/>
        <n v="5365" u="1"/>
        <n v="5408" u="1"/>
        <n v="3656" u="1"/>
        <n v="2560" u="1"/>
        <n v="1756" u="1"/>
        <n v="1208" u="1"/>
        <n v="842" u="1"/>
        <n v="5451" u="1"/>
        <n v="568" u="1"/>
        <n v="403" u="1"/>
        <n v="266" u="1"/>
        <n v="126" u="1"/>
        <n v="5494" u="1"/>
        <n v="3699" u="1"/>
        <n v="2603" u="1"/>
        <n v="5537" u="1"/>
        <n v="5580" u="1"/>
        <n v="3742" u="1"/>
        <n v="2646" u="1"/>
        <n v="1799" u="1"/>
        <n v="1251" u="1"/>
        <n v="5623" u="1"/>
        <n v="5666" u="1"/>
        <n v="3785" u="1"/>
        <n v="2689" u="1"/>
        <n v="5709" u="1"/>
        <n v="5752" u="1"/>
        <n v="3828" u="1"/>
        <n v="2732" u="1"/>
        <n v="1842" u="1"/>
        <n v="1294" u="1"/>
        <n v="885" u="1"/>
        <n v="5795" u="1"/>
        <n v="611" u="1"/>
        <n v="5838" u="1"/>
        <n v="3871" u="1"/>
        <n v="2775" u="1"/>
        <n v="5881" u="1"/>
        <n v="5924" u="1"/>
        <n v="3914" u="1"/>
        <n v="2818" u="1"/>
        <n v="1885" u="1"/>
        <n v="1337" u="1"/>
        <n v="5967" u="1"/>
        <n v="6010" u="1"/>
        <n v="3957" u="1"/>
        <n v="2861" u="1"/>
        <n v="6053" u="1"/>
        <n v="6096" u="1"/>
        <n v="4000" u="1"/>
        <n v="2904" u="1"/>
        <n v="1928" u="1"/>
        <n v="1380" u="1"/>
        <n v="928" u="1"/>
        <n v="654" u="1"/>
        <n v="446" u="1"/>
        <n v="309" u="1"/>
        <n v="214" u="1"/>
        <n v="4043" u="1"/>
        <n v="2947" u="1"/>
        <n v="49" u="1"/>
        <n v="4086" u="1"/>
        <n v="2990" u="1"/>
        <n v="1971" u="1"/>
        <n v="1423" u="1"/>
        <n v="4119" u="1"/>
        <n v="4162" u="1"/>
        <n v="3033" u="1"/>
        <n v="4205" u="1"/>
        <n v="6440" u="1"/>
        <n v="4248" u="1"/>
        <n v="3076" u="1"/>
        <n v="2014" u="1"/>
        <n v="1466" u="1"/>
        <n v="971" u="1"/>
        <n v="6483" u="1"/>
        <n v="697" u="1"/>
        <n v="4291" u="1"/>
        <n v="6526" u="1"/>
        <n v="4334" u="1"/>
        <n v="3119" u="1"/>
        <n v="6569" u="1"/>
        <n v="4377" u="1"/>
        <n v="6612" u="1"/>
        <n v="4420" u="1"/>
        <n v="3162" u="1"/>
        <n v="2066" u="1"/>
        <n v="1509" u="1"/>
        <n v="6655" u="1"/>
        <n v="4463" u="1"/>
        <n v="6698" u="1"/>
        <n v="4506" u="1"/>
        <n v="3205" u="1"/>
        <n v="2109" u="1"/>
        <n v="6741" u="1"/>
        <n v="4549" u="1"/>
        <n v="6784" u="1"/>
        <n v="4592" u="1"/>
        <n v="3248" u="1"/>
        <n v="2152" u="1"/>
        <n v="1552" u="1"/>
        <n v="1014" u="1"/>
        <n v="6827" u="1"/>
        <n v="740" u="1"/>
        <n v="4635" u="1"/>
        <n v="489" u="1"/>
        <n v="352" u="1"/>
        <n v="167" u="1"/>
        <n v="6870" u="1"/>
        <n v="4678" u="1"/>
        <n v="79" u="1"/>
        <n v="3291" u="1"/>
        <n v="2195" u="1"/>
        <n v="6913" u="1"/>
        <n v="4721" u="1"/>
        <n v="6956" u="1"/>
        <n v="4764" u="1"/>
        <n v="3334" u="1"/>
        <n v="2238" u="1"/>
        <n v="1595" u="1"/>
        <n v="1047" u="1"/>
        <n v="6999" u="1"/>
        <n v="4807" u="1"/>
        <n v="7042" u="1"/>
        <n v="4850" u="1"/>
        <n v="3377" u="1"/>
        <n v="2281" u="1"/>
        <n v="7085" u="1"/>
        <n v="4893" u="1"/>
        <n v="7128" u="1"/>
        <n v="4936" u="1"/>
        <n v="3420" u="1"/>
        <n v="2324" u="1"/>
        <n v="1638" u="1"/>
        <n v="1090" u="1"/>
        <n v="7171" u="1"/>
        <n v="783" u="1"/>
        <n v="4979" u="1"/>
        <n v="7214" u="1"/>
        <n v="5022" u="1"/>
        <n v="3463" u="1"/>
        <n v="2367" u="1"/>
        <n v="5065" u="1"/>
        <n v="5108" u="1"/>
        <n v="3506" u="1"/>
        <n v="2410" u="1"/>
        <n v="1681" u="1"/>
        <n v="1133" u="1"/>
        <n v="5151" u="1"/>
        <n v="5194" u="1"/>
        <n v="3549" u="1"/>
        <n v="2453" u="1"/>
        <n v="5237" u="1"/>
        <n v="5280" u="1"/>
        <n v="3592" u="1"/>
        <n v="2496" u="1"/>
        <n v="1724" u="1"/>
        <n v="1176" u="1"/>
        <n v="826" u="1"/>
        <n v="5323" u="1"/>
        <n v="552" u="1"/>
        <n v="395" u="1"/>
        <n v="258" u="1"/>
        <n v="124" u="1"/>
        <n v="5366" u="1"/>
        <n v="3635" u="1"/>
        <n v="2539" u="1"/>
        <n v="5409" u="1"/>
        <n v="5452" u="1"/>
        <n v="3678" u="1"/>
        <n v="2582" u="1"/>
        <n v="1767" u="1"/>
        <n v="1219" u="1"/>
        <n v="5495" u="1"/>
        <n v="5538" u="1"/>
        <n v="3721" u="1"/>
        <n v="2625" u="1"/>
        <n v="5581" u="1"/>
        <n v="5624" u="1"/>
        <n v="3764" u="1"/>
        <n v="2668" u="1"/>
        <n v="1810" u="1"/>
        <n v="1262" u="1"/>
        <n v="869" u="1"/>
        <n v="5667" u="1"/>
        <n v="595" u="1"/>
        <n v="5710" u="1"/>
        <n v="3807" u="1"/>
        <n v="2711" u="1"/>
        <n v="5753" u="1"/>
        <n v="5796" u="1"/>
        <n v="3850" u="1"/>
        <n v="2754" u="1"/>
        <n v="1853" u="1"/>
        <n v="1305" u="1"/>
        <n v="5839" u="1"/>
        <n v="5882" u="1"/>
        <n v="3893" u="1"/>
        <n v="2797" u="1"/>
        <n v="5925" u="1"/>
        <n v="5968" u="1"/>
        <n v="3936" u="1"/>
        <n v="2840" u="1"/>
        <n v="1896" u="1"/>
        <n v="1348" u="1"/>
        <n v="912" u="1"/>
        <n v="6011" u="1"/>
        <n v="638" u="1"/>
        <n v="438" u="1"/>
        <n v="301" u="1"/>
        <n v="210" u="1"/>
        <n v="6054" u="1"/>
        <n v="3979" u="1"/>
        <n v="2883" u="1"/>
        <n v="48" u="1"/>
        <n v="6097" u="1"/>
        <n v="4022" u="1"/>
        <n v="2926" u="1"/>
        <n v="1939" u="1"/>
        <n v="1391" u="1"/>
        <n v="4065" u="1"/>
        <n v="2969" u="1"/>
        <n v="4120" u="1"/>
        <n v="3012" u="1"/>
        <n v="1982" u="1"/>
        <n v="1434" u="1"/>
        <n v="955" u="1"/>
        <n v="681" u="1"/>
        <n v="4163" u="1"/>
        <n v="4206" u="1"/>
        <n v="3055" u="1"/>
        <n v="6441" u="1"/>
        <n v="4249" u="1"/>
        <n v="6484" u="1"/>
        <n v="4292" u="1"/>
        <n v="3098" u="1"/>
        <n v="2025" u="1"/>
        <n v="1477" u="1"/>
        <n v="6527" u="1"/>
        <n v="4335" u="1"/>
        <n v="6570" u="1"/>
        <n v="4378" u="1"/>
        <n v="3141" u="1"/>
        <n v="6613" u="1"/>
        <n v="4421" u="1"/>
        <n v="6656" u="1"/>
        <n v="4464" u="1"/>
        <n v="3184" u="1"/>
        <n v="2088" u="1"/>
        <n v="1520" u="1"/>
        <n v="998" u="1"/>
        <n v="6699" u="1"/>
        <n v="724" u="1"/>
        <n v="4507" u="1"/>
        <n v="481" u="1"/>
        <n v="344" u="1"/>
        <n v="163" u="1"/>
        <n v="6742" u="1"/>
        <n v="4550" u="1"/>
        <n v="77" u="1"/>
        <n v="3227" u="1"/>
        <n v="2131" u="1"/>
        <n v="6785" u="1"/>
        <n v="17" u="1"/>
        <n v="4593" u="1"/>
        <n v="6828" u="1"/>
        <n v="4636" u="1"/>
        <n v="3270" u="1"/>
        <n v="2174" u="1"/>
        <n v="1563" u="1"/>
        <n v="6871" u="1"/>
        <n v="4679" u="1"/>
        <n v="6914" u="1"/>
        <n v="4722" u="1"/>
        <n v="3313" u="1"/>
        <n v="2217" u="1"/>
        <n v="6957" u="1"/>
        <n v="4765" u="1"/>
        <n v="7000" u="1"/>
        <n v="4808" u="1"/>
        <n v="3356" u="1"/>
        <n v="2260" u="1"/>
        <n v="1606" u="1"/>
        <n v="1058" u="1"/>
        <n v="7043" u="1"/>
        <n v="767" u="1"/>
        <n v="4851" u="1"/>
        <n v="7086" u="1"/>
        <n v="4894" u="1"/>
        <n v="3399" u="1"/>
        <n v="2303" u="1"/>
        <n v="7129" u="1"/>
        <n v="4937" u="1"/>
        <n v="7172" u="1"/>
        <n v="4980" u="1"/>
        <n v="3442" u="1"/>
        <n v="2346" u="1"/>
        <n v="1649" u="1"/>
        <n v="1101" u="1"/>
        <n v="7215" u="1"/>
        <n v="5023" u="1"/>
        <n v="5066" u="1"/>
        <n v="3485" u="1"/>
        <n v="2389" u="1"/>
        <n v="5109" u="1"/>
        <n v="5152" u="1"/>
        <n v="3528" u="1"/>
        <n v="2432" u="1"/>
        <n v="1692" u="1"/>
        <n v="1144" u="1"/>
        <n v="810" u="1"/>
        <n v="5195" u="1"/>
        <n v="536" u="1"/>
        <n v="387" u="1"/>
        <n v="253" u="1"/>
        <n v="122" u="1"/>
        <n v="5238" u="1"/>
        <n v="3571" u="1"/>
        <n v="2475" u="1"/>
        <n v="5281" u="1"/>
        <n v="7516" u="1"/>
        <n v="5324" u="1"/>
        <n v="3614" u="1"/>
        <n v="2518" u="1"/>
        <n v="1735" u="1"/>
        <n v="1187" u="1"/>
        <n v="5367" u="1"/>
        <n v="5410" u="1"/>
        <n v="3657" u="1"/>
        <n v="2561" u="1"/>
        <n v="5453" u="1"/>
        <n v="5496" u="1"/>
        <n v="3700" u="1"/>
        <n v="2604" u="1"/>
        <n v="1778" u="1"/>
        <n v="1230" u="1"/>
        <n v="853" u="1"/>
        <n v="5539" u="1"/>
        <n v="579" u="1"/>
        <n v="5582" u="1"/>
        <n v="3743" u="1"/>
        <n v="2647" u="1"/>
        <n v="5625" u="1"/>
        <n v="5668" u="1"/>
        <n v="3786" u="1"/>
        <n v="2690" u="1"/>
        <n v="1821" u="1"/>
        <n v="1273" u="1"/>
        <n v="5711" u="1"/>
        <n v="5754" u="1"/>
        <n v="3829" u="1"/>
        <n v="2733" u="1"/>
        <n v="5797" u="1"/>
        <n v="5840" u="1"/>
        <n v="3872" u="1"/>
        <n v="2776" u="1"/>
        <n v="1864" u="1"/>
        <n v="1316" u="1"/>
        <n v="896" u="1"/>
        <n v="5883" u="1"/>
        <n v="622" u="1"/>
        <n v="430" u="1"/>
        <n v="293" u="1"/>
        <n v="206" u="1"/>
        <n v="5926" u="1"/>
        <n v="3915" u="1"/>
        <n v="2819" u="1"/>
        <n v="47" u="1"/>
        <n v="5969" u="1"/>
        <n v="6012" u="1"/>
        <n v="3958" u="1"/>
        <n v="2862" u="1"/>
        <n v="1907" u="1"/>
        <n v="1359" u="1"/>
        <n v="6055" u="1"/>
        <n v="6098" u="1"/>
        <n v="4001" u="1"/>
        <n v="2905" u="1"/>
        <n v="4044" u="1"/>
        <n v="2948" u="1"/>
        <n v="1950" u="1"/>
        <n v="1402" u="1"/>
        <n v="939" u="1"/>
        <n v="665" u="1"/>
        <n v="4087" u="1"/>
        <n v="2991" u="1"/>
        <n v="4121" u="1"/>
        <n v="4164" u="1"/>
        <n v="3034" u="1"/>
        <n v="1993" u="1"/>
        <n v="1445" u="1"/>
        <n v="4207" u="1"/>
        <n v="6442" u="1"/>
        <n v="4250" u="1"/>
        <n v="3077" u="1"/>
        <n v="6485" u="1"/>
        <n v="4293" u="1"/>
        <n v="6528" u="1"/>
        <n v="4336" u="1"/>
        <n v="3120" u="1"/>
        <n v="2036" u="1"/>
        <n v="1488" u="1"/>
        <n v="982" u="1"/>
        <n v="6571" u="1"/>
        <n v="708" u="1"/>
        <n v="4379" u="1"/>
        <n v="473" u="1"/>
        <n v="336" u="1"/>
        <n v="159" u="1"/>
        <n v="6614" u="1"/>
        <n v="4422" u="1"/>
        <n v="75" u="1"/>
        <n v="3163" u="1"/>
        <n v="2067" u="1"/>
        <n v="6657" u="1"/>
        <n v="4465" u="1"/>
        <n v="6700" u="1"/>
        <n v="4508" u="1"/>
        <n v="3206" u="1"/>
        <n v="2110" u="1"/>
        <n v="1531" u="1"/>
        <n v="6743" u="1"/>
        <n v="4551" u="1"/>
        <n v="6786" u="1"/>
        <n v="4594" u="1"/>
        <n v="3249" u="1"/>
        <n v="2153" u="1"/>
        <n v="6829" u="1"/>
        <n v="4637" u="1"/>
        <n v="6872" u="1"/>
        <n v="4680" u="1"/>
        <n v="3292" u="1"/>
        <n v="2196" u="1"/>
        <n v="1574" u="1"/>
        <n v="1026" u="1"/>
        <n v="6915" u="1"/>
        <n v="751" u="1"/>
        <n v="4723" u="1"/>
        <n v="6958" u="1"/>
        <n v="4766" u="1"/>
        <n v="3335" u="1"/>
        <n v="2239" u="1"/>
        <n v="7001" u="1"/>
        <n v="4809" u="1"/>
        <n v="7044" u="1"/>
        <n v="4852" u="1"/>
        <n v="3378" u="1"/>
        <n v="2282" u="1"/>
        <n v="1617" u="1"/>
        <n v="1069" u="1"/>
        <n v="7087" u="1"/>
        <n v="4895" u="1"/>
        <n v="7130" u="1"/>
        <n v="4938" u="1"/>
        <n v="3421" u="1"/>
        <n v="2325" u="1"/>
        <n v="7173" u="1"/>
        <n v="4981" u="1"/>
        <n v="7216" u="1"/>
        <n v="5024" u="1"/>
        <n v="3464" u="1"/>
        <n v="2368" u="1"/>
        <n v="1660" u="1"/>
        <n v="1112" u="1"/>
        <n v="794" u="1"/>
        <n v="5067" u="1"/>
        <n v="520" u="1"/>
        <n v="379" u="1"/>
        <n v="249" u="1"/>
        <n v="120" u="1"/>
        <n v="5110" u="1"/>
        <n v="3507" u="1"/>
        <n v="2411" u="1"/>
        <n v="5153" u="1"/>
        <n v="5196" u="1"/>
        <n v="3550" u="1"/>
        <n v="2454" u="1"/>
        <n v="1703" u="1"/>
        <n v="1155" u="1"/>
        <n v="5239" u="1"/>
        <n v="5282" u="1"/>
        <n v="3593" u="1"/>
        <n v="2497" u="1"/>
        <n v="7517" u="1"/>
        <n v="5325" u="1"/>
        <n v="5368" u="1"/>
        <n v="3636" u="1"/>
        <n v="2540" u="1"/>
        <n v="1746" u="1"/>
        <n v="1198" u="1"/>
        <n v="837" u="1"/>
        <n v="5411" u="1"/>
        <n v="563" u="1"/>
        <n v="5454" u="1"/>
        <n v="3679" u="1"/>
        <n v="2583" u="1"/>
        <n v="5497" u="1"/>
        <n v="5540" u="1"/>
        <n v="3722" u="1"/>
        <n v="2626" u="1"/>
        <n v="1789" u="1"/>
        <n v="1241" u="1"/>
        <n v="5583" u="1"/>
        <n v="5626" u="1"/>
        <n v="3765" u="1"/>
        <n v="2669" u="1"/>
        <n v="5669" u="1"/>
        <n v="5712" u="1"/>
        <n v="3808" u="1"/>
        <n v="2712" u="1"/>
        <n v="1832" u="1"/>
        <n v="1284" u="1"/>
        <n v="880" u="1"/>
        <n v="5755" u="1"/>
        <n v="606" u="1"/>
        <n v="422" u="1"/>
        <n v="285" u="1"/>
        <n v="202" u="1"/>
        <n v="5798" u="1"/>
        <n v="3851" u="1"/>
        <n v="2755" u="1"/>
        <n v="46" u="1"/>
        <n v="5841" u="1"/>
        <n v="5884" u="1"/>
        <n v="3894" u="1"/>
        <n v="2798" u="1"/>
        <n v="1875" u="1"/>
        <n v="1327" u="1"/>
        <n v="5927" u="1"/>
        <n v="5970" u="1"/>
        <n v="3937" u="1"/>
        <n v="2841" u="1"/>
        <n v="6013" u="1"/>
        <n v="6056" u="1"/>
        <n v="3980" u="1"/>
        <n v="2884" u="1"/>
        <n v="1918" u="1"/>
        <n v="1370" u="1"/>
        <n v="923" u="1"/>
        <n v="6099" u="1"/>
        <n v="649" u="1"/>
        <n v="4023" u="1"/>
        <n v="2927" u="1"/>
        <n v="4066" u="1"/>
        <n v="2970" u="1"/>
        <n v="1961" u="1"/>
        <n v="1413" u="1"/>
        <n v="4122" u="1"/>
        <n v="3013" u="1"/>
        <n v="4165" u="1"/>
        <n v="4208" u="1"/>
        <n v="3056" u="1"/>
        <n v="2004" u="1"/>
        <n v="1456" u="1"/>
        <n v="966" u="1"/>
        <n v="6443" u="1"/>
        <n v="692" u="1"/>
        <n v="4251" u="1"/>
        <n v="465" u="1"/>
        <n v="328" u="1"/>
        <n v="155" u="1"/>
        <n v="6486" u="1"/>
        <n v="4294" u="1"/>
        <n v="73" u="1"/>
        <n v="3099" u="1"/>
        <n v="6529" u="1"/>
        <n v="16" u="1"/>
        <n v="4337" u="1"/>
        <n v="6572" u="1"/>
        <n v="4380" u="1"/>
        <n v="3142" u="1"/>
        <n v="2047" u="1"/>
        <n v="1499" u="1"/>
        <n v="6615" u="1"/>
        <n v="4423" u="1"/>
        <n v="6658" u="1"/>
        <n v="4466" u="1"/>
        <n v="3185" u="1"/>
        <n v="2089" u="1"/>
        <n v="6701" u="1"/>
        <n v="4509" u="1"/>
        <n v="6744" u="1"/>
        <n v="4552" u="1"/>
        <n v="3228" u="1"/>
        <n v="2132" u="1"/>
        <n v="1542" u="1"/>
        <n v="1009" u="1"/>
        <n v="6787" u="1"/>
        <n v="735" u="1"/>
        <n v="4595" u="1"/>
        <n v="6830" u="1"/>
        <n v="4638" u="1"/>
        <n v="3271" u="1"/>
        <n v="2175" u="1"/>
        <n v="6873" u="1"/>
        <n v="4681" u="1"/>
        <n v="6916" u="1"/>
        <n v="4724" u="1"/>
        <n v="3314" u="1"/>
        <n v="2218" u="1"/>
        <n v="1585" u="1"/>
        <n v="1037" u="1"/>
        <n v="6959" u="1"/>
        <n v="4767" u="1"/>
        <n v="7002" u="1"/>
        <n v="4810" u="1"/>
        <n v="3357" u="1"/>
        <n v="2261" u="1"/>
        <n v="7045" u="1"/>
        <n v="4853" u="1"/>
        <n v="7088" u="1"/>
        <n v="4896" u="1"/>
        <n v="3400" u="1"/>
        <n v="2304" u="1"/>
        <n v="1628" u="1"/>
        <n v="1080" u="1"/>
        <n v="7131" u="1"/>
        <n v="778" u="1"/>
        <n v="4939" u="1"/>
        <n v="508" u="1"/>
        <n v="371" u="1"/>
        <n v="245" u="1"/>
        <n v="7174" u="1"/>
        <n v="118" u="1"/>
        <n v="4982" u="1"/>
        <n v="3443" u="1"/>
        <n v="2347" u="1"/>
        <n v="7217" u="1"/>
        <n v="5025" u="1"/>
        <n v="5068" u="1"/>
        <n v="3486" u="1"/>
        <n v="2390" u="1"/>
        <n v="1671" u="1"/>
        <n v="1123" u="1"/>
        <n v="5111" u="1"/>
        <n v="5154" u="1"/>
        <n v="3529" u="1"/>
        <n v="2433" u="1"/>
        <n v="5197" u="1"/>
        <n v="5240" u="1"/>
        <n v="3572" u="1"/>
        <n v="2476" u="1"/>
        <n v="1714" u="1"/>
        <n v="1166" u="1"/>
        <n v="821" u="1"/>
        <n v="5283" u="1"/>
        <n v="547" u="1"/>
        <n v="5326" u="1"/>
        <n v="3615" u="1"/>
        <n v="2519" u="1"/>
        <n v="5369" u="1"/>
        <n v="5412" u="1"/>
        <n v="3658" u="1"/>
        <n v="2562" u="1"/>
        <n v="1757" u="1"/>
        <n v="1209" u="1"/>
        <n v="5455" u="1"/>
        <n v="5498" u="1"/>
        <n v="3701" u="1"/>
        <n v="2605" u="1"/>
        <n v="5541" u="1"/>
        <n v="5584" u="1"/>
        <n v="3744" u="1"/>
        <n v="2648" u="1"/>
        <n v="1800" u="1"/>
        <n v="1252" u="1"/>
        <n v="864" u="1"/>
        <n v="5627" u="1"/>
        <n v="590" u="1"/>
        <n v="414" u="1"/>
        <n v="277" u="1"/>
        <n v="198" u="1"/>
        <n v="5670" u="1"/>
        <n v="3787" u="1"/>
        <n v="2691" u="1"/>
        <n v="45" u="1"/>
        <n v="5713" u="1"/>
        <n v="5756" u="1"/>
        <n v="3830" u="1"/>
        <n v="2734" u="1"/>
        <n v="1843" u="1"/>
        <n v="1295" u="1"/>
        <n v="5799" u="1"/>
        <n v="5842" u="1"/>
        <n v="3873" u="1"/>
        <n v="2777" u="1"/>
        <n v="5885" u="1"/>
        <n v="5928" u="1"/>
        <n v="3916" u="1"/>
        <n v="2820" u="1"/>
        <n v="1886" u="1"/>
        <n v="1338" u="1"/>
        <n v="907" u="1"/>
        <n v="5971" u="1"/>
        <n v="633" u="1"/>
        <n v="6014" u="1"/>
        <n v="3959" u="1"/>
        <n v="2863" u="1"/>
        <n v="6057" u="1"/>
        <n v="6100" u="1"/>
        <n v="4002" u="1"/>
        <n v="2906" u="1"/>
        <n v="1929" u="1"/>
        <n v="1381" u="1"/>
        <n v="4045" u="1"/>
        <n v="2949" u="1"/>
        <n v="4088" u="1"/>
        <n v="2992" u="1"/>
        <n v="1972" u="1"/>
        <n v="1424" u="1"/>
        <n v="950" u="1"/>
        <n v="676" u="1"/>
        <n v="4123" u="1"/>
        <n v="457" u="1"/>
        <n v="320" u="1"/>
        <n v="151" u="1"/>
        <n v="4166" u="1"/>
        <n v="71" u="1"/>
        <n v="3035" u="1"/>
        <n v="6401" u="1"/>
        <n v="4209" u="1"/>
        <n v="6444" u="1"/>
        <n v="4252" u="1"/>
        <n v="3078" u="1"/>
        <n v="2015" u="1"/>
        <n v="1467" u="1"/>
        <n v="6487" u="1"/>
        <n v="4295" u="1"/>
        <n v="6530" u="1"/>
        <n v="4338" u="1"/>
        <n v="3121" u="1"/>
        <n v="6573" u="1"/>
        <n v="4381" u="1"/>
        <n v="6616" u="1"/>
        <n v="4424" u="1"/>
        <n v="3164" u="1"/>
        <n v="2068" u="1"/>
        <n v="1510" u="1"/>
        <n v="993" u="1"/>
        <n v="6659" u="1"/>
        <n v="719" u="1"/>
        <n v="4467" u="1"/>
        <n v="6702" u="1"/>
        <n v="4510" u="1"/>
        <n v="3207" u="1"/>
        <n v="2111" u="1"/>
        <n v="6745" u="1"/>
        <n v="4553" u="1"/>
        <n v="6788" u="1"/>
        <n v="4596" u="1"/>
        <n v="3250" u="1"/>
        <n v="2154" u="1"/>
        <n v="1553" u="1"/>
        <n v="6831" u="1"/>
        <n v="4639" u="1"/>
        <n v="6874" u="1"/>
        <n v="4682" u="1"/>
        <n v="3293" u="1"/>
        <n v="2197" u="1"/>
        <n v="6917" u="1"/>
        <n v="4725" u="1"/>
        <n v="6960" u="1"/>
        <n v="4768" u="1"/>
        <n v="3336" u="1"/>
        <n v="2240" u="1"/>
        <n v="1596" u="1"/>
        <n v="1048" u="1"/>
        <n v="7003" u="1"/>
        <n v="762" u="1"/>
        <n v="4811" u="1"/>
        <n v="500" u="1"/>
        <n v="363" u="1"/>
        <n v="241" u="1"/>
        <n v="7046" u="1"/>
        <n v="116" u="1"/>
        <n v="4854" u="1"/>
        <n v="3379" u="1"/>
        <n v="2283" u="1"/>
        <n v="7089" u="1"/>
        <n v="4897" u="1"/>
        <n v="7132" u="1"/>
        <n v="4940" u="1"/>
        <n v="3422" u="1"/>
        <n v="2326" u="1"/>
        <n v="1639" u="1"/>
        <n v="1091" u="1"/>
        <n v="7175" u="1"/>
        <n v="4983" u="1"/>
        <n v="7218" u="1"/>
        <n v="5026" u="1"/>
        <n v="3465" u="1"/>
        <n v="2369" u="1"/>
        <n v="5069" u="1"/>
        <n v="5112" u="1"/>
        <n v="3508" u="1"/>
        <n v="2412" u="1"/>
        <n v="1682" u="1"/>
        <n v="1134" u="1"/>
        <n v="805" u="1"/>
        <n v="5155" u="1"/>
        <n v="531" u="1"/>
        <n v="5198" u="1"/>
        <n v="3551" u="1"/>
        <n v="2455" u="1"/>
        <n v="5241" u="1"/>
        <n v="5284" u="1"/>
        <n v="3594" u="1"/>
        <n v="2498" u="1"/>
        <n v="1725" u="1"/>
        <n v="1177" u="1"/>
        <n v="5327" u="1"/>
        <n v="5370" u="1"/>
        <n v="3637" u="1"/>
        <n v="2541" u="1"/>
        <n v="5413" u="1"/>
        <n v="5456" u="1"/>
        <n v="3680" u="1"/>
        <n v="2584" u="1"/>
        <n v="1768" u="1"/>
        <n v="1220" u="1"/>
        <n v="848" u="1"/>
        <n v="5499" u="1"/>
        <n v="574" u="1"/>
        <n v="9425" u="1"/>
        <n v="406" u="1"/>
        <n v="269" u="1"/>
        <n v="194" u="1"/>
        <n v="5542" u="1"/>
        <n v="3723" u="1"/>
        <n v="2627" u="1"/>
        <n v="44" u="1"/>
        <n v="5585" u="1"/>
        <n v="5628" u="1"/>
        <n v="3766" u="1"/>
        <n v="2670" u="1"/>
        <n v="1811" u="1"/>
        <n v="1263" u="1"/>
        <n v="5671" u="1"/>
        <n v="5714" u="1"/>
        <n v="3809" u="1"/>
        <n v="2713" u="1"/>
        <n v="5757" u="1"/>
        <n v="5800" u="1"/>
        <n v="3852" u="1"/>
        <n v="2756" u="1"/>
        <n v="1854" u="1"/>
        <n v="1306" u="1"/>
        <n v="891" u="1"/>
        <n v="5843" u="1"/>
        <n v="617" u="1"/>
        <n v="5886" u="1"/>
        <n v="3895" u="1"/>
        <n v="2799" u="1"/>
        <n v="5929" u="1"/>
        <n v="5972" u="1"/>
        <n v="3938" u="1"/>
        <n v="2842" u="1"/>
        <n v="1897" u="1"/>
        <n v="1349" u="1"/>
        <n v="6015" u="1"/>
        <n v="6058" u="1"/>
        <n v="3981" u="1"/>
        <n v="2885" u="1"/>
        <n v="6101" u="1"/>
        <n v="4024" u="1"/>
        <n v="2928" u="1"/>
        <n v="1940" u="1"/>
        <n v="1392" u="1"/>
        <n v="934" u="1"/>
        <n v="660" u="1"/>
        <n v="449" u="1"/>
        <n v="312" u="1"/>
        <n v="147" u="1"/>
        <n v="4067" u="1"/>
        <n v="69" u="1"/>
        <n v="2971" u="1"/>
        <n v="4124" u="1"/>
        <n v="3014" u="1"/>
        <n v="1983" u="1"/>
        <n v="1435" u="1"/>
        <n v="4167" u="1"/>
        <n v="6402" u="1"/>
        <n v="4210" u="1"/>
        <n v="3057" u="1"/>
        <n v="6445" u="1"/>
        <n v="4253" u="1"/>
        <n v="6488" u="1"/>
        <n v="4296" u="1"/>
        <n v="3100" u="1"/>
        <n v="2026" u="1"/>
        <n v="1478" u="1"/>
        <n v="977" u="1"/>
        <n v="6531" u="1"/>
        <n v="703" u="1"/>
        <n v="4339" u="1"/>
        <n v="6574" u="1"/>
        <n v="4382" u="1"/>
        <n v="3143" u="1"/>
        <n v="6617" u="1"/>
        <n v="4425" u="1"/>
        <n v="6660" u="1"/>
        <n v="4468" u="1"/>
        <n v="3186" u="1"/>
        <n v="2090" u="1"/>
        <n v="1521" u="1"/>
        <n v="6703" u="1"/>
        <n v="4511" u="1"/>
        <n v="6746" u="1"/>
        <n v="4554" u="1"/>
        <n v="3229" u="1"/>
        <n v="2133" u="1"/>
        <n v="6789" u="1"/>
        <n v="4597" u="1"/>
        <n v="6832" u="1"/>
        <n v="4640" u="1"/>
        <n v="3272" u="1"/>
        <n v="2176" u="1"/>
        <n v="1564" u="1"/>
        <n v="1020" u="1"/>
        <n v="6875" u="1"/>
        <n v="746" u="1"/>
        <n v="4683" u="1"/>
        <n v="492" u="1"/>
        <n v="355" u="1"/>
        <n v="237" u="1"/>
        <n v="6918" u="1"/>
        <n v="114" u="1"/>
        <n v="4726" u="1"/>
        <n v="3315" u="1"/>
        <n v="2219" u="1"/>
        <n v="6961" u="1"/>
        <n v="4769" u="1"/>
        <n v="6" u="1"/>
        <n v="7004" u="1"/>
        <n v="4812" u="1"/>
        <n v="3358" u="1"/>
        <n v="2262" u="1"/>
        <n v="1607" u="1"/>
        <n v="1059" u="1"/>
        <n v="7047" u="1"/>
        <n v="4855" u="1"/>
        <n v="7090" u="1"/>
        <n v="4898" u="1"/>
        <n v="3401" u="1"/>
        <n v="2305" u="1"/>
        <n v="7133" u="1"/>
        <n v="4941" u="1"/>
        <n v="7176" u="1"/>
        <n v="4984" u="1"/>
        <n v="3444" u="1"/>
        <n v="2348" u="1"/>
        <n v="1650" u="1"/>
        <n v="1102" u="1"/>
        <n v="7219" u="1"/>
        <n v="789" u="1"/>
        <n v="5027" u="1"/>
        <n v="515" u="1"/>
        <n v="5070" u="1"/>
        <n v="3487" u="1"/>
        <n v="2391" u="1"/>
        <n v="5113" u="1"/>
        <n v="5156" u="1"/>
        <n v="3530" u="1"/>
        <n v="2434" u="1"/>
        <n v="1693" u="1"/>
        <n v="1145" u="1"/>
        <n v="5199" u="1"/>
        <n v="5242" u="1"/>
        <n v="3573" u="1"/>
        <n v="2477" u="1"/>
        <n v="5285" u="1"/>
        <n v="5328" u="1"/>
        <n v="3616" u="1"/>
        <n v="2520" u="1"/>
        <n v="1736" u="1"/>
        <n v="1188" u="1"/>
        <n v="832" u="1"/>
        <n v="5371" u="1"/>
        <n v="558" u="1"/>
        <n v="398" u="1"/>
        <n v="261" u="1"/>
        <n v="190" u="1"/>
        <n v="5414" u="1"/>
        <n v="3659" u="1"/>
        <n v="2563" u="1"/>
        <n v="43" u="1"/>
        <n v="5457" u="1"/>
        <n v="5500" u="1"/>
        <n v="3702" u="1"/>
        <n v="2606" u="1"/>
        <n v="1779" u="1"/>
        <n v="1231" u="1"/>
        <n v="5543" u="1"/>
        <n v="5586" u="1"/>
        <n v="3745" u="1"/>
        <n v="2649" u="1"/>
        <n v="5629" u="1"/>
        <n v="5672" u="1"/>
        <n v="3788" u="1"/>
        <n v="2692" u="1"/>
        <n v="1822" u="1"/>
        <n v="1274" u="1"/>
        <n v="875" u="1"/>
        <n v="5715" u="1"/>
        <n v="601" u="1"/>
        <n v="5758" u="1"/>
        <n v="3831" u="1"/>
        <n v="2735" u="1"/>
        <n v="5801" u="1"/>
        <n v="5844" u="1"/>
        <n v="3874" u="1"/>
        <n v="2778" u="1"/>
        <n v="1865" u="1"/>
        <n v="1317" u="1"/>
        <n v="5887" u="1"/>
        <n v="5930" u="1"/>
        <n v="3917" u="1"/>
        <n v="2821" u="1"/>
        <n v="5973" u="1"/>
        <n v="6016" u="1"/>
        <n v="3960" u="1"/>
        <n v="2864" u="1"/>
        <n v="1908" u="1"/>
        <n v="1360" u="1"/>
        <n v="918" u="1"/>
        <n v="6059" u="1"/>
        <n v="644" u="1"/>
        <n v="441" u="1"/>
        <n v="304" u="1"/>
        <n v="143" u="1"/>
        <n v="6102" u="1"/>
        <n v="4003" u="1"/>
        <n v="67" u="1"/>
        <n v="2907" u="1"/>
        <n v="4046" u="1"/>
        <n v="2950" u="1"/>
        <n v="1951" u="1"/>
        <n v="1403" u="1"/>
        <n v="4089" u="1"/>
        <n v="2993" u="1"/>
        <n v="4125" u="1"/>
        <n v="4168" u="1"/>
        <n v="3036" u="1"/>
        <n v="1994" u="1"/>
        <n v="1446" u="1"/>
        <n v="961" u="1"/>
        <n v="6403" u="1"/>
        <n v="687" u="1"/>
        <n v="4211" u="1"/>
        <n v="6446" u="1"/>
        <n v="4254" u="1"/>
        <n v="3079" u="1"/>
        <n v="6489" u="1"/>
        <n v="4297" u="1"/>
        <n v="6532" u="1"/>
        <n v="4340" u="1"/>
        <n v="3122" u="1"/>
        <n v="2037" u="1"/>
        <n v="1489" u="1"/>
        <n v="6575" u="1"/>
        <n v="4383" u="1"/>
        <n v="6618" u="1"/>
        <n v="4426" u="1"/>
        <n v="3165" u="1"/>
        <n v="2069" u="1"/>
        <n v="6661" u="1"/>
        <n v="4469" u="1"/>
        <n v="6704" u="1"/>
        <n v="4512" u="1"/>
        <n v="3208" u="1"/>
        <n v="2112" u="1"/>
        <n v="1532" u="1"/>
        <n v="1004" u="1"/>
        <n v="6747" u="1"/>
        <n v="730" u="1"/>
        <n v="4555" u="1"/>
        <n v="484" u="1"/>
        <n v="347" u="1"/>
        <n v="233" u="1"/>
        <n v="6790" u="1"/>
        <n v="112" u="1"/>
        <n v="4598" u="1"/>
        <n v="3251" u="1"/>
        <n v="2155" u="1"/>
        <n v="6833" u="1"/>
        <n v="4641" u="1"/>
        <n v="6876" u="1"/>
        <n v="4684" u="1"/>
        <n v="3294" u="1"/>
        <n v="2198" u="1"/>
        <n v="1575" u="1"/>
        <n v="1027" u="1"/>
        <n v="6919" u="1"/>
        <n v="4727" u="1"/>
        <n v="6962" u="1"/>
        <n v="4770" u="1"/>
        <n v="3337" u="1"/>
        <n v="2241" u="1"/>
        <n v="7005" u="1"/>
        <n v="4813" u="1"/>
        <n v="7048" u="1"/>
        <n v="4856" u="1"/>
        <n v="3380" u="1"/>
        <n v="2284" u="1"/>
        <n v="1618" u="1"/>
        <n v="1070" u="1"/>
        <n v="7091" u="1"/>
        <n v="773" u="1"/>
        <n v="4899" u="1"/>
        <n v="7134" u="1"/>
        <n v="4942" u="1"/>
        <n v="3423" u="1"/>
        <n v="2327" u="1"/>
        <n v="7177" u="1"/>
        <n v="4985" u="1"/>
        <n v="7220" u="1"/>
        <n v="5028" u="1"/>
        <n v="3466" u="1"/>
        <n v="2370" u="1"/>
        <n v="1661" u="1"/>
        <n v="1113" u="1"/>
        <n v="5071" u="1"/>
        <n v="5114" u="1"/>
        <n v="3509" u="1"/>
        <n v="2413" u="1"/>
        <n v="5157" u="1"/>
        <n v="5200" u="1"/>
        <n v="3552" u="1"/>
        <n v="2456" u="1"/>
        <n v="1704" u="1"/>
        <n v="1156" u="1"/>
        <n v="816" u="1"/>
        <n v="5243" u="1"/>
        <n v="542" u="1"/>
        <n v="390" u="1"/>
        <n v="186" u="1"/>
        <n v="5286" u="1"/>
        <n v="3595" u="1"/>
        <n v="2499" u="1"/>
        <n v="42" u="1"/>
        <n v="5329" u="1"/>
        <n v="5372" u="1"/>
        <n v="3638" u="1"/>
        <n v="2542" u="1"/>
        <n v="1747" u="1"/>
        <n v="1199" u="1"/>
        <n v="5415" u="1"/>
        <n v="5458" u="1"/>
        <n v="3681" u="1"/>
        <n v="2585" u="1"/>
        <n v="5501" u="1"/>
        <n v="5544" u="1"/>
        <n v="3724" u="1"/>
        <n v="2628" u="1"/>
        <n v="1790" u="1"/>
        <n v="1242" u="1"/>
        <n v="859" u="1"/>
        <n v="5587" u="1"/>
        <n v="585" u="1"/>
        <n v="5630" u="1"/>
        <n v="3767" u="1"/>
        <n v="2671" u="1"/>
        <n v="5673" u="1"/>
        <n v="5716" u="1"/>
        <n v="3810" u="1"/>
        <n v="2714" u="1"/>
        <n v="1833" u="1"/>
        <n v="1285" u="1"/>
        <n v="5759" u="1"/>
        <n v="5802" u="1"/>
        <n v="3853" u="1"/>
        <n v="2757" u="1"/>
        <n v="5845" u="1"/>
        <n v="5888" u="1"/>
        <n v="3896" u="1"/>
        <n v="2800" u="1"/>
        <n v="1876" u="1"/>
        <n v="1328" u="1"/>
        <n v="902" u="1"/>
        <n v="5931" u="1"/>
        <n v="628" u="1"/>
        <n v="433" u="1"/>
        <n v="296" u="1"/>
        <n v="139" u="1"/>
        <n v="5974" u="1"/>
        <n v="3939" u="1"/>
        <n v="65" u="1"/>
        <n v="2843" u="1"/>
        <n v="6017" u="1"/>
        <n v="15" u="1"/>
        <n v="6060" u="1"/>
        <n v="3982" u="1"/>
        <n v="2886" u="1"/>
        <n v="1919" u="1"/>
        <n v="1371" u="1"/>
        <n v="6103" u="1"/>
        <n v="4025" u="1"/>
        <n v="2929" u="1"/>
        <n v="4068" u="1"/>
        <n v="2972" u="1"/>
        <n v="1962" u="1"/>
        <n v="1414" u="1"/>
        <n v="945" u="1"/>
        <n v="671" u="1"/>
        <n v="4126" u="1"/>
        <n v="3015" u="1"/>
        <n v="4169" u="1"/>
        <n v="6404" u="1"/>
        <n v="4212" u="1"/>
        <n v="3058" u="1"/>
        <n v="2005" u="1"/>
        <n v="1457" u="1"/>
        <n v="6447" u="1"/>
        <n v="4255" u="1"/>
        <n v="6490" u="1"/>
        <n v="4298" u="1"/>
        <n v="3101" u="1"/>
        <n v="6533" u="1"/>
        <n v="4341" u="1"/>
        <n v="6576" u="1"/>
        <n v="4384" u="1"/>
        <n v="3144" u="1"/>
        <n v="2048" u="1"/>
        <n v="1500" u="1"/>
        <n v="988" u="1"/>
        <n v="6619" u="1"/>
        <n v="714" u="1"/>
        <n v="4427" u="1"/>
        <n v="476" u="1"/>
        <n v="339" u="1"/>
        <n v="229" u="1"/>
        <n v="6662" u="1"/>
        <n v="110" u="1"/>
        <n v="4470" u="1"/>
        <n v="3187" u="1"/>
        <n v="2091" u="1"/>
        <n v="6705" u="1"/>
        <n v="4513" u="1"/>
        <n v="6748" u="1"/>
        <n v="4556" u="1"/>
        <n v="3230" u="1"/>
        <n v="2134" u="1"/>
        <n v="1543" u="1"/>
        <n v="6791" u="1"/>
        <n v="4599" u="1"/>
        <n v="6834" u="1"/>
        <n v="4642" u="1"/>
        <n v="3273" u="1"/>
        <n v="2177" u="1"/>
        <n v="6877" u="1"/>
        <n v="4685" u="1"/>
        <n v="6920" u="1"/>
        <n v="4728" u="1"/>
        <n v="3316" u="1"/>
        <n v="2220" u="1"/>
        <n v="1586" u="1"/>
        <n v="1038" u="1"/>
        <n v="6963" u="1"/>
        <n v="757" u="1"/>
        <n v="4771" u="1"/>
        <n v="7006" u="1"/>
        <n v="4814" u="1"/>
        <n v="3359" u="1"/>
        <n v="2263" u="1"/>
        <n v="7049" u="1"/>
        <n v="4857" u="1"/>
        <n v="7092" u="1"/>
        <n v="4900" u="1"/>
        <n v="3402" u="1"/>
        <n v="2306" u="1"/>
        <n v="1629" u="1"/>
        <n v="1081" u="1"/>
        <n v="7135" u="1"/>
        <n v="4943" u="1"/>
        <n v="7178" u="1"/>
        <n v="4986" u="1"/>
        <n v="3445" u="1"/>
        <n v="2349" u="1"/>
        <n v="7221" u="1"/>
        <n v="5029" u="1"/>
        <n v="5072" u="1"/>
        <n v="3488" u="1"/>
        <n v="2392" u="1"/>
        <n v="1672" u="1"/>
        <n v="1124" u="1"/>
        <n v="800" u="1"/>
        <n v="5115" u="1"/>
        <n v="526" u="1"/>
        <n v="382" u="1"/>
        <n v="182" u="1"/>
        <n v="5158" u="1"/>
        <n v="3531" u="1"/>
        <n v="2435" u="1"/>
        <n v="41" u="1"/>
        <n v="5201" u="1"/>
        <n v="5244" u="1"/>
        <n v="2" u="1"/>
        <n v="3574" u="1"/>
        <n v="2478" u="1"/>
        <n v="1715" u="1"/>
        <n v="1167" u="1"/>
        <n v="5287" u="1"/>
        <n v="5330" u="1"/>
        <n v="3617" u="1"/>
        <n v="2521" u="1"/>
        <n v="5373" u="1"/>
        <n v="5416" u="1"/>
        <n v="3660" u="1"/>
        <n v="2564" u="1"/>
        <n v="1758" u="1"/>
        <n v="1210" u="1"/>
        <n v="843" u="1"/>
        <n v="5459" u="1"/>
        <n v="569" u="1"/>
        <n v="5502" u="1"/>
        <n v="3703" u="1"/>
        <n v="2607" u="1"/>
        <n v="5545" u="1"/>
        <n v="5588" u="1"/>
        <n v="3746" u="1"/>
        <n v="2650" u="1"/>
        <n v="1801" u="1"/>
        <n v="1253" u="1"/>
        <n v="5631" u="1"/>
        <n v="5674" u="1"/>
        <n v="3789" u="1"/>
        <n v="2693" u="1"/>
        <n v="5717" u="1"/>
        <n v="5760" u="1"/>
        <n v="3832" u="1"/>
        <n v="2736" u="1"/>
        <n v="1844" u="1"/>
        <n v="1296" u="1"/>
        <n v="886" u="1"/>
        <n v="5803" u="1"/>
        <n v="612" u="1"/>
        <n v="425" u="1"/>
        <n v="288" u="1"/>
        <n v="135" u="1"/>
        <n v="5846" u="1"/>
        <n v="3875" u="1"/>
        <n v="2779" u="1"/>
        <n v="5889" u="1"/>
        <n v="5932" u="1"/>
        <n v="3918" u="1"/>
        <n v="2822" u="1"/>
        <n v="1887" u="1"/>
        <n v="1339" u="1"/>
        <n v="5975" u="1"/>
        <n v="6018" u="1"/>
        <n v="3961" u="1"/>
        <n v="2865" u="1"/>
        <n v="6061" u="1"/>
        <n v="6104" u="1"/>
        <n v="4004" u="1"/>
        <n v="2908" u="1"/>
        <n v="1930" u="1"/>
        <n v="1382" u="1"/>
        <n v="929" u="1"/>
        <n v="655" u="1"/>
        <n v="4047" u="1"/>
        <n v="2951" u="1"/>
        <n v="4090" u="1"/>
        <n v="2994" u="1"/>
        <n v="1973" u="1"/>
        <n v="1425" u="1"/>
        <n v="4127" u="1"/>
        <n v="4170" u="1"/>
        <n v="3037" u="1"/>
        <n v="6405" u="1"/>
        <n v="4213" u="1"/>
        <n v="6448" u="1"/>
        <n v="4256" u="1"/>
        <n v="3080" u="1"/>
        <n v="2016" u="1"/>
        <n v="1468" u="1"/>
        <n v="972" u="1"/>
        <n v="6491" u="1"/>
        <n v="698" u="1"/>
        <n v="4299" u="1"/>
        <n v="468" u="1"/>
        <n v="331" u="1"/>
        <n v="225" u="1"/>
        <n v="6534" u="1"/>
        <n v="108" u="1"/>
        <n v="4342" u="1"/>
        <n v="3123" u="1"/>
        <n v="6577" u="1"/>
        <n v="4385" u="1"/>
        <n v="6620" u="1"/>
        <n v="4428" u="1"/>
        <n v="3166" u="1"/>
        <n v="2070" u="1"/>
        <n v="1511" u="1"/>
        <n v="6663" u="1"/>
        <n v="4471" u="1"/>
        <n v="6706" u="1"/>
        <n v="4514" u="1"/>
        <n v="3209" u="1"/>
        <n v="2113" u="1"/>
        <n v="6749" u="1"/>
        <n v="4557" u="1"/>
        <n v="6792" u="1"/>
        <n v="4600" u="1"/>
        <n v="3252" u="1"/>
        <n v="2156" u="1"/>
        <n v="1554" u="1"/>
        <n v="1015" u="1"/>
        <n v="6835" u="1"/>
        <n v="741" u="1"/>
        <n v="4643" u="1"/>
        <n v="6878" u="1"/>
        <n v="4686" u="1"/>
        <n v="3295" u="1"/>
        <n v="2199" u="1"/>
        <n v="6921" u="1"/>
        <n v="4729" u="1"/>
        <n v="6964" u="1"/>
        <n v="4772" u="1"/>
        <n v="3338" u="1"/>
        <n v="2242" u="1"/>
        <n v="1597" u="1"/>
        <n v="1049" u="1"/>
        <n v="7007" u="1"/>
        <n v="4815" u="1"/>
        <n v="7050" u="1"/>
        <n v="4858" u="1"/>
        <n v="3381" u="1"/>
        <n v="2285" u="1"/>
        <n v="7093" u="1"/>
        <n v="4901" u="1"/>
        <n v="7136" u="1"/>
        <n v="4944" u="1"/>
        <n v="3424" u="1"/>
        <n v="2328" u="1"/>
        <n v="1640" u="1"/>
        <n v="1092" u="1"/>
        <n v="7179" u="1"/>
        <n v="784" u="1"/>
        <n v="4987" u="1"/>
        <n v="511" u="1"/>
        <n v="374" u="1"/>
        <n v="178" u="1"/>
        <n v="7222" u="1"/>
        <n v="5030" u="1"/>
        <n v="3467" u="1"/>
        <n v="2371" u="1"/>
        <n v="40" u="1"/>
        <n v="5073" u="1"/>
        <n v="5116" u="1"/>
        <n v="3510" u="1"/>
        <n v="2414" u="1"/>
        <n v="1683" u="1"/>
        <n v="5159" u="1"/>
        <n v="5202" u="1"/>
        <n v="3553" u="1"/>
        <n v="2457" u="1"/>
        <n v="5245" u="1"/>
        <n v="5288" u="1"/>
        <n v="3596" u="1"/>
        <n v="2500" u="1"/>
        <n v="1726" u="1"/>
        <n v="1178" u="1"/>
        <n v="827" u="1"/>
        <n v="5331" u="1"/>
        <n v="553" u="1"/>
        <n v="5374" u="1"/>
        <n v="3639" u="1"/>
        <n v="2543" u="1"/>
        <n v="5417" u="1"/>
        <n v="5460" u="1"/>
        <n v="3682" u="1"/>
        <n v="2586" u="1"/>
        <n v="1769" u="1"/>
        <n v="1221" u="1"/>
        <n v="5503" u="1"/>
        <n v="5546" u="1"/>
        <n v="3725" u="1"/>
        <n v="2629" u="1"/>
        <n v="5589" u="1"/>
        <n v="5632" u="1"/>
        <n v="3768" u="1"/>
        <n v="2672" u="1"/>
        <n v="1812" u="1"/>
        <n v="1264" u="1"/>
        <n v="870" u="1"/>
        <n v="5675" u="1"/>
        <n v="596" u="1"/>
        <n v="417" u="1"/>
        <n v="280" u="1"/>
        <n v="131" u="1"/>
        <n v="5718" u="1"/>
        <n v="3811" u="1"/>
        <n v="2715" u="1"/>
        <n v="5761" u="1"/>
        <n v="5804" u="1"/>
        <n v="3854" u="1"/>
        <n v="2758" u="1"/>
        <n v="1855" u="1"/>
        <n v="1307" u="1"/>
        <n v="5847" u="1"/>
        <n v="5890" u="1"/>
        <n v="3897" u="1"/>
        <n v="2801" u="1"/>
        <n v="5933" u="1"/>
        <n v="5976" u="1"/>
        <n v="3940" u="1"/>
        <n v="2844" u="1"/>
        <n v="1898" u="1"/>
        <n v="1350" u="1"/>
        <n v="913" u="1"/>
        <n v="6019" u="1"/>
        <n v="639" u="1"/>
        <n v="6062" u="1"/>
        <n v="3983" u="1"/>
        <n v="2887" u="1"/>
        <n v="6105" u="1"/>
        <n v="4026" u="1"/>
        <n v="2930" u="1"/>
        <n v="1941" u="1"/>
        <n v="1393" u="1"/>
        <n v="4069" u="1"/>
        <n v="2973" u="1"/>
        <n v="4128" u="1"/>
        <n v="3016" u="1"/>
        <n v="1984" u="1"/>
        <n v="1436" u="1"/>
        <n v="956" u="1"/>
        <n v="682" u="1"/>
        <n v="4171" u="1"/>
        <n v="460" u="1"/>
        <n v="323" u="1"/>
        <n v="221" u="1"/>
        <n v="6406" u="1"/>
        <n v="106" u="1"/>
        <n v="4214" u="1"/>
        <n v="3059" u="1"/>
        <n v="6449" u="1"/>
        <n v="4257" u="1"/>
        <n v="6492" u="1"/>
        <n v="4300" u="1"/>
        <n v="3102" u="1"/>
        <n v="2027" u="1"/>
        <n v="1479" u="1"/>
        <n v="6535" u="1"/>
        <n v="4343" u="1"/>
        <n v="6578" u="1"/>
        <n v="4386" u="1"/>
        <n v="3145" u="1"/>
        <n v="2049" u="1"/>
        <n v="6621" u="1"/>
        <n v="4429" u="1"/>
        <n v="6664" u="1"/>
        <n v="4472" u="1"/>
        <n v="3188" u="1"/>
        <n v="2092" u="1"/>
        <n v="1522" u="1"/>
        <n v="999" u="1"/>
        <n v="6707" u="1"/>
        <n v="725" u="1"/>
        <n v="4515" u="1"/>
        <n v="6750" u="1"/>
        <n v="4558" u="1"/>
        <n v="3231" u="1"/>
        <n v="2135" u="1"/>
        <n v="6793" u="1"/>
        <n v="4601" u="1"/>
        <n v="6836" u="1"/>
        <n v="4644" u="1"/>
        <n v="3274" u="1"/>
        <n v="2178" u="1"/>
        <n v="1565" u="1"/>
        <n v="6879" u="1"/>
        <n v="4687" u="1"/>
        <n v="6922" u="1"/>
        <n v="4730" u="1"/>
        <n v="3317" u="1"/>
        <n v="2221" u="1"/>
        <n v="6965" u="1"/>
        <n v="4773" u="1"/>
        <n v="7008" u="1"/>
        <n v="4816" u="1"/>
        <n v="3360" u="1"/>
        <n v="2264" u="1"/>
        <n v="1608" u="1"/>
        <n v="1060" u="1"/>
        <n v="7051" u="1"/>
        <n v="768" u="1"/>
        <n v="4859" u="1"/>
        <n v="503" u="1"/>
        <n v="366" u="1"/>
        <n v="174" u="1"/>
        <n v="7094" u="1"/>
        <n v="4902" u="1"/>
        <n v="3403" u="1"/>
        <n v="2307" u="1"/>
        <n v="39" u="1"/>
        <n v="7137" u="1"/>
        <n v="4945" u="1"/>
        <n v="7180" u="1"/>
        <n v="4988" u="1"/>
        <n v="3446" u="1"/>
        <n v="2350" u="1"/>
        <n v="1651" u="1"/>
        <n v="1103" u="1"/>
        <n v="7223" u="1"/>
        <n v="5031" u="1"/>
        <n v="5074" u="1"/>
        <n v="3489" u="1"/>
        <n v="2393" u="1"/>
        <n v="5117" u="1"/>
        <n v="5160" u="1"/>
        <n v="3532" u="1"/>
        <n v="2436" u="1"/>
        <n v="1694" u="1"/>
        <n v="1146" u="1"/>
        <n v="811" u="1"/>
        <n v="5203" u="1"/>
        <n v="537" u="1"/>
        <n v="5246" u="1"/>
        <n v="3575" u="1"/>
        <n v="2479" u="1"/>
        <n v="5289" u="1"/>
        <n v="5332" u="1"/>
        <n v="3618" u="1"/>
        <n v="2522" u="1"/>
        <n v="1737" u="1"/>
        <n v="1189" u="1"/>
        <n v="5375" u="1"/>
        <n v="5418" u="1"/>
        <n v="3661" u="1"/>
        <n v="2565" u="1"/>
        <n v="5461" u="1"/>
        <n v="5504" u="1"/>
        <n v="3704" u="1"/>
        <n v="2608" u="1"/>
        <n v="1780" u="1"/>
        <n v="1232" u="1"/>
        <n v="854" u="1"/>
        <n v="5547" u="1"/>
        <n v="580" u="1"/>
        <n v="409" u="1"/>
        <n v="272" u="1"/>
        <n v="5590" u="1"/>
        <n v="3747" u="1"/>
        <n v="2651" u="1"/>
        <n v="5633" u="1"/>
        <n v="5676" u="1"/>
        <n v="3790" u="1"/>
        <n v="2694" u="1"/>
        <n v="1823" u="1"/>
        <n v="1275" u="1"/>
        <n v="5719" u="1"/>
        <n v="5762" u="1"/>
        <n v="3833" u="1"/>
        <n v="2737" u="1"/>
        <n v="5805" u="1"/>
        <n v="5848" u="1"/>
        <n v="3876" u="1"/>
        <n v="2780" u="1"/>
        <n v="1866" u="1"/>
        <n v="1318" u="1"/>
        <n v="897" u="1"/>
        <n v="5891" u="1"/>
        <n v="623" u="1"/>
        <n v="5934" u="1"/>
        <n v="3919" u="1"/>
        <n v="2823" u="1"/>
        <n v="5977" u="1"/>
        <n v="6020" u="1"/>
        <n v="3962" u="1"/>
        <n v="2866" u="1"/>
        <n v="1909" u="1"/>
        <n v="1361" u="1"/>
        <n v="6063" u="1"/>
        <n v="6106" u="1"/>
        <n v="4005" u="1"/>
        <n v="2909" u="1"/>
        <n v="4048" u="1"/>
        <n v="2952" u="1"/>
        <n v="1952" u="1"/>
        <n v="1404" u="1"/>
        <n v="940" u="1"/>
        <n v="666" u="1"/>
        <n v="452" u="1"/>
        <n v="315" u="1"/>
        <n v="217" u="1"/>
        <n v="104" u="1"/>
        <n v="4091" u="1"/>
        <n v="2995" u="1"/>
        <n v="4129" u="1"/>
        <n v="4172" u="1"/>
        <n v="3038" u="1"/>
        <n v="1995" u="1"/>
        <n v="1447" u="1"/>
        <n v="6407" u="1"/>
        <n v="4215" u="1"/>
        <n v="6450" u="1"/>
        <n v="4258" u="1"/>
        <n v="3081" u="1"/>
        <n v="6493" u="1"/>
        <n v="4301" u="1"/>
        <n v="6536" u="1"/>
        <n v="4344" u="1"/>
        <n v="3124" u="1"/>
        <n v="2038" u="1"/>
        <n v="1490" u="1"/>
        <n v="983" u="1"/>
        <n v="6579" u="1"/>
        <n v="709" u="1"/>
        <n v="4387" u="1"/>
        <n v="6622" u="1"/>
        <n v="4430" u="1"/>
        <n v="3167" u="1"/>
        <n v="2071" u="1"/>
        <n v="6665" u="1"/>
        <n v="4473" u="1"/>
        <n v="6708" u="1"/>
        <n v="4516" u="1"/>
        <n v="3210" u="1"/>
        <n v="2114" u="1"/>
        <n v="1533" u="1"/>
        <n v="6751" u="1"/>
        <n v="4559" u="1"/>
        <n v="6794" u="1"/>
        <n v="4602" u="1"/>
        <n v="3253" u="1"/>
        <n v="2157" u="1"/>
        <n v="6837" u="1"/>
        <n v="4645" u="1"/>
        <n v="6880" u="1"/>
        <n v="4688" u="1"/>
        <n v="3296" u="1"/>
        <n v="2200" u="1"/>
        <n v="1576" u="1"/>
        <n v="1028" u="1"/>
        <n v="752" u="1"/>
        <n v="4731" u="1"/>
        <n v="495" u="1"/>
        <n v="358" u="1"/>
        <n v="170" u="1"/>
        <n v="6966" u="1"/>
        <n v="4774" u="1"/>
        <n v="3339" u="1"/>
        <n v="2243" u="1"/>
        <n v="38" u="1"/>
        <n v="7009" u="1"/>
        <n v="4817" u="1"/>
        <n v="7052" u="1"/>
        <n v="4860" u="1"/>
        <n v="3382" u="1"/>
        <n v="2286" u="1"/>
        <n v="1619" u="1"/>
        <n v="1071" u="1"/>
        <n v="7095" u="1"/>
        <n v="4903" u="1"/>
        <n v="7138" u="1"/>
        <n v="4946" u="1"/>
        <n v="3425" u="1"/>
        <n v="2329" u="1"/>
        <n v="7181" u="1"/>
        <n v="4989" u="1"/>
        <n v="7224" u="1"/>
        <n v="5032" u="1"/>
        <n v="3468" u="1"/>
        <n v="2372" u="1"/>
        <n v="1662" u="1"/>
        <n v="1114" u="1"/>
        <n v="795" u="1"/>
        <n v="5075" u="1"/>
        <n v="521" u="1"/>
        <n v="5118" u="1"/>
        <n v="3511" u="1"/>
        <n v="2415" u="1"/>
        <n v="5161" u="1"/>
        <n v="5204" u="1"/>
        <n v="3554" u="1"/>
        <n v="2458" u="1"/>
        <n v="1705" u="1"/>
        <n v="1157" u="1"/>
        <n v="5247" u="1"/>
        <n v="5290" u="1"/>
        <n v="3597" u="1"/>
        <n v="2501" u="1"/>
        <n v="5333" u="1"/>
        <n v="5376" u="1"/>
        <n v="3640" u="1"/>
        <n v="2544" u="1"/>
        <n v="1748" u="1"/>
        <n v="1200" u="1"/>
        <n v="838" u="1"/>
        <n v="5419" u="1"/>
        <n v="564" u="1"/>
        <n v="401" u="1"/>
        <n v="264" u="1"/>
        <n v="5462" u="1"/>
        <n v="3683" u="1"/>
        <n v="2587" u="1"/>
        <n v="5505" u="1"/>
        <n v="14" u="1"/>
        <n v="5548" u="1"/>
        <n v="3726" u="1"/>
        <n v="2630" u="1"/>
        <n v="1791" u="1"/>
        <n v="1243" u="1"/>
        <n v="5591" u="1"/>
        <n v="5634" u="1"/>
        <n v="3769" u="1"/>
        <n v="2673" u="1"/>
        <n v="5677" u="1"/>
        <n v="5720" u="1"/>
        <n v="3812" u="1"/>
        <n v="2716" u="1"/>
        <n v="1834" u="1"/>
        <n v="1286" u="1"/>
        <n v="881" u="1"/>
        <n v="5763" u="1"/>
        <n v="607" u="1"/>
        <n v="5806" u="1"/>
        <n v="3855" u="1"/>
        <n v="2759" u="1"/>
        <n v="5849" u="1"/>
        <n v="5892" u="1"/>
        <n v="3898" u="1"/>
        <n v="2802" u="1"/>
        <n v="1877" u="1"/>
        <n v="1329" u="1"/>
        <n v="5935" u="1"/>
        <n v="5978" u="1"/>
        <n v="3941" u="1"/>
        <n v="2845" u="1"/>
        <n v="6021" u="1"/>
        <n v="6064" u="1"/>
        <n v="3984" u="1"/>
        <n v="2888" u="1"/>
        <n v="1920" u="1"/>
        <n v="1372" u="1"/>
        <n v="924" u="1"/>
        <n v="650" u="1"/>
        <n v="444" u="1"/>
        <n v="307" u="1"/>
        <n v="213" u="1"/>
        <n v="102" u="1"/>
        <n v="4027" u="1"/>
        <n v="2931" u="1"/>
        <n v="4070" u="1"/>
        <n v="2974" u="1"/>
        <n v="1963" u="1"/>
        <n v="1415" u="1"/>
        <n v="4130" u="1"/>
        <n v="3017" u="1"/>
        <n v="4173" u="1"/>
        <n v="6408" u="1"/>
        <n v="4216" u="1"/>
        <n v="3060" u="1"/>
        <n v="2006" u="1"/>
        <n v="1458" u="1"/>
        <n v="967" u="1"/>
        <n v="6451" u="1"/>
        <n v="693" u="1"/>
        <n v="4259" u="1"/>
        <n v="6494" u="1"/>
        <n v="4302" u="1"/>
        <n v="3103" u="1"/>
        <n v="6537" u="1"/>
        <n v="4345" u="1"/>
        <n v="6580" u="1"/>
        <n v="4388" u="1"/>
        <n v="3146" u="1"/>
        <n v="2050" u="1"/>
        <n v="1501" u="1"/>
        <n v="6623" u="1"/>
        <n v="4431" u="1"/>
        <n v="6666" u="1"/>
        <n v="4474" u="1"/>
        <n v="3189" u="1"/>
        <n v="2093" u="1"/>
        <n v="6709" u="1"/>
        <n v="4517" u="1"/>
        <n v="6752" u="1"/>
        <n v="4560" u="1"/>
        <n v="3232" u="1"/>
        <n v="2136" u="1"/>
        <n v="1544" u="1"/>
        <n v="1010" u="1"/>
        <n v="6795" u="1"/>
        <n v="736" u="1"/>
        <n v="4603" u="1"/>
        <n v="487" u="1"/>
        <n v="350" u="1"/>
        <n v="166" u="1"/>
        <n v="6838" u="1"/>
        <n v="4646" u="1"/>
        <n v="3275" u="1"/>
        <n v="2179" u="1"/>
        <n v="37" u="1"/>
        <n v="6881" u="1"/>
        <n v="4689" u="1"/>
        <n v="6924" u="1"/>
        <n v="4732" u="1"/>
        <n v="3318" u="1"/>
        <n v="2222" u="1"/>
        <n v="1587" u="1"/>
        <n v="1039" u="1"/>
        <n v="6967" u="1"/>
        <n v="4775" u="1"/>
        <n v="7010" u="1"/>
        <n v="4818" u="1"/>
        <n v="3361" u="1"/>
        <n v="2265" u="1"/>
        <n v="7053" u="1"/>
        <n v="4861" u="1"/>
        <n v="7096" u="1"/>
        <n v="4904" u="1"/>
        <n v="3404" u="1"/>
        <n v="2308" u="1"/>
        <n v="1630" u="1"/>
        <n v="1082" u="1"/>
        <n v="7139" u="1"/>
        <n v="779" u="1"/>
        <n v="4947" u="1"/>
        <n v="7182" u="1"/>
        <n v="4990" u="1"/>
        <n v="3447" u="1"/>
        <n v="2351" u="1"/>
        <n v="7225" u="1"/>
        <n v="5033" u="1"/>
        <n v="5076" u="1"/>
        <n v="3490" u="1"/>
        <n v="2394" u="1"/>
        <n v="1673" u="1"/>
        <n v="1125" u="1"/>
        <n v="5119" u="1"/>
        <n v="5162" u="1"/>
        <n v="3533" u="1"/>
        <n v="2437" u="1"/>
        <n v="5205" u="1"/>
        <n v="5248" u="1"/>
        <n v="3576" u="1"/>
        <n v="2480" u="1"/>
        <n v="1716" u="1"/>
        <n v="1168" u="1"/>
        <n v="822" u="1"/>
        <n v="5291" u="1"/>
        <n v="548" u="1"/>
        <n v="393" u="1"/>
        <n v="256" u="1"/>
        <n v="5334" u="1"/>
        <n v="3619" u="1"/>
        <n v="2523" u="1"/>
        <n v="5377" u="1"/>
        <n v="5420" u="1"/>
        <n v="3662" u="1"/>
        <n v="2566" u="1"/>
        <n v="1759" u="1"/>
        <n v="1211" u="1"/>
        <n v="5463" u="1"/>
        <n v="5506" u="1"/>
        <n v="3705" u="1"/>
        <n v="2609" u="1"/>
        <n v="5549" u="1"/>
        <n v="5592" u="1"/>
        <n v="3748" u="1"/>
        <n v="2652" u="1"/>
        <n v="1802" u="1"/>
        <n v="1254" u="1"/>
        <n v="865" u="1"/>
        <n v="5635" u="1"/>
        <n v="591" u="1"/>
        <n v="5678" u="1"/>
        <n v="3791" u="1"/>
        <n v="2695" u="1"/>
        <n v="5721" u="1"/>
        <n v="5764" u="1"/>
        <n v="3834" u="1"/>
        <n v="2738" u="1"/>
        <n v="1845" u="1"/>
        <n v="1297" u="1"/>
        <n v="5807" u="1"/>
        <n v="5850" u="1"/>
        <n v="3877" u="1"/>
        <n v="2781" u="1"/>
        <n v="5893" u="1"/>
        <n v="5936" u="1"/>
        <n v="3920" u="1"/>
        <n v="2824" u="1"/>
        <n v="1888" u="1"/>
        <n v="1340" u="1"/>
        <n v="908" u="1"/>
        <n v="5979" u="1"/>
        <n v="634" u="1"/>
        <n v="436" u="1"/>
        <n v="299" u="1"/>
        <n v="209" u="1"/>
        <n v="6022" u="1"/>
        <n v="100" u="1"/>
        <n v="3963" u="1"/>
        <n v="2867" u="1"/>
        <n v="6065" u="1"/>
        <n v="4006" u="1"/>
        <n v="2910" u="1"/>
        <n v="1931" u="1"/>
        <n v="1383" u="1"/>
        <n v="4049" u="1"/>
        <n v="2953" u="1"/>
        <n v="4092" u="1"/>
        <n v="2996" u="1"/>
        <n v="1974" u="1"/>
        <n v="1426" u="1"/>
        <n v="951" u="1"/>
        <n v="677" u="1"/>
        <n v="4131" u="1"/>
        <n v="4174" u="1"/>
        <n v="3039" u="1"/>
        <n v="6409" u="1"/>
        <n v="4217" u="1"/>
        <n v="6452" u="1"/>
        <n v="4260" u="1"/>
        <n v="3082" u="1"/>
        <n v="2017" u="1"/>
        <n v="1469" u="1"/>
        <n v="6495" u="1"/>
        <n v="4303" u="1"/>
        <n v="6538" u="1"/>
        <n v="4346" u="1"/>
        <n v="3125" u="1"/>
        <n v="6581" u="1"/>
        <n v="4389" u="1"/>
        <n v="6624" u="1"/>
        <n v="4432" u="1"/>
        <n v="3168" u="1"/>
        <n v="2072" u="1"/>
        <n v="1512" u="1"/>
        <n v="994" u="1"/>
        <n v="6667" u="1"/>
        <n v="720" u="1"/>
        <n v="4475" u="1"/>
        <n v="479" u="1"/>
        <n v="342" u="1"/>
        <n v="162" u="1"/>
        <n v="6710" u="1"/>
        <n v="4518" u="1"/>
        <n v="3211" u="1"/>
        <n v="2115" u="1"/>
        <n v="36" u="1"/>
        <n v="6753" u="1"/>
        <n v="4561" u="1"/>
        <n v="6796" u="1"/>
        <n v="4604" u="1"/>
        <n v="3254" u="1"/>
        <n v="2158" u="1"/>
        <n v="1555" u="1"/>
        <n v="6839" u="1"/>
        <n v="4647" u="1"/>
        <n v="6882" u="1"/>
        <n v="4690" u="1"/>
        <n v="3297" u="1"/>
        <n v="2201" u="1"/>
        <n v="6925" u="1"/>
        <n v="4733" u="1"/>
        <n v="6968" u="1"/>
        <n v="4776" u="1"/>
        <n v="3340" u="1"/>
        <n v="2244" u="1"/>
        <n v="1598" u="1"/>
        <n v="1050" u="1"/>
        <n v="7011" u="1"/>
        <n v="763" u="1"/>
        <n v="4819" u="1"/>
        <n v="7054" u="1"/>
        <n v="4862" u="1"/>
        <n v="3383" u="1"/>
        <n v="2287" u="1"/>
        <n v="7097" u="1"/>
        <n v="4905" u="1"/>
        <n v="7140" u="1"/>
        <n v="4948" u="1"/>
        <n v="3426" u="1"/>
        <n v="2330" u="1"/>
        <n v="1641" u="1"/>
        <n v="1093" u="1"/>
        <n v="7183" u="1"/>
        <n v="4991" u="1"/>
        <n v="5034" u="1"/>
        <n v="3469" u="1"/>
        <n v="2373" u="1"/>
        <n v="5077" u="1"/>
        <n v="5120" u="1"/>
        <n v="3512" u="1"/>
        <n v="2416" u="1"/>
        <n v="1684" u="1"/>
        <n v="1136" u="1"/>
        <n v="806" u="1"/>
        <n v="5163" u="1"/>
        <n v="532" u="1"/>
        <n v="385" u="1"/>
        <n v="252" u="1"/>
        <n v="5206" u="1"/>
        <n v="3555" u="1"/>
        <n v="2459" u="1"/>
        <n v="5249" u="1"/>
        <n v="5292" u="1"/>
        <n v="3598" u="1"/>
        <n v="2502" u="1"/>
        <n v="1727" u="1"/>
        <n v="1179" u="1"/>
        <n v="5335" u="1"/>
        <n v="5378" u="1"/>
        <n v="3641" u="1"/>
        <n v="2545" u="1"/>
        <n v="5421" u="1"/>
        <n v="5464" u="1"/>
        <n v="3684" u="1"/>
        <n v="2588" u="1"/>
        <n v="1770" u="1"/>
        <n v="1222" u="1"/>
        <n v="849" u="1"/>
        <n v="5507" u="1"/>
        <n v="575" u="1"/>
        <n v="5550" u="1"/>
        <n v="3727" u="1"/>
        <n v="2631" u="1"/>
        <n v="5593" u="1"/>
        <n v="5636" u="1"/>
        <n v="3770" u="1"/>
        <n v="2674" u="1"/>
        <n v="1813" u="1"/>
        <n v="1265" u="1"/>
        <n v="5679" u="1"/>
        <n v="5722" u="1"/>
        <n v="3813" u="1"/>
        <n v="2717" u="1"/>
        <n v="5765" u="1"/>
        <n v="5808" u="1"/>
        <n v="3856" u="1"/>
        <n v="2760" u="1"/>
        <n v="1856" u="1"/>
        <n v="1308" u="1"/>
        <n v="892" u="1"/>
        <n v="5851" u="1"/>
        <n v="618" u="1"/>
        <n v="428" u="1"/>
        <n v="291" u="1"/>
        <n v="205" u="1"/>
        <n v="5894" u="1"/>
        <n v="98" u="1"/>
        <n v="3899" u="1"/>
        <n v="2803" u="1"/>
        <n v="5937" u="1"/>
        <n v="5" u="1"/>
        <n v="5980" u="1"/>
        <n v="3942" u="1"/>
        <n v="2846" u="1"/>
        <n v="1899" u="1"/>
        <n v="1351" u="1"/>
        <n v="6023" u="1"/>
        <n v="6066" u="1"/>
        <n v="3985" u="1"/>
        <n v="2889" u="1"/>
        <n v="4028" u="1"/>
        <n v="2932" u="1"/>
        <n v="1942" u="1"/>
        <n v="1394" u="1"/>
        <n v="935" u="1"/>
        <n v="661" u="1"/>
        <n v="4071" u="1"/>
        <n v="2975" u="1"/>
        <n v="4132" u="1"/>
        <n v="3018" u="1"/>
        <n v="1985" u="1"/>
        <n v="1437" u="1"/>
        <n v="4175" u="1"/>
        <n v="6410" u="1"/>
        <n v="4218" u="1"/>
        <n v="3061" u="1"/>
        <n v="6453" u="1"/>
        <n v="4261" u="1"/>
        <n v="6496" u="1"/>
        <n v="4304" u="1"/>
        <n v="3104" u="1"/>
        <n v="2028" u="1"/>
        <n v="1480" u="1"/>
        <n v="978" u="1"/>
        <n v="6539" u="1"/>
        <n v="704" u="1"/>
        <n v="4347" u="1"/>
        <n v="471" u="1"/>
        <n v="334" u="1"/>
        <n v="158" u="1"/>
        <n v="6582" u="1"/>
        <n v="4390" u="1"/>
        <n v="3147" u="1"/>
        <n v="2051" u="1"/>
        <n v="35" u="1"/>
        <n v="6625" u="1"/>
        <n v="4433" u="1"/>
        <n v="6668" u="1"/>
        <n v="4476" u="1"/>
        <n v="3190" u="1"/>
        <n v="2094" u="1"/>
        <n v="1523" u="1"/>
        <n v="6711" u="1"/>
        <n v="4519" u="1"/>
        <n v="6754" u="1"/>
        <n v="4562" u="1"/>
        <n v="3233" u="1"/>
        <n v="2137" u="1"/>
        <n v="6797" u="1"/>
        <n v="4605" u="1"/>
        <n v="6840" u="1"/>
        <n v="4648" u="1"/>
        <n v="3276" u="1"/>
        <n v="2180" u="1"/>
        <n v="1566" u="1"/>
        <n v="1021" u="1"/>
        <n v="6883" u="1"/>
        <n v="747" u="1"/>
        <n v="4691" u="1"/>
        <n v="6926" u="1"/>
        <n v="4734" u="1"/>
        <n v="3319" u="1"/>
        <n v="2223" u="1"/>
        <n v="6969" u="1"/>
        <n v="4777" u="1"/>
        <n v="7012" u="1"/>
        <n v="4820" u="1"/>
        <n v="3362" u="1"/>
        <n v="2266" u="1"/>
        <n v="1609" u="1"/>
        <n v="1061" u="1"/>
        <n v="7055" u="1"/>
        <n v="4863" u="1"/>
        <n v="7098" u="1"/>
        <n v="4906" u="1"/>
        <n v="3405" u="1"/>
        <n v="2309" u="1"/>
        <n v="7141" u="1"/>
        <n v="4949" u="1"/>
        <n v="7184" u="1"/>
        <n v="4992" u="1"/>
        <n v="3448" u="1"/>
        <n v="2352" u="1"/>
        <n v="1652" u="1"/>
        <n v="1104" u="1"/>
        <n v="790" u="1"/>
        <n v="5035" u="1"/>
        <n v="516" u="1"/>
        <n v="377" u="1"/>
        <n v="248" u="1"/>
        <n v="5078" u="1"/>
        <n v="3491" u="1"/>
        <n v="2395" u="1"/>
        <n v="5121" u="1"/>
        <n v="5164" u="1"/>
        <n v="3534" u="1"/>
        <n v="2438" u="1"/>
        <n v="1695" u="1"/>
        <n v="1147" u="1"/>
        <n v="5207" u="1"/>
        <n v="5250" u="1"/>
        <n v="3577" u="1"/>
        <n v="2481" u="1"/>
        <n v="5293" u="1"/>
        <n v="5336" u="1"/>
        <n v="3620" u="1"/>
        <n v="2524" u="1"/>
        <n v="1738" u="1"/>
        <n v="1190" u="1"/>
        <n v="833" u="1"/>
        <n v="5379" u="1"/>
        <n v="559" u="1"/>
        <n v="5422" u="1"/>
        <n v="3663" u="1"/>
        <n v="2567" u="1"/>
        <n v="5465" u="1"/>
        <n v="5508" u="1"/>
        <n v="3706" u="1"/>
        <n v="2610" u="1"/>
        <n v="1781" u="1"/>
        <n v="1233" u="1"/>
        <n v="5551" u="1"/>
        <n v="5594" u="1"/>
        <n v="3749" u="1"/>
        <n v="2653" u="1"/>
        <n v="5637" u="1"/>
        <n v="5680" u="1"/>
        <n v="3792" u="1"/>
        <n v="2696" u="1"/>
        <n v="1824" u="1"/>
        <n v="1276" u="1"/>
        <n v="876" u="1"/>
        <n v="5723" u="1"/>
        <n v="602" u="1"/>
        <n v="420" u="1"/>
        <n v="283" u="1"/>
        <n v="201" u="1"/>
        <n v="5766" u="1"/>
        <n v="96" u="1"/>
        <n v="3835" u="1"/>
        <n v="2739" u="1"/>
        <n v="5809" u="1"/>
        <n v="5852" u="1"/>
        <n v="3878" u="1"/>
        <n v="2782" u="1"/>
        <n v="1867" u="1"/>
        <n v="1319" u="1"/>
        <n v="5895" u="1"/>
        <n v="5938" u="1"/>
        <n v="3921" u="1"/>
        <n v="2825" u="1"/>
        <n v="5981" u="1"/>
        <n v="6024" u="1"/>
        <n v="3964" u="1"/>
        <n v="2868" u="1"/>
        <n v="1910" u="1"/>
        <n v="1362" u="1"/>
        <n v="919" u="1"/>
        <n v="6067" u="1"/>
        <n v="645" u="1"/>
        <n v="4007" u="1"/>
        <n v="2911" u="1"/>
        <n v="4050" u="1"/>
        <n v="2954" u="1"/>
        <n v="1953" u="1"/>
        <n v="1405" u="1"/>
        <n v="4093" u="1"/>
        <n v="2997" u="1"/>
        <n v="4133" u="1"/>
        <n v="4176" u="1"/>
        <n v="3040" u="1"/>
        <n v="1996" u="1"/>
        <n v="1448" u="1"/>
        <n v="962" u="1"/>
        <n v="6411" u="1"/>
        <n v="688" u="1"/>
        <n v="4219" u="1"/>
        <n v="463" u="1"/>
        <n v="326" u="1"/>
        <n v="154" u="1"/>
        <n v="6454" u="1"/>
        <n v="4262" u="1"/>
        <n v="3083" u="1"/>
        <n v="34" u="1"/>
        <n v="6497" u="1"/>
        <n v="4305" u="1"/>
        <n v="6540" u="1"/>
        <n v="4348" u="1"/>
        <n v="3126" u="1"/>
        <n v="2039" u="1"/>
        <n v="1491" u="1"/>
        <n v="6583" u="1"/>
        <n v="4391" u="1"/>
        <n v="6626" u="1"/>
        <n v="4434" u="1"/>
        <n v="3169" u="1"/>
        <n v="2073" u="1"/>
        <n v="6669" u="1"/>
        <n v="4477" u="1"/>
        <n v="6712" u="1"/>
        <n v="4520" u="1"/>
        <n v="3212" u="1"/>
        <n v="2116" u="1"/>
        <n v="1534" u="1"/>
        <n v="1005" u="1"/>
        <n v="6755" u="1"/>
        <n v="731" u="1"/>
        <n v="4563" u="1"/>
        <n v="6798" u="1"/>
        <n v="4606" u="1"/>
        <n v="3255" u="1"/>
        <n v="2159" u="1"/>
        <n v="6841" u="1"/>
        <n v="4649" u="1"/>
        <n v="6884" u="1"/>
        <n v="4692" u="1"/>
        <n v="3298" u="1"/>
        <n v="2202" u="1"/>
        <n v="1577" u="1"/>
        <n v="1029" u="1"/>
        <n v="6927" u="1"/>
        <n v="4735" u="1"/>
        <n v="6970" u="1"/>
        <n v="4778" u="1"/>
        <n v="3341" u="1"/>
        <n v="2245" u="1"/>
        <n v="7013" u="1"/>
        <n v="4821" u="1"/>
        <n v="7056" u="1"/>
        <n v="4864" u="1"/>
        <n v="3384" u="1"/>
        <n v="2288" u="1"/>
        <n v="1620" u="1"/>
        <n v="1072" u="1"/>
        <n v="7099" u="1"/>
        <n v="774" u="1"/>
        <n v="4907" u="1"/>
        <n v="506" u="1"/>
        <n v="369" u="1"/>
        <n v="244" u="1"/>
        <n v="7142" u="1"/>
        <n v="4950" u="1"/>
        <n v="3427" u="1"/>
        <n v="2331" u="1"/>
        <n v="7185" u="1"/>
        <n v="4993" u="1"/>
        <n v="13" u="1"/>
        <n v="5036" u="1"/>
        <n v="3470" u="1"/>
        <n v="2374" u="1"/>
        <n v="1663" u="1"/>
        <n v="1115" u="1"/>
        <n v="5079" u="1"/>
        <n v="5122" u="1"/>
        <n v="3513" u="1"/>
        <n v="2417" u="1"/>
        <n v="5165" u="1"/>
        <n v="5208" u="1"/>
        <n v="3556" u="1"/>
        <n v="2460" u="1"/>
        <n v="1706" u="1"/>
        <n v="1158" u="1"/>
        <n v="817" u="1"/>
        <n v="5251" u="1"/>
        <n v="543" u="1"/>
        <n v="5294" u="1"/>
        <n v="3599" u="1"/>
        <n v="2503" u="1"/>
        <n v="5337" u="1"/>
        <n v="5380" u="1"/>
        <n v="3642" u="1"/>
        <n v="2546" u="1"/>
        <n v="1749" u="1"/>
        <n v="1201" u="1"/>
        <n v="5423" u="1"/>
        <n v="5466" u="1"/>
        <n v="3685" u="1"/>
        <n v="2589" u="1"/>
        <n v="5509" u="1"/>
        <n v="5552" u="1"/>
        <n v="3728" u="1"/>
        <n v="2632" u="1"/>
        <n v="1792" u="1"/>
        <n v="1244" u="1"/>
        <n v="860" u="1"/>
        <n v="5595" u="1"/>
        <n v="586" u="1"/>
        <n v="412" u="1"/>
        <n v="275" u="1"/>
        <n v="197" u="1"/>
        <n v="5638" u="1"/>
        <n v="94" u="1"/>
        <n v="3771" u="1"/>
        <n v="2675" u="1"/>
        <n v="5681" u="1"/>
        <n v="5724" u="1"/>
        <n v="3814" u="1"/>
        <n v="2718" u="1"/>
        <n v="1835" u="1"/>
        <n v="1287" u="1"/>
        <n v="5767" u="1"/>
        <n v="5810" u="1"/>
        <n v="3857" u="1"/>
        <n v="2761" u="1"/>
        <n v="5853" u="1"/>
        <n v="5896" u="1"/>
        <n v="3900" u="1"/>
        <n v="2804" u="1"/>
        <n v="1878" u="1"/>
        <n v="1330" u="1"/>
        <n v="903" u="1"/>
        <n v="5939" u="1"/>
        <n v="629" u="1"/>
        <n v="5982" u="1"/>
        <n v="3943" u="1"/>
        <n v="2847" u="1"/>
        <n v="6025" u="1"/>
        <n v="6068" u="1"/>
        <n v="3986" u="1"/>
        <n v="2890" u="1"/>
        <n v="1921" u="1"/>
        <n v="1373" u="1"/>
        <n v="4029" u="1"/>
        <n v="2933" u="1"/>
        <n v="4072" u="1"/>
        <n v="2976" u="1"/>
        <n v="1964" u="1"/>
        <n v="1416" u="1"/>
        <n v="946" u="1"/>
        <n v="672" u="1"/>
        <n v="455" u="1"/>
        <n v="318" u="1"/>
        <n v="150" u="1"/>
        <n v="4134" u="1"/>
        <n v="3019" u="1"/>
        <n v="33" u="1"/>
        <n v="4177" u="1"/>
        <n v="6412" u="1"/>
        <n v="4220" u="1"/>
        <n v="3062" u="1"/>
        <n v="2007" u="1"/>
        <n v="1459" u="1"/>
        <n v="6455" u="1"/>
        <n v="4263" u="1"/>
        <n v="6498" u="1"/>
        <n v="4306" u="1"/>
        <n v="3105" u="1"/>
        <n v="6541" u="1"/>
        <n v="4349" u="1"/>
        <n v="6584" u="1"/>
        <n v="4392" u="1"/>
        <n v="3148" u="1"/>
        <n v="2052" u="1"/>
        <n v="1502" u="1"/>
        <n v="989" u="1"/>
        <n v="6627" u="1"/>
        <n v="715" u="1"/>
        <n v="4435" u="1"/>
        <n v="6670" u="1"/>
        <n v="4478" u="1"/>
        <n v="3191" u="1"/>
        <n v="2095" u="1"/>
        <n v="6713" u="1"/>
        <n v="4521" u="1"/>
        <n v="6756" u="1"/>
        <n v="4564" u="1"/>
        <n v="3234" u="1"/>
        <n v="2138" u="1"/>
        <n v="1545" u="1"/>
        <n v="6799" u="1"/>
        <n v="4607" u="1"/>
        <n v="6842" u="1"/>
        <n v="4650" u="1"/>
        <n v="3277" u="1"/>
        <n v="2181" u="1"/>
        <n v="6885" u="1"/>
        <n v="4693" u="1"/>
        <n v="6928" u="1"/>
        <n v="4736" u="1"/>
        <n v="3320" u="1"/>
        <n v="2224" u="1"/>
        <n v="1588" u="1"/>
        <n v="1040" u="1"/>
        <n v="6971" u="1"/>
        <n v="758" u="1"/>
        <n v="4779" u="1"/>
        <n v="498" u="1"/>
        <n v="361" u="1"/>
        <n v="240" u="1"/>
        <n v="7014" u="1"/>
        <n v="4822" u="1"/>
        <n v="3363" u="1"/>
        <n v="2267" u="1"/>
        <n v="7057" u="1"/>
        <n v="4865" u="1"/>
        <n v="7100" u="1"/>
        <n v="4908" u="1"/>
        <n v="3406" u="1"/>
        <n v="2310" u="1"/>
        <n v="1631" u="1"/>
        <n v="1083" u="1"/>
        <n v="7143" u="1"/>
        <n v="4951" u="1"/>
        <n v="7186" u="1"/>
        <n v="4994" u="1"/>
        <n v="3449" u="1"/>
        <n v="2353" u="1"/>
        <n v="5037" u="1"/>
        <n v="5080" u="1"/>
        <n v="3492" u="1"/>
        <n v="2396" u="1"/>
        <n v="1674" u="1"/>
        <n v="1126" u="1"/>
        <n v="801" u="1"/>
        <n v="5123" u="1"/>
        <n v="527" u="1"/>
        <n v="5166" u="1"/>
        <n v="3535" u="1"/>
        <n v="2439" u="1"/>
        <n v="5209" u="1"/>
        <n v="5252" u="1"/>
        <n v="3578" u="1"/>
        <n v="2482" u="1"/>
        <n v="1717" u="1"/>
        <n v="1169" u="1"/>
        <n v="5295" u="1"/>
        <n v="5338" u="1"/>
        <n v="3621" u="1"/>
        <n v="2525" u="1"/>
        <n v="5381" u="1"/>
        <n v="5424" u="1"/>
        <n v="3664" u="1"/>
        <n v="2568" u="1"/>
        <n v="1760" u="1"/>
        <n v="1212" u="1"/>
        <n v="844" u="1"/>
        <n v="5467" u="1"/>
        <n v="570" u="1"/>
        <n v="404" u="1"/>
        <n v="267" u="1"/>
        <n v="193" u="1"/>
        <n v="5510" u="1"/>
        <n v="92" u="1"/>
        <n v="3707" u="1"/>
        <n v="2611" u="1"/>
        <n v="5553" u="1"/>
        <n v="5596" u="1"/>
        <n v="3750" u="1"/>
        <n v="2654" u="1"/>
        <n v="1803" u="1"/>
        <n v="1255" u="1"/>
        <n v="5639" u="1"/>
        <n v="5682" u="1"/>
        <n v="3793" u="1"/>
        <n v="2697" u="1"/>
        <n v="5725" u="1"/>
        <n v="5768" u="1"/>
        <n v="3836" u="1"/>
        <n v="2740" u="1"/>
        <n v="1846" u="1"/>
        <n v="1298" u="1"/>
        <n v="887" u="1"/>
        <n v="5811" u="1"/>
        <n v="613" u="1"/>
        <n v="5854" u="1"/>
        <n v="3879" u="1"/>
        <n v="2783" u="1"/>
        <n v="5897" u="1"/>
        <n v="5940" u="1"/>
        <n v="3922" u="1"/>
        <n v="2826" u="1"/>
        <n v="1889" u="1"/>
        <n v="1341" u="1"/>
        <n v="5983" u="1"/>
        <n v="6026" u="1"/>
        <n v="3965" u="1"/>
        <n v="2869" u="1"/>
        <n v="6069" u="1"/>
        <n v="4008" u="1"/>
        <n v="2912" u="1"/>
        <n v="1932" u="1"/>
        <n v="1384" u="1"/>
        <n v="930" u="1"/>
        <n v="656" u="1"/>
        <n v="447" u="1"/>
        <n v="310" u="1"/>
        <n v="146" u="1"/>
        <n v="4051" u="1"/>
        <n v="2955" u="1"/>
        <n v="32" u="1"/>
        <n v="4094" u="1"/>
        <n v="2998" u="1"/>
        <n v="1975" u="1"/>
        <n v="1427" u="1"/>
        <n v="4135" u="1"/>
        <n v="4178" u="1"/>
        <n v="3041" u="1"/>
        <n v="6413" u="1"/>
        <n v="4221" u="1"/>
        <n v="6456" u="1"/>
        <n v="4264" u="1"/>
        <n v="3084" u="1"/>
        <n v="2018" u="1"/>
        <n v="1470" u="1"/>
        <n v="973" u="1"/>
        <n v="6499" u="1"/>
        <n v="699" u="1"/>
        <n v="4307" u="1"/>
        <n v="6542" u="1"/>
        <n v="4350" u="1"/>
        <n v="3127" u="1"/>
        <n v="6585" u="1"/>
        <n v="4393" u="1"/>
        <n v="6628" u="1"/>
        <n v="4436" u="1"/>
        <n v="3170" u="1"/>
        <n v="2074" u="1"/>
        <n v="1513" u="1"/>
        <n v="6671" u="1"/>
        <n v="4479" u="1"/>
        <n v="6714" u="1"/>
        <n v="4522" u="1"/>
        <n v="3213" u="1"/>
        <n v="2117" u="1"/>
        <n v="6757" u="1"/>
        <n v="4565" u="1"/>
        <n v="6800" u="1"/>
        <n v="4608" u="1"/>
        <n v="3256" u="1"/>
        <n v="2160" u="1"/>
        <n v="1556" u="1"/>
        <n v="1016" u="1"/>
        <n v="6843" u="1"/>
        <n v="742" u="1"/>
        <n v="4651" u="1"/>
        <n v="490" u="1"/>
        <n v="353" u="1"/>
        <n v="236" u="1"/>
        <n v="6886" u="1"/>
        <n v="4694" u="1"/>
        <n v="3299" u="1"/>
        <n v="2203" u="1"/>
        <n v="6929" u="1"/>
        <n v="4737" u="1"/>
        <n v="6972" u="1"/>
        <n v="4780" u="1"/>
        <n v="3342" u="1"/>
        <n v="2246" u="1"/>
        <n v="1599" u="1"/>
        <n v="1051" u="1"/>
        <n v="7015" u="1"/>
        <n v="4823" u="1"/>
        <n v="7058" u="1"/>
        <n v="4866" u="1"/>
        <n v="3385" u="1"/>
        <n v="2289" u="1"/>
        <n v="7101" u="1"/>
        <n v="4909" u="1"/>
        <n v="7144" u="1"/>
        <n v="4952" u="1"/>
        <n v="3428" u="1"/>
        <n v="2332" u="1"/>
        <n v="1642" u="1"/>
        <n v="1094" u="1"/>
        <n v="7187" u="1"/>
        <n v="785" u="1"/>
        <n v="4995" u="1"/>
        <n v="5038" u="1"/>
        <n v="3471" u="1"/>
        <n v="2375" u="1"/>
        <n v="5081" u="1"/>
        <n v="5124" u="1"/>
        <n v="3514" u="1"/>
        <n v="2418" u="1"/>
        <n v="1685" u="1"/>
        <n v="1137" u="1"/>
        <n v="5167" u="1"/>
        <n v="5210" u="1"/>
        <n v="3557" u="1"/>
        <n v="2461" u="1"/>
        <n v="5253" u="1"/>
        <n v="5296" u="1"/>
        <n v="3600" u="1"/>
        <n v="2504" u="1"/>
        <n v="1728" u="1"/>
        <n v="1180" u="1"/>
        <n v="828" u="1"/>
        <n v="5339" u="1"/>
        <n v="554" u="1"/>
        <n v="396" u="1"/>
        <n v="259" u="1"/>
        <n v="189" u="1"/>
        <n v="5382" u="1"/>
        <n v="90" u="1"/>
        <n v="3643" u="1"/>
        <n v="2547" u="1"/>
        <n v="5425" u="1"/>
        <n v="5468" u="1"/>
        <n v="3686" u="1"/>
        <n v="2590" u="1"/>
        <n v="1771" u="1"/>
        <n v="1223" u="1"/>
        <n v="5511" u="1"/>
        <n v="5554" u="1"/>
        <n v="3729" u="1"/>
        <n v="2633" u="1"/>
        <n v="5597" u="1"/>
        <n v="5640" u="1"/>
        <n v="3772" u="1"/>
        <n v="2676" u="1"/>
        <n v="1814" u="1"/>
        <n v="1266" u="1"/>
        <n v="871" u="1"/>
        <n v="5683" u="1"/>
        <n v="597" u="1"/>
        <n v="5726" u="1"/>
        <n v="3815" u="1"/>
        <n v="2719" u="1"/>
        <n v="5769" u="1"/>
        <n v="5812" u="1"/>
        <n v="3858" u="1"/>
        <n v="2762" u="1"/>
        <n v="1857" u="1"/>
        <n v="1309" u="1"/>
        <n v="5855" u="1"/>
        <n v="5898" u="1"/>
        <n v="3901" u="1"/>
        <n v="2805" u="1"/>
        <n v="5941" u="1"/>
        <n v="5984" u="1"/>
        <n v="3944" u="1"/>
        <n v="2848" u="1"/>
        <n v="1900" u="1"/>
        <n v="1352" u="1"/>
        <n v="914" u="1"/>
        <n v="6027" u="1"/>
        <n v="640" u="1"/>
        <n v="439" u="1"/>
        <n v="302" u="1"/>
        <n v="142" u="1"/>
        <n v="6070" u="1"/>
        <n v="3987" u="1"/>
        <n v="2891" u="1"/>
        <n v="4030" u="1"/>
        <n v="2934" u="1"/>
        <n v="1943" u="1"/>
        <n v="1395" u="1"/>
        <n v="4073" u="1"/>
        <n v="2977" u="1"/>
        <n v="4136" u="1"/>
        <n v="3020" u="1"/>
        <n v="1986" u="1"/>
        <n v="1438" u="1"/>
        <n v="957" u="1"/>
        <n v="683" u="1"/>
        <n v="4179" u="1"/>
        <n v="6414" u="1"/>
        <n v="4222" u="1"/>
        <n v="3063" u="1"/>
        <n v="6457" u="1"/>
        <n v="4265" u="1"/>
        <n v="6500" u="1"/>
        <n v="4308" u="1"/>
        <n v="3106" u="1"/>
        <n v="2029" u="1"/>
        <n v="1481" u="1"/>
        <n v="6543" u="1"/>
        <n v="4351" u="1"/>
        <n v="6586" u="1"/>
        <n v="4394" u="1"/>
        <n v="3149" u="1"/>
        <n v="2053" u="1"/>
        <n v="6629" u="1"/>
        <n v="4437" u="1"/>
        <n v="6672" u="1"/>
        <n v="4480" u="1"/>
        <n v="3192" u="1"/>
        <n v="2096" u="1"/>
        <n v="1524" u="1"/>
        <n v="1000" u="1"/>
        <n v="6715" u="1"/>
        <n v="726" u="1"/>
        <n v="4523" u="1"/>
        <n v="482" u="1"/>
        <n v="345" u="1"/>
        <n v="232" u="1"/>
        <n v="6758" u="1"/>
        <n v="4566" u="1"/>
        <n v="3235" u="1"/>
        <n v="2139" u="1"/>
        <n v="6801" u="1"/>
        <n v="4609" u="1"/>
        <n v="6844" u="1"/>
        <n v="4652" u="1"/>
        <n v="3278" u="1"/>
        <n v="2182" u="1"/>
        <n v="1567" u="1"/>
        <n v="6887" u="1"/>
        <n v="4695" u="1"/>
        <n v="6930" u="1"/>
        <n v="4738" u="1"/>
        <n v="3321" u="1"/>
        <n v="2225" u="1"/>
        <n v="6973" u="1"/>
        <n v="4781" u="1"/>
        <n v="7016" u="1"/>
        <n v="4824" u="1"/>
        <n v="3364" u="1"/>
        <n v="2268" u="1"/>
        <n v="1610" u="1"/>
        <n v="1062" u="1"/>
        <n v="7059" u="1"/>
        <n v="769" u="1"/>
        <n v="4867" u="1"/>
        <n v="7102" u="1"/>
        <n v="4910" u="1"/>
        <n v="3407" u="1"/>
        <n v="2311" u="1"/>
        <n v="7145" u="1"/>
        <n v="4953" u="1"/>
        <n v="7188" u="1"/>
        <n v="4996" u="1"/>
        <n v="3450" u="1"/>
        <n v="2354" u="1"/>
        <n v="1653" u="1"/>
        <n v="1105" u="1"/>
        <n v="5039" u="1"/>
        <n v="5082" u="1"/>
        <n v="3493" u="1"/>
        <n v="2397" u="1"/>
        <n v="5125" u="1"/>
        <n v="5168" u="1"/>
        <n v="3536" u="1"/>
        <n v="2440" u="1"/>
        <n v="1696" u="1"/>
        <n v="1148" u="1"/>
        <n v="812" u="1"/>
        <n v="5211" u="1"/>
        <n v="538" u="1"/>
        <n v="388" u="1"/>
        <n v="185" u="1"/>
        <n v="5254" u="1"/>
        <n v="88" u="1"/>
        <n v="3579" u="1"/>
        <n v="2483" u="1"/>
        <n v="5297" u="1"/>
        <n v="5340" u="1"/>
        <n v="3622" u="1"/>
        <n v="2526" u="1"/>
        <n v="1739" u="1"/>
        <n v="1191" u="1"/>
        <n v="5383" u="1"/>
        <n v="5426" u="1"/>
        <n v="3665" u="1"/>
        <n v="2569" u="1"/>
        <n v="5469" u="1"/>
        <n v="5512" u="1"/>
        <n v="3708" u="1"/>
        <n v="2612" u="1"/>
        <n v="1782" u="1"/>
        <n v="1234" u="1"/>
        <n v="855" u="1"/>
        <n v="5555" u="1"/>
        <n v="581" u="1"/>
        <n v="5598" u="1"/>
        <n v="3751" u="1"/>
        <n v="2655" u="1"/>
        <n v="5641" u="1"/>
        <n v="5684" u="1"/>
        <n v="3794" u="1"/>
        <n v="2698" u="1"/>
        <n v="1825" u="1"/>
        <n v="1277" u="1"/>
        <n v="5727" u="1"/>
        <n v="5770" u="1"/>
        <n v="3837" u="1"/>
        <n v="2741" u="1"/>
        <n v="5813" u="1"/>
        <n v="5856" u="1"/>
        <n v="3880" u="1"/>
        <n v="2784" u="1"/>
        <n v="1868" u="1"/>
        <n v="1320" u="1"/>
        <n v="898" u="1"/>
        <n v="5899" u="1"/>
        <n v="624" u="1"/>
        <n v="431" u="1"/>
        <n v="294" u="1"/>
        <n v="138" u="1"/>
        <n v="5942" u="1"/>
        <n v="3923" u="1"/>
        <n v="2827" u="1"/>
        <n v="31" u="1"/>
        <n v="5985" u="1"/>
        <n v="6028" u="1"/>
        <n v="3966" u="1"/>
        <n v="2870" u="1"/>
        <n v="1911" u="1"/>
        <n v="1363" u="1"/>
        <n v="6071" u="1"/>
        <n v="4009" u="1"/>
        <n v="2913" u="1"/>
        <n v="4052" u="1"/>
        <n v="2956" u="1"/>
        <n v="1954" u="1"/>
        <n v="1406" u="1"/>
        <n v="941" u="1"/>
        <n v="667" u="1"/>
        <n v="4095" u="1"/>
        <n v="2999" u="1"/>
        <n v="4137" u="1"/>
        <n v="4180" u="1"/>
        <n v="3042" u="1"/>
        <n v="1997" u="1"/>
        <n v="1449" u="1"/>
        <n v="6415" u="1"/>
        <n v="4223" u="1"/>
        <n v="6458" u="1"/>
        <n v="4266" u="1"/>
        <n v="3085" u="1"/>
        <n v="6501" u="1"/>
        <n v="4309" u="1"/>
        <n v="6544" u="1"/>
        <n v="4352" u="1"/>
        <n v="3128" u="1"/>
        <n v="2040" u="1"/>
        <n v="1492" u="1"/>
        <n v="984" u="1"/>
        <n v="6587" u="1"/>
        <n v="710" u="1"/>
        <n v="4395" u="1"/>
        <n v="474" u="1"/>
        <n v="337" u="1"/>
        <n v="228" u="1"/>
        <n v="6630" u="1"/>
        <n v="4438" u="1"/>
        <n v="3171" u="1"/>
        <n v="2075" u="1"/>
        <n v="6673" u="1"/>
        <n v="4481" u="1"/>
        <n v="12" u="1"/>
        <n v="6716" u="1"/>
        <n v="4524" u="1"/>
        <n v="3214" u="1"/>
        <n v="2118" u="1"/>
        <n v="1535" u="1"/>
        <n v="6759" u="1"/>
        <n v="4567" u="1"/>
        <n v="6802" u="1"/>
        <n v="4610" u="1"/>
        <n v="3257" u="1"/>
        <n v="2161" u="1"/>
        <n v="6845" u="1"/>
        <n v="4653" u="1"/>
        <n v="6888" u="1"/>
        <n v="4696" u="1"/>
        <n v="3300" u="1"/>
        <n v="2204" u="1"/>
        <n v="1578" u="1"/>
        <n v="1030" u="1"/>
        <n v="6931" u="1"/>
        <n v="753" u="1"/>
        <n v="4739" u="1"/>
        <n v="6974" u="1"/>
        <n v="4782" u="1"/>
        <n v="3343" u="1"/>
        <n v="2247" u="1"/>
        <n v="7017" u="1"/>
        <n v="4825" u="1"/>
        <n v="7060" u="1"/>
        <n v="4868" u="1"/>
        <n v="3386" u="1"/>
        <n v="2290" u="1"/>
        <n v="1621" u="1"/>
        <n v="1073" u="1"/>
        <n v="7103" u="1"/>
        <n v="4911" u="1"/>
        <n v="7146" u="1"/>
        <n v="4954" u="1"/>
        <n v="3429" u="1"/>
        <n v="2333" u="1"/>
        <n v="7189" u="1"/>
        <n v="4997" u="1"/>
        <n v="5040" u="1"/>
        <n v="3472" u="1"/>
        <n v="2376" u="1"/>
        <n v="1664" u="1"/>
        <n v="1116" u="1"/>
        <n v="796" u="1"/>
        <n v="5083" u="1"/>
        <n v="522" u="1"/>
        <n v="380" u="1"/>
        <n v="181" u="1"/>
        <n v="5126" u="1"/>
        <n v="86" u="1"/>
        <n v="3515" u="1"/>
        <n v="2419" u="1"/>
        <n v="5169" u="1"/>
        <n v="5212" u="1"/>
        <n v="3558" u="1"/>
        <n v="2462" u="1"/>
        <n v="1707" u="1"/>
        <n v="1159" u="1"/>
        <n v="5255" u="1"/>
        <n v="5298" u="1"/>
        <n v="3601" u="1"/>
        <n v="2505" u="1"/>
        <n v="5341" u="1"/>
        <n v="5384" u="1"/>
        <n v="3644" u="1"/>
        <n v="2548" u="1"/>
        <n v="1750" u="1"/>
        <n v="1202" u="1"/>
        <n v="839" u="1"/>
        <n v="5427" u="1"/>
        <n v="565" u="1"/>
        <n v="5470" u="1"/>
        <n v="3687" u="1"/>
        <n v="2591" u="1"/>
        <n v="5513" u="1"/>
        <n v="5556" u="1"/>
        <n v="3730" u="1"/>
        <n v="2634" u="1"/>
        <n v="1793" u="1"/>
        <n v="1245" u="1"/>
        <n v="5599" u="1"/>
        <n v="5642" u="1"/>
        <n v="3773" u="1"/>
        <n v="2677" u="1"/>
        <n v="5685" u="1"/>
        <n v="5728" u="1"/>
        <n v="3816" u="1"/>
        <n v="2720" u="1"/>
        <n v="1836" u="1"/>
        <n v="1288" u="1"/>
        <n v="882" u="1"/>
        <n v="5771" u="1"/>
        <n v="608" u="1"/>
        <n v="423" u="1"/>
        <n v="286" u="1"/>
        <n v="134" u="1"/>
        <n v="5814" u="1"/>
        <n v="3859" u="1"/>
        <n v="2763" u="1"/>
        <n v="5857" u="1"/>
        <n v="5900" u="1"/>
        <n v="3902" u="1"/>
        <n v="2806" u="1"/>
        <n v="1879" u="1"/>
        <n v="1331" u="1"/>
        <n v="5943" u="1"/>
        <n v="5986" u="1"/>
        <n v="3945" u="1"/>
        <n v="2849" u="1"/>
        <n v="6029" u="1"/>
        <n v="6072" u="1"/>
        <n v="3988" u="1"/>
        <n v="2892" u="1"/>
        <n v="1922" u="1"/>
        <n v="1374" u="1"/>
        <n v="925" u="1"/>
        <n v="651" u="1"/>
        <n v="4031" u="1"/>
        <n v="2935" u="1"/>
        <n v="4074" u="1"/>
        <n v="2978" u="1"/>
        <n v="1965" u="1"/>
        <n v="1417" u="1"/>
        <n v="4138" u="1"/>
        <n v="3021" u="1"/>
        <n v="4181" u="1"/>
        <n v="6416" u="1"/>
        <n v="4224" u="1"/>
        <n v="3064" u="1"/>
        <n v="2008" u="1"/>
        <n v="1460" u="1"/>
        <n v="968" u="1"/>
        <n v="6459" u="1"/>
        <n v="694" u="1"/>
        <n v="4267" u="1"/>
        <n v="466" u="1"/>
        <n v="329" u="1"/>
        <n v="224" u="1"/>
        <n v="6502" u="1"/>
        <n v="4310" u="1"/>
        <n v="3107" u="1"/>
        <n v="6545" u="1"/>
        <n v="4353" u="1"/>
        <n v="6588" u="1"/>
        <n v="4396" u="1"/>
        <n v="3150" u="1"/>
        <n v="2054" u="1"/>
        <n v="1503" u="1"/>
        <n v="6631" u="1"/>
        <n v="4439" u="1"/>
        <n v="6674" u="1"/>
        <n v="4482" u="1"/>
        <n v="3193" u="1"/>
        <n v="2097" u="1"/>
        <n v="6717" u="1"/>
        <n v="4525" u="1"/>
        <n v="6760" u="1"/>
        <n v="4568" u="1"/>
        <n v="3236" u="1"/>
        <n v="2140" u="1"/>
        <n v="1546" u="1"/>
        <n v="1011" u="1"/>
        <n v="6803" u="1"/>
        <n v="737" u="1"/>
        <n v="4611" u="1"/>
        <n v="6846" u="1"/>
        <n v="4654" u="1"/>
        <n v="3279" u="1"/>
        <n v="2183" u="1"/>
        <n v="6889" u="1"/>
        <n v="4697" u="1"/>
        <n v="6932" u="1"/>
        <n v="4740" u="1"/>
        <n v="3322" u="1"/>
        <n v="2226" u="1"/>
        <n v="1589" u="1"/>
        <n v="1041" u="1"/>
        <n v="6975" u="1"/>
        <n v="4783" u="1"/>
        <n v="7018" u="1"/>
        <n v="4826" u="1"/>
        <n v="3365" u="1"/>
        <n v="2269" u="1"/>
        <n v="7061" u="1"/>
        <n v="4869" u="1"/>
        <n v="7104" u="1"/>
        <n v="4912" u="1"/>
        <n v="3408" u="1"/>
        <n v="2312" u="1"/>
        <n v="1632" u="1"/>
        <n v="1084" u="1"/>
        <n v="7147" u="1"/>
        <n v="780" u="1"/>
        <n v="4955" u="1"/>
        <n v="509" u="1"/>
        <n v="372" u="1"/>
        <n v="177" u="1"/>
        <n v="7190" u="1"/>
        <n v="4998" u="1"/>
        <n v="84" u="1"/>
        <n v="3451" u="1"/>
        <n v="2355" u="1"/>
        <n v="5041" u="1"/>
        <n v="5084" u="1"/>
        <n v="3494" u="1"/>
        <n v="2398" u="1"/>
        <n v="1675" u="1"/>
        <n v="1127" u="1"/>
        <n v="5127" u="1"/>
        <n v="5170" u="1"/>
        <n v="3537" u="1"/>
        <n v="2441" u="1"/>
        <n v="5213" u="1"/>
        <n v="5256" u="1"/>
        <n v="3580" u="1"/>
        <n v="2484" u="1"/>
        <n v="1718" u="1"/>
        <n v="1170" u="1"/>
        <n v="823" u="1"/>
        <n v="5299" u="1"/>
        <n v="549" u="1"/>
        <n v="5342" u="1"/>
        <n v="3623" u="1"/>
        <n v="2527" u="1"/>
        <n v="5385" u="1"/>
        <n v="5428" u="1"/>
        <n v="3666" u="1"/>
        <n v="2570" u="1"/>
        <n v="1761" u="1"/>
        <n v="1213" u="1"/>
        <n v="5471" u="1"/>
        <n v="5514" u="1"/>
        <n v="3709" u="1"/>
        <n v="2613" u="1"/>
        <n v="5557" u="1"/>
        <n v="5600" u="1"/>
        <n v="3752" u="1"/>
        <n v="2656" u="1"/>
        <n v="1804" u="1"/>
        <n v="1256" u="1"/>
        <n v="866" u="1"/>
        <n v="5643" u="1"/>
        <n v="592" u="1"/>
        <n v="415" u="1"/>
        <n v="278" u="1"/>
        <n v="130" u="1"/>
        <n v="5686" u="1"/>
        <n v="3795" u="1"/>
        <n v="2699" u="1"/>
        <n v="30" u="1"/>
        <n v="5729" u="1"/>
        <n v="5772" u="1"/>
        <n v="3838" u="1"/>
        <n v="2742" u="1"/>
        <n v="1847" u="1"/>
        <n v="1299" u="1"/>
        <n v="5815" u="1"/>
        <n v="5858" u="1"/>
        <n v="3881" u="1"/>
        <n v="2785" u="1"/>
        <n v="5901" u="1"/>
        <n v="5944" u="1"/>
        <n v="3924" u="1"/>
        <n v="2828" u="1"/>
        <n v="1890" u="1"/>
        <n v="1342" u="1"/>
        <n v="909" u="1"/>
        <n v="5987" u="1"/>
        <n v="635" u="1"/>
        <n v="6030" u="1"/>
        <n v="3967" u="1"/>
        <n v="2871" u="1"/>
        <n v="6073" u="1"/>
        <n v="4010" u="1"/>
        <n v="2914" u="1"/>
        <n v="1933" u="1"/>
        <n v="1385" u="1"/>
        <n v="4053" u="1"/>
        <n v="2957" u="1"/>
        <n v="4096" u="1"/>
        <n v="3000" u="1"/>
        <n v="1976" u="1"/>
        <n v="1428" u="1"/>
        <n v="952" u="1"/>
        <n v="678" u="1"/>
        <n v="4139" u="1"/>
        <n v="458" u="1"/>
        <n v="321" u="1"/>
        <n v="220" u="1"/>
        <n v="4182" u="1"/>
        <n v="3043" u="1"/>
        <n v="6417" u="1"/>
        <n v="4225" u="1"/>
        <n v="6460" u="1"/>
        <n v="4268" u="1"/>
        <n v="3086" u="1"/>
        <n v="2019" u="1"/>
        <n v="1471" u="1"/>
        <n v="6503" u="1"/>
        <n v="4311" u="1"/>
        <n v="6546" u="1"/>
        <n v="4354" u="1"/>
        <n v="3129" u="1"/>
        <n v="6589" u="1"/>
        <n v="4397" u="1"/>
        <n v="6632" u="1"/>
        <n v="4440" u="1"/>
        <n v="3172" u="1"/>
        <n v="2076" u="1"/>
        <n v="1514" u="1"/>
        <n v="995" u="1"/>
        <n v="6675" u="1"/>
        <n v="721" u="1"/>
        <n v="4483" u="1"/>
        <n v="6718" u="1"/>
        <n v="4526" u="1"/>
        <n v="3215" u="1"/>
        <n v="2119" u="1"/>
        <n v="6761" u="1"/>
        <n v="4569" u="1"/>
        <n v="6804" u="1"/>
        <n v="4612" u="1"/>
        <n v="3258" u="1"/>
        <n v="2162" u="1"/>
        <n v="1557" u="1"/>
        <n v="6847" u="1"/>
        <n v="4655" u="1"/>
        <n v="6890" u="1"/>
        <n v="4698" u="1"/>
        <n v="3301" u="1"/>
        <n v="2205" u="1"/>
        <n v="6933" u="1"/>
        <n v="4741" u="1"/>
        <n v="6976" u="1"/>
        <n v="4784" u="1"/>
        <n v="3344" u="1"/>
        <n v="2248" u="1"/>
        <n v="1600" u="1"/>
        <n v="1052" u="1"/>
        <n v="7019" u="1"/>
        <n v="764" u="1"/>
        <n v="4827" u="1"/>
        <n v="501" u="1"/>
        <n v="364" u="1"/>
        <n v="173" u="1"/>
        <n v="7062" u="1"/>
        <n v="4870" u="1"/>
        <n v="82" u="1"/>
        <n v="3387" u="1"/>
        <n v="2291" u="1"/>
        <n v="7105" u="1"/>
        <n v="4913" u="1"/>
        <n v="4" u="1"/>
        <n v="7148" u="1"/>
        <n v="4956" u="1"/>
        <n v="3430" u="1"/>
        <n v="2334" u="1"/>
        <n v="1643" u="1"/>
        <n v="1095" u="1"/>
        <n v="7191" u="1"/>
        <n v="4999" u="1"/>
        <n v="5042" u="1"/>
        <n v="3473" u="1"/>
        <n v="2377" u="1"/>
        <n v="5085" u="1"/>
        <n v="5128" u="1"/>
        <n v="3516" u="1"/>
        <n v="2420" u="1"/>
        <n v="1686" u="1"/>
        <n v="1138" u="1"/>
        <n v="807" u="1"/>
        <n v="5171" u="1"/>
        <n v="533" u="1"/>
        <n v="5214" u="1"/>
        <n v="3559" u="1"/>
        <n v="2463" u="1"/>
        <n v="5257" u="1"/>
        <n v="5300" u="1"/>
        <n v="3602" u="1"/>
        <n v="2506" u="1"/>
        <n v="1729" u="1"/>
        <n v="1181" u="1"/>
        <n v="5343" u="1"/>
        <n v="5386" u="1"/>
        <n v="3645" u="1"/>
        <n v="2549" u="1"/>
        <n v="5429" u="1"/>
        <n v="5472" u="1"/>
        <n v="3688" u="1"/>
        <n v="2592" u="1"/>
        <n v="1772" u="1"/>
        <n v="1224" u="1"/>
        <n v="850" u="1"/>
        <n v="5515" u="1"/>
        <n v="576" u="1"/>
        <n v="407" u="1"/>
        <n v="270" u="1"/>
        <n v="127" u="1"/>
        <n v="5558" u="1"/>
        <n v="3731" u="1"/>
        <n v="2635" u="1"/>
        <n v="5601" u="1"/>
        <n v="5644" u="1"/>
        <n v="3774" u="1"/>
        <n v="2678" u="1"/>
        <n v="1815" u="1"/>
        <n v="1267" u="1"/>
        <n v="5687" u="1"/>
        <n v="5730" u="1"/>
        <n v="3817" u="1"/>
        <n v="2721" u="1"/>
        <n v="5773" u="1"/>
        <n v="5816" u="1"/>
        <n v="3860" u="1"/>
        <n v="2764" u="1"/>
        <n v="1858" u="1"/>
        <n v="1310" u="1"/>
        <n v="893" u="1"/>
        <n v="5859" u="1"/>
        <n v="619" u="1"/>
        <n v="5902" u="1"/>
        <n v="3903" u="1"/>
        <n v="2807" u="1"/>
        <n v="5945" u="1"/>
        <n v="5988" u="1"/>
        <n v="3946" u="1"/>
        <n v="2850" u="1"/>
        <n v="1901" u="1"/>
        <n v="1353" u="1"/>
        <n v="6031" u="1"/>
        <n v="6074" u="1"/>
        <n v="3989" u="1"/>
        <n v="2893" u="1"/>
        <n v="4032" u="1"/>
        <n v="2936" u="1"/>
        <n v="1944" u="1"/>
        <n v="1396" u="1"/>
        <n v="936" u="1"/>
        <n v="662" u="1"/>
        <n v="450" u="1"/>
        <n v="313" u="1"/>
        <n v="216" u="1"/>
        <n v="4075" u="1"/>
        <n v="2979" u="1"/>
        <n v="4097" u="1"/>
        <n v="4140" u="1"/>
        <n v="3022" u="1"/>
        <n v="1987" u="1"/>
        <n v="1439" u="1"/>
        <n v="4183" u="1"/>
        <n v="6418" u="1"/>
        <n v="4226" u="1"/>
        <n v="3065" u="1"/>
        <n v="6461" u="1"/>
        <n v="4269" u="1"/>
        <n v="6504" u="1"/>
        <n v="4312" u="1"/>
        <n v="3108" u="1"/>
        <n v="2030" u="1"/>
        <n v="1482" u="1"/>
        <n v="979" u="1"/>
        <n v="6547" u="1"/>
        <n v="705" u="1"/>
        <n v="4355" u="1"/>
        <n v="6590" u="1"/>
        <n v="4398" u="1"/>
        <n v="3151" u="1"/>
        <n v="2055" u="1"/>
        <n v="6633" u="1"/>
        <n v="4441" u="1"/>
        <n v="6676" u="1"/>
        <n v="4484" u="1"/>
        <n v="3194" u="1"/>
        <n v="2098" u="1"/>
        <n v="1525" u="1"/>
        <n v="6719" u="1"/>
        <n v="4527" u="1"/>
        <n v="6762" u="1"/>
        <n v="4570" u="1"/>
        <n v="3237" u="1"/>
        <n v="2141" u="1"/>
        <n v="6805" u="1"/>
        <n v="4613" u="1"/>
        <n v="6848" u="1"/>
        <n v="4656" u="1"/>
        <n v="3280" u="1"/>
        <n v="2184" u="1"/>
        <n v="1568" u="1"/>
        <n v="1022" u="1"/>
        <n v="6891" u="1"/>
        <n v="748" u="1"/>
        <n v="4699" u="1"/>
        <n v="493" u="1"/>
        <n v="356" u="1"/>
        <n v="169" u="1"/>
        <n v="6934" u="1"/>
        <n v="4742" u="1"/>
        <n v="80" u="1"/>
        <n v="3323" u="1"/>
        <n v="2227" u="1"/>
        <n v="6977" u="1"/>
        <n v="4785" u="1"/>
        <n v="7020" u="1"/>
        <n v="4828" u="1"/>
        <n v="3366" u="1"/>
        <n v="2270" u="1"/>
        <n v="1611" u="1"/>
        <n v="1063" u="1"/>
        <n v="7063" u="1"/>
        <n v="4871" u="1"/>
        <n v="7106" u="1"/>
        <n v="4914" u="1"/>
        <n v="3409" u="1"/>
        <n v="2313" u="1"/>
        <n v="7149" u="1"/>
        <n v="4957" u="1"/>
        <n v="7192" u="1"/>
        <n v="5000" u="1"/>
        <n v="3452" u="1"/>
        <n v="2356" u="1"/>
        <n v="1654" u="1"/>
        <n v="1106" u="1"/>
        <n v="791" u="1"/>
        <n v="5043" u="1"/>
        <n v="517" u="1"/>
        <n v="5086" u="1"/>
        <n v="3495" u="1"/>
        <n v="2399" u="1"/>
        <n v="5129" u="1"/>
        <n v="5172" u="1"/>
        <n v="3538" u="1"/>
        <n v="2442" u="1"/>
        <n v="1697" u="1"/>
        <n v="1149" u="1"/>
        <n v="5215" u="1"/>
        <n v="5258" u="1"/>
        <n v="3581" u="1"/>
        <n v="2485" u="1"/>
        <n v="5301" u="1"/>
        <n v="5344" u="1"/>
        <n v="3624" u="1"/>
        <n v="2528" u="1"/>
        <n v="1740" u="1"/>
        <n v="1192" u="1"/>
        <n v="834" u="1"/>
        <n v="5387" u="1"/>
        <n v="560" u="1"/>
        <n v="399" u="1"/>
        <n v="262" u="1"/>
        <n v="125" u="1"/>
        <n v="5430" u="1"/>
        <n v="3667" u="1"/>
        <n v="2571" u="1"/>
        <n v="29" u="1"/>
        <n v="5473" u="1"/>
        <n v="5516" u="1"/>
        <n v="3710" u="1"/>
        <n v="2614" u="1"/>
        <n v="1783" u="1"/>
        <n v="1235" u="1"/>
        <n v="5559" u="1"/>
        <n v="5602" u="1"/>
        <n v="3753" u="1"/>
        <n v="2657" u="1"/>
        <n v="5645" u="1"/>
        <n v="5688" u="1"/>
        <n v="3796" u="1"/>
        <n v="2700" u="1"/>
        <n v="1826" u="1"/>
        <n v="1278" u="1"/>
        <n v="877" u="1"/>
        <n v="5731" u="1"/>
        <n v="603" u="1"/>
        <n v="5774" u="1"/>
        <n v="3839" u="1"/>
        <n v="2743" u="1"/>
        <n v="5817" u="1"/>
        <n v="5860" u="1"/>
        <n v="3882" u="1"/>
        <n v="2786" u="1"/>
        <n v="1869" u="1"/>
        <n v="1321" u="1"/>
        <n v="5903" u="1"/>
        <n v="5946" u="1"/>
        <n v="3925" u="1"/>
        <n v="2829" u="1"/>
        <n v="5989" u="1"/>
        <n v="6032" u="1"/>
        <n v="3968" u="1"/>
        <n v="2872" u="1"/>
        <n v="1912" u="1"/>
        <n v="1364" u="1"/>
        <n v="920" u="1"/>
        <n v="6075" u="1"/>
        <n v="646" u="1"/>
        <n v="442" u="1"/>
        <n v="305" u="1"/>
        <n v="212" u="1"/>
        <n v="4011" u="1"/>
        <n v="2915" u="1"/>
        <n v="11" u="1"/>
        <n v="4054" u="1"/>
        <n v="2958" u="1"/>
        <n v="1955" u="1"/>
        <n v="1407" u="1"/>
        <n v="4098" u="1"/>
        <n v="3001" u="1"/>
        <n v="4141" u="1"/>
        <n v="4184" u="1"/>
        <n v="3044" u="1"/>
        <n v="1998" u="1"/>
        <n v="1450" u="1"/>
        <n v="963" u="1"/>
        <n v="6419" u="1"/>
        <n v="689" u="1"/>
        <n v="4227" u="1"/>
        <n v="6462" u="1"/>
        <n v="4270" u="1"/>
        <n v="3087" u="1"/>
        <n v="6505" u="1"/>
        <n v="4313" u="1"/>
        <n v="6548" u="1"/>
        <n v="4356" u="1"/>
        <n v="3130" u="1"/>
        <n v="2041" u="1"/>
        <n v="1493" u="1"/>
        <n v="6591" u="1"/>
        <n v="4399" u="1"/>
        <n v="6634" u="1"/>
        <n v="4442" u="1"/>
        <n v="3173" u="1"/>
        <n v="2077" u="1"/>
        <n v="6677" u="1"/>
        <n v="4485" u="1"/>
        <n v="6720" u="1"/>
        <n v="4528" u="1"/>
        <n v="3216" u="1"/>
        <n v="2120" u="1"/>
        <n v="1536" u="1"/>
        <n v="1006" u="1"/>
        <n v="6763" u="1"/>
        <n v="732" u="1"/>
        <n v="4571" u="1"/>
        <n v="485" u="1"/>
        <n v="348" u="1"/>
        <n v="165" u="1"/>
        <n v="6806" u="1"/>
        <n v="4614" u="1"/>
        <n v="78" u="1"/>
        <n v="3259" u="1"/>
        <n v="2163" u="1"/>
        <n v="6849" u="1"/>
        <n v="4657" u="1"/>
        <n v="6892" u="1"/>
        <n v="4700" u="1"/>
        <n v="3302" u="1"/>
        <n v="2206" u="1"/>
        <n v="1579" u="1"/>
        <n v="1031" u="1"/>
        <n v="6935" u="1"/>
        <n v="4743" u="1"/>
        <n v="6978" u="1"/>
        <n v="4786" u="1"/>
        <n v="3345" u="1"/>
        <n v="2249" u="1"/>
        <n v="7021" u="1"/>
        <n v="4829" u="1"/>
        <n v="7064" u="1"/>
        <n v="4872" u="1"/>
        <n v="3388" u="1"/>
        <n v="2292" u="1"/>
        <n v="1622" u="1"/>
        <n v="1074" u="1"/>
        <n v="7107" u="1"/>
        <n v="775" u="1"/>
        <n v="4915" u="1"/>
        <n v="7150" u="1"/>
        <n v="4958" u="1"/>
        <n v="3431" u="1"/>
        <n v="2335" u="1"/>
        <n v="7193" u="1"/>
        <n v="5001" u="1"/>
        <n v="5044" u="1"/>
        <n v="3474" u="1"/>
        <n v="2378" u="1"/>
        <n v="1665" u="1"/>
        <n v="1117" u="1"/>
        <n v="5087" u="1"/>
        <n v="5130" u="1"/>
        <n v="3517" u="1"/>
        <n v="2421" u="1"/>
        <n v="5173" u="1"/>
        <n v="5216" u="1"/>
        <n v="3560" u="1"/>
        <n v="2464" u="1"/>
        <n v="1708" u="1"/>
        <n v="1160" u="1"/>
        <n v="818" u="1"/>
        <n v="5259" u="1"/>
        <n v="544" u="1"/>
        <n v="391" u="1"/>
        <n v="255" u="1"/>
        <n v="123" u="1"/>
        <n v="5302" u="1"/>
        <n v="3603" u="1"/>
        <n v="2507" u="1"/>
        <n v="5345" u="1"/>
        <n v="5388" u="1"/>
        <n v="3646" u="1"/>
        <n v="2550" u="1"/>
        <n v="1751" u="1"/>
        <n v="1203" u="1"/>
        <n v="5431" u="1"/>
        <n v="5474" u="1"/>
        <n v="3689" u="1"/>
        <n v="2593" u="1"/>
        <n v="5517" u="1"/>
        <n v="5560" u="1"/>
        <n v="3732" u="1"/>
        <n v="2636" u="1"/>
        <n v="1794" u="1"/>
        <n v="1246" u="1"/>
        <n v="861" u="1"/>
        <n v="5603" u="1"/>
        <n v="587" u="1"/>
        <n v="5646" u="1"/>
        <n v="3775" u="1"/>
        <n v="2679" u="1"/>
        <n v="5689" u="1"/>
        <n v="5732" u="1"/>
        <n v="3818" u="1"/>
        <n v="2722" u="1"/>
        <n v="1837" u="1"/>
        <n v="1289" u="1"/>
        <n v="5775" u="1"/>
        <n v="5818" u="1"/>
        <n v="3861" u="1"/>
        <n v="2765" u="1"/>
        <n v="5861" u="1"/>
        <n v="5904" u="1"/>
        <n v="3904" u="1"/>
        <n v="2808" u="1"/>
        <n v="1880" u="1"/>
        <n v="1332" u="1"/>
        <n v="904" u="1"/>
        <n v="5947" u="1"/>
        <n v="630" u="1"/>
        <n v="434" u="1"/>
        <n v="297" u="1"/>
        <n v="208" u="1"/>
        <n v="5990" u="1"/>
        <n v="3947" u="1"/>
        <n v="2851" u="1"/>
        <n v="6033" u="1"/>
        <n v="6076" u="1"/>
        <n v="3990" u="1"/>
        <n v="2894" u="1"/>
        <n v="1923" u="1"/>
        <n v="1375" u="1"/>
        <n v="4033" u="1"/>
        <n v="2937" u="1"/>
        <n v="4076" u="1"/>
        <n v="2980" u="1"/>
        <n v="1966" u="1"/>
        <n v="1418" u="1"/>
        <n v="947" u="1"/>
        <n v="673" u="1"/>
        <n v="4099" u="1"/>
        <n v="4142" u="1"/>
        <n v="3023" u="1"/>
        <n v="4185" u="1"/>
        <n v="6420" u="1"/>
        <n v="4228" u="1"/>
        <n v="3066" u="1"/>
        <n v="2009" u="1"/>
        <n v="1461" u="1"/>
        <n v="6463" u="1"/>
        <n v="4271" u="1"/>
        <n v="6506" u="1"/>
        <n v="4314" u="1"/>
        <n v="3109" u="1"/>
        <n v="6549" u="1"/>
        <n v="4357" u="1"/>
        <n v="6592" u="1"/>
        <n v="4400" u="1"/>
        <n v="3152" u="1"/>
        <n v="2056" u="1"/>
        <n v="1504" u="1"/>
        <n v="990" u="1"/>
        <n v="6635" u="1"/>
        <n v="716" u="1"/>
        <n v="4443" u="1"/>
        <n v="477" u="1"/>
        <n v="340" u="1"/>
        <n v="161" u="1"/>
        <n v="6678" u="1"/>
        <n v="4486" u="1"/>
        <n v="76" u="1"/>
        <n v="3195" u="1"/>
        <n v="2099" u="1"/>
        <n v="6721" u="1"/>
        <n v="4529" u="1"/>
        <n v="6764" u="1"/>
        <n v="4572" u="1"/>
        <n v="3238" u="1"/>
        <n v="2142" u="1"/>
        <n v="1547" u="1"/>
        <n v="6807" u="1"/>
        <n v="4615" u="1"/>
        <n v="6850" u="1"/>
        <n v="4658" u="1"/>
        <n v="3281" u="1"/>
        <n v="2185" u="1"/>
        <n v="6893" u="1"/>
        <n v="4701" u="1"/>
        <n v="6936" u="1"/>
        <n v="4744" u="1"/>
        <n v="3324" u="1"/>
        <n v="2228" u="1"/>
        <n v="1590" u="1"/>
        <n v="1042" u="1"/>
        <n v="6979" u="1"/>
        <n v="759" u="1"/>
        <n v="4787" u="1"/>
        <n v="7022" u="1"/>
        <n v="4830" u="1"/>
        <n v="3367" u="1"/>
        <n v="2271" u="1"/>
        <n v="7065" u="1"/>
        <n v="4873" u="1"/>
        <n v="7108" u="1"/>
        <n v="4916" u="1"/>
        <n v="3410" u="1"/>
        <n v="2314" u="1"/>
        <n v="1633" u="1"/>
        <n v="1085" u="1"/>
        <n v="7151" u="1"/>
        <n v="4959" u="1"/>
        <n v="7194" u="1"/>
        <n v="5002" u="1"/>
        <n v="3453" u="1"/>
        <n v="2357" u="1"/>
        <n v="5045" u="1"/>
        <n v="5088" u="1"/>
        <n v="3496" u="1"/>
        <n v="2400" u="1"/>
        <n v="1676" u="1"/>
        <n v="1128" u="1"/>
        <n v="802" u="1"/>
        <n v="5131" u="1"/>
        <n v="528" u="1"/>
        <n v="383" u="1"/>
        <n v="251" u="1"/>
        <n v="121" u="1"/>
        <n v="5174" u="1"/>
        <n v="3539" u="1"/>
        <n v="2443" u="1"/>
        <n v="28" u="1"/>
        <n v="5217" u="1"/>
        <n v="5260" u="1"/>
        <n v="3582" u="1"/>
        <n v="2486" u="1"/>
        <n v="1719" u="1"/>
        <n v="1171" u="1"/>
        <n v="5303" u="1"/>
        <n v="5346" u="1"/>
        <n v="3625" u="1"/>
        <n v="2529" u="1"/>
        <n v="5389" u="1"/>
        <n v="5432" u="1"/>
        <n v="3668" u="1"/>
        <n v="2572" u="1"/>
        <n v="1762" u="1"/>
        <n v="1214" u="1"/>
        <n v="845" u="1"/>
        <n v="5475" u="1"/>
        <n v="571" u="1"/>
        <n v="5518" u="1"/>
        <n v="3711" u="1"/>
        <n v="2615" u="1"/>
        <n v="5561" u="1"/>
        <n v="5604" u="1"/>
        <n v="3754" u="1"/>
        <n v="2658" u="1"/>
        <n v="1805" u="1"/>
        <n v="1257" u="1"/>
        <n v="5647" u="1"/>
        <n v="5690" u="1"/>
        <n v="3797" u="1"/>
        <n v="2701" u="1"/>
        <n v="5733" u="1"/>
        <n v="5776" u="1"/>
        <n v="3840" u="1"/>
        <n v="2744" u="1"/>
        <n v="1848" u="1"/>
        <n v="1300" u="1"/>
        <n v="888" u="1"/>
        <n v="5819" u="1"/>
        <n v="614" u="1"/>
        <n v="426" u="1"/>
        <n v="289" u="1"/>
        <n v="204" u="1"/>
        <n v="5862" u="1"/>
        <n v="3883" u="1"/>
        <n v="2787" u="1"/>
        <n v="5905" u="1"/>
        <n v="5948" u="1"/>
        <n v="3926" u="1"/>
        <n v="2830" u="1"/>
        <n v="1891" u="1"/>
        <n v="1343" u="1"/>
        <n v="5991" u="1"/>
        <n v="6034" u="1"/>
        <n v="3969" u="1"/>
        <n v="2873" u="1"/>
        <n v="6077" u="1"/>
        <n v="4012" u="1"/>
        <n v="2916" u="1"/>
        <n v="1934" u="1"/>
        <n v="1386" u="1"/>
        <n v="931" u="1"/>
        <n v="657" u="1"/>
        <n v="4055" u="1"/>
        <n v="2959" u="1"/>
        <n v="4100" u="1"/>
        <n v="3002" u="1"/>
        <n v="1977" u="1"/>
        <n v="1429" u="1"/>
        <n v="4143" u="1"/>
        <n v="4186" u="1"/>
        <n v="3045" u="1"/>
        <n v="6421" u="1"/>
        <n v="4229" u="1"/>
        <n v="6464" u="1"/>
        <n v="4272" u="1"/>
        <n v="3088" u="1"/>
        <n v="2020" u="1"/>
        <n v="1472" u="1"/>
        <n v="974" u="1"/>
        <n v="6507" u="1"/>
        <n v="700" u="1"/>
        <n v="4315" u="1"/>
        <n v="469" u="1"/>
        <n v="332" u="1"/>
        <n v="157" u="1"/>
        <n v="6550" u="1"/>
        <n v="4358" u="1"/>
        <n v="74" u="1"/>
        <n v="3131" u="1"/>
        <n v="6593" u="1"/>
        <n v="4401" u="1"/>
        <n v="6636" u="1"/>
        <n v="4444" u="1"/>
        <n v="3174" u="1"/>
        <n v="2078" u="1"/>
        <n v="1515" u="1"/>
        <n v="6679" u="1"/>
        <n v="4487" u="1"/>
        <n v="6722" u="1"/>
        <n v="4530" u="1"/>
        <n v="3217" u="1"/>
        <n v="2121" u="1"/>
        <n v="6765" u="1"/>
        <n v="4573" u="1"/>
        <n v="6808" u="1"/>
        <n v="4616" u="1"/>
        <n v="3260" u="1"/>
        <n v="2164" u="1"/>
        <n v="1558" u="1"/>
        <n v="1017" u="1"/>
        <n v="6851" u="1"/>
        <n v="743" u="1"/>
        <n v="4659" u="1"/>
        <n v="6894" u="1"/>
        <n v="4702" u="1"/>
        <n v="3303" u="1"/>
        <n v="2207" u="1"/>
        <n v="6937" u="1"/>
        <n v="4745" u="1"/>
        <n v="6980" u="1"/>
        <n v="4788" u="1"/>
        <n v="3346" u="1"/>
        <n v="2250" u="1"/>
        <n v="1601" u="1"/>
        <n v="1053" u="1"/>
        <n v="7023" u="1"/>
        <n v="4831" u="1"/>
        <n v="7066" u="1"/>
        <n v="4874" u="1"/>
        <n v="3389" u="1"/>
        <n v="2293" u="1"/>
        <n v="7109" u="1"/>
        <n v="4917" u="1"/>
        <n v="7152" u="1"/>
        <n v="4960" u="1"/>
        <n v="3432" u="1"/>
        <n v="2336" u="1"/>
        <n v="1644" u="1"/>
        <n v="1096" u="1"/>
        <n v="7195" u="1"/>
        <n v="786" u="1"/>
        <n v="5003" u="1"/>
        <n v="512" u="1"/>
        <n v="375" u="1"/>
        <n v="247" u="1"/>
        <n v="119" u="1"/>
        <n v="5046" u="1"/>
        <n v="3475" u="1"/>
        <n v="2379" u="1"/>
        <n v="5089" u="1"/>
        <n v="5132" u="1"/>
        <n v="3518" u="1"/>
        <n v="2422" u="1"/>
        <n v="1687" u="1"/>
        <n v="1139" u="1"/>
        <n v="5175" u="1"/>
        <n v="5218" u="1"/>
        <n v="3561" u="1"/>
        <n v="2465" u="1"/>
        <n v="5261" u="1"/>
        <n v="5304" u="1"/>
        <n v="3604" u="1"/>
        <n v="2508" u="1"/>
        <n v="1730" u="1"/>
        <n v="1182" u="1"/>
        <n v="829" u="1"/>
        <n v="5347" u="1"/>
        <n v="555" u="1"/>
        <n v="5390" u="1"/>
        <n v="3647" u="1"/>
        <n v="2551" u="1"/>
        <n v="5433" u="1"/>
        <n v="5476" u="1"/>
        <n v="3690" u="1"/>
        <n v="2594" u="1"/>
        <n v="1773" u="1"/>
        <n v="1225" u="1"/>
        <n v="5519" u="1"/>
        <n v="5562" u="1"/>
        <n v="3733" u="1"/>
        <n v="2637" u="1"/>
        <n v="5605" u="1"/>
        <n v="5648" u="1"/>
        <n v="3776" u="1"/>
        <n v="2680" u="1"/>
        <n v="1816" u="1"/>
        <n v="1268" u="1"/>
        <n v="872" u="1"/>
        <n v="5691" u="1"/>
        <n v="598" u="1"/>
        <n v="418" u="1"/>
        <n v="281" u="1"/>
        <n v="200" u="1"/>
        <n v="5734" u="1"/>
        <n v="3819" u="1"/>
        <n v="2723" u="1"/>
        <n v="5777" u="1"/>
        <n v="5820" u="1"/>
        <n v="3862" u="1"/>
        <n v="2766" u="1"/>
        <n v="1859" u="1"/>
        <n v="1311" u="1"/>
        <n v="5863" u="1"/>
        <n v="5906" u="1"/>
        <n v="3905" u="1"/>
        <n v="2809" u="1"/>
        <n v="5949" u="1"/>
        <n v="5992" u="1"/>
        <n v="3948" u="1"/>
        <n v="2852" u="1"/>
        <n v="1902" u="1"/>
        <n v="1354" u="1"/>
        <n v="915" u="1"/>
        <n v="6035" u="1"/>
        <n v="641" u="1"/>
        <n v="6078" u="1"/>
        <n v="3991" u="1"/>
        <n v="2895" u="1"/>
        <n v="4034" u="1"/>
        <n v="2938" u="1"/>
        <n v="1945" u="1"/>
        <n v="1397" u="1"/>
        <n v="4077" u="1"/>
        <n v="2981" u="1"/>
        <n v="4101" u="1"/>
        <n v="4144" u="1"/>
        <n v="3024" u="1"/>
        <n v="1988" u="1"/>
        <n v="1440" u="1"/>
        <n v="958" u="1"/>
        <n v="684" u="1"/>
        <n v="4187" u="1"/>
        <n v="461" u="1"/>
        <n v="324" u="1"/>
        <n v="153" u="1"/>
        <n v="6422" u="1"/>
        <n v="4230" u="1"/>
        <n v="72" u="1"/>
        <n v="3067" u="1"/>
        <n v="6465" u="1"/>
        <n v="4273" u="1"/>
        <n v="6508" u="1"/>
        <n v="4316" u="1"/>
        <n v="3110" u="1"/>
        <n v="2031" u="1"/>
        <n v="1483" u="1"/>
        <n v="6551" u="1"/>
        <n v="4359" u="1"/>
        <n v="6594" u="1"/>
        <n v="4402" u="1"/>
        <n v="3153" u="1"/>
        <n v="2057" u="1"/>
        <n v="6637" u="1"/>
        <n v="4445" u="1"/>
        <n v="6680" u="1"/>
        <n v="4488" u="1"/>
        <n v="3196" u="1"/>
        <n v="2100" u="1"/>
        <n v="1526" u="1"/>
        <n v="1001" u="1"/>
        <n v="6723" u="1"/>
        <n v="727" u="1"/>
        <n v="4531" u="1"/>
        <n v="6766" u="1"/>
        <n v="4574" u="1"/>
        <n v="3239" u="1"/>
        <n v="2143" u="1"/>
        <n v="6809" u="1"/>
        <n v="4617" u="1"/>
        <n v="6852" u="1"/>
        <n v="4660" u="1"/>
        <n v="3282" u="1"/>
        <n v="2186" u="1"/>
        <n v="1569" u="1"/>
        <n v="6895" u="1"/>
        <n v="4703" u="1"/>
        <n v="6938" u="1"/>
        <n v="4746" u="1"/>
        <n v="3325" u="1"/>
        <n v="2229" u="1"/>
        <n v="6981" u="1"/>
        <n v="4789" u="1"/>
        <n v="7024" u="1"/>
        <n v="4832" u="1"/>
        <n v="3368" u="1"/>
        <n v="2272" u="1"/>
        <n v="1612" u="1"/>
        <n v="1064" u="1"/>
        <n v="7067" u="1"/>
        <n v="770" u="1"/>
        <n v="4875" u="1"/>
        <n v="504" u="1"/>
        <n v="367" u="1"/>
        <n v="243" u="1"/>
        <n v="7110" u="1"/>
        <n v="117" u="1"/>
        <n v="4918" u="1"/>
        <n v="3411" u="1"/>
        <n v="2315" u="1"/>
        <n v="27" u="1"/>
        <n v="7153" u="1"/>
        <n v="4961" u="1"/>
        <n v="7196" u="1"/>
        <n v="5004" u="1"/>
        <n v="3454" u="1"/>
        <n v="2358" u="1"/>
        <n v="1655" u="1"/>
        <n v="1107" u="1"/>
        <n v="5047" u="1"/>
        <n v="5090" u="1"/>
        <n v="3497" u="1"/>
        <n v="2401" u="1"/>
        <n v="5133" u="1"/>
        <n v="5176" u="1"/>
        <n v="3540" u="1"/>
        <n v="2444" u="1"/>
        <n v="1698" u="1"/>
        <n v="1150" u="1"/>
        <n v="813" u="1"/>
        <n v="5219" u="1"/>
        <n v="539" u="1"/>
        <n v="5262" u="1"/>
        <n v="3583" u="1"/>
        <n v="2487" u="1"/>
        <n v="5305" u="1"/>
        <n v="5348" u="1"/>
        <n v="3626" u="1"/>
        <n v="2530" u="1"/>
        <n v="1741" u="1"/>
        <n v="1193" u="1"/>
        <n v="5391" u="1"/>
        <n v="5434" u="1"/>
        <n v="3669" u="1"/>
        <n v="2573" u="1"/>
        <n v="5477" u="1"/>
        <n v="5520" u="1"/>
        <n v="3712" u="1"/>
        <n v="2616" u="1"/>
        <n v="1784" u="1"/>
        <n v="1236" u="1"/>
        <n v="856" u="1"/>
        <n v="5563" u="1"/>
        <n v="582" u="1"/>
        <n v="410" u="1"/>
        <n v="273" u="1"/>
        <n v="196" u="1"/>
        <n v="5606" u="1"/>
        <n v="3755" u="1"/>
        <n v="2659" u="1"/>
        <n v="5649" u="1"/>
        <n v="10" u="1"/>
        <n v="5692" u="1"/>
        <n v="3798" u="1"/>
        <n v="2702" u="1"/>
        <n v="1827" u="1"/>
        <n v="1279" u="1"/>
        <n v="5735" u="1"/>
        <n v="5778" u="1"/>
        <n v="3841" u="1"/>
        <n v="2745" u="1"/>
        <n v="5821" u="1"/>
        <n v="5864" u="1"/>
        <n v="3884" u="1"/>
        <n v="2788" u="1"/>
        <n v="1870" u="1"/>
        <n v="1322" u="1"/>
        <n v="899" u="1"/>
        <n v="5907" u="1"/>
        <n v="625" u="1"/>
        <n v="5950" u="1"/>
        <n v="3927" u="1"/>
        <n v="2831" u="1"/>
        <n v="5993" u="1"/>
        <n v="6036" u="1"/>
        <n v="3970" u="1"/>
        <n v="2874" u="1"/>
        <n v="1913" u="1"/>
        <n v="1365" u="1"/>
        <n v="6079" u="1"/>
        <n v="4013" u="1"/>
        <n v="2917" u="1"/>
        <n v="4056" u="1"/>
        <n v="2960" u="1"/>
        <n v="1956" u="1"/>
        <n v="1408" u="1"/>
        <n v="942" u="1"/>
        <n v="668" u="1"/>
        <n v="453" u="1"/>
        <n v="316" u="1"/>
        <n v="149" u="1"/>
        <n v="4102" u="1"/>
        <n v="70" u="1"/>
        <n v="3003" u="1"/>
        <n v="4145" u="1"/>
        <n v="4188" u="1"/>
        <n v="3046" u="1"/>
        <n v="1999" u="1"/>
        <n v="1451" u="1"/>
        <n v="6423" u="1"/>
        <n v="4231" u="1"/>
        <n v="6466" u="1"/>
        <n v="4274" u="1"/>
        <n v="3089" u="1"/>
        <n v="6509" u="1"/>
        <n v="4317" u="1"/>
        <n v="6552" u="1"/>
        <n v="4360" u="1"/>
        <n v="3132" u="1"/>
        <n v="2042" u="1"/>
        <n v="1494" u="1"/>
        <n v="985" u="1"/>
        <n v="6595" u="1"/>
        <n v="711" u="1"/>
        <n v="4403" u="1"/>
        <n v="6638" u="1"/>
        <n v="4446" u="1"/>
        <n v="3175" u="1"/>
        <n v="2079" u="1"/>
        <n v="6681" u="1"/>
        <n v="4489" u="1"/>
        <n v="6724" u="1"/>
        <n v="4532" u="1"/>
        <n v="3218" u="1"/>
        <n v="2122" u="1"/>
        <n v="1537" u="1"/>
        <n v="6767" u="1"/>
        <n v="4575" u="1"/>
        <n v="6810" u="1"/>
        <n v="4618" u="1"/>
        <n v="3261" u="1"/>
        <n v="2165" u="1"/>
        <n v="6853" u="1"/>
        <n v="4661" u="1"/>
        <n v="6896" u="1"/>
        <n v="4704" u="1"/>
        <n v="3304" u="1"/>
        <n v="2208" u="1"/>
        <n v="1580" u="1"/>
        <n v="1032" u="1"/>
        <n v="6939" u="1"/>
        <n v="754" u="1"/>
        <n v="4747" u="1"/>
        <n v="496" u="1"/>
        <n v="359" u="1"/>
        <n v="239" u="1"/>
        <n v="6982" u="1"/>
        <n v="115" u="1"/>
        <n v="4790" u="1"/>
        <n v="3347" u="1"/>
        <n v="2251" u="1"/>
        <n v="7025" u="1"/>
        <n v="4833" u="1"/>
        <n v="7068" u="1"/>
        <n v="4876" u="1"/>
        <n v="3390" u="1"/>
        <n v="2294" u="1"/>
        <n v="1623" u="1"/>
        <n v="1075" u="1"/>
        <n v="7111" u="1"/>
        <n v="4919" u="1"/>
        <n v="7154" u="1"/>
        <n v="4962" u="1"/>
        <n v="3433" u="1"/>
        <n v="2337" u="1"/>
        <n v="7197" u="1"/>
        <n v="5005" u="1"/>
        <n v="5048" u="1"/>
        <n v="3476" u="1"/>
        <n v="2380" u="1"/>
        <n v="1666" u="1"/>
        <n v="1118" u="1"/>
        <n v="797" u="1"/>
        <n v="5091" u="1"/>
        <n v="523" u="1"/>
        <n v="5134" u="1"/>
        <n v="3519" u="1"/>
        <n v="2423" u="1"/>
        <n v="5177" u="1"/>
        <n v="5220" u="1"/>
        <n v="3562" u="1"/>
        <n v="2466" u="1"/>
        <n v="1709" u="1"/>
        <n v="1161" u="1"/>
        <n v="5263" u="1"/>
        <n v="5306" u="1"/>
        <n v="3605" u="1"/>
        <n v="2509" u="1"/>
        <n v="5349" u="1"/>
        <n v="5392" u="1"/>
        <n v="3648" u="1"/>
        <n v="2552" u="1"/>
        <n v="1752" u="1"/>
        <n v="1204" u="1"/>
        <n v="840" u="1"/>
        <n v="5435" u="1"/>
        <n v="566" u="1"/>
        <n v="402" u="1"/>
        <n v="265" u="1"/>
        <n v="192" u="1"/>
        <n v="5478" u="1"/>
        <n v="3691" u="1"/>
        <n v="2595" u="1"/>
        <n v="5521" u="1"/>
        <n v="5564" u="1"/>
        <n v="3734" u="1"/>
        <n v="2638" u="1"/>
        <n v="1795" u="1"/>
        <n v="1247" u="1"/>
        <n v="5607" u="1"/>
        <n v="5650" u="1"/>
        <n v="3777" u="1"/>
        <n v="2681" u="1"/>
        <n v="5693" u="1"/>
        <n v="5736" u="1"/>
        <n v="3820" u="1"/>
        <n v="2724" u="1"/>
        <n v="1838" u="1"/>
        <n v="1290" u="1"/>
        <n v="883" u="1"/>
        <n v="5779" u="1"/>
        <n v="609" u="1"/>
        <n v="5822" u="1"/>
        <n v="3863" u="1"/>
        <n v="2767" u="1"/>
        <n v="5865" u="1"/>
        <n v="5908" u="1"/>
        <n v="3906" u="1"/>
        <n v="2810" u="1"/>
        <n v="1881" u="1"/>
        <n v="1333" u="1"/>
        <n v="5951" u="1"/>
        <n v="5994" u="1"/>
        <n v="3949" u="1"/>
        <n v="2853" u="1"/>
        <n v="6037" u="1"/>
        <n v="6080" u="1"/>
        <n v="3992" u="1"/>
        <n v="2896" u="1"/>
        <n v="1924" u="1"/>
        <n v="1376" u="1"/>
        <n v="926" u="1"/>
        <n v="652" u="1"/>
        <n v="445" u="1"/>
        <n v="308" u="1"/>
        <n v="145" u="1"/>
        <n v="4035" u="1"/>
        <n v="68" u="1"/>
        <n v="2939" u="1"/>
        <n v="4078" u="1"/>
        <n v="2982" u="1"/>
        <n v="1967" u="1"/>
        <n v="1419" u="1"/>
        <n v="4103" u="1"/>
        <n v="4146" u="1"/>
        <n v="3025" u="1"/>
        <n v="4189" u="1"/>
        <n v="6424" u="1"/>
        <n v="4232" u="1"/>
        <n v="3068" u="1"/>
        <n v="2010" u="1"/>
        <n v="1462" u="1"/>
        <n v="969" u="1"/>
        <n v="6467" u="1"/>
        <n v="695" u="1"/>
        <n v="4275" u="1"/>
        <n v="6510" u="1"/>
        <n v="4318" u="1"/>
        <n v="3111" u="1"/>
        <n v="6553" u="1"/>
        <n v="4361" u="1"/>
        <n v="6596" u="1"/>
        <n v="4404" u="1"/>
        <n v="3154" u="1"/>
        <n v="2058" u="1"/>
        <n v="1505" u="1"/>
        <n v="6639" u="1"/>
        <n v="4447" u="1"/>
        <n v="6682" u="1"/>
        <n v="4490" u="1"/>
        <n v="3197" u="1"/>
        <n v="2101" u="1"/>
        <n v="6725" u="1"/>
        <n v="4533" u="1"/>
        <n v="6768" u="1"/>
        <n v="4576" u="1"/>
        <n v="3240" u="1"/>
        <n v="2144" u="1"/>
        <n v="1548" u="1"/>
        <n v="1012" u="1"/>
        <n v="6811" u="1"/>
        <n v="738" u="1"/>
        <n v="4619" u="1"/>
        <n v="488" u="1"/>
        <n v="351" u="1"/>
        <n v="235" u="1"/>
        <n v="6854" u="1"/>
        <n v="113" u="1"/>
        <n v="4662" u="1"/>
        <n v="3283" u="1"/>
        <n v="2187" u="1"/>
        <n v="26" u="1"/>
        <n v="6897" u="1"/>
        <n v="4705" u="1"/>
        <n v="6940" u="1"/>
        <n v="4748" u="1"/>
        <n v="3326" u="1"/>
        <n v="2230" u="1"/>
        <n v="1591" u="1"/>
        <n v="1043" u="1"/>
        <n v="6983" u="1"/>
        <n v="4791" u="1"/>
        <n v="7026" u="1"/>
        <n v="4834" u="1"/>
        <n v="3369" u="1"/>
        <n v="2273" u="1"/>
        <n v="7069" u="1"/>
        <n v="4877" u="1"/>
        <n v="7112" u="1"/>
        <n v="4920" u="1"/>
        <n v="3412" u="1"/>
        <n v="2316" u="1"/>
        <n v="1634" u="1"/>
        <n v="1086" u="1"/>
        <n v="7155" u="1"/>
        <n v="781" u="1"/>
        <n v="4963" u="1"/>
        <n v="7198" u="1"/>
        <n v="5006" u="1"/>
        <n v="3455" u="1"/>
        <n v="2359" u="1"/>
        <n v="5049" u="1"/>
        <n v="5092" u="1"/>
        <n v="3498" u="1"/>
        <n v="2402" u="1"/>
        <n v="1677" u="1"/>
        <n v="1129" u="1"/>
        <n v="5135" u="1"/>
        <n v="5178" u="1"/>
        <n v="3541" u="1"/>
        <n v="2445" u="1"/>
        <n v="5221" u="1"/>
        <n v="5264" u="1"/>
        <n v="3584" u="1"/>
        <n v="2488" u="1"/>
        <n v="1720" u="1"/>
        <n v="1172" u="1"/>
        <n v="824" u="1"/>
        <n v="5307" u="1"/>
        <n v="550" u="1"/>
        <n v="394" u="1"/>
        <n v="257" u="1"/>
        <n v="188" u="1"/>
        <n v="5350" u="1"/>
        <n v="3627" u="1"/>
        <n v="2531" u="1"/>
        <n v="5393" u="1"/>
        <n v="5436" u="1"/>
        <n v="3670" u="1"/>
        <n v="2574" u="1"/>
        <n v="1763" u="1"/>
        <n v="1215" u="1"/>
        <n v="5479" u="1"/>
        <n v="5522" u="1"/>
        <n v="3713" u="1"/>
        <n v="2617" u="1"/>
        <n v="5565" u="1"/>
        <n v="5608" u="1"/>
        <n v="3756" u="1"/>
        <n v="2660" u="1"/>
        <n v="1806" u="1"/>
        <n v="1258" u="1"/>
        <n v="867" u="1"/>
        <n v="5651" u="1"/>
        <n v="593" u="1"/>
        <n v="5694" u="1"/>
        <n v="3799" u="1"/>
        <n v="2703" u="1"/>
        <n v="5737" u="1"/>
        <n v="5780" u="1"/>
        <n v="3842" u="1"/>
        <n v="2746" u="1"/>
        <n v="1849" u="1"/>
        <n v="1301" u="1"/>
        <n v="5823" u="1"/>
        <n v="5866" u="1"/>
        <n v="3885" u="1"/>
        <n v="2789" u="1"/>
        <n v="5909" u="1"/>
        <n v="5952" u="1"/>
        <n v="3928" u="1"/>
        <n v="2832" u="1"/>
        <n v="1892" u="1"/>
        <n v="1344" u="1"/>
        <n v="910" u="1"/>
        <n v="5995" u="1"/>
        <n v="636" u="1"/>
        <n v="437" u="1"/>
        <n v="300" u="1"/>
        <n v="141" u="1"/>
        <n v="6038" u="1"/>
        <n v="3971" u="1"/>
        <n v="66" u="1"/>
        <n v="2875" u="1"/>
        <n v="6081" u="1"/>
        <n v="4014" u="1"/>
        <n v="2918" u="1"/>
        <n v="1935" u="1"/>
        <n v="1387" u="1"/>
        <n v="4057" u="1"/>
        <n v="2961" u="1"/>
        <n v="4104" u="1"/>
        <n v="3004" u="1"/>
        <n v="1978" u="1"/>
        <n v="1430" u="1"/>
        <n v="953" u="1"/>
        <n v="679" u="1"/>
        <n v="4147" u="1"/>
        <n v="4190" u="1"/>
        <n v="3047" u="1"/>
        <n v="6425" u="1"/>
        <n v="4233" u="1"/>
        <n v="6468" u="1"/>
        <n v="4276" u="1"/>
        <n v="3090" u="1"/>
        <n v="2021" u="1"/>
        <n v="1473" u="1"/>
        <n v="6511" u="1"/>
        <n v="4319" u="1"/>
        <n v="6554" u="1"/>
        <n v="4362" u="1"/>
        <n v="3133" u="1"/>
        <n v="6597" u="1"/>
        <n v="4405" u="1"/>
        <n v="6640" u="1"/>
        <n v="4448" u="1"/>
        <n v="3176" u="1"/>
        <n v="2080" u="1"/>
        <n v="1516" u="1"/>
        <n v="996" u="1"/>
        <n v="6683" u="1"/>
        <n v="722" u="1"/>
        <n v="4491" u="1"/>
        <n v="480" u="1"/>
        <n v="343" u="1"/>
        <n v="231" u="1"/>
        <n v="6726" u="1"/>
        <n v="111" u="1"/>
        <n v="4534" u="1"/>
        <n v="3219" u="1"/>
        <n v="2123" u="1"/>
        <n v="6769" u="1"/>
        <n v="4577" u="1"/>
        <n v="6812" u="1"/>
        <n v="4620" u="1"/>
        <n v="3262" u="1"/>
        <n v="2166" u="1"/>
        <n v="1559" u="1"/>
        <n v="6855" u="1"/>
        <n v="4663" u="1"/>
        <n v="6898" u="1"/>
        <n v="4706" u="1"/>
        <n v="3305" u="1"/>
        <n v="2209" u="1"/>
        <n v="6941" u="1"/>
        <n v="4749" u="1"/>
        <n v="6984" u="1"/>
        <n v="4792" u="1"/>
        <n v="3348" u="1"/>
        <n v="2252" u="1"/>
        <n v="1602" u="1"/>
        <n v="1054" u="1"/>
        <n v="7027" u="1"/>
        <n v="765" u="1"/>
        <n v="4835" u="1"/>
        <n v="7070" u="1"/>
        <n v="4878" u="1"/>
        <n v="3391" u="1"/>
        <n v="2295" u="1"/>
        <n v="7113" u="1"/>
        <n v="4921" u="1"/>
        <n v="7156" u="1"/>
        <n v="4964" u="1"/>
        <n v="3434" u="1"/>
        <n v="2338" u="1"/>
        <n v="1645" u="1"/>
        <n v="1097" u="1"/>
        <n v="7199" u="1"/>
        <n v="5007" u="1"/>
        <n v="5050" u="1"/>
        <n v="3477" u="1"/>
        <n v="2381" u="1"/>
        <n v="5093" u="1"/>
        <n v="5136" u="1"/>
        <n v="3520" u="1"/>
        <n v="2424" u="1"/>
        <n v="1688" u="1"/>
        <n v="1140" u="1"/>
        <n v="808" u="1"/>
        <n v="5179" u="1"/>
        <n v="534" u="1"/>
        <n v="386" u="1"/>
        <n v="184" u="1"/>
        <n v="5222" u="1"/>
        <n v="3563" u="1"/>
        <n v="2467" u="1"/>
        <n v="5265" u="1"/>
        <n v="5308" u="1"/>
        <n v="3606" u="1"/>
        <n v="2510" u="1"/>
        <n v="1731" u="1"/>
        <n v="1183" u="1"/>
        <n v="5351" u="1"/>
        <n v="5394" u="1"/>
        <n v="3649" u="1"/>
        <n v="2553" u="1"/>
        <n v="5437" u="1"/>
        <n v="5480" u="1"/>
        <n v="3692" u="1"/>
        <n v="2596" u="1"/>
        <n v="1774" u="1"/>
        <n v="1226" u="1"/>
        <n v="851" u="1"/>
        <n v="5523" u="1"/>
        <n v="577" u="1"/>
        <n v="5566" u="1"/>
        <n v="3735" u="1"/>
        <n v="2639" u="1"/>
        <n v="5609" u="1"/>
        <n v="5652" u="1"/>
        <n v="3778" u="1"/>
        <n v="2682" u="1"/>
        <n v="1817" u="1"/>
        <n v="1269" u="1"/>
        <n v="5695" u="1"/>
        <n v="5738" u="1"/>
        <n v="3821" u="1"/>
        <n v="2725" u="1"/>
        <n v="5781" u="1"/>
        <n v="5824" u="1"/>
        <n v="3864" u="1"/>
        <n v="2768" u="1"/>
        <n v="1860" u="1"/>
        <n v="1312" u="1"/>
        <n v="894" u="1"/>
        <n v="5867" u="1"/>
        <n v="620" u="1"/>
        <n v="429" u="1"/>
        <n v="292" u="1"/>
        <n v="137" u="1"/>
        <n v="5910" u="1"/>
        <n v="3907" u="1"/>
        <n v="64" u="1"/>
        <n v="2811" u="1"/>
        <n v="5953" u="1"/>
        <n v="5996" u="1"/>
        <n v="3950" u="1"/>
        <n v="2854" u="1"/>
        <n v="1903" u="1"/>
        <n v="1355" u="1"/>
        <n v="6039" u="1"/>
        <n v="6082" u="1"/>
        <n v="3993" u="1"/>
        <n v="2897" u="1"/>
        <n v="4036" u="1"/>
        <n v="2940" u="1"/>
        <n v="1946" u="1"/>
        <n v="1398" u="1"/>
        <n v="937" u="1"/>
        <n v="663" u="1"/>
        <n v="4079" u="1"/>
        <n v="2983" u="1"/>
        <n v="4105" u="1"/>
        <n v="4148" u="1"/>
        <n v="3026" u="1"/>
        <n v="1989" u="1"/>
        <n v="1441" u="1"/>
        <n v="4191" u="1"/>
        <n v="6426" u="1"/>
        <n v="4234" u="1"/>
        <n v="3069" u="1"/>
        <n v="6469" u="1"/>
        <n v="4277" u="1"/>
        <n v="6512" u="1"/>
        <n v="4320" u="1"/>
        <n v="3112" u="1"/>
        <n v="2032" u="1"/>
        <n v="1484" u="1"/>
        <n v="980" u="1"/>
        <n v="6555" u="1"/>
        <n v="706" u="1"/>
        <n v="4363" u="1"/>
        <n v="472" u="1"/>
        <n v="335" u="1"/>
        <n v="227" u="1"/>
        <n v="6598" u="1"/>
        <n v="109" u="1"/>
        <n v="4406" u="1"/>
        <n v="3155" u="1"/>
        <n v="2059" u="1"/>
        <n v="25" u="1"/>
        <n v="6641" u="1"/>
        <n v="4449" u="1"/>
        <n v="6684" u="1"/>
        <n v="4492" u="1"/>
        <n v="3198" u="1"/>
        <n v="2102" u="1"/>
        <n v="1527" u="1"/>
        <n v="6727" u="1"/>
        <n v="4535" u="1"/>
        <n v="6770" u="1"/>
        <n v="4578" u="1"/>
        <n v="3241" u="1"/>
        <n v="2145" u="1"/>
        <n v="6813" u="1"/>
        <n v="4621" u="1"/>
        <n v="6856" u="1"/>
        <n v="4664" u="1"/>
        <n v="3284" u="1"/>
        <n v="2188" u="1"/>
        <n v="1570" u="1"/>
        <n v="1023" u="1"/>
        <n v="6899" u="1"/>
        <n v="749" u="1"/>
        <n v="4707" u="1"/>
        <n v="6942" u="1"/>
        <n v="4750" u="1"/>
        <n v="3327" u="1"/>
        <n v="2231" u="1"/>
        <n v="6985" u="1"/>
        <n v="4793" u="1"/>
        <n v="7028" u="1"/>
        <n v="4836" u="1"/>
        <n v="3370" u="1"/>
        <n v="2274" u="1"/>
        <n v="1613" u="1"/>
        <n v="1065" u="1"/>
        <n v="7071" u="1"/>
        <n v="4879" u="1"/>
        <n v="7114" u="1"/>
        <n v="4922" u="1"/>
        <n v="3413" u="1"/>
        <n v="2317" u="1"/>
        <n v="7157" u="1"/>
        <n v="4965" u="1"/>
        <n v="7200" u="1"/>
        <n v="5008" u="1"/>
        <n v="3456" u="1"/>
        <n v="2360" u="1"/>
        <n v="1656" u="1"/>
        <n v="1108" u="1"/>
        <n v="792" u="1"/>
        <n v="5051" u="1"/>
        <n v="518" u="1"/>
        <n v="378" u="1"/>
        <n v="180" u="1"/>
        <n v="5094" u="1"/>
        <n v="3499" u="1"/>
        <n v="2403" u="1"/>
        <n v="5137" u="1"/>
        <n v="9" u="1"/>
        <n v="5180" u="1"/>
        <n v="3542" u="1"/>
        <n v="2446" u="1"/>
        <n v="1699" u="1"/>
        <n v="1151" u="1"/>
        <n v="5223" u="1"/>
        <n v="5266" u="1"/>
        <n v="3585" u="1"/>
        <n v="2489" u="1"/>
        <n v="5309" u="1"/>
        <n v="5352" u="1"/>
        <n v="3628" u="1"/>
        <n v="2532" u="1"/>
        <n v="1742" u="1"/>
        <n v="1194" u="1"/>
        <n v="835" u="1"/>
        <n v="5395" u="1"/>
        <n v="561" u="1"/>
        <n v="5438" u="1"/>
        <n v="3671" u="1"/>
        <n v="2575" u="1"/>
        <n v="5481" u="1"/>
        <n v="5524" u="1"/>
        <n v="3714" u="1"/>
        <n v="2618" u="1"/>
        <n v="1785" u="1"/>
        <n v="1237" u="1"/>
        <n v="5567" u="1"/>
        <n v="5610" u="1"/>
        <n v="3757" u="1"/>
        <n v="2661" u="1"/>
        <n v="5653" u="1"/>
        <n v="5696" u="1"/>
        <n v="3800" u="1"/>
        <n v="2704" u="1"/>
        <n v="1828" u="1"/>
        <n v="1280" u="1"/>
        <n v="878" u="1"/>
        <n v="5739" u="1"/>
        <n v="604" u="1"/>
        <n v="421" u="1"/>
        <n v="284" u="1"/>
        <n v="133" u="1"/>
        <n v="5782" u="1"/>
        <n v="3843" u="1"/>
        <n v="63" u="1"/>
        <n v="2747" u="1"/>
        <n v="5825" u="1"/>
        <n v="5868" u="1"/>
        <n v="3886" u="1"/>
        <n v="2790" u="1"/>
        <n v="1871" u="1"/>
        <n v="1323" u="1"/>
        <n v="5911" u="1"/>
        <n v="5954" u="1"/>
        <n v="3929" u="1"/>
        <n v="2833" u="1"/>
        <n v="5997" u="1"/>
        <n v="6040" u="1"/>
        <n v="3972" u="1"/>
        <n v="2876" u="1"/>
        <n v="1914" u="1"/>
        <n v="1366" u="1"/>
        <n v="921" u="1"/>
        <n v="6083" u="1"/>
        <n v="647" u="1"/>
        <n v="4015" u="1"/>
        <n v="2919" u="1"/>
        <n v="4058" u="1"/>
        <n v="2962" u="1"/>
        <n v="1957" u="1"/>
        <n v="1409" u="1"/>
        <n v="4106" u="1"/>
        <n v="3005" u="1"/>
        <n v="4149" u="1"/>
        <n v="4192" u="1"/>
        <n v="3048" u="1"/>
        <n v="2000" u="1"/>
        <n v="1452" u="1"/>
        <n v="964" u="1"/>
        <n v="6427" u="1"/>
        <n v="690" u="1"/>
        <n v="4235" u="1"/>
        <n v="464" u="1"/>
        <n v="327" u="1"/>
        <n v="223" u="1"/>
        <n v="6470" u="1"/>
        <n v="107" u="1"/>
        <n v="4278" u="1"/>
        <n v="3091" u="1"/>
        <n v="6513" u="1"/>
        <n v="4321" u="1"/>
        <n v="6556" u="1"/>
        <n v="4364" u="1"/>
        <n v="3134" u="1"/>
        <n v="2043" u="1"/>
        <n v="1495" u="1"/>
        <n v="6599" u="1"/>
        <n v="4407" u="1"/>
        <n v="6642" u="1"/>
        <n v="4450" u="1"/>
        <n v="3177" u="1"/>
        <n v="2081" u="1"/>
        <n v="6685" u="1"/>
        <n v="4493" u="1"/>
        <n v="6728" u="1"/>
        <n v="4536" u="1"/>
        <n v="3220" u="1"/>
        <n v="2124" u="1"/>
        <n v="1538" u="1"/>
        <n v="1007" u="1"/>
        <n v="6771" u="1"/>
        <n v="733" u="1"/>
        <n v="4579" u="1"/>
        <n v="6814" u="1"/>
        <n v="4622" u="1"/>
        <n v="3263" u="1"/>
        <n v="2167" u="1"/>
        <n v="6857" u="1"/>
        <n v="4665" u="1"/>
        <n v="6900" u="1"/>
        <n v="4708" u="1"/>
        <n v="3306" u="1"/>
        <n v="2210" u="1"/>
        <n v="1581" u="1"/>
        <n v="1033" u="1"/>
        <n v="6943" u="1"/>
        <n v="4751" u="1"/>
        <n v="6986" u="1"/>
        <n v="4794" u="1"/>
        <n v="3349" u="1"/>
        <n v="2253" u="1"/>
        <n v="7029" u="1"/>
        <n v="4837" u="1"/>
        <n v="7072" u="1"/>
        <n v="4880" u="1"/>
        <n v="3392" u="1"/>
        <n v="2296" u="1"/>
        <n v="1624" u="1"/>
        <n v="1076" u="1"/>
        <n v="7115" u="1"/>
        <n v="776" u="1"/>
        <n v="4923" u="1"/>
        <n v="507" u="1"/>
        <n v="370" u="1"/>
        <n v="176" u="1"/>
        <n v="7158" u="1"/>
        <n v="4966" u="1"/>
        <n v="3435" u="1"/>
        <n v="2339" u="1"/>
        <n v="7201" u="1"/>
        <n v="5009" u="1"/>
        <n v="5052" u="1"/>
        <n v="3478" u="1"/>
        <n v="2382" u="1"/>
        <n v="1667" u="1"/>
        <n v="1119" u="1"/>
        <n v="5095" u="1"/>
        <n v="5138" u="1"/>
        <n v="3521" u="1"/>
        <n v="2425" u="1"/>
        <n v="5181" u="1"/>
        <n v="5224" u="1"/>
        <n v="3564" u="1"/>
        <n v="2468" u="1"/>
        <n v="1710" u="1"/>
        <n v="1162" u="1"/>
        <n v="819" u="1"/>
        <n v="5267" u="1"/>
        <n v="545" u="1"/>
        <n v="5310" u="1"/>
        <n v="3607" u="1"/>
        <n v="2511" u="1"/>
        <n v="5353" u="1"/>
        <n v="5396" u="1"/>
        <n v="3650" u="1"/>
        <n v="2554" u="1"/>
        <n v="1753" u="1"/>
        <n v="1205" u="1"/>
        <n v="5439" u="1"/>
        <n v="5482" u="1"/>
        <n v="3693" u="1"/>
        <n v="2597" u="1"/>
        <n v="5525" u="1"/>
        <n v="5568" u="1"/>
        <n v="3736" u="1"/>
        <n v="2640" u="1"/>
        <n v="1796" u="1"/>
        <n v="1248" u="1"/>
        <n v="862" u="1"/>
        <n v="5611" u="1"/>
        <n v="588" u="1"/>
        <n v="413" u="1"/>
        <n v="276" u="1"/>
        <n v="129" u="1"/>
        <n v="5654" u="1"/>
        <n v="3779" u="1"/>
        <n v="62" u="1"/>
        <n v="2683" u="1"/>
        <n v="5697" u="1"/>
        <n v="5740" u="1"/>
        <n v="3822" u="1"/>
        <n v="2726" u="1"/>
        <n v="1839" u="1"/>
        <n v="1291" u="1"/>
        <n v="5783" u="1"/>
        <n v="5826" u="1"/>
        <n v="3865" u="1"/>
        <n v="2769" u="1"/>
        <n v="5869" u="1"/>
        <n v="5912" u="1"/>
        <n v="3908" u="1"/>
        <n v="2812" u="1"/>
        <n v="1882" u="1"/>
        <n v="1334" u="1"/>
        <n v="905" u="1"/>
        <n v="5955" u="1"/>
        <n v="631" u="1"/>
        <n v="5998" u="1"/>
        <n v="3951" u="1"/>
        <n v="2855" u="1"/>
        <n v="6041" u="1"/>
        <n v="6084" u="1"/>
        <n v="3994" u="1"/>
        <n v="2898" u="1"/>
        <n v="1925" u="1"/>
        <n v="1377" u="1"/>
        <n v="4037" u="1"/>
        <n v="2941" u="1"/>
        <n v="4080" u="1"/>
        <n v="2984" u="1"/>
        <n v="1968" u="1"/>
        <n v="1420" u="1"/>
        <n v="948" u="1"/>
        <n v="674" u="1"/>
        <n v="4107" u="1"/>
        <n v="456" u="1"/>
        <n v="319" u="1"/>
        <n v="219" u="1"/>
        <n v="105" u="1"/>
        <n v="4150" u="1"/>
        <n v="3027" u="1"/>
        <n v="24" u="1"/>
        <n v="4193" u="1"/>
        <n v="6428" u="1"/>
        <n v="4236" u="1"/>
        <n v="3070" u="1"/>
        <n v="2011" u="1"/>
        <n v="1463" u="1"/>
        <n v="6471" u="1"/>
        <n v="4279" u="1"/>
        <n v="6514" u="1"/>
        <n v="4322" u="1"/>
        <n v="3113" u="1"/>
        <n v="6557" u="1"/>
        <n v="4365" u="1"/>
        <n v="6600" u="1"/>
        <n v="4408" u="1"/>
        <n v="3156" u="1"/>
        <n v="2060" u="1"/>
        <n v="1506" u="1"/>
        <n v="991" u="1"/>
        <n v="6643" u="1"/>
        <n v="717" u="1"/>
        <n v="4451" u="1"/>
        <n v="6686" u="1"/>
        <n v="4494" u="1"/>
        <n v="3199" u="1"/>
        <n v="2103" u="1"/>
        <n v="6729" u="1"/>
        <n v="4537" u="1"/>
        <n v="6772" u="1"/>
        <n v="4580" u="1"/>
        <n v="3242" u="1"/>
        <n v="2146" u="1"/>
        <n v="1549" u="1"/>
        <n v="6815" u="1"/>
        <n v="4623" u="1"/>
        <n v="6858" u="1"/>
        <n v="4666" u="1"/>
        <n v="3285" u="1"/>
        <n v="2189" u="1"/>
        <n v="6901" u="1"/>
        <n v="4709" u="1"/>
        <n v="6944" u="1"/>
        <n v="4752" u="1"/>
        <n v="3328" u="1"/>
        <n v="2232" u="1"/>
        <n v="1592" u="1"/>
        <n v="1044" u="1"/>
        <n v="6987" u="1"/>
        <n v="760" u="1"/>
        <n v="4795" u="1"/>
        <n v="499" u="1"/>
        <n v="362" u="1"/>
        <n v="172" u="1"/>
        <n v="7030" u="1"/>
        <n v="4838" u="1"/>
        <n v="3371" u="1"/>
        <n v="2275" u="1"/>
        <n v="7073" u="1"/>
        <n v="4881" u="1"/>
        <n v="7116" u="1"/>
        <n v="4924" u="1"/>
        <n v="3414" u="1"/>
        <n v="2318" u="1"/>
        <n v="1635" u="1"/>
        <n v="1087" u="1"/>
        <n v="7159" u="1"/>
        <n v="4967" u="1"/>
        <n v="7202" u="1"/>
        <n v="5010" u="1"/>
        <n v="3457" u="1"/>
        <n v="2361" u="1"/>
        <n v="5053" u="1"/>
        <n v="5096" u="1"/>
        <n v="3500" u="1"/>
        <n v="2404" u="1"/>
        <n v="1678" u="1"/>
        <n v="1130" u="1"/>
        <n v="803" u="1"/>
        <n v="5139" u="1"/>
        <n v="529" u="1"/>
        <n v="5182" u="1"/>
        <n v="3543" u="1"/>
        <n v="2447" u="1"/>
        <n v="5225" u="1"/>
        <n v="5268" u="1"/>
        <n v="3586" u="1"/>
        <n v="2490" u="1"/>
        <n v="1721" u="1"/>
        <n v="1173" u="1"/>
        <n v="5311" u="1"/>
        <n v="5354" u="1"/>
        <n v="3629" u="1"/>
        <n v="2533" u="1"/>
        <n v="5397" u="1"/>
        <n v="5440" u="1"/>
        <n v="3672" u="1"/>
        <n v="2576" u="1"/>
        <n v="1764" u="1"/>
        <n v="1216" u="1"/>
        <n v="846" u="1"/>
        <n v="5483" u="1"/>
        <n v="572" u="1"/>
        <n v="405" u="1"/>
        <n v="268" u="1"/>
        <n v="5526" u="1"/>
        <n v="3715" u="1"/>
        <n v="61" u="1"/>
        <n v="2619" u="1"/>
        <n v="5569" u="1"/>
        <n v="5612" u="1"/>
        <n v="3758" u="1"/>
        <n v="2662" u="1"/>
        <n v="1807" u="1"/>
        <n v="1259" u="1"/>
        <n v="5655" u="1"/>
        <n v="5698" u="1"/>
        <n v="3801" u="1"/>
        <n v="2705" u="1"/>
        <n v="5741" u="1"/>
        <n v="5784" u="1"/>
        <n v="3844" u="1"/>
        <n v="2748" u="1"/>
        <n v="1850" u="1"/>
        <n v="1302" u="1"/>
        <n v="889" u="1"/>
        <n v="5827" u="1"/>
        <n v="615" u="1"/>
        <n v="5870" u="1"/>
        <n v="3887" u="1"/>
        <n v="2791" u="1"/>
        <n v="5913" u="1"/>
        <n v="5956" u="1"/>
        <n v="3930" u="1"/>
        <n v="2834" u="1"/>
        <n v="1893" u="1"/>
        <n v="1345" u="1"/>
        <n v="5999" u="1"/>
        <n v="6042" u="1"/>
        <n v="3973" u="1"/>
        <n v="2877" u="1"/>
        <n v="6085" u="1"/>
        <n v="4016" u="1"/>
        <n v="2920" u="1"/>
        <n v="1936" u="1"/>
        <n v="1388" u="1"/>
        <n v="932" u="1"/>
        <n v="658" u="1"/>
        <n v="448" u="1"/>
        <n v="311" u="1"/>
        <n v="215" u="1"/>
        <n v="103" u="1"/>
        <n v="4059" u="1"/>
        <n v="2963" u="1"/>
        <n v="4108" u="1"/>
        <n v="3006" u="1"/>
        <n v="1979" u="1"/>
        <n v="1431" u="1"/>
        <n v="4151" u="1"/>
        <n v="4194" u="1"/>
        <n v="3049" u="1"/>
        <n v="6429" u="1"/>
        <n v="4237" u="1"/>
        <n v="6472" u="1"/>
        <n v="4280" u="1"/>
        <n v="3092" u="1"/>
        <n v="2022" u="1"/>
        <n v="1474" u="1"/>
        <n v="975" u="1"/>
        <n v="6515" u="1"/>
        <n v="701" u="1"/>
        <n v="4323" u="1"/>
        <n v="6558" u="1"/>
        <n v="4366" u="1"/>
        <n v="3135" u="1"/>
        <n v="6601" u="1"/>
        <n v="4409" u="1"/>
        <n v="6644" u="1"/>
        <n v="4452" u="1"/>
        <n v="3178" u="1"/>
        <n v="2082" u="1"/>
        <n v="1517" u="1"/>
        <n v="6687" u="1"/>
        <n v="4495" u="1"/>
        <n v="6730" u="1"/>
        <n v="4538" u="1"/>
        <n v="3221" u="1"/>
        <n v="2125" u="1"/>
        <n v="6773" u="1"/>
        <n v="4581" u="1"/>
        <n v="6816" u="1"/>
        <n v="4624" u="1"/>
        <n v="3264" u="1"/>
        <n v="2168" u="1"/>
        <n v="1560" u="1"/>
        <n v="1018" u="1"/>
        <n v="6859" u="1"/>
        <n v="744" u="1"/>
        <n v="4667" u="1"/>
        <n v="491" u="1"/>
        <n v="354" u="1"/>
        <n v="168" u="1"/>
        <n v="6902" u="1"/>
        <n v="4710" u="1"/>
        <n v="3307" u="1"/>
        <n v="2211" u="1"/>
        <n v="6945" u="1"/>
        <n v="4753" u="1"/>
        <n v="6988" u="1"/>
        <n v="4796" u="1"/>
        <n v="3350" u="1"/>
        <n v="2254" u="1"/>
        <n v="1603" u="1"/>
        <n v="1055" u="1"/>
        <n v="7031" u="1"/>
        <n v="4839" u="1"/>
        <n v="7074" u="1"/>
        <n v="4882" u="1"/>
        <n v="3393" u="1"/>
        <n v="2297" u="1"/>
        <n v="7117" u="1"/>
        <n v="4925" u="1"/>
        <n v="7160" u="1"/>
        <n v="4968" u="1"/>
        <n v="3436" u="1"/>
        <n v="2340" u="1"/>
        <n v="1646" u="1"/>
        <n v="1098" u="1"/>
        <n v="7203" u="1"/>
        <n v="787" u="1"/>
        <n v="5011" u="1"/>
        <n v="513" u="1"/>
        <n v="5054" u="1"/>
        <n v="3479" u="1"/>
        <n v="2383" u="1"/>
        <n v="5097" u="1"/>
        <n v="5140" u="1"/>
        <n v="3522" u="1"/>
        <n v="2426" u="1"/>
        <n v="1689" u="1"/>
        <n v="1141" u="1"/>
        <n v="5183" u="1"/>
        <n v="5226" u="1"/>
        <n v="3565" u="1"/>
        <n v="2469" u="1"/>
        <n v="5269" u="1"/>
        <n v="5312" u="1"/>
        <n v="3608" u="1"/>
        <n v="2512" u="1"/>
        <n v="1732" u="1"/>
        <n v="1184" u="1"/>
        <n v="830" u="1"/>
        <n v="5355" u="1"/>
        <n v="556" u="1"/>
        <n v="397" u="1"/>
        <n v="260" u="1"/>
        <n v="5398" u="1"/>
        <n v="3651" u="1"/>
        <n v="60" u="1"/>
        <n v="2555" u="1"/>
        <n v="5441" u="1"/>
        <n v="5484" u="1"/>
        <n v="3694" u="1"/>
        <n v="2598" u="1"/>
        <n v="1775" u="1"/>
        <n v="1227" u="1"/>
        <n v="5527" u="1"/>
        <n v="5570" u="1"/>
        <n v="3737" u="1"/>
        <n v="2641" u="1"/>
        <n v="5613" u="1"/>
        <n v="5656" u="1"/>
        <n v="3780" u="1"/>
        <n v="2684" u="1"/>
        <n v="1818" u="1"/>
        <n v="1270" u="1"/>
        <n v="873" u="1"/>
        <n v="5699" u="1"/>
        <n v="599" u="1"/>
        <n v="5742" u="1"/>
        <n v="3823" u="1"/>
        <n v="2727" u="1"/>
        <n v="5785" u="1"/>
        <n v="5828" u="1"/>
        <n v="3866" u="1"/>
        <n v="2770" u="1"/>
        <n v="1861" u="1"/>
        <n v="1313" u="1"/>
        <n v="5871" u="1"/>
        <n v="5914" u="1"/>
        <n v="3909" u="1"/>
        <n v="2813" u="1"/>
        <n v="5957" u="1"/>
        <n v="6000" u="1"/>
        <n v="3952" u="1"/>
        <n v="2856" u="1"/>
        <n v="1904" u="1"/>
        <n v="1356" u="1"/>
        <n v="916" u="1"/>
        <n v="6043" u="1"/>
        <n v="642" u="1"/>
        <n v="440" u="1"/>
        <n v="303" u="1"/>
        <n v="211" u="1"/>
        <n v="6086" u="1"/>
        <n v="101" u="1"/>
        <n v="3995" u="1"/>
        <n v="2899" u="1"/>
        <n v="23" u="1"/>
        <n v="4038" u="1"/>
        <n v="2942" u="1"/>
        <n v="1947" u="1"/>
        <n v="1399" u="1"/>
        <n v="4081" u="1"/>
        <n v="2985" u="1"/>
        <n v="4109" u="1"/>
        <n v="4152" u="1"/>
        <n v="3028" u="1"/>
        <n v="1990" u="1"/>
        <n v="1442" u="1"/>
        <n v="959" u="1"/>
        <n v="685" u="1"/>
        <n v="4195" u="1"/>
        <n v="6430" u="1"/>
        <n v="4238" u="1"/>
        <n v="3071" u="1"/>
        <n v="6473" u="1"/>
        <n v="4281" u="1"/>
        <n v="6516" u="1"/>
        <n v="4324" u="1"/>
        <n v="3114" u="1"/>
        <n v="2033" u="1"/>
        <n v="1485" u="1"/>
        <n v="6559" u="1"/>
        <n v="4367" u="1"/>
        <n v="6602" u="1"/>
        <n v="4410" u="1"/>
        <n v="3157" u="1"/>
        <n v="2061" u="1"/>
        <n v="6645" u="1"/>
        <n v="4453" u="1"/>
        <n v="6688" u="1"/>
        <n v="4496" u="1"/>
        <n v="3200" u="1"/>
        <n v="2104" u="1"/>
        <n v="1528" u="1"/>
        <n v="1002" u="1"/>
        <n v="6731" u="1"/>
        <n v="728" u="1"/>
        <n v="4539" u="1"/>
        <n v="483" u="1"/>
        <n v="346" u="1"/>
        <n v="164" u="1"/>
        <n v="6774" u="1"/>
        <n v="4582" u="1"/>
        <n v="3243" u="1"/>
        <n v="2147" u="1"/>
        <n v="6817" u="1"/>
        <n v="4625" u="1"/>
        <n v="8" u="1"/>
        <n v="6860" u="1"/>
        <n v="4668" u="1"/>
        <n v="3286" u="1"/>
        <n v="2190" u="1"/>
        <n v="1571" u="1"/>
        <n v="6903" u="1"/>
        <n v="4711" u="1"/>
        <n v="6946" u="1"/>
        <n v="4754" u="1"/>
        <n v="3329" u="1"/>
        <n v="2233" u="1"/>
        <n v="6989" u="1"/>
        <n v="4797" u="1"/>
        <n v="7032" u="1"/>
        <n v="4840" u="1"/>
        <n v="3372" u="1"/>
        <n v="2276" u="1"/>
        <n v="1614" u="1"/>
        <n v="1066" u="1"/>
        <n v="7075" u="1"/>
        <n v="771" u="1"/>
        <n v="4883" u="1"/>
        <n v="7118" u="1"/>
        <n v="4926" u="1"/>
        <n v="3415" u="1"/>
        <n v="2319" u="1"/>
        <n v="7161" u="1"/>
        <n v="4969" u="1"/>
        <n v="7204" u="1"/>
        <n v="5012" u="1"/>
        <n v="3458" u="1"/>
        <n v="2362" u="1"/>
        <n v="1657" u="1"/>
        <n v="1109" u="1"/>
        <n v="5055" u="1"/>
        <n v="5098" u="1"/>
        <n v="3501" u="1"/>
        <n v="2405" u="1"/>
        <n v="5141" u="1"/>
        <n v="5184" u="1"/>
        <n v="3544" u="1"/>
        <n v="2448" u="1"/>
        <n v="1700" u="1"/>
        <n v="1152" u="1"/>
        <n v="814" u="1"/>
        <n v="5227" u="1"/>
        <n v="540" u="1"/>
        <n v="389" u="1"/>
        <n v="254" u="1"/>
        <n v="5270" u="1"/>
        <n v="3587" u="1"/>
        <n v="59" u="1"/>
        <n v="2491" u="1"/>
        <n v="5313" u="1"/>
        <n v="5356" u="1"/>
        <n v="3630" u="1"/>
        <n v="2534" u="1"/>
        <n v="1743" u="1"/>
        <n v="1195" u="1"/>
        <n v="5399" u="1"/>
        <n v="5442" u="1"/>
        <n v="3673" u="1"/>
        <n v="2577" u="1"/>
        <n v="5485" u="1"/>
        <n v="5528" u="1"/>
        <n v="3716" u="1"/>
        <n v="2620" u="1"/>
        <n v="1786" u="1"/>
        <n v="1238" u="1"/>
        <n v="857" u="1"/>
        <n v="5571" u="1"/>
        <n v="583" u="1"/>
        <n v="5614" u="1"/>
        <n v="3759" u="1"/>
        <n v="2663" u="1"/>
        <n v="5657" u="1"/>
        <n v="5700" u="1"/>
        <n v="3802" u="1"/>
        <n v="2706" u="1"/>
        <n v="1829" u="1"/>
        <n v="1281" u="1"/>
        <n v="5743" u="1"/>
        <n v="5786" u="1"/>
        <n v="3845" u="1"/>
        <n v="2749" u="1"/>
        <n v="5829" u="1"/>
        <n v="5872" u="1"/>
        <n v="3888" u="1"/>
        <n v="2792" u="1"/>
        <n v="1872" u="1"/>
        <n v="1324" u="1"/>
        <n v="900" u="1"/>
        <n v="5915" u="1"/>
        <n v="626" u="1"/>
        <n v="432" u="1"/>
        <n v="295" u="1"/>
        <n v="207" u="1"/>
        <n v="5958" u="1"/>
        <n v="99" u="1"/>
        <n v="3931" u="1"/>
        <n v="2835" u="1"/>
        <n v="6001" u="1"/>
        <n v="6044" u="1"/>
        <n v="3974" u="1"/>
        <n v="2878" u="1"/>
        <n v="1915" u="1"/>
        <n v="1367" u="1"/>
        <n v="6087" u="1"/>
        <n v="4017" u="1"/>
        <n v="2921" u="1"/>
        <n v="4060" u="1"/>
        <n v="2964" u="1"/>
        <n v="1958" u="1"/>
        <n v="1410" u="1"/>
        <n v="943" u="1"/>
        <n v="669" u="1"/>
        <n v="4110" u="1"/>
        <n v="3007" u="1"/>
        <n v="4153" u="1"/>
        <n v="4196" u="1"/>
        <n v="3050" u="1"/>
        <n v="2001" u="1"/>
        <n v="1453" u="1"/>
        <n v="6431" u="1"/>
        <n v="4239" u="1"/>
        <n v="6474" u="1"/>
        <n v="4282" u="1"/>
        <n v="3093" u="1"/>
        <n v="6517" u="1"/>
        <n v="4325" u="1"/>
        <n v="6560" u="1"/>
        <n v="4368" u="1"/>
        <n v="3136" u="1"/>
        <n v="2044" u="1"/>
        <n v="1496" u="1"/>
        <n v="986" u="1"/>
        <n v="6603" u="1"/>
        <n v="712" u="1"/>
        <n v="4411" u="1"/>
        <n v="475" u="1"/>
        <n v="338" u="1"/>
        <n v="160" u="1"/>
        <n v="6646" u="1"/>
        <n v="4454" u="1"/>
        <n v="3179" u="1"/>
        <n v="2083" u="1"/>
        <n v="6689" u="1"/>
        <n v="4497" u="1"/>
        <n v="6732" u="1"/>
        <n v="4540" u="1"/>
        <n v="3222" u="1"/>
        <n v="2126" u="1"/>
        <n v="1539" u="1"/>
        <n v="6775" u="1"/>
        <n v="4583" u="1"/>
        <n v="6818" u="1"/>
        <n v="4626" u="1"/>
        <n v="3265" u="1"/>
        <n v="2169" u="1"/>
        <n v="6861" u="1"/>
        <n v="4669" u="1"/>
        <n v="6904" u="1"/>
        <n v="4712" u="1"/>
        <n v="3308" u="1"/>
        <n v="2212" u="1"/>
        <n v="1582" u="1"/>
        <n v="1034" u="1"/>
        <n v="6947" u="1"/>
        <n v="755" u="1"/>
        <n v="4755" u="1"/>
        <n v="6990" u="1"/>
        <n v="4798" u="1"/>
        <n v="3351" u="1"/>
        <n v="2255" u="1"/>
        <n v="7033" u="1"/>
        <n v="4841" u="1"/>
        <n v="7076" u="1"/>
        <n v="4884" u="1"/>
        <n v="3394" u="1"/>
        <n v="2298" u="1"/>
        <n v="1625" u="1"/>
        <n v="1077" u="1"/>
        <n v="7119" u="1"/>
        <n v="4927" u="1"/>
        <n v="7162" u="1"/>
        <n v="4970" u="1"/>
        <n v="3437" u="1"/>
        <n v="2341" u="1"/>
        <n v="7205" u="1"/>
        <n v="5013" u="1"/>
        <n v="5056" u="1"/>
        <n v="3480" u="1"/>
        <n v="2384" u="1"/>
        <n v="1668" u="1"/>
        <n v="1120" u="1"/>
        <n v="798" u="1"/>
        <n v="5099" u="1"/>
        <n v="524" u="1"/>
        <n v="381" u="1"/>
        <n v="250" u="1"/>
        <n v="5142" u="1"/>
        <n v="3523" u="1"/>
        <n v="58" u="1"/>
        <n v="2427" u="1"/>
        <n v="5185" u="1"/>
        <n v="5228" u="1"/>
        <n v="3566" u="1"/>
        <n v="2470" u="1"/>
        <n v="1711" u="1"/>
        <n v="1163" u="1"/>
        <n v="5271" u="1"/>
        <n v="5314" u="1"/>
        <n v="3609" u="1"/>
        <n v="2513" u="1"/>
        <n v="5357" u="1"/>
        <n v="5400" u="1"/>
        <n v="3652" u="1"/>
        <n v="2556" u="1"/>
        <n v="1754" u="1"/>
        <n v="1206" u="1"/>
        <n v="841" u="1"/>
        <n v="5443" u="1"/>
        <n v="567" u="1"/>
        <n v="5486" u="1"/>
        <n v="3695" u="1"/>
        <n v="2599" u="1"/>
        <n v="5529" u="1"/>
        <n v="5572" u="1"/>
        <n v="3738" u="1"/>
        <n v="2642" u="1"/>
        <n v="1797" u="1"/>
        <n v="1249" u="1"/>
        <n v="5615" u="1"/>
        <n v="5658" u="1"/>
        <n v="3781" u="1"/>
        <n v="2685" u="1"/>
        <n v="5701" u="1"/>
        <n v="5744" u="1"/>
        <n v="3824" u="1"/>
        <n v="2728" u="1"/>
        <n v="1840" u="1"/>
        <n v="1292" u="1"/>
        <n v="884" u="1"/>
        <n v="5787" u="1"/>
        <n v="610" u="1"/>
        <n v="424" u="1"/>
        <n v="287" u="1"/>
        <n v="203" u="1"/>
        <n v="5830" u="1"/>
        <n v="97" u="1"/>
        <n v="3867" u="1"/>
        <n v="2771" u="1"/>
        <n v="22" u="1"/>
        <n v="5873" u="1"/>
        <n v="5916" u="1"/>
        <n v="3910" u="1"/>
        <n v="2814" u="1"/>
        <n v="1883" u="1"/>
        <n v="1335" u="1"/>
        <n v="5959" u="1"/>
        <n v="6002" u="1"/>
        <n v="3953" u="1"/>
        <n v="2857" u="1"/>
        <n v="6045" u="1"/>
        <n v="6088" u="1"/>
        <n v="3996" u="1"/>
        <n v="2900" u="1"/>
        <n v="1926" u="1"/>
        <n v="1378" u="1"/>
        <n v="927" u="1"/>
        <n v="653" u="1"/>
        <n v="4039" u="1"/>
        <n v="2943" u="1"/>
        <n v="4082" u="1"/>
        <n v="2986" u="1"/>
        <n v="1969" u="1"/>
        <n v="1421" u="1"/>
        <n v="4111" u="1"/>
        <n v="4154" u="1"/>
        <n v="3029" u="1"/>
        <n v="4197" u="1"/>
        <n v="6432" u="1"/>
        <n v="4240" u="1"/>
        <n v="3072" u="1"/>
        <n v="2012" u="1"/>
        <n v="1464" u="1"/>
        <n v="970" u="1"/>
        <n v="6475" u="1"/>
        <n v="696" u="1"/>
        <n v="4283" u="1"/>
        <n v="467" u="1"/>
        <n v="330" u="1"/>
        <n v="156" u="1"/>
        <n v="6518" u="1"/>
        <n v="4326" u="1"/>
        <n v="3115" u="1"/>
        <n v="6561" u="1"/>
        <n v="4369" u="1"/>
        <n v="6604" u="1"/>
        <n v="4412" u="1"/>
        <n v="3158" u="1"/>
        <n v="2062" u="1"/>
        <n v="1507" u="1"/>
        <n v="6647" u="1"/>
        <n v="4455" u="1"/>
        <n v="6690" u="1"/>
        <n v="4498" u="1"/>
        <n v="3201" u="1"/>
        <n v="2105" u="1"/>
        <n v="6733" u="1"/>
        <n v="4541" u="1"/>
        <n v="6776" u="1"/>
        <n v="4584" u="1"/>
        <n v="3244" u="1"/>
        <n v="2148" u="1"/>
        <n v="1550" u="1"/>
        <n v="1013" u="1"/>
        <n v="6819" u="1"/>
        <n v="739" u="1"/>
        <n v="4627" u="1"/>
        <n v="6862" u="1"/>
        <n v="4670" u="1"/>
        <n v="3287" u="1"/>
        <n v="2191" u="1"/>
        <n v="6905" u="1"/>
        <n v="4713" u="1"/>
        <n v="6948" u="1"/>
        <n v="4756" u="1"/>
        <n v="3330" u="1"/>
        <n v="2234" u="1"/>
        <n v="1593" u="1"/>
        <n v="1045" u="1"/>
        <n v="6991" u="1"/>
        <n v="4799" u="1"/>
        <n v="7034" u="1"/>
        <n v="4842" u="1"/>
        <n v="3373" u="1"/>
        <n v="2277" u="1"/>
        <n v="7077" u="1"/>
        <n v="4885" u="1"/>
        <n v="7120" u="1"/>
        <n v="4928" u="1"/>
        <n v="3416" u="1"/>
        <n v="2320" u="1"/>
        <n v="1636" u="1"/>
        <n v="1088" u="1"/>
        <n v="7163" u="1"/>
        <n v="782" u="1"/>
        <n v="4971" u="1"/>
        <n v="510" u="1"/>
        <n v="373" u="1"/>
        <n v="246" u="1"/>
        <n v="7206" u="1"/>
        <n v="5014" u="1"/>
        <n v="3459" u="1"/>
        <n v="57" u="1"/>
        <n v="2363" u="1"/>
        <n v="5057" u="1"/>
        <n v="3" u="1"/>
        <n v="5100" u="1"/>
        <n v="3502" u="1"/>
        <n v="2406" u="1"/>
        <n v="1679" u="1"/>
        <n v="1131" u="1"/>
        <n v="5143" u="1"/>
        <n v="5186" u="1"/>
        <n v="3545" u="1"/>
        <n v="2449" u="1"/>
        <n v="5229" u="1"/>
        <n v="5272" u="1"/>
        <n v="3588" u="1"/>
        <n v="2492" u="1"/>
        <n v="1722" u="1"/>
        <n v="1174" u="1"/>
        <n v="825" u="1"/>
        <n v="5315" u="1"/>
        <n v="551" u="1"/>
        <n v="5358" u="1"/>
        <n v="3631" u="1"/>
        <n v="2535" u="1"/>
        <n v="5401" u="1"/>
        <n v="5444" u="1"/>
        <n v="3674" u="1"/>
        <n v="2578" u="1"/>
        <n v="1765" u="1"/>
        <n v="1217" u="1"/>
        <n v="5487" u="1"/>
        <n v="5530" u="1"/>
        <n v="3717" u="1"/>
        <n v="2621" u="1"/>
        <n v="5573" u="1"/>
        <n v="5616" u="1"/>
        <n v="3760" u="1"/>
        <n v="2664" u="1"/>
        <n v="1808" u="1"/>
        <n v="1260" u="1"/>
        <n v="868" u="1"/>
        <n v="5659" u="1"/>
        <n v="594" u="1"/>
        <n v="416" u="1"/>
        <n v="279" u="1"/>
        <n v="199" u="1"/>
        <n v="5702" u="1"/>
        <n v="95" u="1"/>
        <n v="3803" u="1"/>
        <n v="2707" u="1"/>
        <n v="5745" u="1"/>
        <n v="5788" u="1"/>
        <n v="3846" u="1"/>
        <n v="2750" u="1"/>
        <n v="1851" u="1"/>
        <n v="1303" u="1"/>
        <n v="5831" u="1"/>
        <n v="5874" u="1"/>
        <n v="3889" u="1"/>
        <n v="2793" u="1"/>
        <n v="5917" u="1"/>
        <n v="5960" u="1"/>
        <n v="3932" u="1"/>
        <n v="2836" u="1"/>
        <n v="1894" u="1"/>
        <n v="1346" u="1"/>
        <n v="911" u="1"/>
        <n v="6003" u="1"/>
        <n v="637" u="1"/>
        <n v="6046" u="1"/>
        <n v="3975" u="1"/>
        <n v="2879" u="1"/>
        <n v="6089" u="1"/>
        <n v="4018" u="1"/>
        <n v="2922" u="1"/>
        <n v="1937" u="1"/>
        <n v="1389" u="1"/>
        <n v="4061" u="1"/>
        <n v="2965" u="1"/>
        <n v="4112" u="1"/>
        <n v="3008" u="1"/>
        <n v="1980" u="1"/>
        <n v="1432" u="1"/>
        <n v="954" u="1"/>
        <n v="680" u="1"/>
        <n v="4155" u="1"/>
        <n v="459" u="1"/>
        <n v="322" u="1"/>
        <n v="152" u="1"/>
        <n v="4198" u="1"/>
        <n v="3051" u="1"/>
        <n v="6433" u="1"/>
        <n v="4241" u="1"/>
        <n v="6476" u="1"/>
        <n v="4284" u="1"/>
        <n v="3094" u="1"/>
        <n v="2023" u="1"/>
        <n v="1475" u="1"/>
        <n v="6519" u="1"/>
        <n v="4327" u="1"/>
        <n v="6562" u="1"/>
        <n v="4370" u="1"/>
        <n v="3137" u="1"/>
        <n v="6605" u="1"/>
        <n v="4413" u="1"/>
        <n v="6648" u="1"/>
        <n v="4456" u="1"/>
        <n v="3180" u="1"/>
        <n v="2084" u="1"/>
        <n v="1518" u="1"/>
        <n v="997" u="1"/>
        <n v="6691" u="1"/>
        <n v="723" u="1"/>
        <n v="4499" u="1"/>
        <n v="6734" u="1"/>
        <n v="4542" u="1"/>
        <n v="3223" u="1"/>
        <n v="2127" u="1"/>
        <n v="6777" u="1"/>
        <n v="4585" u="1"/>
        <n v="6820" u="1"/>
        <n v="4628" u="1"/>
        <n v="3266" u="1"/>
        <n v="2170" u="1"/>
        <n v="1561" u="1"/>
        <n v="6863" u="1"/>
        <n v="4671" u="1"/>
        <n v="6906" u="1"/>
        <n v="4714" u="1"/>
        <n v="3309" u="1"/>
        <n v="2213" u="1"/>
        <n v="6949" u="1"/>
        <n v="4757" u="1"/>
        <n v="6992" u="1"/>
        <n v="4800" u="1"/>
        <n v="3352" u="1"/>
        <n v="2256" u="1"/>
        <n v="1604" u="1"/>
        <n v="1056" u="1"/>
        <n v="7035" u="1"/>
        <n v="766" u="1"/>
        <n v="4843" u="1"/>
        <n v="502" u="1"/>
        <n v="365" u="1"/>
        <n v="242" u="1"/>
        <n v="7078" u="1"/>
        <n v="4886" u="1"/>
        <n v="3395" u="1"/>
        <n v="56" u="1"/>
        <n v="2299" u="1"/>
        <n v="7121" u="1"/>
        <n v="4929" u="1"/>
        <n v="7164" u="1"/>
        <n v="4972" u="1"/>
        <n v="3438" u="1"/>
        <n v="2342" u="1"/>
        <n v="1647" u="1"/>
        <n v="1099" u="1"/>
        <n v="7207" u="1"/>
        <n v="5015" u="1"/>
        <n v="5058" u="1"/>
        <n v="3481" u="1"/>
        <n v="2385" u="1"/>
        <n v="5101" u="1"/>
        <n v="5144" u="1"/>
        <n v="3524" u="1"/>
        <n v="2428" u="1"/>
        <n v="1690" u="1"/>
        <n v="1142" u="1"/>
        <n v="809" u="1"/>
        <n v="5187" u="1"/>
        <n v="535" u="1"/>
        <n v="5230" u="1"/>
        <n v="3567" u="1"/>
        <n v="2471" u="1"/>
        <n v="5273" u="1"/>
        <n v="5316" u="1"/>
        <n v="3610" u="1"/>
        <n v="2514" u="1"/>
        <n v="1733" u="1"/>
        <n v="1185" u="1"/>
        <n v="5359" u="1"/>
        <n v="5402" u="1"/>
        <n v="3653" u="1"/>
        <n v="2557" u="1"/>
        <n v="5445" u="1"/>
        <n v="5488" u="1"/>
        <n v="3696" u="1"/>
        <n v="2600" u="1"/>
        <n v="1776" u="1"/>
        <n v="1228" u="1"/>
        <n v="852" u="1"/>
        <n v="5531" u="1"/>
        <n v="578" u="1"/>
        <n v="408" u="1"/>
        <n v="271" u="1"/>
        <n v="195" u="1"/>
        <n v="5574" u="1"/>
        <n v="93" u="1"/>
        <n v="3739" u="1"/>
        <n v="2643" u="1"/>
        <n v="21" u="1"/>
        <n v="5617" u="1"/>
        <n v="5660" u="1"/>
        <n v="3782" u="1"/>
        <n v="2686" u="1"/>
        <n v="1819" u="1"/>
        <n v="1271" u="1"/>
        <n v="5703" u="1"/>
        <n v="5746" u="1"/>
        <n v="3825" u="1"/>
        <n v="2729" u="1"/>
        <n v="5789" u="1"/>
        <n v="5832" u="1"/>
        <n v="3868" u="1"/>
        <n v="2772" u="1"/>
        <n v="1862" u="1"/>
        <n v="1314" u="1"/>
        <n v="895" u="1"/>
        <n v="5875" u="1"/>
        <n v="621" u="1"/>
        <n v="5918" u="1"/>
        <n v="3911" u="1"/>
        <n v="2815" u="1"/>
        <n v="5961" u="1"/>
        <n v="6004" u="1"/>
        <n v="3954" u="1"/>
        <n v="2858" u="1"/>
        <n v="1905" u="1"/>
        <n v="1357" u="1"/>
        <n v="6047" u="1"/>
        <n v="6090" u="1"/>
        <n v="3997" u="1"/>
        <n v="2901" u="1"/>
        <n v="4040" u="1"/>
        <n v="2944" u="1"/>
        <n v="1948" u="1"/>
        <n v="1400" u="1"/>
        <n v="938" u="1"/>
        <n v="664" u="1"/>
        <n v="451" u="1"/>
        <n v="314" u="1"/>
        <n v="148" u="1"/>
        <n v="4083" u="1"/>
        <n v="2987" u="1"/>
        <n v="4113" u="1"/>
        <n v="4156" u="1"/>
        <n v="3030" u="1"/>
        <n v="1991" u="1"/>
        <n v="1443" u="1"/>
        <n v="4199" u="1"/>
        <n v="6434" u="1"/>
        <n v="4242" u="1"/>
        <n v="3073" u="1"/>
        <n v="6477" u="1"/>
        <n v="4285" u="1"/>
        <n v="6520" u="1"/>
        <n v="4328" u="1"/>
        <n v="3116" u="1"/>
        <n v="2034" u="1"/>
        <n v="1486" u="1"/>
        <n v="981" u="1"/>
        <n v="6563" u="1"/>
        <n v="707" u="1"/>
        <n v="4371" u="1"/>
        <n v="6606" u="1"/>
        <n v="4414" u="1"/>
        <n v="3159" u="1"/>
        <n v="2063" u="1"/>
        <n v="6649" u="1"/>
        <n v="4457" u="1"/>
        <n v="6692" u="1"/>
        <n v="4500" u="1"/>
        <n v="3202" u="1"/>
        <n v="2106" u="1"/>
        <n v="1529" u="1"/>
        <n v="6735" u="1"/>
        <n v="4543" u="1"/>
        <n v="6778" u="1"/>
        <n v="4586" u="1"/>
        <n v="3245" u="1"/>
        <n v="2149" u="1"/>
        <n v="6821" u="1"/>
        <n v="4629" u="1"/>
        <n v="6864" u="1"/>
        <n v="4672" u="1"/>
        <n v="3288" u="1"/>
        <n v="2192" u="1"/>
        <n v="1572" u="1"/>
        <n v="1024" u="1"/>
        <n v="6907" u="1"/>
        <n v="750" u="1"/>
        <n v="4715" u="1"/>
        <n v="494" u="1"/>
        <n v="357" u="1"/>
        <n v="238" u="1"/>
        <n v="6950" u="1"/>
        <n v="4758" u="1"/>
        <n v="3331" u="1"/>
        <n v="55" u="1"/>
        <n v="2235" u="1"/>
        <n v="6993" u="1"/>
        <n v="4801" u="1"/>
        <n v="7036" u="1"/>
        <n v="4844" u="1"/>
        <n v="3374" u="1"/>
        <n v="2278" u="1"/>
        <n v="1615" u="1"/>
        <n v="1067" u="1"/>
        <n v="7079" u="1"/>
        <n v="4887" u="1"/>
        <n v="7122" u="1"/>
        <n v="4930" u="1"/>
        <n v="3417" u="1"/>
        <n v="2321" u="1"/>
        <n v="7165" u="1"/>
        <n v="4973" u="1"/>
        <n v="7208" u="1"/>
        <n v="5016" u="1"/>
        <n v="3460" u="1"/>
        <n v="2364" u="1"/>
        <n v="1658" u="1"/>
        <n v="1110" u="1"/>
        <n v="793" u="1"/>
        <n v="5059" u="1"/>
        <n v="519" u="1"/>
        <n v="5102" u="1"/>
        <n v="3503" u="1"/>
        <n v="2407" u="1"/>
        <n v="5145" u="1"/>
        <n v="5188" u="1"/>
        <n v="3546" u="1"/>
        <n v="2450" u="1"/>
        <n v="1701" u="1"/>
        <n v="1153" u="1"/>
        <n v="5231" u="1"/>
        <n v="5274" u="1"/>
        <n v="3589" u="1"/>
        <n v="2493" u="1"/>
        <n v="5317" u="1"/>
        <n v="5360" u="1"/>
        <n v="3632" u="1"/>
        <n v="2536" u="1"/>
        <n v="1744" u="1"/>
        <n v="1196" u="1"/>
        <n v="836" u="1"/>
        <n v="5403" u="1"/>
        <n v="562" u="1"/>
        <n v="400" u="1"/>
        <n v="263" u="1"/>
        <n v="191" u="1"/>
        <n v="5446" u="1"/>
        <n v="91" u="1"/>
        <n v="3675" u="1"/>
        <n v="2579" u="1"/>
        <n v="5489" u="1"/>
        <n v="5532" u="1"/>
        <n v="3718" u="1"/>
        <n v="2622" u="1"/>
        <n v="1" u="1"/>
        <n v="1787" u="1"/>
        <n v="1239" u="1"/>
        <n v="5575" u="1"/>
        <n v="5618" u="1"/>
        <n v="3761" u="1"/>
        <n v="2665" u="1"/>
        <n v="5661" u="1"/>
        <n v="5704" u="1"/>
        <n v="3804" u="1"/>
        <n v="2708" u="1"/>
        <n v="1830" u="1"/>
        <n v="1282" u="1"/>
        <n v="879" u="1"/>
        <n v="5747" u="1"/>
        <n v="605" u="1"/>
        <n v="5790" u="1"/>
        <n v="3847" u="1"/>
        <n v="2751" u="1"/>
        <n v="5833" u="1"/>
        <n v="5876" u="1"/>
        <n v="3890" u="1"/>
        <n v="2794" u="1"/>
        <n v="1873" u="1"/>
        <n v="1325" u="1"/>
        <n v="5919" u="1"/>
        <n v="5962" u="1"/>
        <n v="3933" u="1"/>
        <n v="2837" u="1"/>
        <n v="6005" u="1"/>
        <n v="6048" u="1"/>
        <n v="3976" u="1"/>
        <n v="2880" u="1"/>
        <n v="1916" u="1"/>
        <n v="1368" u="1"/>
        <n v="922" u="1"/>
        <n v="6091" u="1"/>
        <n v="648" u="1"/>
        <n v="443" u="1"/>
        <n v="306" u="1"/>
        <n v="144" u="1"/>
        <n v="4019" u="1"/>
        <n v="2923" u="1"/>
        <n v="4062" u="1"/>
        <n v="2966" u="1"/>
        <n v="1959" u="1"/>
        <n v="1411" u="1"/>
        <n v="4114" u="1"/>
        <n v="3009" u="1"/>
        <n v="4157" u="1"/>
        <n v="4200" u="1"/>
        <n v="3052" u="1"/>
        <n v="2002" u="1"/>
        <n v="1454" u="1"/>
        <n v="965" u="1"/>
        <n v="6435" u="1"/>
        <n v="691" u="1"/>
        <n v="4243" u="1"/>
        <n v="6478" u="1"/>
        <n v="4286" u="1"/>
        <n v="3095" u="1"/>
        <n v="6521" u="1"/>
        <n v="4329" u="1"/>
        <n v="6564" u="1"/>
        <n v="4372" u="1"/>
        <n v="3138" u="1"/>
        <n v="2045" u="1"/>
        <n v="1497" u="1"/>
        <n v="6607" u="1"/>
        <n v="4415" u="1"/>
        <n v="6650" u="1"/>
        <n v="4458" u="1"/>
        <n v="3181" u="1"/>
        <n v="2085" u="1"/>
        <n v="6693" u="1"/>
        <n v="4501" u="1"/>
        <n v="6736" u="1"/>
        <n v="4544" u="1"/>
        <n v="3224" u="1"/>
        <n v="2128" u="1"/>
        <n v="1540" u="1"/>
        <n v="1008" u="1"/>
        <n v="6779" u="1"/>
        <n v="734" u="1"/>
        <n v="4587" u="1"/>
        <n v="486" u="1"/>
        <n v="349" u="1"/>
        <n v="234" u="1"/>
        <n v="6822" u="1"/>
        <n v="4630" u="1"/>
        <n v="3267" u="1"/>
        <n v="54" u="1"/>
        <n v="2171" u="1"/>
        <n v="6865" u="1"/>
        <n v="4673" u="1"/>
        <n v="6908" u="1"/>
        <n v="4716" u="1"/>
        <n v="3310" u="1"/>
        <n v="2214" u="1"/>
        <n v="1583" u="1"/>
        <n v="1035" u="1"/>
        <n v="6951" u="1"/>
        <n v="4759" u="1"/>
        <n v="6994" u="1"/>
        <n v="4802" u="1"/>
        <n v="3353" u="1"/>
        <n v="2257" u="1"/>
        <n v="7037" u="1"/>
        <n v="4845" u="1"/>
        <n v="7080" u="1"/>
        <n v="4888" u="1"/>
        <n v="3396" u="1"/>
        <n v="2300" u="1"/>
        <n v="1626" u="1"/>
        <n v="1078" u="1"/>
        <n v="7123" u="1"/>
        <n v="777" u="1"/>
        <n v="4931" u="1"/>
        <n v="7166" u="1"/>
        <n v="4974" u="1"/>
        <n v="3439" u="1"/>
        <n v="2343" u="1"/>
        <n v="7209" u="1"/>
        <n v="5017" u="1"/>
        <n v="5060" u="1"/>
        <n v="3482" u="1"/>
        <n v="2386" u="1"/>
        <n v="1669" u="1"/>
        <n v="1121" u="1"/>
        <n v="5103" u="1"/>
        <n v="5146" u="1"/>
        <n v="3525" u="1"/>
        <n v="2429" u="1"/>
        <n v="5189" u="1"/>
        <n v="5232" u="1"/>
        <n v="3568" u="1"/>
        <n v="2472" u="1"/>
        <n v="1712" u="1"/>
        <n v="1164" u="1"/>
        <n v="820" u="1"/>
        <n v="5275" u="1"/>
        <n v="546" u="1"/>
      </sharedItems>
    </cacheField>
    <cacheField name="CONTROL" numFmtId="0">
      <sharedItems containsNonDate="0" containsString="0" containsBlank="1"/>
    </cacheField>
    <cacheField name="NIT DE CLIENTE" numFmtId="49">
      <sharedItems containsNonDate="0" containsString="0" containsBlank="1"/>
    </cacheField>
    <cacheField name="NOMBRE DE CLIENTE" numFmtId="0">
      <sharedItems containsNonDate="0" containsString="0" containsBlank="1" containsNumber="1" containsInteger="1" minValue="0" maxValue="0" count="2">
        <m/>
        <n v="0" u="1"/>
      </sharedItems>
    </cacheField>
    <cacheField name="VENTA EXENTA" numFmtId="44">
      <sharedItems containsNonDate="0" containsString="0" containsBlank="1"/>
    </cacheField>
    <cacheField name="VENTA NO SUJETA" numFmtId="44">
      <sharedItems containsNonDate="0" containsString="0" containsBlank="1"/>
    </cacheField>
    <cacheField name="V. GRAVADA" numFmtId="44">
      <sharedItems containsNonDate="0" containsString="0" containsBlank="1"/>
    </cacheField>
    <cacheField name="D.FISCAL" numFmtId="44">
      <sharedItems containsNonDate="0" containsString="0" containsBlank="1"/>
    </cacheField>
    <cacheField name="V CTA DE 3" numFmtId="44">
      <sharedItems containsNonDate="0" containsString="0" containsBlank="1"/>
    </cacheField>
    <cacheField name="D. FISCAL A 3" numFmtId="44">
      <sharedItems containsNonDate="0" containsString="0" containsBlank="1"/>
    </cacheField>
    <cacheField name="VENTA TOTAL" numFmtId="44">
      <sharedItems containsNonDate="0" containsString="0" containsBlank="1"/>
    </cacheField>
    <cacheField name="DUI" numFmtId="44">
      <sharedItems containsNonDate="0" containsString="0" containsBlank="1"/>
    </cacheField>
    <cacheField name="ANEXO" numFmtId="49">
      <sharedItems containsNonDate="0" containsString="0" containsBlank="1"/>
    </cacheField>
    <cacheField name="SUCURSAL" numFmtId="0">
      <sharedItems count="3">
        <s v="SUCURSAL"/>
        <s v="BODEGA" u="1"/>
        <s v="CASA MATRIZ" u="1"/>
      </sharedItems>
    </cacheField>
  </cacheFields>
  <extLst>
    <ext xmlns:x14="http://schemas.microsoft.com/office/spreadsheetml/2009/9/main" uri="{725AE2AE-9491-48be-B2B4-4EB974FC3084}">
      <x14:pivotCacheDefinition pivotCacheId="37071270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x v="0"/>
    <m/>
    <m/>
    <x v="0"/>
    <m/>
    <m/>
    <x v="0"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A5:D7" firstHeaderRow="2" firstDataRow="2" firstDataCol="3" rowPageCount="3" colPageCount="1"/>
  <pivotFields count="20">
    <pivotField axis="axisPage" compact="0" outline="0" showAll="0" defaultSubtotal="0">
      <items count="13">
        <item m="1" x="12"/>
        <item m="1" x="8"/>
        <item m="1" x="9"/>
        <item m="1" x="2"/>
        <item m="1" x="4"/>
        <item x="0"/>
        <item m="1" x="1"/>
        <item m="1" x="3"/>
        <item m="1" x="11"/>
        <item m="1" x="10"/>
        <item m="1" x="7"/>
        <item m="1" x="6"/>
        <item m="1" x="5"/>
      </items>
    </pivotField>
    <pivotField axis="axisRow" compact="0" outline="0" showAll="0" sortType="ascending">
      <items count="270">
        <item m="1" x="116"/>
        <item m="1" x="244"/>
        <item m="1" x="110"/>
        <item m="1" x="237"/>
        <item m="1" x="96"/>
        <item m="1" x="71"/>
        <item m="1" x="204"/>
        <item m="1" x="199"/>
        <item m="1" x="56"/>
        <item m="1" x="166"/>
        <item m="1" x="26"/>
        <item m="1" x="161"/>
        <item m="1" x="154"/>
        <item m="1" x="178"/>
        <item m="1" x="10"/>
        <item m="1" x="131"/>
        <item m="1" x="259"/>
        <item m="1" x="125"/>
        <item m="1" x="254"/>
        <item m="1" x="122"/>
        <item m="1" x="85"/>
        <item m="1" x="213"/>
        <item m="1" x="75"/>
        <item m="1" x="45"/>
        <item m="1" x="174"/>
        <item m="1" x="34"/>
        <item m="1" x="2"/>
        <item m="1" x="140"/>
        <item m="1" x="267"/>
        <item m="1" x="135"/>
        <item m="1" x="98"/>
        <item m="1" x="228"/>
        <item m="1" x="90"/>
        <item m="1" x="81"/>
        <item m="1" x="58"/>
        <item m="1" x="190"/>
        <item m="1" x="184"/>
        <item m="1" x="41"/>
        <item m="1" x="219"/>
        <item m="1" x="82"/>
        <item m="1" x="215"/>
        <item m="1" x="66"/>
        <item m="1" x="181"/>
        <item m="1" x="42"/>
        <item m="1" x="176"/>
        <item m="1" x="37"/>
        <item m="1" x="171"/>
        <item m="1" x="22"/>
        <item m="1" x="142"/>
        <item m="1" x="136"/>
        <item m="1" x="264"/>
        <item m="1" x="134"/>
        <item m="1" x="101"/>
        <item m="1" x="224"/>
        <item m="1" x="87"/>
        <item m="1" x="61"/>
        <item m="1" x="193"/>
        <item m="1" x="53"/>
        <item m="1" x="48"/>
        <item m="1" x="149"/>
        <item m="1" x="8"/>
        <item m="1" x="137"/>
        <item m="1" x="115"/>
        <item m="1" x="242"/>
        <item m="1" x="235"/>
        <item m="1" x="94"/>
        <item m="1" x="208"/>
        <item m="1" x="231"/>
        <item m="1" x="69"/>
        <item m="1" x="203"/>
        <item m="1" x="197"/>
        <item m="1" x="54"/>
        <item m="1" x="165"/>
        <item m="1" x="24"/>
        <item m="1" x="159"/>
        <item m="1" x="17"/>
        <item m="1" x="153"/>
        <item m="1" x="9"/>
        <item m="1" x="129"/>
        <item m="1" x="251"/>
        <item m="1" x="120"/>
        <item m="1" x="243"/>
        <item m="1" x="150"/>
        <item m="1" x="4"/>
        <item m="1" x="143"/>
        <item m="1" x="117"/>
        <item m="1" x="245"/>
        <item m="1" x="111"/>
        <item m="1" x="238"/>
        <item m="1" x="105"/>
        <item m="1" x="205"/>
        <item m="1" x="63"/>
        <item m="1" x="200"/>
        <item m="1" x="189"/>
        <item m="1" x="162"/>
        <item m="1" x="19"/>
        <item m="1" x="14"/>
        <item m="1" x="147"/>
        <item m="1" x="260"/>
        <item m="1" x="126"/>
        <item m="1" x="255"/>
        <item m="1" x="248"/>
        <item m="1" x="113"/>
        <item m="1" x="218"/>
        <item m="1" x="80"/>
        <item m="1" x="214"/>
        <item m="1" x="76"/>
        <item m="1" x="209"/>
        <item m="1" x="65"/>
        <item m="1" x="180"/>
        <item m="1" x="35"/>
        <item m="1" x="169"/>
        <item m="1" x="20"/>
        <item m="1" x="141"/>
        <item m="1" x="268"/>
        <item m="1" x="263"/>
        <item m="1" x="132"/>
        <item m="1" x="99"/>
        <item m="1" x="229"/>
        <item m="1" x="91"/>
        <item m="1" x="223"/>
        <item m="1" x="86"/>
        <item m="1" x="50"/>
        <item m="1" x="185"/>
        <item m="1" x="46"/>
        <item m="1" x="175"/>
        <item m="1" x="77"/>
        <item m="1" x="210"/>
        <item m="1" x="72"/>
        <item m="1" x="201"/>
        <item m="1" x="43"/>
        <item m="1" x="38"/>
        <item m="1" x="30"/>
        <item m="1" x="157"/>
        <item m="1" x="227"/>
        <item m="1" x="18"/>
        <item m="1" x="59"/>
        <item m="1" x="257"/>
        <item m="1" x="191"/>
        <item m="1" x="124"/>
        <item m="1" x="51"/>
        <item m="1" x="252"/>
        <item m="1" x="186"/>
        <item m="1" x="121"/>
        <item m="1" x="47"/>
        <item m="1" x="247"/>
        <item m="1" x="44"/>
        <item m="1" x="246"/>
        <item m="1" x="177"/>
        <item m="1" x="112"/>
        <item m="1" x="239"/>
        <item m="1" x="106"/>
        <item m="1" x="31"/>
        <item m="1" x="234"/>
        <item m="1" x="164"/>
        <item m="1" x="97"/>
        <item m="1" x="23"/>
        <item m="1" x="158"/>
        <item m="1" x="89"/>
        <item m="1" x="16"/>
        <item m="1" x="222"/>
        <item m="1" x="108"/>
        <item m="1" x="33"/>
        <item m="1" x="167"/>
        <item m="1" x="102"/>
        <item m="1" x="27"/>
        <item m="1" x="232"/>
        <item m="1" x="163"/>
        <item m="1" x="93"/>
        <item m="1" x="225"/>
        <item m="1" x="155"/>
        <item m="1" x="88"/>
        <item m="1" x="15"/>
        <item m="1" x="220"/>
        <item m="1" x="11"/>
        <item m="1" x="216"/>
        <item m="1" x="148"/>
        <item m="1" x="79"/>
        <item m="1" x="6"/>
        <item m="1" x="73"/>
        <item m="1" x="1"/>
        <item m="1" x="207"/>
        <item m="1" x="139"/>
        <item m="1" x="68"/>
        <item m="1" x="198"/>
        <item m="1" x="133"/>
        <item m="1" x="194"/>
        <item m="1" x="127"/>
        <item m="1" x="55"/>
        <item m="1" x="256"/>
        <item m="1" x="188"/>
        <item m="1" x="249"/>
        <item m="1" x="182"/>
        <item m="1" x="118"/>
        <item m="1" x="39"/>
        <item m="1" x="240"/>
        <item m="1" x="172"/>
        <item m="1" x="107"/>
        <item m="1" x="32"/>
        <item m="1" x="100"/>
        <item m="1" x="25"/>
        <item m="1" x="230"/>
        <item m="1" x="160"/>
        <item m="1" x="92"/>
        <item m="1" x="109"/>
        <item m="1" x="36"/>
        <item m="1" x="236"/>
        <item m="1" x="170"/>
        <item m="1" x="104"/>
        <item m="1" x="29"/>
        <item m="1" x="95"/>
        <item m="1" x="21"/>
        <item m="1" x="226"/>
        <item m="1" x="156"/>
        <item m="1" x="221"/>
        <item m="1" x="152"/>
        <item m="1" x="84"/>
        <item m="1" x="12"/>
        <item m="1" x="217"/>
        <item m="1" x="7"/>
        <item m="1" x="212"/>
        <item m="1" x="145"/>
        <item m="1" x="74"/>
        <item m="1" x="3"/>
        <item m="1" x="70"/>
        <item m="1" x="13"/>
        <item m="1" x="151"/>
        <item m="1" x="83"/>
        <item m="1" x="146"/>
        <item m="1" x="78"/>
        <item m="1" x="5"/>
        <item m="1" x="211"/>
        <item m="1" x="144"/>
        <item m="1" x="206"/>
        <item m="1" x="138"/>
        <item m="1" x="67"/>
        <item m="1" x="266"/>
        <item m="1" x="202"/>
        <item m="1" x="262"/>
        <item m="1" x="196"/>
        <item m="1" x="130"/>
        <item m="1" x="60"/>
        <item m="1" x="258"/>
        <item m="1" x="192"/>
        <item m="1" x="52"/>
        <item m="1" x="253"/>
        <item m="1" x="187"/>
        <item m="1" x="64"/>
        <item m="1" x="265"/>
        <item m="1" x="62"/>
        <item m="1" x="261"/>
        <item m="1" x="195"/>
        <item m="1" x="128"/>
        <item m="1" x="57"/>
        <item m="1" x="123"/>
        <item m="1" x="49"/>
        <item m="1" x="250"/>
        <item m="1" x="183"/>
        <item m="1" x="119"/>
        <item m="1" x="179"/>
        <item m="1" x="114"/>
        <item m="1" x="40"/>
        <item m="1" x="241"/>
        <item m="1" x="173"/>
        <item m="1" x="168"/>
        <item m="1" x="103"/>
        <item m="1" x="28"/>
        <item m="1" x="233"/>
        <item x="0"/>
        <item t="default"/>
      </items>
    </pivotField>
    <pivotField compact="0" outline="0" showAll="0"/>
    <pivotField axis="axisPage" compact="0" outline="0" multipleItemSelectionAllowed="1" showAll="0" defaultSubtotal="0">
      <items count="3">
        <item h="1" m="1" x="1"/>
        <item m="1" x="2"/>
        <item h="1" x="0"/>
      </items>
    </pivotField>
    <pivotField compact="0" outline="0" showAll="0"/>
    <pivotField compact="0" outline="0" showAll="0"/>
    <pivotField axis="axisRow" compact="0" outline="0" showAll="0" sortType="ascending" defaultSubtotal="0">
      <items count="6933">
        <item m="1" x="6791"/>
        <item m="1" x="1946"/>
        <item m="1" x="6434"/>
        <item m="1" x="4006"/>
        <item m="1" x="2799"/>
        <item m="1" x="1582"/>
        <item m="1" x="359"/>
        <item m="1" x="6075"/>
        <item m="1" x="5473"/>
        <item m="1" x="4864"/>
        <item m="1" x="4254"/>
        <item m="1" x="3649"/>
        <item m="1" x="3055"/>
        <item m="1" x="2449"/>
        <item m="1" x="1839"/>
        <item m="1" x="1216"/>
        <item m="1" x="913"/>
        <item m="1" x="613"/>
        <item m="1" x="310"/>
        <item m="1" x="7"/>
        <item m="1" x="6633"/>
        <item m="1" x="6328"/>
        <item m="1" x="6024"/>
        <item m="1" x="5716"/>
        <item m="1" x="5413"/>
        <item m="1" x="5114"/>
        <item m="1" x="4813"/>
        <item m="1" x="4511"/>
        <item m="1" x="4207"/>
        <item m="1" x="3903"/>
        <item m="1" x="3601"/>
        <item m="1" x="3298"/>
        <item m="1" x="3144"/>
        <item m="1" x="2992"/>
        <item m="1" x="2843"/>
        <item m="1" x="2694"/>
        <item m="1" x="2545"/>
        <item m="1" x="2395"/>
        <item m="1" x="2246"/>
        <item m="1" x="2097"/>
        <item m="1" x="1943"/>
        <item m="1" x="1789"/>
        <item m="1" x="1635"/>
        <item m="1" x="1480"/>
        <item m="1" x="1325"/>
        <item m="1" x="1171"/>
        <item m="1" x="1017"/>
        <item m="1" x="864"/>
        <item m="1" x="710"/>
        <item m="1" x="554"/>
        <item m="1" x="401"/>
        <item m="1" x="249"/>
        <item m="1" x="100"/>
        <item m="1" x="6882"/>
        <item m="1" x="6731"/>
        <item m="1" x="6580"/>
        <item m="1" x="6431"/>
        <item m="1" x="6278"/>
        <item m="1" x="6127"/>
        <item m="1" x="5974"/>
        <item m="1" x="5823"/>
        <item m="1" x="5671"/>
        <item m="1" x="5519"/>
        <item m="1" x="5365"/>
        <item m="1" x="1836"/>
        <item m="1" x="5215"/>
        <item m="1" x="1682"/>
        <item m="1" x="5060"/>
        <item m="1" x="1524"/>
        <item m="1" x="4905"/>
        <item m="1" x="1367"/>
        <item m="1" x="4751"/>
        <item m="1" x="1213"/>
        <item m="1" x="4601"/>
        <item m="1" x="1061"/>
        <item m="1" x="4451"/>
        <item m="1" x="909"/>
        <item m="1" x="4302"/>
        <item m="1" x="760"/>
        <item m="1" x="4151"/>
        <item m="1" x="609"/>
        <item m="1" x="4001"/>
        <item m="1" x="460"/>
        <item m="1" x="3853"/>
        <item m="1" x="307"/>
        <item m="1" x="3703"/>
        <item m="1" x="156"/>
        <item m="1" x="3551"/>
        <item m="1" x="4"/>
        <item m="1" x="3402"/>
        <item m="1" x="6784"/>
        <item m="1" x="3251"/>
        <item m="1" x="6630"/>
        <item m="1" x="3100"/>
        <item m="1" x="6479"/>
        <item m="1" x="2947"/>
        <item m="1" x="6325"/>
        <item m="1" x="2795"/>
        <item m="1" x="6174"/>
        <item m="1" x="2645"/>
        <item m="1" x="6021"/>
        <item m="1" x="2492"/>
        <item m="1" x="5867"/>
        <item m="1" x="2337"/>
        <item m="1" x="5713"/>
        <item m="1" x="2184"/>
        <item m="1" x="5561"/>
        <item m="1" x="2034"/>
        <item m="1" x="5409"/>
        <item m="1" x="1882"/>
        <item m="1" x="5260"/>
        <item m="1" x="1730"/>
        <item m="1" x="5110"/>
        <item m="1" x="1576"/>
        <item m="1" x="4960"/>
        <item m="1" x="1424"/>
        <item m="1" x="4809"/>
        <item m="1" x="1273"/>
        <item m="1" x="4659"/>
        <item m="1" x="1119"/>
        <item m="1" x="4507"/>
        <item m="1" x="965"/>
        <item m="1" x="4356"/>
        <item m="1" x="813"/>
        <item m="1" x="4203"/>
        <item m="1" x="661"/>
        <item m="1" x="4051"/>
        <item m="1" x="508"/>
        <item m="1" x="5668"/>
        <item m="1" x="3899"/>
        <item m="1" x="2140"/>
        <item m="1" x="354"/>
        <item m="1" x="5516"/>
        <item m="1" x="3749"/>
        <item m="1" x="1988"/>
        <item m="1" x="202"/>
        <item m="1" x="5362"/>
        <item m="1" x="3597"/>
        <item m="1" x="1833"/>
        <item m="1" x="51"/>
        <item m="1" x="5212"/>
        <item m="1" x="3448"/>
        <item m="1" x="1679"/>
        <item m="1" x="6831"/>
        <item m="1" x="5058"/>
        <item m="1" x="3295"/>
        <item m="1" x="1522"/>
        <item m="1" x="6674"/>
        <item m="1" x="4903"/>
        <item m="1" x="3141"/>
        <item m="1" x="1365"/>
        <item m="1" x="6520"/>
        <item m="1" x="4748"/>
        <item m="1" x="2988"/>
        <item m="1" x="1210"/>
        <item m="1" x="6368"/>
        <item m="1" x="4598"/>
        <item m="1" x="2838"/>
        <item m="1" x="1058"/>
        <item m="1" x="6217"/>
        <item m="1" x="4448"/>
        <item m="1" x="2689"/>
        <item m="1" x="906"/>
        <item m="1" x="6068"/>
        <item m="1" x="4299"/>
        <item m="1" x="2540"/>
        <item m="1" x="757"/>
        <item m="1" x="5917"/>
        <item m="1" x="4148"/>
        <item m="1" x="2390"/>
        <item m="1" x="606"/>
        <item m="1" x="5769"/>
        <item m="1" x="3998"/>
        <item m="1" x="2241"/>
        <item m="1" x="457"/>
        <item m="1" x="5619"/>
        <item m="1" x="3850"/>
        <item m="1" x="2092"/>
        <item m="1" x="305"/>
        <item m="1" x="5468"/>
        <item m="1" x="3701"/>
        <item m="1" x="1939"/>
        <item m="1" x="154"/>
        <item m="1" x="5315"/>
        <item m="1" x="3549"/>
        <item m="1" x="1785"/>
        <item m="1" x="2"/>
        <item m="1" x="5165"/>
        <item m="1" x="3400"/>
        <item m="1" x="1631"/>
        <item m="1" x="6782"/>
        <item m="1" x="5012"/>
        <item m="1" x="3249"/>
        <item m="1" x="1476"/>
        <item m="1" x="6628"/>
        <item m="1" x="4859"/>
        <item m="1" x="3098"/>
        <item m="1" x="1321"/>
        <item m="1" x="6477"/>
        <item m="1" x="4706"/>
        <item m="1" x="2945"/>
        <item m="1" x="1167"/>
        <item m="1" x="6323"/>
        <item m="1" x="4555"/>
        <item m="1" x="2793"/>
        <item m="1" x="1013"/>
        <item m="1" x="6172"/>
        <item m="1" x="4403"/>
        <item m="1" x="2643"/>
        <item m="1" x="860"/>
        <item m="1" x="6019"/>
        <item m="1" x="4251"/>
        <item m="1" x="2491"/>
        <item m="1" x="707"/>
        <item m="1" x="5866"/>
        <item m="1" x="4095"/>
        <item m="1" x="2336"/>
        <item m="1" x="551"/>
        <item m="1" x="5712"/>
        <item m="1" x="3942"/>
        <item m="1" x="2182"/>
        <item m="1" x="397"/>
        <item m="1" x="5559"/>
        <item m="1" x="3791"/>
        <item m="1" x="2032"/>
        <item m="1" x="245"/>
        <item m="1" x="5407"/>
        <item m="1" x="3642"/>
        <item m="1" x="1880"/>
        <item m="1" x="96"/>
        <item m="1" x="5258"/>
        <item m="1" x="3494"/>
        <item m="1" x="1728"/>
        <item m="1" x="6878"/>
        <item m="1" x="5108"/>
        <item m="1" x="3346"/>
        <item m="1" x="1574"/>
        <item m="1" x="6727"/>
        <item m="1" x="4958"/>
        <item m="1" x="3197"/>
        <item m="1" x="1422"/>
        <item m="1" x="6576"/>
        <item m="1" x="4807"/>
        <item m="1" x="3048"/>
        <item m="1" x="1271"/>
        <item m="1" x="6427"/>
        <item m="1" x="4658"/>
        <item m="1" x="2898"/>
        <item m="1" x="1118"/>
        <item m="1" x="6275"/>
        <item m="1" x="4506"/>
        <item m="1" x="2746"/>
        <item m="1" x="964"/>
        <item m="1" x="6124"/>
        <item m="1" x="4355"/>
        <item m="1" x="2596"/>
        <item m="1" x="5164"/>
        <item m="1" x="812"/>
        <item m="1" x="3399"/>
        <item m="1" x="5971"/>
        <item m="1" x="1630"/>
        <item m="1" x="4202"/>
        <item m="1" x="6781"/>
        <item m="1" x="2444"/>
        <item m="1" x="5011"/>
        <item m="1" x="660"/>
        <item m="1" x="3248"/>
        <item m="1" x="5820"/>
        <item m="1" x="1475"/>
        <item m="1" x="4050"/>
        <item m="1" x="6627"/>
        <item m="1" x="2292"/>
        <item m="1" x="4858"/>
        <item m="1" x="507"/>
        <item m="1" x="3097"/>
        <item m="1" x="5667"/>
        <item m="1" x="1320"/>
        <item m="1" x="3898"/>
        <item m="1" x="6476"/>
        <item m="1" x="2139"/>
        <item m="1" x="4705"/>
        <item m="1" x="353"/>
        <item m="1" x="2944"/>
        <item m="1" x="5515"/>
        <item m="1" x="1166"/>
        <item m="1" x="3748"/>
        <item m="1" x="6322"/>
        <item m="1" x="1987"/>
        <item m="1" x="4554"/>
        <item m="1" x="201"/>
        <item m="1" x="2792"/>
        <item m="1" x="5361"/>
        <item m="1" x="1012"/>
        <item m="1" x="3596"/>
        <item m="1" x="6171"/>
        <item m="1" x="1832"/>
        <item m="1" x="4402"/>
        <item m="1" x="50"/>
        <item m="1" x="2642"/>
        <item m="1" x="5211"/>
        <item m="1" x="859"/>
        <item m="1" x="3447"/>
        <item m="1" x="6018"/>
        <item m="1" x="1678"/>
        <item m="1" x="4250"/>
        <item m="1" x="6830"/>
        <item m="1" x="2490"/>
        <item m="1" x="5057"/>
        <item m="1" x="706"/>
        <item m="1" x="3294"/>
        <item m="1" x="5865"/>
        <item m="1" x="1521"/>
        <item m="1" x="4094"/>
        <item m="1" x="6673"/>
        <item m="1" x="2335"/>
        <item m="1" x="4902"/>
        <item m="1" x="550"/>
        <item m="1" x="3140"/>
        <item m="1" x="5711"/>
        <item m="1" x="1364"/>
        <item m="1" x="3941"/>
        <item m="1" x="6519"/>
        <item m="1" x="2181"/>
        <item m="1" x="4747"/>
        <item m="1" x="396"/>
        <item m="1" x="2987"/>
        <item m="1" x="5558"/>
        <item m="1" x="1209"/>
        <item m="1" x="3790"/>
        <item m="1" x="6367"/>
        <item m="1" x="2031"/>
        <item m="1" x="4597"/>
        <item m="1" x="244"/>
        <item m="1" x="2837"/>
        <item m="1" x="5406"/>
        <item m="1" x="1057"/>
        <item m="1" x="3641"/>
        <item m="1" x="6216"/>
        <item m="1" x="1879"/>
        <item m="1" x="4447"/>
        <item m="1" x="95"/>
        <item m="1" x="2688"/>
        <item m="1" x="5257"/>
        <item m="1" x="905"/>
        <item m="1" x="3493"/>
        <item m="1" x="6067"/>
        <item m="1" x="1727"/>
        <item m="1" x="4298"/>
        <item m="1" x="6877"/>
        <item m="1" x="2539"/>
        <item m="1" x="5107"/>
        <item m="1" x="756"/>
        <item m="1" x="3345"/>
        <item m="1" x="5916"/>
        <item m="1" x="1573"/>
        <item m="1" x="4147"/>
        <item m="1" x="6726"/>
        <item m="1" x="2389"/>
        <item m="1" x="4957"/>
        <item m="1" x="605"/>
        <item m="1" x="3196"/>
        <item m="1" x="5768"/>
        <item m="1" x="1421"/>
        <item m="1" x="3997"/>
        <item m="1" x="6575"/>
        <item m="1" x="2240"/>
        <item m="1" x="4806"/>
        <item m="1" x="456"/>
        <item m="1" x="3047"/>
        <item m="1" x="5618"/>
        <item m="1" x="1270"/>
        <item m="1" x="3849"/>
        <item m="1" x="6426"/>
        <item m="1" x="2091"/>
        <item m="1" x="4657"/>
        <item m="1" x="304"/>
        <item m="1" x="2897"/>
        <item m="1" x="5467"/>
        <item m="1" x="1117"/>
        <item m="1" x="3700"/>
        <item m="1" x="6274"/>
        <item m="1" x="1938"/>
        <item m="1" x="4505"/>
        <item m="1" x="153"/>
        <item m="1" x="2745"/>
        <item m="1" x="5314"/>
        <item m="1" x="963"/>
        <item m="1" x="3548"/>
        <item m="1" x="6123"/>
        <item m="1" x="1784"/>
        <item m="1" x="4354"/>
        <item m="1" x="1"/>
        <item m="1" x="2595"/>
        <item m="1" x="5163"/>
        <item m="1" x="811"/>
        <item m="1" x="3398"/>
        <item m="1" x="5970"/>
        <item m="1" x="1629"/>
        <item m="1" x="4201"/>
        <item m="1" x="6780"/>
        <item m="1" x="2443"/>
        <item m="1" x="5010"/>
        <item m="1" x="659"/>
        <item m="1" x="3247"/>
        <item m="1" x="5819"/>
        <item m="1" x="1474"/>
        <item m="1" x="4049"/>
        <item m="1" x="6626"/>
        <item m="1" x="2291"/>
        <item m="1" x="4857"/>
        <item m="1" x="506"/>
        <item m="1" x="3096"/>
        <item m="1" x="5666"/>
        <item m="1" x="1319"/>
        <item m="1" x="3897"/>
        <item m="1" x="6475"/>
        <item m="1" x="2138"/>
        <item m="1" x="4704"/>
        <item m="1" x="352"/>
        <item m="1" x="2943"/>
        <item m="1" x="5514"/>
        <item m="1" x="1165"/>
        <item m="1" x="3747"/>
        <item m="1" x="6321"/>
        <item m="1" x="1986"/>
        <item m="1" x="4553"/>
        <item m="1" x="200"/>
        <item m="1" x="2791"/>
        <item m="1" x="5360"/>
        <item m="1" x="1011"/>
        <item m="1" x="3595"/>
        <item m="1" x="6170"/>
        <item m="1" x="1831"/>
        <item m="1" x="4401"/>
        <item m="1" x="49"/>
        <item m="1" x="2641"/>
        <item m="1" x="5210"/>
        <item m="1" x="858"/>
        <item m="1" x="3446"/>
        <item m="1" x="6017"/>
        <item m="1" x="1677"/>
        <item m="1" x="4249"/>
        <item m="1" x="6829"/>
        <item m="1" x="2489"/>
        <item m="1" x="5056"/>
        <item m="1" x="705"/>
        <item m="1" x="3293"/>
        <item m="1" x="5864"/>
        <item m="1" x="1520"/>
        <item m="1" x="4093"/>
        <item m="1" x="6672"/>
        <item m="1" x="2334"/>
        <item m="1" x="4901"/>
        <item m="1" x="549"/>
        <item m="1" x="3139"/>
        <item m="1" x="5710"/>
        <item m="1" x="1363"/>
        <item m="1" x="3940"/>
        <item m="1" x="6518"/>
        <item m="1" x="2180"/>
        <item m="1" x="4746"/>
        <item m="1" x="395"/>
        <item m="1" x="2986"/>
        <item m="1" x="5557"/>
        <item m="1" x="1208"/>
        <item m="1" x="3789"/>
        <item m="1" x="6366"/>
        <item m="1" x="2030"/>
        <item m="1" x="4596"/>
        <item m="1" x="243"/>
        <item m="1" x="2836"/>
        <item m="1" x="5405"/>
        <item m="1" x="1056"/>
        <item m="1" x="3640"/>
        <item m="1" x="6215"/>
        <item m="1" x="1878"/>
        <item m="1" x="4446"/>
        <item m="1" x="94"/>
        <item m="1" x="2687"/>
        <item m="1" x="5256"/>
        <item m="1" x="904"/>
        <item m="1" x="3492"/>
        <item m="1" x="6066"/>
        <item m="1" x="1726"/>
        <item m="1" x="4297"/>
        <item m="1" x="6876"/>
        <item m="1" x="2538"/>
        <item m="1" x="5106"/>
        <item m="1" x="755"/>
        <item m="1" x="3344"/>
        <item m="1" x="5915"/>
        <item m="1" x="1572"/>
        <item m="1" x="4146"/>
        <item m="1" x="6725"/>
        <item m="1" x="2388"/>
        <item m="1" x="4956"/>
        <item m="1" x="604"/>
        <item m="1" x="3195"/>
        <item m="1" x="5767"/>
        <item m="1" x="1420"/>
        <item m="1" x="3996"/>
        <item m="1" x="6574"/>
        <item m="1" x="2239"/>
        <item m="1" x="4805"/>
        <item m="1" x="455"/>
        <item m="1" x="3046"/>
        <item m="1" x="5617"/>
        <item m="1" x="1269"/>
        <item m="1" x="3848"/>
        <item m="1" x="6425"/>
        <item m="1" x="2090"/>
        <item m="1" x="4656"/>
        <item m="1" x="5947"/>
        <item m="1" x="303"/>
        <item m="1" x="1606"/>
        <item m="1" x="2896"/>
        <item m="1" x="4178"/>
        <item m="1" x="5466"/>
        <item m="1" x="6757"/>
        <item m="1" x="1116"/>
        <item m="1" x="2420"/>
        <item m="1" x="3699"/>
        <item m="1" x="4987"/>
        <item m="1" x="6273"/>
        <item m="1" x="636"/>
        <item m="1" x="1937"/>
        <item m="1" x="3224"/>
        <item m="1" x="4504"/>
        <item m="1" x="5796"/>
        <item m="1" x="152"/>
        <item m="1" x="1450"/>
        <item m="1" x="2744"/>
        <item m="1" x="4026"/>
        <item m="1" x="5313"/>
        <item m="1" x="6603"/>
        <item m="1" x="962"/>
        <item m="1" x="2268"/>
        <item m="1" x="3547"/>
        <item m="1" x="4834"/>
        <item m="1" x="6122"/>
        <item m="1" x="483"/>
        <item m="1" x="1783"/>
        <item m="1" x="3073"/>
        <item m="1" x="4353"/>
        <item m="1" x="5643"/>
        <item m="1" x="6932"/>
        <item m="1" x="1296"/>
        <item m="1" x="2594"/>
        <item m="1" x="3874"/>
        <item m="1" x="5162"/>
        <item m="1" x="6452"/>
        <item m="1" x="810"/>
        <item m="1" x="2115"/>
        <item m="1" x="3397"/>
        <item m="1" x="4681"/>
        <item m="1" x="5969"/>
        <item m="1" x="329"/>
        <item m="1" x="1628"/>
        <item m="1" x="2920"/>
        <item m="1" x="4200"/>
        <item m="1" x="5491"/>
        <item m="1" x="6779"/>
        <item m="1" x="1142"/>
        <item m="1" x="2442"/>
        <item m="1" x="3724"/>
        <item m="1" x="5009"/>
        <item m="1" x="6298"/>
        <item m="1" x="658"/>
        <item m="1" x="1963"/>
        <item m="1" x="3246"/>
        <item m="1" x="4530"/>
        <item m="1" x="5818"/>
        <item m="1" x="177"/>
        <item m="1" x="1472"/>
        <item m="1" x="2768"/>
        <item m="1" x="4048"/>
        <item m="1" x="5337"/>
        <item m="1" x="6625"/>
        <item m="1" x="988"/>
        <item m="1" x="2290"/>
        <item m="1" x="3572"/>
        <item m="1" x="4856"/>
        <item m="1" x="6147"/>
        <item m="1" x="505"/>
        <item m="1" x="1808"/>
        <item m="1" x="3095"/>
        <item m="1" x="4378"/>
        <item m="1" x="5665"/>
        <item m="1" x="26"/>
        <item m="1" x="1318"/>
        <item m="1" x="2618"/>
        <item m="1" x="3896"/>
        <item m="1" x="5187"/>
        <item m="1" x="6474"/>
        <item m="1" x="835"/>
        <item m="1" x="2137"/>
        <item m="1" x="3423"/>
        <item m="1" x="4703"/>
        <item m="1" x="5994"/>
        <item m="1" x="351"/>
        <item m="1" x="1654"/>
        <item m="1" x="2942"/>
        <item m="1" x="4226"/>
        <item m="1" x="5513"/>
        <item m="1" x="6806"/>
        <item m="1" x="1164"/>
        <item m="1" x="2467"/>
        <item m="1" x="3746"/>
        <item m="1" x="5034"/>
        <item m="1" x="6320"/>
        <item m="1" x="683"/>
        <item m="1" x="1985"/>
        <item m="1" x="3272"/>
        <item m="1" x="4552"/>
        <item m="1" x="5843"/>
        <item m="1" x="199"/>
        <item m="1" x="1499"/>
        <item m="1" x="2790"/>
        <item m="1" x="4073"/>
        <item m="1" x="5359"/>
        <item m="1" x="6652"/>
        <item m="1" x="1010"/>
        <item m="1" x="2314"/>
        <item m="1" x="3594"/>
        <item m="1" x="4882"/>
        <item m="1" x="6169"/>
        <item m="1" x="530"/>
        <item m="1" x="1830"/>
        <item m="1" x="3121"/>
        <item m="1" x="4400"/>
        <item m="1" x="5691"/>
        <item m="1" x="48"/>
        <item m="1" x="1344"/>
        <item m="1" x="2640"/>
        <item m="1" x="3922"/>
        <item m="1" x="5209"/>
        <item m="1" x="6500"/>
        <item m="1" x="857"/>
        <item m="1" x="2162"/>
        <item m="1" x="3445"/>
        <item m="1" x="4728"/>
        <item m="1" x="6016"/>
        <item m="1" x="377"/>
        <item m="1" x="1676"/>
        <item m="1" x="2968"/>
        <item m="1" x="4248"/>
        <item m="1" x="5539"/>
        <item m="1" x="6828"/>
        <item m="1" x="1190"/>
        <item m="1" x="2488"/>
        <item m="1" x="3770"/>
        <item m="1" x="5055"/>
        <item m="1" x="6346"/>
        <item m="1" x="704"/>
        <item m="1" x="2009"/>
        <item m="1" x="3292"/>
        <item m="1" x="4575"/>
        <item m="1" x="5863"/>
        <item m="1" x="222"/>
        <item m="1" x="1519"/>
        <item m="1" x="2814"/>
        <item m="1" x="4092"/>
        <item m="1" x="5382"/>
        <item m="1" x="6671"/>
        <item m="1" x="1033"/>
        <item m="1" x="2333"/>
        <item m="1" x="3616"/>
        <item m="1" x="4900"/>
        <item m="1" x="6191"/>
        <item m="1" x="548"/>
        <item m="1" x="1853"/>
        <item m="1" x="3138"/>
        <item m="1" x="4420"/>
        <item m="1" x="5708"/>
        <item m="1" x="68"/>
        <item m="1" x="1361"/>
        <item m="1" x="2660"/>
        <item m="1" x="3938"/>
        <item m="1" x="5229"/>
        <item m="1" x="6516"/>
        <item m="1" x="877"/>
        <item m="1" x="2178"/>
        <item m="1" x="3463"/>
        <item m="1" x="4744"/>
        <item m="1" x="6037"/>
        <item m="1" x="393"/>
        <item m="1" x="1697"/>
        <item m="1" x="2984"/>
        <item m="1" x="4268"/>
        <item m="1" x="5555"/>
        <item m="1" x="6847"/>
        <item m="1" x="1206"/>
        <item m="1" x="2509"/>
        <item m="1" x="3787"/>
        <item m="1" x="5077"/>
        <item m="1" x="6364"/>
        <item m="1" x="726"/>
        <item m="1" x="2028"/>
        <item m="1" x="3315"/>
        <item m="1" x="4594"/>
        <item m="1" x="5886"/>
        <item m="1" x="241"/>
        <item m="1" x="1543"/>
        <item m="1" x="2834"/>
        <item m="1" x="4116"/>
        <item m="1" x="5403"/>
        <item m="1" x="6695"/>
        <item m="1" x="1054"/>
        <item m="1" x="2359"/>
        <item m="1" x="3638"/>
        <item m="1" x="4926"/>
        <item m="1" x="6213"/>
        <item m="1" x="574"/>
        <item m="1" x="1876"/>
        <item m="1" x="3165"/>
        <item m="1" x="4444"/>
        <item m="1" x="5737"/>
        <item m="1" x="92"/>
        <item m="1" x="1390"/>
        <item m="1" x="2685"/>
        <item m="1" x="3966"/>
        <item m="1" x="5254"/>
        <item m="1" x="6544"/>
        <item m="1" x="902"/>
        <item m="1" x="2209"/>
        <item m="1" x="3490"/>
        <item m="1" x="4775"/>
        <item m="1" x="6064"/>
        <item m="1" x="424"/>
        <item m="1" x="1724"/>
        <item m="1" x="3015"/>
        <item m="1" x="4295"/>
        <item m="1" x="5586"/>
        <item m="1" x="6874"/>
        <item m="1" x="1238"/>
        <item m="1" x="2536"/>
        <item m="1" x="3817"/>
        <item m="1" x="5104"/>
        <item m="1" x="6394"/>
        <item m="1" x="753"/>
        <item m="1" x="2059"/>
        <item m="1" x="3342"/>
        <item m="1" x="4625"/>
        <item m="1" x="5913"/>
        <item m="1" x="272"/>
        <item m="1" x="1570"/>
        <item m="1" x="2866"/>
        <item m="1" x="4144"/>
        <item m="1" x="5436"/>
        <item m="1" x="6723"/>
        <item m="1" x="1086"/>
        <item m="1" x="2386"/>
        <item m="1" x="3670"/>
        <item m="1" x="4954"/>
        <item m="1" x="6244"/>
        <item m="1" x="602"/>
        <item m="1" x="1908"/>
        <item m="1" x="3193"/>
        <item m="1" x="4476"/>
        <item m="1" x="5765"/>
        <item m="1" x="124"/>
        <item m="1" x="1418"/>
        <item m="1" x="2717"/>
        <item m="1" x="3994"/>
        <item m="1" x="5286"/>
        <item m="1" x="6572"/>
        <item m="1" x="935"/>
        <item m="1" x="2237"/>
        <item m="1" x="3521"/>
        <item m="1" x="4803"/>
        <item m="1" x="6096"/>
        <item m="1" x="453"/>
        <item m="1" x="1757"/>
        <item m="1" x="3044"/>
        <item m="1" x="4328"/>
        <item m="1" x="5615"/>
        <item m="1" x="6907"/>
        <item m="1" x="1267"/>
        <item m="1" x="2569"/>
        <item m="1" x="3846"/>
        <item m="1" x="5138"/>
        <item m="1" x="6423"/>
        <item m="1" x="786"/>
        <item m="1" x="2088"/>
        <item m="1" x="3374"/>
        <item m="1" x="4654"/>
        <item m="1" x="5945"/>
        <item m="1" x="301"/>
        <item m="1" x="1604"/>
        <item m="1" x="2894"/>
        <item m="1" x="4176"/>
        <item m="1" x="5464"/>
        <item m="1" x="6755"/>
        <item m="1" x="1114"/>
        <item m="1" x="2418"/>
        <item m="1" x="3697"/>
        <item m="1" x="4985"/>
        <item m="1" x="6271"/>
        <item m="1" x="634"/>
        <item m="1" x="1935"/>
        <item m="1" x="3222"/>
        <item m="1" x="4502"/>
        <item m="1" x="5794"/>
        <item m="1" x="150"/>
        <item m="1" x="1448"/>
        <item m="1" x="2742"/>
        <item m="1" x="4024"/>
        <item m="1" x="5311"/>
        <item m="1" x="6601"/>
        <item m="1" x="960"/>
        <item m="1" x="2266"/>
        <item m="1" x="3545"/>
        <item m="1" x="4832"/>
        <item m="1" x="6120"/>
        <item m="1" x="481"/>
        <item m="1" x="1781"/>
        <item m="1" x="3071"/>
        <item m="1" x="4351"/>
        <item m="1" x="5641"/>
        <item m="1" x="6930"/>
        <item m="1" x="1294"/>
        <item m="1" x="2592"/>
        <item m="1" x="3872"/>
        <item m="1" x="5160"/>
        <item m="1" x="6450"/>
        <item m="1" x="808"/>
        <item m="1" x="2113"/>
        <item m="1" x="3395"/>
        <item m="1" x="4679"/>
        <item m="1" x="5967"/>
        <item m="1" x="327"/>
        <item m="1" x="1626"/>
        <item m="1" x="2918"/>
        <item m="1" x="4198"/>
        <item m="1" x="5489"/>
        <item m="1" x="6777"/>
        <item m="1" x="1140"/>
        <item m="1" x="2440"/>
        <item m="1" x="3722"/>
        <item m="1" x="5007"/>
        <item m="1" x="6296"/>
        <item m="1" x="656"/>
        <item m="1" x="1961"/>
        <item m="1" x="3244"/>
        <item m="1" x="4528"/>
        <item m="1" x="5816"/>
        <item m="1" x="175"/>
        <item m="1" x="1470"/>
        <item m="1" x="2766"/>
        <item m="1" x="4046"/>
        <item m="1" x="5335"/>
        <item m="1" x="6623"/>
        <item m="1" x="986"/>
        <item m="1" x="2288"/>
        <item m="1" x="3570"/>
        <item m="1" x="4854"/>
        <item m="1" x="6145"/>
        <item m="1" x="503"/>
        <item m="1" x="1806"/>
        <item m="1" x="3093"/>
        <item m="1" x="4376"/>
        <item m="1" x="5663"/>
        <item m="1" x="24"/>
        <item m="1" x="1316"/>
        <item m="1" x="2616"/>
        <item m="1" x="3894"/>
        <item m="1" x="5185"/>
        <item m="1" x="6472"/>
        <item m="1" x="833"/>
        <item m="1" x="2135"/>
        <item m="1" x="3421"/>
        <item m="1" x="4701"/>
        <item m="1" x="5992"/>
        <item m="1" x="349"/>
        <item m="1" x="1652"/>
        <item m="1" x="2940"/>
        <item m="1" x="4224"/>
        <item m="1" x="5511"/>
        <item m="1" x="6804"/>
        <item m="1" x="1162"/>
        <item m="1" x="2465"/>
        <item m="1" x="3744"/>
        <item m="1" x="5032"/>
        <item m="1" x="6318"/>
        <item m="1" x="681"/>
        <item m="1" x="1983"/>
        <item m="1" x="3270"/>
        <item m="1" x="4550"/>
        <item m="1" x="5841"/>
        <item m="1" x="197"/>
        <item m="1" x="1497"/>
        <item m="1" x="2788"/>
        <item m="1" x="4071"/>
        <item m="1" x="5357"/>
        <item m="1" x="6650"/>
        <item m="1" x="1008"/>
        <item m="1" x="2312"/>
        <item m="1" x="3592"/>
        <item m="1" x="4880"/>
        <item m="1" x="6167"/>
        <item m="1" x="528"/>
        <item m="1" x="1828"/>
        <item m="1" x="3119"/>
        <item m="1" x="4398"/>
        <item m="1" x="5689"/>
        <item m="1" x="46"/>
        <item m="1" x="1342"/>
        <item m="1" x="2638"/>
        <item m="1" x="3920"/>
        <item m="1" x="5207"/>
        <item m="1" x="6498"/>
        <item m="1" x="855"/>
        <item m="1" x="2160"/>
        <item m="1" x="3443"/>
        <item m="1" x="4726"/>
        <item m="1" x="6014"/>
        <item m="1" x="375"/>
        <item m="1" x="1674"/>
        <item m="1" x="2966"/>
        <item m="1" x="4246"/>
        <item m="1" x="5537"/>
        <item m="1" x="6826"/>
        <item m="1" x="1188"/>
        <item m="1" x="2487"/>
        <item m="1" x="3769"/>
        <item m="1" x="5054"/>
        <item m="1" x="6345"/>
        <item m="1" x="703"/>
        <item m="1" x="2008"/>
        <item m="1" x="3291"/>
        <item m="1" x="4574"/>
        <item m="1" x="5862"/>
        <item m="1" x="221"/>
        <item m="1" x="1518"/>
        <item m="1" x="2813"/>
        <item m="1" x="4091"/>
        <item m="1" x="5381"/>
        <item m="1" x="6670"/>
        <item m="1" x="1032"/>
        <item m="1" x="2332"/>
        <item m="1" x="3615"/>
        <item m="1" x="4899"/>
        <item m="1" x="6190"/>
        <item m="1" x="547"/>
        <item m="1" x="1852"/>
        <item m="1" x="3137"/>
        <item m="1" x="4419"/>
        <item m="1" x="5707"/>
        <item m="1" x="67"/>
        <item m="1" x="1360"/>
        <item m="1" x="2659"/>
        <item m="1" x="3937"/>
        <item m="1" x="5228"/>
        <item m="1" x="6515"/>
        <item m="1" x="876"/>
        <item m="1" x="2177"/>
        <item m="1" x="3462"/>
        <item m="1" x="4743"/>
        <item m="1" x="6036"/>
        <item m="1" x="392"/>
        <item m="1" x="1695"/>
        <item m="1" x="2982"/>
        <item m="1" x="4266"/>
        <item m="1" x="5553"/>
        <item m="1" x="6845"/>
        <item m="1" x="1204"/>
        <item m="1" x="2507"/>
        <item m="1" x="3785"/>
        <item m="1" x="5075"/>
        <item m="1" x="6362"/>
        <item m="1" x="724"/>
        <item m="1" x="2026"/>
        <item m="1" x="3313"/>
        <item m="1" x="4592"/>
        <item m="1" x="5884"/>
        <item m="1" x="239"/>
        <item m="1" x="1541"/>
        <item m="1" x="2832"/>
        <item m="1" x="4114"/>
        <item m="1" x="5401"/>
        <item m="1" x="6693"/>
        <item m="1" x="1052"/>
        <item m="1" x="2357"/>
        <item m="1" x="3636"/>
        <item m="1" x="4924"/>
        <item m="1" x="6211"/>
        <item m="1" x="572"/>
        <item m="1" x="1874"/>
        <item m="1" x="3163"/>
        <item m="1" x="4442"/>
        <item m="1" x="5735"/>
        <item m="1" x="90"/>
        <item m="1" x="1388"/>
        <item m="1" x="2683"/>
        <item m="1" x="3964"/>
        <item m="1" x="5252"/>
        <item m="1" x="6542"/>
        <item m="1" x="900"/>
        <item m="1" x="2207"/>
        <item m="1" x="3488"/>
        <item m="1" x="4773"/>
        <item m="1" x="6062"/>
        <item m="1" x="422"/>
        <item m="1" x="1722"/>
        <item m="1" x="3013"/>
        <item m="1" x="4293"/>
        <item m="1" x="5584"/>
        <item m="1" x="6872"/>
        <item m="1" x="1236"/>
        <item m="1" x="2534"/>
        <item m="1" x="3815"/>
        <item m="1" x="5102"/>
        <item m="1" x="6392"/>
        <item m="1" x="751"/>
        <item m="1" x="2057"/>
        <item m="1" x="3340"/>
        <item m="1" x="4623"/>
        <item m="1" x="5911"/>
        <item m="1" x="270"/>
        <item m="1" x="1568"/>
        <item m="1" x="2864"/>
        <item m="1" x="4142"/>
        <item m="1" x="5434"/>
        <item m="1" x="6721"/>
        <item m="1" x="437"/>
        <item m="1" x="1084"/>
        <item m="1" x="1741"/>
        <item m="1" x="2385"/>
        <item m="1" x="3028"/>
        <item m="1" x="3668"/>
        <item m="1" x="4312"/>
        <item m="1" x="4952"/>
        <item m="1" x="5599"/>
        <item m="1" x="6242"/>
        <item m="1" x="6891"/>
        <item m="1" x="600"/>
        <item m="1" x="1251"/>
        <item m="1" x="1906"/>
        <item m="1" x="2553"/>
        <item m="1" x="3191"/>
        <item m="1" x="3830"/>
        <item m="1" x="4474"/>
        <item m="1" x="5122"/>
        <item m="1" x="5763"/>
        <item m="1" x="6407"/>
        <item m="1" x="122"/>
        <item m="1" x="770"/>
        <item m="1" x="1416"/>
        <item m="1" x="2072"/>
        <item m="1" x="2715"/>
        <item m="1" x="3358"/>
        <item m="1" x="3992"/>
        <item m="1" x="4638"/>
        <item m="1" x="5284"/>
        <item m="1" x="5929"/>
        <item m="1" x="6570"/>
        <item m="1" x="285"/>
        <item m="1" x="933"/>
        <item m="1" x="1588"/>
        <item m="1" x="2235"/>
        <item m="1" x="2879"/>
        <item m="1" x="3519"/>
        <item m="1" x="4161"/>
        <item m="1" x="4801"/>
        <item m="1" x="5449"/>
        <item m="1" x="6094"/>
        <item m="1" x="6740"/>
        <item m="1" x="451"/>
        <item m="1" x="1099"/>
        <item m="1" x="1755"/>
        <item m="1" x="2403"/>
        <item m="1" x="3042"/>
        <item m="1" x="3683"/>
        <item m="1" x="4326"/>
        <item m="1" x="4971"/>
        <item m="1" x="5613"/>
        <item m="1" x="6257"/>
        <item m="1" x="6905"/>
        <item m="1" x="620"/>
        <item m="1" x="1265"/>
        <item m="1" x="1921"/>
        <item m="1" x="2567"/>
        <item m="1" x="3209"/>
        <item m="1" x="3844"/>
        <item m="1" x="4489"/>
        <item m="1" x="5136"/>
        <item m="1" x="5781"/>
        <item m="1" x="6421"/>
        <item m="1" x="137"/>
        <item m="1" x="784"/>
        <item m="1" x="1435"/>
        <item m="1" x="2086"/>
        <item m="1" x="2730"/>
        <item m="1" x="3372"/>
        <item m="1" x="4012"/>
        <item m="1" x="4652"/>
        <item m="1" x="5299"/>
        <item m="1" x="5943"/>
        <item m="1" x="6589"/>
        <item m="1" x="299"/>
        <item m="1" x="948"/>
        <item m="1" x="1602"/>
        <item m="1" x="2254"/>
        <item m="1" x="2893"/>
        <item m="1" x="3534"/>
        <item m="1" x="4175"/>
        <item m="1" x="4821"/>
        <item m="1" x="5463"/>
        <item m="1" x="6109"/>
        <item m="1" x="6754"/>
        <item m="1" x="470"/>
        <item m="1" x="1113"/>
        <item m="1" x="1770"/>
        <item m="1" x="2417"/>
        <item m="1" x="3060"/>
        <item m="1" x="3696"/>
        <item m="1" x="4340"/>
        <item m="1" x="4984"/>
        <item m="1" x="5630"/>
        <item m="1" x="6270"/>
        <item m="1" x="6919"/>
        <item m="1" x="633"/>
        <item m="1" x="1283"/>
        <item m="1" x="1934"/>
        <item m="1" x="2581"/>
        <item m="1" x="3221"/>
        <item m="1" x="3861"/>
        <item m="1" x="4501"/>
        <item m="1" x="5149"/>
        <item m="1" x="5793"/>
        <item m="1" x="6439"/>
        <item m="1" x="149"/>
        <item m="1" x="797"/>
        <item m="1" x="1447"/>
        <item m="1" x="2741"/>
        <item m="1" x="3384"/>
        <item m="1" x="4023"/>
        <item m="1" x="4668"/>
        <item m="1" x="5310"/>
        <item m="1" x="5956"/>
        <item m="1" x="6600"/>
        <item m="1" x="316"/>
        <item m="1" x="959"/>
        <item m="1" x="1615"/>
        <item m="1" x="2265"/>
        <item m="1" x="2907"/>
        <item m="1" x="3544"/>
        <item m="1" x="4187"/>
        <item m="1" x="4831"/>
        <item m="1" x="5478"/>
        <item m="1" x="6119"/>
        <item m="1" x="6766"/>
        <item m="1" x="480"/>
        <item m="1" x="1128"/>
        <item m="1" x="1780"/>
        <item m="1" x="2429"/>
        <item m="1" x="3070"/>
        <item m="1" x="3711"/>
        <item m="1" x="4350"/>
        <item m="1" x="4996"/>
        <item m="1" x="5640"/>
        <item m="1" x="6285"/>
        <item m="1" x="6929"/>
        <item m="1" x="645"/>
        <item m="1" x="1293"/>
        <item m="1" x="1950"/>
        <item m="1" x="2591"/>
        <item m="1" x="3233"/>
        <item m="1" x="3871"/>
        <item m="1" x="4517"/>
        <item m="1" x="5159"/>
        <item m="1" x="5805"/>
        <item m="1" x="6449"/>
        <item m="1" x="164"/>
        <item m="1" x="807"/>
        <item m="1" x="1459"/>
        <item m="1" x="2112"/>
        <item m="1" x="2755"/>
        <item m="1" x="3394"/>
        <item m="1" x="4035"/>
        <item m="1" x="4678"/>
        <item m="1" x="5324"/>
        <item m="1" x="5966"/>
        <item m="1" x="6612"/>
        <item m="1" x="326"/>
        <item m="1" x="975"/>
        <item m="1" x="1625"/>
        <item m="1" x="2277"/>
        <item m="1" x="2917"/>
        <item m="1" x="3559"/>
        <item m="1" x="4197"/>
        <item m="1" x="4843"/>
        <item m="1" x="5488"/>
        <item m="1" x="6134"/>
        <item m="1" x="6776"/>
        <item m="1" x="492"/>
        <item m="1" x="1139"/>
        <item m="1" x="1795"/>
        <item m="1" x="2439"/>
        <item m="1" x="3082"/>
        <item m="1" x="3721"/>
        <item m="1" x="4365"/>
        <item m="1" x="5006"/>
        <item m="1" x="5652"/>
        <item m="1" x="6295"/>
        <item m="1" x="13"/>
        <item m="1" x="655"/>
        <item m="1" x="1305"/>
        <item m="1" x="1960"/>
        <item m="1" x="2605"/>
        <item m="1" x="3243"/>
        <item m="1" x="3883"/>
        <item m="1" x="4527"/>
        <item m="1" x="5174"/>
        <item m="1" x="5815"/>
        <item m="1" x="6461"/>
        <item m="1" x="174"/>
        <item m="1" x="822"/>
        <item m="1" x="1469"/>
        <item m="1" x="2124"/>
        <item m="1" x="2765"/>
        <item m="1" x="3410"/>
        <item m="1" x="4045"/>
        <item m="1" x="4690"/>
        <item m="1" x="5334"/>
        <item m="1" x="5981"/>
        <item m="1" x="6622"/>
        <item m="1" x="338"/>
        <item m="1" x="985"/>
        <item m="1" x="1641"/>
        <item m="1" x="2287"/>
        <item m="1" x="2929"/>
        <item m="1" x="3569"/>
        <item m="1" x="4213"/>
        <item m="1" x="4853"/>
        <item m="1" x="5500"/>
        <item m="1" x="6144"/>
        <item m="1" x="6793"/>
        <item m="1" x="502"/>
        <item m="1" x="1151"/>
        <item m="1" x="1805"/>
        <item m="1" x="2454"/>
        <item m="1" x="3092"/>
        <item m="1" x="3733"/>
        <item m="1" x="4375"/>
        <item m="1" x="5021"/>
        <item m="1" x="5662"/>
        <item m="1" x="6307"/>
        <item m="1" x="23"/>
        <item m="1" x="670"/>
        <item m="1" x="1315"/>
        <item m="1" x="1972"/>
        <item m="1" x="2615"/>
        <item m="1" x="3259"/>
        <item m="1" x="3893"/>
        <item m="1" x="4539"/>
        <item m="1" x="5184"/>
        <item m="1" x="5830"/>
        <item m="1" x="6471"/>
        <item m="1" x="186"/>
        <item m="1" x="832"/>
        <item m="1" x="1486"/>
        <item m="1" x="2134"/>
        <item m="1" x="2777"/>
        <item m="1" x="3420"/>
        <item m="1" x="4060"/>
        <item m="1" x="4700"/>
        <item m="1" x="5346"/>
        <item m="1" x="5991"/>
        <item m="1" x="6639"/>
        <item m="1" x="348"/>
        <item m="1" x="997"/>
        <item m="1" x="1651"/>
        <item m="1" x="2301"/>
        <item m="1" x="2939"/>
        <item m="1" x="3581"/>
        <item m="1" x="4223"/>
        <item m="1" x="4869"/>
        <item m="1" x="5510"/>
        <item m="1" x="6156"/>
        <item m="1" x="6803"/>
        <item m="1" x="517"/>
        <item m="1" x="1161"/>
        <item m="1" x="1817"/>
        <item m="1" x="2464"/>
        <item m="1" x="3108"/>
        <item m="1" x="3743"/>
        <item m="1" x="4387"/>
        <item m="1" x="5031"/>
        <item m="1" x="5678"/>
        <item m="1" x="6317"/>
        <item m="1" x="35"/>
        <item m="1" x="680"/>
        <item m="1" x="1331"/>
        <item m="1" x="1982"/>
        <item m="1" x="2627"/>
        <item m="1" x="3269"/>
        <item m="1" x="3909"/>
        <item m="1" x="4549"/>
        <item m="1" x="5196"/>
        <item m="1" x="5840"/>
        <item m="1" x="6487"/>
        <item m="1" x="196"/>
        <item m="1" x="844"/>
        <item m="1" x="1496"/>
        <item m="1" x="2149"/>
        <item m="1" x="2787"/>
        <item m="1" x="3432"/>
        <item m="1" x="4070"/>
        <item m="1" x="4715"/>
        <item m="1" x="5356"/>
        <item m="1" x="6003"/>
        <item m="1" x="6649"/>
        <item m="1" x="364"/>
        <item m="1" x="1007"/>
        <item m="1" x="1663"/>
        <item m="1" x="2311"/>
        <item m="1" x="2955"/>
        <item m="1" x="3591"/>
        <item m="1" x="4235"/>
        <item m="1" x="4879"/>
        <item m="1" x="5526"/>
        <item m="1" x="6166"/>
        <item m="1" x="6815"/>
        <item m="1" x="527"/>
        <item m="1" x="1177"/>
        <item m="1" x="1827"/>
        <item m="1" x="2476"/>
        <item m="1" x="3118"/>
        <item m="1" x="3758"/>
        <item m="1" x="4397"/>
        <item m="1" x="5043"/>
        <item m="1" x="5688"/>
        <item m="1" x="6334"/>
        <item m="1" x="45"/>
        <item m="1" x="692"/>
        <item m="1" x="1341"/>
        <item m="1" x="1997"/>
        <item m="1" x="2637"/>
        <item m="1" x="3281"/>
        <item m="1" x="3919"/>
        <item m="1" x="4564"/>
        <item m="1" x="5206"/>
        <item m="1" x="5852"/>
        <item m="1" x="6497"/>
        <item m="1" x="211"/>
        <item m="1" x="854"/>
        <item m="1" x="1508"/>
        <item m="1" x="2159"/>
        <item m="1" x="2804"/>
        <item m="1" x="3442"/>
        <item m="1" x="4082"/>
        <item m="1" x="4725"/>
        <item m="1" x="5372"/>
        <item m="1" x="6013"/>
        <item m="1" x="6661"/>
        <item m="1" x="374"/>
        <item m="1" x="1023"/>
        <item m="1" x="1673"/>
        <item m="1" x="2323"/>
        <item m="1" x="2965"/>
        <item m="1" x="3607"/>
        <item m="1" x="4245"/>
        <item m="1" x="4891"/>
        <item m="1" x="5536"/>
        <item m="1" x="6182"/>
        <item m="1" x="6825"/>
        <item m="1" x="539"/>
        <item m="1" x="1187"/>
        <item m="1" x="1844"/>
        <item m="1" x="2486"/>
        <item m="1" x="3130"/>
        <item m="1" x="3768"/>
        <item m="1" x="4412"/>
        <item m="1" x="5053"/>
        <item m="1" x="5700"/>
        <item m="1" x="6344"/>
        <item m="1" x="60"/>
        <item m="1" x="702"/>
        <item m="1" x="1353"/>
        <item m="1" x="2007"/>
        <item m="1" x="2652"/>
        <item m="1" x="3290"/>
        <item m="1" x="3930"/>
        <item m="1" x="4573"/>
        <item m="1" x="5221"/>
        <item m="1" x="5861"/>
        <item m="1" x="6508"/>
        <item m="1" x="220"/>
        <item m="1" x="869"/>
        <item m="1" x="1517"/>
        <item m="1" x="2170"/>
        <item m="1" x="2812"/>
        <item m="1" x="3455"/>
        <item m="1" x="4090"/>
        <item m="1" x="4735"/>
        <item m="1" x="5380"/>
        <item m="1" x="6028"/>
        <item m="1" x="6669"/>
        <item m="1" x="384"/>
        <item m="1" x="1031"/>
        <item m="1" x="1687"/>
        <item m="1" x="2331"/>
        <item m="1" x="2974"/>
        <item m="1" x="3614"/>
        <item m="1" x="4258"/>
        <item m="1" x="4898"/>
        <item m="1" x="5545"/>
        <item m="1" x="6189"/>
        <item m="1" x="6837"/>
        <item m="1" x="546"/>
        <item m="1" x="1196"/>
        <item m="1" x="1851"/>
        <item m="1" x="2498"/>
        <item m="1" x="3136"/>
        <item m="1" x="3776"/>
        <item m="1" x="4418"/>
        <item m="1" x="5065"/>
        <item m="1" x="5706"/>
        <item m="1" x="6352"/>
        <item m="1" x="66"/>
        <item m="1" x="714"/>
        <item m="1" x="1359"/>
        <item m="1" x="2015"/>
        <item m="1" x="2658"/>
        <item m="1" x="3302"/>
        <item m="1" x="3936"/>
        <item m="1" x="4581"/>
        <item m="1" x="5227"/>
        <item m="1" x="5873"/>
        <item m="1" x="6514"/>
        <item m="1" x="228"/>
        <item m="1" x="875"/>
        <item m="1" x="1529"/>
        <item m="1" x="2176"/>
        <item m="1" x="2820"/>
        <item m="1" x="3461"/>
        <item m="1" x="4102"/>
        <item m="1" x="4742"/>
        <item m="1" x="5389"/>
        <item m="1" x="6035"/>
        <item m="1" x="6681"/>
        <item m="1" x="391"/>
        <item m="1" x="1040"/>
        <item m="1" x="1694"/>
        <item m="1" x="2344"/>
        <item m="1" x="2981"/>
        <item m="1" x="3623"/>
        <item m="1" x="4265"/>
        <item m="1" x="4911"/>
        <item m="1" x="5552"/>
        <item m="1" x="6198"/>
        <item m="1" x="6844"/>
        <item m="1" x="559"/>
        <item m="1" x="1203"/>
        <item m="1" x="1861"/>
        <item m="1" x="2506"/>
        <item m="1" x="3150"/>
        <item m="1" x="3784"/>
        <item m="1" x="4429"/>
        <item m="1" x="5074"/>
        <item m="1" x="5722"/>
        <item m="1" x="6361"/>
        <item m="1" x="77"/>
        <item m="1" x="723"/>
        <item m="1" x="1375"/>
        <item m="1" x="2025"/>
        <item m="1" x="2670"/>
        <item m="1" x="3312"/>
        <item m="1" x="3951"/>
        <item m="1" x="4591"/>
        <item m="1" x="5239"/>
        <item m="1" x="5883"/>
        <item m="1" x="6529"/>
        <item m="1" x="238"/>
        <item m="1" x="887"/>
        <item m="1" x="1540"/>
        <item m="1" x="2193"/>
        <item m="1" x="2831"/>
        <item m="1" x="3474"/>
        <item m="1" x="4113"/>
        <item m="1" x="4759"/>
        <item m="1" x="5400"/>
        <item m="1" x="6048"/>
        <item m="1" x="6692"/>
        <item m="1" x="408"/>
        <item m="1" x="1051"/>
        <item m="1" x="1708"/>
        <item m="1" x="2356"/>
        <item m="1" x="2999"/>
        <item m="1" x="3635"/>
        <item m="1" x="4279"/>
        <item m="1" x="4923"/>
        <item m="1" x="5570"/>
        <item m="1" x="6210"/>
        <item m="1" x="6858"/>
        <item m="1" x="571"/>
        <item m="1" x="1222"/>
        <item m="1" x="1873"/>
        <item m="1" x="2520"/>
        <item m="1" x="3162"/>
        <item m="1" x="3801"/>
        <item m="1" x="4441"/>
        <item m="1" x="5088"/>
        <item m="1" x="5734"/>
        <item m="1" x="6378"/>
        <item m="1" x="89"/>
        <item m="1" x="737"/>
        <item m="1" x="1387"/>
        <item m="1" x="2043"/>
        <item m="1" x="2682"/>
        <item m="1" x="3326"/>
        <item m="1" x="3963"/>
        <item m="1" x="4609"/>
        <item m="1" x="5251"/>
        <item m="1" x="5897"/>
        <item m="1" x="6541"/>
        <item m="1" x="256"/>
        <item m="1" x="899"/>
        <item m="1" x="1554"/>
        <item m="1" x="2206"/>
        <item m="1" x="2850"/>
        <item m="1" x="3487"/>
        <item m="1" x="4128"/>
        <item m="1" x="4772"/>
        <item m="1" x="5420"/>
        <item m="1" x="6061"/>
        <item m="1" x="6707"/>
        <item m="1" x="421"/>
        <item m="1" x="1070"/>
        <item m="1" x="1721"/>
        <item m="1" x="2371"/>
        <item m="1" x="3012"/>
        <item m="1" x="3654"/>
        <item m="1" x="4292"/>
        <item m="1" x="4938"/>
        <item m="1" x="5583"/>
        <item m="1" x="6228"/>
        <item m="1" x="6871"/>
        <item m="1" x="586"/>
        <item m="1" x="1235"/>
        <item m="1" x="1892"/>
        <item m="1" x="2533"/>
        <item m="1" x="3177"/>
        <item m="1" x="3814"/>
        <item m="1" x="4460"/>
        <item m="1" x="5101"/>
        <item m="1" x="5749"/>
        <item m="1" x="6391"/>
        <item m="1" x="108"/>
        <item m="1" x="750"/>
        <item m="1" x="1402"/>
        <item m="1" x="2056"/>
        <item m="1" x="2701"/>
        <item m="1" x="3339"/>
        <item m="1" x="3978"/>
        <item m="1" x="4622"/>
        <item m="1" x="5270"/>
        <item m="1" x="5910"/>
        <item m="1" x="6556"/>
        <item m="1" x="269"/>
        <item m="1" x="919"/>
        <item m="1" x="1567"/>
        <item m="1" x="2221"/>
        <item m="1" x="2863"/>
        <item m="1" x="3505"/>
        <item m="1" x="4141"/>
        <item m="1" x="4787"/>
        <item m="1" x="5433"/>
        <item m="1" x="6080"/>
        <item m="1" x="6720"/>
        <item m="1" x="436"/>
        <item m="1" x="1083"/>
        <item m="1" x="1740"/>
        <item m="1" x="2384"/>
        <item m="1" x="3027"/>
        <item m="1" x="3667"/>
        <item m="1" x="4311"/>
        <item m="1" x="4951"/>
        <item m="1" x="5598"/>
        <item m="1" x="6241"/>
        <item m="1" x="6890"/>
        <item m="1" x="599"/>
        <item m="1" x="1250"/>
        <item m="1" x="1905"/>
        <item m="1" x="2552"/>
        <item m="1" x="3190"/>
        <item m="1" x="3829"/>
        <item m="1" x="4473"/>
        <item m="1" x="5121"/>
        <item m="1" x="5762"/>
        <item m="1" x="6406"/>
        <item m="1" x="121"/>
        <item m="1" x="769"/>
        <item m="1" x="1415"/>
        <item m="1" x="2071"/>
        <item m="1" x="2714"/>
        <item m="1" x="3357"/>
        <item m="1" x="3991"/>
        <item m="1" x="4637"/>
        <item m="1" x="5283"/>
        <item m="1" x="5928"/>
        <item m="1" x="6569"/>
        <item m="1" x="284"/>
        <item m="1" x="932"/>
        <item m="1" x="1587"/>
        <item m="1" x="2234"/>
        <item m="1" x="2878"/>
        <item m="1" x="3518"/>
        <item m="1" x="4160"/>
        <item m="1" x="4800"/>
        <item m="1" x="5448"/>
        <item m="1" x="6093"/>
        <item m="1" x="6739"/>
        <item m="1" x="450"/>
        <item m="1" x="1098"/>
        <item m="1" x="1754"/>
        <item m="1" x="2402"/>
        <item m="1" x="3041"/>
        <item m="1" x="3682"/>
        <item m="1" x="4325"/>
        <item m="1" x="4970"/>
        <item m="1" x="5612"/>
        <item m="1" x="6256"/>
        <item m="1" x="6904"/>
        <item m="1" x="619"/>
        <item m="1" x="1264"/>
        <item m="1" x="1920"/>
        <item m="1" x="2566"/>
        <item m="1" x="3208"/>
        <item m="1" x="3843"/>
        <item m="1" x="4488"/>
        <item m="1" x="5135"/>
        <item m="1" x="5780"/>
        <item m="1" x="6420"/>
        <item m="1" x="136"/>
        <item m="1" x="783"/>
        <item m="1" x="1434"/>
        <item m="1" x="2085"/>
        <item m="1" x="2729"/>
        <item m="1" x="3371"/>
        <item m="1" x="4011"/>
        <item m="1" x="4651"/>
        <item m="1" x="5298"/>
        <item m="1" x="5942"/>
        <item m="1" x="6588"/>
        <item m="1" x="298"/>
        <item m="1" x="947"/>
        <item m="1" x="1601"/>
        <item m="1" x="2253"/>
        <item m="1" x="2892"/>
        <item m="1" x="3533"/>
        <item m="1" x="4174"/>
        <item m="1" x="4820"/>
        <item m="1" x="5462"/>
        <item m="1" x="6108"/>
        <item m="1" x="6753"/>
        <item m="1" x="469"/>
        <item m="1" x="1112"/>
        <item m="1" x="1769"/>
        <item m="1" x="2416"/>
        <item m="1" x="3059"/>
        <item m="1" x="3695"/>
        <item m="1" x="4339"/>
        <item m="1" x="4983"/>
        <item m="1" x="5629"/>
        <item m="1" x="6269"/>
        <item m="1" x="6918"/>
        <item m="1" x="632"/>
        <item m="1" x="1282"/>
        <item m="1" x="1933"/>
        <item m="1" x="2580"/>
        <item m="1" x="3220"/>
        <item m="1" x="3860"/>
        <item m="1" x="4500"/>
        <item m="1" x="5148"/>
        <item m="1" x="5792"/>
        <item m="1" x="6438"/>
        <item m="1" x="148"/>
        <item m="1" x="796"/>
        <item m="1" x="1446"/>
        <item m="1" x="2102"/>
        <item m="1" x="2740"/>
        <item m="1" x="3383"/>
        <item m="1" x="4022"/>
        <item m="1" x="4667"/>
        <item m="1" x="5309"/>
        <item m="1" x="5955"/>
        <item m="1" x="6599"/>
        <item m="1" x="315"/>
        <item m="1" x="958"/>
        <item m="1" x="1614"/>
        <item m="1" x="2264"/>
        <item m="1" x="2906"/>
        <item m="1" x="3543"/>
        <item m="1" x="4186"/>
        <item m="1" x="4830"/>
        <item m="1" x="5477"/>
        <item m="1" x="6118"/>
        <item m="1" x="6765"/>
        <item m="1" x="479"/>
        <item m="1" x="1127"/>
        <item m="1" x="1779"/>
        <item m="1" x="2428"/>
        <item m="1" x="3069"/>
        <item m="1" x="3710"/>
        <item m="1" x="4349"/>
        <item m="1" x="4995"/>
        <item m="1" x="5639"/>
        <item m="1" x="6284"/>
        <item m="1" x="6928"/>
        <item m="1" x="644"/>
        <item m="1" x="1292"/>
        <item m="1" x="1949"/>
        <item m="1" x="2590"/>
        <item m="1" x="3232"/>
        <item m="1" x="3870"/>
        <item m="1" x="4516"/>
        <item m="1" x="5158"/>
        <item m="1" x="5804"/>
        <item m="1" x="6448"/>
        <item m="1" x="163"/>
        <item m="1" x="806"/>
        <item m="1" x="1458"/>
        <item m="1" x="2111"/>
        <item m="1" x="2754"/>
        <item m="1" x="3393"/>
        <item m="1" x="4034"/>
        <item m="1" x="4677"/>
        <item m="1" x="5323"/>
        <item m="1" x="5965"/>
        <item m="1" x="6611"/>
        <item m="1" x="325"/>
        <item m="1" x="974"/>
        <item m="1" x="1624"/>
        <item m="1" x="2276"/>
        <item m="1" x="2916"/>
        <item m="1" x="3558"/>
        <item m="1" x="4196"/>
        <item m="1" x="4842"/>
        <item m="1" x="5487"/>
        <item m="1" x="6133"/>
        <item m="1" x="6775"/>
        <item m="1" x="491"/>
        <item m="1" x="1138"/>
        <item m="1" x="1794"/>
        <item m="1" x="2438"/>
        <item m="1" x="3081"/>
        <item m="1" x="3720"/>
        <item m="1" x="4364"/>
        <item m="1" x="5005"/>
        <item m="1" x="5651"/>
        <item m="1" x="6294"/>
        <item m="1" x="12"/>
        <item m="1" x="654"/>
        <item m="1" x="1304"/>
        <item m="1" x="1959"/>
        <item m="1" x="2604"/>
        <item m="1" x="3242"/>
        <item m="1" x="3882"/>
        <item m="1" x="4526"/>
        <item m="1" x="5173"/>
        <item m="1" x="5814"/>
        <item m="1" x="6460"/>
        <item m="1" x="173"/>
        <item m="1" x="821"/>
        <item m="1" x="1468"/>
        <item m="1" x="2123"/>
        <item m="1" x="2764"/>
        <item m="1" x="3409"/>
        <item m="1" x="4044"/>
        <item m="1" x="4689"/>
        <item m="1" x="5333"/>
        <item m="1" x="5980"/>
        <item m="1" x="6621"/>
        <item m="1" x="337"/>
        <item m="1" x="984"/>
        <item m="1" x="1640"/>
        <item m="1" x="2286"/>
        <item m="1" x="2928"/>
        <item m="1" x="3568"/>
        <item m="1" x="4212"/>
        <item m="1" x="4852"/>
        <item m="1" x="5499"/>
        <item m="1" x="6143"/>
        <item m="1" x="6792"/>
        <item m="1" x="501"/>
        <item m="1" x="1150"/>
        <item m="1" x="1804"/>
        <item m="1" x="2453"/>
        <item m="1" x="3091"/>
        <item m="1" x="3732"/>
        <item m="1" x="4374"/>
        <item m="1" x="5020"/>
        <item m="1" x="5661"/>
        <item m="1" x="6306"/>
        <item m="1" x="22"/>
        <item m="1" x="669"/>
        <item m="1" x="1314"/>
        <item m="1" x="1971"/>
        <item m="1" x="2614"/>
        <item m="1" x="3258"/>
        <item m="1" x="3892"/>
        <item m="1" x="4538"/>
        <item m="1" x="5183"/>
        <item m="1" x="5829"/>
        <item m="1" x="6470"/>
        <item m="1" x="185"/>
        <item m="1" x="831"/>
        <item m="1" x="1485"/>
        <item m="1" x="2133"/>
        <item m="1" x="2776"/>
        <item m="1" x="3419"/>
        <item m="1" x="4059"/>
        <item m="1" x="4699"/>
        <item m="1" x="5345"/>
        <item m="1" x="5990"/>
        <item m="1" x="6638"/>
        <item m="1" x="347"/>
        <item m="1" x="996"/>
        <item m="1" x="1650"/>
        <item m="1" x="2300"/>
        <item m="1" x="2938"/>
        <item m="1" x="3580"/>
        <item m="1" x="4222"/>
        <item m="1" x="4868"/>
        <item m="1" x="5509"/>
        <item m="1" x="6155"/>
        <item m="1" x="6802"/>
        <item m="1" x="516"/>
        <item m="1" x="1160"/>
        <item m="1" x="1816"/>
        <item m="1" x="2463"/>
        <item m="1" x="3107"/>
        <item m="1" x="3742"/>
        <item m="1" x="4386"/>
        <item m="1" x="5030"/>
        <item m="1" x="5677"/>
        <item m="1" x="6316"/>
        <item m="1" x="34"/>
        <item m="1" x="679"/>
        <item m="1" x="1330"/>
        <item m="1" x="1981"/>
        <item m="1" x="2626"/>
        <item m="1" x="3268"/>
        <item m="1" x="3908"/>
        <item m="1" x="4548"/>
        <item m="1" x="5195"/>
        <item m="1" x="5839"/>
        <item m="1" x="6486"/>
        <item m="1" x="195"/>
        <item m="1" x="843"/>
        <item m="1" x="1495"/>
        <item m="1" x="2148"/>
        <item m="1" x="2786"/>
        <item m="1" x="3431"/>
        <item m="1" x="4069"/>
        <item m="1" x="4714"/>
        <item m="1" x="5355"/>
        <item m="1" x="6002"/>
        <item m="1" x="6648"/>
        <item m="1" x="363"/>
        <item m="1" x="1006"/>
        <item m="1" x="1662"/>
        <item m="1" x="2310"/>
        <item m="1" x="2954"/>
        <item m="1" x="3590"/>
        <item m="1" x="4234"/>
        <item m="1" x="4878"/>
        <item m="1" x="5525"/>
        <item m="1" x="6165"/>
        <item m="1" x="6814"/>
        <item m="1" x="526"/>
        <item m="1" x="1176"/>
        <item m="1" x="1826"/>
        <item m="1" x="2475"/>
        <item m="1" x="3117"/>
        <item m="1" x="3757"/>
        <item m="1" x="4396"/>
        <item m="1" x="5042"/>
        <item m="1" x="5687"/>
        <item m="1" x="6333"/>
        <item m="1" x="44"/>
        <item m="1" x="691"/>
        <item m="1" x="1340"/>
        <item m="1" x="1996"/>
        <item m="1" x="2636"/>
        <item m="1" x="3280"/>
        <item m="1" x="3918"/>
        <item m="1" x="4563"/>
        <item m="1" x="5205"/>
        <item m="1" x="5851"/>
        <item m="1" x="6496"/>
        <item m="1" x="210"/>
        <item m="1" x="853"/>
        <item m="1" x="1507"/>
        <item m="1" x="2158"/>
        <item m="1" x="2803"/>
        <item m="1" x="3441"/>
        <item m="1" x="4081"/>
        <item m="1" x="4724"/>
        <item m="1" x="5371"/>
        <item m="1" x="6012"/>
        <item m="1" x="6660"/>
        <item m="1" x="373"/>
        <item m="1" x="1022"/>
        <item m="1" x="1672"/>
        <item m="1" x="2322"/>
        <item m="1" x="2964"/>
        <item m="1" x="3606"/>
        <item m="1" x="4244"/>
        <item m="1" x="4890"/>
        <item m="1" x="5535"/>
        <item m="1" x="6181"/>
        <item m="1" x="6824"/>
        <item m="1" x="538"/>
        <item m="1" x="1186"/>
        <item m="1" x="1843"/>
        <item m="1" x="2485"/>
        <item m="1" x="3129"/>
        <item m="1" x="3767"/>
        <item m="1" x="4411"/>
        <item m="1" x="5052"/>
        <item m="1" x="5699"/>
        <item m="1" x="6343"/>
        <item m="1" x="59"/>
        <item m="1" x="701"/>
        <item m="1" x="1352"/>
        <item m="1" x="2006"/>
        <item m="1" x="2651"/>
        <item m="1" x="3289"/>
        <item m="1" x="3929"/>
        <item m="1" x="4572"/>
        <item m="1" x="5220"/>
        <item m="1" x="5860"/>
        <item m="1" x="6507"/>
        <item m="1" x="219"/>
        <item m="1" x="868"/>
        <item m="1" x="1516"/>
        <item m="1" x="2169"/>
        <item m="1" x="2811"/>
        <item m="1" x="3454"/>
        <item m="1" x="4089"/>
        <item m="1" x="4734"/>
        <item m="1" x="5379"/>
        <item m="1" x="6027"/>
        <item m="1" x="6668"/>
        <item m="1" x="383"/>
        <item m="1" x="1030"/>
        <item m="1" x="1686"/>
        <item m="1" x="2330"/>
        <item m="1" x="2973"/>
        <item m="1" x="3613"/>
        <item m="1" x="4257"/>
        <item m="1" x="4897"/>
        <item m="1" x="5544"/>
        <item m="1" x="6188"/>
        <item m="1" x="6836"/>
        <item m="1" x="545"/>
        <item m="1" x="1195"/>
        <item m="1" x="1850"/>
        <item m="1" x="2497"/>
        <item m="1" x="3135"/>
        <item m="1" x="3775"/>
        <item m="1" x="4417"/>
        <item m="1" x="5064"/>
        <item m="1" x="5705"/>
        <item m="1" x="6351"/>
        <item m="1" x="65"/>
        <item m="1" x="713"/>
        <item m="1" x="1358"/>
        <item m="1" x="2014"/>
        <item m="1" x="2657"/>
        <item m="1" x="3301"/>
        <item m="1" x="3935"/>
        <item m="1" x="4580"/>
        <item m="1" x="5226"/>
        <item m="1" x="5872"/>
        <item m="1" x="6513"/>
        <item m="1" x="227"/>
        <item m="1" x="874"/>
        <item m="1" x="1528"/>
        <item m="1" x="2175"/>
        <item m="1" x="2819"/>
        <item m="1" x="3460"/>
        <item m="1" x="4101"/>
        <item m="1" x="4741"/>
        <item m="1" x="5388"/>
        <item m="1" x="6034"/>
        <item m="1" x="6680"/>
        <item m="1" x="390"/>
        <item m="1" x="1039"/>
        <item m="1" x="1693"/>
        <item m="1" x="2343"/>
        <item m="1" x="2980"/>
        <item m="1" x="3622"/>
        <item m="1" x="4264"/>
        <item m="1" x="4910"/>
        <item m="1" x="5551"/>
        <item m="1" x="6197"/>
        <item m="1" x="6843"/>
        <item m="1" x="558"/>
        <item m="1" x="1202"/>
        <item m="1" x="1860"/>
        <item m="1" x="2505"/>
        <item m="1" x="3149"/>
        <item m="1" x="3783"/>
        <item m="1" x="4428"/>
        <item m="1" x="5073"/>
        <item m="1" x="5721"/>
        <item m="1" x="6360"/>
        <item m="1" x="76"/>
        <item m="1" x="722"/>
        <item m="1" x="1374"/>
        <item m="1" x="2024"/>
        <item m="1" x="2669"/>
        <item m="1" x="3311"/>
        <item m="1" x="3950"/>
        <item m="1" x="4590"/>
        <item m="1" x="5238"/>
        <item m="1" x="5882"/>
        <item m="1" x="6528"/>
        <item m="1" x="237"/>
        <item m="1" x="886"/>
        <item m="1" x="1539"/>
        <item m="1" x="2192"/>
        <item m="1" x="2830"/>
        <item m="1" x="3473"/>
        <item m="1" x="4112"/>
        <item m="1" x="4758"/>
        <item m="1" x="5399"/>
        <item m="1" x="6047"/>
        <item m="1" x="6691"/>
        <item m="1" x="407"/>
        <item m="1" x="1050"/>
        <item m="1" x="1707"/>
        <item m="1" x="2355"/>
        <item m="1" x="2998"/>
        <item m="1" x="3634"/>
        <item m="1" x="4278"/>
        <item m="1" x="4922"/>
        <item m="1" x="5569"/>
        <item m="1" x="6209"/>
        <item m="1" x="6857"/>
        <item m="1" x="570"/>
        <item m="1" x="1221"/>
        <item m="1" x="1872"/>
        <item m="1" x="2199"/>
        <item m="1" x="2519"/>
        <item m="1" x="2842"/>
        <item m="1" x="3161"/>
        <item m="1" x="3480"/>
        <item m="1" x="3800"/>
        <item m="1" x="4121"/>
        <item m="1" x="4440"/>
        <item m="1" x="4765"/>
        <item m="1" x="5087"/>
        <item m="1" x="5412"/>
        <item m="1" x="5733"/>
        <item m="1" x="6054"/>
        <item m="1" x="6377"/>
        <item m="1" x="6700"/>
        <item m="1" x="88"/>
        <item m="1" x="414"/>
        <item m="1" x="736"/>
        <item m="1" x="1063"/>
        <item m="1" x="1386"/>
        <item m="1" x="1714"/>
        <item m="1" x="2042"/>
        <item m="1" x="2364"/>
        <item m="1" x="2681"/>
        <item m="1" x="3005"/>
        <item m="1" x="3325"/>
        <item m="1" x="3646"/>
        <item m="1" x="3962"/>
        <item m="1" x="4285"/>
        <item m="1" x="4608"/>
        <item m="1" x="4931"/>
        <item m="1" x="5250"/>
        <item m="1" x="5576"/>
        <item m="1" x="5896"/>
        <item m="1" x="6221"/>
        <item m="1" x="6540"/>
        <item m="1" x="6864"/>
        <item m="1" x="255"/>
        <item m="1" x="579"/>
        <item m="1" x="898"/>
        <item m="1" x="1228"/>
        <item m="1" x="1553"/>
        <item m="1" x="1885"/>
        <item m="1" x="2205"/>
        <item m="1" x="2526"/>
        <item m="1" x="2849"/>
        <item m="1" x="3170"/>
        <item m="1" x="3486"/>
        <item m="1" x="3807"/>
        <item m="1" x="4127"/>
        <item m="1" x="4453"/>
        <item m="1" x="4771"/>
        <item m="1" x="5094"/>
        <item m="1" x="5419"/>
        <item m="1" x="5742"/>
        <item m="1" x="6060"/>
        <item m="1" x="6384"/>
        <item m="1" x="6706"/>
        <item m="1" x="101"/>
        <item m="1" x="420"/>
        <item m="1" x="743"/>
        <item m="1" x="1069"/>
        <item m="1" x="1395"/>
        <item m="1" x="1720"/>
        <item m="1" x="2049"/>
        <item m="1" x="2370"/>
        <item m="1" x="2693"/>
        <item m="1" x="3011"/>
        <item m="1" x="3332"/>
        <item m="1" x="3653"/>
        <item m="1" x="3971"/>
        <item m="1" x="4291"/>
        <item m="1" x="4615"/>
        <item m="1" x="4937"/>
        <item m="1" x="5263"/>
        <item m="1" x="5582"/>
        <item m="1" x="5903"/>
        <item m="1" x="6227"/>
        <item m="1" x="6549"/>
        <item m="1" x="6870"/>
        <item m="1" x="262"/>
        <item m="1" x="585"/>
        <item m="1" x="911"/>
        <item m="1" x="1234"/>
        <item m="1" x="1560"/>
        <item m="1" x="1891"/>
        <item m="1" x="2214"/>
        <item m="1" x="2532"/>
        <item m="1" x="2856"/>
        <item m="1" x="3176"/>
        <item m="1" x="3498"/>
        <item m="1" x="3813"/>
        <item m="1" x="4134"/>
        <item m="1" x="4459"/>
        <item m="1" x="4780"/>
        <item m="1" x="5100"/>
        <item m="1" x="5426"/>
        <item m="1" x="5748"/>
        <item m="1" x="6072"/>
        <item m="1" x="6390"/>
        <item m="1" x="6713"/>
        <item m="1" x="107"/>
        <item m="1" x="429"/>
        <item m="1" x="749"/>
        <item m="1" x="1076"/>
        <item m="1" x="1401"/>
        <item m="1" x="1733"/>
        <item m="1" x="2055"/>
        <item m="1" x="2377"/>
        <item m="1" x="2700"/>
        <item m="1" x="3020"/>
        <item m="1" x="3338"/>
        <item m="1" x="3660"/>
        <item m="1" x="3977"/>
        <item m="1" x="4304"/>
        <item m="1" x="4621"/>
        <item m="1" x="4944"/>
        <item m="1" x="5269"/>
        <item m="1" x="5591"/>
        <item m="1" x="5909"/>
        <item m="1" x="6234"/>
        <item m="1" x="6555"/>
        <item m="1" x="6883"/>
        <item m="1" x="268"/>
        <item m="1" x="592"/>
        <item m="1" x="918"/>
        <item m="1" x="1243"/>
        <item m="1" x="1566"/>
        <item m="1" x="1898"/>
        <item m="1" x="2220"/>
        <item m="1" x="2544"/>
        <item m="1" x="2862"/>
        <item m="1" x="3183"/>
        <item m="1" x="3504"/>
        <item m="1" x="3822"/>
        <item m="1" x="4140"/>
        <item m="1" x="4466"/>
        <item m="1" x="4786"/>
        <item m="1" x="5113"/>
        <item m="1" x="5432"/>
        <item m="1" x="5755"/>
        <item m="1" x="6079"/>
        <item m="1" x="6399"/>
        <item m="1" x="6719"/>
        <item m="1" x="114"/>
        <item m="1" x="435"/>
        <item m="1" x="762"/>
        <item m="1" x="1082"/>
        <item m="1" x="1408"/>
        <item m="1" x="1739"/>
        <item m="1" x="2064"/>
        <item m="1" x="2383"/>
        <item m="1" x="2707"/>
        <item m="1" x="3026"/>
        <item m="1" x="3350"/>
        <item m="1" x="3666"/>
        <item m="1" x="3984"/>
        <item m="1" x="4310"/>
        <item m="1" x="4630"/>
        <item m="1" x="4950"/>
        <item m="1" x="5276"/>
        <item m="1" x="5597"/>
        <item m="1" x="5921"/>
        <item m="1" x="6240"/>
        <item m="1" x="6562"/>
        <item m="1" x="6889"/>
        <item m="1" x="277"/>
        <item m="1" x="598"/>
        <item m="1" x="925"/>
        <item m="1" x="1249"/>
        <item m="1" x="1579"/>
        <item m="1" x="1904"/>
        <item m="1" x="2227"/>
        <item m="1" x="2551"/>
        <item m="1" x="2871"/>
        <item m="1" x="3189"/>
        <item m="1" x="3511"/>
        <item m="1" x="3828"/>
        <item m="1" x="4153"/>
        <item m="1" x="4472"/>
        <item m="1" x="4793"/>
        <item m="1" x="5120"/>
        <item m="1" x="5441"/>
        <item m="1" x="5761"/>
        <item m="1" x="6086"/>
        <item m="1" x="6405"/>
        <item m="1" x="6732"/>
        <item m="1" x="120"/>
        <item m="1" x="443"/>
        <item m="1" x="768"/>
        <item m="1" x="1091"/>
        <item m="1" x="1414"/>
        <item m="1" x="1747"/>
        <item m="1" x="2070"/>
        <item m="1" x="2394"/>
        <item m="1" x="2713"/>
        <item m="1" x="3034"/>
        <item m="1" x="3356"/>
        <item m="1" x="3675"/>
        <item m="1" x="3990"/>
        <item m="1" x="4318"/>
        <item m="1" x="4636"/>
        <item m="1" x="4963"/>
        <item m="1" x="5282"/>
        <item m="1" x="5605"/>
        <item m="1" x="5927"/>
        <item m="1" x="6249"/>
        <item m="1" x="6568"/>
        <item m="1" x="6897"/>
        <item m="1" x="283"/>
        <item m="1" x="611"/>
        <item m="1" x="931"/>
        <item m="1" x="1257"/>
        <item m="1" x="1586"/>
        <item m="1" x="1913"/>
        <item m="1" x="2233"/>
        <item m="1" x="2559"/>
        <item m="1" x="2877"/>
        <item m="1" x="3201"/>
        <item m="1" x="3517"/>
        <item m="1" x="3836"/>
        <item m="1" x="4159"/>
        <item m="1" x="4481"/>
        <item m="1" x="4799"/>
        <item m="1" x="5128"/>
        <item m="1" x="5447"/>
        <item m="1" x="5773"/>
        <item m="1" x="6092"/>
        <item m="1" x="6413"/>
        <item m="1" x="6738"/>
        <item m="1" x="129"/>
        <item m="1" x="449"/>
        <item m="1" x="776"/>
        <item m="1" x="1097"/>
        <item m="1" x="1427"/>
        <item m="1" x="1753"/>
        <item m="1" x="2078"/>
        <item m="1" x="2401"/>
        <item m="1" x="2722"/>
        <item m="1" x="3040"/>
        <item m="1" x="3364"/>
        <item m="1" x="3681"/>
        <item m="1" x="4003"/>
        <item m="1" x="4324"/>
        <item m="1" x="4644"/>
        <item m="1" x="4969"/>
        <item m="1" x="5291"/>
        <item m="1" x="5611"/>
        <item m="1" x="5935"/>
        <item m="1" x="6255"/>
        <item m="1" x="6581"/>
        <item m="1" x="6903"/>
        <item m="1" x="291"/>
        <item m="1" x="618"/>
        <item m="1" x="940"/>
        <item m="1" x="1263"/>
        <item m="1" x="1594"/>
        <item m="1" x="1919"/>
        <item m="1" x="2245"/>
        <item m="1" x="2565"/>
        <item m="1" x="2885"/>
        <item m="1" x="3207"/>
        <item m="1" x="3526"/>
        <item m="1" x="3842"/>
        <item m="1" x="4167"/>
        <item m="1" x="4487"/>
        <item m="1" x="4812"/>
        <item m="1" x="5134"/>
        <item m="1" x="5455"/>
        <item m="1" x="5779"/>
        <item m="1" x="6101"/>
        <item m="1" x="6419"/>
        <item m="1" x="6746"/>
        <item m="1" x="135"/>
        <item m="1" x="462"/>
        <item m="1" x="782"/>
        <item m="1" x="1105"/>
        <item m="1" x="1433"/>
        <item m="1" x="1762"/>
        <item m="1" x="2084"/>
        <item m="1" x="2409"/>
        <item m="1" x="2728"/>
        <item m="1" x="3052"/>
        <item m="1" x="3370"/>
        <item m="1" x="3689"/>
        <item m="1" x="4010"/>
        <item m="1" x="4333"/>
        <item m="1" x="4650"/>
        <item m="1" x="4977"/>
        <item m="1" x="5297"/>
        <item m="1" x="5623"/>
        <item m="1" x="5941"/>
        <item m="1" x="6263"/>
        <item m="1" x="6587"/>
        <item m="1" x="6912"/>
        <item m="1" x="297"/>
        <item m="1" x="626"/>
        <item m="1" x="946"/>
        <item m="1" x="1276"/>
        <item m="1" x="1600"/>
        <item m="1" x="1927"/>
        <item m="1" x="2252"/>
        <item m="1" x="2574"/>
        <item m="1" x="2891"/>
        <item m="1" x="3215"/>
        <item m="1" x="3532"/>
        <item m="1" x="3855"/>
        <item m="1" x="4173"/>
        <item m="1" x="4495"/>
        <item m="1" x="4819"/>
        <item m="1" x="5143"/>
        <item m="1" x="5461"/>
        <item m="1" x="5787"/>
        <item m="1" x="6107"/>
        <item m="1" x="6432"/>
        <item m="1" x="6752"/>
        <item m="1" x="143"/>
        <item m="1" x="468"/>
        <item m="1" x="791"/>
        <item m="1" x="1111"/>
        <item m="1" x="1441"/>
        <item m="1" x="1768"/>
        <item m="1" x="2096"/>
        <item m="1" x="2415"/>
        <item m="1" x="2735"/>
        <item m="1" x="3058"/>
        <item m="1" x="3378"/>
        <item m="1" x="3694"/>
        <item m="1" x="4017"/>
        <item m="1" x="4338"/>
        <item m="1" x="4662"/>
        <item m="1" x="4982"/>
        <item m="1" x="5304"/>
        <item m="1" x="5628"/>
        <item m="1" x="5950"/>
        <item m="1" x="6268"/>
        <item m="1" x="6594"/>
        <item m="1" x="6917"/>
        <item m="1" x="309"/>
        <item m="1" x="631"/>
        <item m="1" x="953"/>
        <item m="1" x="1281"/>
        <item m="1" x="1609"/>
        <item m="1" x="1932"/>
        <item m="1" x="2259"/>
        <item m="1" x="2579"/>
        <item m="1" x="2901"/>
        <item m="1" x="3219"/>
        <item m="1" x="3538"/>
        <item m="1" x="3859"/>
        <item m="1" x="4181"/>
        <item m="1" x="4499"/>
        <item m="1" x="4825"/>
        <item m="1" x="5147"/>
        <item m="1" x="5471"/>
        <item m="1" x="5791"/>
        <item m="1" x="6113"/>
        <item m="1" x="6437"/>
        <item m="1" x="6760"/>
        <item m="1" x="147"/>
        <item m="1" x="474"/>
        <item m="1" x="795"/>
        <item m="1" x="1122"/>
        <item m="1" x="1445"/>
        <item m="1" x="1774"/>
        <item m="1" x="2101"/>
        <item m="1" x="2423"/>
        <item m="1" x="2739"/>
        <item m="1" x="3064"/>
        <item m="1" x="3382"/>
        <item m="1" x="3705"/>
        <item m="1" x="4021"/>
        <item m="1" x="4344"/>
        <item m="1" x="4666"/>
        <item m="1" x="4990"/>
        <item m="1" x="5308"/>
        <item m="1" x="5634"/>
        <item m="1" x="5954"/>
        <item m="1" x="6279"/>
        <item m="1" x="6598"/>
        <item m="1" x="6923"/>
        <item m="1" x="314"/>
        <item m="1" x="639"/>
        <item m="1" x="957"/>
        <item m="1" x="1287"/>
        <item m="1" x="1613"/>
        <item m="1" x="1942"/>
        <item m="1" x="2263"/>
        <item m="1" x="2585"/>
        <item m="1" x="2905"/>
        <item m="1" x="3227"/>
        <item m="1" x="3542"/>
        <item m="1" x="3865"/>
        <item m="1" x="4185"/>
        <item m="1" x="4510"/>
        <item m="1" x="4829"/>
        <item m="1" x="5153"/>
        <item m="1" x="5476"/>
        <item m="1" x="5799"/>
        <item m="1" x="6117"/>
        <item m="1" x="6443"/>
        <item m="1" x="6764"/>
        <item m="1" x="158"/>
        <item m="1" x="478"/>
        <item m="1" x="801"/>
        <item m="1" x="1126"/>
        <item m="1" x="1453"/>
        <item m="1" x="1778"/>
        <item m="1" x="2106"/>
        <item m="1" x="2427"/>
        <item m="1" x="2749"/>
        <item m="1" x="3068"/>
        <item m="1" x="3388"/>
        <item m="1" x="3709"/>
        <item m="1" x="4029"/>
        <item m="1" x="4348"/>
        <item m="1" x="4672"/>
        <item m="1" x="4994"/>
        <item m="1" x="5318"/>
        <item m="1" x="5638"/>
        <item m="1" x="5960"/>
        <item m="1" x="6283"/>
        <item m="1" x="6606"/>
        <item m="1" x="6927"/>
        <item m="1" x="320"/>
        <item m="1" x="643"/>
        <item m="1" x="968"/>
        <item m="1" x="1291"/>
        <item m="1" x="1619"/>
        <item m="1" x="1948"/>
        <item m="1" x="2271"/>
        <item m="1" x="2589"/>
        <item m="1" x="2911"/>
        <item m="1" x="3231"/>
        <item m="1" x="3553"/>
        <item m="1" x="3869"/>
        <item m="1" x="4191"/>
        <item m="1" x="4515"/>
        <item m="1" x="4837"/>
        <item m="1" x="5157"/>
        <item m="1" x="5482"/>
        <item m="1" x="5803"/>
        <item m="1" x="6128"/>
        <item m="1" x="6447"/>
        <item m="1" x="6770"/>
        <item m="1" x="162"/>
        <item m="1" x="486"/>
        <item m="1" x="805"/>
        <item m="1" x="1132"/>
        <item m="1" x="1457"/>
        <item m="1" x="1788"/>
        <item m="1" x="2110"/>
        <item m="1" x="2433"/>
        <item m="1" x="2753"/>
        <item m="1" x="3076"/>
        <item m="1" x="3392"/>
        <item m="1" x="3715"/>
        <item m="1" x="4033"/>
        <item m="1" x="4359"/>
        <item m="1" x="4676"/>
        <item m="1" x="5000"/>
        <item m="1" x="5322"/>
        <item m="1" x="5646"/>
        <item m="1" x="5964"/>
        <item m="1" x="6289"/>
        <item m="1" x="6610"/>
        <item m="1" x="6"/>
        <item m="1" x="324"/>
        <item m="1" x="649"/>
        <item m="1" x="973"/>
        <item m="1" x="1299"/>
        <item m="1" x="1623"/>
        <item m="1" x="1954"/>
        <item m="1" x="2275"/>
        <item m="1" x="2599"/>
        <item m="1" x="2915"/>
        <item m="1" x="3237"/>
        <item m="1" x="3557"/>
        <item m="1" x="3877"/>
        <item m="1" x="4195"/>
        <item m="1" x="4521"/>
        <item m="1" x="4841"/>
        <item m="1" x="5168"/>
        <item m="1" x="5486"/>
        <item m="1" x="5809"/>
        <item m="1" x="6132"/>
        <item m="1" x="6455"/>
        <item m="1" x="6774"/>
        <item m="1" x="168"/>
        <item m="1" x="490"/>
        <item m="1" x="816"/>
        <item m="1" x="1137"/>
        <item m="1" x="1463"/>
        <item m="1" x="1793"/>
        <item m="1" x="2118"/>
        <item m="1" x="2437"/>
        <item m="1" x="2759"/>
        <item m="1" x="3080"/>
        <item m="1" x="3404"/>
        <item m="1" x="3719"/>
        <item m="1" x="4039"/>
        <item m="1" x="4363"/>
        <item m="1" x="4684"/>
        <item m="1" x="5004"/>
        <item m="1" x="5328"/>
        <item m="1" x="5650"/>
        <item m="1" x="5975"/>
        <item m="1" x="6293"/>
        <item m="1" x="6616"/>
        <item m="1" x="11"/>
        <item m="1" x="332"/>
        <item m="1" x="653"/>
        <item m="1" x="979"/>
        <item m="1" x="1303"/>
        <item m="1" x="1634"/>
        <item m="1" x="1958"/>
        <item m="1" x="2281"/>
        <item m="1" x="2603"/>
        <item m="1" x="2923"/>
        <item m="1" x="3241"/>
        <item m="1" x="3563"/>
        <item m="1" x="3881"/>
        <item m="1" x="4206"/>
        <item m="1" x="4525"/>
        <item m="1" x="4847"/>
        <item m="1" x="5172"/>
        <item m="1" x="5494"/>
        <item m="1" x="5813"/>
        <item m="1" x="6138"/>
        <item m="1" x="6459"/>
        <item m="1" x="6786"/>
        <item m="1" x="172"/>
        <item m="1" x="496"/>
        <item m="1" x="820"/>
        <item m="1" x="1145"/>
        <item m="1" x="1467"/>
        <item m="1" x="1799"/>
        <item m="1" x="2122"/>
        <item m="1" x="2447"/>
        <item m="1" x="2763"/>
        <item m="1" x="3086"/>
        <item m="1" x="3408"/>
        <item m="1" x="3727"/>
        <item m="1" x="4043"/>
        <item m="1" x="4369"/>
        <item m="1" x="4688"/>
        <item m="1" x="5015"/>
        <item m="1" x="5332"/>
        <item m="1" x="5656"/>
        <item m="1" x="5979"/>
        <item m="1" x="6301"/>
        <item m="1" x="6620"/>
        <item m="1" x="17"/>
        <item m="1" x="336"/>
        <item m="1" x="664"/>
        <item m="1" x="983"/>
        <item m="1" x="1309"/>
        <item m="1" x="1639"/>
        <item m="1" x="1966"/>
        <item m="1" x="2285"/>
        <item m="1" x="2609"/>
        <item m="1" x="2927"/>
        <item m="1" x="3253"/>
        <item m="1" x="3567"/>
        <item m="1" x="3887"/>
        <item m="1" x="4211"/>
        <item m="1" x="4533"/>
        <item m="1" x="4851"/>
        <item m="1" x="5178"/>
        <item m="1" x="5498"/>
        <item m="1" x="5824"/>
        <item m="1" x="6142"/>
        <item m="1" x="6465"/>
        <item m="1" x="6790"/>
        <item m="1" x="180"/>
        <item m="1" x="500"/>
        <item m="1" x="826"/>
        <item m="1" x="1149"/>
        <item m="1" x="1479"/>
        <item m="1" x="1803"/>
        <item m="1" x="2128"/>
        <item m="1" x="2452"/>
        <item m="1" x="2771"/>
        <item m="1" x="3090"/>
        <item m="1" x="3414"/>
        <item m="1" x="3731"/>
        <item m="1" x="4054"/>
        <item m="1" x="4373"/>
        <item m="1" x="4694"/>
        <item m="1" x="5019"/>
        <item m="1" x="5340"/>
        <item m="1" x="5660"/>
        <item m="1" x="5985"/>
        <item m="1" x="6305"/>
        <item m="1" x="6632"/>
        <item m="1" x="21"/>
        <item m="1" x="342"/>
        <item m="1" x="668"/>
        <item m="1" x="991"/>
        <item m="1" x="1313"/>
        <item m="1" x="1645"/>
        <item m="1" x="1970"/>
        <item m="1" x="2295"/>
        <item m="1" x="2613"/>
        <item m="1" x="2933"/>
        <item m="1" x="3257"/>
        <item m="1" x="3575"/>
        <item m="1" x="3891"/>
        <item m="1" x="4217"/>
        <item m="1" x="4537"/>
        <item m="1" x="4862"/>
        <item m="1" x="5182"/>
        <item m="1" x="5504"/>
        <item m="1" x="5828"/>
        <item m="1" x="6150"/>
        <item m="1" x="6469"/>
        <item m="1" x="6797"/>
        <item m="1" x="184"/>
        <item m="1" x="511"/>
        <item m="1" x="830"/>
        <item m="1" x="1155"/>
        <item m="1" x="1484"/>
        <item m="1" x="1811"/>
        <item m="1" x="2132"/>
        <item m="1" x="2458"/>
        <item m="1" x="2775"/>
        <item m="1" x="3102"/>
        <item m="1" x="3418"/>
        <item m="1" x="3737"/>
        <item m="1" x="4058"/>
        <item m="1" x="4381"/>
        <item m="1" x="4698"/>
        <item m="1" x="5025"/>
        <item m="1" x="5344"/>
        <item m="1" x="5672"/>
        <item m="1" x="5989"/>
        <item m="1" x="6311"/>
        <item m="1" x="6637"/>
        <item m="1" x="29"/>
        <item m="1" x="346"/>
        <item m="1" x="674"/>
        <item m="1" x="995"/>
        <item m="1" x="1324"/>
        <item m="1" x="1649"/>
        <item m="1" x="1976"/>
        <item m="1" x="2299"/>
        <item m="1" x="2621"/>
        <item m="1" x="2937"/>
        <item m="1" x="3263"/>
        <item m="1" x="3579"/>
        <item m="1" x="3902"/>
        <item m="1" x="4221"/>
        <item m="1" x="4543"/>
        <item m="1" x="4867"/>
        <item m="1" x="5190"/>
        <item m="1" x="5508"/>
        <item m="1" x="5834"/>
        <item m="1" x="6154"/>
        <item m="1" x="6481"/>
        <item m="1" x="6801"/>
        <item m="1" x="190"/>
        <item m="1" x="515"/>
        <item m="1" x="838"/>
        <item m="1" x="1159"/>
        <item m="1" x="1490"/>
        <item m="1" x="1815"/>
        <item m="1" x="2143"/>
        <item m="1" x="2462"/>
        <item m="1" x="2781"/>
        <item m="1" x="3106"/>
        <item m="1" x="3426"/>
        <item m="1" x="3741"/>
        <item m="1" x="4064"/>
        <item m="1" x="4385"/>
        <item m="1" x="4709"/>
        <item m="1" x="5029"/>
        <item m="1" x="5350"/>
        <item m="1" x="5676"/>
        <item m="1" x="5997"/>
        <item m="1" x="6315"/>
        <item m="1" x="6643"/>
        <item m="1" x="33"/>
        <item m="1" x="357"/>
        <item m="1" x="678"/>
        <item m="1" x="1001"/>
        <item m="1" x="1329"/>
        <item m="1" x="1657"/>
        <item m="1" x="1980"/>
        <item m="1" x="2305"/>
        <item m="1" x="2625"/>
        <item m="1" x="2949"/>
        <item m="1" x="3267"/>
        <item m="1" x="3585"/>
        <item m="1" x="3907"/>
        <item m="1" x="4229"/>
        <item m="1" x="4547"/>
        <item m="1" x="4873"/>
        <item m="1" x="5194"/>
        <item m="1" x="5520"/>
        <item m="1" x="5838"/>
        <item m="1" x="6160"/>
        <item m="1" x="6485"/>
        <item m="1" x="6809"/>
        <item m="1" x="194"/>
        <item m="1" x="521"/>
        <item m="1" x="842"/>
        <item m="1" x="1170"/>
        <item m="1" x="1494"/>
        <item m="1" x="1821"/>
        <item m="1" x="2147"/>
        <item m="1" x="2470"/>
        <item m="1" x="2785"/>
        <item m="1" x="3112"/>
        <item m="1" x="3430"/>
        <item m="1" x="3752"/>
        <item m="1" x="4068"/>
        <item m="1" x="4391"/>
        <item m="1" x="4713"/>
        <item m="1" x="5037"/>
        <item m="1" x="5354"/>
        <item m="1" x="5682"/>
        <item m="1" x="6001"/>
        <item m="1" x="6327"/>
        <item m="1" x="6647"/>
        <item m="1" x="39"/>
        <item m="1" x="362"/>
        <item m="1" x="686"/>
        <item m="1" x="1005"/>
        <item m="1" x="1335"/>
        <item m="1" x="1661"/>
        <item m="1" x="1991"/>
        <item m="1" x="2309"/>
        <item m="1" x="2631"/>
        <item m="1" x="2953"/>
        <item m="1" x="3275"/>
        <item m="1" x="3589"/>
        <item m="1" x="3913"/>
        <item m="1" x="4233"/>
        <item m="1" x="4558"/>
        <item m="1" x="4877"/>
        <item m="1" x="5200"/>
        <item m="1" x="5524"/>
        <item m="1" x="5846"/>
        <item m="1" x="6164"/>
        <item m="1" x="6491"/>
        <item m="1" x="6813"/>
        <item m="1" x="205"/>
        <item m="1" x="525"/>
        <item m="1" x="848"/>
        <item m="1" x="1175"/>
        <item m="1" x="1502"/>
        <item m="1" x="1825"/>
        <item m="1" x="2153"/>
        <item m="1" x="2474"/>
        <item m="1" x="2797"/>
        <item m="1" x="3116"/>
        <item m="1" x="3436"/>
        <item m="1" x="3756"/>
        <item m="1" x="4076"/>
        <item m="1" x="4395"/>
        <item m="1" x="4719"/>
        <item m="1" x="5041"/>
        <item m="1" x="5366"/>
        <item m="1" x="5686"/>
        <item m="1" x="6007"/>
        <item m="1" x="6332"/>
        <item m="1" x="6655"/>
        <item m="1" x="43"/>
        <item m="1" x="368"/>
        <item m="1" x="690"/>
        <item m="1" x="1016"/>
        <item m="1" x="1339"/>
        <item m="1" x="1667"/>
        <item m="1" x="1995"/>
        <item m="1" x="2317"/>
        <item m="1" x="2635"/>
        <item m="1" x="2959"/>
        <item m="1" x="3279"/>
        <item m="1" x="3600"/>
        <item m="1" x="3917"/>
        <item m="1" x="4239"/>
        <item m="1" x="4562"/>
        <item m="1" x="4885"/>
        <item m="1" x="5204"/>
        <item m="1" x="5530"/>
        <item m="1" x="5850"/>
        <item m="1" x="6176"/>
        <item m="1" x="6495"/>
        <item m="1" x="6819"/>
        <item m="1" x="209"/>
        <item m="1" x="533"/>
        <item m="1" x="852"/>
        <item m="1" x="1181"/>
        <item m="1" x="1506"/>
        <item m="1" x="1837"/>
        <item m="1" x="2157"/>
        <item m="1" x="2480"/>
        <item m="1" x="2802"/>
        <item m="1" x="3124"/>
        <item m="1" x="3440"/>
        <item m="1" x="3762"/>
        <item m="1" x="4080"/>
        <item m="1" x="4406"/>
        <item m="1" x="4723"/>
        <item m="1" x="5047"/>
        <item m="1" x="5370"/>
        <item m="1" x="5694"/>
        <item m="1" x="6011"/>
        <item m="1" x="6338"/>
        <item m="1" x="6659"/>
        <item m="1" x="54"/>
        <item m="1" x="372"/>
        <item m="1" x="696"/>
        <item m="1" x="1021"/>
        <item m="1" x="1347"/>
        <item m="1" x="1671"/>
        <item m="1" x="2001"/>
        <item m="1" x="2321"/>
        <item m="1" x="2647"/>
        <item m="1" x="2963"/>
        <item m="1" x="3285"/>
        <item m="1" x="3605"/>
        <item m="1" x="3925"/>
        <item m="1" x="4243"/>
        <item m="1" x="4568"/>
        <item m="1" x="4889"/>
        <item m="1" x="5216"/>
        <item m="1" x="5534"/>
        <item m="1" x="5856"/>
        <item m="1" x="6180"/>
        <item m="1" x="6503"/>
        <item m="1" x="6823"/>
        <item m="1" x="215"/>
        <item m="1" x="537"/>
        <item m="1" x="863"/>
        <item m="1" x="1185"/>
        <item m="1" x="1512"/>
        <item m="1" x="1842"/>
        <item m="1" x="2165"/>
        <item m="1" x="2484"/>
        <item m="1" x="2808"/>
        <item m="1" x="3128"/>
        <item m="1" x="3451"/>
        <item m="1" x="3766"/>
        <item m="1" x="4086"/>
        <item m="1" x="4410"/>
        <item m="1" x="4731"/>
        <item m="1" x="5051"/>
        <item m="1" x="5376"/>
        <item m="1" x="5698"/>
        <item m="1" x="6023"/>
        <item m="1" x="6342"/>
        <item m="1" x="6665"/>
        <item m="1" x="58"/>
        <item m="1" x="380"/>
        <item m="1" x="700"/>
        <item m="1" x="1027"/>
        <item m="1" x="1351"/>
        <item m="1" x="1683"/>
        <item m="1" x="2005"/>
        <item m="1" x="2327"/>
        <item m="1" x="2650"/>
        <item m="1" x="2970"/>
        <item m="1" x="3288"/>
        <item m="1" x="3610"/>
        <item m="1" x="3928"/>
        <item m="1" x="4253"/>
        <item m="1" x="4571"/>
        <item m="1" x="4894"/>
        <item m="1" x="5219"/>
        <item m="1" x="5541"/>
        <item m="1" x="5859"/>
        <item m="1" x="6185"/>
        <item m="1" x="6506"/>
        <item m="1" x="6833"/>
        <item m="1" x="218"/>
        <item m="1" x="542"/>
        <item m="1" x="867"/>
        <item m="1" x="1192"/>
        <item m="1" x="1515"/>
        <item m="1" x="1847"/>
        <item m="1" x="2168"/>
        <item m="1" x="2494"/>
        <item m="1" x="2810"/>
        <item m="1" x="3132"/>
        <item m="1" x="3453"/>
        <item m="1" x="3772"/>
        <item m="1" x="4088"/>
        <item m="1" x="4414"/>
        <item m="1" x="4733"/>
        <item m="1" x="5061"/>
        <item m="1" x="5378"/>
        <item m="1" x="5702"/>
        <item m="1" x="6026"/>
        <item m="1" x="6348"/>
        <item m="1" x="6667"/>
        <item m="1" x="62"/>
        <item m="1" x="382"/>
        <item m="1" x="709"/>
        <item m="1" x="1029"/>
        <item m="1" x="1355"/>
        <item m="1" x="1685"/>
        <item m="1" x="2011"/>
        <item m="1" x="2329"/>
        <item m="1" x="2654"/>
        <item m="1" x="2972"/>
        <item m="1" x="3297"/>
        <item m="1" x="3612"/>
        <item m="1" x="3932"/>
        <item m="1" x="4256"/>
        <item m="1" x="4577"/>
        <item m="1" x="4896"/>
        <item m="1" x="5223"/>
        <item m="1" x="5543"/>
        <item m="1" x="5869"/>
        <item m="1" x="6187"/>
        <item m="1" x="6510"/>
        <item m="1" x="6835"/>
        <item m="1" x="224"/>
        <item m="1" x="544"/>
        <item m="1" x="871"/>
        <item m="1" x="1194"/>
        <item m="1" x="1525"/>
        <item m="1" x="1849"/>
        <item m="1" x="2172"/>
        <item m="1" x="2496"/>
        <item m="1" x="2816"/>
        <item m="1" x="3134"/>
        <item m="1" x="3457"/>
        <item m="1" x="3774"/>
        <item m="1" x="4097"/>
        <item m="1" x="4416"/>
        <item m="1" x="4737"/>
        <item m="1" x="5063"/>
        <item m="1" x="5384"/>
        <item m="1" x="5704"/>
        <item m="1" x="6030"/>
        <item m="1" x="6350"/>
        <item m="1" x="6676"/>
        <item m="1" x="64"/>
        <item m="1" x="386"/>
        <item m="1" x="712"/>
        <item m="1" x="1035"/>
        <item m="1" x="1357"/>
        <item m="1" x="1689"/>
        <item m="1" x="2013"/>
        <item m="1" x="2339"/>
        <item m="1" x="2656"/>
        <item m="1" x="2976"/>
        <item m="1" x="3300"/>
        <item m="1" x="3618"/>
        <item m="1" x="3934"/>
        <item m="1" x="4260"/>
        <item m="1" x="4579"/>
        <item m="1" x="4906"/>
        <item m="1" x="5225"/>
        <item m="1" x="5547"/>
        <item m="1" x="5871"/>
        <item m="1" x="6193"/>
        <item m="1" x="6512"/>
        <item m="1" x="6839"/>
        <item m="1" x="226"/>
        <item m="1" x="553"/>
        <item m="1" x="873"/>
        <item m="1" x="1198"/>
        <item m="1" x="1527"/>
        <item m="1" x="1855"/>
        <item m="1" x="2174"/>
        <item m="1" x="2500"/>
        <item m="1" x="2818"/>
        <item m="1" x="3143"/>
        <item m="1" x="3459"/>
        <item m="1" x="3778"/>
        <item m="1" x="4100"/>
        <item m="1" x="4423"/>
        <item m="1" x="4740"/>
        <item m="1" x="5068"/>
        <item m="1" x="5387"/>
        <item m="1" x="5715"/>
        <item m="1" x="6033"/>
        <item m="1" x="6355"/>
        <item m="1" x="6679"/>
        <item m="1" x="71"/>
        <item m="1" x="389"/>
        <item m="1" x="717"/>
        <item m="1" x="1038"/>
        <item m="1" x="1368"/>
        <item m="1" x="1692"/>
        <item m="1" x="2018"/>
        <item m="1" x="2342"/>
        <item m="1" x="2663"/>
        <item m="1" x="2979"/>
        <item m="1" x="3305"/>
        <item m="1" x="3621"/>
        <item m="1" x="3944"/>
        <item m="1" x="4263"/>
        <item m="1" x="4584"/>
        <item m="1" x="4909"/>
        <item m="1" x="5232"/>
        <item m="1" x="5550"/>
        <item m="1" x="5876"/>
        <item m="1" x="6196"/>
        <item m="1" x="6522"/>
        <item m="1" x="6842"/>
        <item m="1" x="231"/>
        <item m="1" x="557"/>
        <item m="1" x="880"/>
        <item m="1" x="1201"/>
        <item m="1" x="1533"/>
        <item m="1" x="1859"/>
        <item m="1" x="2186"/>
        <item m="1" x="2504"/>
        <item m="1" x="2824"/>
        <item m="1" x="3148"/>
        <item m="1" x="3467"/>
        <item m="1" x="3782"/>
        <item m="1" x="4106"/>
        <item m="1" x="4427"/>
        <item m="1" x="4752"/>
        <item m="1" x="5072"/>
        <item m="1" x="5393"/>
        <item m="1" x="5720"/>
        <item m="1" x="6041"/>
        <item m="1" x="6359"/>
        <item m="1" x="6685"/>
        <item m="1" x="75"/>
        <item m="1" x="400"/>
        <item m="1" x="721"/>
        <item m="1" x="1044"/>
        <item m="1" x="1373"/>
        <item m="1" x="1701"/>
        <item m="1" x="2023"/>
        <item m="1" x="2349"/>
        <item m="1" x="2668"/>
        <item m="1" x="2991"/>
        <item m="1" x="3310"/>
        <item m="1" x="3628"/>
        <item m="1" x="3949"/>
        <item m="1" x="4272"/>
        <item m="1" x="4589"/>
        <item m="1" x="4916"/>
        <item m="1" x="5237"/>
        <item m="1" x="5563"/>
        <item m="1" x="5881"/>
        <item m="1" x="6203"/>
        <item m="1" x="6527"/>
        <item m="1" x="6851"/>
        <item m="1" x="236"/>
        <item m="1" x="564"/>
        <item m="1" x="885"/>
        <item m="1" x="1214"/>
        <item m="1" x="1538"/>
        <item m="1" x="1866"/>
        <item m="1" x="2191"/>
        <item m="1" x="2513"/>
        <item m="1" x="2829"/>
        <item m="1" x="3155"/>
        <item m="1" x="3472"/>
        <item m="1" x="3794"/>
        <item m="1" x="4111"/>
        <item m="1" x="4434"/>
        <item m="1" x="4757"/>
        <item m="1" x="5081"/>
        <item m="1" x="5398"/>
        <item m="1" x="5727"/>
        <item m="1" x="6046"/>
        <item m="1" x="6371"/>
        <item m="1" x="6690"/>
        <item m="1" x="82"/>
        <item m="1" x="406"/>
        <item m="1" x="730"/>
        <item m="1" x="1049"/>
        <item m="1" x="1380"/>
        <item m="1" x="1706"/>
        <item m="1" x="2036"/>
        <item m="1" x="2354"/>
        <item m="1" x="2675"/>
        <item m="1" x="2997"/>
        <item m="1" x="3319"/>
        <item m="1" x="3633"/>
        <item m="1" x="3956"/>
        <item m="1" x="4277"/>
        <item m="1" x="4602"/>
        <item m="1" x="4921"/>
        <item m="1" x="5244"/>
        <item m="1" x="5568"/>
        <item m="1" x="5890"/>
        <item m="1" x="6208"/>
        <item m="1" x="6534"/>
        <item m="1" x="6856"/>
        <item m="1" x="248"/>
        <item m="1" x="569"/>
        <item m="1" x="892"/>
        <item m="1" x="1220"/>
        <item m="1" x="1547"/>
        <item m="1" x="1871"/>
        <item m="1" x="2198"/>
        <item m="1" x="2518"/>
        <item m="1" x="2841"/>
        <item m="1" x="3160"/>
        <item m="1" x="3479"/>
        <item m="1" x="3799"/>
        <item m="1" x="4120"/>
        <item m="1" x="4439"/>
        <item m="1" x="4764"/>
        <item m="1" x="5086"/>
        <item m="1" x="5411"/>
        <item m="1" x="5732"/>
        <item m="1" x="6053"/>
        <item m="1" x="6376"/>
        <item m="1" x="6699"/>
        <item m="1" x="87"/>
        <item m="1" x="413"/>
        <item m="1" x="735"/>
        <item m="1" x="1062"/>
        <item m="1" x="1385"/>
        <item m="1" x="1713"/>
        <item m="1" x="2041"/>
        <item m="1" x="2363"/>
        <item m="1" x="2680"/>
        <item m="1" x="3004"/>
        <item m="1" x="3324"/>
        <item m="1" x="3645"/>
        <item m="1" x="3961"/>
        <item m="1" x="4284"/>
        <item m="1" x="4607"/>
        <item m="1" x="4930"/>
        <item m="1" x="5249"/>
        <item m="1" x="5575"/>
        <item m="1" x="5895"/>
        <item m="1" x="6220"/>
        <item m="1" x="6539"/>
        <item m="1" x="6863"/>
        <item m="1" x="254"/>
        <item m="1" x="578"/>
        <item m="1" x="897"/>
        <item m="1" x="1227"/>
        <item m="1" x="1552"/>
        <item m="1" x="1884"/>
        <item m="1" x="2204"/>
        <item m="1" x="2525"/>
        <item m="1" x="2848"/>
        <item m="1" x="3169"/>
        <item m="1" x="3485"/>
        <item m="1" x="3806"/>
        <item m="1" x="4126"/>
        <item m="1" x="4452"/>
        <item m="1" x="4770"/>
        <item m="1" x="5093"/>
        <item m="1" x="5418"/>
        <item m="1" x="5741"/>
        <item m="1" x="6059"/>
        <item m="1" x="6383"/>
        <item m="1" x="6705"/>
        <item m="1" x="99"/>
        <item m="1" x="419"/>
        <item m="1" x="742"/>
        <item m="1" x="1068"/>
        <item m="1" x="1394"/>
        <item m="1" x="1719"/>
        <item m="1" x="2048"/>
        <item m="1" x="2369"/>
        <item m="1" x="2692"/>
        <item m="1" x="3010"/>
        <item m="1" x="3331"/>
        <item m="1" x="3652"/>
        <item m="1" x="3970"/>
        <item m="1" x="4290"/>
        <item m="1" x="4614"/>
        <item m="1" x="4936"/>
        <item m="1" x="5262"/>
        <item m="1" x="5581"/>
        <item m="1" x="5902"/>
        <item m="1" x="6226"/>
        <item m="1" x="6548"/>
        <item m="1" x="6869"/>
        <item m="1" x="261"/>
        <item m="1" x="584"/>
        <item m="1" x="910"/>
        <item m="1" x="1233"/>
        <item m="1" x="1559"/>
        <item m="1" x="1890"/>
        <item m="1" x="2213"/>
        <item m="1" x="2531"/>
        <item m="1" x="2855"/>
        <item m="1" x="3175"/>
        <item m="1" x="3497"/>
        <item m="1" x="3812"/>
        <item m="1" x="4133"/>
        <item m="1" x="4458"/>
        <item m="1" x="4779"/>
        <item m="1" x="5099"/>
        <item m="1" x="5425"/>
        <item m="1" x="5747"/>
        <item m="1" x="6071"/>
        <item m="1" x="6389"/>
        <item m="1" x="6712"/>
        <item m="1" x="106"/>
        <item m="1" x="428"/>
        <item m="1" x="748"/>
        <item m="1" x="1075"/>
        <item m="1" x="1400"/>
        <item m="1" x="1732"/>
        <item m="1" x="2054"/>
        <item m="1" x="2376"/>
        <item m="1" x="2699"/>
        <item m="1" x="3019"/>
        <item m="1" x="3337"/>
        <item m="1" x="3659"/>
        <item m="1" x="3976"/>
        <item m="1" x="4303"/>
        <item m="1" x="4620"/>
        <item m="1" x="4943"/>
        <item m="1" x="5268"/>
        <item m="1" x="5590"/>
        <item m="1" x="5908"/>
        <item m="1" x="6233"/>
        <item m="1" x="6554"/>
        <item m="1" x="6881"/>
        <item m="1" x="267"/>
        <item m="1" x="591"/>
        <item m="1" x="917"/>
        <item m="1" x="1242"/>
        <item m="1" x="1565"/>
        <item m="1" x="1897"/>
        <item m="1" x="2219"/>
        <item m="1" x="2543"/>
        <item m="1" x="2861"/>
        <item m="1" x="3182"/>
        <item m="1" x="3503"/>
        <item m="1" x="3821"/>
        <item m="1" x="4139"/>
        <item m="1" x="4465"/>
        <item m="1" x="4785"/>
        <item m="1" x="5112"/>
        <item m="1" x="5431"/>
        <item m="1" x="5754"/>
        <item m="1" x="6078"/>
        <item m="1" x="6398"/>
        <item m="1" x="6718"/>
        <item m="1" x="113"/>
        <item m="1" x="434"/>
        <item m="1" x="761"/>
        <item m="1" x="1081"/>
        <item m="1" x="1407"/>
        <item m="1" x="1738"/>
        <item m="1" x="2063"/>
        <item m="1" x="2382"/>
        <item m="1" x="2706"/>
        <item m="1" x="3025"/>
        <item m="1" x="3349"/>
        <item m="1" x="3665"/>
        <item m="1" x="3983"/>
        <item m="1" x="4309"/>
        <item m="1" x="4629"/>
        <item m="1" x="4949"/>
        <item m="1" x="5275"/>
        <item m="1" x="5596"/>
        <item m="1" x="5920"/>
        <item m="1" x="6239"/>
        <item m="1" x="6561"/>
        <item m="1" x="6888"/>
        <item m="1" x="276"/>
        <item m="1" x="597"/>
        <item m="1" x="924"/>
        <item m="1" x="1248"/>
        <item m="1" x="1578"/>
        <item m="1" x="1903"/>
        <item m="1" x="2226"/>
        <item m="1" x="2550"/>
        <item m="1" x="2870"/>
        <item m="1" x="3188"/>
        <item m="1" x="3510"/>
        <item m="1" x="3827"/>
        <item m="1" x="4152"/>
        <item m="1" x="4471"/>
        <item m="1" x="4792"/>
        <item m="1" x="5119"/>
        <item m="1" x="5440"/>
        <item m="1" x="5760"/>
        <item m="1" x="6085"/>
        <item m="1" x="6404"/>
        <item m="1" x="6730"/>
        <item m="1" x="119"/>
        <item m="1" x="442"/>
        <item m="1" x="767"/>
        <item m="1" x="1090"/>
        <item m="1" x="1413"/>
        <item m="1" x="1746"/>
        <item m="1" x="2069"/>
        <item m="1" x="2393"/>
        <item m="1" x="2712"/>
        <item m="1" x="3033"/>
        <item m="1" x="3355"/>
        <item m="1" x="3674"/>
        <item m="1" x="3989"/>
        <item m="1" x="4317"/>
        <item m="1" x="4635"/>
        <item m="1" x="4962"/>
        <item m="1" x="5281"/>
        <item m="1" x="5604"/>
        <item m="1" x="5926"/>
        <item m="1" x="6248"/>
        <item m="1" x="6567"/>
        <item m="1" x="6896"/>
        <item m="1" x="282"/>
        <item m="1" x="610"/>
        <item m="1" x="930"/>
        <item m="1" x="1256"/>
        <item m="1" x="1585"/>
        <item m="1" x="1912"/>
        <item m="1" x="2232"/>
        <item m="1" x="2558"/>
        <item m="1" x="2876"/>
        <item m="1" x="3200"/>
        <item m="1" x="3516"/>
        <item m="1" x="3835"/>
        <item m="1" x="4158"/>
        <item m="1" x="4480"/>
        <item m="1" x="4798"/>
        <item m="1" x="5127"/>
        <item m="1" x="5446"/>
        <item m="1" x="5772"/>
        <item m="1" x="6091"/>
        <item m="1" x="6412"/>
        <item m="1" x="6737"/>
        <item m="1" x="128"/>
        <item m="1" x="448"/>
        <item m="1" x="775"/>
        <item m="1" x="1096"/>
        <item m="1" x="1426"/>
        <item m="1" x="1752"/>
        <item m="1" x="2077"/>
        <item m="1" x="2400"/>
        <item m="1" x="2721"/>
        <item m="1" x="3039"/>
        <item m="1" x="3363"/>
        <item m="1" x="3680"/>
        <item m="1" x="4002"/>
        <item m="1" x="4323"/>
        <item m="1" x="4643"/>
        <item m="1" x="4968"/>
        <item m="1" x="5290"/>
        <item m="1" x="5610"/>
        <item m="1" x="5934"/>
        <item m="1" x="6254"/>
        <item m="1" x="6579"/>
        <item m="1" x="6902"/>
        <item m="1" x="290"/>
        <item m="1" x="617"/>
        <item m="1" x="939"/>
        <item m="1" x="1262"/>
        <item m="1" x="1593"/>
        <item m="1" x="1918"/>
        <item m="1" x="2244"/>
        <item m="1" x="2564"/>
        <item m="1" x="2884"/>
        <item m="1" x="3206"/>
        <item m="1" x="3525"/>
        <item m="1" x="3841"/>
        <item m="1" x="4166"/>
        <item m="1" x="4486"/>
        <item m="1" x="4811"/>
        <item m="1" x="5133"/>
        <item m="1" x="5454"/>
        <item m="1" x="5778"/>
        <item m="1" x="6100"/>
        <item m="1" x="6418"/>
        <item m="1" x="6745"/>
        <item m="1" x="134"/>
        <item m="1" x="461"/>
        <item m="1" x="781"/>
        <item m="1" x="1104"/>
        <item m="1" x="1432"/>
        <item m="1" x="1761"/>
        <item m="1" x="2083"/>
        <item m="1" x="2408"/>
        <item m="1" x="2727"/>
        <item m="1" x="3051"/>
        <item m="1" x="3369"/>
        <item m="1" x="3688"/>
        <item m="1" x="4009"/>
        <item m="1" x="4332"/>
        <item m="1" x="4649"/>
        <item m="1" x="4976"/>
        <item m="1" x="5296"/>
        <item m="1" x="5622"/>
        <item m="1" x="5940"/>
        <item m="1" x="6262"/>
        <item m="1" x="6586"/>
        <item m="1" x="6911"/>
        <item m="1" x="296"/>
        <item m="1" x="625"/>
        <item m="1" x="945"/>
        <item m="1" x="1275"/>
        <item m="1" x="1599"/>
        <item m="1" x="1926"/>
        <item m="1" x="2251"/>
        <item m="1" x="2573"/>
        <item m="1" x="2890"/>
        <item m="1" x="3214"/>
        <item m="1" x="3531"/>
        <item m="1" x="3854"/>
        <item m="1" x="4172"/>
        <item m="1" x="4494"/>
        <item m="1" x="4818"/>
        <item m="1" x="5142"/>
        <item m="1" x="5460"/>
        <item m="1" x="5786"/>
        <item m="1" x="6106"/>
        <item m="1" x="6430"/>
        <item m="1" x="6751"/>
        <item m="1" x="142"/>
        <item m="1" x="467"/>
        <item m="1" x="790"/>
        <item m="1" x="1110"/>
        <item m="1" x="1440"/>
        <item m="1" x="1767"/>
        <item m="1" x="2095"/>
        <item m="1" x="2414"/>
        <item m="1" x="2734"/>
        <item m="1" x="3057"/>
        <item m="1" x="3377"/>
        <item m="1" x="3693"/>
        <item m="1" x="4016"/>
        <item m="1" x="4337"/>
        <item m="1" x="4661"/>
        <item m="1" x="4981"/>
        <item m="1" x="5303"/>
        <item m="1" x="5627"/>
        <item m="1" x="5949"/>
        <item m="1" x="6267"/>
        <item m="1" x="6593"/>
        <item m="1" x="6916"/>
        <item m="1" x="308"/>
        <item m="1" x="630"/>
        <item m="1" x="952"/>
        <item m="1" x="1280"/>
        <item m="1" x="1608"/>
        <item m="1" x="1931"/>
        <item m="1" x="2258"/>
        <item m="1" x="2578"/>
        <item m="1" x="2900"/>
        <item m="1" x="3218"/>
        <item m="1" x="3537"/>
        <item m="1" x="3858"/>
        <item m="1" x="4180"/>
        <item m="1" x="4498"/>
        <item m="1" x="4824"/>
        <item m="1" x="5146"/>
        <item m="1" x="5470"/>
        <item m="1" x="5790"/>
        <item m="1" x="6112"/>
        <item m="1" x="6436"/>
        <item m="1" x="6759"/>
        <item m="1" x="146"/>
        <item m="1" x="473"/>
        <item m="1" x="794"/>
        <item m="1" x="1121"/>
        <item m="1" x="1444"/>
        <item m="1" x="1773"/>
        <item m="1" x="2100"/>
        <item m="1" x="2422"/>
        <item m="1" x="2738"/>
        <item m="1" x="3063"/>
        <item m="1" x="3381"/>
        <item m="1" x="3704"/>
        <item m="1" x="4020"/>
        <item m="1" x="4343"/>
        <item m="1" x="4665"/>
        <item m="1" x="4989"/>
        <item m="1" x="5307"/>
        <item m="1" x="5633"/>
        <item m="1" x="5953"/>
        <item m="1" x="6277"/>
        <item m="1" x="6597"/>
        <item m="1" x="6922"/>
        <item m="1" x="313"/>
        <item m="1" x="638"/>
        <item m="1" x="956"/>
        <item m="1" x="1286"/>
        <item m="1" x="1612"/>
        <item m="1" x="1941"/>
        <item m="1" x="2262"/>
        <item m="1" x="2584"/>
        <item m="1" x="2904"/>
        <item m="1" x="3226"/>
        <item m="1" x="3541"/>
        <item m="1" x="3864"/>
        <item m="1" x="4184"/>
        <item m="1" x="4509"/>
        <item m="1" x="4828"/>
        <item m="1" x="5152"/>
        <item m="1" x="5475"/>
        <item m="1" x="5798"/>
        <item m="1" x="6116"/>
        <item m="1" x="6442"/>
        <item m="1" x="6763"/>
        <item m="1" x="157"/>
        <item m="1" x="477"/>
        <item m="1" x="800"/>
        <item m="1" x="1125"/>
        <item m="1" x="1452"/>
        <item m="1" x="1777"/>
        <item m="1" x="2105"/>
        <item m="1" x="2426"/>
        <item m="1" x="2748"/>
        <item m="1" x="3067"/>
        <item m="1" x="3387"/>
        <item m="1" x="3708"/>
        <item m="1" x="4028"/>
        <item m="1" x="4347"/>
        <item m="1" x="4671"/>
        <item m="1" x="4993"/>
        <item m="1" x="5317"/>
        <item m="1" x="5637"/>
        <item m="1" x="5959"/>
        <item m="1" x="6282"/>
        <item m="1" x="6605"/>
        <item m="1" x="6926"/>
        <item m="1" x="319"/>
        <item m="1" x="642"/>
        <item m="1" x="967"/>
        <item m="1" x="1290"/>
        <item m="1" x="1618"/>
        <item m="1" x="1947"/>
        <item m="1" x="2270"/>
        <item m="1" x="2588"/>
        <item m="1" x="2910"/>
        <item m="1" x="3230"/>
        <item m="1" x="3552"/>
        <item m="1" x="3868"/>
        <item m="1" x="4190"/>
        <item m="1" x="4514"/>
        <item m="1" x="4836"/>
        <item m="1" x="5156"/>
        <item m="1" x="5481"/>
        <item m="1" x="5802"/>
        <item m="1" x="6126"/>
        <item m="1" x="6446"/>
        <item m="1" x="6769"/>
        <item m="1" x="161"/>
        <item m="1" x="485"/>
        <item m="1" x="804"/>
        <item m="1" x="1131"/>
        <item m="1" x="1456"/>
        <item m="1" x="1787"/>
        <item m="1" x="2109"/>
        <item m="1" x="2432"/>
        <item m="1" x="2752"/>
        <item m="1" x="3075"/>
        <item m="1" x="3391"/>
        <item m="1" x="3714"/>
        <item m="1" x="4032"/>
        <item m="1" x="4358"/>
        <item m="1" x="4675"/>
        <item m="1" x="4999"/>
        <item m="1" x="5321"/>
        <item m="1" x="5645"/>
        <item m="1" x="5963"/>
        <item m="1" x="6288"/>
        <item m="1" x="6609"/>
        <item m="1" x="5"/>
        <item m="1" x="323"/>
        <item m="1" x="648"/>
        <item m="1" x="972"/>
        <item m="1" x="1298"/>
        <item m="1" x="1622"/>
        <item m="1" x="1953"/>
        <item m="1" x="2274"/>
        <item m="1" x="2598"/>
        <item m="1" x="2914"/>
        <item m="1" x="3236"/>
        <item m="1" x="3556"/>
        <item m="1" x="3876"/>
        <item m="1" x="4194"/>
        <item m="1" x="4520"/>
        <item m="1" x="4840"/>
        <item m="1" x="5167"/>
        <item m="1" x="5485"/>
        <item m="1" x="5808"/>
        <item m="1" x="6131"/>
        <item m="1" x="6454"/>
        <item m="1" x="6773"/>
        <item m="1" x="167"/>
        <item m="1" x="489"/>
        <item m="1" x="815"/>
        <item m="1" x="1136"/>
        <item m="1" x="1462"/>
        <item m="1" x="1792"/>
        <item m="1" x="2117"/>
        <item m="1" x="2436"/>
        <item m="1" x="2758"/>
        <item m="1" x="3079"/>
        <item m="1" x="3403"/>
        <item m="1" x="3718"/>
        <item m="1" x="4038"/>
        <item m="1" x="4362"/>
        <item m="1" x="4683"/>
        <item m="1" x="5003"/>
        <item m="1" x="5327"/>
        <item m="1" x="5649"/>
        <item m="1" x="5973"/>
        <item m="1" x="6292"/>
        <item m="1" x="6615"/>
        <item m="1" x="10"/>
        <item m="1" x="331"/>
        <item m="1" x="652"/>
        <item m="1" x="978"/>
        <item m="1" x="1302"/>
        <item m="1" x="1633"/>
        <item m="1" x="1957"/>
        <item m="1" x="2280"/>
        <item m="1" x="2602"/>
        <item m="1" x="2922"/>
        <item m="1" x="3240"/>
        <item m="1" x="3562"/>
        <item m="1" x="3880"/>
        <item m="1" x="4205"/>
        <item m="1" x="4524"/>
        <item m="1" x="4846"/>
        <item m="1" x="5171"/>
        <item m="1" x="5493"/>
        <item m="1" x="5812"/>
        <item m="1" x="6137"/>
        <item m="1" x="6458"/>
        <item m="1" x="6785"/>
        <item m="1" x="171"/>
        <item m="1" x="495"/>
        <item m="1" x="819"/>
        <item m="1" x="1144"/>
        <item m="1" x="1466"/>
        <item m="1" x="1798"/>
        <item m="1" x="2121"/>
        <item m="1" x="2446"/>
        <item m="1" x="2762"/>
        <item m="1" x="3085"/>
        <item m="1" x="3407"/>
        <item m="1" x="3726"/>
        <item m="1" x="4042"/>
        <item m="1" x="4368"/>
        <item m="1" x="4687"/>
        <item m="1" x="5014"/>
        <item m="1" x="5331"/>
        <item m="1" x="5655"/>
        <item m="1" x="5978"/>
        <item m="1" x="6300"/>
        <item m="1" x="6619"/>
        <item m="1" x="16"/>
        <item m="1" x="335"/>
        <item m="1" x="663"/>
        <item m="1" x="982"/>
        <item m="1" x="1308"/>
        <item m="1" x="1638"/>
        <item m="1" x="1965"/>
        <item m="1" x="2284"/>
        <item m="1" x="2608"/>
        <item m="1" x="2926"/>
        <item m="1" x="3252"/>
        <item m="1" x="3566"/>
        <item m="1" x="3886"/>
        <item m="1" x="4210"/>
        <item m="1" x="4532"/>
        <item m="1" x="4850"/>
        <item m="1" x="5177"/>
        <item m="1" x="5497"/>
        <item m="1" x="5822"/>
        <item m="1" x="6141"/>
        <item m="1" x="6464"/>
        <item m="1" x="6789"/>
        <item m="1" x="179"/>
        <item m="1" x="499"/>
        <item m="1" x="825"/>
        <item m="1" x="1148"/>
        <item m="1" x="1478"/>
        <item m="1" x="1802"/>
        <item m="1" x="2127"/>
        <item m="1" x="2451"/>
        <item m="1" x="2770"/>
        <item m="1" x="3089"/>
        <item m="1" x="3413"/>
        <item m="1" x="3730"/>
        <item m="1" x="4053"/>
        <item m="1" x="4372"/>
        <item m="1" x="4693"/>
        <item m="1" x="5018"/>
        <item m="1" x="5339"/>
        <item m="1" x="5659"/>
        <item m="1" x="5984"/>
        <item m="1" x="6304"/>
        <item m="1" x="6631"/>
        <item m="1" x="20"/>
        <item m="1" x="341"/>
        <item m="1" x="667"/>
        <item m="1" x="990"/>
        <item m="1" x="1312"/>
        <item m="1" x="1644"/>
        <item m="1" x="1969"/>
        <item m="1" x="2294"/>
        <item m="1" x="2612"/>
        <item m="1" x="2932"/>
        <item m="1" x="3256"/>
        <item m="1" x="3574"/>
        <item m="1" x="3890"/>
        <item m="1" x="4216"/>
        <item m="1" x="4536"/>
        <item m="1" x="4861"/>
        <item m="1" x="5181"/>
        <item m="1" x="5503"/>
        <item m="1" x="5827"/>
        <item m="1" x="6149"/>
        <item m="1" x="6468"/>
        <item m="1" x="6796"/>
        <item m="1" x="183"/>
        <item m="1" x="510"/>
        <item m="1" x="829"/>
        <item m="1" x="1154"/>
        <item m="1" x="1483"/>
        <item m="1" x="1810"/>
        <item m="1" x="2131"/>
        <item m="1" x="2457"/>
        <item m="1" x="2774"/>
        <item m="1" x="3101"/>
        <item m="1" x="3417"/>
        <item m="1" x="3736"/>
        <item m="1" x="4057"/>
        <item m="1" x="4380"/>
        <item m="1" x="4697"/>
        <item m="1" x="5024"/>
        <item m="1" x="5343"/>
        <item m="1" x="5670"/>
        <item m="1" x="5988"/>
        <item m="1" x="6310"/>
        <item m="1" x="6636"/>
        <item m="1" x="28"/>
        <item m="1" x="345"/>
        <item m="1" x="673"/>
        <item m="1" x="994"/>
        <item m="1" x="1323"/>
        <item m="1" x="1648"/>
        <item m="1" x="1975"/>
        <item m="1" x="2298"/>
        <item m="1" x="2620"/>
        <item m="1" x="2936"/>
        <item m="1" x="3262"/>
        <item m="1" x="3578"/>
        <item m="1" x="3901"/>
        <item m="1" x="4220"/>
        <item m="1" x="4542"/>
        <item m="1" x="4866"/>
        <item m="1" x="5189"/>
        <item m="1" x="5507"/>
        <item m="1" x="5833"/>
        <item m="1" x="6153"/>
        <item m="1" x="6480"/>
        <item m="1" x="6800"/>
        <item m="1" x="189"/>
        <item m="1" x="514"/>
        <item m="1" x="837"/>
        <item m="1" x="1158"/>
        <item m="1" x="1489"/>
        <item m="1" x="1814"/>
        <item m="1" x="2142"/>
        <item m="1" x="2461"/>
        <item m="1" x="2780"/>
        <item m="1" x="3105"/>
        <item m="1" x="3425"/>
        <item m="1" x="3740"/>
        <item m="1" x="4063"/>
        <item m="1" x="4384"/>
        <item m="1" x="4708"/>
        <item m="1" x="5028"/>
        <item m="1" x="5349"/>
        <item m="1" x="5675"/>
        <item m="1" x="5996"/>
        <item m="1" x="6314"/>
        <item m="1" x="6642"/>
        <item m="1" x="32"/>
        <item m="1" x="356"/>
        <item m="1" x="677"/>
        <item m="1" x="1000"/>
        <item m="1" x="1328"/>
        <item m="1" x="1656"/>
        <item m="1" x="1979"/>
        <item m="1" x="2304"/>
        <item m="1" x="2624"/>
        <item m="1" x="2948"/>
        <item m="1" x="3266"/>
        <item m="1" x="3584"/>
        <item m="1" x="3906"/>
        <item m="1" x="4228"/>
        <item m="1" x="4546"/>
        <item m="1" x="4872"/>
        <item m="1" x="5193"/>
        <item m="1" x="5518"/>
        <item m="1" x="5837"/>
        <item m="1" x="6159"/>
        <item m="1" x="6484"/>
        <item m="1" x="6808"/>
        <item m="1" x="193"/>
        <item m="1" x="520"/>
        <item m="1" x="841"/>
        <item m="1" x="1169"/>
        <item m="1" x="1493"/>
        <item m="1" x="1820"/>
        <item m="1" x="2146"/>
        <item m="1" x="2469"/>
        <item m="1" x="2784"/>
        <item m="1" x="3111"/>
        <item m="1" x="3429"/>
        <item m="1" x="3751"/>
        <item m="1" x="4067"/>
        <item m="1" x="4390"/>
        <item m="1" x="4712"/>
        <item m="1" x="5036"/>
        <item m="1" x="5353"/>
        <item m="1" x="5681"/>
        <item m="1" x="6000"/>
        <item m="1" x="6326"/>
        <item m="1" x="6646"/>
        <item m="1" x="38"/>
        <item m="1" x="361"/>
        <item m="1" x="685"/>
        <item m="1" x="1004"/>
        <item m="1" x="1334"/>
        <item m="1" x="1660"/>
        <item m="1" x="1990"/>
        <item m="1" x="2308"/>
        <item m="1" x="2630"/>
        <item m="1" x="2952"/>
        <item m="1" x="3274"/>
        <item m="1" x="3588"/>
        <item m="1" x="3912"/>
        <item m="1" x="4232"/>
        <item m="1" x="4557"/>
        <item m="1" x="4876"/>
        <item m="1" x="5199"/>
        <item m="1" x="5523"/>
        <item m="1" x="5845"/>
        <item m="1" x="6163"/>
        <item m="1" x="6490"/>
        <item m="1" x="6812"/>
        <item m="1" x="204"/>
        <item m="1" x="524"/>
        <item m="1" x="847"/>
        <item m="1" x="1174"/>
        <item m="1" x="1501"/>
        <item m="1" x="1824"/>
        <item m="1" x="2152"/>
        <item m="1" x="2473"/>
        <item m="1" x="2796"/>
        <item m="1" x="3115"/>
        <item m="1" x="3435"/>
        <item m="1" x="3755"/>
        <item m="1" x="4075"/>
        <item m="1" x="4394"/>
        <item m="1" x="4718"/>
        <item m="1" x="5040"/>
        <item m="1" x="5364"/>
        <item m="1" x="5685"/>
        <item m="1" x="6006"/>
        <item m="1" x="6331"/>
        <item m="1" x="6654"/>
        <item m="1" x="42"/>
        <item m="1" x="367"/>
        <item m="1" x="689"/>
        <item m="1" x="1015"/>
        <item m="1" x="1338"/>
        <item m="1" x="1666"/>
        <item m="1" x="1994"/>
        <item m="1" x="2316"/>
        <item m="1" x="2634"/>
        <item m="1" x="2958"/>
        <item m="1" x="3278"/>
        <item m="1" x="3599"/>
        <item m="1" x="3916"/>
        <item m="1" x="4238"/>
        <item m="1" x="4561"/>
        <item m="1" x="4884"/>
        <item m="1" x="5203"/>
        <item m="1" x="5529"/>
        <item m="1" x="5849"/>
        <item m="1" x="6175"/>
        <item m="1" x="6494"/>
        <item m="1" x="6818"/>
        <item m="1" x="208"/>
        <item m="1" x="532"/>
        <item m="1" x="851"/>
        <item m="1" x="1180"/>
        <item m="1" x="1505"/>
        <item m="1" x="1835"/>
        <item m="1" x="2156"/>
        <item m="1" x="2479"/>
        <item m="1" x="2801"/>
        <item m="1" x="3123"/>
        <item m="1" x="3439"/>
        <item m="1" x="3761"/>
        <item m="1" x="4079"/>
        <item m="1" x="4405"/>
        <item m="1" x="4722"/>
        <item m="1" x="5046"/>
        <item m="1" x="5369"/>
        <item m="1" x="5693"/>
        <item m="1" x="6010"/>
        <item m="1" x="6337"/>
        <item m="1" x="6658"/>
        <item m="1" x="53"/>
        <item m="1" x="371"/>
        <item m="1" x="695"/>
        <item m="1" x="1020"/>
        <item m="1" x="1346"/>
        <item m="1" x="1670"/>
        <item m="1" x="2000"/>
        <item m="1" x="2320"/>
        <item m="1" x="2646"/>
        <item m="1" x="2962"/>
        <item m="1" x="3284"/>
        <item m="1" x="3604"/>
        <item m="1" x="3924"/>
        <item m="1" x="4242"/>
        <item m="1" x="4567"/>
        <item m="1" x="4888"/>
        <item m="1" x="5214"/>
        <item m="1" x="5533"/>
        <item m="1" x="5855"/>
        <item m="1" x="6179"/>
        <item m="1" x="6502"/>
        <item m="1" x="6822"/>
        <item m="1" x="214"/>
        <item m="1" x="536"/>
        <item m="1" x="862"/>
        <item m="1" x="1184"/>
        <item m="1" x="1511"/>
        <item m="1" x="1841"/>
        <item m="1" x="2164"/>
        <item m="1" x="2483"/>
        <item m="1" x="2807"/>
        <item m="1" x="3127"/>
        <item m="1" x="3450"/>
        <item m="1" x="3765"/>
        <item m="1" x="4085"/>
        <item m="1" x="4409"/>
        <item m="1" x="4730"/>
        <item m="1" x="5050"/>
        <item m="1" x="5375"/>
        <item m="1" x="5697"/>
        <item m="1" x="6022"/>
        <item m="1" x="6341"/>
        <item m="1" x="6664"/>
        <item m="1" x="57"/>
        <item m="1" x="379"/>
        <item m="1" x="699"/>
        <item m="1" x="1026"/>
        <item m="1" x="1350"/>
        <item m="1" x="1681"/>
        <item m="1" x="2004"/>
        <item m="1" x="2326"/>
        <item m="1" x="2649"/>
        <item m="1" x="2969"/>
        <item m="1" x="3287"/>
        <item m="1" x="3609"/>
        <item m="1" x="3927"/>
        <item m="1" x="4252"/>
        <item m="1" x="4570"/>
        <item m="1" x="4893"/>
        <item m="1" x="5218"/>
        <item m="1" x="5540"/>
        <item m="1" x="5858"/>
        <item m="1" x="6184"/>
        <item m="1" x="6505"/>
        <item m="1" x="6832"/>
        <item m="1" x="217"/>
        <item m="1" x="541"/>
        <item m="1" x="866"/>
        <item m="1" x="1191"/>
        <item m="1" x="1514"/>
        <item m="1" x="1846"/>
        <item m="1" x="2167"/>
        <item m="1" x="2493"/>
        <item m="1" x="2809"/>
        <item m="1" x="3131"/>
        <item m="1" x="3452"/>
        <item m="1" x="3771"/>
        <item m="1" x="4087"/>
        <item m="1" x="4413"/>
        <item m="1" x="4732"/>
        <item m="1" x="5059"/>
        <item m="1" x="5377"/>
        <item m="1" x="5701"/>
        <item m="1" x="6025"/>
        <item m="1" x="6347"/>
        <item m="1" x="6666"/>
        <item m="1" x="61"/>
        <item m="1" x="381"/>
        <item m="1" x="708"/>
        <item m="1" x="1028"/>
        <item m="1" x="1354"/>
        <item m="1" x="1684"/>
        <item m="1" x="2010"/>
        <item m="1" x="2328"/>
        <item m="1" x="2653"/>
        <item m="1" x="2971"/>
        <item m="1" x="3296"/>
        <item m="1" x="3611"/>
        <item m="1" x="3931"/>
        <item m="1" x="4255"/>
        <item m="1" x="4576"/>
        <item m="1" x="4895"/>
        <item m="1" x="5222"/>
        <item m="1" x="5542"/>
        <item m="1" x="5868"/>
        <item m="1" x="6186"/>
        <item m="1" x="6509"/>
        <item m="1" x="6834"/>
        <item m="1" x="223"/>
        <item m="1" x="543"/>
        <item m="1" x="870"/>
        <item m="1" x="1193"/>
        <item m="1" x="1523"/>
        <item m="1" x="1848"/>
        <item m="1" x="2171"/>
        <item m="1" x="2495"/>
        <item m="1" x="2815"/>
        <item m="1" x="3133"/>
        <item m="1" x="3456"/>
        <item m="1" x="3773"/>
        <item m="1" x="4096"/>
        <item m="1" x="4415"/>
        <item m="1" x="4736"/>
        <item m="1" x="5062"/>
        <item m="1" x="5383"/>
        <item m="1" x="5703"/>
        <item m="1" x="6029"/>
        <item m="1" x="6349"/>
        <item m="1" x="6675"/>
        <item m="1" x="63"/>
        <item m="1" x="385"/>
        <item m="1" x="711"/>
        <item m="1" x="1034"/>
        <item m="1" x="1356"/>
        <item m="1" x="1688"/>
        <item m="1" x="2012"/>
        <item m="1" x="2338"/>
        <item m="1" x="2655"/>
        <item m="1" x="2975"/>
        <item m="1" x="3299"/>
        <item m="1" x="3617"/>
        <item m="1" x="3933"/>
        <item m="1" x="4098"/>
        <item m="1" x="4259"/>
        <item m="1" x="4421"/>
        <item m="1" x="4578"/>
        <item m="1" x="4738"/>
        <item m="1" x="4904"/>
        <item m="1" x="5066"/>
        <item m="1" x="5224"/>
        <item m="1" x="5385"/>
        <item m="1" x="5546"/>
        <item m="1" x="5709"/>
        <item m="1" x="5870"/>
        <item m="1" x="6031"/>
        <item m="1" x="6192"/>
        <item m="1" x="6353"/>
        <item m="1" x="6511"/>
        <item m="1" x="6677"/>
        <item m="1" x="6838"/>
        <item m="1" x="69"/>
        <item m="1" x="225"/>
        <item m="1" x="387"/>
        <item m="1" x="552"/>
        <item m="1" x="715"/>
        <item m="1" x="872"/>
        <item m="1" x="1036"/>
        <item m="1" x="1197"/>
        <item m="1" x="1362"/>
        <item m="1" x="1526"/>
        <item m="1" x="1690"/>
        <item m="1" x="1854"/>
        <item m="1" x="2016"/>
        <item m="1" x="2173"/>
        <item m="1" x="2340"/>
        <item m="1" x="2499"/>
        <item m="1" x="2661"/>
        <item m="1" x="2817"/>
        <item m="1" x="2977"/>
        <item m="1" x="3142"/>
        <item m="1" x="3303"/>
        <item m="1" x="3458"/>
        <item m="1" x="3619"/>
        <item m="1" x="3777"/>
        <item m="1" x="3939"/>
        <item m="1" x="4099"/>
        <item m="1" x="4261"/>
        <item m="1" x="4422"/>
        <item m="1" x="4582"/>
        <item m="1" x="4739"/>
        <item m="1" x="4907"/>
        <item m="1" x="5067"/>
        <item m="1" x="5230"/>
        <item m="1" x="5386"/>
        <item m="1" x="5548"/>
        <item m="1" x="5714"/>
        <item m="1" x="5874"/>
        <item m="1" x="6032"/>
        <item m="1" x="6194"/>
        <item m="1" x="6354"/>
        <item m="1" x="6517"/>
        <item m="1" x="6678"/>
        <item m="1" x="6840"/>
        <item m="1" x="70"/>
        <item m="1" x="229"/>
        <item m="1" x="388"/>
        <item m="1" x="555"/>
        <item m="1" x="716"/>
        <item m="1" x="878"/>
        <item m="1" x="1037"/>
        <item m="1" x="1199"/>
        <item m="1" x="1366"/>
        <item m="1" x="1530"/>
        <item m="1" x="1691"/>
        <item m="1" x="1856"/>
        <item m="1" x="2017"/>
        <item m="1" x="2179"/>
        <item m="1" x="2341"/>
        <item m="1" x="2501"/>
        <item m="1" x="2662"/>
        <item m="1" x="2821"/>
        <item m="1" x="2978"/>
        <item m="1" x="3145"/>
        <item m="1" x="3304"/>
        <item m="1" x="3464"/>
        <item m="1" x="3620"/>
        <item m="1" x="3779"/>
        <item m="1" x="3943"/>
        <item m="1" x="4103"/>
        <item m="1" x="4262"/>
        <item m="1" x="4424"/>
        <item m="1" x="4583"/>
        <item m="1" x="4745"/>
        <item m="1" x="4908"/>
        <item m="1" x="5069"/>
        <item m="1" x="5231"/>
        <item m="1" x="5390"/>
        <item m="1" x="5549"/>
        <item m="1" x="5717"/>
        <item m="1" x="5875"/>
        <item m="1" x="6038"/>
        <item m="1" x="6195"/>
        <item m="1" x="6356"/>
        <item m="1" x="6521"/>
        <item m="1" x="6682"/>
        <item m="1" x="6841"/>
        <item m="1" x="72"/>
        <item m="1" x="230"/>
        <item m="1" x="394"/>
        <item m="1" x="556"/>
        <item m="1" x="718"/>
        <item m="1" x="879"/>
        <item m="1" x="1041"/>
        <item m="1" x="1200"/>
        <item m="1" x="1370"/>
        <item m="1" x="1532"/>
        <item m="1" x="1698"/>
        <item m="1" x="1858"/>
        <item m="1" x="2020"/>
        <item m="1" x="2185"/>
        <item m="1" x="2346"/>
        <item m="1" x="2503"/>
        <item m="1" x="2665"/>
        <item m="1" x="2823"/>
        <item m="1" x="2985"/>
        <item m="1" x="3147"/>
        <item m="1" x="3307"/>
        <item m="1" x="3466"/>
        <item m="1" x="3625"/>
        <item m="1" x="3781"/>
        <item m="1" x="3946"/>
        <item m="1" x="4105"/>
        <item m="1" x="4269"/>
        <item m="1" x="4426"/>
        <item m="1" x="4586"/>
        <item m="1" x="4750"/>
        <item m="1" x="4913"/>
        <item m="1" x="5071"/>
        <item m="1" x="5234"/>
        <item m="1" x="5392"/>
        <item m="1" x="5556"/>
        <item m="1" x="5719"/>
        <item m="1" x="5878"/>
        <item m="1" x="6040"/>
        <item m="1" x="6200"/>
        <item m="1" x="6358"/>
        <item m="1" x="6524"/>
        <item m="1" x="6684"/>
        <item m="1" x="6848"/>
        <item m="1" x="74"/>
        <item m="1" x="233"/>
        <item m="1" x="399"/>
        <item m="1" x="561"/>
        <item m="1" x="720"/>
        <item m="1" x="882"/>
        <item m="1" x="1043"/>
        <item m="1" x="1207"/>
        <item m="1" x="1372"/>
        <item m="1" x="1535"/>
        <item m="1" x="1700"/>
        <item m="1" x="1863"/>
        <item m="1" x="2022"/>
        <item m="1" x="2188"/>
        <item m="1" x="2348"/>
        <item m="1" x="2510"/>
        <item m="1" x="2667"/>
        <item m="1" x="2826"/>
        <item m="1" x="2990"/>
        <item m="1" x="3152"/>
        <item m="1" x="3309"/>
        <item m="1" x="3469"/>
        <item m="1" x="3627"/>
        <item m="1" x="3788"/>
        <item m="1" x="3948"/>
        <item m="1" x="4108"/>
        <item m="1" x="4271"/>
        <item m="1" x="4431"/>
        <item m="1" x="4588"/>
        <item m="1" x="4754"/>
        <item m="1" x="4915"/>
        <item m="1" x="5078"/>
        <item m="1" x="5236"/>
        <item m="1" x="5395"/>
        <item m="1" x="5562"/>
        <item m="1" x="5724"/>
        <item m="1" x="5880"/>
        <item m="1" x="6043"/>
        <item m="1" x="6202"/>
        <item m="1" x="6365"/>
        <item m="1" x="6526"/>
        <item m="1" x="6687"/>
        <item m="1" x="6850"/>
        <item m="1" x="79"/>
        <item m="1" x="235"/>
        <item m="1" x="403"/>
        <item m="1" x="563"/>
        <item m="1" x="727"/>
        <item m="1" x="884"/>
        <item m="1" x="1046"/>
        <item m="1" x="1212"/>
        <item m="1" x="1377"/>
        <item m="1" x="1537"/>
        <item m="1" x="1703"/>
        <item m="1" x="1865"/>
        <item m="1" x="2029"/>
        <item m="1" x="2190"/>
        <item m="1" x="2351"/>
        <item m="1" x="2512"/>
        <item m="1" x="2672"/>
        <item m="1" x="2828"/>
        <item m="1" x="2994"/>
        <item m="1" x="3154"/>
        <item m="1" x="3316"/>
        <item m="1" x="3471"/>
        <item m="1" x="3630"/>
        <item m="1" x="3793"/>
        <item m="1" x="3953"/>
        <item m="1" x="4110"/>
        <item m="1" x="4274"/>
        <item m="1" x="4433"/>
        <item m="1" x="4595"/>
        <item m="1" x="4756"/>
        <item m="1" x="4918"/>
        <item m="1" x="5080"/>
        <item m="1" x="5241"/>
        <item m="1" x="5397"/>
        <item m="1" x="5565"/>
        <item m="1" x="5726"/>
        <item m="1" x="5887"/>
        <item m="1" x="6045"/>
        <item m="1" x="6205"/>
        <item m="1" x="6370"/>
        <item m="1" x="6531"/>
        <item m="1" x="6689"/>
        <item m="1" x="6853"/>
        <item m="1" x="81"/>
        <item m="1" x="242"/>
        <item m="1" x="405"/>
        <item m="1" x="566"/>
        <item m="1" x="729"/>
        <item m="1" x="889"/>
        <item m="1" x="1048"/>
        <item m="1" x="1217"/>
        <item m="1" x="1379"/>
        <item m="1" x="1544"/>
        <item m="1" x="1705"/>
        <item m="1" x="1868"/>
        <item m="1" x="2035"/>
        <item m="1" x="2195"/>
        <item m="1" x="2353"/>
        <item m="1" x="2515"/>
        <item m="1" x="2674"/>
        <item m="1" x="2835"/>
        <item m="1" x="2996"/>
        <item m="1" x="3157"/>
        <item m="1" x="3318"/>
        <item m="1" x="3476"/>
        <item m="1" x="3632"/>
        <item m="1" x="3796"/>
        <item m="1" x="3955"/>
        <item m="1" x="4117"/>
        <item m="1" x="4276"/>
        <item m="1" x="4436"/>
        <item m="1" x="4600"/>
        <item m="1" x="4761"/>
        <item m="1" x="4920"/>
        <item m="1" x="5083"/>
        <item m="1" x="5243"/>
        <item m="1" x="5404"/>
        <item m="1" x="5567"/>
        <item m="1" x="5729"/>
        <item m="1" x="5889"/>
        <item m="1" x="6050"/>
        <item m="1" x="6207"/>
        <item m="1" x="6373"/>
        <item m="1" x="6533"/>
        <item m="1" x="6696"/>
        <item m="1" x="6855"/>
        <item m="1" x="84"/>
        <item m="1" x="247"/>
        <item m="1" x="410"/>
        <item m="1" x="568"/>
        <item m="1" x="732"/>
        <item m="1" x="891"/>
        <item m="1" x="1055"/>
        <item m="1" x="1219"/>
        <item m="1" x="1382"/>
        <item m="1" x="1546"/>
        <item m="1" x="1710"/>
        <item m="1" x="1870"/>
        <item m="1" x="2038"/>
        <item m="1" x="2197"/>
        <item m="1" x="2360"/>
        <item m="1" x="2517"/>
        <item m="1" x="2677"/>
        <item m="1" x="2840"/>
        <item m="1" x="3001"/>
        <item m="1" x="3159"/>
        <item m="1" x="3321"/>
        <item m="1" x="3478"/>
        <item m="1" x="3639"/>
        <item m="1" x="3798"/>
        <item m="1" x="3958"/>
        <item m="1" x="4119"/>
        <item m="1" x="4281"/>
        <item m="1" x="4438"/>
        <item m="1" x="4604"/>
        <item m="1" x="4763"/>
        <item m="1" x="4927"/>
        <item m="1" x="5085"/>
        <item m="1" x="5246"/>
        <item m="1" x="5410"/>
        <item m="1" x="5572"/>
        <item m="1" x="5731"/>
        <item m="1" x="5892"/>
        <item m="1" x="6052"/>
        <item m="1" x="6214"/>
        <item m="1" x="6375"/>
        <item m="1" x="6536"/>
        <item m="1" x="6698"/>
        <item m="1" x="6860"/>
        <item m="1" x="86"/>
        <item m="1" x="251"/>
        <item m="1" x="412"/>
        <item m="1" x="575"/>
        <item m="1" x="734"/>
        <item m="1" x="894"/>
        <item m="1" x="1060"/>
        <item m="1" x="1224"/>
        <item m="1" x="1384"/>
        <item m="1" x="1549"/>
        <item m="1" x="1712"/>
        <item m="1" x="1877"/>
        <item m="1" x="2040"/>
        <item m="1" x="2201"/>
        <item m="1" x="2362"/>
        <item m="1" x="2522"/>
        <item m="1" x="2679"/>
        <item m="1" x="2845"/>
        <item m="1" x="3003"/>
        <item m="1" x="3166"/>
        <item m="1" x="3323"/>
        <item m="1" x="3482"/>
        <item m="1" x="3644"/>
        <item m="1" x="3803"/>
        <item m="1" x="3960"/>
        <item m="1" x="4123"/>
        <item m="1" x="4283"/>
        <item m="1" x="4445"/>
        <item m="1" x="4606"/>
        <item m="1" x="4767"/>
        <item m="1" x="4929"/>
        <item m="1" x="5090"/>
        <item m="1" x="5248"/>
        <item m="1" x="5415"/>
        <item m="1" x="5574"/>
        <item m="1" x="5738"/>
        <item m="1" x="5894"/>
        <item m="1" x="6056"/>
        <item m="1" x="6219"/>
        <item m="1" x="6380"/>
        <item m="1" x="6538"/>
        <item m="1" x="6702"/>
        <item m="1" x="6862"/>
        <item m="1" x="93"/>
        <item m="1" x="253"/>
        <item m="1" x="416"/>
        <item m="1" x="577"/>
        <item m="1" x="739"/>
        <item m="1" x="896"/>
        <item m="1" x="1065"/>
        <item m="1" x="1226"/>
        <item m="1" x="1391"/>
        <item m="1" x="1551"/>
        <item m="1" x="1716"/>
        <item m="1" x="1883"/>
        <item m="1" x="2045"/>
        <item m="1" x="2203"/>
        <item m="1" x="2366"/>
        <item m="1" x="2524"/>
        <item m="1" x="2686"/>
        <item m="1" x="2847"/>
        <item m="1" x="3007"/>
        <item m="1" x="3168"/>
        <item m="1" x="3328"/>
        <item m="1" x="3484"/>
        <item m="1" x="3648"/>
        <item m="1" x="3805"/>
        <item m="1" x="3967"/>
        <item m="1" x="4125"/>
        <item m="1" x="4287"/>
        <item m="1" x="4450"/>
        <item m="1" x="4611"/>
        <item m="1" x="4769"/>
        <item m="1" x="4933"/>
        <item m="1" x="5092"/>
        <item m="1" x="5255"/>
        <item m="1" x="5417"/>
        <item m="1" x="5578"/>
        <item m="1" x="5740"/>
        <item m="1" x="5899"/>
        <item m="1" x="6058"/>
        <item m="1" x="6223"/>
        <item m="1" x="6382"/>
        <item m="1" x="6545"/>
        <item m="1" x="6704"/>
        <item m="1" x="6866"/>
        <item m="1" x="98"/>
        <item m="1" x="258"/>
        <item m="1" x="418"/>
        <item m="1" x="581"/>
        <item m="1" x="741"/>
        <item m="1" x="903"/>
        <item m="1" x="1067"/>
        <item m="1" x="1230"/>
        <item m="1" x="1393"/>
        <item m="1" x="1556"/>
        <item m="1" x="1718"/>
        <item m="1" x="1887"/>
        <item m="1" x="2047"/>
        <item m="1" x="2210"/>
        <item m="1" x="2368"/>
        <item m="1" x="2528"/>
        <item m="1" x="2691"/>
        <item m="1" x="2852"/>
        <item m="1" x="3009"/>
        <item m="1" x="3172"/>
        <item m="1" x="3330"/>
        <item m="1" x="3491"/>
        <item m="1" x="3651"/>
        <item m="1" x="3809"/>
        <item m="1" x="3969"/>
        <item m="1" x="4130"/>
        <item m="1" x="4289"/>
        <item m="1" x="4455"/>
        <item m="1" x="4613"/>
        <item m="1" x="4776"/>
        <item m="1" x="4935"/>
        <item m="1" x="5096"/>
        <item m="1" x="5261"/>
        <item m="1" x="5422"/>
        <item m="1" x="5580"/>
        <item m="1" x="5744"/>
        <item m="1" x="5901"/>
        <item m="1" x="6065"/>
        <item m="1" x="6225"/>
        <item m="1" x="6386"/>
        <item m="1" x="6547"/>
        <item m="1" x="6709"/>
        <item m="1" x="6868"/>
        <item m="1" x="103"/>
        <item m="1" x="260"/>
        <item m="1" x="425"/>
        <item m="1" x="583"/>
        <item m="1" x="745"/>
        <item m="1" x="908"/>
        <item m="1" x="1072"/>
        <item m="1" x="1232"/>
        <item m="1" x="1397"/>
        <item m="1" x="1558"/>
        <item m="1" x="1725"/>
        <item m="1" x="1889"/>
        <item m="1" x="2051"/>
        <item m="1" x="2212"/>
        <item m="1" x="2373"/>
        <item m="1" x="2530"/>
        <item m="1" x="2696"/>
        <item m="1" x="2854"/>
        <item m="1" x="3016"/>
        <item m="1" x="3174"/>
        <item m="1" x="3334"/>
        <item m="1" x="3496"/>
        <item m="1" x="3656"/>
        <item m="1" x="3811"/>
        <item m="1" x="3973"/>
        <item m="1" x="4132"/>
        <item m="1" x="4296"/>
        <item m="1" x="4457"/>
        <item m="1" x="4617"/>
        <item m="1" x="4778"/>
        <item m="1" x="4940"/>
        <item m="1" x="5098"/>
        <item m="1" x="5265"/>
        <item m="1" x="5424"/>
        <item m="1" x="5587"/>
        <item m="1" x="5746"/>
        <item m="1" x="5905"/>
        <item m="1" x="6070"/>
        <item m="1" x="6230"/>
        <item m="1" x="6388"/>
        <item m="1" x="6551"/>
        <item m="1" x="6711"/>
        <item m="1" x="6875"/>
        <item m="1" x="105"/>
        <item m="1" x="264"/>
        <item m="1" x="427"/>
        <item m="1" x="588"/>
        <item m="1" x="747"/>
        <item m="1" x="914"/>
        <item m="1" x="1074"/>
        <item m="1" x="1239"/>
        <item m="1" x="1399"/>
        <item m="1" x="1562"/>
        <item m="1" x="1731"/>
        <item m="1" x="1894"/>
        <item m="1" x="2053"/>
        <item m="1" x="2216"/>
        <item m="1" x="2375"/>
        <item m="1" x="2537"/>
        <item m="1" x="2698"/>
        <item m="1" x="2858"/>
        <item m="1" x="3018"/>
        <item m="1" x="3179"/>
        <item m="1" x="3336"/>
        <item m="1" x="3500"/>
        <item m="1" x="3658"/>
        <item m="1" x="3818"/>
        <item m="1" x="3975"/>
        <item m="1" x="4136"/>
        <item m="1" x="4301"/>
        <item m="1" x="4462"/>
        <item m="1" x="4619"/>
        <item m="1" x="4782"/>
        <item m="1" x="4942"/>
        <item m="1" x="5105"/>
        <item m="1" x="5267"/>
        <item m="1" x="5428"/>
        <item m="1" x="5589"/>
        <item m="1" x="5751"/>
        <item m="1" x="5907"/>
        <item m="1" x="6074"/>
        <item m="1" x="6232"/>
        <item m="1" x="6395"/>
        <item m="1" x="6553"/>
        <item m="1" x="6715"/>
        <item m="1" x="6880"/>
        <item m="1" x="110"/>
        <item m="1" x="266"/>
        <item m="1" x="431"/>
        <item m="1" x="590"/>
        <item m="1" x="754"/>
        <item m="1" x="916"/>
        <item m="1" x="1078"/>
        <item m="1" x="1241"/>
        <item m="1" x="1404"/>
        <item m="1" x="1564"/>
        <item m="1" x="1735"/>
        <item m="1" x="1896"/>
        <item m="1" x="2060"/>
        <item m="1" x="2218"/>
        <item m="1" x="2379"/>
        <item m="1" x="2542"/>
        <item m="1" x="2703"/>
        <item m="1" x="2860"/>
        <item m="1" x="3022"/>
        <item m="1" x="3181"/>
        <item m="1" x="3343"/>
        <item m="1" x="3502"/>
        <item m="1" x="3662"/>
        <item m="1" x="3820"/>
        <item m="1" x="3980"/>
        <item m="1" x="4138"/>
        <item m="1" x="4306"/>
        <item m="1" x="4464"/>
        <item m="1" x="4626"/>
        <item m="1" x="4784"/>
        <item m="1" x="4946"/>
        <item m="1" x="5111"/>
        <item m="1" x="5272"/>
        <item m="1" x="5430"/>
        <item m="1" x="5593"/>
        <item m="1" x="5753"/>
        <item m="1" x="5914"/>
        <item m="1" x="6077"/>
        <item m="1" x="6236"/>
        <item m="1" x="6397"/>
        <item m="1" x="6558"/>
        <item m="1" x="6717"/>
        <item m="1" x="6885"/>
        <item m="1" x="112"/>
        <item m="1" x="273"/>
        <item m="1" x="433"/>
        <item m="1" x="594"/>
        <item m="1" x="759"/>
        <item m="1" x="921"/>
        <item m="1" x="1080"/>
        <item m="1" x="1245"/>
        <item m="1" x="1406"/>
        <item m="1" x="1571"/>
        <item m="1" x="1737"/>
        <item m="1" x="1900"/>
        <item m="1" x="2062"/>
        <item m="1" x="2223"/>
        <item m="1" x="2381"/>
        <item m="1" x="2547"/>
        <item m="1" x="2705"/>
        <item m="1" x="2867"/>
        <item m="1" x="3024"/>
        <item m="1" x="3185"/>
        <item m="1" x="3348"/>
        <item m="1" x="3507"/>
        <item m="1" x="3664"/>
        <item m="1" x="3824"/>
        <item m="1" x="3982"/>
        <item m="1" x="4145"/>
        <item m="1" x="4308"/>
        <item m="1" x="4468"/>
        <item m="1" x="4628"/>
        <item m="1" x="4789"/>
        <item m="1" x="4948"/>
        <item m="1" x="5116"/>
        <item m="1" x="5274"/>
        <item m="1" x="5437"/>
        <item m="1" x="5595"/>
        <item m="1" x="5757"/>
        <item m="1" x="5919"/>
        <item m="1" x="6082"/>
        <item m="1" x="6238"/>
        <item m="1" x="6401"/>
        <item m="1" x="6560"/>
        <item m="1" x="6724"/>
        <item m="1" x="6887"/>
        <item m="1" x="116"/>
        <item m="1" x="275"/>
        <item m="1" x="439"/>
        <item m="1" x="596"/>
        <item m="1" x="764"/>
        <item m="1" x="923"/>
        <item m="1" x="1087"/>
        <item m="1" x="1247"/>
        <item m="1" x="1410"/>
        <item m="1" x="1577"/>
        <item m="1" x="1743"/>
        <item m="1" x="1902"/>
        <item m="1" x="2066"/>
        <item m="1" x="2225"/>
        <item m="1" x="2387"/>
        <item m="1" x="2549"/>
        <item m="1" x="2709"/>
        <item m="1" x="2869"/>
        <item m="1" x="3030"/>
        <item m="1" x="3187"/>
        <item m="1" x="3352"/>
        <item m="1" x="3509"/>
        <item m="1" x="3671"/>
        <item m="1" x="3826"/>
        <item m="1" x="3986"/>
        <item m="1" x="4150"/>
        <item m="1" x="4314"/>
        <item m="1" x="4470"/>
        <item m="1" x="4632"/>
        <item m="1" x="4791"/>
        <item m="1" x="4955"/>
        <item m="1" x="5118"/>
        <item m="1" x="5278"/>
        <item m="1" x="5439"/>
        <item m="1" x="5601"/>
        <item m="1" x="5759"/>
        <item m="1" x="5923"/>
        <item m="1" x="6084"/>
        <item m="1" x="6245"/>
        <item m="1" x="6403"/>
        <item m="1" x="6564"/>
        <item m="1" x="6729"/>
        <item m="1" x="6893"/>
        <item m="1" x="118"/>
        <item m="1" x="279"/>
        <item m="1" x="441"/>
        <item m="1" x="603"/>
        <item m="1" x="766"/>
        <item m="1" x="927"/>
        <item m="1" x="1089"/>
        <item m="1" x="1253"/>
        <item m="1" x="1412"/>
        <item m="1" x="1581"/>
        <item m="1" x="1745"/>
        <item m="1" x="1909"/>
        <item m="1" x="2068"/>
        <item m="1" x="2229"/>
        <item m="1" x="2392"/>
        <item m="1" x="2555"/>
        <item m="1" x="2711"/>
        <item m="1" x="2873"/>
        <item m="1" x="3032"/>
        <item m="1" x="3194"/>
        <item m="1" x="3354"/>
        <item m="1" x="3513"/>
        <item m="1" x="3673"/>
        <item m="1" x="3832"/>
        <item m="1" x="3988"/>
        <item m="1" x="4155"/>
        <item m="1" x="4316"/>
        <item m="1" x="4477"/>
        <item m="1" x="4634"/>
        <item m="1" x="4795"/>
        <item m="1" x="4961"/>
        <item m="1" x="5124"/>
        <item m="1" x="5280"/>
        <item m="1" x="5443"/>
        <item m="1" x="5603"/>
        <item m="1" x="5766"/>
        <item m="1" x="5925"/>
        <item m="1" x="6088"/>
        <item m="1" x="6247"/>
        <item m="1" x="6409"/>
        <item m="1" x="6566"/>
        <item m="1" x="6734"/>
        <item m="1" x="6895"/>
        <item m="1" x="125"/>
        <item m="1" x="281"/>
        <item m="1" x="445"/>
        <item m="1" x="608"/>
        <item m="1" x="772"/>
        <item m="1" x="929"/>
        <item m="1" x="1093"/>
        <item m="1" x="1255"/>
        <item m="1" x="1419"/>
        <item m="1" x="1584"/>
        <item m="1" x="1749"/>
        <item m="1" x="1911"/>
        <item m="1" x="2074"/>
        <item m="1" x="2231"/>
        <item m="1" x="2397"/>
        <item m="1" x="2557"/>
        <item m="1" x="2718"/>
        <item m="1" x="2875"/>
        <item m="1" x="3036"/>
        <item m="1" x="3199"/>
        <item m="1" x="3360"/>
        <item m="1" x="3515"/>
        <item m="1" x="3677"/>
        <item m="1" x="3834"/>
        <item m="1" x="3995"/>
        <item m="1" x="4157"/>
        <item m="1" x="4320"/>
        <item m="1" x="4479"/>
        <item m="1" x="4640"/>
        <item m="1" x="4797"/>
        <item m="1" x="4965"/>
        <item m="1" x="5126"/>
        <item m="1" x="5287"/>
        <item m="1" x="5445"/>
        <item m="1" x="5607"/>
        <item m="1" x="5771"/>
        <item m="1" x="5931"/>
        <item m="1" x="6090"/>
        <item m="1" x="6251"/>
        <item m="1" x="6411"/>
        <item m="1" x="6573"/>
        <item m="1" x="6736"/>
        <item m="1" x="6899"/>
        <item m="1" x="127"/>
        <item m="1" x="287"/>
        <item m="1" x="447"/>
        <item m="1" x="614"/>
        <item m="1" x="774"/>
        <item m="1" x="936"/>
        <item m="1" x="1095"/>
        <item m="1" x="1259"/>
        <item m="1" x="1425"/>
        <item m="1" x="1590"/>
        <item m="1" x="1751"/>
        <item m="1" x="1915"/>
        <item m="1" x="2076"/>
        <item m="1" x="2238"/>
        <item m="1" x="2399"/>
        <item m="1" x="2561"/>
        <item m="1" x="2720"/>
        <item m="1" x="2881"/>
        <item m="1" x="3038"/>
        <item m="1" x="3203"/>
        <item m="1" x="3362"/>
        <item m="1" x="3522"/>
        <item m="1" x="3679"/>
        <item m="1" x="3838"/>
        <item m="1" x="4000"/>
        <item m="1" x="4163"/>
        <item m="1" x="4322"/>
        <item m="1" x="4483"/>
        <item m="1" x="4642"/>
        <item m="1" x="4804"/>
        <item m="1" x="4967"/>
        <item m="1" x="5130"/>
        <item m="1" x="5289"/>
        <item m="1" x="5451"/>
        <item m="1" x="5609"/>
        <item m="1" x="5775"/>
        <item m="1" x="5933"/>
        <item m="1" x="6097"/>
        <item m="1" x="6253"/>
        <item m="1" x="6415"/>
        <item m="1" x="6578"/>
        <item m="1" x="6742"/>
        <item m="1" x="6901"/>
        <item m="1" x="131"/>
        <item m="1" x="289"/>
        <item m="1" x="454"/>
        <item m="1" x="616"/>
        <item m="1" x="778"/>
        <item m="1" x="938"/>
        <item m="1" x="1101"/>
        <item m="1" x="1261"/>
        <item m="1" x="1429"/>
        <item m="1" x="1592"/>
        <item m="1" x="1758"/>
        <item m="1" x="1917"/>
        <item m="1" x="2080"/>
        <item m="1" x="2243"/>
        <item m="1" x="2405"/>
        <item m="1" x="2563"/>
        <item m="1" x="2724"/>
        <item m="1" x="2883"/>
        <item m="1" x="3045"/>
        <item m="1" x="3205"/>
        <item m="1" x="3366"/>
        <item m="1" x="3524"/>
        <item m="1" x="3685"/>
        <item m="1" x="3840"/>
        <item m="1" x="4005"/>
        <item m="1" x="4165"/>
        <item m="1" x="4329"/>
        <item m="1" x="4485"/>
        <item m="1" x="4646"/>
        <item m="1" x="4810"/>
        <item m="1" x="4973"/>
        <item m="1" x="5132"/>
        <item m="1" x="5293"/>
        <item m="1" x="5453"/>
        <item m="1" x="5616"/>
        <item m="1" x="5777"/>
        <item m="1" x="5937"/>
        <item m="1" x="6099"/>
        <item m="1" x="6259"/>
        <item m="1" x="6417"/>
        <item m="1" x="6583"/>
        <item m="1" x="6744"/>
        <item m="1" x="6908"/>
        <item m="1" x="133"/>
        <item m="1" x="293"/>
        <item m="1" x="459"/>
        <item m="1" x="622"/>
        <item m="1" x="780"/>
        <item m="1" x="942"/>
        <item m="1" x="1103"/>
        <item m="1" x="1268"/>
        <item m="1" x="1431"/>
        <item m="1" x="1596"/>
        <item m="1" x="1760"/>
        <item m="1" x="1923"/>
        <item m="1" x="2082"/>
        <item m="1" x="2248"/>
        <item m="1" x="2407"/>
        <item m="1" x="2570"/>
        <item m="1" x="2726"/>
        <item m="1" x="2887"/>
        <item m="1" x="3050"/>
        <item m="1" x="3211"/>
        <item m="1" x="3368"/>
        <item m="1" x="3528"/>
        <item m="1" x="3687"/>
        <item m="1" x="3847"/>
        <item m="1" x="4008"/>
        <item m="1" x="4169"/>
        <item m="1" x="4331"/>
        <item m="1" x="4491"/>
        <item m="1" x="4648"/>
        <item m="1" x="4815"/>
        <item m="1" x="4975"/>
        <item m="1" x="5139"/>
        <item m="1" x="5295"/>
        <item m="1" x="5457"/>
        <item m="1" x="5621"/>
        <item m="1" x="5783"/>
        <item m="1" x="5939"/>
        <item m="1" x="6103"/>
        <item m="1" x="6261"/>
        <item m="1" x="6424"/>
        <item m="1" x="6585"/>
        <item m="1" x="6748"/>
        <item m="1" x="6910"/>
        <item m="1" x="139"/>
        <item m="1" x="295"/>
        <item m="1" x="464"/>
        <item m="1" x="624"/>
        <item m="1" x="787"/>
        <item m="1" x="944"/>
        <item m="1" x="1107"/>
        <item m="1" x="1274"/>
        <item m="1" x="1437"/>
        <item m="1" x="1598"/>
        <item m="1" x="1764"/>
        <item m="1" x="1925"/>
        <item m="1" x="2089"/>
        <item m="1" x="2250"/>
        <item m="1" x="2411"/>
        <item m="1" x="2572"/>
        <item m="1" x="2732"/>
        <item m="1" x="2889"/>
        <item m="1" x="3054"/>
        <item m="1" x="3213"/>
        <item m="1" x="3375"/>
        <item m="1" x="3530"/>
        <item m="1" x="3691"/>
        <item m="1" x="3852"/>
        <item m="1" x="4014"/>
        <item m="1" x="4171"/>
        <item m="1" x="4335"/>
        <item m="1" x="4493"/>
        <item m="1" x="4655"/>
        <item m="1" x="4817"/>
        <item m="1" x="4979"/>
        <item m="1" x="5141"/>
        <item m="1" x="5301"/>
        <item m="1" x="5459"/>
        <item m="1" x="5625"/>
        <item m="1" x="5785"/>
        <item m="1" x="5946"/>
        <item m="1" x="6105"/>
        <item m="1" x="6265"/>
        <item m="1" x="6429"/>
        <item m="1" x="6591"/>
        <item m="1" x="6750"/>
        <item m="1" x="6914"/>
        <item m="1" x="141"/>
        <item m="1" x="302"/>
        <item m="1" x="466"/>
        <item m="1" x="628"/>
        <item m="1" x="789"/>
        <item m="1" x="950"/>
        <item m="1" x="1109"/>
        <item m="1" x="1278"/>
        <item m="1" x="1439"/>
        <item m="1" x="1605"/>
        <item m="1" x="1766"/>
        <item m="1" x="1929"/>
        <item m="1" x="2094"/>
        <item m="1" x="2256"/>
        <item m="1" x="2413"/>
        <item m="1" x="2576"/>
        <item m="1" x="2733"/>
        <item m="1" x="2895"/>
        <item m="1" x="3056"/>
        <item m="1" x="3216"/>
        <item m="1" x="3376"/>
        <item m="1" x="3535"/>
        <item m="1" x="3692"/>
        <item m="1" x="3856"/>
        <item m="1" x="4015"/>
        <item m="1" x="4177"/>
        <item m="1" x="4336"/>
        <item m="1" x="4496"/>
        <item m="1" x="4660"/>
        <item m="1" x="4822"/>
        <item m="1" x="4980"/>
        <item m="1" x="5144"/>
        <item m="1" x="5302"/>
        <item m="1" x="5465"/>
        <item m="1" x="5626"/>
        <item m="1" x="5788"/>
        <item m="1" x="5948"/>
        <item m="1" x="6110"/>
        <item m="1" x="6266"/>
        <item m="1" x="6433"/>
        <item m="1" x="6592"/>
        <item m="1" x="6756"/>
        <item m="1" x="6915"/>
        <item m="1" x="144"/>
        <item m="1" x="306"/>
        <item m="1" x="471"/>
        <item m="1" x="629"/>
        <item m="1" x="792"/>
        <item m="1" x="951"/>
        <item m="1" x="1115"/>
        <item m="1" x="1279"/>
        <item m="1" x="1442"/>
        <item m="1" x="1607"/>
        <item m="1" x="1771"/>
        <item m="1" x="1930"/>
        <item m="1" x="2098"/>
        <item m="1" x="2257"/>
        <item m="1" x="2419"/>
        <item m="1" x="2577"/>
        <item m="1" x="2736"/>
        <item m="1" x="2899"/>
        <item m="1" x="3061"/>
        <item m="1" x="3217"/>
        <item m="1" x="3379"/>
        <item m="1" x="3536"/>
        <item m="1" x="3698"/>
        <item m="1" x="3857"/>
        <item m="1" x="4018"/>
        <item m="1" x="4179"/>
        <item m="1" x="4341"/>
        <item m="1" x="4497"/>
        <item m="1" x="4663"/>
        <item m="1" x="4823"/>
        <item m="1" x="4986"/>
        <item m="1" x="5145"/>
        <item m="1" x="5305"/>
        <item m="1" x="5469"/>
        <item m="1" x="5631"/>
        <item m="1" x="5789"/>
        <item m="1" x="5951"/>
        <item m="1" x="6111"/>
        <item m="1" x="6272"/>
        <item m="1" x="6435"/>
        <item m="1" x="6595"/>
        <item m="1" x="6758"/>
        <item m="1" x="6920"/>
        <item m="1" x="145"/>
        <item m="1" x="311"/>
        <item m="1" x="472"/>
        <item m="1" x="635"/>
        <item m="1" x="793"/>
        <item m="1" x="954"/>
        <item m="1" x="1120"/>
        <item m="1" x="1284"/>
        <item m="1" x="1443"/>
        <item m="1" x="1610"/>
        <item m="1" x="1772"/>
        <item m="1" x="1936"/>
        <item m="1" x="2099"/>
        <item m="1" x="2260"/>
        <item m="1" x="2421"/>
        <item m="1" x="2582"/>
        <item m="1" x="2737"/>
        <item m="1" x="2902"/>
        <item m="1" x="3062"/>
        <item m="1" x="3223"/>
        <item m="1" x="3380"/>
        <item m="1" x="3539"/>
        <item m="1" x="3702"/>
        <item m="1" x="3862"/>
        <item m="1" x="4019"/>
        <item m="1" x="4182"/>
        <item m="1" x="4342"/>
        <item m="1" x="4503"/>
        <item m="1" x="4664"/>
        <item m="1" x="4826"/>
        <item m="1" x="4988"/>
        <item m="1" x="5150"/>
        <item m="1" x="5306"/>
        <item m="1" x="5472"/>
        <item m="1" x="5632"/>
        <item m="1" x="5795"/>
        <item m="1" x="5952"/>
        <item m="1" x="6114"/>
        <item m="1" x="6276"/>
        <item m="1" x="6440"/>
        <item m="1" x="6596"/>
        <item m="1" x="6761"/>
        <item m="1" x="6921"/>
        <item m="1" x="151"/>
        <item m="1" x="312"/>
        <item m="1" x="475"/>
        <item m="1" x="637"/>
        <item m="1" x="798"/>
        <item m="1" x="955"/>
        <item m="1" x="1123"/>
        <item m="1" x="1285"/>
        <item m="1" x="1449"/>
        <item m="1" x="1611"/>
        <item m="1" x="1775"/>
        <item m="1" x="1940"/>
        <item m="1" x="2103"/>
        <item m="1" x="2261"/>
        <item m="1" x="2424"/>
        <item m="1" x="2583"/>
        <item m="1" x="2743"/>
        <item m="1" x="2903"/>
        <item m="1" x="3065"/>
        <item m="1" x="3225"/>
        <item m="1" x="3385"/>
        <item m="1" x="3540"/>
        <item m="1" x="3706"/>
        <item m="1" x="3863"/>
        <item m="1" x="4025"/>
        <item m="1" x="4183"/>
        <item m="1" x="4345"/>
        <item m="1" x="4508"/>
        <item m="1" x="4669"/>
        <item m="1" x="4827"/>
        <item m="1" x="4991"/>
        <item m="1" x="5151"/>
        <item m="1" x="5312"/>
        <item m="1" x="5474"/>
        <item m="1" x="5635"/>
        <item m="1" x="5797"/>
        <item m="1" x="5957"/>
        <item m="1" x="6115"/>
        <item m="1" x="6280"/>
        <item m="1" x="6441"/>
        <item m="1" x="6602"/>
        <item m="1" x="6762"/>
        <item m="1" x="6924"/>
        <item m="1" x="155"/>
        <item m="1" x="317"/>
        <item m="1" x="476"/>
        <item m="1" x="640"/>
        <item m="1" x="799"/>
        <item m="1" x="961"/>
        <item m="1" x="1124"/>
        <item m="1" x="1288"/>
        <item m="1" x="1451"/>
        <item m="1" x="1616"/>
        <item m="1" x="1776"/>
        <item m="1" x="1944"/>
        <item m="1" x="2104"/>
        <item m="1" x="2267"/>
        <item m="1" x="2425"/>
        <item m="1" x="2586"/>
        <item m="1" x="2747"/>
        <item m="1" x="2908"/>
        <item m="1" x="3066"/>
        <item m="1" x="3228"/>
        <item m="1" x="3386"/>
        <item m="1" x="3546"/>
        <item m="1" x="3707"/>
        <item m="1" x="3866"/>
        <item m="1" x="4027"/>
        <item m="1" x="4188"/>
        <item m="1" x="4346"/>
        <item m="1" x="4512"/>
        <item m="1" x="4670"/>
        <item m="1" x="4833"/>
        <item m="1" x="4992"/>
        <item m="1" x="5154"/>
        <item m="1" x="5316"/>
        <item m="1" x="5479"/>
        <item m="1" x="5636"/>
        <item m="1" x="5800"/>
        <item m="1" x="5958"/>
        <item m="1" x="6121"/>
        <item m="1" x="6281"/>
        <item m="1" x="6444"/>
        <item m="1" x="6604"/>
        <item m="1" x="6767"/>
        <item m="1" x="6925"/>
        <item m="1" x="159"/>
        <item m="1" x="318"/>
        <item m="1" x="482"/>
        <item m="1" x="641"/>
        <item m="1" x="802"/>
        <item m="1" x="966"/>
        <item m="1" x="1129"/>
        <item m="1" x="1289"/>
        <item m="1" x="1454"/>
        <item m="1" x="1617"/>
        <item m="1" x="1782"/>
        <item m="1" x="1945"/>
        <item m="1" x="2107"/>
        <item m="1" x="2269"/>
        <item m="1" x="2430"/>
        <item m="1" x="2587"/>
        <item m="1" x="2750"/>
        <item m="1" x="2909"/>
        <item m="1" x="3072"/>
        <item m="1" x="3229"/>
        <item m="1" x="3389"/>
        <item m="1" x="3550"/>
        <item m="1" x="3712"/>
        <item m="1" x="3867"/>
        <item m="1" x="4030"/>
        <item m="1" x="4189"/>
        <item m="1" x="4352"/>
        <item m="1" x="4513"/>
        <item m="1" x="4673"/>
        <item m="1" x="4835"/>
        <item m="1" x="4997"/>
        <item m="1" x="5155"/>
        <item m="1" x="5319"/>
        <item m="1" x="5480"/>
        <item m="1" x="5642"/>
        <item m="1" x="5801"/>
        <item m="1" x="5961"/>
        <item m="1" x="6125"/>
        <item m="1" x="6286"/>
        <item m="1" x="6445"/>
        <item m="1" x="6607"/>
        <item m="1" x="6768"/>
        <item m="1" x="6931"/>
        <item m="1" x="160"/>
        <item m="1" x="321"/>
        <item m="1" x="484"/>
        <item m="1" x="646"/>
        <item m="1" x="803"/>
        <item m="1" x="969"/>
        <item m="1" x="1130"/>
        <item m="1" x="1295"/>
        <item m="1" x="1455"/>
        <item m="1" x="1620"/>
        <item m="1" x="1786"/>
        <item m="1" x="1951"/>
        <item m="1" x="2108"/>
        <item m="1" x="2272"/>
        <item m="1" x="2431"/>
        <item m="1" x="2593"/>
        <item m="1" x="2751"/>
        <item m="1" x="2912"/>
        <item m="1" x="3074"/>
        <item m="1" x="3234"/>
        <item m="1" x="3390"/>
        <item m="1" x="3554"/>
        <item m="1" x="3713"/>
        <item m="1" x="3873"/>
        <item m="1" x="4031"/>
        <item m="1" x="4192"/>
        <item m="1" x="4357"/>
        <item m="1" x="4518"/>
        <item m="1" x="4674"/>
        <item m="1" x="4838"/>
        <item m="1" x="4998"/>
        <item m="1" x="5161"/>
        <item m="1" x="5320"/>
        <item m="1" x="5483"/>
        <item m="1" x="5644"/>
        <item m="1" x="5806"/>
        <item m="1" x="5962"/>
        <item m="1" x="6129"/>
        <item m="1" x="6287"/>
        <item m="1" x="6451"/>
        <item m="1" x="6608"/>
        <item m="1" x="6771"/>
        <item m="1" x="3"/>
        <item m="1" x="165"/>
        <item m="1" x="322"/>
        <item m="1" x="487"/>
        <item m="1" x="647"/>
        <item m="1" x="809"/>
        <item m="1" x="971"/>
        <item m="1" x="1134"/>
        <item m="1" x="1297"/>
        <item m="1" x="1460"/>
        <item m="1" x="1621"/>
        <item m="1" x="1790"/>
        <item m="1" x="1952"/>
        <item m="1" x="2114"/>
        <item m="1" x="2273"/>
        <item m="1" x="2434"/>
        <item m="1" x="2597"/>
        <item m="1" x="2756"/>
        <item m="1" x="2913"/>
        <item m="1" x="3077"/>
        <item m="1" x="3235"/>
        <item m="1" x="3396"/>
        <item m="1" x="3555"/>
        <item m="1" x="3716"/>
        <item m="1" x="3875"/>
        <item m="1" x="4036"/>
        <item m="1" x="4193"/>
        <item m="1" x="4360"/>
        <item m="1" x="4519"/>
        <item m="1" x="4680"/>
        <item m="1" x="4839"/>
        <item m="1" x="5001"/>
        <item m="1" x="5166"/>
        <item m="1" x="5325"/>
        <item m="1" x="5484"/>
        <item m="1" x="5647"/>
        <item m="1" x="5807"/>
        <item m="1" x="5968"/>
        <item m="1" x="6130"/>
        <item m="1" x="6290"/>
        <item m="1" x="6453"/>
        <item m="1" x="6613"/>
        <item m="1" x="6772"/>
        <item m="1" x="8"/>
        <item m="1" x="166"/>
        <item m="1" x="328"/>
        <item m="1" x="488"/>
        <item m="1" x="650"/>
        <item m="1" x="814"/>
        <item m="1" x="976"/>
        <item m="1" x="1135"/>
        <item m="1" x="1300"/>
        <item m="1" x="1461"/>
        <item m="1" x="1627"/>
        <item m="1" x="1791"/>
        <item m="1" x="1955"/>
        <item m="1" x="2116"/>
        <item m="1" x="2278"/>
        <item m="1" x="2435"/>
        <item m="1" x="2600"/>
        <item m="1" x="2757"/>
        <item m="1" x="2919"/>
        <item m="1" x="3078"/>
        <item m="1" x="3238"/>
        <item m="1" x="3401"/>
        <item m="1" x="3560"/>
        <item m="1" x="3717"/>
        <item m="1" x="3878"/>
        <item m="1" x="4037"/>
        <item m="1" x="4199"/>
        <item m="1" x="4361"/>
        <item m="1" x="4522"/>
        <item m="1" x="4682"/>
        <item m="1" x="4844"/>
        <item m="1" x="5002"/>
        <item m="1" x="5169"/>
        <item m="1" x="5326"/>
        <item m="1" x="5490"/>
        <item m="1" x="5648"/>
        <item m="1" x="5810"/>
        <item m="1" x="5972"/>
        <item m="1" x="6135"/>
        <item m="1" x="6291"/>
        <item m="1" x="6456"/>
        <item m="1" x="6614"/>
        <item m="1" x="6778"/>
        <item m="1" x="9"/>
        <item m="1" x="169"/>
        <item m="1" x="330"/>
        <item m="1" x="493"/>
        <item m="1" x="651"/>
        <item m="1" x="817"/>
        <item m="1" x="977"/>
        <item m="1" x="1141"/>
        <item m="1" x="1301"/>
        <item m="1" x="1464"/>
        <item m="1" x="1632"/>
        <item m="1" x="1796"/>
        <item m="1" x="1956"/>
        <item m="1" x="2119"/>
        <item m="1" x="2279"/>
        <item m="1" x="2441"/>
        <item m="1" x="2601"/>
        <item m="1" x="2760"/>
        <item m="1" x="2921"/>
        <item m="1" x="3083"/>
        <item m="1" x="3239"/>
        <item m="1" x="3405"/>
        <item m="1" x="3561"/>
        <item m="1" x="3723"/>
        <item m="1" x="3879"/>
        <item m="1" x="4040"/>
        <item m="1" x="4204"/>
        <item m="1" x="4366"/>
        <item m="1" x="4523"/>
        <item m="1" x="4685"/>
        <item m="1" x="4845"/>
        <item m="1" x="5008"/>
        <item m="1" x="5170"/>
        <item m="1" x="5329"/>
        <item m="1" x="5492"/>
        <item m="1" x="5653"/>
        <item m="1" x="5811"/>
        <item m="1" x="5976"/>
        <item m="1" x="6136"/>
        <item m="1" x="6297"/>
        <item m="1" x="6457"/>
        <item m="1" x="6617"/>
        <item m="1" x="6783"/>
        <item m="1" x="14"/>
        <item m="1" x="170"/>
        <item m="1" x="333"/>
        <item m="1" x="494"/>
        <item m="1" x="657"/>
        <item m="1" x="818"/>
        <item m="1" x="980"/>
        <item m="1" x="1143"/>
        <item m="1" x="1306"/>
        <item m="1" x="1465"/>
        <item m="1" x="1636"/>
        <item m="1" x="1797"/>
        <item m="1" x="1962"/>
        <item m="1" x="2120"/>
        <item m="1" x="2282"/>
        <item m="1" x="2445"/>
        <item m="1" x="2606"/>
        <item m="1" x="2761"/>
        <item m="1" x="2924"/>
        <item m="1" x="3084"/>
        <item m="1" x="3245"/>
        <item m="1" x="3406"/>
        <item m="1" x="3564"/>
        <item m="1" x="3725"/>
        <item m="1" x="3884"/>
        <item m="1" x="4041"/>
        <item m="1" x="4208"/>
        <item m="1" x="4367"/>
        <item m="1" x="4529"/>
        <item m="1" x="4686"/>
        <item m="1" x="4848"/>
        <item m="1" x="5013"/>
        <item m="1" x="5175"/>
        <item m="1" x="5330"/>
        <item m="1" x="5495"/>
        <item m="1" x="5654"/>
        <item m="1" x="5817"/>
        <item m="1" x="5977"/>
        <item m="1" x="6139"/>
        <item m="1" x="6299"/>
        <item m="1" x="6462"/>
        <item m="1" x="6618"/>
        <item m="1" x="6787"/>
        <item m="1" x="15"/>
        <item m="1" x="176"/>
        <item m="1" x="334"/>
        <item m="1" x="497"/>
        <item m="1" x="662"/>
        <item m="1" x="823"/>
        <item m="1" x="981"/>
        <item m="1" x="1146"/>
        <item m="1" x="1307"/>
        <item m="1" x="1471"/>
        <item m="1" x="1637"/>
        <item m="1" x="1800"/>
        <item m="1" x="1964"/>
        <item m="1" x="2125"/>
        <item m="1" x="2283"/>
        <item m="1" x="2448"/>
        <item m="1" x="2607"/>
        <item m="1" x="2767"/>
        <item m="1" x="2925"/>
        <item m="1" x="3087"/>
        <item m="1" x="3250"/>
        <item m="1" x="3411"/>
        <item m="1" x="3565"/>
        <item m="1" x="3728"/>
        <item m="1" x="3885"/>
        <item m="1" x="4047"/>
        <item m="1" x="4209"/>
        <item m="1" x="4370"/>
        <item m="1" x="4531"/>
        <item m="1" x="4691"/>
        <item m="1" x="4849"/>
        <item m="1" x="5016"/>
        <item m="1" x="5176"/>
        <item m="1" x="5336"/>
        <item m="1" x="5496"/>
        <item m="1" x="5657"/>
        <item m="1" x="5821"/>
        <item m="1" x="5982"/>
        <item m="1" x="6140"/>
        <item m="1" x="6302"/>
        <item m="1" x="6463"/>
        <item m="1" x="6624"/>
        <item m="1" x="6788"/>
        <item m="1" x="18"/>
        <item m="1" x="178"/>
        <item m="1" x="339"/>
        <item m="1" x="498"/>
        <item m="1" x="665"/>
        <item m="1" x="824"/>
        <item m="1" x="987"/>
        <item m="1" x="1147"/>
        <item m="1" x="1310"/>
        <item m="1" x="1477"/>
        <item m="1" x="1642"/>
        <item m="1" x="1801"/>
        <item m="1" x="1967"/>
        <item m="1" x="2126"/>
        <item m="1" x="2289"/>
        <item m="1" x="2450"/>
        <item m="1" x="2610"/>
        <item m="1" x="2769"/>
        <item m="1" x="2930"/>
        <item m="1" x="3088"/>
        <item m="1" x="3254"/>
        <item m="1" x="3412"/>
        <item m="1" x="3571"/>
        <item m="1" x="3729"/>
        <item m="1" x="3888"/>
        <item m="1" x="4052"/>
        <item m="1" x="4214"/>
        <item m="1" x="4371"/>
        <item m="1" x="4534"/>
        <item m="1" x="4692"/>
        <item m="1" x="4855"/>
        <item m="1" x="5017"/>
        <item m="1" x="5179"/>
        <item m="1" x="5338"/>
        <item m="1" x="5501"/>
        <item m="1" x="5658"/>
        <item m="1" x="5825"/>
        <item m="1" x="5983"/>
        <item m="1" x="6146"/>
        <item m="1" x="6303"/>
        <item m="1" x="6466"/>
        <item m="1" x="6629"/>
        <item m="1" x="6794"/>
        <item m="1" x="19"/>
        <item m="1" x="181"/>
        <item m="1" x="340"/>
        <item m="1" x="504"/>
        <item m="1" x="666"/>
        <item m="1" x="827"/>
        <item m="1" x="989"/>
        <item m="1" x="1152"/>
        <item m="1" x="1311"/>
        <item m="1" x="1481"/>
        <item m="1" x="1643"/>
        <item m="1" x="1807"/>
        <item m="1" x="1968"/>
        <item m="1" x="2129"/>
        <item m="1" x="2293"/>
        <item m="1" x="2455"/>
        <item m="1" x="2611"/>
        <item m="1" x="2772"/>
        <item m="1" x="2931"/>
        <item m="1" x="3094"/>
        <item m="1" x="3255"/>
        <item m="1" x="3415"/>
        <item m="1" x="3573"/>
        <item m="1" x="3734"/>
        <item m="1" x="3889"/>
        <item m="1" x="4055"/>
        <item m="1" x="4215"/>
        <item m="1" x="4377"/>
        <item m="1" x="4535"/>
        <item m="1" x="4695"/>
        <item m="1" x="4860"/>
        <item m="1" x="5022"/>
        <item m="1" x="5180"/>
        <item m="1" x="5341"/>
        <item m="1" x="5502"/>
        <item m="1" x="5664"/>
        <item m="1" x="5826"/>
        <item m="1" x="5986"/>
        <item m="1" x="6148"/>
        <item m="1" x="6308"/>
        <item m="1" x="6467"/>
        <item m="1" x="6634"/>
        <item m="1" x="6795"/>
        <item m="1" x="25"/>
        <item m="1" x="182"/>
        <item m="1" x="343"/>
        <item m="1" x="509"/>
        <item m="1" x="671"/>
        <item m="1" x="828"/>
        <item m="1" x="992"/>
        <item m="1" x="1153"/>
        <item m="1" x="1317"/>
        <item m="1" x="1482"/>
        <item m="1" x="1646"/>
        <item m="1" x="1809"/>
        <item m="1" x="1973"/>
        <item m="1" x="2130"/>
        <item m="1" x="2296"/>
        <item m="1" x="2456"/>
        <item m="1" x="2617"/>
        <item m="1" x="2773"/>
        <item m="1" x="2934"/>
        <item m="1" x="3099"/>
        <item m="1" x="3260"/>
        <item m="1" x="3416"/>
        <item m="1" x="3576"/>
        <item m="1" x="3735"/>
        <item m="1" x="3895"/>
        <item m="1" x="4056"/>
        <item m="1" x="4218"/>
        <item m="1" x="4379"/>
        <item m="1" x="4540"/>
        <item m="1" x="4696"/>
        <item m="1" x="4863"/>
        <item m="1" x="5023"/>
        <item m="1" x="5186"/>
        <item m="1" x="5342"/>
        <item m="1" x="5505"/>
        <item m="1" x="5669"/>
        <item m="1" x="5831"/>
        <item m="1" x="5987"/>
        <item m="1" x="6151"/>
        <item m="1" x="6309"/>
        <item m="1" x="6473"/>
        <item m="1" x="6635"/>
        <item m="1" x="6798"/>
        <item m="1" x="27"/>
        <item m="1" x="187"/>
        <item m="1" x="344"/>
        <item m="1" x="512"/>
        <item m="1" x="672"/>
        <item m="1" x="834"/>
        <item m="1" x="993"/>
        <item m="1" x="1156"/>
        <item m="1" x="1322"/>
        <item m="1" x="1487"/>
        <item m="1" x="1647"/>
        <item m="1" x="1812"/>
        <item m="1" x="1974"/>
        <item m="1" x="2136"/>
        <item m="1" x="2297"/>
        <item m="1" x="2459"/>
        <item m="1" x="2619"/>
        <item m="1" x="2778"/>
        <item m="1" x="2935"/>
        <item m="1" x="3103"/>
        <item m="1" x="3261"/>
        <item m="1" x="3422"/>
        <item m="1" x="3577"/>
        <item m="1" x="3738"/>
        <item m="1" x="3900"/>
        <item m="1" x="4061"/>
        <item m="1" x="4219"/>
        <item m="1" x="4382"/>
        <item m="1" x="4541"/>
        <item m="1" x="4702"/>
        <item m="1" x="4865"/>
        <item m="1" x="5026"/>
        <item m="1" x="5188"/>
        <item m="1" x="5347"/>
        <item m="1" x="5506"/>
        <item m="1" x="5673"/>
        <item m="1" x="5832"/>
        <item m="1" x="5993"/>
        <item m="1" x="6152"/>
        <item m="1" x="6312"/>
        <item m="1" x="6478"/>
        <item m="1" x="6640"/>
        <item m="1" x="6799"/>
        <item m="1" x="30"/>
        <item m="1" x="188"/>
        <item m="1" x="350"/>
        <item m="1" x="513"/>
        <item m="1" x="675"/>
        <item m="1" x="836"/>
        <item m="1" x="998"/>
        <item m="1" x="1157"/>
        <item m="1" x="1326"/>
        <item m="1" x="1488"/>
        <item m="1" x="1653"/>
        <item m="1" x="1813"/>
        <item m="1" x="1977"/>
        <item m="1" x="2141"/>
        <item m="1" x="2302"/>
        <item m="1" x="2460"/>
        <item m="1" x="2622"/>
        <item m="1" x="2779"/>
        <item m="1" x="2941"/>
        <item m="1" x="3104"/>
        <item m="1" x="3264"/>
        <item m="1" x="3424"/>
        <item m="1" x="3582"/>
        <item m="1" x="3739"/>
        <item m="1" x="3904"/>
        <item m="1" x="4062"/>
        <item m="1" x="4225"/>
        <item m="1" x="4383"/>
        <item m="1" x="4544"/>
        <item m="1" x="4707"/>
        <item m="1" x="4870"/>
        <item m="1" x="5027"/>
        <item m="1" x="5191"/>
        <item m="1" x="5348"/>
        <item m="1" x="5512"/>
        <item m="1" x="5674"/>
        <item m="1" x="5835"/>
        <item m="1" x="5995"/>
        <item m="1" x="6157"/>
        <item m="1" x="6313"/>
        <item m="1" x="6482"/>
        <item m="1" x="6641"/>
        <item m="1" x="6805"/>
        <item m="1" x="31"/>
        <item m="1" x="191"/>
        <item m="1" x="355"/>
        <item m="1" x="518"/>
        <item m="1" x="676"/>
        <item m="1" x="839"/>
        <item m="1" x="999"/>
        <item m="1" x="1163"/>
        <item m="1" x="1327"/>
        <item m="1" x="1491"/>
        <item m="1" x="1655"/>
        <item m="1" x="1818"/>
        <item m="1" x="1978"/>
        <item m="1" x="2144"/>
        <item m="1" x="2303"/>
        <item m="1" x="2466"/>
        <item m="1" x="2623"/>
        <item m="1" x="2782"/>
        <item m="1" x="2946"/>
        <item m="1" x="3109"/>
        <item m="1" x="3265"/>
        <item m="1" x="3427"/>
        <item m="1" x="3583"/>
        <item m="1" x="3745"/>
        <item m="1" x="3905"/>
        <item m="1" x="4065"/>
        <item m="1" x="4227"/>
        <item m="1" x="4388"/>
        <item m="1" x="4545"/>
        <item m="1" x="4710"/>
        <item m="1" x="4871"/>
        <item m="1" x="5033"/>
        <item m="1" x="5192"/>
        <item m="1" x="5351"/>
        <item m="1" x="5517"/>
        <item m="1" x="5679"/>
        <item m="1" x="5836"/>
        <item m="1" x="5998"/>
        <item m="1" x="6158"/>
        <item m="1" x="6319"/>
        <item m="1" x="6483"/>
        <item m="1" x="6644"/>
        <item m="1" x="6807"/>
        <item m="1" x="36"/>
        <item m="1" x="192"/>
        <item m="1" x="358"/>
        <item m="1" x="519"/>
        <item m="1" x="682"/>
        <item m="1" x="840"/>
        <item m="1" x="1002"/>
        <item m="1" x="1168"/>
        <item m="1" x="1332"/>
        <item m="1" x="1492"/>
        <item m="1" x="1658"/>
        <item m="1" x="1819"/>
        <item m="1" x="1984"/>
        <item m="1" x="2145"/>
        <item m="1" x="2306"/>
        <item m="1" x="2468"/>
        <item m="1" x="2628"/>
        <item m="1" x="2783"/>
        <item m="1" x="2950"/>
        <item m="1" x="3110"/>
        <item m="1" x="3271"/>
        <item m="1" x="3428"/>
        <item m="1" x="3586"/>
        <item m="1" x="3750"/>
        <item m="1" x="3910"/>
        <item m="1" x="4066"/>
        <item m="1" x="4230"/>
        <item m="1" x="4389"/>
        <item m="1" x="4551"/>
        <item m="1" x="4711"/>
        <item m="1" x="4874"/>
        <item m="1" x="5035"/>
        <item m="1" x="5197"/>
        <item m="1" x="5352"/>
        <item m="1" x="5521"/>
        <item m="1" x="5680"/>
        <item m="1" x="5842"/>
        <item m="1" x="5999"/>
        <item m="1" x="6161"/>
        <item m="1" x="6324"/>
        <item m="1" x="6488"/>
        <item m="1" x="6645"/>
        <item m="1" x="6810"/>
        <item m="1" x="37"/>
        <item m="1" x="198"/>
        <item m="1" x="360"/>
        <item m="1" x="522"/>
        <item m="1" x="684"/>
        <item m="1" x="845"/>
        <item m="1" x="1003"/>
        <item m="1" x="1172"/>
        <item m="1" x="1333"/>
        <item m="1" x="1498"/>
        <item m="1" x="1659"/>
        <item m="1" x="1822"/>
        <item m="1" x="1989"/>
        <item m="1" x="2150"/>
        <item m="1" x="2307"/>
        <item m="1" x="2471"/>
        <item m="1" x="2629"/>
        <item m="1" x="2789"/>
        <item m="1" x="2951"/>
        <item m="1" x="3113"/>
        <item m="1" x="3273"/>
        <item m="1" x="3433"/>
        <item m="1" x="3587"/>
        <item m="1" x="3753"/>
        <item m="1" x="3911"/>
        <item m="1" x="4072"/>
        <item m="1" x="4231"/>
        <item m="1" x="4392"/>
        <item m="1" x="4556"/>
        <item m="1" x="4716"/>
        <item m="1" x="4875"/>
        <item m="1" x="5038"/>
        <item m="1" x="5198"/>
        <item m="1" x="5358"/>
        <item m="1" x="5522"/>
        <item m="1" x="5683"/>
        <item m="1" x="5844"/>
        <item m="1" x="6004"/>
        <item m="1" x="6162"/>
        <item m="1" x="6329"/>
        <item m="1" x="6489"/>
        <item m="1" x="6651"/>
        <item m="1" x="6811"/>
        <item m="1" x="40"/>
        <item m="1" x="203"/>
        <item m="1" x="365"/>
        <item m="1" x="523"/>
        <item m="1" x="687"/>
        <item m="1" x="846"/>
        <item m="1" x="1009"/>
        <item m="1" x="1173"/>
        <item m="1" x="1336"/>
        <item m="1" x="1500"/>
        <item m="1" x="1664"/>
        <item m="1" x="1823"/>
        <item m="1" x="1992"/>
        <item m="1" x="2151"/>
        <item m="1" x="2313"/>
        <item m="1" x="2472"/>
        <item m="1" x="2632"/>
        <item m="1" x="2794"/>
        <item m="1" x="2956"/>
        <item m="1" x="3114"/>
        <item m="1" x="3276"/>
        <item m="1" x="3434"/>
        <item m="1" x="3593"/>
        <item m="1" x="3754"/>
        <item m="1" x="3914"/>
        <item m="1" x="4074"/>
        <item m="1" x="4236"/>
        <item m="1" x="4393"/>
        <item m="1" x="4559"/>
        <item m="1" x="4717"/>
        <item m="1" x="4881"/>
        <item m="1" x="5039"/>
        <item m="1" x="5201"/>
        <item m="1" x="5363"/>
        <item m="1" x="5527"/>
        <item m="1" x="5684"/>
        <item m="1" x="5847"/>
        <item m="1" x="6005"/>
        <item m="1" x="6168"/>
        <item m="1" x="6330"/>
        <item m="1" x="6492"/>
        <item m="1" x="6653"/>
        <item m="1" x="6816"/>
        <item m="1" x="41"/>
        <item m="1" x="206"/>
        <item m="1" x="366"/>
        <item m="1" x="529"/>
        <item m="1" x="688"/>
        <item m="1" x="849"/>
        <item m="1" x="1014"/>
        <item m="1" x="1178"/>
        <item m="1" x="1337"/>
        <item m="1" x="1503"/>
        <item m="1" x="1665"/>
        <item m="1" x="1829"/>
        <item m="1" x="1993"/>
        <item m="1" x="2154"/>
        <item m="1" x="2315"/>
        <item m="1" x="2477"/>
        <item m="1" x="2633"/>
        <item m="1" x="2798"/>
        <item m="1" x="2957"/>
        <item m="1" x="3120"/>
        <item m="1" x="3277"/>
        <item m="1" x="3437"/>
        <item m="1" x="3598"/>
        <item m="1" x="3759"/>
        <item m="1" x="3915"/>
        <item m="1" x="4077"/>
        <item m="1" x="4237"/>
        <item m="1" x="4399"/>
        <item m="1" x="4560"/>
        <item m="1" x="4720"/>
        <item m="1" x="4883"/>
        <item m="1" x="5044"/>
        <item m="1" x="5202"/>
        <item m="1" x="5367"/>
        <item m="1" x="5528"/>
        <item m="1" x="5690"/>
        <item m="1" x="5848"/>
        <item m="1" x="6008"/>
        <item m="1" x="6173"/>
        <item m="1" x="6335"/>
        <item m="1" x="6493"/>
        <item m="1" x="6656"/>
        <item m="1" x="6817"/>
        <item m="1" x="47"/>
        <item m="1" x="207"/>
        <item m="1" x="369"/>
        <item m="1" x="531"/>
        <item m="1" x="693"/>
        <item m="1" x="850"/>
        <item m="1" x="1018"/>
        <item m="1" x="1179"/>
        <item m="1" x="1343"/>
        <item m="1" x="1504"/>
        <item m="1" x="1668"/>
        <item m="1" x="1834"/>
        <item m="1" x="1998"/>
        <item m="1" x="2155"/>
        <item m="1" x="2318"/>
        <item m="1" x="2478"/>
        <item m="1" x="2639"/>
        <item m="1" x="2800"/>
        <item m="1" x="2960"/>
        <item m="1" x="3122"/>
        <item m="1" x="3282"/>
        <item m="1" x="3438"/>
        <item m="1" x="3602"/>
        <item m="1" x="3760"/>
        <item m="1" x="3921"/>
        <item m="1" x="4078"/>
        <item m="1" x="4240"/>
        <item m="1" x="4404"/>
        <item m="1" x="4565"/>
        <item m="1" x="4721"/>
        <item m="1" x="4886"/>
        <item m="1" x="5045"/>
        <item m="1" x="5208"/>
        <item m="1" x="5368"/>
        <item m="1" x="5531"/>
        <item m="1" x="5692"/>
        <item m="1" x="5853"/>
        <item m="1" x="6009"/>
        <item m="1" x="6177"/>
        <item m="1" x="6336"/>
        <item m="1" x="6499"/>
        <item m="1" x="6657"/>
        <item m="1" x="6820"/>
        <item m="1" x="52"/>
        <item m="1" x="212"/>
        <item m="1" x="370"/>
        <item m="1" x="534"/>
        <item m="1" x="694"/>
        <item m="1" x="856"/>
        <item m="1" x="1019"/>
        <item m="1" x="1182"/>
        <item m="1" x="1345"/>
        <item m="1" x="1509"/>
        <item m="1" x="1669"/>
        <item m="1" x="1838"/>
        <item m="1" x="1999"/>
        <item m="1" x="2161"/>
        <item m="1" x="2319"/>
        <item m="1" x="2481"/>
        <item m="1" x="2644"/>
        <item m="1" x="2805"/>
        <item m="1" x="2961"/>
        <item m="1" x="3125"/>
        <item m="1" x="3283"/>
        <item m="1" x="3444"/>
        <item m="1" x="3603"/>
        <item m="1" x="3763"/>
        <item m="1" x="3923"/>
        <item m="1" x="4083"/>
        <item m="1" x="4241"/>
        <item m="1" x="4407"/>
        <item m="1" x="4566"/>
        <item m="1" x="4727"/>
        <item m="1" x="4887"/>
        <item m="1" x="5048"/>
        <item m="1" x="5213"/>
        <item m="1" x="5373"/>
        <item m="1" x="5532"/>
        <item m="1" x="5695"/>
        <item m="1" x="5854"/>
        <item m="1" x="6015"/>
        <item m="1" x="6178"/>
        <item m="1" x="6339"/>
        <item m="1" x="6501"/>
        <item m="1" x="6662"/>
        <item m="1" x="6821"/>
        <item m="1" x="55"/>
        <item m="1" x="213"/>
        <item m="1" x="376"/>
        <item m="1" x="535"/>
        <item m="1" x="697"/>
        <item m="1" x="861"/>
        <item m="1" x="1024"/>
        <item m="1" x="1183"/>
        <item m="1" x="1348"/>
        <item m="1" x="1510"/>
        <item m="1" x="1675"/>
        <item m="1" x="1840"/>
        <item m="1" x="2002"/>
        <item m="1" x="2163"/>
        <item m="1" x="2324"/>
        <item m="1" x="2482"/>
        <item m="1" x="2648"/>
        <item m="1" x="2806"/>
        <item m="1" x="2967"/>
        <item m="1" x="3126"/>
        <item m="1" x="3286"/>
        <item m="1" x="3449"/>
        <item m="1" x="3608"/>
        <item m="1" x="3764"/>
        <item m="1" x="3926"/>
        <item m="1" x="4084"/>
        <item m="1" x="4247"/>
        <item m="1" x="4408"/>
        <item m="1" x="4569"/>
        <item m="1" x="4729"/>
        <item m="1" x="4892"/>
        <item m="1" x="5049"/>
        <item m="1" x="5217"/>
        <item m="1" x="5374"/>
        <item m="1" x="5538"/>
        <item m="1" x="5696"/>
        <item m="1" x="5857"/>
        <item m="1" x="6020"/>
        <item m="1" x="6183"/>
        <item m="1" x="6340"/>
        <item m="1" x="6504"/>
        <item m="1" x="6663"/>
        <item m="1" x="6827"/>
        <item m="1" x="56"/>
        <item m="1" x="216"/>
        <item m="1" x="378"/>
        <item m="1" x="540"/>
        <item m="1" x="698"/>
        <item m="1" x="865"/>
        <item m="1" x="1025"/>
        <item m="1" x="1189"/>
        <item m="1" x="1349"/>
        <item m="1" x="1513"/>
        <item m="1" x="1680"/>
        <item m="1" x="1845"/>
        <item m="1" x="2003"/>
        <item m="1" x="2166"/>
        <item m="1" x="2325"/>
        <item m="1" x="1369"/>
        <item m="1" x="1531"/>
        <item m="1" x="1696"/>
        <item m="1" x="1857"/>
        <item m="1" x="2019"/>
        <item m="1" x="2183"/>
        <item m="1" x="2345"/>
        <item m="1" x="2502"/>
        <item m="1" x="2664"/>
        <item m="1" x="2822"/>
        <item m="1" x="2983"/>
        <item m="1" x="3146"/>
        <item m="1" x="3306"/>
        <item m="1" x="3465"/>
        <item m="1" x="3624"/>
        <item m="1" x="3780"/>
        <item m="1" x="3945"/>
        <item m="1" x="4104"/>
        <item m="1" x="4267"/>
        <item m="1" x="4425"/>
        <item m="1" x="4585"/>
        <item m="1" x="4749"/>
        <item m="1" x="4912"/>
        <item m="1" x="5070"/>
        <item m="1" x="5233"/>
        <item m="1" x="5391"/>
        <item m="1" x="5554"/>
        <item m="1" x="5718"/>
        <item m="1" x="5877"/>
        <item m="1" x="6039"/>
        <item m="1" x="6199"/>
        <item m="1" x="6357"/>
        <item m="1" x="6523"/>
        <item m="1" x="6683"/>
        <item m="1" x="6846"/>
        <item m="1" x="73"/>
        <item m="1" x="232"/>
        <item m="1" x="398"/>
        <item m="1" x="560"/>
        <item m="1" x="719"/>
        <item m="1" x="881"/>
        <item m="1" x="1042"/>
        <item m="1" x="1205"/>
        <item m="1" x="1371"/>
        <item m="1" x="1534"/>
        <item m="1" x="1699"/>
        <item m="1" x="1862"/>
        <item m="1" x="2021"/>
        <item m="1" x="2187"/>
        <item m="1" x="2347"/>
        <item m="1" x="2508"/>
        <item m="1" x="2666"/>
        <item m="1" x="2825"/>
        <item m="1" x="2989"/>
        <item m="1" x="3151"/>
        <item m="1" x="3308"/>
        <item m="1" x="3468"/>
        <item m="1" x="3626"/>
        <item m="1" x="3786"/>
        <item m="1" x="3947"/>
        <item m="1" x="4107"/>
        <item m="1" x="4270"/>
        <item m="1" x="4430"/>
        <item m="1" x="4587"/>
        <item m="1" x="4753"/>
        <item m="1" x="4914"/>
        <item m="1" x="5076"/>
        <item m="1" x="5235"/>
        <item m="1" x="5394"/>
        <item m="1" x="5560"/>
        <item m="1" x="5723"/>
        <item m="1" x="5879"/>
        <item m="1" x="6042"/>
        <item m="1" x="6201"/>
        <item m="1" x="6363"/>
        <item m="1" x="6525"/>
        <item m="1" x="6686"/>
        <item m="1" x="6849"/>
        <item m="1" x="78"/>
        <item m="1" x="234"/>
        <item m="1" x="402"/>
        <item m="1" x="562"/>
        <item m="1" x="725"/>
        <item m="1" x="883"/>
        <item m="1" x="1045"/>
        <item m="1" x="1211"/>
        <item m="1" x="1376"/>
        <item m="1" x="1536"/>
        <item m="1" x="1702"/>
        <item m="1" x="1864"/>
        <item m="1" x="2027"/>
        <item m="1" x="2189"/>
        <item m="1" x="2350"/>
        <item m="1" x="2511"/>
        <item m="1" x="2671"/>
        <item m="1" x="2827"/>
        <item m="1" x="2993"/>
        <item m="1" x="3153"/>
        <item m="1" x="3314"/>
        <item m="1" x="3470"/>
        <item m="1" x="3629"/>
        <item m="1" x="3792"/>
        <item m="1" x="3952"/>
        <item m="1" x="4109"/>
        <item m="1" x="4273"/>
        <item m="1" x="4432"/>
        <item m="1" x="4593"/>
        <item m="1" x="4755"/>
        <item m="1" x="4917"/>
        <item m="1" x="5079"/>
        <item m="1" x="5240"/>
        <item m="1" x="5396"/>
        <item m="1" x="5564"/>
        <item m="1" x="5725"/>
        <item m="1" x="5885"/>
        <item m="1" x="6044"/>
        <item m="1" x="6204"/>
        <item m="1" x="6369"/>
        <item m="1" x="6530"/>
        <item m="1" x="6688"/>
        <item m="1" x="6852"/>
        <item m="1" x="80"/>
        <item m="1" x="240"/>
        <item m="1" x="404"/>
        <item m="1" x="565"/>
        <item m="1" x="728"/>
        <item m="1" x="888"/>
        <item m="1" x="1047"/>
        <item m="1" x="1215"/>
        <item m="1" x="1378"/>
        <item m="1" x="1542"/>
        <item m="1" x="1704"/>
        <item m="1" x="1867"/>
        <item m="1" x="2033"/>
        <item m="1" x="2194"/>
        <item m="1" x="2352"/>
        <item m="1" x="2514"/>
        <item m="1" x="2673"/>
        <item m="1" x="2833"/>
        <item m="1" x="2995"/>
        <item m="1" x="3156"/>
        <item m="1" x="3317"/>
        <item m="1" x="3475"/>
        <item m="1" x="3631"/>
        <item m="1" x="3795"/>
        <item m="1" x="3954"/>
        <item m="1" x="4115"/>
        <item m="1" x="4275"/>
        <item m="1" x="4435"/>
        <item m="1" x="4599"/>
        <item m="1" x="4760"/>
        <item m="1" x="4919"/>
        <item m="1" x="5082"/>
        <item m="1" x="5242"/>
        <item m="1" x="5402"/>
        <item m="1" x="5566"/>
        <item m="1" x="5728"/>
        <item m="1" x="5888"/>
        <item m="1" x="6049"/>
        <item m="1" x="6206"/>
        <item m="1" x="6372"/>
        <item m="1" x="6532"/>
        <item m="1" x="6694"/>
        <item m="1" x="6854"/>
        <item m="1" x="83"/>
        <item m="1" x="246"/>
        <item m="1" x="409"/>
        <item m="1" x="567"/>
        <item m="1" x="731"/>
        <item m="1" x="890"/>
        <item m="1" x="1053"/>
        <item m="1" x="1218"/>
        <item m="1" x="1381"/>
        <item m="1" x="1545"/>
        <item m="1" x="1709"/>
        <item m="1" x="1869"/>
        <item m="1" x="2037"/>
        <item m="1" x="2196"/>
        <item m="1" x="2358"/>
        <item m="1" x="2516"/>
        <item m="1" x="2676"/>
        <item m="1" x="2839"/>
        <item m="1" x="3000"/>
        <item m="1" x="3158"/>
        <item m="1" x="3320"/>
        <item m="1" x="3477"/>
        <item m="1" x="3637"/>
        <item m="1" x="3797"/>
        <item m="1" x="3957"/>
        <item m="1" x="4118"/>
        <item m="1" x="4280"/>
        <item m="1" x="4437"/>
        <item m="1" x="4603"/>
        <item m="1" x="4762"/>
        <item m="1" x="4925"/>
        <item m="1" x="5084"/>
        <item m="1" x="5245"/>
        <item m="1" x="5408"/>
        <item m="1" x="5571"/>
        <item m="1" x="5730"/>
        <item m="1" x="5891"/>
        <item m="1" x="6051"/>
        <item m="1" x="6212"/>
        <item m="1" x="6374"/>
        <item m="1" x="6535"/>
        <item m="1" x="6697"/>
        <item m="1" x="6859"/>
        <item m="1" x="85"/>
        <item m="1" x="250"/>
        <item m="1" x="411"/>
        <item m="1" x="573"/>
        <item m="1" x="733"/>
        <item m="1" x="893"/>
        <item m="1" x="1059"/>
        <item m="1" x="1223"/>
        <item m="1" x="1383"/>
        <item m="1" x="1548"/>
        <item m="1" x="1711"/>
        <item m="1" x="1875"/>
        <item m="1" x="2039"/>
        <item m="1" x="2200"/>
        <item m="1" x="2361"/>
        <item m="1" x="2521"/>
        <item m="1" x="2678"/>
        <item m="1" x="2844"/>
        <item m="1" x="3002"/>
        <item m="1" x="3164"/>
        <item m="1" x="3322"/>
        <item m="1" x="3481"/>
        <item m="1" x="3643"/>
        <item m="1" x="3802"/>
        <item m="1" x="3959"/>
        <item m="1" x="4122"/>
        <item m="1" x="4282"/>
        <item m="1" x="4443"/>
        <item m="1" x="4605"/>
        <item m="1" x="4766"/>
        <item m="1" x="4928"/>
        <item m="1" x="5089"/>
        <item m="1" x="5247"/>
        <item m="1" x="5414"/>
        <item m="1" x="5573"/>
        <item m="1" x="5736"/>
        <item m="1" x="5893"/>
        <item m="1" x="6055"/>
        <item m="1" x="6218"/>
        <item m="1" x="6379"/>
        <item m="1" x="6537"/>
        <item m="1" x="6701"/>
        <item m="1" x="6861"/>
        <item m="1" x="91"/>
        <item m="1" x="252"/>
        <item m="1" x="415"/>
        <item m="1" x="576"/>
        <item m="1" x="738"/>
        <item m="1" x="895"/>
        <item m="1" x="1064"/>
        <item m="1" x="1225"/>
        <item m="1" x="1389"/>
        <item m="1" x="1550"/>
        <item m="1" x="1715"/>
        <item m="1" x="1881"/>
        <item m="1" x="2044"/>
        <item m="1" x="2202"/>
        <item m="1" x="2365"/>
        <item m="1" x="2523"/>
        <item m="1" x="2684"/>
        <item m="1" x="2846"/>
        <item m="1" x="3006"/>
        <item m="1" x="3167"/>
        <item m="1" x="3327"/>
        <item m="1" x="3483"/>
        <item m="1" x="3647"/>
        <item m="1" x="3804"/>
        <item m="1" x="3965"/>
        <item m="1" x="4124"/>
        <item m="1" x="4286"/>
        <item m="1" x="4449"/>
        <item m="1" x="4610"/>
        <item m="1" x="4768"/>
        <item m="1" x="4932"/>
        <item m="1" x="5091"/>
        <item m="1" x="5253"/>
        <item m="1" x="5416"/>
        <item m="1" x="5577"/>
        <item m="1" x="5739"/>
        <item m="1" x="5898"/>
        <item m="1" x="6057"/>
        <item m="1" x="6222"/>
        <item m="1" x="6381"/>
        <item m="1" x="6543"/>
        <item m="1" x="6703"/>
        <item m="1" x="6865"/>
        <item m="1" x="97"/>
        <item m="1" x="257"/>
        <item m="1" x="417"/>
        <item m="1" x="580"/>
        <item m="1" x="740"/>
        <item m="1" x="901"/>
        <item m="1" x="1066"/>
        <item m="1" x="1229"/>
        <item m="1" x="1392"/>
        <item m="1" x="1555"/>
        <item m="1" x="1717"/>
        <item m="1" x="1886"/>
        <item m="1" x="2046"/>
        <item m="1" x="2208"/>
        <item m="1" x="2367"/>
        <item m="1" x="2527"/>
        <item m="1" x="2690"/>
        <item m="1" x="2851"/>
        <item m="1" x="3008"/>
        <item m="1" x="3171"/>
        <item m="1" x="3329"/>
        <item m="1" x="3489"/>
        <item m="1" x="3650"/>
        <item m="1" x="3808"/>
        <item m="1" x="3968"/>
        <item m="1" x="4129"/>
        <item m="1" x="4288"/>
        <item m="1" x="4454"/>
        <item m="1" x="4612"/>
        <item m="1" x="4774"/>
        <item m="1" x="4934"/>
        <item m="1" x="5095"/>
        <item m="1" x="5259"/>
        <item m="1" x="5421"/>
        <item m="1" x="5579"/>
        <item m="1" x="5743"/>
        <item m="1" x="5900"/>
        <item m="1" x="6063"/>
        <item m="1" x="6224"/>
        <item m="1" x="6385"/>
        <item m="1" x="6546"/>
        <item m="1" x="6708"/>
        <item m="1" x="6867"/>
        <item m="1" x="102"/>
        <item m="1" x="259"/>
        <item m="1" x="423"/>
        <item m="1" x="582"/>
        <item m="1" x="744"/>
        <item m="1" x="907"/>
        <item m="1" x="1071"/>
        <item m="1" x="1231"/>
        <item m="1" x="1396"/>
        <item m="1" x="1557"/>
        <item m="1" x="1723"/>
        <item m="1" x="1888"/>
        <item m="1" x="2050"/>
        <item m="1" x="2211"/>
        <item m="1" x="2372"/>
        <item m="1" x="2529"/>
        <item m="1" x="2695"/>
        <item m="1" x="2853"/>
        <item m="1" x="3014"/>
        <item m="1" x="3173"/>
        <item m="1" x="3333"/>
        <item m="1" x="3495"/>
        <item m="1" x="3655"/>
        <item m="1" x="3810"/>
        <item m="1" x="3972"/>
        <item m="1" x="4131"/>
        <item m="1" x="4294"/>
        <item m="1" x="4456"/>
        <item m="1" x="4616"/>
        <item m="1" x="4777"/>
        <item m="1" x="4939"/>
        <item m="1" x="5097"/>
        <item m="1" x="5264"/>
        <item m="1" x="5423"/>
        <item m="1" x="5585"/>
        <item m="1" x="5745"/>
        <item m="1" x="5904"/>
        <item m="1" x="6069"/>
        <item m="1" x="6229"/>
        <item m="1" x="6387"/>
        <item m="1" x="6550"/>
        <item m="1" x="6710"/>
        <item m="1" x="6873"/>
        <item m="1" x="104"/>
        <item m="1" x="263"/>
        <item m="1" x="426"/>
        <item m="1" x="587"/>
        <item m="1" x="746"/>
        <item m="1" x="912"/>
        <item m="1" x="1073"/>
        <item m="1" x="1237"/>
        <item m="1" x="1398"/>
        <item m="1" x="1561"/>
        <item m="1" x="1729"/>
        <item m="1" x="1893"/>
        <item m="1" x="2052"/>
        <item m="1" x="2215"/>
        <item m="1" x="2374"/>
        <item m="1" x="2535"/>
        <item m="1" x="2697"/>
        <item m="1" x="2857"/>
        <item m="1" x="3017"/>
        <item m="1" x="3178"/>
        <item m="1" x="3335"/>
        <item m="1" x="3499"/>
        <item m="1" x="3657"/>
        <item m="1" x="3816"/>
        <item m="1" x="3974"/>
        <item m="1" x="4135"/>
        <item m="1" x="4300"/>
        <item m="1" x="4461"/>
        <item m="1" x="4618"/>
        <item m="1" x="4781"/>
        <item m="1" x="4941"/>
        <item m="1" x="5103"/>
        <item m="1" x="5266"/>
        <item m="1" x="5427"/>
        <item m="1" x="5588"/>
        <item m="1" x="5750"/>
        <item m="1" x="5906"/>
        <item m="1" x="6073"/>
        <item m="1" x="6231"/>
        <item m="1" x="6393"/>
        <item m="1" x="6552"/>
        <item m="1" x="6714"/>
        <item m="1" x="6879"/>
        <item m="1" x="109"/>
        <item m="1" x="265"/>
        <item m="1" x="430"/>
        <item m="1" x="589"/>
        <item m="1" x="752"/>
        <item m="1" x="915"/>
        <item m="1" x="1077"/>
        <item m="1" x="1240"/>
        <item m="1" x="1403"/>
        <item m="1" x="1563"/>
        <item m="1" x="1734"/>
        <item m="1" x="1895"/>
        <item m="1" x="2058"/>
        <item m="1" x="2217"/>
        <item m="1" x="2378"/>
        <item m="1" x="2541"/>
        <item m="1" x="2702"/>
        <item m="1" x="2859"/>
        <item m="1" x="3021"/>
        <item m="1" x="3180"/>
        <item m="1" x="3341"/>
        <item m="1" x="3501"/>
        <item m="1" x="3661"/>
        <item m="1" x="3819"/>
        <item m="1" x="3979"/>
        <item m="1" x="4137"/>
        <item m="1" x="4305"/>
        <item m="1" x="4463"/>
        <item m="1" x="4624"/>
        <item m="1" x="4783"/>
        <item m="1" x="4945"/>
        <item m="1" x="5109"/>
        <item m="1" x="5271"/>
        <item m="1" x="5429"/>
        <item m="1" x="5592"/>
        <item m="1" x="5752"/>
        <item m="1" x="5912"/>
        <item m="1" x="6076"/>
        <item m="1" x="6235"/>
        <item m="1" x="6396"/>
        <item m="1" x="6557"/>
        <item m="1" x="6716"/>
        <item m="1" x="6884"/>
        <item m="1" x="111"/>
        <item m="1" x="271"/>
        <item m="1" x="432"/>
        <item m="1" x="593"/>
        <item m="1" x="758"/>
        <item m="1" x="920"/>
        <item m="1" x="1079"/>
        <item m="1" x="1244"/>
        <item m="1" x="1405"/>
        <item m="1" x="1569"/>
        <item m="1" x="1736"/>
        <item m="1" x="1899"/>
        <item m="1" x="2061"/>
        <item m="1" x="2222"/>
        <item m="1" x="2380"/>
        <item m="1" x="2546"/>
        <item m="1" x="2704"/>
        <item m="1" x="2865"/>
        <item m="1" x="3023"/>
        <item m="1" x="3184"/>
        <item m="1" x="3347"/>
        <item m="1" x="3506"/>
        <item m="1" x="3663"/>
        <item m="1" x="3823"/>
        <item m="1" x="3981"/>
        <item m="1" x="4143"/>
        <item m="1" x="4307"/>
        <item m="1" x="4467"/>
        <item m="1" x="4627"/>
        <item m="1" x="4788"/>
        <item m="1" x="4947"/>
        <item m="1" x="5115"/>
        <item m="1" x="5273"/>
        <item m="1" x="5435"/>
        <item m="1" x="5594"/>
        <item m="1" x="5756"/>
        <item m="1" x="5918"/>
        <item m="1" x="6081"/>
        <item m="1" x="6237"/>
        <item m="1" x="6400"/>
        <item m="1" x="6559"/>
        <item m="1" x="6722"/>
        <item m="1" x="6886"/>
        <item m="1" x="115"/>
        <item m="1" x="274"/>
        <item m="1" x="438"/>
        <item m="1" x="595"/>
        <item m="1" x="763"/>
        <item m="1" x="922"/>
        <item m="1" x="1085"/>
        <item m="1" x="1246"/>
        <item m="1" x="1409"/>
        <item m="1" x="1575"/>
        <item m="1" x="1742"/>
        <item m="1" x="1901"/>
        <item m="1" x="2065"/>
        <item m="1" x="2224"/>
        <item m="1" x="2548"/>
        <item m="1" x="2708"/>
        <item m="1" x="2868"/>
        <item m="1" x="3029"/>
        <item m="1" x="3186"/>
        <item m="1" x="3351"/>
        <item m="1" x="3508"/>
        <item m="1" x="3669"/>
        <item m="1" x="3825"/>
        <item m="1" x="3985"/>
        <item m="1" x="4149"/>
        <item m="1" x="4313"/>
        <item m="1" x="4469"/>
        <item m="1" x="4631"/>
        <item m="1" x="4790"/>
        <item m="1" x="4953"/>
        <item m="1" x="5117"/>
        <item m="1" x="5277"/>
        <item m="1" x="5438"/>
        <item m="1" x="5600"/>
        <item m="1" x="5758"/>
        <item m="1" x="5922"/>
        <item m="1" x="6083"/>
        <item m="1" x="6243"/>
        <item m="1" x="6402"/>
        <item m="1" x="6563"/>
        <item m="1" x="6728"/>
        <item m="1" x="6892"/>
        <item m="1" x="117"/>
        <item m="1" x="278"/>
        <item m="1" x="440"/>
        <item m="1" x="601"/>
        <item m="1" x="765"/>
        <item m="1" x="926"/>
        <item m="1" x="1088"/>
        <item m="1" x="1252"/>
        <item m="1" x="1411"/>
        <item m="1" x="1580"/>
        <item m="1" x="1744"/>
        <item m="1" x="1907"/>
        <item m="1" x="2067"/>
        <item m="1" x="2228"/>
        <item m="1" x="2391"/>
        <item m="1" x="2554"/>
        <item m="1" x="2710"/>
        <item m="1" x="2872"/>
        <item m="1" x="3031"/>
        <item m="1" x="3192"/>
        <item m="1" x="3353"/>
        <item m="1" x="3512"/>
        <item m="1" x="3672"/>
        <item m="1" x="3831"/>
        <item m="1" x="3987"/>
        <item m="1" x="4154"/>
        <item m="1" x="4315"/>
        <item m="1" x="4475"/>
        <item m="1" x="4633"/>
        <item m="1" x="4794"/>
        <item m="1" x="4959"/>
        <item m="1" x="5123"/>
        <item m="1" x="5279"/>
        <item m="1" x="5442"/>
        <item m="1" x="5602"/>
        <item m="1" x="5764"/>
        <item m="1" x="5924"/>
        <item m="1" x="6087"/>
        <item m="1" x="6246"/>
        <item m="1" x="6408"/>
        <item m="1" x="6565"/>
        <item m="1" x="6733"/>
        <item m="1" x="6894"/>
        <item m="1" x="123"/>
        <item m="1" x="280"/>
        <item m="1" x="444"/>
        <item m="1" x="607"/>
        <item m="1" x="771"/>
        <item m="1" x="928"/>
        <item m="1" x="1092"/>
        <item m="1" x="1254"/>
        <item m="1" x="1417"/>
        <item m="1" x="1583"/>
        <item m="1" x="1748"/>
        <item m="1" x="1910"/>
        <item m="1" x="2073"/>
        <item m="1" x="2230"/>
        <item m="1" x="2396"/>
        <item m="1" x="2556"/>
        <item m="1" x="2716"/>
        <item m="1" x="2874"/>
        <item m="1" x="3035"/>
        <item m="1" x="3198"/>
        <item m="1" x="3359"/>
        <item m="1" x="3514"/>
        <item m="1" x="3676"/>
        <item m="1" x="3833"/>
        <item m="1" x="3993"/>
        <item m="1" x="4156"/>
        <item m="1" x="4319"/>
        <item m="1" x="4478"/>
        <item m="1" x="4639"/>
        <item m="1" x="4796"/>
        <item m="1" x="4964"/>
        <item m="1" x="5125"/>
        <item m="1" x="5285"/>
        <item m="1" x="5444"/>
        <item m="1" x="5606"/>
        <item m="1" x="5770"/>
        <item m="1" x="5930"/>
        <item m="1" x="6089"/>
        <item m="1" x="6250"/>
        <item m="1" x="6410"/>
        <item m="1" x="6571"/>
        <item m="1" x="6735"/>
        <item m="1" x="6898"/>
        <item m="1" x="126"/>
        <item m="1" x="286"/>
        <item m="1" x="446"/>
        <item m="1" x="612"/>
        <item m="1" x="773"/>
        <item m="1" x="934"/>
        <item m="1" x="1094"/>
        <item m="1" x="1258"/>
        <item m="1" x="1423"/>
        <item m="1" x="1589"/>
        <item m="1" x="1750"/>
        <item m="1" x="1914"/>
        <item m="1" x="2075"/>
        <item m="1" x="2236"/>
        <item m="1" x="2398"/>
        <item m="1" x="2560"/>
        <item m="1" x="2719"/>
        <item m="1" x="2880"/>
        <item m="1" x="3037"/>
        <item m="1" x="3202"/>
        <item m="1" x="3361"/>
        <item m="1" x="3520"/>
        <item m="1" x="3678"/>
        <item m="1" x="3837"/>
        <item m="1" x="3999"/>
        <item m="1" x="4162"/>
        <item m="1" x="4321"/>
        <item m="1" x="4482"/>
        <item m="1" x="4641"/>
        <item m="1" x="4802"/>
        <item m="1" x="4966"/>
        <item m="1" x="5129"/>
        <item m="1" x="5288"/>
        <item m="1" x="5450"/>
        <item m="1" x="5608"/>
        <item m="1" x="5774"/>
        <item m="1" x="5932"/>
        <item m="1" x="6095"/>
        <item m="1" x="6252"/>
        <item m="1" x="6414"/>
        <item m="1" x="6577"/>
        <item m="1" x="6741"/>
        <item m="1" x="6900"/>
        <item m="1" x="130"/>
        <item m="1" x="288"/>
        <item m="1" x="452"/>
        <item m="1" x="615"/>
        <item m="1" x="777"/>
        <item m="1" x="937"/>
        <item m="1" x="1100"/>
        <item m="1" x="1260"/>
        <item m="1" x="1428"/>
        <item m="1" x="1591"/>
        <item m="1" x="1756"/>
        <item m="1" x="1916"/>
        <item m="1" x="2079"/>
        <item m="1" x="2242"/>
        <item m="1" x="2404"/>
        <item m="1" x="2562"/>
        <item m="1" x="2723"/>
        <item m="1" x="2882"/>
        <item m="1" x="3043"/>
        <item m="1" x="3204"/>
        <item m="1" x="3365"/>
        <item m="1" x="3523"/>
        <item m="1" x="3684"/>
        <item m="1" x="3839"/>
        <item m="1" x="4004"/>
        <item m="1" x="4164"/>
        <item m="1" x="4327"/>
        <item m="1" x="4484"/>
        <item m="1" x="4645"/>
        <item m="1" x="4808"/>
        <item m="1" x="4972"/>
        <item m="1" x="5131"/>
        <item m="1" x="5292"/>
        <item m="1" x="5452"/>
        <item m="1" x="5614"/>
        <item m="1" x="5776"/>
        <item m="1" x="5936"/>
        <item m="1" x="6098"/>
        <item m="1" x="6258"/>
        <item m="1" x="6416"/>
        <item m="1" x="6582"/>
        <item m="1" x="6743"/>
        <item m="1" x="6906"/>
        <item m="1" x="132"/>
        <item m="1" x="292"/>
        <item m="1" x="458"/>
        <item m="1" x="621"/>
        <item m="1" x="779"/>
        <item m="1" x="941"/>
        <item m="1" x="1102"/>
        <item m="1" x="1266"/>
        <item m="1" x="1430"/>
        <item m="1" x="1595"/>
        <item m="1" x="1759"/>
        <item m="1" x="1922"/>
        <item m="1" x="2081"/>
        <item m="1" x="2247"/>
        <item m="1" x="2406"/>
        <item m="1" x="2568"/>
        <item m="1" x="2725"/>
        <item m="1" x="2886"/>
        <item m="1" x="3049"/>
        <item m="1" x="3210"/>
        <item m="1" x="3367"/>
        <item m="1" x="3527"/>
        <item m="1" x="3686"/>
        <item m="1" x="3845"/>
        <item m="1" x="4007"/>
        <item m="1" x="4168"/>
        <item m="1" x="4330"/>
        <item m="1" x="4490"/>
        <item m="1" x="4647"/>
        <item m="1" x="4814"/>
        <item m="1" x="4974"/>
        <item m="1" x="5137"/>
        <item m="1" x="5294"/>
        <item m="1" x="5456"/>
        <item m="1" x="5620"/>
        <item m="1" x="5782"/>
        <item m="1" x="5938"/>
        <item m="1" x="6102"/>
        <item m="1" x="6260"/>
        <item m="1" x="6422"/>
        <item m="1" x="6584"/>
        <item m="1" x="6747"/>
        <item m="1" x="6909"/>
        <item m="1" x="138"/>
        <item m="1" x="294"/>
        <item m="1" x="463"/>
        <item m="1" x="623"/>
        <item m="1" x="785"/>
        <item m="1" x="943"/>
        <item m="1" x="1106"/>
        <item m="1" x="1272"/>
        <item m="1" x="1436"/>
        <item m="1" x="1597"/>
        <item m="1" x="1763"/>
        <item m="1" x="1924"/>
        <item m="1" x="2087"/>
        <item m="1" x="2249"/>
        <item m="1" x="2410"/>
        <item m="1" x="2571"/>
        <item m="1" x="2731"/>
        <item m="1" x="2888"/>
        <item m="1" x="3053"/>
        <item m="1" x="3212"/>
        <item m="1" x="3373"/>
        <item m="1" x="3529"/>
        <item m="1" x="3690"/>
        <item m="1" x="3851"/>
        <item m="1" x="4013"/>
        <item m="1" x="4170"/>
        <item m="1" x="4334"/>
        <item m="1" x="4492"/>
        <item m="1" x="4653"/>
        <item m="1" x="4816"/>
        <item m="1" x="4978"/>
        <item m="1" x="5140"/>
        <item m="1" x="5300"/>
        <item m="1" x="5458"/>
        <item m="1" x="5624"/>
        <item m="1" x="5784"/>
        <item m="1" x="5944"/>
        <item m="1" x="6104"/>
        <item m="1" x="6264"/>
        <item m="1" x="6428"/>
        <item m="1" x="6590"/>
        <item m="1" x="6749"/>
        <item m="1" x="6913"/>
        <item m="1" x="140"/>
        <item m="1" x="300"/>
        <item m="1" x="465"/>
        <item m="1" x="627"/>
        <item m="1" x="788"/>
        <item m="1" x="949"/>
        <item m="1" x="1108"/>
        <item m="1" x="1277"/>
        <item m="1" x="1438"/>
        <item m="1" x="1603"/>
        <item m="1" x="1765"/>
        <item m="1" x="1928"/>
        <item m="1" x="2093"/>
        <item m="1" x="2255"/>
        <item m="1" x="2412"/>
        <item m="1" x="2575"/>
        <item m="1" x="970"/>
        <item m="1" x="1133"/>
        <item m="1" x="1473"/>
        <item x="0"/>
      </items>
    </pivotField>
    <pivotField compact="0" outline="0" showAll="0"/>
    <pivotField compact="0" outline="0" showAll="0"/>
    <pivotField name="  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multipleItemSelectionAllowed="1" showAll="0">
      <items count="4">
        <item m="1" x="2"/>
        <item x="0"/>
        <item m="1" x="1"/>
        <item t="default"/>
      </items>
    </pivotField>
  </pivotFields>
  <rowFields count="3">
    <field x="1"/>
    <field x="6"/>
    <field x="9"/>
  </rowFields>
  <rowItems count="1">
    <i t="grand">
      <x/>
    </i>
  </rowItems>
  <colItems count="1">
    <i/>
  </colItems>
  <pageFields count="3">
    <pageField fld="0" item="5" hier="-1"/>
    <pageField fld="19" hier="-1"/>
    <pageField fld="3" hier="-1"/>
  </pageFields>
  <dataFields count="1">
    <dataField name="Suma de VENTA TOTAL" fld="16" baseField="9" baseItem="0" numFmtId="44"/>
  </dataFields>
  <formats count="1">
    <format dxfId="54">
      <pivotArea type="all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3" cacheId="2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390" totalsRowShown="0" headerRowDxfId="78" dataDxfId="77">
  <tableColumns count="20">
    <tableColumn id="1" name="MES" dataDxfId="76"/>
    <tableColumn id="2" name="FECHA" dataDxfId="75"/>
    <tableColumn id="3" name="CLASE DE DOC" dataDxfId="74"/>
    <tableColumn id="4" name="TIPO DE DOC" dataDxfId="73"/>
    <tableColumn id="5" name="CORRELATIVO" dataDxfId="72"/>
    <tableColumn id="6" name="NIT PROV" dataDxfId="71"/>
    <tableColumn id="7" name="N PROVEEDOR" dataDxfId="70"/>
    <tableColumn id="8" name="C. EXENTAS" dataDxfId="69" dataCellStyle="Moneda"/>
    <tableColumn id="9" name="I. EXENTAS" dataDxfId="68" dataCellStyle="Moneda"/>
    <tableColumn id="10" name="IMPOR EX" dataDxfId="67" dataCellStyle="Moneda"/>
    <tableColumn id="11" name="C. GRAVADA" dataDxfId="66" dataCellStyle="Moneda"/>
    <tableColumn id="12" name="INTER GRAVA" dataDxfId="65" dataCellStyle="Moneda"/>
    <tableColumn id="13" name="IMPOR BIENES" dataDxfId="64" dataCellStyle="Moneda"/>
    <tableColumn id="14" name="IMPOR SERV" dataDxfId="63" dataCellStyle="Moneda"/>
    <tableColumn id="15" name="IVA" dataDxfId="62" dataCellStyle="Moneda"/>
    <tableColumn id="16" name="TOTAL C." dataDxfId="61" dataCellStyle="Moneda"/>
    <tableColumn id="20" name="DUI" dataDxfId="60" dataCellStyle="Moneda"/>
    <tableColumn id="17" name="ANEXO 3" dataDxfId="59"/>
    <tableColumn id="19" name="SERIE" dataDxfId="58"/>
    <tableColumn id="18" name="PERCEPCIONES" dataDxfId="5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S637" totalsRowShown="0">
  <tableColumns count="19">
    <tableColumn id="19" name="MES"/>
    <tableColumn id="2" name="FECHA"/>
    <tableColumn id="3" name="CLASE DE DOC"/>
    <tableColumn id="4" name="TIPO DE DOC"/>
    <tableColumn id="5" name="15041RESIN405632019"/>
    <tableColumn id="6" name="SERIE "/>
    <tableColumn id="7" name="N° DOC"/>
    <tableColumn id="8" name="CONTROL"/>
    <tableColumn id="9" name=" " dataDxfId="56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55" dataCellStyle="Moneda"/>
    <tableColumn id="18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333" totalsRowShown="0"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53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8" name="Tabla69" displayName="Tabla69" ref="A1:Q5" totalsRowCount="1" headerRowDxfId="52" headerRowBorderDxfId="51" tableBorderDxfId="50">
  <autoFilter ref="A1:Q4"/>
  <sortState ref="A2:Q3">
    <sortCondition ref="J1:J3"/>
  </sortState>
  <tableColumns count="17">
    <tableColumn id="1" name="Mes" totalsRowLabel="Total" dataDxfId="49"/>
    <tableColumn id="10" name="NCR" dataDxfId="48"/>
    <tableColumn id="2" name="NIT Agente" dataDxfId="47"/>
    <tableColumn id="18" name="Columna6"/>
    <tableColumn id="19" name="Columna7"/>
    <tableColumn id="16" name="Columna4" dataDxfId="46">
      <calculatedColumnFormula>VLOOKUP(Tabla69[[#This Row],[Columna5]],'[1]LIBRO '!$A$1:$B$1007,2,FALSE)</calculatedColumnFormula>
    </tableColumn>
    <tableColumn id="17" name="Columna5" dataDxfId="45">
      <calculatedColumnFormula>VLOOKUP(Tabla69[[#This Row],[NIT Agente]],#REF!,2,FALSE)</calculatedColumnFormula>
    </tableColumn>
    <tableColumn id="12" name="Columna2" dataDxfId="44" totalsRowDxfId="43">
      <calculatedColumnFormula>VLOOKUP(Tabla69[[#This Row],[Columna1]],'[1]LIBRO '!$A$1:$B$902,2,FALSE)</calculatedColumnFormula>
    </tableColumn>
    <tableColumn id="11" name="Columna1" dataDxfId="42">
      <calculatedColumnFormula>VLOOKUP(Tabla69[[#This Row],[NIT Agente]],#REF!,2,FALSE)</calculatedColumnFormula>
    </tableColumn>
    <tableColumn id="3" name="Fecha de emisión" dataDxfId="41"/>
    <tableColumn id="4" name="Tipo de documento" totalsRowFunction="sum" dataDxfId="40" totalsRowDxfId="39"/>
    <tableColumn id="5" name="Serie" totalsRowFunction="sum" dataDxfId="38" totalsRowDxfId="37"/>
    <tableColumn id="6" name="Número de documento" totalsRowFunction="sum" dataDxfId="36" totalsRowDxfId="35"/>
    <tableColumn id="7" name="Monto sujeto" totalsRowFunction="sum" dataDxfId="34" totalsRowDxfId="33" dataCellStyle="Moneda"/>
    <tableColumn id="13" name="Columna3" dataDxfId="32" totalsRowDxfId="31" dataCellStyle="Moneda"/>
    <tableColumn id="8" name="Monto Retención 1%" totalsRowFunction="sum" dataDxfId="30" totalsRowDxfId="29" dataCellStyle="Moneda"/>
    <tableColumn id="9" name="Número de anexo" dataDxfId="2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A2:S10" totalsRowCount="1" headerRowDxfId="27" dataDxfId="26" headerRowCellStyle="Moneda" dataCellStyle="Moneda">
  <autoFilter ref="A2:S9">
    <filterColumn colId="2">
      <filters>
        <filter val="GUEVARA MARTINEZ DAVID ARTURO"/>
        <filter val="GUEVARA MARTINEZ DOUGLAS EZEQUIEL"/>
        <filter val="GUEVARA MARTINEZ WILLIAM JOSE"/>
        <filter val="RAMIREZ RAMIREZ ROBERTO NAPOLEON"/>
      </filters>
    </filterColumn>
  </autoFilter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25" dataCellStyle="Moneda"/>
    <tableColumn id="8" name="MONTO DEVENGADO POR BONIFICACIONES Y GRATIFICACIONES " totalsRowFunction="sum" dataDxfId="24" totalsRowDxfId="23" dataCellStyle="Moneda"/>
    <tableColumn id="9" name="IMPUESTO RETENIDO " totalsRowFunction="sum" dataDxfId="22" totalsRowDxfId="21" dataCellStyle="Moneda"/>
    <tableColumn id="10" name="AGUINALDO EXENTO " totalsRowFunction="sum" dataDxfId="20" totalsRowDxfId="19" dataCellStyle="Moneda"/>
    <tableColumn id="11" name="AGUINALDO GRAVADO " totalsRowFunction="sum" dataDxfId="18" totalsRowDxfId="17" dataCellStyle="Moneda"/>
    <tableColumn id="12" name="AFP" totalsRowFunction="sum" dataDxfId="16" totalsRowDxfId="15" dataCellStyle="Moneda"/>
    <tableColumn id="13" name="ISSS" totalsRowFunction="sum" dataDxfId="14" totalsRowDxfId="13" dataCellStyle="Moneda"/>
    <tableColumn id="14" name="INPEP" totalsRowFunction="sum" dataDxfId="12" totalsRowDxfId="11" dataCellStyle="Moneda"/>
    <tableColumn id="15" name="IPSFA" totalsRowFunction="sum" dataDxfId="10" totalsRowDxfId="9" dataCellStyle="Moneda"/>
    <tableColumn id="16" name="CEFAFA" totalsRowFunction="sum" dataDxfId="8" totalsRowDxfId="7" dataCellStyle="Moneda"/>
    <tableColumn id="17" name="BIENESTAR MAGISTERIAL" dataDxfId="6" dataCellStyle="Moneda"/>
    <tableColumn id="18" name="ISSS IVM " dataDxfId="5" dataCellStyle="Moneda"/>
    <tableColumn id="19" name="PERIODO" totalsRowFunction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22" t="s">
        <v>17</v>
      </c>
      <c r="B1" s="23" t="s">
        <v>945</v>
      </c>
      <c r="C1" s="23" t="s">
        <v>944</v>
      </c>
      <c r="D1" s="23" t="s">
        <v>676</v>
      </c>
      <c r="E1" s="23"/>
      <c r="F1" s="23" t="s">
        <v>2</v>
      </c>
      <c r="G1" s="23" t="s">
        <v>3</v>
      </c>
      <c r="H1" s="23" t="s">
        <v>4</v>
      </c>
      <c r="I1" s="23" t="s">
        <v>689</v>
      </c>
      <c r="J1" s="23"/>
      <c r="K1" s="23"/>
      <c r="L1" s="23"/>
      <c r="M1" s="23" t="s">
        <v>5</v>
      </c>
      <c r="N1" s="23" t="s">
        <v>6</v>
      </c>
      <c r="O1" s="23"/>
      <c r="P1" s="23" t="s">
        <v>45</v>
      </c>
      <c r="Q1" s="25" t="s">
        <v>7</v>
      </c>
      <c r="R1" s="25" t="s">
        <v>8</v>
      </c>
      <c r="S1" s="25" t="s">
        <v>9</v>
      </c>
      <c r="T1" s="25" t="s">
        <v>10</v>
      </c>
      <c r="U1" s="25" t="s">
        <v>11</v>
      </c>
      <c r="V1" s="25" t="s">
        <v>13</v>
      </c>
      <c r="W1" s="25" t="s">
        <v>12</v>
      </c>
      <c r="X1" s="25" t="s">
        <v>14</v>
      </c>
      <c r="Y1" s="25" t="s">
        <v>15</v>
      </c>
      <c r="Z1" s="25" t="s">
        <v>479</v>
      </c>
      <c r="AA1" s="23" t="s">
        <v>16</v>
      </c>
      <c r="AB1" s="23" t="s">
        <v>43</v>
      </c>
      <c r="AC1" s="24" t="s">
        <v>468</v>
      </c>
    </row>
    <row r="2" spans="1:29" hidden="1" x14ac:dyDescent="0.25">
      <c r="A2" t="s">
        <v>601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930</v>
      </c>
      <c r="G2" t="s">
        <v>440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34" t="s">
        <v>690</v>
      </c>
      <c r="L2" s="34" t="s">
        <v>465</v>
      </c>
      <c r="M2">
        <v>5</v>
      </c>
      <c r="N2" t="s">
        <v>286</v>
      </c>
      <c r="O2" t="str">
        <f>IF(N2="",Z2,N2)</f>
        <v>12170701191011</v>
      </c>
      <c r="P2" t="s">
        <v>287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465</v>
      </c>
      <c r="AA2" s="38" t="s">
        <v>1</v>
      </c>
      <c r="AB2" t="s">
        <v>465</v>
      </c>
      <c r="AC2">
        <v>0</v>
      </c>
    </row>
    <row r="3" spans="1:29" hidden="1" x14ac:dyDescent="0.25">
      <c r="A3" t="s">
        <v>601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914</v>
      </c>
      <c r="G3" t="s">
        <v>440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34" t="s">
        <v>690</v>
      </c>
      <c r="L3" s="34" t="s">
        <v>465</v>
      </c>
      <c r="M3">
        <v>68</v>
      </c>
      <c r="N3" t="s">
        <v>177</v>
      </c>
      <c r="O3" t="str">
        <f t="shared" ref="O3:O66" si="4">IF(N3="",Z3,N3)</f>
        <v>06141611841170</v>
      </c>
      <c r="P3" t="s">
        <v>178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465</v>
      </c>
      <c r="AA3" s="38" t="s">
        <v>1</v>
      </c>
      <c r="AB3" t="s">
        <v>465</v>
      </c>
      <c r="AC3">
        <v>0</v>
      </c>
    </row>
    <row r="4" spans="1:29" hidden="1" x14ac:dyDescent="0.25">
      <c r="A4" t="s">
        <v>601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914</v>
      </c>
      <c r="G4" t="s">
        <v>440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34" t="s">
        <v>690</v>
      </c>
      <c r="L4" s="34" t="s">
        <v>465</v>
      </c>
      <c r="M4">
        <v>441</v>
      </c>
      <c r="N4" t="s">
        <v>940</v>
      </c>
      <c r="O4" t="str">
        <f t="shared" si="4"/>
        <v>06140802181017</v>
      </c>
      <c r="P4" t="s">
        <v>941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465</v>
      </c>
      <c r="AA4" s="38" t="s">
        <v>1</v>
      </c>
      <c r="AB4" t="s">
        <v>465</v>
      </c>
      <c r="AC4">
        <v>0</v>
      </c>
    </row>
    <row r="5" spans="1:29" hidden="1" x14ac:dyDescent="0.25">
      <c r="A5" t="s">
        <v>601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939</v>
      </c>
      <c r="G5" t="s">
        <v>440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34" t="s">
        <v>690</v>
      </c>
      <c r="L5" s="34" t="s">
        <v>465</v>
      </c>
      <c r="M5">
        <v>2405</v>
      </c>
      <c r="N5" t="s">
        <v>91</v>
      </c>
      <c r="O5" t="str">
        <f t="shared" si="4"/>
        <v>06141504911068</v>
      </c>
      <c r="P5" t="s">
        <v>92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465</v>
      </c>
      <c r="AA5" s="38" t="s">
        <v>1</v>
      </c>
      <c r="AB5" t="s">
        <v>465</v>
      </c>
      <c r="AC5">
        <v>0</v>
      </c>
    </row>
    <row r="6" spans="1:29" hidden="1" x14ac:dyDescent="0.25">
      <c r="A6" t="s">
        <v>601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891</v>
      </c>
      <c r="G6" t="s">
        <v>440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34" t="s">
        <v>690</v>
      </c>
      <c r="L6" s="34" t="s">
        <v>465</v>
      </c>
      <c r="M6">
        <v>2349</v>
      </c>
      <c r="N6" t="s">
        <v>91</v>
      </c>
      <c r="O6" t="str">
        <f t="shared" si="4"/>
        <v>06141504911068</v>
      </c>
      <c r="P6" t="s">
        <v>92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465</v>
      </c>
      <c r="AA6" s="38" t="s">
        <v>1</v>
      </c>
      <c r="AB6" t="s">
        <v>465</v>
      </c>
      <c r="AC6">
        <v>0</v>
      </c>
    </row>
    <row r="7" spans="1:29" hidden="1" x14ac:dyDescent="0.25">
      <c r="A7" t="s">
        <v>601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908</v>
      </c>
      <c r="G7" t="s">
        <v>440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34" t="s">
        <v>690</v>
      </c>
      <c r="L7" s="34" t="s">
        <v>465</v>
      </c>
      <c r="M7">
        <v>300</v>
      </c>
      <c r="N7" t="s">
        <v>181</v>
      </c>
      <c r="O7" t="str">
        <f t="shared" si="4"/>
        <v>05043110741013</v>
      </c>
      <c r="P7" t="s">
        <v>182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465</v>
      </c>
      <c r="AA7" s="38" t="s">
        <v>1</v>
      </c>
      <c r="AB7" t="s">
        <v>465</v>
      </c>
      <c r="AC7">
        <v>0</v>
      </c>
    </row>
    <row r="8" spans="1:29" hidden="1" x14ac:dyDescent="0.25">
      <c r="A8" t="s">
        <v>601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894</v>
      </c>
      <c r="G8" t="s">
        <v>440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34" t="s">
        <v>690</v>
      </c>
      <c r="L8" s="34" t="s">
        <v>465</v>
      </c>
      <c r="M8">
        <v>294</v>
      </c>
      <c r="N8" t="s">
        <v>181</v>
      </c>
      <c r="O8" t="str">
        <f t="shared" si="4"/>
        <v>05043110741013</v>
      </c>
      <c r="P8" t="s">
        <v>182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465</v>
      </c>
      <c r="AA8" s="38" t="s">
        <v>1</v>
      </c>
      <c r="AB8" t="s">
        <v>514</v>
      </c>
      <c r="AC8">
        <v>14.46</v>
      </c>
    </row>
    <row r="9" spans="1:29" hidden="1" x14ac:dyDescent="0.25">
      <c r="A9" t="s">
        <v>601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908</v>
      </c>
      <c r="G9" t="s">
        <v>440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34" t="s">
        <v>690</v>
      </c>
      <c r="L9" s="34" t="s">
        <v>465</v>
      </c>
      <c r="M9">
        <v>3226</v>
      </c>
      <c r="N9" t="s">
        <v>143</v>
      </c>
      <c r="O9" t="str">
        <f t="shared" si="4"/>
        <v>06142703981055</v>
      </c>
      <c r="P9" t="s">
        <v>144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465</v>
      </c>
      <c r="AA9" s="38" t="s">
        <v>1</v>
      </c>
      <c r="AB9" t="s">
        <v>514</v>
      </c>
      <c r="AC9">
        <v>15.73</v>
      </c>
    </row>
    <row r="10" spans="1:29" hidden="1" x14ac:dyDescent="0.25">
      <c r="A10" t="s">
        <v>601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923</v>
      </c>
      <c r="G10" t="s">
        <v>440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34" t="s">
        <v>690</v>
      </c>
      <c r="L10" s="34" t="s">
        <v>465</v>
      </c>
      <c r="M10">
        <v>100724</v>
      </c>
      <c r="N10" t="s">
        <v>299</v>
      </c>
      <c r="O10" t="str">
        <f t="shared" si="4"/>
        <v>06141702660013</v>
      </c>
      <c r="P10" t="s">
        <v>300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465</v>
      </c>
      <c r="AA10" s="38" t="s">
        <v>1</v>
      </c>
      <c r="AB10" t="s">
        <v>514</v>
      </c>
      <c r="AC10">
        <v>15.24</v>
      </c>
    </row>
    <row r="11" spans="1:29" hidden="1" x14ac:dyDescent="0.25">
      <c r="A11" t="s">
        <v>601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923</v>
      </c>
      <c r="G11" t="s">
        <v>440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34" t="s">
        <v>690</v>
      </c>
      <c r="L11" s="34" t="s">
        <v>465</v>
      </c>
      <c r="M11">
        <v>100723</v>
      </c>
      <c r="N11" t="s">
        <v>299</v>
      </c>
      <c r="O11" t="str">
        <f t="shared" si="4"/>
        <v>06141702660013</v>
      </c>
      <c r="P11" t="s">
        <v>300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465</v>
      </c>
      <c r="AA11" s="38" t="s">
        <v>1</v>
      </c>
      <c r="AB11" t="s">
        <v>465</v>
      </c>
      <c r="AC11">
        <v>0</v>
      </c>
    </row>
    <row r="12" spans="1:29" hidden="1" x14ac:dyDescent="0.25">
      <c r="A12" t="s">
        <v>601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923</v>
      </c>
      <c r="G12" t="s">
        <v>440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34" t="s">
        <v>690</v>
      </c>
      <c r="L12" s="34" t="s">
        <v>465</v>
      </c>
      <c r="M12">
        <v>100722</v>
      </c>
      <c r="N12" t="s">
        <v>299</v>
      </c>
      <c r="O12" t="str">
        <f t="shared" si="4"/>
        <v>06141702660013</v>
      </c>
      <c r="P12" t="s">
        <v>300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465</v>
      </c>
      <c r="AA12" s="38" t="s">
        <v>1</v>
      </c>
      <c r="AB12" t="s">
        <v>465</v>
      </c>
      <c r="AC12">
        <v>0</v>
      </c>
    </row>
    <row r="13" spans="1:29" hidden="1" x14ac:dyDescent="0.25">
      <c r="A13" t="s">
        <v>601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923</v>
      </c>
      <c r="G13" t="s">
        <v>440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34" t="s">
        <v>690</v>
      </c>
      <c r="L13" s="34" t="s">
        <v>465</v>
      </c>
      <c r="M13">
        <v>690221</v>
      </c>
      <c r="N13" t="s">
        <v>173</v>
      </c>
      <c r="O13" t="str">
        <f t="shared" si="4"/>
        <v>14070503650018</v>
      </c>
      <c r="P13" t="s">
        <v>174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465</v>
      </c>
      <c r="AA13" s="38" t="s">
        <v>1</v>
      </c>
      <c r="AB13" t="s">
        <v>465</v>
      </c>
      <c r="AC13">
        <v>0</v>
      </c>
    </row>
    <row r="14" spans="1:29" hidden="1" x14ac:dyDescent="0.25">
      <c r="A14" t="s">
        <v>601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935</v>
      </c>
      <c r="G14" t="s">
        <v>440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34" t="s">
        <v>690</v>
      </c>
      <c r="L14" s="34" t="s">
        <v>465</v>
      </c>
      <c r="M14">
        <v>277929</v>
      </c>
      <c r="N14" t="s">
        <v>183</v>
      </c>
      <c r="O14" t="str">
        <f t="shared" si="4"/>
        <v>06142307091063</v>
      </c>
      <c r="P14" t="s">
        <v>184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465</v>
      </c>
      <c r="AA14" s="38" t="s">
        <v>1</v>
      </c>
      <c r="AB14" t="s">
        <v>465</v>
      </c>
      <c r="AC14">
        <v>0</v>
      </c>
    </row>
    <row r="15" spans="1:29" hidden="1" x14ac:dyDescent="0.25">
      <c r="A15" t="s">
        <v>601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921</v>
      </c>
      <c r="G15" t="s">
        <v>440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34" t="s">
        <v>690</v>
      </c>
      <c r="L15" s="34" t="s">
        <v>465</v>
      </c>
      <c r="M15">
        <v>56914</v>
      </c>
      <c r="N15" t="s">
        <v>270</v>
      </c>
      <c r="O15" t="str">
        <f t="shared" si="4"/>
        <v>06140307951051</v>
      </c>
      <c r="P15" t="s">
        <v>271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465</v>
      </c>
      <c r="AA15" s="38" t="s">
        <v>1</v>
      </c>
      <c r="AB15" t="s">
        <v>465</v>
      </c>
      <c r="AC15">
        <v>0</v>
      </c>
    </row>
    <row r="16" spans="1:29" hidden="1" x14ac:dyDescent="0.25">
      <c r="A16" t="s">
        <v>601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938</v>
      </c>
      <c r="G16" t="s">
        <v>440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34" t="s">
        <v>690</v>
      </c>
      <c r="L16" s="34" t="s">
        <v>465</v>
      </c>
      <c r="M16">
        <v>104009</v>
      </c>
      <c r="N16" t="s">
        <v>227</v>
      </c>
      <c r="O16" t="str">
        <f t="shared" si="4"/>
        <v>06142008011037</v>
      </c>
      <c r="P16" t="s">
        <v>228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465</v>
      </c>
      <c r="AA16" s="38" t="s">
        <v>1</v>
      </c>
      <c r="AB16" t="s">
        <v>465</v>
      </c>
      <c r="AC16">
        <v>0</v>
      </c>
    </row>
    <row r="17" spans="1:29" hidden="1" x14ac:dyDescent="0.25">
      <c r="A17" t="s">
        <v>601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917</v>
      </c>
      <c r="G17" t="s">
        <v>440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34" t="s">
        <v>690</v>
      </c>
      <c r="L17" s="34" t="s">
        <v>465</v>
      </c>
      <c r="M17">
        <v>2692</v>
      </c>
      <c r="N17" t="s">
        <v>66</v>
      </c>
      <c r="O17" t="str">
        <f t="shared" si="4"/>
        <v>06142601121035</v>
      </c>
      <c r="P17" t="s">
        <v>67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465</v>
      </c>
      <c r="AA17" s="38" t="s">
        <v>1</v>
      </c>
      <c r="AB17" t="s">
        <v>465</v>
      </c>
      <c r="AC17">
        <v>0</v>
      </c>
    </row>
    <row r="18" spans="1:29" hidden="1" x14ac:dyDescent="0.25">
      <c r="A18" t="s">
        <v>601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908</v>
      </c>
      <c r="G18" t="s">
        <v>440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34" t="s">
        <v>690</v>
      </c>
      <c r="L18" s="34" t="s">
        <v>465</v>
      </c>
      <c r="M18">
        <v>7888</v>
      </c>
      <c r="N18" t="s">
        <v>198</v>
      </c>
      <c r="O18" t="str">
        <f t="shared" si="4"/>
        <v>06141708071034</v>
      </c>
      <c r="P18" t="s">
        <v>199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465</v>
      </c>
      <c r="AA18" s="38" t="s">
        <v>1</v>
      </c>
      <c r="AB18" t="s">
        <v>465</v>
      </c>
      <c r="AC18">
        <v>0</v>
      </c>
    </row>
    <row r="19" spans="1:29" hidden="1" x14ac:dyDescent="0.25">
      <c r="A19" t="s">
        <v>601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909</v>
      </c>
      <c r="G19" t="s">
        <v>440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34" t="s">
        <v>690</v>
      </c>
      <c r="L19" s="34" t="s">
        <v>465</v>
      </c>
      <c r="M19">
        <v>508115</v>
      </c>
      <c r="N19" t="s">
        <v>204</v>
      </c>
      <c r="O19" t="str">
        <f t="shared" si="4"/>
        <v>06142407500017</v>
      </c>
      <c r="P19" t="s">
        <v>205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465</v>
      </c>
      <c r="AA19" s="38" t="s">
        <v>1</v>
      </c>
      <c r="AB19" t="s">
        <v>465</v>
      </c>
      <c r="AC19">
        <v>0</v>
      </c>
    </row>
    <row r="20" spans="1:29" hidden="1" x14ac:dyDescent="0.25">
      <c r="A20" t="s">
        <v>601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909</v>
      </c>
      <c r="G20" t="s">
        <v>440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34" t="s">
        <v>690</v>
      </c>
      <c r="L20" s="34" t="s">
        <v>465</v>
      </c>
      <c r="M20">
        <v>24993</v>
      </c>
      <c r="N20" t="s">
        <v>185</v>
      </c>
      <c r="O20" t="str">
        <f t="shared" si="4"/>
        <v>06142407750010</v>
      </c>
      <c r="P20" t="s">
        <v>186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465</v>
      </c>
      <c r="AA20" s="38" t="s">
        <v>1</v>
      </c>
      <c r="AB20" t="s">
        <v>465</v>
      </c>
      <c r="AC20">
        <v>0</v>
      </c>
    </row>
    <row r="21" spans="1:29" hidden="1" x14ac:dyDescent="0.25">
      <c r="A21" t="s">
        <v>601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925</v>
      </c>
      <c r="G21" t="s">
        <v>440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34" t="s">
        <v>690</v>
      </c>
      <c r="L21" s="34" t="s">
        <v>465</v>
      </c>
      <c r="M21">
        <v>1077183</v>
      </c>
      <c r="N21" t="s">
        <v>29</v>
      </c>
      <c r="O21" t="str">
        <f t="shared" si="4"/>
        <v>06141909001034</v>
      </c>
      <c r="P21" t="s">
        <v>233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465</v>
      </c>
      <c r="AA21" s="38" t="s">
        <v>1</v>
      </c>
      <c r="AB21" t="s">
        <v>465</v>
      </c>
      <c r="AC21">
        <v>0</v>
      </c>
    </row>
    <row r="22" spans="1:29" hidden="1" x14ac:dyDescent="0.25">
      <c r="A22" t="s">
        <v>601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910</v>
      </c>
      <c r="G22" t="s">
        <v>440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34" t="s">
        <v>690</v>
      </c>
      <c r="L22" s="34" t="s">
        <v>465</v>
      </c>
      <c r="M22">
        <v>10613</v>
      </c>
      <c r="N22" t="s">
        <v>415</v>
      </c>
      <c r="O22" t="str">
        <f t="shared" si="4"/>
        <v>06142406031056</v>
      </c>
      <c r="P22" t="s">
        <v>416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465</v>
      </c>
      <c r="AA22" s="38" t="s">
        <v>1</v>
      </c>
      <c r="AB22" t="s">
        <v>465</v>
      </c>
      <c r="AC22">
        <v>0</v>
      </c>
    </row>
    <row r="23" spans="1:29" hidden="1" x14ac:dyDescent="0.25">
      <c r="A23" t="s">
        <v>601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910</v>
      </c>
      <c r="G23" t="s">
        <v>440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34" t="s">
        <v>690</v>
      </c>
      <c r="L23" s="34" t="s">
        <v>465</v>
      </c>
      <c r="M23">
        <v>1463322</v>
      </c>
      <c r="N23" t="s">
        <v>29</v>
      </c>
      <c r="O23" t="str">
        <f t="shared" si="4"/>
        <v>06141909001034</v>
      </c>
      <c r="P23" t="s">
        <v>233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465</v>
      </c>
      <c r="AA23" s="38" t="s">
        <v>1</v>
      </c>
      <c r="AB23" t="s">
        <v>514</v>
      </c>
      <c r="AC23">
        <v>109.45</v>
      </c>
    </row>
    <row r="24" spans="1:29" hidden="1" x14ac:dyDescent="0.25">
      <c r="A24" t="s">
        <v>601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910</v>
      </c>
      <c r="G24" t="s">
        <v>440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34" t="s">
        <v>690</v>
      </c>
      <c r="L24" s="34" t="s">
        <v>465</v>
      </c>
      <c r="M24">
        <v>19131</v>
      </c>
      <c r="N24" t="s">
        <v>83</v>
      </c>
      <c r="O24" t="str">
        <f t="shared" si="4"/>
        <v>12171207011015</v>
      </c>
      <c r="P24" t="s">
        <v>84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465</v>
      </c>
      <c r="AA24" s="38" t="s">
        <v>1</v>
      </c>
      <c r="AB24" t="s">
        <v>465</v>
      </c>
      <c r="AC24">
        <v>0</v>
      </c>
    </row>
    <row r="25" spans="1:29" hidden="1" x14ac:dyDescent="0.25">
      <c r="A25" t="s">
        <v>601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924</v>
      </c>
      <c r="G25" t="s">
        <v>440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34" t="s">
        <v>690</v>
      </c>
      <c r="L25" s="34" t="s">
        <v>465</v>
      </c>
      <c r="M25">
        <v>24692</v>
      </c>
      <c r="N25" t="s">
        <v>185</v>
      </c>
      <c r="O25" t="str">
        <f t="shared" si="4"/>
        <v>06142407750010</v>
      </c>
      <c r="P25" t="s">
        <v>186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465</v>
      </c>
      <c r="AA25" s="38" t="s">
        <v>1</v>
      </c>
      <c r="AB25" t="s">
        <v>465</v>
      </c>
      <c r="AC25">
        <v>0</v>
      </c>
    </row>
    <row r="26" spans="1:29" hidden="1" x14ac:dyDescent="0.25">
      <c r="A26" t="s">
        <v>601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924</v>
      </c>
      <c r="G26" t="s">
        <v>440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34" t="s">
        <v>690</v>
      </c>
      <c r="L26" s="34" t="s">
        <v>465</v>
      </c>
      <c r="M26">
        <v>50024</v>
      </c>
      <c r="N26" t="s">
        <v>327</v>
      </c>
      <c r="O26" t="str">
        <f t="shared" si="4"/>
        <v>06141612991019</v>
      </c>
      <c r="P26" t="s">
        <v>328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465</v>
      </c>
      <c r="AA26" s="38" t="s">
        <v>1</v>
      </c>
      <c r="AB26" t="s">
        <v>465</v>
      </c>
      <c r="AC26">
        <v>0</v>
      </c>
    </row>
    <row r="27" spans="1:29" hidden="1" x14ac:dyDescent="0.25">
      <c r="A27" t="s">
        <v>601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924</v>
      </c>
      <c r="G27" t="s">
        <v>440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34" t="s">
        <v>690</v>
      </c>
      <c r="L27" s="34" t="s">
        <v>465</v>
      </c>
      <c r="M27">
        <v>8301928</v>
      </c>
      <c r="N27" t="s">
        <v>244</v>
      </c>
      <c r="O27" t="str">
        <f t="shared" si="4"/>
        <v>06142604071063</v>
      </c>
      <c r="P27" t="s">
        <v>245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465</v>
      </c>
      <c r="AA27" s="38" t="s">
        <v>1</v>
      </c>
      <c r="AB27" t="s">
        <v>465</v>
      </c>
      <c r="AC27">
        <v>0</v>
      </c>
    </row>
    <row r="28" spans="1:29" hidden="1" x14ac:dyDescent="0.25">
      <c r="A28" t="s">
        <v>601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924</v>
      </c>
      <c r="G28" t="s">
        <v>440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34" t="s">
        <v>690</v>
      </c>
      <c r="L28" s="34" t="s">
        <v>465</v>
      </c>
      <c r="M28">
        <v>1462547</v>
      </c>
      <c r="N28" t="s">
        <v>29</v>
      </c>
      <c r="O28" t="str">
        <f t="shared" si="4"/>
        <v>06141909001034</v>
      </c>
      <c r="P28" t="s">
        <v>233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465</v>
      </c>
      <c r="AA28" s="38" t="s">
        <v>1</v>
      </c>
      <c r="AB28" t="s">
        <v>514</v>
      </c>
      <c r="AC28">
        <v>676.98</v>
      </c>
    </row>
    <row r="29" spans="1:29" hidden="1" x14ac:dyDescent="0.25">
      <c r="A29" t="s">
        <v>601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924</v>
      </c>
      <c r="G29" t="s">
        <v>440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34" t="s">
        <v>690</v>
      </c>
      <c r="L29" s="34" t="s">
        <v>465</v>
      </c>
      <c r="M29">
        <v>59503</v>
      </c>
      <c r="N29" t="s">
        <v>187</v>
      </c>
      <c r="O29" t="str">
        <f t="shared" si="4"/>
        <v>07151508430012</v>
      </c>
      <c r="P29" t="s">
        <v>188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465</v>
      </c>
      <c r="AA29" s="38" t="s">
        <v>1</v>
      </c>
      <c r="AB29" t="s">
        <v>514</v>
      </c>
      <c r="AC29">
        <v>1056.1199999999999</v>
      </c>
    </row>
    <row r="30" spans="1:29" hidden="1" x14ac:dyDescent="0.25">
      <c r="A30" t="s">
        <v>601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920</v>
      </c>
      <c r="G30" t="s">
        <v>440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34" t="s">
        <v>690</v>
      </c>
      <c r="L30" s="34" t="s">
        <v>465</v>
      </c>
      <c r="M30">
        <v>2482</v>
      </c>
      <c r="N30" t="s">
        <v>932</v>
      </c>
      <c r="O30" t="str">
        <f t="shared" si="4"/>
        <v>06141802881201</v>
      </c>
      <c r="P30" t="s">
        <v>933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465</v>
      </c>
      <c r="AA30" s="38" t="s">
        <v>1</v>
      </c>
      <c r="AB30" t="s">
        <v>465</v>
      </c>
      <c r="AC30">
        <v>0</v>
      </c>
    </row>
    <row r="31" spans="1:29" hidden="1" x14ac:dyDescent="0.25">
      <c r="A31" t="s">
        <v>601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920</v>
      </c>
      <c r="G31" t="s">
        <v>440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34" t="s">
        <v>690</v>
      </c>
      <c r="L31" s="34" t="s">
        <v>465</v>
      </c>
      <c r="M31">
        <v>942134</v>
      </c>
      <c r="N31" t="s">
        <v>204</v>
      </c>
      <c r="O31" t="str">
        <f t="shared" si="4"/>
        <v>06142407500017</v>
      </c>
      <c r="P31" t="s">
        <v>205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465</v>
      </c>
      <c r="AA31" s="38" t="s">
        <v>1</v>
      </c>
      <c r="AB31" t="s">
        <v>465</v>
      </c>
      <c r="AC31">
        <v>0</v>
      </c>
    </row>
    <row r="32" spans="1:29" hidden="1" x14ac:dyDescent="0.25">
      <c r="A32" t="s">
        <v>601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912</v>
      </c>
      <c r="G32" t="s">
        <v>440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34" t="s">
        <v>690</v>
      </c>
      <c r="L32" s="34" t="s">
        <v>465</v>
      </c>
      <c r="M32">
        <v>10512</v>
      </c>
      <c r="N32" t="s">
        <v>415</v>
      </c>
      <c r="O32" t="str">
        <f t="shared" si="4"/>
        <v>06142406031056</v>
      </c>
      <c r="P32" t="s">
        <v>416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465</v>
      </c>
      <c r="AA32" s="38" t="s">
        <v>1</v>
      </c>
      <c r="AB32" t="s">
        <v>465</v>
      </c>
      <c r="AC32">
        <v>0</v>
      </c>
    </row>
    <row r="33" spans="1:29" hidden="1" x14ac:dyDescent="0.25">
      <c r="A33" t="s">
        <v>601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912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34" t="s">
        <v>690</v>
      </c>
      <c r="L33" s="34" t="s">
        <v>465</v>
      </c>
      <c r="M33">
        <v>15378</v>
      </c>
      <c r="N33" t="s">
        <v>214</v>
      </c>
      <c r="O33" t="str">
        <f t="shared" si="4"/>
        <v>06142501101070</v>
      </c>
      <c r="P33" t="s">
        <v>215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465</v>
      </c>
      <c r="AA33" s="38" t="s">
        <v>1</v>
      </c>
      <c r="AB33" t="s">
        <v>465</v>
      </c>
      <c r="AC33">
        <v>0</v>
      </c>
    </row>
    <row r="34" spans="1:29" hidden="1" x14ac:dyDescent="0.25">
      <c r="A34" t="s">
        <v>601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912</v>
      </c>
      <c r="G34" t="s">
        <v>440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34" t="s">
        <v>690</v>
      </c>
      <c r="L34" s="34" t="s">
        <v>465</v>
      </c>
      <c r="M34">
        <v>10529</v>
      </c>
      <c r="N34" t="s">
        <v>415</v>
      </c>
      <c r="O34" t="str">
        <f t="shared" si="4"/>
        <v>06142406031056</v>
      </c>
      <c r="P34" t="s">
        <v>416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465</v>
      </c>
      <c r="AA34" s="38" t="s">
        <v>1</v>
      </c>
      <c r="AB34" t="s">
        <v>465</v>
      </c>
      <c r="AC34">
        <v>0</v>
      </c>
    </row>
    <row r="35" spans="1:29" hidden="1" x14ac:dyDescent="0.25">
      <c r="A35" t="s">
        <v>601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923</v>
      </c>
      <c r="G35" t="s">
        <v>440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34" t="s">
        <v>690</v>
      </c>
      <c r="L35" s="34" t="s">
        <v>465</v>
      </c>
      <c r="M35">
        <v>4372</v>
      </c>
      <c r="N35" t="s">
        <v>427</v>
      </c>
      <c r="O35" t="str">
        <f t="shared" si="4"/>
        <v>06140404081061</v>
      </c>
      <c r="P35" t="s">
        <v>428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465</v>
      </c>
      <c r="AA35" s="38" t="s">
        <v>1</v>
      </c>
      <c r="AB35" t="s">
        <v>514</v>
      </c>
      <c r="AC35">
        <v>6.24</v>
      </c>
    </row>
    <row r="36" spans="1:29" hidden="1" x14ac:dyDescent="0.25">
      <c r="A36" t="s">
        <v>601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923</v>
      </c>
      <c r="G36" t="s">
        <v>440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34" t="s">
        <v>690</v>
      </c>
      <c r="L36" s="34" t="s">
        <v>465</v>
      </c>
      <c r="M36">
        <v>188622</v>
      </c>
      <c r="N36" t="s">
        <v>210</v>
      </c>
      <c r="O36" t="str">
        <f t="shared" si="4"/>
        <v>06141403161033</v>
      </c>
      <c r="P36" t="s">
        <v>211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465</v>
      </c>
      <c r="AA36" s="38" t="s">
        <v>1</v>
      </c>
      <c r="AB36" t="s">
        <v>514</v>
      </c>
      <c r="AC36">
        <v>67.45</v>
      </c>
    </row>
    <row r="37" spans="1:29" hidden="1" x14ac:dyDescent="0.25">
      <c r="A37" t="s">
        <v>601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913</v>
      </c>
      <c r="G37" t="s">
        <v>440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34" t="s">
        <v>690</v>
      </c>
      <c r="L37" s="34" t="s">
        <v>465</v>
      </c>
      <c r="M37">
        <v>261</v>
      </c>
      <c r="N37" t="s">
        <v>276</v>
      </c>
      <c r="O37" t="str">
        <f t="shared" si="4"/>
        <v>06143009921068</v>
      </c>
      <c r="P37" t="s">
        <v>277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465</v>
      </c>
      <c r="AA37" s="38" t="s">
        <v>1</v>
      </c>
      <c r="AB37" t="s">
        <v>465</v>
      </c>
      <c r="AC37">
        <v>0</v>
      </c>
    </row>
    <row r="38" spans="1:29" x14ac:dyDescent="0.25">
      <c r="A38" t="s">
        <v>601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914</v>
      </c>
      <c r="G38" t="s">
        <v>0</v>
      </c>
      <c r="H38" t="s">
        <v>517</v>
      </c>
      <c r="I38" t="str">
        <f t="shared" si="2"/>
        <v>Factura</v>
      </c>
      <c r="J38" t="str">
        <f t="shared" si="3"/>
        <v>Otros</v>
      </c>
      <c r="K38" s="34" t="s">
        <v>690</v>
      </c>
      <c r="L38" s="34" t="s">
        <v>465</v>
      </c>
      <c r="M38">
        <v>13418077</v>
      </c>
      <c r="N38" t="s">
        <v>937</v>
      </c>
      <c r="O38" t="str">
        <f t="shared" si="4"/>
        <v>202203454523</v>
      </c>
      <c r="P38" t="s">
        <v>476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465</v>
      </c>
      <c r="AA38" s="38" t="s">
        <v>1</v>
      </c>
      <c r="AB38" t="s">
        <v>465</v>
      </c>
      <c r="AC38">
        <v>0</v>
      </c>
    </row>
    <row r="39" spans="1:29" hidden="1" x14ac:dyDescent="0.25">
      <c r="A39" t="s">
        <v>601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914</v>
      </c>
      <c r="G39" t="s">
        <v>440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34" t="s">
        <v>690</v>
      </c>
      <c r="L39" s="34" t="s">
        <v>465</v>
      </c>
      <c r="M39">
        <v>36233</v>
      </c>
      <c r="N39" t="s">
        <v>654</v>
      </c>
      <c r="O39" t="str">
        <f t="shared" si="4"/>
        <v>95012110211015</v>
      </c>
      <c r="P39" t="s">
        <v>655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465</v>
      </c>
      <c r="AA39" s="38" t="s">
        <v>1</v>
      </c>
      <c r="AB39" t="s">
        <v>465</v>
      </c>
      <c r="AC39">
        <v>0</v>
      </c>
    </row>
    <row r="40" spans="1:29" hidden="1" x14ac:dyDescent="0.25">
      <c r="A40" t="s">
        <v>601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914</v>
      </c>
      <c r="G40" t="s">
        <v>440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34" t="s">
        <v>690</v>
      </c>
      <c r="L40" s="34" t="s">
        <v>465</v>
      </c>
      <c r="M40">
        <v>18564</v>
      </c>
      <c r="N40" t="s">
        <v>190</v>
      </c>
      <c r="O40" t="str">
        <f t="shared" si="4"/>
        <v>06142406870019</v>
      </c>
      <c r="P40" t="s">
        <v>191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465</v>
      </c>
      <c r="AA40" s="38" t="s">
        <v>1</v>
      </c>
      <c r="AB40" t="s">
        <v>465</v>
      </c>
      <c r="AC40">
        <v>0</v>
      </c>
    </row>
    <row r="41" spans="1:29" hidden="1" x14ac:dyDescent="0.25">
      <c r="A41" t="s">
        <v>601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914</v>
      </c>
      <c r="G41" t="s">
        <v>440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34" t="s">
        <v>690</v>
      </c>
      <c r="L41" s="34" t="s">
        <v>465</v>
      </c>
      <c r="M41">
        <v>18565</v>
      </c>
      <c r="N41" t="s">
        <v>190</v>
      </c>
      <c r="O41" t="str">
        <f t="shared" si="4"/>
        <v>06142406870019</v>
      </c>
      <c r="P41" t="s">
        <v>191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465</v>
      </c>
      <c r="AA41" s="38" t="s">
        <v>1</v>
      </c>
      <c r="AB41" t="s">
        <v>465</v>
      </c>
      <c r="AC41">
        <v>0</v>
      </c>
    </row>
    <row r="42" spans="1:29" hidden="1" x14ac:dyDescent="0.25">
      <c r="A42" t="s">
        <v>601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914</v>
      </c>
      <c r="G42" t="s">
        <v>440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34" t="s">
        <v>690</v>
      </c>
      <c r="L42" s="34" t="s">
        <v>465</v>
      </c>
      <c r="M42">
        <v>16553</v>
      </c>
      <c r="N42" t="s">
        <v>401</v>
      </c>
      <c r="O42" t="str">
        <f t="shared" si="4"/>
        <v>06170103310012</v>
      </c>
      <c r="P42" t="s">
        <v>402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465</v>
      </c>
      <c r="AA42" s="38" t="s">
        <v>1</v>
      </c>
      <c r="AB42" t="s">
        <v>514</v>
      </c>
      <c r="AC42">
        <v>4</v>
      </c>
    </row>
    <row r="43" spans="1:29" hidden="1" x14ac:dyDescent="0.25">
      <c r="A43" t="s">
        <v>601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914</v>
      </c>
      <c r="G43" t="s">
        <v>440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34" t="s">
        <v>690</v>
      </c>
      <c r="L43" s="34" t="s">
        <v>465</v>
      </c>
      <c r="M43">
        <v>258</v>
      </c>
      <c r="N43" t="s">
        <v>652</v>
      </c>
      <c r="O43" t="str">
        <f t="shared" si="4"/>
        <v>06141402221059</v>
      </c>
      <c r="P43" t="s">
        <v>653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465</v>
      </c>
      <c r="AA43" s="38" t="s">
        <v>1</v>
      </c>
      <c r="AB43" t="s">
        <v>465</v>
      </c>
      <c r="AC43">
        <v>0</v>
      </c>
    </row>
    <row r="44" spans="1:29" hidden="1" x14ac:dyDescent="0.25">
      <c r="A44" t="s">
        <v>601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914</v>
      </c>
      <c r="G44" t="s">
        <v>440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34" t="s">
        <v>690</v>
      </c>
      <c r="L44" s="34" t="s">
        <v>465</v>
      </c>
      <c r="M44">
        <v>115527</v>
      </c>
      <c r="N44" t="s">
        <v>339</v>
      </c>
      <c r="O44" t="str">
        <f t="shared" si="4"/>
        <v>06142305771172</v>
      </c>
      <c r="P44" t="s">
        <v>340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465</v>
      </c>
      <c r="AA44" s="38" t="s">
        <v>1</v>
      </c>
      <c r="AB44" t="s">
        <v>465</v>
      </c>
      <c r="AC44">
        <v>0</v>
      </c>
    </row>
    <row r="45" spans="1:29" hidden="1" x14ac:dyDescent="0.25">
      <c r="A45" t="s">
        <v>601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936</v>
      </c>
      <c r="G45" t="s">
        <v>440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34" t="s">
        <v>690</v>
      </c>
      <c r="L45" s="34" t="s">
        <v>465</v>
      </c>
      <c r="M45">
        <v>15458</v>
      </c>
      <c r="N45" t="s">
        <v>270</v>
      </c>
      <c r="O45" t="str">
        <f t="shared" si="4"/>
        <v>06140307951051</v>
      </c>
      <c r="P45" t="s">
        <v>271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465</v>
      </c>
      <c r="AA45" s="38" t="s">
        <v>1</v>
      </c>
      <c r="AB45" t="s">
        <v>465</v>
      </c>
      <c r="AC45">
        <v>0</v>
      </c>
    </row>
    <row r="46" spans="1:29" hidden="1" x14ac:dyDescent="0.25">
      <c r="A46" t="s">
        <v>601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935</v>
      </c>
      <c r="G46" t="s">
        <v>440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34" t="s">
        <v>690</v>
      </c>
      <c r="L46" s="34" t="s">
        <v>465</v>
      </c>
      <c r="M46">
        <v>18116</v>
      </c>
      <c r="N46" t="s">
        <v>190</v>
      </c>
      <c r="O46" t="str">
        <f t="shared" si="4"/>
        <v>06142406870019</v>
      </c>
      <c r="P46" t="s">
        <v>191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465</v>
      </c>
      <c r="AA46" s="38" t="s">
        <v>1</v>
      </c>
      <c r="AB46" t="s">
        <v>465</v>
      </c>
      <c r="AC46">
        <v>0</v>
      </c>
    </row>
    <row r="47" spans="1:29" hidden="1" x14ac:dyDescent="0.25">
      <c r="A47" t="s">
        <v>601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935</v>
      </c>
      <c r="G47" t="s">
        <v>440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34" t="s">
        <v>690</v>
      </c>
      <c r="L47" s="34" t="s">
        <v>465</v>
      </c>
      <c r="M47">
        <v>18115</v>
      </c>
      <c r="N47" t="s">
        <v>190</v>
      </c>
      <c r="O47" t="str">
        <f t="shared" si="4"/>
        <v>06142406870019</v>
      </c>
      <c r="P47" t="s">
        <v>191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465</v>
      </c>
      <c r="AA47" s="38" t="s">
        <v>1</v>
      </c>
      <c r="AB47" t="s">
        <v>465</v>
      </c>
      <c r="AC47">
        <v>0</v>
      </c>
    </row>
    <row r="48" spans="1:29" x14ac:dyDescent="0.25">
      <c r="A48" t="s">
        <v>601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922</v>
      </c>
      <c r="G48" t="s">
        <v>0</v>
      </c>
      <c r="H48" t="s">
        <v>517</v>
      </c>
      <c r="I48" t="str">
        <f t="shared" si="2"/>
        <v>Factura</v>
      </c>
      <c r="J48" t="str">
        <f t="shared" si="3"/>
        <v>Otros</v>
      </c>
      <c r="K48" s="34" t="s">
        <v>690</v>
      </c>
      <c r="L48" s="34" t="s">
        <v>465</v>
      </c>
      <c r="M48">
        <v>11010474</v>
      </c>
      <c r="N48" t="s">
        <v>934</v>
      </c>
      <c r="O48" t="str">
        <f t="shared" si="4"/>
        <v>202203454209</v>
      </c>
      <c r="P48" t="s">
        <v>476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465</v>
      </c>
      <c r="AA48" s="38" t="s">
        <v>1</v>
      </c>
      <c r="AB48" t="s">
        <v>518</v>
      </c>
      <c r="AC48">
        <v>7.67</v>
      </c>
    </row>
    <row r="49" spans="1:29" hidden="1" x14ac:dyDescent="0.25">
      <c r="A49" t="s">
        <v>601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922</v>
      </c>
      <c r="G49" t="s">
        <v>440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34" t="s">
        <v>690</v>
      </c>
      <c r="L49" s="34" t="s">
        <v>465</v>
      </c>
      <c r="M49">
        <v>24268</v>
      </c>
      <c r="N49" t="s">
        <v>185</v>
      </c>
      <c r="O49" t="str">
        <f t="shared" si="4"/>
        <v>06142407750010</v>
      </c>
      <c r="P49" t="s">
        <v>186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465</v>
      </c>
      <c r="AA49" s="38" t="s">
        <v>1</v>
      </c>
      <c r="AB49" t="s">
        <v>465</v>
      </c>
      <c r="AC49">
        <v>0</v>
      </c>
    </row>
    <row r="50" spans="1:29" hidden="1" x14ac:dyDescent="0.25">
      <c r="A50" t="s">
        <v>601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922</v>
      </c>
      <c r="G50" t="s">
        <v>440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34" t="s">
        <v>690</v>
      </c>
      <c r="L50" s="34" t="s">
        <v>465</v>
      </c>
      <c r="M50">
        <v>1408</v>
      </c>
      <c r="N50" t="s">
        <v>824</v>
      </c>
      <c r="O50" t="str">
        <f t="shared" si="4"/>
        <v>11081010721018</v>
      </c>
      <c r="P50" t="s">
        <v>825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465</v>
      </c>
      <c r="AA50" s="38" t="s">
        <v>1</v>
      </c>
      <c r="AB50" t="s">
        <v>465</v>
      </c>
      <c r="AC50">
        <v>0</v>
      </c>
    </row>
    <row r="51" spans="1:29" hidden="1" x14ac:dyDescent="0.25">
      <c r="A51" t="s">
        <v>601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921</v>
      </c>
      <c r="G51" t="s">
        <v>440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34" t="s">
        <v>690</v>
      </c>
      <c r="L51" s="34" t="s">
        <v>465</v>
      </c>
      <c r="M51">
        <v>27581</v>
      </c>
      <c r="N51" t="s">
        <v>391</v>
      </c>
      <c r="O51" t="str">
        <f t="shared" si="4"/>
        <v>08210507660026</v>
      </c>
      <c r="P51" t="s">
        <v>392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465</v>
      </c>
      <c r="AA51" s="38" t="s">
        <v>1</v>
      </c>
      <c r="AB51" t="s">
        <v>465</v>
      </c>
      <c r="AC51">
        <v>0</v>
      </c>
    </row>
    <row r="52" spans="1:29" hidden="1" x14ac:dyDescent="0.25">
      <c r="A52" t="s">
        <v>601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921</v>
      </c>
      <c r="G52" t="s">
        <v>440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34" t="s">
        <v>690</v>
      </c>
      <c r="L52" s="34" t="s">
        <v>465</v>
      </c>
      <c r="M52">
        <v>1409</v>
      </c>
      <c r="N52" t="s">
        <v>824</v>
      </c>
      <c r="O52" t="str">
        <f t="shared" si="4"/>
        <v>11081010721018</v>
      </c>
      <c r="P52" t="s">
        <v>825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465</v>
      </c>
      <c r="AA52" s="38" t="s">
        <v>1</v>
      </c>
      <c r="AB52" t="s">
        <v>514</v>
      </c>
      <c r="AC52">
        <v>724.69</v>
      </c>
    </row>
    <row r="53" spans="1:29" hidden="1" x14ac:dyDescent="0.25">
      <c r="A53" t="s">
        <v>601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921</v>
      </c>
      <c r="G53" t="s">
        <v>440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34" t="s">
        <v>690</v>
      </c>
      <c r="L53" s="34" t="s">
        <v>465</v>
      </c>
      <c r="M53">
        <v>44</v>
      </c>
      <c r="N53" t="s">
        <v>301</v>
      </c>
      <c r="O53" t="str">
        <f t="shared" si="4"/>
        <v>06142806901106</v>
      </c>
      <c r="P53" t="s">
        <v>302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465</v>
      </c>
      <c r="AA53" s="38" t="s">
        <v>1</v>
      </c>
      <c r="AB53" t="s">
        <v>514</v>
      </c>
      <c r="AC53">
        <v>819.2</v>
      </c>
    </row>
    <row r="54" spans="1:29" hidden="1" x14ac:dyDescent="0.25">
      <c r="A54" t="s">
        <v>601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894</v>
      </c>
      <c r="G54" t="s">
        <v>440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34" t="s">
        <v>690</v>
      </c>
      <c r="L54" s="34" t="s">
        <v>465</v>
      </c>
      <c r="M54">
        <v>24704</v>
      </c>
      <c r="N54" t="s">
        <v>179</v>
      </c>
      <c r="O54" t="str">
        <f t="shared" si="4"/>
        <v>06142302931020</v>
      </c>
      <c r="P54" t="s">
        <v>180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465</v>
      </c>
      <c r="AA54" s="38" t="s">
        <v>1</v>
      </c>
      <c r="AB54" t="s">
        <v>514</v>
      </c>
      <c r="AC54">
        <v>89.84</v>
      </c>
    </row>
    <row r="55" spans="1:29" hidden="1" x14ac:dyDescent="0.25">
      <c r="A55" t="s">
        <v>601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894</v>
      </c>
      <c r="G55" t="s">
        <v>440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34" t="s">
        <v>690</v>
      </c>
      <c r="L55" s="34" t="s">
        <v>465</v>
      </c>
      <c r="M55">
        <v>3933558</v>
      </c>
      <c r="N55" t="s">
        <v>274</v>
      </c>
      <c r="O55" t="str">
        <f t="shared" si="4"/>
        <v>06142610981012</v>
      </c>
      <c r="P55" t="s">
        <v>275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465</v>
      </c>
      <c r="AA55" s="38" t="s">
        <v>1</v>
      </c>
      <c r="AB55" t="s">
        <v>514</v>
      </c>
      <c r="AC55">
        <v>12.24</v>
      </c>
    </row>
    <row r="56" spans="1:29" hidden="1" x14ac:dyDescent="0.25">
      <c r="A56" t="s">
        <v>601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894</v>
      </c>
      <c r="G56" t="s">
        <v>440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34" t="s">
        <v>690</v>
      </c>
      <c r="L56" s="34" t="s">
        <v>465</v>
      </c>
      <c r="M56">
        <v>1062530</v>
      </c>
      <c r="N56" t="s">
        <v>29</v>
      </c>
      <c r="O56" t="str">
        <f t="shared" si="4"/>
        <v>06141909001034</v>
      </c>
      <c r="P56" t="s">
        <v>233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465</v>
      </c>
      <c r="AA56" s="38" t="s">
        <v>1</v>
      </c>
      <c r="AB56" t="s">
        <v>465</v>
      </c>
      <c r="AC56">
        <v>0</v>
      </c>
    </row>
    <row r="57" spans="1:29" hidden="1" x14ac:dyDescent="0.25">
      <c r="A57" t="s">
        <v>601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894</v>
      </c>
      <c r="G57" t="s">
        <v>440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34" t="s">
        <v>690</v>
      </c>
      <c r="L57" s="34" t="s">
        <v>465</v>
      </c>
      <c r="M57">
        <v>275302</v>
      </c>
      <c r="N57" t="s">
        <v>173</v>
      </c>
      <c r="O57" t="str">
        <f t="shared" si="4"/>
        <v>14070503650018</v>
      </c>
      <c r="P57" t="s">
        <v>174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465</v>
      </c>
      <c r="AA57" s="38" t="s">
        <v>1</v>
      </c>
      <c r="AB57" t="s">
        <v>465</v>
      </c>
      <c r="AC57">
        <v>0</v>
      </c>
    </row>
    <row r="58" spans="1:29" hidden="1" x14ac:dyDescent="0.25">
      <c r="A58" t="s">
        <v>601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894</v>
      </c>
      <c r="G58" t="s">
        <v>440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34" t="s">
        <v>690</v>
      </c>
      <c r="L58" s="34" t="s">
        <v>465</v>
      </c>
      <c r="M58">
        <v>14531</v>
      </c>
      <c r="N58" t="s">
        <v>214</v>
      </c>
      <c r="O58" t="str">
        <f t="shared" si="4"/>
        <v>06142501101070</v>
      </c>
      <c r="P58" t="s">
        <v>215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465</v>
      </c>
      <c r="AA58" s="38" t="s">
        <v>1</v>
      </c>
      <c r="AB58" t="s">
        <v>465</v>
      </c>
      <c r="AC58">
        <v>0</v>
      </c>
    </row>
    <row r="59" spans="1:29" hidden="1" x14ac:dyDescent="0.25">
      <c r="A59" t="s">
        <v>601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871</v>
      </c>
      <c r="G59" t="s">
        <v>440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34" t="s">
        <v>690</v>
      </c>
      <c r="L59" s="34" t="s">
        <v>465</v>
      </c>
      <c r="M59">
        <v>2338</v>
      </c>
      <c r="N59" t="s">
        <v>932</v>
      </c>
      <c r="O59" t="str">
        <f t="shared" si="4"/>
        <v>06141802881201</v>
      </c>
      <c r="P59" t="s">
        <v>933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465</v>
      </c>
      <c r="AA59" s="38" t="s">
        <v>1</v>
      </c>
      <c r="AB59" t="s">
        <v>465</v>
      </c>
      <c r="AC59">
        <v>0</v>
      </c>
    </row>
    <row r="60" spans="1:29" hidden="1" x14ac:dyDescent="0.25">
      <c r="A60" t="s">
        <v>601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872</v>
      </c>
      <c r="G60" t="s">
        <v>440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34" t="s">
        <v>690</v>
      </c>
      <c r="L60" s="34" t="s">
        <v>465</v>
      </c>
      <c r="M60">
        <v>147</v>
      </c>
      <c r="N60" t="s">
        <v>286</v>
      </c>
      <c r="O60" t="str">
        <f t="shared" si="4"/>
        <v>12170701191011</v>
      </c>
      <c r="P60" t="s">
        <v>287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465</v>
      </c>
      <c r="AA60" s="38" t="s">
        <v>1</v>
      </c>
      <c r="AB60" t="s">
        <v>465</v>
      </c>
      <c r="AC60">
        <v>0</v>
      </c>
    </row>
    <row r="61" spans="1:29" hidden="1" x14ac:dyDescent="0.25">
      <c r="A61" t="s">
        <v>601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872</v>
      </c>
      <c r="G61" t="s">
        <v>440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34" t="s">
        <v>690</v>
      </c>
      <c r="L61" s="34" t="s">
        <v>465</v>
      </c>
      <c r="M61">
        <v>49118</v>
      </c>
      <c r="N61" t="s">
        <v>251</v>
      </c>
      <c r="O61" t="str">
        <f t="shared" si="4"/>
        <v>05111703630014</v>
      </c>
      <c r="P61" t="s">
        <v>252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465</v>
      </c>
      <c r="AA61" s="38" t="s">
        <v>1</v>
      </c>
      <c r="AB61" t="s">
        <v>465</v>
      </c>
      <c r="AC61">
        <v>0</v>
      </c>
    </row>
    <row r="62" spans="1:29" hidden="1" x14ac:dyDescent="0.25">
      <c r="A62" t="s">
        <v>601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931</v>
      </c>
      <c r="G62" t="s">
        <v>440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34" t="s">
        <v>690</v>
      </c>
      <c r="L62" s="34" t="s">
        <v>465</v>
      </c>
      <c r="M62">
        <v>8661</v>
      </c>
      <c r="N62" t="s">
        <v>387</v>
      </c>
      <c r="O62" t="str">
        <f t="shared" si="4"/>
        <v>02102701001014</v>
      </c>
      <c r="P62" t="s">
        <v>388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465</v>
      </c>
      <c r="AA62" s="38" t="s">
        <v>1</v>
      </c>
      <c r="AB62" t="s">
        <v>465</v>
      </c>
      <c r="AC62">
        <v>0</v>
      </c>
    </row>
    <row r="63" spans="1:29" hidden="1" x14ac:dyDescent="0.25">
      <c r="A63" t="s">
        <v>601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891</v>
      </c>
      <c r="G63" t="s">
        <v>440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34" t="s">
        <v>690</v>
      </c>
      <c r="L63" s="34" t="s">
        <v>465</v>
      </c>
      <c r="M63">
        <v>2347</v>
      </c>
      <c r="N63" t="s">
        <v>91</v>
      </c>
      <c r="O63" t="str">
        <f t="shared" si="4"/>
        <v>06141504911068</v>
      </c>
      <c r="P63" t="s">
        <v>92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465</v>
      </c>
      <c r="AA63" s="38" t="s">
        <v>1</v>
      </c>
      <c r="AB63" t="s">
        <v>465</v>
      </c>
      <c r="AC63">
        <v>0</v>
      </c>
    </row>
    <row r="64" spans="1:29" hidden="1" x14ac:dyDescent="0.25">
      <c r="A64" t="s">
        <v>601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873</v>
      </c>
      <c r="G64" t="s">
        <v>440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34" t="s">
        <v>690</v>
      </c>
      <c r="L64" s="34" t="s">
        <v>465</v>
      </c>
      <c r="M64">
        <v>2713892</v>
      </c>
      <c r="N64" t="s">
        <v>29</v>
      </c>
      <c r="O64" t="str">
        <f t="shared" si="4"/>
        <v>06141909001034</v>
      </c>
      <c r="P64" t="s">
        <v>233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465</v>
      </c>
      <c r="AA64" s="38" t="s">
        <v>1</v>
      </c>
      <c r="AB64" t="s">
        <v>514</v>
      </c>
      <c r="AC64">
        <v>76.05</v>
      </c>
    </row>
    <row r="65" spans="1:29" hidden="1" x14ac:dyDescent="0.25">
      <c r="A65" t="s">
        <v>601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890</v>
      </c>
      <c r="G65" t="s">
        <v>440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34" t="s">
        <v>690</v>
      </c>
      <c r="L65" s="34" t="s">
        <v>465</v>
      </c>
      <c r="M65">
        <v>60594</v>
      </c>
      <c r="N65" t="s">
        <v>337</v>
      </c>
      <c r="O65" t="str">
        <f t="shared" si="4"/>
        <v>06142003971040</v>
      </c>
      <c r="P65" t="s">
        <v>338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465</v>
      </c>
      <c r="AA65" s="38" t="s">
        <v>1</v>
      </c>
      <c r="AB65" t="s">
        <v>465</v>
      </c>
      <c r="AC65">
        <v>0</v>
      </c>
    </row>
    <row r="66" spans="1:29" hidden="1" x14ac:dyDescent="0.25">
      <c r="A66" t="s">
        <v>601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879</v>
      </c>
      <c r="G66" t="s">
        <v>440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34" t="s">
        <v>690</v>
      </c>
      <c r="L66" s="34" t="s">
        <v>465</v>
      </c>
      <c r="M66">
        <v>143</v>
      </c>
      <c r="N66" t="s">
        <v>286</v>
      </c>
      <c r="O66" t="str">
        <f t="shared" si="4"/>
        <v>12170701191011</v>
      </c>
      <c r="P66" t="s">
        <v>287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465</v>
      </c>
      <c r="AA66" s="38" t="s">
        <v>1</v>
      </c>
      <c r="AB66" t="s">
        <v>465</v>
      </c>
      <c r="AC66">
        <v>0</v>
      </c>
    </row>
    <row r="67" spans="1:29" hidden="1" x14ac:dyDescent="0.25">
      <c r="A67" t="s">
        <v>601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879</v>
      </c>
      <c r="G67" t="s">
        <v>440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34" t="s">
        <v>690</v>
      </c>
      <c r="L67" s="34" t="s">
        <v>465</v>
      </c>
      <c r="M67">
        <v>142</v>
      </c>
      <c r="N67" t="s">
        <v>286</v>
      </c>
      <c r="O67" t="str">
        <f t="shared" ref="O67:O130" si="9">IF(N67="",Z67,N67)</f>
        <v>12170701191011</v>
      </c>
      <c r="P67" t="s">
        <v>287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465</v>
      </c>
      <c r="AA67" s="38" t="s">
        <v>1</v>
      </c>
      <c r="AB67" t="s">
        <v>465</v>
      </c>
      <c r="AC67">
        <v>0</v>
      </c>
    </row>
    <row r="68" spans="1:29" hidden="1" x14ac:dyDescent="0.25">
      <c r="A68" t="s">
        <v>601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819</v>
      </c>
      <c r="G68" t="s">
        <v>440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34" t="s">
        <v>690</v>
      </c>
      <c r="L68" s="34" t="s">
        <v>465</v>
      </c>
      <c r="M68">
        <v>196</v>
      </c>
      <c r="N68" t="s">
        <v>721</v>
      </c>
      <c r="O68" t="str">
        <f t="shared" si="9"/>
        <v>06142002931037</v>
      </c>
      <c r="P68" t="s">
        <v>722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465</v>
      </c>
      <c r="AA68" s="38" t="s">
        <v>1</v>
      </c>
      <c r="AB68" t="s">
        <v>465</v>
      </c>
      <c r="AC68">
        <v>0</v>
      </c>
    </row>
    <row r="69" spans="1:29" hidden="1" x14ac:dyDescent="0.25">
      <c r="A69" t="s">
        <v>601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799</v>
      </c>
      <c r="G69" t="s">
        <v>440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34" t="s">
        <v>690</v>
      </c>
      <c r="L69" s="34" t="s">
        <v>465</v>
      </c>
      <c r="M69">
        <v>3669756</v>
      </c>
      <c r="N69" t="s">
        <v>167</v>
      </c>
      <c r="O69" t="str">
        <f t="shared" si="9"/>
        <v>06140108580017</v>
      </c>
      <c r="P69" t="s">
        <v>168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465</v>
      </c>
      <c r="AA69" s="38" t="s">
        <v>1</v>
      </c>
      <c r="AB69" t="s">
        <v>465</v>
      </c>
      <c r="AC69">
        <v>0</v>
      </c>
    </row>
    <row r="70" spans="1:29" hidden="1" x14ac:dyDescent="0.25">
      <c r="A70" t="s">
        <v>601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822</v>
      </c>
      <c r="G70" t="s">
        <v>440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34" t="s">
        <v>690</v>
      </c>
      <c r="L70" s="34" t="s">
        <v>465</v>
      </c>
      <c r="M70">
        <v>193</v>
      </c>
      <c r="N70" t="s">
        <v>721</v>
      </c>
      <c r="O70" t="str">
        <f t="shared" si="9"/>
        <v>06142002931037</v>
      </c>
      <c r="P70" t="s">
        <v>722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465</v>
      </c>
      <c r="AA70" s="38" t="s">
        <v>1</v>
      </c>
      <c r="AB70" t="s">
        <v>465</v>
      </c>
      <c r="AC70">
        <v>0</v>
      </c>
    </row>
    <row r="71" spans="1:29" hidden="1" x14ac:dyDescent="0.25">
      <c r="A71" t="s">
        <v>601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769</v>
      </c>
      <c r="G71" t="s">
        <v>440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34" t="s">
        <v>690</v>
      </c>
      <c r="L71" s="34" t="s">
        <v>465</v>
      </c>
      <c r="M71">
        <v>9728</v>
      </c>
      <c r="N71" t="s">
        <v>317</v>
      </c>
      <c r="O71" t="str">
        <f t="shared" si="9"/>
        <v>06142704001062</v>
      </c>
      <c r="P71" t="s">
        <v>318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465</v>
      </c>
      <c r="AA71" s="38" t="s">
        <v>1</v>
      </c>
      <c r="AB71" t="s">
        <v>465</v>
      </c>
      <c r="AC71">
        <v>0</v>
      </c>
    </row>
    <row r="72" spans="1:29" hidden="1" x14ac:dyDescent="0.25">
      <c r="A72" t="s">
        <v>601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807</v>
      </c>
      <c r="G72" t="s">
        <v>440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34" t="s">
        <v>690</v>
      </c>
      <c r="L72" s="34" t="s">
        <v>465</v>
      </c>
      <c r="M72">
        <v>127</v>
      </c>
      <c r="N72" t="s">
        <v>286</v>
      </c>
      <c r="O72" t="str">
        <f t="shared" si="9"/>
        <v>12170701191011</v>
      </c>
      <c r="P72" t="s">
        <v>287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465</v>
      </c>
      <c r="AA72" s="38" t="s">
        <v>1</v>
      </c>
      <c r="AB72" t="s">
        <v>465</v>
      </c>
      <c r="AC72">
        <v>0</v>
      </c>
    </row>
    <row r="73" spans="1:29" hidden="1" x14ac:dyDescent="0.25">
      <c r="A73" t="s">
        <v>601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773</v>
      </c>
      <c r="G73" t="s">
        <v>440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34" t="s">
        <v>690</v>
      </c>
      <c r="L73" s="34" t="s">
        <v>465</v>
      </c>
      <c r="M73">
        <v>37375</v>
      </c>
      <c r="N73" t="s">
        <v>654</v>
      </c>
      <c r="O73" t="str">
        <f t="shared" si="9"/>
        <v>95012110211015</v>
      </c>
      <c r="P73" t="s">
        <v>655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465</v>
      </c>
      <c r="AA73" s="38" t="s">
        <v>1</v>
      </c>
      <c r="AB73" t="s">
        <v>519</v>
      </c>
      <c r="AC73">
        <v>4.21</v>
      </c>
    </row>
    <row r="74" spans="1:29" hidden="1" x14ac:dyDescent="0.25">
      <c r="A74" t="s">
        <v>601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929</v>
      </c>
      <c r="G74" t="s">
        <v>440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34" t="s">
        <v>690</v>
      </c>
      <c r="L74" s="34" t="s">
        <v>465</v>
      </c>
      <c r="M74">
        <v>2164400</v>
      </c>
      <c r="N74" t="s">
        <v>192</v>
      </c>
      <c r="O74" t="str">
        <f t="shared" si="9"/>
        <v>06142708101053</v>
      </c>
      <c r="P74" t="s">
        <v>193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465</v>
      </c>
      <c r="AA74" s="38" t="s">
        <v>1</v>
      </c>
      <c r="AB74" t="s">
        <v>465</v>
      </c>
      <c r="AC74">
        <v>0</v>
      </c>
    </row>
    <row r="75" spans="1:29" hidden="1" x14ac:dyDescent="0.25">
      <c r="A75" t="s">
        <v>601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928</v>
      </c>
      <c r="G75" t="s">
        <v>440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34" t="s">
        <v>690</v>
      </c>
      <c r="L75" s="34" t="s">
        <v>465</v>
      </c>
      <c r="M75">
        <v>4901</v>
      </c>
      <c r="N75" t="s">
        <v>294</v>
      </c>
      <c r="O75" t="str">
        <f t="shared" si="9"/>
        <v>13071610671016</v>
      </c>
      <c r="P75" t="s">
        <v>295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465</v>
      </c>
      <c r="AA75" s="38" t="s">
        <v>1</v>
      </c>
      <c r="AB75" t="s">
        <v>514</v>
      </c>
      <c r="AC75">
        <v>28.13</v>
      </c>
    </row>
    <row r="76" spans="1:29" hidden="1" x14ac:dyDescent="0.25">
      <c r="A76" t="s">
        <v>601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927</v>
      </c>
      <c r="G76" t="s">
        <v>440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34" t="s">
        <v>690</v>
      </c>
      <c r="L76" s="34" t="s">
        <v>465</v>
      </c>
      <c r="M76">
        <v>749392</v>
      </c>
      <c r="N76" t="s">
        <v>175</v>
      </c>
      <c r="O76" t="str">
        <f t="shared" si="9"/>
        <v>06141101690011</v>
      </c>
      <c r="P76" t="s">
        <v>176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465</v>
      </c>
      <c r="AA76" s="38" t="s">
        <v>1</v>
      </c>
      <c r="AB76" t="s">
        <v>465</v>
      </c>
      <c r="AC76">
        <v>0</v>
      </c>
    </row>
    <row r="77" spans="1:29" hidden="1" x14ac:dyDescent="0.25">
      <c r="A77" t="s">
        <v>601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926</v>
      </c>
      <c r="G77" t="s">
        <v>440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34" t="s">
        <v>690</v>
      </c>
      <c r="L77" s="34" t="s">
        <v>465</v>
      </c>
      <c r="M77">
        <v>263944</v>
      </c>
      <c r="N77" t="s">
        <v>210</v>
      </c>
      <c r="O77" t="str">
        <f t="shared" si="9"/>
        <v>06141403161033</v>
      </c>
      <c r="P77" t="s">
        <v>211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465</v>
      </c>
      <c r="AA77" s="38" t="s">
        <v>1</v>
      </c>
      <c r="AB77" t="s">
        <v>465</v>
      </c>
      <c r="AC77">
        <v>0</v>
      </c>
    </row>
    <row r="78" spans="1:29" hidden="1" x14ac:dyDescent="0.25">
      <c r="A78" t="s">
        <v>601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919</v>
      </c>
      <c r="G78" t="s">
        <v>440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34" t="s">
        <v>690</v>
      </c>
      <c r="L78" s="34" t="s">
        <v>465</v>
      </c>
      <c r="M78">
        <v>129355</v>
      </c>
      <c r="N78" t="s">
        <v>210</v>
      </c>
      <c r="O78" t="str">
        <f t="shared" si="9"/>
        <v>06141403161033</v>
      </c>
      <c r="P78" t="s">
        <v>211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465</v>
      </c>
      <c r="AA78" s="38" t="s">
        <v>1</v>
      </c>
      <c r="AB78" t="s">
        <v>465</v>
      </c>
      <c r="AC78">
        <v>0</v>
      </c>
    </row>
    <row r="79" spans="1:29" hidden="1" x14ac:dyDescent="0.25">
      <c r="A79" t="s">
        <v>601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918</v>
      </c>
      <c r="G79" t="s">
        <v>440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34" t="s">
        <v>690</v>
      </c>
      <c r="L79" s="34" t="s">
        <v>465</v>
      </c>
      <c r="M79">
        <v>29008</v>
      </c>
      <c r="N79" t="s">
        <v>657</v>
      </c>
      <c r="O79" t="str">
        <f t="shared" si="9"/>
        <v>06140410021046</v>
      </c>
      <c r="P79" t="s">
        <v>658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465</v>
      </c>
      <c r="AA79" s="38" t="s">
        <v>1</v>
      </c>
      <c r="AB79" t="s">
        <v>465</v>
      </c>
      <c r="AC79">
        <v>0</v>
      </c>
    </row>
    <row r="80" spans="1:29" hidden="1" x14ac:dyDescent="0.25">
      <c r="A80" t="s">
        <v>601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917</v>
      </c>
      <c r="G80" t="s">
        <v>440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34" t="s">
        <v>690</v>
      </c>
      <c r="L80" s="34" t="s">
        <v>465</v>
      </c>
      <c r="M80">
        <v>4235</v>
      </c>
      <c r="N80" t="s">
        <v>134</v>
      </c>
      <c r="O80" t="str">
        <f t="shared" si="9"/>
        <v>06141605121041</v>
      </c>
      <c r="P80" t="s">
        <v>135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465</v>
      </c>
      <c r="AA80" s="38" t="s">
        <v>1</v>
      </c>
      <c r="AB80" t="s">
        <v>465</v>
      </c>
      <c r="AC80">
        <v>0</v>
      </c>
    </row>
    <row r="81" spans="1:29" hidden="1" x14ac:dyDescent="0.25">
      <c r="A81" t="s">
        <v>601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908</v>
      </c>
      <c r="G81" t="s">
        <v>440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34" t="s">
        <v>690</v>
      </c>
      <c r="L81" s="34" t="s">
        <v>465</v>
      </c>
      <c r="M81">
        <v>262810</v>
      </c>
      <c r="N81" t="s">
        <v>210</v>
      </c>
      <c r="O81" t="str">
        <f t="shared" si="9"/>
        <v>06141403161033</v>
      </c>
      <c r="P81" t="s">
        <v>211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465</v>
      </c>
      <c r="AA81" s="38" t="s">
        <v>1</v>
      </c>
      <c r="AB81" t="s">
        <v>465</v>
      </c>
      <c r="AC81">
        <v>0</v>
      </c>
    </row>
    <row r="82" spans="1:29" hidden="1" x14ac:dyDescent="0.25">
      <c r="A82" t="s">
        <v>601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909</v>
      </c>
      <c r="G82" t="s">
        <v>440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34" t="s">
        <v>690</v>
      </c>
      <c r="L82" s="34" t="s">
        <v>465</v>
      </c>
      <c r="M82">
        <v>3166</v>
      </c>
      <c r="N82" t="s">
        <v>143</v>
      </c>
      <c r="O82" t="str">
        <f t="shared" si="9"/>
        <v>06142703981055</v>
      </c>
      <c r="P82" t="s">
        <v>144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465</v>
      </c>
      <c r="AA82" s="38" t="s">
        <v>1</v>
      </c>
      <c r="AB82" t="s">
        <v>465</v>
      </c>
      <c r="AC82">
        <v>0</v>
      </c>
    </row>
    <row r="83" spans="1:29" hidden="1" x14ac:dyDescent="0.25">
      <c r="A83" t="s">
        <v>601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925</v>
      </c>
      <c r="G83" t="s">
        <v>440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34" t="s">
        <v>690</v>
      </c>
      <c r="L83" s="34" t="s">
        <v>465</v>
      </c>
      <c r="M83">
        <v>3125</v>
      </c>
      <c r="N83" t="s">
        <v>143</v>
      </c>
      <c r="O83" t="str">
        <f t="shared" si="9"/>
        <v>06142703981055</v>
      </c>
      <c r="P83" t="s">
        <v>144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465</v>
      </c>
      <c r="AA83" s="38" t="s">
        <v>1</v>
      </c>
      <c r="AB83" t="s">
        <v>465</v>
      </c>
      <c r="AC83">
        <v>0</v>
      </c>
    </row>
    <row r="84" spans="1:29" hidden="1" x14ac:dyDescent="0.25">
      <c r="A84" t="s">
        <v>601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925</v>
      </c>
      <c r="G84" t="s">
        <v>440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34" t="s">
        <v>690</v>
      </c>
      <c r="L84" s="34" t="s">
        <v>465</v>
      </c>
      <c r="M84">
        <v>3127</v>
      </c>
      <c r="N84" t="s">
        <v>143</v>
      </c>
      <c r="O84" t="str">
        <f t="shared" si="9"/>
        <v>06142703981055</v>
      </c>
      <c r="P84" t="s">
        <v>144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465</v>
      </c>
      <c r="AA84" s="38" t="s">
        <v>1</v>
      </c>
      <c r="AB84" t="s">
        <v>465</v>
      </c>
      <c r="AC84">
        <v>0</v>
      </c>
    </row>
    <row r="85" spans="1:29" hidden="1" x14ac:dyDescent="0.25">
      <c r="A85" t="s">
        <v>601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925</v>
      </c>
      <c r="G85" t="s">
        <v>440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34" t="s">
        <v>690</v>
      </c>
      <c r="L85" s="34" t="s">
        <v>465</v>
      </c>
      <c r="M85">
        <v>86</v>
      </c>
      <c r="N85" t="s">
        <v>460</v>
      </c>
      <c r="O85" t="str">
        <f t="shared" si="9"/>
        <v>11100209671014</v>
      </c>
      <c r="P85" t="s">
        <v>461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465</v>
      </c>
      <c r="AA85" s="38" t="s">
        <v>1</v>
      </c>
      <c r="AB85" t="s">
        <v>465</v>
      </c>
      <c r="AC85">
        <v>0</v>
      </c>
    </row>
    <row r="86" spans="1:29" hidden="1" x14ac:dyDescent="0.25">
      <c r="A86" t="s">
        <v>601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925</v>
      </c>
      <c r="G86" t="s">
        <v>440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34" t="s">
        <v>690</v>
      </c>
      <c r="L86" s="34" t="s">
        <v>465</v>
      </c>
      <c r="M86">
        <v>4521</v>
      </c>
      <c r="N86" t="s">
        <v>427</v>
      </c>
      <c r="O86" t="str">
        <f t="shared" si="9"/>
        <v>06140404081061</v>
      </c>
      <c r="P86" t="s">
        <v>428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465</v>
      </c>
      <c r="AA86" s="38" t="s">
        <v>1</v>
      </c>
      <c r="AB86" t="s">
        <v>465</v>
      </c>
      <c r="AC86">
        <v>0</v>
      </c>
    </row>
    <row r="87" spans="1:29" hidden="1" x14ac:dyDescent="0.25">
      <c r="A87" t="s">
        <v>601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925</v>
      </c>
      <c r="G87" t="s">
        <v>440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34" t="s">
        <v>690</v>
      </c>
      <c r="L87" s="34" t="s">
        <v>465</v>
      </c>
      <c r="M87">
        <v>105428</v>
      </c>
      <c r="N87" t="s">
        <v>162</v>
      </c>
      <c r="O87" t="str">
        <f t="shared" si="9"/>
        <v>94832404991012</v>
      </c>
      <c r="P87" t="s">
        <v>163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465</v>
      </c>
      <c r="AA87" s="38" t="s">
        <v>1</v>
      </c>
      <c r="AB87" t="s">
        <v>465</v>
      </c>
      <c r="AC87">
        <v>0</v>
      </c>
    </row>
    <row r="88" spans="1:29" hidden="1" x14ac:dyDescent="0.25">
      <c r="A88" t="s">
        <v>601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925</v>
      </c>
      <c r="G88" t="s">
        <v>440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34" t="s">
        <v>690</v>
      </c>
      <c r="L88" s="34" t="s">
        <v>465</v>
      </c>
      <c r="M88">
        <v>4868</v>
      </c>
      <c r="N88" t="s">
        <v>294</v>
      </c>
      <c r="O88" t="str">
        <f t="shared" si="9"/>
        <v>13071610671016</v>
      </c>
      <c r="P88" t="s">
        <v>295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465</v>
      </c>
      <c r="AA88" s="38" t="s">
        <v>1</v>
      </c>
      <c r="AB88" t="s">
        <v>465</v>
      </c>
      <c r="AC88">
        <v>0</v>
      </c>
    </row>
    <row r="89" spans="1:29" hidden="1" x14ac:dyDescent="0.25">
      <c r="A89" t="s">
        <v>601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925</v>
      </c>
      <c r="G89" t="s">
        <v>440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34" t="s">
        <v>690</v>
      </c>
      <c r="L89" s="34" t="s">
        <v>465</v>
      </c>
      <c r="M89">
        <v>27076</v>
      </c>
      <c r="N89" t="s">
        <v>223</v>
      </c>
      <c r="O89" t="str">
        <f t="shared" si="9"/>
        <v>06140406191018</v>
      </c>
      <c r="P89" t="s">
        <v>224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465</v>
      </c>
      <c r="AA89" s="38" t="s">
        <v>1</v>
      </c>
      <c r="AB89" t="s">
        <v>465</v>
      </c>
      <c r="AC89">
        <v>0</v>
      </c>
    </row>
    <row r="90" spans="1:29" hidden="1" x14ac:dyDescent="0.25">
      <c r="A90" t="s">
        <v>601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910</v>
      </c>
      <c r="G90" t="s">
        <v>440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34" t="s">
        <v>690</v>
      </c>
      <c r="L90" s="34" t="s">
        <v>465</v>
      </c>
      <c r="M90">
        <v>1412</v>
      </c>
      <c r="N90" t="s">
        <v>824</v>
      </c>
      <c r="O90" t="str">
        <f t="shared" si="9"/>
        <v>11081010721018</v>
      </c>
      <c r="P90" t="s">
        <v>825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465</v>
      </c>
      <c r="AA90" s="38" t="s">
        <v>1</v>
      </c>
      <c r="AB90" t="s">
        <v>514</v>
      </c>
      <c r="AC90">
        <v>1484.33</v>
      </c>
    </row>
    <row r="91" spans="1:29" hidden="1" x14ac:dyDescent="0.25">
      <c r="A91" t="s">
        <v>601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911</v>
      </c>
      <c r="G91" t="s">
        <v>440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34" t="s">
        <v>690</v>
      </c>
      <c r="L91" s="34" t="s">
        <v>465</v>
      </c>
      <c r="M91">
        <v>3048</v>
      </c>
      <c r="N91" t="s">
        <v>143</v>
      </c>
      <c r="O91" t="str">
        <f t="shared" si="9"/>
        <v>06142703981055</v>
      </c>
      <c r="P91" t="s">
        <v>144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465</v>
      </c>
      <c r="AA91" s="38" t="s">
        <v>1</v>
      </c>
      <c r="AB91" t="s">
        <v>465</v>
      </c>
      <c r="AC91">
        <v>0</v>
      </c>
    </row>
    <row r="92" spans="1:29" hidden="1" x14ac:dyDescent="0.25">
      <c r="A92" t="s">
        <v>601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911</v>
      </c>
      <c r="G92" t="s">
        <v>440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34" t="s">
        <v>690</v>
      </c>
      <c r="L92" s="34" t="s">
        <v>465</v>
      </c>
      <c r="M92">
        <v>3052</v>
      </c>
      <c r="N92" t="s">
        <v>143</v>
      </c>
      <c r="O92" t="str">
        <f t="shared" si="9"/>
        <v>06142703981055</v>
      </c>
      <c r="P92" t="s">
        <v>144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465</v>
      </c>
      <c r="AA92" s="38" t="s">
        <v>1</v>
      </c>
      <c r="AB92" t="s">
        <v>465</v>
      </c>
      <c r="AC92">
        <v>0</v>
      </c>
    </row>
    <row r="93" spans="1:29" hidden="1" x14ac:dyDescent="0.25">
      <c r="A93" t="s">
        <v>601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911</v>
      </c>
      <c r="G93" t="s">
        <v>440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34" t="s">
        <v>690</v>
      </c>
      <c r="L93" s="34" t="s">
        <v>465</v>
      </c>
      <c r="M93">
        <v>2162278</v>
      </c>
      <c r="N93" t="s">
        <v>192</v>
      </c>
      <c r="O93" t="str">
        <f t="shared" si="9"/>
        <v>06142708101053</v>
      </c>
      <c r="P93" t="s">
        <v>193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465</v>
      </c>
      <c r="AA93" s="38" t="s">
        <v>1</v>
      </c>
      <c r="AB93" t="s">
        <v>514</v>
      </c>
      <c r="AC93">
        <v>461.08</v>
      </c>
    </row>
    <row r="94" spans="1:29" hidden="1" x14ac:dyDescent="0.25">
      <c r="A94" t="s">
        <v>601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924</v>
      </c>
      <c r="G94" t="s">
        <v>440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34" t="s">
        <v>690</v>
      </c>
      <c r="L94" s="34" t="s">
        <v>465</v>
      </c>
      <c r="M94">
        <v>7595</v>
      </c>
      <c r="N94" t="s">
        <v>198</v>
      </c>
      <c r="O94" t="str">
        <f t="shared" si="9"/>
        <v>06141708071034</v>
      </c>
      <c r="P94" t="s">
        <v>199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465</v>
      </c>
      <c r="AA94" s="38" t="s">
        <v>1</v>
      </c>
      <c r="AB94" t="s">
        <v>514</v>
      </c>
      <c r="AC94">
        <v>69.61</v>
      </c>
    </row>
    <row r="95" spans="1:29" hidden="1" x14ac:dyDescent="0.25">
      <c r="A95" t="s">
        <v>601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924</v>
      </c>
      <c r="G95" t="s">
        <v>440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34" t="s">
        <v>690</v>
      </c>
      <c r="L95" s="34" t="s">
        <v>465</v>
      </c>
      <c r="M95">
        <v>71075550</v>
      </c>
      <c r="N95" t="s">
        <v>380</v>
      </c>
      <c r="O95" t="str">
        <f t="shared" si="9"/>
        <v>06143107620016</v>
      </c>
      <c r="P95" t="s">
        <v>253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465</v>
      </c>
      <c r="AA95" s="38" t="s">
        <v>1</v>
      </c>
      <c r="AB95" t="s">
        <v>514</v>
      </c>
      <c r="AC95">
        <v>71.02</v>
      </c>
    </row>
    <row r="96" spans="1:29" hidden="1" x14ac:dyDescent="0.25">
      <c r="A96" t="s">
        <v>601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920</v>
      </c>
      <c r="G96" t="s">
        <v>440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34" t="s">
        <v>690</v>
      </c>
      <c r="L96" s="34" t="s">
        <v>465</v>
      </c>
      <c r="M96">
        <v>7955</v>
      </c>
      <c r="N96" t="s">
        <v>657</v>
      </c>
      <c r="O96" t="str">
        <f t="shared" si="9"/>
        <v>06140410021046</v>
      </c>
      <c r="P96" t="s">
        <v>658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465</v>
      </c>
      <c r="AA96" s="38" t="s">
        <v>1</v>
      </c>
      <c r="AB96" t="s">
        <v>514</v>
      </c>
      <c r="AC96">
        <v>7.96</v>
      </c>
    </row>
    <row r="97" spans="1:29" hidden="1" x14ac:dyDescent="0.25">
      <c r="A97" t="s">
        <v>601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923</v>
      </c>
      <c r="G97" t="s">
        <v>440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34" t="s">
        <v>690</v>
      </c>
      <c r="L97" s="34" t="s">
        <v>465</v>
      </c>
      <c r="M97">
        <v>187397</v>
      </c>
      <c r="N97" t="s">
        <v>225</v>
      </c>
      <c r="O97" t="str">
        <f t="shared" si="9"/>
        <v>06141007840010</v>
      </c>
      <c r="P97" t="s">
        <v>226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465</v>
      </c>
      <c r="AA97" s="38" t="s">
        <v>1</v>
      </c>
      <c r="AB97" t="s">
        <v>465</v>
      </c>
      <c r="AC97">
        <v>0</v>
      </c>
    </row>
    <row r="98" spans="1:29" hidden="1" x14ac:dyDescent="0.25">
      <c r="A98" t="s">
        <v>601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913</v>
      </c>
      <c r="G98" t="s">
        <v>440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34" t="s">
        <v>690</v>
      </c>
      <c r="L98" s="34" t="s">
        <v>465</v>
      </c>
      <c r="M98">
        <v>2906</v>
      </c>
      <c r="N98" t="s">
        <v>143</v>
      </c>
      <c r="O98" t="str">
        <f t="shared" si="9"/>
        <v>06142703981055</v>
      </c>
      <c r="P98" t="s">
        <v>144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465</v>
      </c>
      <c r="AA98" s="38" t="s">
        <v>1</v>
      </c>
      <c r="AB98" t="s">
        <v>465</v>
      </c>
      <c r="AC98">
        <v>0</v>
      </c>
    </row>
    <row r="99" spans="1:29" hidden="1" x14ac:dyDescent="0.25">
      <c r="A99" t="s">
        <v>601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914</v>
      </c>
      <c r="G99" t="s">
        <v>440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34" t="s">
        <v>690</v>
      </c>
      <c r="L99" s="34" t="s">
        <v>465</v>
      </c>
      <c r="M99">
        <v>2874</v>
      </c>
      <c r="N99" t="s">
        <v>143</v>
      </c>
      <c r="O99" t="str">
        <f t="shared" si="9"/>
        <v>06142703981055</v>
      </c>
      <c r="P99" t="s">
        <v>144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465</v>
      </c>
      <c r="AA99" s="38" t="s">
        <v>1</v>
      </c>
      <c r="AB99" t="s">
        <v>465</v>
      </c>
      <c r="AC99">
        <v>0</v>
      </c>
    </row>
    <row r="100" spans="1:29" hidden="1" x14ac:dyDescent="0.25">
      <c r="A100" t="s">
        <v>601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914</v>
      </c>
      <c r="G100" t="s">
        <v>440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34" t="s">
        <v>690</v>
      </c>
      <c r="L100" s="34" t="s">
        <v>465</v>
      </c>
      <c r="M100">
        <v>2875</v>
      </c>
      <c r="N100" t="s">
        <v>143</v>
      </c>
      <c r="O100" t="str">
        <f t="shared" si="9"/>
        <v>06142703981055</v>
      </c>
      <c r="P100" t="s">
        <v>144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465</v>
      </c>
      <c r="AA100" s="38" t="s">
        <v>1</v>
      </c>
      <c r="AB100" t="s">
        <v>465</v>
      </c>
      <c r="AC100">
        <v>0</v>
      </c>
    </row>
    <row r="101" spans="1:29" hidden="1" x14ac:dyDescent="0.25">
      <c r="A101" t="s">
        <v>601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914</v>
      </c>
      <c r="G101" t="s">
        <v>440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34" t="s">
        <v>690</v>
      </c>
      <c r="L101" s="34" t="s">
        <v>465</v>
      </c>
      <c r="M101">
        <v>2876</v>
      </c>
      <c r="N101" t="s">
        <v>143</v>
      </c>
      <c r="O101" t="str">
        <f t="shared" si="9"/>
        <v>06142703981055</v>
      </c>
      <c r="P101" t="s">
        <v>144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465</v>
      </c>
      <c r="AA101" s="38" t="s">
        <v>1</v>
      </c>
      <c r="AB101" t="s">
        <v>465</v>
      </c>
      <c r="AC101">
        <v>0</v>
      </c>
    </row>
    <row r="102" spans="1:29" hidden="1" x14ac:dyDescent="0.25">
      <c r="A102" t="s">
        <v>601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922</v>
      </c>
      <c r="G102" t="s">
        <v>440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34" t="s">
        <v>690</v>
      </c>
      <c r="L102" s="34" t="s">
        <v>465</v>
      </c>
      <c r="M102">
        <v>34904</v>
      </c>
      <c r="N102" t="s">
        <v>171</v>
      </c>
      <c r="O102" t="str">
        <f t="shared" si="9"/>
        <v>06140711071030</v>
      </c>
      <c r="P102" t="s">
        <v>172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465</v>
      </c>
      <c r="AA102" s="38" t="s">
        <v>1</v>
      </c>
      <c r="AB102" t="s">
        <v>465</v>
      </c>
      <c r="AC102">
        <v>0</v>
      </c>
    </row>
    <row r="103" spans="1:29" hidden="1" x14ac:dyDescent="0.25">
      <c r="A103" t="s">
        <v>601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922</v>
      </c>
      <c r="G103" t="s">
        <v>440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34" t="s">
        <v>690</v>
      </c>
      <c r="L103" s="34" t="s">
        <v>465</v>
      </c>
      <c r="M103">
        <v>6240</v>
      </c>
      <c r="N103" t="s">
        <v>258</v>
      </c>
      <c r="O103" t="str">
        <f t="shared" si="9"/>
        <v>06141303151073</v>
      </c>
      <c r="P103" t="s">
        <v>259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465</v>
      </c>
      <c r="AA103" s="38" t="s">
        <v>1</v>
      </c>
      <c r="AB103" t="s">
        <v>465</v>
      </c>
      <c r="AC103">
        <v>0</v>
      </c>
    </row>
    <row r="104" spans="1:29" hidden="1" x14ac:dyDescent="0.25">
      <c r="A104" t="s">
        <v>601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921</v>
      </c>
      <c r="G104" t="s">
        <v>440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34" t="s">
        <v>690</v>
      </c>
      <c r="L104" s="34" t="s">
        <v>465</v>
      </c>
      <c r="M104">
        <v>309</v>
      </c>
      <c r="N104" t="s">
        <v>262</v>
      </c>
      <c r="O104" t="str">
        <f t="shared" si="9"/>
        <v>06140404530104</v>
      </c>
      <c r="P104" t="s">
        <v>263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465</v>
      </c>
      <c r="AA104" s="38" t="s">
        <v>1</v>
      </c>
      <c r="AB104" t="s">
        <v>465</v>
      </c>
      <c r="AC104">
        <v>0</v>
      </c>
    </row>
    <row r="105" spans="1:29" hidden="1" x14ac:dyDescent="0.25">
      <c r="A105" t="s">
        <v>601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921</v>
      </c>
      <c r="G105" t="s">
        <v>440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34" t="s">
        <v>690</v>
      </c>
      <c r="L105" s="34" t="s">
        <v>465</v>
      </c>
      <c r="M105">
        <v>733</v>
      </c>
      <c r="N105" t="s">
        <v>341</v>
      </c>
      <c r="O105" t="str">
        <f t="shared" si="9"/>
        <v>05112308101011</v>
      </c>
      <c r="P105" t="s">
        <v>342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465</v>
      </c>
      <c r="AA105" s="38" t="s">
        <v>1</v>
      </c>
      <c r="AB105" t="s">
        <v>520</v>
      </c>
      <c r="AC105">
        <v>1.1599999999999999</v>
      </c>
    </row>
    <row r="106" spans="1:29" hidden="1" x14ac:dyDescent="0.25">
      <c r="A106" t="s">
        <v>601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894</v>
      </c>
      <c r="G106" t="s">
        <v>440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34" t="s">
        <v>690</v>
      </c>
      <c r="L106" s="34" t="s">
        <v>465</v>
      </c>
      <c r="M106">
        <v>2808</v>
      </c>
      <c r="N106" t="s">
        <v>143</v>
      </c>
      <c r="O106" t="str">
        <f t="shared" si="9"/>
        <v>06142703981055</v>
      </c>
      <c r="P106" t="s">
        <v>144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465</v>
      </c>
      <c r="AA106" s="38" t="s">
        <v>1</v>
      </c>
      <c r="AB106" t="s">
        <v>465</v>
      </c>
      <c r="AC106">
        <v>0</v>
      </c>
    </row>
    <row r="107" spans="1:29" hidden="1" x14ac:dyDescent="0.25">
      <c r="A107" t="s">
        <v>601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894</v>
      </c>
      <c r="G107" t="s">
        <v>440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34" t="s">
        <v>690</v>
      </c>
      <c r="L107" s="34" t="s">
        <v>465</v>
      </c>
      <c r="M107">
        <v>2807</v>
      </c>
      <c r="N107" t="s">
        <v>143</v>
      </c>
      <c r="O107" t="str">
        <f t="shared" si="9"/>
        <v>06142703981055</v>
      </c>
      <c r="P107" t="s">
        <v>144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465</v>
      </c>
      <c r="AA107" s="38" t="s">
        <v>1</v>
      </c>
      <c r="AB107" t="s">
        <v>465</v>
      </c>
      <c r="AC107">
        <v>0</v>
      </c>
    </row>
    <row r="108" spans="1:29" hidden="1" x14ac:dyDescent="0.25">
      <c r="A108" t="s">
        <v>600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794</v>
      </c>
      <c r="G108" t="s">
        <v>440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34" t="s">
        <v>690</v>
      </c>
      <c r="L108" s="34" t="s">
        <v>465</v>
      </c>
      <c r="M108">
        <v>65</v>
      </c>
      <c r="N108" t="s">
        <v>177</v>
      </c>
      <c r="O108" t="str">
        <f t="shared" si="9"/>
        <v>06141611841170</v>
      </c>
      <c r="P108" t="s">
        <v>178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465</v>
      </c>
      <c r="AA108" s="38" t="s">
        <v>1</v>
      </c>
      <c r="AB108" t="s">
        <v>465</v>
      </c>
      <c r="AC108">
        <v>0</v>
      </c>
    </row>
    <row r="109" spans="1:29" hidden="1" x14ac:dyDescent="0.25">
      <c r="A109" t="s">
        <v>600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873</v>
      </c>
      <c r="G109" t="s">
        <v>440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34" t="s">
        <v>690</v>
      </c>
      <c r="L109" s="34" t="s">
        <v>465</v>
      </c>
      <c r="M109">
        <v>71</v>
      </c>
      <c r="N109" t="s">
        <v>452</v>
      </c>
      <c r="O109" t="str">
        <f t="shared" si="9"/>
        <v>02101107171019</v>
      </c>
      <c r="P109" t="s">
        <v>453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465</v>
      </c>
      <c r="AA109" s="38" t="s">
        <v>1</v>
      </c>
      <c r="AB109" t="s">
        <v>465</v>
      </c>
      <c r="AC109">
        <v>0</v>
      </c>
    </row>
    <row r="110" spans="1:29" hidden="1" x14ac:dyDescent="0.25">
      <c r="A110" t="s">
        <v>600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873</v>
      </c>
      <c r="G110" t="s">
        <v>440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34" t="s">
        <v>690</v>
      </c>
      <c r="L110" s="34" t="s">
        <v>465</v>
      </c>
      <c r="M110">
        <v>76</v>
      </c>
      <c r="N110" t="s">
        <v>231</v>
      </c>
      <c r="O110" t="str">
        <f t="shared" si="9"/>
        <v>06142704801220</v>
      </c>
      <c r="P110" t="s">
        <v>232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465</v>
      </c>
      <c r="AA110" s="38" t="s">
        <v>1</v>
      </c>
      <c r="AB110" t="s">
        <v>465</v>
      </c>
      <c r="AC110">
        <v>0</v>
      </c>
    </row>
    <row r="111" spans="1:29" hidden="1" x14ac:dyDescent="0.25">
      <c r="A111" t="s">
        <v>600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802</v>
      </c>
      <c r="G111" t="s">
        <v>440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34" t="s">
        <v>690</v>
      </c>
      <c r="L111" s="34" t="s">
        <v>465</v>
      </c>
      <c r="M111">
        <v>87</v>
      </c>
      <c r="N111" t="s">
        <v>477</v>
      </c>
      <c r="O111" t="str">
        <f t="shared" si="9"/>
        <v>06141012141020</v>
      </c>
      <c r="P111" t="s">
        <v>478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465</v>
      </c>
      <c r="AA111" s="38" t="s">
        <v>1</v>
      </c>
      <c r="AB111" t="s">
        <v>465</v>
      </c>
      <c r="AC111">
        <v>0</v>
      </c>
    </row>
    <row r="112" spans="1:29" hidden="1" x14ac:dyDescent="0.25">
      <c r="A112" t="s">
        <v>600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877</v>
      </c>
      <c r="G112" t="s">
        <v>440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34" t="s">
        <v>690</v>
      </c>
      <c r="L112" s="34" t="s">
        <v>465</v>
      </c>
      <c r="M112">
        <v>1549</v>
      </c>
      <c r="N112" t="s">
        <v>905</v>
      </c>
      <c r="O112" t="str">
        <f t="shared" si="9"/>
        <v>06141203201065</v>
      </c>
      <c r="P112" t="s">
        <v>906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465</v>
      </c>
      <c r="AA112" s="38" t="s">
        <v>1</v>
      </c>
      <c r="AB112" t="s">
        <v>465</v>
      </c>
      <c r="AC112">
        <v>0</v>
      </c>
    </row>
    <row r="113" spans="1:29" hidden="1" x14ac:dyDescent="0.25">
      <c r="A113" t="s">
        <v>600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819</v>
      </c>
      <c r="G113" t="s">
        <v>440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34" t="s">
        <v>690</v>
      </c>
      <c r="L113" s="34" t="s">
        <v>465</v>
      </c>
      <c r="M113">
        <v>108</v>
      </c>
      <c r="N113" t="s">
        <v>432</v>
      </c>
      <c r="O113" t="str">
        <f t="shared" si="9"/>
        <v>06142407131054</v>
      </c>
      <c r="P113" t="s">
        <v>433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465</v>
      </c>
      <c r="AA113" s="38" t="s">
        <v>1</v>
      </c>
      <c r="AB113" t="s">
        <v>465</v>
      </c>
      <c r="AC113">
        <v>0</v>
      </c>
    </row>
    <row r="114" spans="1:29" hidden="1" x14ac:dyDescent="0.25">
      <c r="A114" t="s">
        <v>600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764</v>
      </c>
      <c r="G114" t="s">
        <v>440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34" t="s">
        <v>690</v>
      </c>
      <c r="L114" s="34" t="s">
        <v>465</v>
      </c>
      <c r="M114">
        <v>44</v>
      </c>
      <c r="N114" t="s">
        <v>432</v>
      </c>
      <c r="O114" t="str">
        <f t="shared" si="9"/>
        <v>06142407131054</v>
      </c>
      <c r="P114" t="s">
        <v>433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465</v>
      </c>
      <c r="AA114" s="38" t="s">
        <v>1</v>
      </c>
      <c r="AB114" t="s">
        <v>465</v>
      </c>
      <c r="AC114">
        <v>0</v>
      </c>
    </row>
    <row r="115" spans="1:29" hidden="1" x14ac:dyDescent="0.25">
      <c r="A115" t="s">
        <v>600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</v>
      </c>
      <c r="G115" t="s">
        <v>440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34" t="s">
        <v>690</v>
      </c>
      <c r="L115" s="34" t="s">
        <v>465</v>
      </c>
      <c r="M115">
        <v>26404</v>
      </c>
      <c r="N115" t="s">
        <v>288</v>
      </c>
      <c r="O115" t="str">
        <f t="shared" si="9"/>
        <v>09031006711010</v>
      </c>
      <c r="P115" t="s">
        <v>289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465</v>
      </c>
      <c r="AA115" s="38" t="s">
        <v>1</v>
      </c>
      <c r="AB115" t="s">
        <v>514</v>
      </c>
      <c r="AC115">
        <v>565.26</v>
      </c>
    </row>
    <row r="116" spans="1:29" hidden="1" x14ac:dyDescent="0.25">
      <c r="A116" t="s">
        <v>600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894</v>
      </c>
      <c r="G116" t="s">
        <v>440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34" t="s">
        <v>690</v>
      </c>
      <c r="L116" s="34" t="s">
        <v>465</v>
      </c>
      <c r="M116">
        <v>9904</v>
      </c>
      <c r="N116" t="s">
        <v>216</v>
      </c>
      <c r="O116" t="str">
        <f t="shared" si="9"/>
        <v>06141909961054</v>
      </c>
      <c r="P116" t="s">
        <v>217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465</v>
      </c>
      <c r="AA116" s="38" t="s">
        <v>1</v>
      </c>
      <c r="AB116" t="s">
        <v>514</v>
      </c>
      <c r="AC116">
        <v>68</v>
      </c>
    </row>
    <row r="117" spans="1:29" hidden="1" x14ac:dyDescent="0.25">
      <c r="A117" t="s">
        <v>600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894</v>
      </c>
      <c r="G117" t="s">
        <v>440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34" t="s">
        <v>690</v>
      </c>
      <c r="L117" s="34" t="s">
        <v>465</v>
      </c>
      <c r="M117">
        <v>158</v>
      </c>
      <c r="N117" t="s">
        <v>411</v>
      </c>
      <c r="O117" t="str">
        <f t="shared" si="9"/>
        <v>06143105820014</v>
      </c>
      <c r="P117" t="s">
        <v>412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465</v>
      </c>
      <c r="AA117" s="38" t="s">
        <v>1</v>
      </c>
      <c r="AB117" t="s">
        <v>514</v>
      </c>
      <c r="AC117">
        <v>119.21</v>
      </c>
    </row>
    <row r="118" spans="1:29" hidden="1" x14ac:dyDescent="0.25">
      <c r="A118" t="s">
        <v>600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894</v>
      </c>
      <c r="G118" t="s">
        <v>440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34" t="s">
        <v>690</v>
      </c>
      <c r="L118" s="34" t="s">
        <v>465</v>
      </c>
      <c r="M118">
        <v>275349</v>
      </c>
      <c r="N118" t="s">
        <v>173</v>
      </c>
      <c r="O118" t="str">
        <f t="shared" si="9"/>
        <v>14070503650018</v>
      </c>
      <c r="P118" t="s">
        <v>174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465</v>
      </c>
      <c r="AA118" s="38" t="s">
        <v>1</v>
      </c>
      <c r="AB118" t="s">
        <v>465</v>
      </c>
      <c r="AC118">
        <v>0</v>
      </c>
    </row>
    <row r="119" spans="1:29" hidden="1" x14ac:dyDescent="0.25">
      <c r="A119" t="s">
        <v>600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894</v>
      </c>
      <c r="G119" t="s">
        <v>440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34" t="s">
        <v>690</v>
      </c>
      <c r="L119" s="34" t="s">
        <v>465</v>
      </c>
      <c r="M119">
        <v>6458</v>
      </c>
      <c r="N119" t="s">
        <v>198</v>
      </c>
      <c r="O119" t="str">
        <f t="shared" si="9"/>
        <v>06141708071034</v>
      </c>
      <c r="P119" t="s">
        <v>199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465</v>
      </c>
      <c r="AA119" s="38" t="s">
        <v>1</v>
      </c>
      <c r="AB119" t="s">
        <v>465</v>
      </c>
      <c r="AC119">
        <v>0</v>
      </c>
    </row>
    <row r="120" spans="1:29" hidden="1" x14ac:dyDescent="0.25">
      <c r="A120" t="s">
        <v>600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894</v>
      </c>
      <c r="G120" t="s">
        <v>440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34" t="s">
        <v>690</v>
      </c>
      <c r="L120" s="34" t="s">
        <v>465</v>
      </c>
      <c r="M120">
        <v>102614</v>
      </c>
      <c r="N120" t="s">
        <v>162</v>
      </c>
      <c r="O120" t="str">
        <f t="shared" si="9"/>
        <v>94832404991012</v>
      </c>
      <c r="P120" t="s">
        <v>163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465</v>
      </c>
      <c r="AA120" s="38" t="s">
        <v>1</v>
      </c>
      <c r="AB120" t="s">
        <v>465</v>
      </c>
      <c r="AC120">
        <v>0</v>
      </c>
    </row>
    <row r="121" spans="1:29" hidden="1" x14ac:dyDescent="0.25">
      <c r="A121" t="s">
        <v>600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879</v>
      </c>
      <c r="G121" t="s">
        <v>440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34" t="s">
        <v>690</v>
      </c>
      <c r="L121" s="34" t="s">
        <v>465</v>
      </c>
      <c r="M121">
        <v>3579</v>
      </c>
      <c r="N121" t="s">
        <v>294</v>
      </c>
      <c r="O121" t="str">
        <f t="shared" si="9"/>
        <v>13071610671016</v>
      </c>
      <c r="P121" t="s">
        <v>295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465</v>
      </c>
      <c r="AA121" s="38" t="s">
        <v>1</v>
      </c>
      <c r="AB121" t="s">
        <v>465</v>
      </c>
      <c r="AC121">
        <v>0</v>
      </c>
    </row>
    <row r="122" spans="1:29" hidden="1" x14ac:dyDescent="0.25">
      <c r="A122" t="s">
        <v>600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879</v>
      </c>
      <c r="G122" t="s">
        <v>440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34" t="s">
        <v>690</v>
      </c>
      <c r="L122" s="34" t="s">
        <v>465</v>
      </c>
      <c r="M122">
        <v>2642</v>
      </c>
      <c r="N122" t="s">
        <v>294</v>
      </c>
      <c r="O122" t="str">
        <f t="shared" si="9"/>
        <v>13071610671016</v>
      </c>
      <c r="P122" t="s">
        <v>295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465</v>
      </c>
      <c r="AA122" s="38" t="s">
        <v>1</v>
      </c>
      <c r="AB122" t="s">
        <v>465</v>
      </c>
      <c r="AC122">
        <v>0</v>
      </c>
    </row>
    <row r="123" spans="1:29" hidden="1" x14ac:dyDescent="0.25">
      <c r="A123" t="s">
        <v>600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894</v>
      </c>
      <c r="G123" t="s">
        <v>440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34" t="s">
        <v>690</v>
      </c>
      <c r="L123" s="34" t="s">
        <v>465</v>
      </c>
      <c r="M123">
        <v>2806</v>
      </c>
      <c r="N123" t="s">
        <v>143</v>
      </c>
      <c r="O123" t="str">
        <f t="shared" si="9"/>
        <v>06142703981055</v>
      </c>
      <c r="P123" t="s">
        <v>144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465</v>
      </c>
      <c r="AA123" s="38" t="s">
        <v>1</v>
      </c>
      <c r="AB123" t="s">
        <v>465</v>
      </c>
      <c r="AC123">
        <v>0</v>
      </c>
    </row>
    <row r="124" spans="1:29" hidden="1" x14ac:dyDescent="0.25">
      <c r="A124" t="s">
        <v>600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904</v>
      </c>
      <c r="G124" t="s">
        <v>440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34" t="s">
        <v>690</v>
      </c>
      <c r="L124" s="34" t="s">
        <v>465</v>
      </c>
      <c r="M124">
        <v>8</v>
      </c>
      <c r="N124" t="s">
        <v>899</v>
      </c>
      <c r="O124" t="str">
        <f t="shared" si="9"/>
        <v>12051405761016</v>
      </c>
      <c r="P124" t="s">
        <v>900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465</v>
      </c>
      <c r="AA124" s="38" t="s">
        <v>1</v>
      </c>
      <c r="AB124" t="s">
        <v>465</v>
      </c>
      <c r="AC124">
        <v>0</v>
      </c>
    </row>
    <row r="125" spans="1:29" hidden="1" x14ac:dyDescent="0.25">
      <c r="A125" t="s">
        <v>600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894</v>
      </c>
      <c r="G125" t="s">
        <v>440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34" t="s">
        <v>690</v>
      </c>
      <c r="L125" s="34" t="s">
        <v>465</v>
      </c>
      <c r="M125">
        <v>73977</v>
      </c>
      <c r="N125" t="s">
        <v>227</v>
      </c>
      <c r="O125" t="str">
        <f t="shared" si="9"/>
        <v>06142008011037</v>
      </c>
      <c r="P125" t="s">
        <v>228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465</v>
      </c>
      <c r="AA125" s="38" t="s">
        <v>1</v>
      </c>
      <c r="AB125" t="s">
        <v>465</v>
      </c>
      <c r="AC125">
        <v>0</v>
      </c>
    </row>
    <row r="126" spans="1:29" hidden="1" x14ac:dyDescent="0.25">
      <c r="A126" t="s">
        <v>600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871</v>
      </c>
      <c r="G126" t="s">
        <v>440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34" t="s">
        <v>690</v>
      </c>
      <c r="L126" s="34" t="s">
        <v>465</v>
      </c>
      <c r="M126">
        <v>167745</v>
      </c>
      <c r="N126" t="s">
        <v>395</v>
      </c>
      <c r="O126" t="str">
        <f t="shared" si="9"/>
        <v>06140107740062</v>
      </c>
      <c r="P126" t="s">
        <v>396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465</v>
      </c>
      <c r="AA126" s="38" t="s">
        <v>1</v>
      </c>
      <c r="AB126" t="s">
        <v>465</v>
      </c>
      <c r="AC126">
        <v>0</v>
      </c>
    </row>
    <row r="127" spans="1:29" hidden="1" x14ac:dyDescent="0.25">
      <c r="A127" t="s">
        <v>600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872</v>
      </c>
      <c r="G127" t="s">
        <v>440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34" t="s">
        <v>690</v>
      </c>
      <c r="L127" s="34" t="s">
        <v>465</v>
      </c>
      <c r="M127">
        <v>1459099</v>
      </c>
      <c r="N127" t="s">
        <v>29</v>
      </c>
      <c r="O127" t="str">
        <f t="shared" si="9"/>
        <v>06141909001034</v>
      </c>
      <c r="P127" t="s">
        <v>233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465</v>
      </c>
      <c r="AA127" s="38" t="s">
        <v>1</v>
      </c>
      <c r="AB127" t="s">
        <v>465</v>
      </c>
      <c r="AC127">
        <v>0</v>
      </c>
    </row>
    <row r="128" spans="1:29" hidden="1" x14ac:dyDescent="0.25">
      <c r="A128" t="s">
        <v>600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872</v>
      </c>
      <c r="G128" t="s">
        <v>440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34" t="s">
        <v>690</v>
      </c>
      <c r="L128" s="34" t="s">
        <v>465</v>
      </c>
      <c r="M128">
        <v>1717</v>
      </c>
      <c r="N128" t="s">
        <v>108</v>
      </c>
      <c r="O128" t="str">
        <f t="shared" si="9"/>
        <v>06141211870020</v>
      </c>
      <c r="P128" t="s">
        <v>109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465</v>
      </c>
      <c r="AA128" s="38" t="s">
        <v>1</v>
      </c>
      <c r="AB128" t="s">
        <v>465</v>
      </c>
      <c r="AC128">
        <v>0</v>
      </c>
    </row>
    <row r="129" spans="1:29" hidden="1" x14ac:dyDescent="0.25">
      <c r="A129" t="s">
        <v>600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873</v>
      </c>
      <c r="G129" t="s">
        <v>440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34" t="s">
        <v>690</v>
      </c>
      <c r="L129" s="34" t="s">
        <v>465</v>
      </c>
      <c r="M129">
        <v>48564</v>
      </c>
      <c r="N129" t="s">
        <v>327</v>
      </c>
      <c r="O129" t="str">
        <f t="shared" si="9"/>
        <v>06141612991019</v>
      </c>
      <c r="P129" t="s">
        <v>328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465</v>
      </c>
      <c r="AA129" s="38" t="s">
        <v>1</v>
      </c>
      <c r="AB129" t="s">
        <v>520</v>
      </c>
      <c r="AC129">
        <v>10.27</v>
      </c>
    </row>
    <row r="130" spans="1:29" hidden="1" x14ac:dyDescent="0.25">
      <c r="A130" t="s">
        <v>600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873</v>
      </c>
      <c r="G130" t="s">
        <v>440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34" t="s">
        <v>690</v>
      </c>
      <c r="L130" s="34" t="s">
        <v>465</v>
      </c>
      <c r="M130">
        <v>45972</v>
      </c>
      <c r="O130" t="str">
        <f t="shared" si="9"/>
        <v>018991736</v>
      </c>
      <c r="P130" t="s">
        <v>903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902</v>
      </c>
      <c r="AA130" s="38" t="s">
        <v>1</v>
      </c>
      <c r="AB130" t="s">
        <v>465</v>
      </c>
      <c r="AC130">
        <v>0</v>
      </c>
    </row>
    <row r="131" spans="1:29" hidden="1" x14ac:dyDescent="0.25">
      <c r="A131" t="s">
        <v>600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873</v>
      </c>
      <c r="G131" t="s">
        <v>440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34" t="s">
        <v>690</v>
      </c>
      <c r="L131" s="34" t="s">
        <v>465</v>
      </c>
      <c r="M131">
        <v>38755</v>
      </c>
      <c r="N131" t="s">
        <v>321</v>
      </c>
      <c r="O131" t="str">
        <f t="shared" ref="O131:O194" si="14">IF(N131="",Z131,N131)</f>
        <v>06140103951010</v>
      </c>
      <c r="P131" t="s">
        <v>322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465</v>
      </c>
      <c r="AA131" s="38" t="s">
        <v>1</v>
      </c>
      <c r="AB131" t="s">
        <v>465</v>
      </c>
      <c r="AC131">
        <v>0</v>
      </c>
    </row>
    <row r="132" spans="1:29" hidden="1" x14ac:dyDescent="0.25">
      <c r="A132" t="s">
        <v>600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874</v>
      </c>
      <c r="G132" t="s">
        <v>440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34" t="s">
        <v>690</v>
      </c>
      <c r="L132" s="34" t="s">
        <v>465</v>
      </c>
      <c r="M132">
        <v>65138</v>
      </c>
      <c r="N132" t="s">
        <v>227</v>
      </c>
      <c r="O132" t="str">
        <f t="shared" si="14"/>
        <v>06142008011037</v>
      </c>
      <c r="P132" t="s">
        <v>228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465</v>
      </c>
      <c r="AA132" s="38" t="s">
        <v>1</v>
      </c>
      <c r="AB132" t="s">
        <v>465</v>
      </c>
      <c r="AC132">
        <v>0</v>
      </c>
    </row>
    <row r="133" spans="1:29" hidden="1" x14ac:dyDescent="0.25">
      <c r="A133" t="s">
        <v>600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875</v>
      </c>
      <c r="G133" t="s">
        <v>440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34" t="s">
        <v>690</v>
      </c>
      <c r="L133" s="34" t="s">
        <v>465</v>
      </c>
      <c r="M133">
        <v>23848</v>
      </c>
      <c r="N133" t="s">
        <v>185</v>
      </c>
      <c r="O133" t="str">
        <f t="shared" si="14"/>
        <v>06142407750010</v>
      </c>
      <c r="P133" t="s">
        <v>186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465</v>
      </c>
      <c r="AA133" s="38" t="s">
        <v>1</v>
      </c>
      <c r="AB133" t="s">
        <v>465</v>
      </c>
      <c r="AC133">
        <v>0</v>
      </c>
    </row>
    <row r="134" spans="1:29" hidden="1" x14ac:dyDescent="0.25">
      <c r="A134" t="s">
        <v>600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875</v>
      </c>
      <c r="G134" t="s">
        <v>440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34" t="s">
        <v>690</v>
      </c>
      <c r="L134" s="34" t="s">
        <v>465</v>
      </c>
      <c r="M134">
        <v>5736</v>
      </c>
      <c r="N134" t="s">
        <v>198</v>
      </c>
      <c r="O134" t="str">
        <f t="shared" si="14"/>
        <v>06141708071034</v>
      </c>
      <c r="P134" t="s">
        <v>199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465</v>
      </c>
      <c r="AA134" s="38" t="s">
        <v>1</v>
      </c>
      <c r="AB134" t="s">
        <v>465</v>
      </c>
      <c r="AC134">
        <v>0</v>
      </c>
    </row>
    <row r="135" spans="1:29" hidden="1" x14ac:dyDescent="0.25">
      <c r="A135" t="s">
        <v>600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876</v>
      </c>
      <c r="G135" t="s">
        <v>440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34" t="s">
        <v>690</v>
      </c>
      <c r="L135" s="34" t="s">
        <v>465</v>
      </c>
      <c r="M135">
        <v>25583</v>
      </c>
      <c r="N135" t="s">
        <v>385</v>
      </c>
      <c r="O135" t="str">
        <f t="shared" si="14"/>
        <v>06140104620021</v>
      </c>
      <c r="P135" t="s">
        <v>386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465</v>
      </c>
      <c r="AA135" s="38" t="s">
        <v>1</v>
      </c>
      <c r="AB135" t="s">
        <v>465</v>
      </c>
      <c r="AC135">
        <v>0</v>
      </c>
    </row>
    <row r="136" spans="1:29" hidden="1" x14ac:dyDescent="0.25">
      <c r="A136" t="s">
        <v>600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877</v>
      </c>
      <c r="G136" t="s">
        <v>440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34" t="s">
        <v>690</v>
      </c>
      <c r="L136" s="34" t="s">
        <v>465</v>
      </c>
      <c r="M136">
        <v>23528</v>
      </c>
      <c r="N136" t="s">
        <v>185</v>
      </c>
      <c r="O136" t="str">
        <f t="shared" si="14"/>
        <v>06142407750010</v>
      </c>
      <c r="P136" t="s">
        <v>186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465</v>
      </c>
      <c r="AA136" s="38" t="s">
        <v>1</v>
      </c>
      <c r="AB136" t="s">
        <v>465</v>
      </c>
      <c r="AC136">
        <v>0</v>
      </c>
    </row>
    <row r="137" spans="1:29" hidden="1" x14ac:dyDescent="0.25">
      <c r="A137" t="s">
        <v>600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877</v>
      </c>
      <c r="G137" t="s">
        <v>440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34" t="s">
        <v>690</v>
      </c>
      <c r="L137" s="34" t="s">
        <v>465</v>
      </c>
      <c r="M137">
        <v>1056987</v>
      </c>
      <c r="N137" t="s">
        <v>407</v>
      </c>
      <c r="O137" t="str">
        <f t="shared" si="14"/>
        <v>06141708001052</v>
      </c>
      <c r="P137" t="s">
        <v>408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465</v>
      </c>
      <c r="AA137" s="38" t="s">
        <v>1</v>
      </c>
      <c r="AB137" t="s">
        <v>465</v>
      </c>
      <c r="AC137">
        <v>0</v>
      </c>
    </row>
    <row r="138" spans="1:29" hidden="1" x14ac:dyDescent="0.25">
      <c r="A138" t="s">
        <v>600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877</v>
      </c>
      <c r="G138" t="s">
        <v>440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34" t="s">
        <v>690</v>
      </c>
      <c r="L138" s="34" t="s">
        <v>465</v>
      </c>
      <c r="M138">
        <v>335</v>
      </c>
      <c r="N138" t="s">
        <v>817</v>
      </c>
      <c r="O138" t="str">
        <f t="shared" si="14"/>
        <v>12170109031010</v>
      </c>
      <c r="P138" t="s">
        <v>818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465</v>
      </c>
      <c r="AA138" s="38" t="s">
        <v>1</v>
      </c>
      <c r="AB138" t="s">
        <v>465</v>
      </c>
      <c r="AC138">
        <v>0</v>
      </c>
    </row>
    <row r="139" spans="1:29" hidden="1" x14ac:dyDescent="0.25">
      <c r="A139" t="s">
        <v>600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877</v>
      </c>
      <c r="G139" t="s">
        <v>440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34" t="s">
        <v>690</v>
      </c>
      <c r="L139" s="34" t="s">
        <v>465</v>
      </c>
      <c r="M139">
        <v>336</v>
      </c>
      <c r="N139" t="s">
        <v>817</v>
      </c>
      <c r="O139" t="str">
        <f t="shared" si="14"/>
        <v>12170109031010</v>
      </c>
      <c r="P139" t="s">
        <v>818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465</v>
      </c>
      <c r="AA139" s="38" t="s">
        <v>1</v>
      </c>
      <c r="AB139" t="s">
        <v>465</v>
      </c>
      <c r="AC139">
        <v>0</v>
      </c>
    </row>
    <row r="140" spans="1:29" hidden="1" x14ac:dyDescent="0.25">
      <c r="A140" t="s">
        <v>600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878</v>
      </c>
      <c r="G140" t="s">
        <v>440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34" t="s">
        <v>690</v>
      </c>
      <c r="L140" s="34" t="s">
        <v>465</v>
      </c>
      <c r="M140">
        <v>46229</v>
      </c>
      <c r="N140" t="s">
        <v>251</v>
      </c>
      <c r="O140" t="str">
        <f t="shared" si="14"/>
        <v>05111703630014</v>
      </c>
      <c r="P140" t="s">
        <v>252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465</v>
      </c>
      <c r="AA140" s="38" t="s">
        <v>1</v>
      </c>
      <c r="AB140" t="s">
        <v>465</v>
      </c>
      <c r="AC140">
        <v>0</v>
      </c>
    </row>
    <row r="141" spans="1:29" hidden="1" x14ac:dyDescent="0.25">
      <c r="A141" t="s">
        <v>600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878</v>
      </c>
      <c r="G141" t="s">
        <v>440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34" t="s">
        <v>690</v>
      </c>
      <c r="L141" s="34" t="s">
        <v>465</v>
      </c>
      <c r="M141">
        <v>117569</v>
      </c>
      <c r="N141" t="s">
        <v>210</v>
      </c>
      <c r="O141" t="str">
        <f t="shared" si="14"/>
        <v>06141403161033</v>
      </c>
      <c r="P141" t="s">
        <v>211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465</v>
      </c>
      <c r="AA141" s="38" t="s">
        <v>1</v>
      </c>
      <c r="AB141" t="s">
        <v>465</v>
      </c>
      <c r="AC141">
        <v>0</v>
      </c>
    </row>
    <row r="142" spans="1:29" hidden="1" x14ac:dyDescent="0.25">
      <c r="A142" t="s">
        <v>600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879</v>
      </c>
      <c r="G142" t="s">
        <v>440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34" t="s">
        <v>690</v>
      </c>
      <c r="L142" s="34" t="s">
        <v>465</v>
      </c>
      <c r="M142">
        <v>758054</v>
      </c>
      <c r="N142" t="s">
        <v>244</v>
      </c>
      <c r="O142" t="str">
        <f t="shared" si="14"/>
        <v>06142604071063</v>
      </c>
      <c r="P142" t="s">
        <v>245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465</v>
      </c>
      <c r="AA142" s="38" t="s">
        <v>1</v>
      </c>
      <c r="AB142" t="s">
        <v>465</v>
      </c>
      <c r="AC142">
        <v>0</v>
      </c>
    </row>
    <row r="143" spans="1:29" hidden="1" x14ac:dyDescent="0.25">
      <c r="A143" t="s">
        <v>600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879</v>
      </c>
      <c r="G143" t="s">
        <v>440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34" t="s">
        <v>690</v>
      </c>
      <c r="L143" s="34" t="s">
        <v>465</v>
      </c>
      <c r="M143">
        <v>28625</v>
      </c>
      <c r="N143" t="s">
        <v>114</v>
      </c>
      <c r="O143" t="str">
        <f t="shared" si="14"/>
        <v>02102402171027</v>
      </c>
      <c r="P143" t="s">
        <v>115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465</v>
      </c>
      <c r="AA143" s="38" t="s">
        <v>1</v>
      </c>
      <c r="AB143" t="s">
        <v>465</v>
      </c>
      <c r="AC143">
        <v>0</v>
      </c>
    </row>
    <row r="144" spans="1:29" hidden="1" x14ac:dyDescent="0.25">
      <c r="A144" t="s">
        <v>600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879</v>
      </c>
      <c r="G144" t="s">
        <v>440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34" t="s">
        <v>690</v>
      </c>
      <c r="L144" s="34" t="s">
        <v>465</v>
      </c>
      <c r="M144">
        <v>24619</v>
      </c>
      <c r="N144" t="s">
        <v>62</v>
      </c>
      <c r="O144" t="str">
        <f t="shared" si="14"/>
        <v>12172508931019</v>
      </c>
      <c r="P144" t="s">
        <v>63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465</v>
      </c>
      <c r="AA144" s="38" t="s">
        <v>1</v>
      </c>
      <c r="AB144" t="s">
        <v>465</v>
      </c>
      <c r="AC144">
        <v>0</v>
      </c>
    </row>
    <row r="145" spans="1:29" hidden="1" x14ac:dyDescent="0.25">
      <c r="A145" t="s">
        <v>600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879</v>
      </c>
      <c r="G145" t="s">
        <v>440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34" t="s">
        <v>690</v>
      </c>
      <c r="L145" s="34" t="s">
        <v>465</v>
      </c>
      <c r="M145">
        <v>46005727</v>
      </c>
      <c r="N145" t="s">
        <v>385</v>
      </c>
      <c r="O145" t="str">
        <f t="shared" si="14"/>
        <v>06140104620021</v>
      </c>
      <c r="P145" t="s">
        <v>386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465</v>
      </c>
      <c r="AA145" s="38" t="s">
        <v>1</v>
      </c>
      <c r="AB145" t="s">
        <v>465</v>
      </c>
      <c r="AC145">
        <v>0</v>
      </c>
    </row>
    <row r="146" spans="1:29" hidden="1" x14ac:dyDescent="0.25">
      <c r="A146" t="s">
        <v>600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880</v>
      </c>
      <c r="G146" t="s">
        <v>440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34" t="s">
        <v>690</v>
      </c>
      <c r="L146" s="34" t="s">
        <v>465</v>
      </c>
      <c r="M146">
        <v>939213</v>
      </c>
      <c r="N146" t="s">
        <v>204</v>
      </c>
      <c r="O146" t="str">
        <f t="shared" si="14"/>
        <v>06142407500017</v>
      </c>
      <c r="P146" t="s">
        <v>205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465</v>
      </c>
      <c r="AA146" s="38" t="s">
        <v>1</v>
      </c>
      <c r="AB146" t="s">
        <v>465</v>
      </c>
      <c r="AC146">
        <v>0</v>
      </c>
    </row>
    <row r="147" spans="1:29" hidden="1" x14ac:dyDescent="0.25">
      <c r="A147" t="s">
        <v>600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880</v>
      </c>
      <c r="G147" t="s">
        <v>440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34" t="s">
        <v>690</v>
      </c>
      <c r="L147" s="34" t="s">
        <v>465</v>
      </c>
      <c r="M147">
        <v>5070</v>
      </c>
      <c r="N147" t="s">
        <v>198</v>
      </c>
      <c r="O147" t="str">
        <f t="shared" si="14"/>
        <v>06141708071034</v>
      </c>
      <c r="P147" t="s">
        <v>199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465</v>
      </c>
      <c r="AA147" s="38" t="s">
        <v>1</v>
      </c>
      <c r="AB147" t="s">
        <v>465</v>
      </c>
      <c r="AC147">
        <v>0</v>
      </c>
    </row>
    <row r="148" spans="1:29" hidden="1" x14ac:dyDescent="0.25">
      <c r="A148" t="s">
        <v>600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901</v>
      </c>
      <c r="G148" t="s">
        <v>440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34" t="s">
        <v>690</v>
      </c>
      <c r="L148" s="34" t="s">
        <v>465</v>
      </c>
      <c r="M148">
        <v>287371</v>
      </c>
      <c r="N148" t="s">
        <v>183</v>
      </c>
      <c r="O148" t="str">
        <f t="shared" si="14"/>
        <v>06142307091063</v>
      </c>
      <c r="P148" t="s">
        <v>184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465</v>
      </c>
      <c r="AA148" s="38" t="s">
        <v>1</v>
      </c>
      <c r="AB148" t="s">
        <v>514</v>
      </c>
      <c r="AC148">
        <v>1505.28</v>
      </c>
    </row>
    <row r="149" spans="1:29" hidden="1" x14ac:dyDescent="0.25">
      <c r="A149" t="s">
        <v>600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882</v>
      </c>
      <c r="G149" t="s">
        <v>440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34" t="s">
        <v>690</v>
      </c>
      <c r="L149" s="34" t="s">
        <v>465</v>
      </c>
      <c r="M149">
        <v>48984</v>
      </c>
      <c r="N149" t="s">
        <v>227</v>
      </c>
      <c r="O149" t="str">
        <f t="shared" si="14"/>
        <v>06142008011037</v>
      </c>
      <c r="P149" t="s">
        <v>228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465</v>
      </c>
      <c r="AA149" s="38" t="s">
        <v>1</v>
      </c>
      <c r="AB149" t="s">
        <v>465</v>
      </c>
      <c r="AC149">
        <v>0</v>
      </c>
    </row>
    <row r="150" spans="1:29" hidden="1" x14ac:dyDescent="0.25">
      <c r="A150" t="s">
        <v>600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882</v>
      </c>
      <c r="G150" t="s">
        <v>440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34" t="s">
        <v>690</v>
      </c>
      <c r="L150" s="34" t="s">
        <v>465</v>
      </c>
      <c r="M150">
        <v>46613</v>
      </c>
      <c r="N150" t="s">
        <v>345</v>
      </c>
      <c r="O150" t="str">
        <f t="shared" si="14"/>
        <v>06142209520012</v>
      </c>
      <c r="P150" t="s">
        <v>346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465</v>
      </c>
      <c r="AA150" s="38" t="s">
        <v>1</v>
      </c>
      <c r="AB150" t="s">
        <v>465</v>
      </c>
      <c r="AC150">
        <v>0</v>
      </c>
    </row>
    <row r="151" spans="1:29" hidden="1" x14ac:dyDescent="0.25">
      <c r="A151" t="s">
        <v>600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882</v>
      </c>
      <c r="G151" t="s">
        <v>440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34" t="s">
        <v>690</v>
      </c>
      <c r="L151" s="34" t="s">
        <v>465</v>
      </c>
      <c r="M151">
        <v>46614</v>
      </c>
      <c r="N151" t="s">
        <v>345</v>
      </c>
      <c r="O151" t="str">
        <f t="shared" si="14"/>
        <v>06142209520012</v>
      </c>
      <c r="P151" t="s">
        <v>346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465</v>
      </c>
      <c r="AA151" s="38" t="s">
        <v>1</v>
      </c>
      <c r="AB151" t="s">
        <v>465</v>
      </c>
      <c r="AC151">
        <v>0</v>
      </c>
    </row>
    <row r="152" spans="1:29" hidden="1" x14ac:dyDescent="0.25">
      <c r="A152" t="s">
        <v>600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882</v>
      </c>
      <c r="G152" t="s">
        <v>440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34" t="s">
        <v>690</v>
      </c>
      <c r="L152" s="34" t="s">
        <v>465</v>
      </c>
      <c r="M152">
        <v>524127</v>
      </c>
      <c r="N152" t="s">
        <v>192</v>
      </c>
      <c r="O152" t="str">
        <f t="shared" si="14"/>
        <v>06142708101053</v>
      </c>
      <c r="P152" t="s">
        <v>193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465</v>
      </c>
      <c r="AA152" s="38" t="s">
        <v>1</v>
      </c>
      <c r="AB152" t="s">
        <v>465</v>
      </c>
      <c r="AC152">
        <v>0</v>
      </c>
    </row>
    <row r="153" spans="1:29" hidden="1" x14ac:dyDescent="0.25">
      <c r="A153" t="s">
        <v>600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882</v>
      </c>
      <c r="G153" t="s">
        <v>440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34" t="s">
        <v>690</v>
      </c>
      <c r="L153" s="34" t="s">
        <v>465</v>
      </c>
      <c r="M153">
        <v>24018</v>
      </c>
      <c r="N153" t="s">
        <v>62</v>
      </c>
      <c r="O153" t="str">
        <f t="shared" si="14"/>
        <v>12172508931019</v>
      </c>
      <c r="P153" t="s">
        <v>63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465</v>
      </c>
      <c r="AA153" s="38" t="s">
        <v>1</v>
      </c>
      <c r="AB153" t="s">
        <v>465</v>
      </c>
      <c r="AC153">
        <v>0</v>
      </c>
    </row>
    <row r="154" spans="1:29" hidden="1" x14ac:dyDescent="0.25">
      <c r="A154" t="s">
        <v>600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882</v>
      </c>
      <c r="G154" t="s">
        <v>440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34" t="s">
        <v>690</v>
      </c>
      <c r="L154" s="34" t="s">
        <v>465</v>
      </c>
      <c r="M154">
        <v>2199895</v>
      </c>
      <c r="N154" t="s">
        <v>173</v>
      </c>
      <c r="O154" t="str">
        <f t="shared" si="14"/>
        <v>14070503650018</v>
      </c>
      <c r="P154" t="s">
        <v>174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465</v>
      </c>
      <c r="AA154" s="38" t="s">
        <v>1</v>
      </c>
      <c r="AB154" t="s">
        <v>465</v>
      </c>
      <c r="AC154">
        <v>0</v>
      </c>
    </row>
    <row r="155" spans="1:29" hidden="1" x14ac:dyDescent="0.25">
      <c r="A155" t="s">
        <v>600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</v>
      </c>
      <c r="G155" t="s">
        <v>440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34" t="s">
        <v>690</v>
      </c>
      <c r="L155" s="34" t="s">
        <v>465</v>
      </c>
      <c r="M155">
        <v>22951</v>
      </c>
      <c r="N155" t="s">
        <v>185</v>
      </c>
      <c r="O155" t="str">
        <f t="shared" si="14"/>
        <v>06142407750010</v>
      </c>
      <c r="P155" t="s">
        <v>186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465</v>
      </c>
      <c r="AA155" s="38" t="s">
        <v>1</v>
      </c>
      <c r="AB155" t="s">
        <v>465</v>
      </c>
      <c r="AC155">
        <v>0</v>
      </c>
    </row>
    <row r="156" spans="1:29" hidden="1" x14ac:dyDescent="0.25">
      <c r="A156" t="s">
        <v>600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</v>
      </c>
      <c r="G156" t="s">
        <v>440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34" t="s">
        <v>690</v>
      </c>
      <c r="L156" s="34" t="s">
        <v>465</v>
      </c>
      <c r="M156">
        <v>234769</v>
      </c>
      <c r="N156" t="s">
        <v>173</v>
      </c>
      <c r="O156" t="str">
        <f t="shared" si="14"/>
        <v>14070503650018</v>
      </c>
      <c r="P156" t="s">
        <v>174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465</v>
      </c>
      <c r="AA156" s="38" t="s">
        <v>1</v>
      </c>
      <c r="AB156" t="s">
        <v>514</v>
      </c>
      <c r="AC156">
        <v>538.55999999999995</v>
      </c>
    </row>
    <row r="157" spans="1:29" hidden="1" x14ac:dyDescent="0.25">
      <c r="A157" t="s">
        <v>600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</v>
      </c>
      <c r="G157" t="s">
        <v>440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34" t="s">
        <v>690</v>
      </c>
      <c r="L157" s="34" t="s">
        <v>465</v>
      </c>
      <c r="M157">
        <v>1020183</v>
      </c>
      <c r="N157" t="s">
        <v>29</v>
      </c>
      <c r="O157" t="str">
        <f t="shared" si="14"/>
        <v>06141909001034</v>
      </c>
      <c r="P157" t="s">
        <v>233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465</v>
      </c>
      <c r="AA157" s="38" t="s">
        <v>1</v>
      </c>
      <c r="AB157" t="s">
        <v>465</v>
      </c>
      <c r="AC157">
        <v>0</v>
      </c>
    </row>
    <row r="158" spans="1:29" hidden="1" x14ac:dyDescent="0.25">
      <c r="A158" t="s">
        <v>600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</v>
      </c>
      <c r="G158" t="s">
        <v>440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34" t="s">
        <v>690</v>
      </c>
      <c r="L158" s="34" t="s">
        <v>465</v>
      </c>
      <c r="M158">
        <v>11</v>
      </c>
      <c r="N158" t="s">
        <v>899</v>
      </c>
      <c r="O158" t="str">
        <f t="shared" si="14"/>
        <v>12051405761016</v>
      </c>
      <c r="P158" t="s">
        <v>900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465</v>
      </c>
      <c r="AA158" s="38" t="s">
        <v>1</v>
      </c>
      <c r="AB158" t="s">
        <v>514</v>
      </c>
      <c r="AC158">
        <v>538.55999999999995</v>
      </c>
    </row>
    <row r="159" spans="1:29" hidden="1" x14ac:dyDescent="0.25">
      <c r="A159" t="s">
        <v>600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888</v>
      </c>
      <c r="G159" t="s">
        <v>440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34" t="s">
        <v>690</v>
      </c>
      <c r="L159" s="34" t="s">
        <v>465</v>
      </c>
      <c r="M159">
        <v>14229</v>
      </c>
      <c r="N159" t="s">
        <v>401</v>
      </c>
      <c r="O159" t="str">
        <f t="shared" si="14"/>
        <v>06170103310012</v>
      </c>
      <c r="P159" t="s">
        <v>402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465</v>
      </c>
      <c r="AA159" s="38" t="s">
        <v>1</v>
      </c>
      <c r="AB159" t="s">
        <v>548</v>
      </c>
      <c r="AC159">
        <v>1.22</v>
      </c>
    </row>
    <row r="160" spans="1:29" hidden="1" x14ac:dyDescent="0.25">
      <c r="A160" t="s">
        <v>600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888</v>
      </c>
      <c r="G160" t="s">
        <v>440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34" t="s">
        <v>690</v>
      </c>
      <c r="L160" s="34" t="s">
        <v>465</v>
      </c>
      <c r="M160">
        <v>53905</v>
      </c>
      <c r="N160" t="s">
        <v>187</v>
      </c>
      <c r="O160" t="str">
        <f t="shared" si="14"/>
        <v>07151508430012</v>
      </c>
      <c r="P160" t="s">
        <v>188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465</v>
      </c>
      <c r="AA160" s="38" t="s">
        <v>1</v>
      </c>
      <c r="AB160" t="s">
        <v>465</v>
      </c>
      <c r="AC160">
        <v>0</v>
      </c>
    </row>
    <row r="161" spans="1:29" hidden="1" x14ac:dyDescent="0.25">
      <c r="A161" t="s">
        <v>600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</v>
      </c>
      <c r="G161" t="s">
        <v>440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34" t="s">
        <v>690</v>
      </c>
      <c r="L161" s="34" t="s">
        <v>465</v>
      </c>
      <c r="M161">
        <v>10191</v>
      </c>
      <c r="N161" t="s">
        <v>415</v>
      </c>
      <c r="O161" t="str">
        <f t="shared" si="14"/>
        <v>06142406031056</v>
      </c>
      <c r="P161" t="s">
        <v>416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465</v>
      </c>
      <c r="AA161" s="38" t="s">
        <v>1</v>
      </c>
      <c r="AB161" t="s">
        <v>514</v>
      </c>
      <c r="AC161">
        <v>31.64</v>
      </c>
    </row>
    <row r="162" spans="1:29" hidden="1" x14ac:dyDescent="0.25">
      <c r="A162" t="s">
        <v>600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885</v>
      </c>
      <c r="G162" t="s">
        <v>440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34" t="s">
        <v>690</v>
      </c>
      <c r="L162" s="34" t="s">
        <v>465</v>
      </c>
      <c r="M162">
        <v>28248</v>
      </c>
      <c r="N162" t="s">
        <v>897</v>
      </c>
      <c r="O162" t="str">
        <f t="shared" si="14"/>
        <v>06141808121063</v>
      </c>
      <c r="P162" t="s">
        <v>898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465</v>
      </c>
      <c r="AA162" s="38" t="s">
        <v>1</v>
      </c>
      <c r="AB162" t="s">
        <v>465</v>
      </c>
      <c r="AC162">
        <v>0</v>
      </c>
    </row>
    <row r="163" spans="1:29" hidden="1" x14ac:dyDescent="0.25">
      <c r="A163" t="s">
        <v>600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896</v>
      </c>
      <c r="G163" t="s">
        <v>440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34" t="s">
        <v>690</v>
      </c>
      <c r="L163" s="34" t="s">
        <v>465</v>
      </c>
      <c r="M163">
        <v>42968</v>
      </c>
      <c r="N163" t="s">
        <v>251</v>
      </c>
      <c r="O163" t="str">
        <f t="shared" si="14"/>
        <v>05111703630014</v>
      </c>
      <c r="P163" t="s">
        <v>252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465</v>
      </c>
      <c r="AA163" s="38" t="s">
        <v>1</v>
      </c>
      <c r="AB163" t="s">
        <v>465</v>
      </c>
      <c r="AC163">
        <v>0</v>
      </c>
    </row>
    <row r="164" spans="1:29" hidden="1" x14ac:dyDescent="0.25">
      <c r="A164" t="s">
        <v>600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887</v>
      </c>
      <c r="G164" t="s">
        <v>440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34" t="s">
        <v>690</v>
      </c>
      <c r="L164" s="34" t="s">
        <v>465</v>
      </c>
      <c r="M164">
        <v>2233082</v>
      </c>
      <c r="N164" t="s">
        <v>173</v>
      </c>
      <c r="O164" t="str">
        <f t="shared" si="14"/>
        <v>14070503650018</v>
      </c>
      <c r="P164" t="s">
        <v>174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465</v>
      </c>
      <c r="AA164" s="38" t="s">
        <v>1</v>
      </c>
      <c r="AB164" t="s">
        <v>465</v>
      </c>
      <c r="AC164">
        <v>0</v>
      </c>
    </row>
    <row r="165" spans="1:29" hidden="1" x14ac:dyDescent="0.25">
      <c r="A165" t="s">
        <v>600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819</v>
      </c>
      <c r="G165" t="s">
        <v>440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34" t="s">
        <v>690</v>
      </c>
      <c r="L165" s="34" t="s">
        <v>465</v>
      </c>
      <c r="M165">
        <v>3913981</v>
      </c>
      <c r="N165" t="s">
        <v>274</v>
      </c>
      <c r="O165" t="str">
        <f t="shared" si="14"/>
        <v>06142610981012</v>
      </c>
      <c r="P165" t="s">
        <v>275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465</v>
      </c>
      <c r="AA165" s="38" t="s">
        <v>1</v>
      </c>
      <c r="AB165" t="s">
        <v>465</v>
      </c>
      <c r="AC165">
        <v>0</v>
      </c>
    </row>
    <row r="166" spans="1:29" hidden="1" x14ac:dyDescent="0.25">
      <c r="A166" t="s">
        <v>600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829</v>
      </c>
      <c r="G166" t="s">
        <v>440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34" t="s">
        <v>690</v>
      </c>
      <c r="L166" s="34" t="s">
        <v>465</v>
      </c>
      <c r="M166">
        <v>9597</v>
      </c>
      <c r="N166" t="s">
        <v>323</v>
      </c>
      <c r="O166" t="str">
        <f t="shared" si="14"/>
        <v>06143112510011</v>
      </c>
      <c r="P166" t="s">
        <v>324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465</v>
      </c>
      <c r="AA166" s="38" t="s">
        <v>1</v>
      </c>
      <c r="AB166" t="s">
        <v>514</v>
      </c>
      <c r="AC166">
        <v>2.29</v>
      </c>
    </row>
    <row r="167" spans="1:29" hidden="1" x14ac:dyDescent="0.25">
      <c r="A167" t="s">
        <v>600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794</v>
      </c>
      <c r="G167" t="s">
        <v>440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34" t="s">
        <v>690</v>
      </c>
      <c r="L167" s="34" t="s">
        <v>465</v>
      </c>
      <c r="M167">
        <v>1533</v>
      </c>
      <c r="N167" t="s">
        <v>108</v>
      </c>
      <c r="O167" t="str">
        <f t="shared" si="14"/>
        <v>06141211870020</v>
      </c>
      <c r="P167" t="s">
        <v>109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465</v>
      </c>
      <c r="AA167" s="38" t="s">
        <v>1</v>
      </c>
      <c r="AB167" t="s">
        <v>465</v>
      </c>
      <c r="AC167">
        <v>0</v>
      </c>
    </row>
    <row r="168" spans="1:29" hidden="1" x14ac:dyDescent="0.25">
      <c r="A168" t="s">
        <v>600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796</v>
      </c>
      <c r="G168" t="s">
        <v>440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34" t="s">
        <v>690</v>
      </c>
      <c r="L168" s="34" t="s">
        <v>465</v>
      </c>
      <c r="M168">
        <v>526023</v>
      </c>
      <c r="N168" t="s">
        <v>173</v>
      </c>
      <c r="O168" t="str">
        <f t="shared" si="14"/>
        <v>14070503650018</v>
      </c>
      <c r="P168" t="s">
        <v>174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465</v>
      </c>
      <c r="AA168" s="38" t="s">
        <v>1</v>
      </c>
      <c r="AB168" t="s">
        <v>465</v>
      </c>
      <c r="AC168">
        <v>0</v>
      </c>
    </row>
    <row r="169" spans="1:29" hidden="1" x14ac:dyDescent="0.25">
      <c r="A169" t="s">
        <v>600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797</v>
      </c>
      <c r="G169" t="s">
        <v>440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34" t="s">
        <v>690</v>
      </c>
      <c r="L169" s="34" t="s">
        <v>465</v>
      </c>
      <c r="M169">
        <v>2112</v>
      </c>
      <c r="N169" t="s">
        <v>66</v>
      </c>
      <c r="O169" t="str">
        <f t="shared" si="14"/>
        <v>06142601121035</v>
      </c>
      <c r="P169" t="s">
        <v>67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465</v>
      </c>
      <c r="AA169" s="38" t="s">
        <v>1</v>
      </c>
      <c r="AB169" t="s">
        <v>465</v>
      </c>
      <c r="AC169">
        <v>0</v>
      </c>
    </row>
    <row r="170" spans="1:29" hidden="1" x14ac:dyDescent="0.25">
      <c r="A170" t="s">
        <v>600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795</v>
      </c>
      <c r="G170" t="s">
        <v>440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34" t="s">
        <v>690</v>
      </c>
      <c r="L170" s="34" t="s">
        <v>465</v>
      </c>
      <c r="M170">
        <v>876332</v>
      </c>
      <c r="N170" t="s">
        <v>29</v>
      </c>
      <c r="O170" t="str">
        <f t="shared" si="14"/>
        <v>06141909001034</v>
      </c>
      <c r="P170" t="s">
        <v>233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465</v>
      </c>
      <c r="AA170" s="38" t="s">
        <v>1</v>
      </c>
      <c r="AB170" t="s">
        <v>514</v>
      </c>
      <c r="AC170">
        <v>412.37</v>
      </c>
    </row>
    <row r="171" spans="1:29" hidden="1" x14ac:dyDescent="0.25">
      <c r="A171" t="s">
        <v>600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895</v>
      </c>
      <c r="G171" t="s">
        <v>440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34" t="s">
        <v>690</v>
      </c>
      <c r="L171" s="34" t="s">
        <v>465</v>
      </c>
      <c r="M171">
        <v>40656</v>
      </c>
      <c r="N171" t="s">
        <v>251</v>
      </c>
      <c r="O171" t="str">
        <f t="shared" si="14"/>
        <v>05111703630014</v>
      </c>
      <c r="P171" t="s">
        <v>252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465</v>
      </c>
      <c r="AA171" s="38" t="s">
        <v>1</v>
      </c>
      <c r="AB171" t="s">
        <v>465</v>
      </c>
      <c r="AC171">
        <v>0</v>
      </c>
    </row>
    <row r="172" spans="1:29" hidden="1" x14ac:dyDescent="0.25">
      <c r="A172" t="s">
        <v>600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810</v>
      </c>
      <c r="G172" t="s">
        <v>440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34" t="s">
        <v>690</v>
      </c>
      <c r="L172" s="34" t="s">
        <v>465</v>
      </c>
      <c r="M172">
        <v>24241</v>
      </c>
      <c r="N172" t="s">
        <v>171</v>
      </c>
      <c r="O172" t="str">
        <f t="shared" si="14"/>
        <v>06140711071030</v>
      </c>
      <c r="P172" t="s">
        <v>172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465</v>
      </c>
      <c r="AA172" s="38" t="s">
        <v>1</v>
      </c>
      <c r="AB172" t="s">
        <v>514</v>
      </c>
      <c r="AC172">
        <v>32.119999999999997</v>
      </c>
    </row>
    <row r="173" spans="1:29" hidden="1" x14ac:dyDescent="0.25">
      <c r="A173" t="s">
        <v>600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802</v>
      </c>
      <c r="G173" t="s">
        <v>440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34" t="s">
        <v>690</v>
      </c>
      <c r="L173" s="34" t="s">
        <v>465</v>
      </c>
      <c r="M173">
        <v>39143</v>
      </c>
      <c r="N173" t="s">
        <v>251</v>
      </c>
      <c r="O173" t="str">
        <f t="shared" si="14"/>
        <v>05111703630014</v>
      </c>
      <c r="P173" t="s">
        <v>252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465</v>
      </c>
      <c r="AA173" s="38" t="s">
        <v>1</v>
      </c>
      <c r="AB173" t="s">
        <v>465</v>
      </c>
      <c r="AC173">
        <v>0</v>
      </c>
    </row>
    <row r="174" spans="1:29" hidden="1" x14ac:dyDescent="0.25">
      <c r="A174" t="s">
        <v>600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758</v>
      </c>
      <c r="G174" t="s">
        <v>440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34" t="s">
        <v>690</v>
      </c>
      <c r="L174" s="34" t="s">
        <v>465</v>
      </c>
      <c r="M174">
        <v>1388</v>
      </c>
      <c r="N174" t="s">
        <v>108</v>
      </c>
      <c r="O174" t="str">
        <f t="shared" si="14"/>
        <v>06141211870020</v>
      </c>
      <c r="P174" t="s">
        <v>109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465</v>
      </c>
      <c r="AA174" s="38" t="s">
        <v>1</v>
      </c>
      <c r="AB174" t="s">
        <v>514</v>
      </c>
      <c r="AC174">
        <v>269.27999999999997</v>
      </c>
    </row>
    <row r="175" spans="1:29" hidden="1" x14ac:dyDescent="0.25">
      <c r="A175" t="s">
        <v>600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894</v>
      </c>
      <c r="G175" t="s">
        <v>440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34" t="s">
        <v>690</v>
      </c>
      <c r="L175" s="34" t="s">
        <v>465</v>
      </c>
      <c r="M175">
        <v>26</v>
      </c>
      <c r="N175" t="s">
        <v>546</v>
      </c>
      <c r="O175" t="str">
        <f t="shared" si="14"/>
        <v>05112011861033</v>
      </c>
      <c r="P175" t="s">
        <v>547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465</v>
      </c>
      <c r="AA175" s="38" t="s">
        <v>1</v>
      </c>
      <c r="AB175" t="s">
        <v>465</v>
      </c>
      <c r="AC175">
        <v>0</v>
      </c>
    </row>
    <row r="176" spans="1:29" hidden="1" x14ac:dyDescent="0.25">
      <c r="A176" t="s">
        <v>600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872</v>
      </c>
      <c r="G176" t="s">
        <v>440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34" t="s">
        <v>690</v>
      </c>
      <c r="L176" s="34" t="s">
        <v>465</v>
      </c>
      <c r="M176">
        <v>490</v>
      </c>
      <c r="N176" t="s">
        <v>892</v>
      </c>
      <c r="O176" t="str">
        <f t="shared" si="14"/>
        <v>03021608841022</v>
      </c>
      <c r="P176" t="s">
        <v>893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465</v>
      </c>
      <c r="AA176" s="38" t="s">
        <v>1</v>
      </c>
      <c r="AB176" t="s">
        <v>465</v>
      </c>
      <c r="AC176">
        <v>0</v>
      </c>
    </row>
    <row r="177" spans="1:29" hidden="1" x14ac:dyDescent="0.25">
      <c r="A177" t="s">
        <v>600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872</v>
      </c>
      <c r="G177" t="s">
        <v>440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34" t="s">
        <v>690</v>
      </c>
      <c r="L177" s="34" t="s">
        <v>465</v>
      </c>
      <c r="M177">
        <v>2745</v>
      </c>
      <c r="N177" t="s">
        <v>143</v>
      </c>
      <c r="O177" t="str">
        <f t="shared" si="14"/>
        <v>06142703981055</v>
      </c>
      <c r="P177" t="s">
        <v>144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465</v>
      </c>
      <c r="AA177" s="38" t="s">
        <v>1</v>
      </c>
      <c r="AB177" t="s">
        <v>465</v>
      </c>
      <c r="AC177">
        <v>0</v>
      </c>
    </row>
    <row r="178" spans="1:29" hidden="1" x14ac:dyDescent="0.25">
      <c r="A178" t="s">
        <v>600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872</v>
      </c>
      <c r="G178" t="s">
        <v>440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34" t="s">
        <v>690</v>
      </c>
      <c r="L178" s="34" t="s">
        <v>465</v>
      </c>
      <c r="M178">
        <v>1593</v>
      </c>
      <c r="N178" t="s">
        <v>238</v>
      </c>
      <c r="O178" t="str">
        <f t="shared" si="14"/>
        <v>06141407941017</v>
      </c>
      <c r="P178" t="s">
        <v>239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465</v>
      </c>
      <c r="AA178" s="38" t="s">
        <v>1</v>
      </c>
      <c r="AB178" t="s">
        <v>514</v>
      </c>
      <c r="AC178">
        <v>87.22</v>
      </c>
    </row>
    <row r="179" spans="1:29" hidden="1" x14ac:dyDescent="0.25">
      <c r="A179" t="s">
        <v>600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891</v>
      </c>
      <c r="G179" t="s">
        <v>440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34" t="s">
        <v>690</v>
      </c>
      <c r="L179" s="34" t="s">
        <v>465</v>
      </c>
      <c r="M179">
        <v>186812</v>
      </c>
      <c r="N179" t="s">
        <v>210</v>
      </c>
      <c r="O179" t="str">
        <f t="shared" si="14"/>
        <v>06141403161033</v>
      </c>
      <c r="P179" t="s">
        <v>211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465</v>
      </c>
      <c r="AA179" s="38" t="s">
        <v>1</v>
      </c>
      <c r="AB179" t="s">
        <v>514</v>
      </c>
      <c r="AC179">
        <v>538.55999999999995</v>
      </c>
    </row>
    <row r="180" spans="1:29" hidden="1" x14ac:dyDescent="0.25">
      <c r="A180" t="s">
        <v>600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873</v>
      </c>
      <c r="G180" t="s">
        <v>440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34" t="s">
        <v>690</v>
      </c>
      <c r="L180" s="34" t="s">
        <v>465</v>
      </c>
      <c r="M180">
        <v>1188</v>
      </c>
      <c r="N180" t="s">
        <v>206</v>
      </c>
      <c r="O180" t="str">
        <f t="shared" si="14"/>
        <v>06143003710013</v>
      </c>
      <c r="P180" t="s">
        <v>207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465</v>
      </c>
      <c r="AA180" s="38" t="s">
        <v>1</v>
      </c>
      <c r="AB180" t="s">
        <v>465</v>
      </c>
      <c r="AC180">
        <v>0</v>
      </c>
    </row>
    <row r="181" spans="1:29" hidden="1" x14ac:dyDescent="0.25">
      <c r="A181" t="s">
        <v>600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873</v>
      </c>
      <c r="G181" t="s">
        <v>440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34" t="s">
        <v>690</v>
      </c>
      <c r="L181" s="34" t="s">
        <v>465</v>
      </c>
      <c r="M181">
        <v>209311</v>
      </c>
      <c r="N181" t="s">
        <v>256</v>
      </c>
      <c r="O181" t="str">
        <f t="shared" si="14"/>
        <v>06141512001054</v>
      </c>
      <c r="P181" t="s">
        <v>257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465</v>
      </c>
      <c r="AA181" s="38" t="s">
        <v>1</v>
      </c>
      <c r="AB181" t="s">
        <v>514</v>
      </c>
      <c r="AC181">
        <v>399.3</v>
      </c>
    </row>
    <row r="182" spans="1:29" hidden="1" x14ac:dyDescent="0.25">
      <c r="A182" t="s">
        <v>600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874</v>
      </c>
      <c r="G182" t="s">
        <v>440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34" t="s">
        <v>690</v>
      </c>
      <c r="L182" s="34" t="s">
        <v>465</v>
      </c>
      <c r="M182">
        <v>2672</v>
      </c>
      <c r="N182" t="s">
        <v>143</v>
      </c>
      <c r="O182" t="str">
        <f t="shared" si="14"/>
        <v>06142703981055</v>
      </c>
      <c r="P182" t="s">
        <v>144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465</v>
      </c>
      <c r="AA182" s="38" t="s">
        <v>1</v>
      </c>
      <c r="AB182" t="s">
        <v>514</v>
      </c>
      <c r="AC182">
        <v>163.97</v>
      </c>
    </row>
    <row r="183" spans="1:29" hidden="1" x14ac:dyDescent="0.25">
      <c r="A183" t="s">
        <v>600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874</v>
      </c>
      <c r="G183" t="s">
        <v>440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34" t="s">
        <v>690</v>
      </c>
      <c r="L183" s="34" t="s">
        <v>465</v>
      </c>
      <c r="M183">
        <v>2685</v>
      </c>
      <c r="N183" t="s">
        <v>143</v>
      </c>
      <c r="O183" t="str">
        <f t="shared" si="14"/>
        <v>06142703981055</v>
      </c>
      <c r="P183" t="s">
        <v>144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465</v>
      </c>
      <c r="AA183" s="38" t="s">
        <v>1</v>
      </c>
      <c r="AB183" t="s">
        <v>514</v>
      </c>
      <c r="AC183">
        <v>388.48</v>
      </c>
    </row>
    <row r="184" spans="1:29" hidden="1" x14ac:dyDescent="0.25">
      <c r="A184" t="s">
        <v>600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874</v>
      </c>
      <c r="G184" t="s">
        <v>440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34" t="s">
        <v>690</v>
      </c>
      <c r="L184" s="34" t="s">
        <v>465</v>
      </c>
      <c r="M184">
        <v>2663</v>
      </c>
      <c r="N184" t="s">
        <v>143</v>
      </c>
      <c r="O184" t="str">
        <f t="shared" si="14"/>
        <v>06142703981055</v>
      </c>
      <c r="P184" t="s">
        <v>144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465</v>
      </c>
      <c r="AA184" s="38" t="s">
        <v>1</v>
      </c>
      <c r="AB184" t="s">
        <v>465</v>
      </c>
      <c r="AC184">
        <v>0</v>
      </c>
    </row>
    <row r="185" spans="1:29" hidden="1" x14ac:dyDescent="0.25">
      <c r="A185" t="s">
        <v>600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874</v>
      </c>
      <c r="G185" t="s">
        <v>440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34" t="s">
        <v>690</v>
      </c>
      <c r="L185" s="34" t="s">
        <v>465</v>
      </c>
      <c r="M185">
        <v>56733</v>
      </c>
      <c r="N185" t="s">
        <v>296</v>
      </c>
      <c r="O185" t="str">
        <f t="shared" si="14"/>
        <v>06142312610117</v>
      </c>
      <c r="P185" t="s">
        <v>297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465</v>
      </c>
      <c r="AA185" s="38" t="s">
        <v>1</v>
      </c>
      <c r="AB185" t="s">
        <v>465</v>
      </c>
      <c r="AC185">
        <v>0</v>
      </c>
    </row>
    <row r="186" spans="1:29" hidden="1" x14ac:dyDescent="0.25">
      <c r="A186" t="s">
        <v>600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874</v>
      </c>
      <c r="G186" t="s">
        <v>440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34" t="s">
        <v>690</v>
      </c>
      <c r="L186" s="34" t="s">
        <v>465</v>
      </c>
      <c r="M186">
        <v>24304</v>
      </c>
      <c r="N186" t="s">
        <v>223</v>
      </c>
      <c r="O186" t="str">
        <f t="shared" si="14"/>
        <v>06140406191018</v>
      </c>
      <c r="P186" t="s">
        <v>224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465</v>
      </c>
      <c r="AA186" s="38" t="s">
        <v>1</v>
      </c>
      <c r="AB186" t="s">
        <v>465</v>
      </c>
      <c r="AC186">
        <v>0</v>
      </c>
    </row>
    <row r="187" spans="1:29" hidden="1" x14ac:dyDescent="0.25">
      <c r="A187" t="s">
        <v>600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874</v>
      </c>
      <c r="G187" t="s">
        <v>440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34" t="s">
        <v>690</v>
      </c>
      <c r="L187" s="34" t="s">
        <v>465</v>
      </c>
      <c r="M187">
        <v>1519</v>
      </c>
      <c r="N187" t="s">
        <v>238</v>
      </c>
      <c r="O187" t="str">
        <f t="shared" si="14"/>
        <v>06141407941017</v>
      </c>
      <c r="P187" t="s">
        <v>239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465</v>
      </c>
      <c r="AA187" s="38" t="s">
        <v>1</v>
      </c>
      <c r="AB187" t="s">
        <v>465</v>
      </c>
      <c r="AC187">
        <v>0</v>
      </c>
    </row>
    <row r="188" spans="1:29" hidden="1" x14ac:dyDescent="0.25">
      <c r="A188" t="s">
        <v>600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875</v>
      </c>
      <c r="G188" t="s">
        <v>440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34" t="s">
        <v>690</v>
      </c>
      <c r="L188" s="34" t="s">
        <v>465</v>
      </c>
      <c r="M188">
        <v>2638</v>
      </c>
      <c r="N188" t="s">
        <v>143</v>
      </c>
      <c r="O188" t="str">
        <f t="shared" si="14"/>
        <v>06142703981055</v>
      </c>
      <c r="P188" t="s">
        <v>144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465</v>
      </c>
      <c r="AA188" s="38" t="s">
        <v>1</v>
      </c>
      <c r="AB188" t="s">
        <v>465</v>
      </c>
      <c r="AC188">
        <v>0</v>
      </c>
    </row>
    <row r="189" spans="1:29" hidden="1" x14ac:dyDescent="0.25">
      <c r="A189" t="s">
        <v>600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875</v>
      </c>
      <c r="G189" t="s">
        <v>440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34" t="s">
        <v>690</v>
      </c>
      <c r="L189" s="34" t="s">
        <v>465</v>
      </c>
      <c r="M189">
        <v>106</v>
      </c>
      <c r="N189" t="s">
        <v>112</v>
      </c>
      <c r="O189" t="str">
        <f t="shared" si="14"/>
        <v>06143105181040</v>
      </c>
      <c r="P189" t="s">
        <v>113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465</v>
      </c>
      <c r="AA189" s="38" t="s">
        <v>1</v>
      </c>
      <c r="AB189" t="s">
        <v>465</v>
      </c>
      <c r="AC189">
        <v>0</v>
      </c>
    </row>
    <row r="190" spans="1:29" hidden="1" x14ac:dyDescent="0.25">
      <c r="A190" t="s">
        <v>600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890</v>
      </c>
      <c r="G190" t="s">
        <v>440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34" t="s">
        <v>690</v>
      </c>
      <c r="L190" s="34" t="s">
        <v>465</v>
      </c>
      <c r="M190">
        <v>5057</v>
      </c>
      <c r="N190" t="s">
        <v>264</v>
      </c>
      <c r="O190" t="str">
        <f t="shared" si="14"/>
        <v>06141605081040</v>
      </c>
      <c r="P190" t="s">
        <v>265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465</v>
      </c>
      <c r="AA190" s="38" t="s">
        <v>1</v>
      </c>
      <c r="AB190" t="s">
        <v>514</v>
      </c>
      <c r="AC190">
        <v>403.92</v>
      </c>
    </row>
    <row r="191" spans="1:29" hidden="1" x14ac:dyDescent="0.25">
      <c r="A191" t="s">
        <v>600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890</v>
      </c>
      <c r="G191" t="s">
        <v>440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34" t="s">
        <v>690</v>
      </c>
      <c r="L191" s="34" t="s">
        <v>465</v>
      </c>
      <c r="M191">
        <v>2159363</v>
      </c>
      <c r="N191" t="s">
        <v>192</v>
      </c>
      <c r="O191" t="str">
        <f t="shared" si="14"/>
        <v>06142708101053</v>
      </c>
      <c r="P191" t="s">
        <v>193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465</v>
      </c>
      <c r="AA191" s="38" t="s">
        <v>1</v>
      </c>
      <c r="AB191" t="s">
        <v>465</v>
      </c>
      <c r="AC191">
        <v>0</v>
      </c>
    </row>
    <row r="192" spans="1:29" hidden="1" x14ac:dyDescent="0.25">
      <c r="A192" t="s">
        <v>600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890</v>
      </c>
      <c r="G192" t="s">
        <v>440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34" t="s">
        <v>690</v>
      </c>
      <c r="L192" s="34" t="s">
        <v>465</v>
      </c>
      <c r="M192">
        <v>28531</v>
      </c>
      <c r="N192" t="s">
        <v>200</v>
      </c>
      <c r="O192" t="str">
        <f t="shared" si="14"/>
        <v>14162710661017</v>
      </c>
      <c r="P192" t="s">
        <v>201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465</v>
      </c>
      <c r="AA192" s="38" t="s">
        <v>1</v>
      </c>
      <c r="AB192" t="s">
        <v>465</v>
      </c>
      <c r="AC192">
        <v>0</v>
      </c>
    </row>
    <row r="193" spans="1:29" hidden="1" x14ac:dyDescent="0.25">
      <c r="A193" t="s">
        <v>600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876</v>
      </c>
      <c r="G193" t="s">
        <v>440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34" t="s">
        <v>690</v>
      </c>
      <c r="L193" s="34" t="s">
        <v>465</v>
      </c>
      <c r="M193">
        <v>309391</v>
      </c>
      <c r="N193" t="s">
        <v>354</v>
      </c>
      <c r="O193" t="str">
        <f t="shared" si="14"/>
        <v>06141312850038</v>
      </c>
      <c r="P193" t="s">
        <v>355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465</v>
      </c>
      <c r="AA193" s="38" t="s">
        <v>1</v>
      </c>
      <c r="AB193" t="s">
        <v>465</v>
      </c>
      <c r="AC193">
        <v>0</v>
      </c>
    </row>
    <row r="194" spans="1:29" hidden="1" x14ac:dyDescent="0.25">
      <c r="A194" t="s">
        <v>600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876</v>
      </c>
      <c r="G194" t="s">
        <v>440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34" t="s">
        <v>690</v>
      </c>
      <c r="L194" s="34" t="s">
        <v>465</v>
      </c>
      <c r="M194">
        <v>3986</v>
      </c>
      <c r="N194" t="s">
        <v>427</v>
      </c>
      <c r="O194" t="str">
        <f t="shared" si="14"/>
        <v>06140404081061</v>
      </c>
      <c r="P194" t="s">
        <v>428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465</v>
      </c>
      <c r="AA194" s="38" t="s">
        <v>1</v>
      </c>
      <c r="AB194" t="s">
        <v>465</v>
      </c>
      <c r="AC194">
        <v>0</v>
      </c>
    </row>
    <row r="195" spans="1:29" hidden="1" x14ac:dyDescent="0.25">
      <c r="A195" t="s">
        <v>600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879</v>
      </c>
      <c r="G195" t="s">
        <v>440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34" t="s">
        <v>690</v>
      </c>
      <c r="L195" s="34" t="s">
        <v>465</v>
      </c>
      <c r="M195">
        <v>209180</v>
      </c>
      <c r="N195" t="s">
        <v>256</v>
      </c>
      <c r="O195" t="str">
        <f t="shared" ref="O195:O258" si="19">IF(N195="",Z195,N195)</f>
        <v>06141512001054</v>
      </c>
      <c r="P195" t="s">
        <v>257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465</v>
      </c>
      <c r="AA195" s="38" t="s">
        <v>1</v>
      </c>
      <c r="AB195" t="s">
        <v>549</v>
      </c>
      <c r="AC195">
        <v>576.45000000000005</v>
      </c>
    </row>
    <row r="196" spans="1:29" hidden="1" x14ac:dyDescent="0.25">
      <c r="A196" t="s">
        <v>600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879</v>
      </c>
      <c r="G196" t="s">
        <v>440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34" t="s">
        <v>690</v>
      </c>
      <c r="L196" s="34" t="s">
        <v>465</v>
      </c>
      <c r="M196">
        <v>30624</v>
      </c>
      <c r="N196" t="s">
        <v>214</v>
      </c>
      <c r="O196" t="str">
        <f t="shared" si="19"/>
        <v>06142501101070</v>
      </c>
      <c r="P196" t="s">
        <v>215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465</v>
      </c>
      <c r="AA196" s="38" t="s">
        <v>1</v>
      </c>
      <c r="AB196" t="s">
        <v>465</v>
      </c>
      <c r="AC196">
        <v>0</v>
      </c>
    </row>
    <row r="197" spans="1:29" hidden="1" x14ac:dyDescent="0.25">
      <c r="A197" t="s">
        <v>600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879</v>
      </c>
      <c r="G197" t="s">
        <v>440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34" t="s">
        <v>690</v>
      </c>
      <c r="L197" s="34" t="s">
        <v>465</v>
      </c>
      <c r="M197">
        <v>2516</v>
      </c>
      <c r="N197" t="s">
        <v>143</v>
      </c>
      <c r="O197" t="str">
        <f t="shared" si="19"/>
        <v>06142703981055</v>
      </c>
      <c r="P197" t="s">
        <v>144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465</v>
      </c>
      <c r="AA197" s="38" t="s">
        <v>1</v>
      </c>
      <c r="AB197" t="s">
        <v>514</v>
      </c>
      <c r="AC197">
        <v>522.05999999999995</v>
      </c>
    </row>
    <row r="198" spans="1:29" hidden="1" x14ac:dyDescent="0.25">
      <c r="A198" t="s">
        <v>600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879</v>
      </c>
      <c r="G198" t="s">
        <v>440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34" t="s">
        <v>690</v>
      </c>
      <c r="L198" s="34" t="s">
        <v>465</v>
      </c>
      <c r="M198">
        <v>2508</v>
      </c>
      <c r="N198" t="s">
        <v>143</v>
      </c>
      <c r="O198" t="str">
        <f t="shared" si="19"/>
        <v>06142703981055</v>
      </c>
      <c r="P198" t="s">
        <v>144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465</v>
      </c>
      <c r="AA198" s="38" t="s">
        <v>1</v>
      </c>
      <c r="AB198" t="s">
        <v>465</v>
      </c>
      <c r="AC198">
        <v>0</v>
      </c>
    </row>
    <row r="199" spans="1:29" hidden="1" x14ac:dyDescent="0.25">
      <c r="A199" t="s">
        <v>600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879</v>
      </c>
      <c r="G199" t="s">
        <v>440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34" t="s">
        <v>690</v>
      </c>
      <c r="L199" s="34" t="s">
        <v>465</v>
      </c>
      <c r="M199">
        <v>2509</v>
      </c>
      <c r="N199" t="s">
        <v>143</v>
      </c>
      <c r="O199" t="str">
        <f t="shared" si="19"/>
        <v>06142703981055</v>
      </c>
      <c r="P199" t="s">
        <v>144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465</v>
      </c>
      <c r="AA199" s="38" t="s">
        <v>1</v>
      </c>
      <c r="AB199" t="s">
        <v>514</v>
      </c>
      <c r="AC199">
        <v>209.37</v>
      </c>
    </row>
    <row r="200" spans="1:29" hidden="1" x14ac:dyDescent="0.25">
      <c r="A200" t="s">
        <v>600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879</v>
      </c>
      <c r="G200" t="s">
        <v>440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34" t="s">
        <v>690</v>
      </c>
      <c r="L200" s="34" t="s">
        <v>465</v>
      </c>
      <c r="M200">
        <v>5681</v>
      </c>
      <c r="N200" t="s">
        <v>219</v>
      </c>
      <c r="O200" t="str">
        <f t="shared" si="19"/>
        <v>06140210081052</v>
      </c>
      <c r="P200" t="s">
        <v>220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465</v>
      </c>
      <c r="AA200" s="38" t="s">
        <v>1</v>
      </c>
      <c r="AB200" t="s">
        <v>465</v>
      </c>
      <c r="AC200">
        <v>0</v>
      </c>
    </row>
    <row r="201" spans="1:29" hidden="1" x14ac:dyDescent="0.25">
      <c r="A201" t="s">
        <v>600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879</v>
      </c>
      <c r="G201" t="s">
        <v>440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34" t="s">
        <v>690</v>
      </c>
      <c r="L201" s="34" t="s">
        <v>465</v>
      </c>
      <c r="M201">
        <v>4228160</v>
      </c>
      <c r="N201" t="s">
        <v>167</v>
      </c>
      <c r="O201" t="str">
        <f t="shared" si="19"/>
        <v>06140108580017</v>
      </c>
      <c r="P201" t="s">
        <v>168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465</v>
      </c>
      <c r="AA201" s="38" t="s">
        <v>1</v>
      </c>
      <c r="AB201" t="s">
        <v>465</v>
      </c>
      <c r="AC201">
        <v>0</v>
      </c>
    </row>
    <row r="202" spans="1:29" hidden="1" x14ac:dyDescent="0.25">
      <c r="A202" t="s">
        <v>600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879</v>
      </c>
      <c r="G202" t="s">
        <v>440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34" t="s">
        <v>690</v>
      </c>
      <c r="L202" s="34" t="s">
        <v>465</v>
      </c>
      <c r="M202">
        <v>25</v>
      </c>
      <c r="N202" t="s">
        <v>546</v>
      </c>
      <c r="O202" t="str">
        <f t="shared" si="19"/>
        <v>05112011861033</v>
      </c>
      <c r="P202" t="s">
        <v>547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465</v>
      </c>
      <c r="AA202" s="38" t="s">
        <v>1</v>
      </c>
      <c r="AB202" t="s">
        <v>465</v>
      </c>
      <c r="AC202">
        <v>0</v>
      </c>
    </row>
    <row r="203" spans="1:29" hidden="1" x14ac:dyDescent="0.25">
      <c r="A203" t="s">
        <v>600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880</v>
      </c>
      <c r="G203" t="s">
        <v>440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34" t="s">
        <v>690</v>
      </c>
      <c r="L203" s="34" t="s">
        <v>465</v>
      </c>
      <c r="M203">
        <v>27745</v>
      </c>
      <c r="N203" t="s">
        <v>200</v>
      </c>
      <c r="O203" t="str">
        <f t="shared" si="19"/>
        <v>14162710661017</v>
      </c>
      <c r="P203" t="s">
        <v>201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465</v>
      </c>
      <c r="AA203" s="38" t="s">
        <v>1</v>
      </c>
      <c r="AB203" t="s">
        <v>514</v>
      </c>
      <c r="AC203">
        <v>148.62</v>
      </c>
    </row>
    <row r="204" spans="1:29" hidden="1" x14ac:dyDescent="0.25">
      <c r="A204" t="s">
        <v>600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881</v>
      </c>
      <c r="G204" t="s">
        <v>440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34" t="s">
        <v>690</v>
      </c>
      <c r="L204" s="34" t="s">
        <v>465</v>
      </c>
      <c r="M204">
        <v>626369</v>
      </c>
      <c r="N204" t="s">
        <v>175</v>
      </c>
      <c r="O204" t="str">
        <f t="shared" si="19"/>
        <v>06141101690011</v>
      </c>
      <c r="P204" t="s">
        <v>176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465</v>
      </c>
      <c r="AA204" s="38" t="s">
        <v>1</v>
      </c>
      <c r="AB204" t="s">
        <v>465</v>
      </c>
      <c r="AC204">
        <v>0</v>
      </c>
    </row>
    <row r="205" spans="1:29" hidden="1" x14ac:dyDescent="0.25">
      <c r="A205" t="s">
        <v>600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881</v>
      </c>
      <c r="G205" t="s">
        <v>440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34" t="s">
        <v>690</v>
      </c>
      <c r="L205" s="34" t="s">
        <v>465</v>
      </c>
      <c r="M205">
        <v>378</v>
      </c>
      <c r="N205" t="s">
        <v>278</v>
      </c>
      <c r="O205" t="str">
        <f t="shared" si="19"/>
        <v>11181602731029</v>
      </c>
      <c r="P205" t="s">
        <v>279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465</v>
      </c>
      <c r="AA205" s="38" t="s">
        <v>1</v>
      </c>
      <c r="AB205" t="s">
        <v>465</v>
      </c>
      <c r="AC205">
        <v>0</v>
      </c>
    </row>
    <row r="206" spans="1:29" hidden="1" x14ac:dyDescent="0.25">
      <c r="A206" t="s">
        <v>600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882</v>
      </c>
      <c r="G206" t="s">
        <v>440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34" t="s">
        <v>690</v>
      </c>
      <c r="L206" s="34" t="s">
        <v>465</v>
      </c>
      <c r="M206">
        <v>4728</v>
      </c>
      <c r="N206" t="s">
        <v>198</v>
      </c>
      <c r="O206" t="str">
        <f t="shared" si="19"/>
        <v>06141708071034</v>
      </c>
      <c r="P206" t="s">
        <v>199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465</v>
      </c>
      <c r="AA206" s="38" t="s">
        <v>1</v>
      </c>
      <c r="AB206" t="s">
        <v>514</v>
      </c>
      <c r="AC206">
        <v>269.27999999999997</v>
      </c>
    </row>
    <row r="207" spans="1:29" hidden="1" x14ac:dyDescent="0.25">
      <c r="A207" t="s">
        <v>600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889</v>
      </c>
      <c r="G207" t="s">
        <v>440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34" t="s">
        <v>690</v>
      </c>
      <c r="L207" s="34" t="s">
        <v>465</v>
      </c>
      <c r="M207">
        <v>2448</v>
      </c>
      <c r="N207" t="s">
        <v>143</v>
      </c>
      <c r="O207" t="str">
        <f t="shared" si="19"/>
        <v>06142703981055</v>
      </c>
      <c r="P207" t="s">
        <v>144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465</v>
      </c>
      <c r="AA207" s="38" t="s">
        <v>1</v>
      </c>
      <c r="AB207" t="s">
        <v>465</v>
      </c>
      <c r="AC207">
        <v>0</v>
      </c>
    </row>
    <row r="208" spans="1:29" hidden="1" x14ac:dyDescent="0.25">
      <c r="A208" t="s">
        <v>600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889</v>
      </c>
      <c r="G208" t="s">
        <v>440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34" t="s">
        <v>690</v>
      </c>
      <c r="L208" s="34" t="s">
        <v>465</v>
      </c>
      <c r="M208">
        <v>2449</v>
      </c>
      <c r="N208" t="s">
        <v>143</v>
      </c>
      <c r="O208" t="str">
        <f t="shared" si="19"/>
        <v>06142703981055</v>
      </c>
      <c r="P208" t="s">
        <v>144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465</v>
      </c>
      <c r="AA208" s="38" t="s">
        <v>1</v>
      </c>
      <c r="AB208" t="s">
        <v>465</v>
      </c>
      <c r="AC208">
        <v>0</v>
      </c>
    </row>
    <row r="209" spans="1:29" hidden="1" x14ac:dyDescent="0.25">
      <c r="A209" t="s">
        <v>600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889</v>
      </c>
      <c r="G209" t="s">
        <v>440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34" t="s">
        <v>690</v>
      </c>
      <c r="L209" s="34" t="s">
        <v>465</v>
      </c>
      <c r="M209">
        <v>22520</v>
      </c>
      <c r="N209" t="s">
        <v>223</v>
      </c>
      <c r="O209" t="str">
        <f t="shared" si="19"/>
        <v>06140406191018</v>
      </c>
      <c r="P209" t="s">
        <v>224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465</v>
      </c>
      <c r="AA209" s="38" t="s">
        <v>1</v>
      </c>
      <c r="AB209" t="s">
        <v>514</v>
      </c>
      <c r="AC209">
        <v>143.15</v>
      </c>
    </row>
    <row r="210" spans="1:29" hidden="1" x14ac:dyDescent="0.25">
      <c r="A210" t="s">
        <v>600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889</v>
      </c>
      <c r="G210" t="s">
        <v>440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34" t="s">
        <v>690</v>
      </c>
      <c r="L210" s="34" t="s">
        <v>465</v>
      </c>
      <c r="M210">
        <v>2256</v>
      </c>
      <c r="N210" t="s">
        <v>66</v>
      </c>
      <c r="O210" t="str">
        <f t="shared" si="19"/>
        <v>06142601121035</v>
      </c>
      <c r="P210" t="s">
        <v>67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465</v>
      </c>
      <c r="AA210" s="38" t="s">
        <v>1</v>
      </c>
      <c r="AB210" t="s">
        <v>465</v>
      </c>
      <c r="AC210">
        <v>0</v>
      </c>
    </row>
    <row r="211" spans="1:29" hidden="1" x14ac:dyDescent="0.25">
      <c r="A211" t="s">
        <v>600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888</v>
      </c>
      <c r="G211" t="s">
        <v>440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34" t="s">
        <v>690</v>
      </c>
      <c r="L211" s="34" t="s">
        <v>465</v>
      </c>
      <c r="M211">
        <v>1534163</v>
      </c>
      <c r="N211" t="s">
        <v>221</v>
      </c>
      <c r="O211" t="str">
        <f t="shared" si="19"/>
        <v>06140812610145</v>
      </c>
      <c r="P211" t="s">
        <v>222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465</v>
      </c>
      <c r="AA211" s="38" t="s">
        <v>1</v>
      </c>
      <c r="AB211" t="s">
        <v>465</v>
      </c>
      <c r="AC211">
        <v>0</v>
      </c>
    </row>
    <row r="212" spans="1:29" hidden="1" x14ac:dyDescent="0.25">
      <c r="A212" t="s">
        <v>600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888</v>
      </c>
      <c r="G212" t="s">
        <v>440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34" t="s">
        <v>690</v>
      </c>
      <c r="L212" s="34" t="s">
        <v>465</v>
      </c>
      <c r="M212">
        <v>2349</v>
      </c>
      <c r="N212" t="s">
        <v>143</v>
      </c>
      <c r="O212" t="str">
        <f t="shared" si="19"/>
        <v>06142703981055</v>
      </c>
      <c r="P212" t="s">
        <v>144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465</v>
      </c>
      <c r="AA212" s="38" t="s">
        <v>1</v>
      </c>
      <c r="AB212" t="s">
        <v>465</v>
      </c>
      <c r="AC212">
        <v>0</v>
      </c>
    </row>
    <row r="213" spans="1:29" hidden="1" x14ac:dyDescent="0.25">
      <c r="A213" t="s">
        <v>600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888</v>
      </c>
      <c r="G213" t="s">
        <v>440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34" t="s">
        <v>690</v>
      </c>
      <c r="L213" s="34" t="s">
        <v>465</v>
      </c>
      <c r="M213">
        <v>1347669</v>
      </c>
      <c r="N213" t="s">
        <v>192</v>
      </c>
      <c r="O213" t="str">
        <f t="shared" si="19"/>
        <v>06142708101053</v>
      </c>
      <c r="P213" t="s">
        <v>193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465</v>
      </c>
      <c r="AA213" s="38" t="s">
        <v>1</v>
      </c>
      <c r="AB213" t="s">
        <v>465</v>
      </c>
      <c r="AC213">
        <v>0</v>
      </c>
    </row>
    <row r="214" spans="1:29" hidden="1" x14ac:dyDescent="0.25">
      <c r="A214" t="s">
        <v>600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888</v>
      </c>
      <c r="G214" t="s">
        <v>440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34" t="s">
        <v>690</v>
      </c>
      <c r="L214" s="34" t="s">
        <v>465</v>
      </c>
      <c r="M214">
        <v>1125</v>
      </c>
      <c r="N214" t="s">
        <v>206</v>
      </c>
      <c r="O214" t="str">
        <f t="shared" si="19"/>
        <v>06143003710013</v>
      </c>
      <c r="P214" t="s">
        <v>207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465</v>
      </c>
      <c r="AA214" s="38" t="s">
        <v>1</v>
      </c>
      <c r="AB214" t="s">
        <v>465</v>
      </c>
      <c r="AC214">
        <v>0</v>
      </c>
    </row>
    <row r="215" spans="1:29" hidden="1" x14ac:dyDescent="0.25">
      <c r="A215" t="s">
        <v>600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</v>
      </c>
      <c r="G215" t="s">
        <v>440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34" t="s">
        <v>690</v>
      </c>
      <c r="L215" s="34" t="s">
        <v>465</v>
      </c>
      <c r="M215">
        <v>183148</v>
      </c>
      <c r="N215" t="s">
        <v>210</v>
      </c>
      <c r="O215" t="str">
        <f t="shared" si="19"/>
        <v>06141403161033</v>
      </c>
      <c r="P215" t="s">
        <v>211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465</v>
      </c>
      <c r="AA215" s="38" t="s">
        <v>1</v>
      </c>
      <c r="AB215" t="s">
        <v>465</v>
      </c>
      <c r="AC215">
        <v>0</v>
      </c>
    </row>
    <row r="216" spans="1:29" hidden="1" x14ac:dyDescent="0.25">
      <c r="A216" t="s">
        <v>600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887</v>
      </c>
      <c r="G216" t="s">
        <v>440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34" t="s">
        <v>690</v>
      </c>
      <c r="L216" s="34" t="s">
        <v>465</v>
      </c>
      <c r="M216">
        <v>661</v>
      </c>
      <c r="N216" t="s">
        <v>341</v>
      </c>
      <c r="O216" t="str">
        <f t="shared" si="19"/>
        <v>05112308101011</v>
      </c>
      <c r="P216" t="s">
        <v>342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465</v>
      </c>
      <c r="AA216" s="38" t="s">
        <v>1</v>
      </c>
      <c r="AB216" t="s">
        <v>465</v>
      </c>
      <c r="AC216">
        <v>0</v>
      </c>
    </row>
    <row r="217" spans="1:29" hidden="1" x14ac:dyDescent="0.25">
      <c r="A217" t="s">
        <v>600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887</v>
      </c>
      <c r="G217" t="s">
        <v>440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34" t="s">
        <v>690</v>
      </c>
      <c r="L217" s="34" t="s">
        <v>465</v>
      </c>
      <c r="M217">
        <v>2156874</v>
      </c>
      <c r="N217" t="s">
        <v>192</v>
      </c>
      <c r="O217" t="str">
        <f t="shared" si="19"/>
        <v>06142708101053</v>
      </c>
      <c r="P217" t="s">
        <v>193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465</v>
      </c>
      <c r="AA217" s="38" t="s">
        <v>1</v>
      </c>
      <c r="AB217" t="s">
        <v>465</v>
      </c>
      <c r="AC217">
        <v>0</v>
      </c>
    </row>
    <row r="218" spans="1:29" hidden="1" x14ac:dyDescent="0.25">
      <c r="A218" t="s">
        <v>600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819</v>
      </c>
      <c r="G218" t="s">
        <v>440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34" t="s">
        <v>690</v>
      </c>
      <c r="L218" s="34" t="s">
        <v>465</v>
      </c>
      <c r="M218">
        <v>2261</v>
      </c>
      <c r="N218" t="s">
        <v>143</v>
      </c>
      <c r="O218" t="str">
        <f t="shared" si="19"/>
        <v>06142703981055</v>
      </c>
      <c r="P218" t="s">
        <v>144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465</v>
      </c>
      <c r="AA218" s="38" t="s">
        <v>1</v>
      </c>
      <c r="AB218" t="s">
        <v>465</v>
      </c>
      <c r="AC218">
        <v>0</v>
      </c>
    </row>
    <row r="219" spans="1:29" hidden="1" x14ac:dyDescent="0.25">
      <c r="A219" t="s">
        <v>600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794</v>
      </c>
      <c r="G219" t="s">
        <v>440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34" t="s">
        <v>690</v>
      </c>
      <c r="L219" s="34" t="s">
        <v>465</v>
      </c>
      <c r="M219">
        <v>22278</v>
      </c>
      <c r="N219" t="s">
        <v>179</v>
      </c>
      <c r="O219" t="str">
        <f t="shared" si="19"/>
        <v>06142302931020</v>
      </c>
      <c r="P219" t="s">
        <v>180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465</v>
      </c>
      <c r="AA219" s="38" t="s">
        <v>1</v>
      </c>
      <c r="AB219" t="s">
        <v>465</v>
      </c>
      <c r="AC219">
        <v>0</v>
      </c>
    </row>
    <row r="220" spans="1:29" hidden="1" x14ac:dyDescent="0.25">
      <c r="A220" t="s">
        <v>600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798</v>
      </c>
      <c r="G220" t="s">
        <v>440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34" t="s">
        <v>690</v>
      </c>
      <c r="L220" s="34" t="s">
        <v>465</v>
      </c>
      <c r="M220">
        <v>97023</v>
      </c>
      <c r="N220" t="s">
        <v>162</v>
      </c>
      <c r="O220" t="str">
        <f t="shared" si="19"/>
        <v>94832404991012</v>
      </c>
      <c r="P220" t="s">
        <v>163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465</v>
      </c>
      <c r="AA220" s="38" t="s">
        <v>1</v>
      </c>
      <c r="AB220" t="s">
        <v>465</v>
      </c>
      <c r="AC220">
        <v>0</v>
      </c>
    </row>
    <row r="221" spans="1:29" hidden="1" x14ac:dyDescent="0.25">
      <c r="A221" t="s">
        <v>600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801</v>
      </c>
      <c r="G221" t="s">
        <v>440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34" t="s">
        <v>690</v>
      </c>
      <c r="L221" s="34" t="s">
        <v>465</v>
      </c>
      <c r="M221">
        <v>2743</v>
      </c>
      <c r="N221" t="s">
        <v>294</v>
      </c>
      <c r="O221" t="str">
        <f t="shared" si="19"/>
        <v>13071610671016</v>
      </c>
      <c r="P221" t="s">
        <v>295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465</v>
      </c>
      <c r="AA221" s="38" t="s">
        <v>1</v>
      </c>
      <c r="AB221" t="s">
        <v>465</v>
      </c>
      <c r="AC221">
        <v>0</v>
      </c>
    </row>
    <row r="222" spans="1:29" hidden="1" x14ac:dyDescent="0.25">
      <c r="A222" t="s">
        <v>600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820</v>
      </c>
      <c r="G222" t="s">
        <v>440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34" t="s">
        <v>690</v>
      </c>
      <c r="L222" s="34" t="s">
        <v>465</v>
      </c>
      <c r="M222">
        <v>72670</v>
      </c>
      <c r="N222" t="s">
        <v>162</v>
      </c>
      <c r="O222" t="str">
        <f t="shared" si="19"/>
        <v>94832404991012</v>
      </c>
      <c r="P222" t="s">
        <v>163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465</v>
      </c>
      <c r="AA222" s="38" t="s">
        <v>1</v>
      </c>
      <c r="AB222" t="s">
        <v>465</v>
      </c>
      <c r="AC222">
        <v>0</v>
      </c>
    </row>
    <row r="223" spans="1:29" hidden="1" x14ac:dyDescent="0.25">
      <c r="A223" t="s">
        <v>600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886</v>
      </c>
      <c r="G223" t="s">
        <v>440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34" t="s">
        <v>690</v>
      </c>
      <c r="L223" s="34" t="s">
        <v>465</v>
      </c>
      <c r="M223">
        <v>7550</v>
      </c>
      <c r="N223" t="s">
        <v>370</v>
      </c>
      <c r="O223" t="str">
        <f t="shared" si="19"/>
        <v>06141402891011</v>
      </c>
      <c r="P223" t="s">
        <v>371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465</v>
      </c>
      <c r="AA223" s="38" t="s">
        <v>1</v>
      </c>
      <c r="AB223" t="s">
        <v>520</v>
      </c>
      <c r="AC223">
        <v>9.02</v>
      </c>
    </row>
    <row r="224" spans="1:29" hidden="1" x14ac:dyDescent="0.25">
      <c r="A224" t="s">
        <v>600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886</v>
      </c>
      <c r="G224" t="s">
        <v>440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34" t="s">
        <v>690</v>
      </c>
      <c r="L224" s="34" t="s">
        <v>465</v>
      </c>
      <c r="M224">
        <v>117138</v>
      </c>
      <c r="N224" t="s">
        <v>299</v>
      </c>
      <c r="O224" t="str">
        <f t="shared" si="19"/>
        <v>06141702660013</v>
      </c>
      <c r="P224" t="s">
        <v>300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465</v>
      </c>
      <c r="AA224" s="38" t="s">
        <v>1</v>
      </c>
      <c r="AB224" t="s">
        <v>465</v>
      </c>
      <c r="AC224">
        <v>0</v>
      </c>
    </row>
    <row r="225" spans="1:29" hidden="1" x14ac:dyDescent="0.25">
      <c r="A225" t="s">
        <v>600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759</v>
      </c>
      <c r="G225" t="s">
        <v>440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34" t="s">
        <v>690</v>
      </c>
      <c r="L225" s="34" t="s">
        <v>465</v>
      </c>
      <c r="M225">
        <v>72</v>
      </c>
      <c r="N225" t="s">
        <v>160</v>
      </c>
      <c r="O225" t="str">
        <f t="shared" si="19"/>
        <v>06141203791032</v>
      </c>
      <c r="P225" t="s">
        <v>161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465</v>
      </c>
      <c r="AA225" s="38" t="s">
        <v>1</v>
      </c>
      <c r="AB225" t="s">
        <v>465</v>
      </c>
      <c r="AC225">
        <v>0</v>
      </c>
    </row>
    <row r="226" spans="1:29" hidden="1" x14ac:dyDescent="0.25">
      <c r="A226" t="s">
        <v>599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803</v>
      </c>
      <c r="G226" t="s">
        <v>440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34" t="s">
        <v>690</v>
      </c>
      <c r="L226" s="34" t="s">
        <v>465</v>
      </c>
      <c r="M226">
        <v>972074</v>
      </c>
      <c r="N226" t="s">
        <v>29</v>
      </c>
      <c r="O226" t="str">
        <f t="shared" si="19"/>
        <v>06141909001034</v>
      </c>
      <c r="P226" t="s">
        <v>233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465</v>
      </c>
      <c r="AA226" s="38" t="s">
        <v>1</v>
      </c>
      <c r="AB226" t="s">
        <v>465</v>
      </c>
      <c r="AC226">
        <v>0</v>
      </c>
    </row>
    <row r="227" spans="1:29" hidden="1" x14ac:dyDescent="0.25">
      <c r="A227" t="s">
        <v>599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820</v>
      </c>
      <c r="G227" t="s">
        <v>440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34" t="s">
        <v>690</v>
      </c>
      <c r="L227" s="34" t="s">
        <v>465</v>
      </c>
      <c r="M227">
        <v>45078</v>
      </c>
      <c r="N227" t="s">
        <v>327</v>
      </c>
      <c r="O227" t="str">
        <f t="shared" si="19"/>
        <v>06141612991019</v>
      </c>
      <c r="P227" t="s">
        <v>328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465</v>
      </c>
      <c r="AA227" s="38" t="s">
        <v>1</v>
      </c>
      <c r="AB227" t="s">
        <v>465</v>
      </c>
      <c r="AC227">
        <v>0</v>
      </c>
    </row>
    <row r="228" spans="1:29" hidden="1" x14ac:dyDescent="0.25">
      <c r="A228" t="s">
        <v>599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797</v>
      </c>
      <c r="G228" t="s">
        <v>440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34" t="s">
        <v>690</v>
      </c>
      <c r="L228" s="34" t="s">
        <v>465</v>
      </c>
      <c r="M228">
        <v>1457</v>
      </c>
      <c r="N228" t="s">
        <v>814</v>
      </c>
      <c r="O228" t="str">
        <f t="shared" si="19"/>
        <v>06141002041019</v>
      </c>
      <c r="P228" t="s">
        <v>815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465</v>
      </c>
      <c r="AA228" s="38" t="s">
        <v>1</v>
      </c>
      <c r="AB228" t="s">
        <v>465</v>
      </c>
      <c r="AC228">
        <v>0</v>
      </c>
    </row>
    <row r="229" spans="1:29" hidden="1" x14ac:dyDescent="0.25">
      <c r="A229" t="s">
        <v>599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833</v>
      </c>
      <c r="G229" t="s">
        <v>440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34" t="s">
        <v>690</v>
      </c>
      <c r="L229" s="34" t="s">
        <v>465</v>
      </c>
      <c r="M229">
        <v>1011239</v>
      </c>
      <c r="N229" t="s">
        <v>29</v>
      </c>
      <c r="O229" t="str">
        <f t="shared" si="19"/>
        <v>06141909001034</v>
      </c>
      <c r="P229" t="s">
        <v>233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465</v>
      </c>
      <c r="AA229" s="38" t="s">
        <v>1</v>
      </c>
      <c r="AB229" t="s">
        <v>465</v>
      </c>
      <c r="AC229">
        <v>0</v>
      </c>
    </row>
    <row r="230" spans="1:29" hidden="1" x14ac:dyDescent="0.25">
      <c r="A230" t="s">
        <v>599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796</v>
      </c>
      <c r="G230" t="s">
        <v>440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34" t="s">
        <v>690</v>
      </c>
      <c r="L230" s="34" t="s">
        <v>465</v>
      </c>
      <c r="M230">
        <v>1985</v>
      </c>
      <c r="N230" t="s">
        <v>831</v>
      </c>
      <c r="O230" t="str">
        <f t="shared" si="19"/>
        <v>07092307510014</v>
      </c>
      <c r="P230" t="s">
        <v>832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465</v>
      </c>
      <c r="AA230" s="38" t="s">
        <v>1</v>
      </c>
      <c r="AB230" t="s">
        <v>465</v>
      </c>
      <c r="AC230">
        <v>0</v>
      </c>
    </row>
    <row r="231" spans="1:29" hidden="1" x14ac:dyDescent="0.25">
      <c r="A231" t="s">
        <v>599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804</v>
      </c>
      <c r="G231" t="s">
        <v>440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34" t="s">
        <v>690</v>
      </c>
      <c r="L231" s="34" t="s">
        <v>465</v>
      </c>
      <c r="M231">
        <v>37832</v>
      </c>
      <c r="N231" t="s">
        <v>251</v>
      </c>
      <c r="O231" t="str">
        <f t="shared" si="19"/>
        <v>05111703630014</v>
      </c>
      <c r="P231" t="s">
        <v>252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465</v>
      </c>
      <c r="AA231" s="38" t="s">
        <v>1</v>
      </c>
      <c r="AB231" t="s">
        <v>465</v>
      </c>
      <c r="AC231">
        <v>0</v>
      </c>
    </row>
    <row r="232" spans="1:29" hidden="1" x14ac:dyDescent="0.25">
      <c r="A232" t="s">
        <v>599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804</v>
      </c>
      <c r="G232" t="s">
        <v>440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34" t="s">
        <v>690</v>
      </c>
      <c r="L232" s="34" t="s">
        <v>465</v>
      </c>
      <c r="M232">
        <v>2187972</v>
      </c>
      <c r="N232" t="s">
        <v>173</v>
      </c>
      <c r="O232" t="str">
        <f t="shared" si="19"/>
        <v>14070503650018</v>
      </c>
      <c r="P232" t="s">
        <v>174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465</v>
      </c>
      <c r="AA232" s="38" t="s">
        <v>1</v>
      </c>
      <c r="AB232" t="s">
        <v>465</v>
      </c>
      <c r="AC232">
        <v>0</v>
      </c>
    </row>
    <row r="233" spans="1:29" hidden="1" x14ac:dyDescent="0.25">
      <c r="A233" t="s">
        <v>599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797</v>
      </c>
      <c r="G233" t="s">
        <v>440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34" t="s">
        <v>690</v>
      </c>
      <c r="L233" s="34" t="s">
        <v>465</v>
      </c>
      <c r="M233">
        <v>27972</v>
      </c>
      <c r="N233" t="s">
        <v>171</v>
      </c>
      <c r="O233" t="str">
        <f t="shared" si="19"/>
        <v>06140711071030</v>
      </c>
      <c r="P233" t="s">
        <v>172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465</v>
      </c>
      <c r="AA233" s="38" t="s">
        <v>1</v>
      </c>
      <c r="AB233" t="s">
        <v>465</v>
      </c>
      <c r="AC233">
        <v>0</v>
      </c>
    </row>
    <row r="234" spans="1:29" hidden="1" x14ac:dyDescent="0.25">
      <c r="A234" t="s">
        <v>599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797</v>
      </c>
      <c r="G234" t="s">
        <v>440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34" t="s">
        <v>690</v>
      </c>
      <c r="L234" s="34" t="s">
        <v>465</v>
      </c>
      <c r="M234">
        <v>1245469</v>
      </c>
      <c r="N234" t="s">
        <v>192</v>
      </c>
      <c r="O234" t="str">
        <f t="shared" si="19"/>
        <v>06142708101053</v>
      </c>
      <c r="P234" t="s">
        <v>193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465</v>
      </c>
      <c r="AA234" s="38" t="s">
        <v>1</v>
      </c>
      <c r="AB234" t="s">
        <v>465</v>
      </c>
      <c r="AC234">
        <v>0</v>
      </c>
    </row>
    <row r="235" spans="1:29" hidden="1" x14ac:dyDescent="0.25">
      <c r="A235" t="s">
        <v>599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830</v>
      </c>
      <c r="G235" t="s">
        <v>440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34" t="s">
        <v>690</v>
      </c>
      <c r="L235" s="34" t="s">
        <v>465</v>
      </c>
      <c r="M235">
        <v>230043</v>
      </c>
      <c r="N235" t="s">
        <v>173</v>
      </c>
      <c r="O235" t="str">
        <f t="shared" si="19"/>
        <v>14070503650018</v>
      </c>
      <c r="P235" t="s">
        <v>174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465</v>
      </c>
      <c r="AA235" s="38" t="s">
        <v>1</v>
      </c>
      <c r="AB235" t="s">
        <v>514</v>
      </c>
      <c r="AC235">
        <v>3.15</v>
      </c>
    </row>
    <row r="236" spans="1:29" hidden="1" x14ac:dyDescent="0.25">
      <c r="A236" t="s">
        <v>599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797</v>
      </c>
      <c r="G236" t="s">
        <v>440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34" t="s">
        <v>690</v>
      </c>
      <c r="L236" s="34" t="s">
        <v>465</v>
      </c>
      <c r="M236">
        <v>2227993</v>
      </c>
      <c r="N236" t="s">
        <v>173</v>
      </c>
      <c r="O236" t="str">
        <f t="shared" si="19"/>
        <v>14070503650018</v>
      </c>
      <c r="P236" t="s">
        <v>174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465</v>
      </c>
      <c r="AA236" s="38" t="s">
        <v>1</v>
      </c>
      <c r="AB236" t="s">
        <v>514</v>
      </c>
      <c r="AC236">
        <v>7.7</v>
      </c>
    </row>
    <row r="237" spans="1:29" hidden="1" x14ac:dyDescent="0.25">
      <c r="A237" t="s">
        <v>599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829</v>
      </c>
      <c r="G237" t="s">
        <v>440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34" t="s">
        <v>690</v>
      </c>
      <c r="L237" s="34" t="s">
        <v>465</v>
      </c>
      <c r="M237">
        <v>937395</v>
      </c>
      <c r="N237" t="s">
        <v>204</v>
      </c>
      <c r="O237" t="str">
        <f t="shared" si="19"/>
        <v>06142407500017</v>
      </c>
      <c r="P237" t="s">
        <v>205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465</v>
      </c>
      <c r="AA237" s="38" t="s">
        <v>1</v>
      </c>
      <c r="AB237" t="s">
        <v>514</v>
      </c>
      <c r="AC237">
        <v>7.35</v>
      </c>
    </row>
    <row r="238" spans="1:29" hidden="1" x14ac:dyDescent="0.25">
      <c r="A238" t="s">
        <v>599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811</v>
      </c>
      <c r="G238" t="s">
        <v>440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34" t="s">
        <v>690</v>
      </c>
      <c r="L238" s="34" t="s">
        <v>465</v>
      </c>
      <c r="M238">
        <v>3786893</v>
      </c>
      <c r="N238" t="s">
        <v>167</v>
      </c>
      <c r="O238" t="str">
        <f t="shared" si="19"/>
        <v>06140108580017</v>
      </c>
      <c r="P238" t="s">
        <v>168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465</v>
      </c>
      <c r="AA238" s="38" t="s">
        <v>1</v>
      </c>
      <c r="AB238" t="s">
        <v>465</v>
      </c>
      <c r="AC238">
        <v>0</v>
      </c>
    </row>
    <row r="239" spans="1:29" hidden="1" x14ac:dyDescent="0.25">
      <c r="A239" t="s">
        <v>599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802</v>
      </c>
      <c r="G239" t="s">
        <v>440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34" t="s">
        <v>690</v>
      </c>
      <c r="L239" s="34" t="s">
        <v>465</v>
      </c>
      <c r="M239">
        <v>373</v>
      </c>
      <c r="N239" t="s">
        <v>240</v>
      </c>
      <c r="O239" t="str">
        <f t="shared" si="19"/>
        <v>06140108161017</v>
      </c>
      <c r="P239" t="s">
        <v>241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465</v>
      </c>
      <c r="AA239" s="38" t="s">
        <v>1</v>
      </c>
      <c r="AB239" t="s">
        <v>465</v>
      </c>
      <c r="AC239">
        <v>0</v>
      </c>
    </row>
    <row r="240" spans="1:29" hidden="1" x14ac:dyDescent="0.25">
      <c r="A240" t="s">
        <v>599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807</v>
      </c>
      <c r="G240" t="s">
        <v>440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34" t="s">
        <v>690</v>
      </c>
      <c r="L240" s="34" t="s">
        <v>465</v>
      </c>
      <c r="M240">
        <v>226858</v>
      </c>
      <c r="N240" t="s">
        <v>173</v>
      </c>
      <c r="O240" t="str">
        <f t="shared" si="19"/>
        <v>14070503650018</v>
      </c>
      <c r="P240" t="s">
        <v>174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465</v>
      </c>
      <c r="AA240" s="38" t="s">
        <v>1</v>
      </c>
      <c r="AB240" t="s">
        <v>465</v>
      </c>
      <c r="AC240">
        <v>0</v>
      </c>
    </row>
    <row r="241" spans="1:29" hidden="1" x14ac:dyDescent="0.25">
      <c r="A241" t="s">
        <v>599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820</v>
      </c>
      <c r="G241" t="s">
        <v>440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34" t="s">
        <v>690</v>
      </c>
      <c r="L241" s="34" t="s">
        <v>465</v>
      </c>
      <c r="M241">
        <v>28854</v>
      </c>
      <c r="N241" t="s">
        <v>173</v>
      </c>
      <c r="O241" t="str">
        <f t="shared" si="19"/>
        <v>14070503650018</v>
      </c>
      <c r="P241" t="s">
        <v>174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465</v>
      </c>
      <c r="AA241" s="38" t="s">
        <v>1</v>
      </c>
      <c r="AB241" t="s">
        <v>465</v>
      </c>
      <c r="AC241">
        <v>0</v>
      </c>
    </row>
    <row r="242" spans="1:29" hidden="1" x14ac:dyDescent="0.25">
      <c r="A242" t="s">
        <v>599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772</v>
      </c>
      <c r="G242" t="s">
        <v>440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34" t="s">
        <v>690</v>
      </c>
      <c r="L242" s="34" t="s">
        <v>465</v>
      </c>
      <c r="M242">
        <v>26286</v>
      </c>
      <c r="N242" t="s">
        <v>114</v>
      </c>
      <c r="O242" t="str">
        <f t="shared" si="19"/>
        <v>02102402171027</v>
      </c>
      <c r="P242" t="s">
        <v>115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465</v>
      </c>
      <c r="AA242" s="38" t="s">
        <v>1</v>
      </c>
      <c r="AB242" t="s">
        <v>465</v>
      </c>
      <c r="AC242">
        <v>0</v>
      </c>
    </row>
    <row r="243" spans="1:29" hidden="1" x14ac:dyDescent="0.25">
      <c r="A243" t="s">
        <v>599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808</v>
      </c>
      <c r="G243" t="s">
        <v>440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34" t="s">
        <v>690</v>
      </c>
      <c r="L243" s="34" t="s">
        <v>465</v>
      </c>
      <c r="M243">
        <v>935334</v>
      </c>
      <c r="N243" t="s">
        <v>204</v>
      </c>
      <c r="O243" t="str">
        <f t="shared" si="19"/>
        <v>06142407500017</v>
      </c>
      <c r="P243" t="s">
        <v>205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465</v>
      </c>
      <c r="AA243" s="38" t="s">
        <v>1</v>
      </c>
      <c r="AB243" t="s">
        <v>465</v>
      </c>
      <c r="AC243">
        <v>0</v>
      </c>
    </row>
    <row r="244" spans="1:29" hidden="1" x14ac:dyDescent="0.25">
      <c r="A244" t="s">
        <v>599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804</v>
      </c>
      <c r="G244" t="s">
        <v>440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34" t="s">
        <v>690</v>
      </c>
      <c r="L244" s="34" t="s">
        <v>465</v>
      </c>
      <c r="M244">
        <v>14405</v>
      </c>
      <c r="N244" t="s">
        <v>266</v>
      </c>
      <c r="O244" t="str">
        <f t="shared" si="19"/>
        <v>06142403071030</v>
      </c>
      <c r="P244" t="s">
        <v>267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465</v>
      </c>
      <c r="AA244" s="38" t="s">
        <v>1</v>
      </c>
      <c r="AB244" t="s">
        <v>465</v>
      </c>
      <c r="AC244">
        <v>0</v>
      </c>
    </row>
    <row r="245" spans="1:29" hidden="1" x14ac:dyDescent="0.25">
      <c r="A245" t="s">
        <v>599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803</v>
      </c>
      <c r="G245" t="s">
        <v>440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34" t="s">
        <v>690</v>
      </c>
      <c r="L245" s="34" t="s">
        <v>465</v>
      </c>
      <c r="M245">
        <v>15225</v>
      </c>
      <c r="N245" t="s">
        <v>190</v>
      </c>
      <c r="O245" t="str">
        <f t="shared" si="19"/>
        <v>06142406870019</v>
      </c>
      <c r="P245" t="s">
        <v>191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465</v>
      </c>
      <c r="AA245" s="38" t="s">
        <v>1</v>
      </c>
      <c r="AB245" t="s">
        <v>465</v>
      </c>
      <c r="AC245">
        <v>0</v>
      </c>
    </row>
    <row r="246" spans="1:29" hidden="1" x14ac:dyDescent="0.25">
      <c r="A246" t="s">
        <v>599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806</v>
      </c>
      <c r="G246" t="s">
        <v>440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34" t="s">
        <v>690</v>
      </c>
      <c r="L246" s="34" t="s">
        <v>465</v>
      </c>
      <c r="M246">
        <v>21939</v>
      </c>
      <c r="N246" t="s">
        <v>171</v>
      </c>
      <c r="O246" t="str">
        <f t="shared" si="19"/>
        <v>06140711071030</v>
      </c>
      <c r="P246" t="s">
        <v>172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465</v>
      </c>
      <c r="AA246" s="38" t="s">
        <v>1</v>
      </c>
      <c r="AB246" t="s">
        <v>465</v>
      </c>
      <c r="AC246">
        <v>0</v>
      </c>
    </row>
    <row r="247" spans="1:29" hidden="1" x14ac:dyDescent="0.25">
      <c r="A247" t="s">
        <v>599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806</v>
      </c>
      <c r="G247" t="s">
        <v>440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34" t="s">
        <v>690</v>
      </c>
      <c r="L247" s="34" t="s">
        <v>465</v>
      </c>
      <c r="M247">
        <v>7748</v>
      </c>
      <c r="N247" t="s">
        <v>260</v>
      </c>
      <c r="O247" t="str">
        <f t="shared" si="19"/>
        <v>06140804161013</v>
      </c>
      <c r="P247" t="s">
        <v>261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465</v>
      </c>
      <c r="AA247" s="38" t="s">
        <v>1</v>
      </c>
      <c r="AB247" t="s">
        <v>465</v>
      </c>
      <c r="AC247">
        <v>0</v>
      </c>
    </row>
    <row r="248" spans="1:29" hidden="1" x14ac:dyDescent="0.25">
      <c r="A248" t="s">
        <v>599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828</v>
      </c>
      <c r="G248" t="s">
        <v>440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34" t="s">
        <v>690</v>
      </c>
      <c r="L248" s="34" t="s">
        <v>465</v>
      </c>
      <c r="M248">
        <v>9101</v>
      </c>
      <c r="N248" t="s">
        <v>470</v>
      </c>
      <c r="O248" t="str">
        <f t="shared" si="19"/>
        <v>06140602141037</v>
      </c>
      <c r="P248" t="s">
        <v>471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465</v>
      </c>
      <c r="AA248" s="38" t="s">
        <v>1</v>
      </c>
      <c r="AB248" t="s">
        <v>465</v>
      </c>
      <c r="AC248">
        <v>0</v>
      </c>
    </row>
    <row r="249" spans="1:29" hidden="1" x14ac:dyDescent="0.25">
      <c r="A249" t="s">
        <v>599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807</v>
      </c>
      <c r="G249" t="s">
        <v>440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34" t="s">
        <v>690</v>
      </c>
      <c r="L249" s="34" t="s">
        <v>465</v>
      </c>
      <c r="M249">
        <v>4241934</v>
      </c>
      <c r="N249" t="s">
        <v>192</v>
      </c>
      <c r="O249" t="str">
        <f t="shared" si="19"/>
        <v>06142708101053</v>
      </c>
      <c r="P249" t="s">
        <v>193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465</v>
      </c>
      <c r="AA249" s="38" t="s">
        <v>1</v>
      </c>
      <c r="AB249" t="s">
        <v>465</v>
      </c>
      <c r="AC249">
        <v>0</v>
      </c>
    </row>
    <row r="250" spans="1:29" hidden="1" x14ac:dyDescent="0.25">
      <c r="A250" t="s">
        <v>599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799</v>
      </c>
      <c r="G250" t="s">
        <v>440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34" t="s">
        <v>690</v>
      </c>
      <c r="L250" s="34" t="s">
        <v>465</v>
      </c>
      <c r="M250">
        <v>132693</v>
      </c>
      <c r="N250" t="s">
        <v>210</v>
      </c>
      <c r="O250" t="str">
        <f t="shared" si="19"/>
        <v>06141403161033</v>
      </c>
      <c r="P250" t="s">
        <v>211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465</v>
      </c>
      <c r="AA250" s="38" t="s">
        <v>1</v>
      </c>
      <c r="AB250" t="s">
        <v>514</v>
      </c>
      <c r="AC250">
        <v>32</v>
      </c>
    </row>
    <row r="251" spans="1:29" hidden="1" x14ac:dyDescent="0.25">
      <c r="A251" t="s">
        <v>599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801</v>
      </c>
      <c r="G251" t="s">
        <v>440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34" t="s">
        <v>690</v>
      </c>
      <c r="L251" s="34" t="s">
        <v>465</v>
      </c>
      <c r="M251">
        <v>2632</v>
      </c>
      <c r="N251" t="s">
        <v>198</v>
      </c>
      <c r="O251" t="str">
        <f t="shared" si="19"/>
        <v>06141708071034</v>
      </c>
      <c r="P251" t="s">
        <v>199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465</v>
      </c>
      <c r="AA251" s="38" t="s">
        <v>1</v>
      </c>
      <c r="AB251" t="s">
        <v>465</v>
      </c>
      <c r="AC251">
        <v>0</v>
      </c>
    </row>
    <row r="252" spans="1:29" hidden="1" x14ac:dyDescent="0.25">
      <c r="A252" t="s">
        <v>599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800</v>
      </c>
      <c r="G252" t="s">
        <v>440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34" t="s">
        <v>690</v>
      </c>
      <c r="L252" s="34" t="s">
        <v>465</v>
      </c>
      <c r="M252">
        <v>17973</v>
      </c>
      <c r="N252" t="s">
        <v>266</v>
      </c>
      <c r="O252" t="str">
        <f t="shared" si="19"/>
        <v>06142403071030</v>
      </c>
      <c r="P252" t="s">
        <v>267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465</v>
      </c>
      <c r="AA252" s="38" t="s">
        <v>1</v>
      </c>
      <c r="AB252" t="s">
        <v>520</v>
      </c>
      <c r="AC252">
        <v>1.69</v>
      </c>
    </row>
    <row r="253" spans="1:29" hidden="1" x14ac:dyDescent="0.25">
      <c r="A253" t="s">
        <v>599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807</v>
      </c>
      <c r="G253" t="s">
        <v>440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34" t="s">
        <v>690</v>
      </c>
      <c r="L253" s="34" t="s">
        <v>465</v>
      </c>
      <c r="M253">
        <v>20023213</v>
      </c>
      <c r="N253" t="s">
        <v>385</v>
      </c>
      <c r="O253" t="str">
        <f t="shared" si="19"/>
        <v>06140104620021</v>
      </c>
      <c r="P253" t="s">
        <v>386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465</v>
      </c>
      <c r="AA253" s="38" t="s">
        <v>1</v>
      </c>
      <c r="AB253" t="s">
        <v>465</v>
      </c>
      <c r="AC253">
        <v>0</v>
      </c>
    </row>
    <row r="254" spans="1:29" hidden="1" x14ac:dyDescent="0.25">
      <c r="A254" t="s">
        <v>599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800</v>
      </c>
      <c r="G254" t="s">
        <v>440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34" t="s">
        <v>690</v>
      </c>
      <c r="L254" s="34" t="s">
        <v>465</v>
      </c>
      <c r="M254">
        <v>25784</v>
      </c>
      <c r="N254" t="s">
        <v>227</v>
      </c>
      <c r="O254" t="str">
        <f t="shared" si="19"/>
        <v>06142008011037</v>
      </c>
      <c r="P254" t="s">
        <v>228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465</v>
      </c>
      <c r="AA254" s="38" t="s">
        <v>1</v>
      </c>
      <c r="AB254" t="s">
        <v>465</v>
      </c>
      <c r="AC254">
        <v>0</v>
      </c>
    </row>
    <row r="255" spans="1:29" hidden="1" x14ac:dyDescent="0.25">
      <c r="A255" t="s">
        <v>599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803</v>
      </c>
      <c r="G255" t="s">
        <v>440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34" t="s">
        <v>690</v>
      </c>
      <c r="L255" s="34" t="s">
        <v>465</v>
      </c>
      <c r="M255">
        <v>7218</v>
      </c>
      <c r="N255" t="s">
        <v>282</v>
      </c>
      <c r="O255" t="str">
        <f t="shared" si="19"/>
        <v>06140706911055</v>
      </c>
      <c r="P255" t="s">
        <v>283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465</v>
      </c>
      <c r="AA255" s="38" t="s">
        <v>1</v>
      </c>
      <c r="AB255" t="s">
        <v>465</v>
      </c>
      <c r="AC255">
        <v>0</v>
      </c>
    </row>
    <row r="256" spans="1:29" hidden="1" x14ac:dyDescent="0.25">
      <c r="A256" t="s">
        <v>599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802</v>
      </c>
      <c r="G256" t="s">
        <v>440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34" t="s">
        <v>690</v>
      </c>
      <c r="L256" s="34" t="s">
        <v>465</v>
      </c>
      <c r="M256">
        <v>9961</v>
      </c>
      <c r="N256" t="s">
        <v>219</v>
      </c>
      <c r="O256" t="str">
        <f t="shared" si="19"/>
        <v>06140210081052</v>
      </c>
      <c r="P256" t="s">
        <v>220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465</v>
      </c>
      <c r="AA256" s="38" t="s">
        <v>1</v>
      </c>
      <c r="AB256" t="s">
        <v>465</v>
      </c>
      <c r="AC256">
        <v>0</v>
      </c>
    </row>
    <row r="257" spans="1:29" hidden="1" x14ac:dyDescent="0.25">
      <c r="A257" t="s">
        <v>599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819</v>
      </c>
      <c r="G257" t="s">
        <v>440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34" t="s">
        <v>690</v>
      </c>
      <c r="L257" s="34" t="s">
        <v>465</v>
      </c>
      <c r="M257">
        <v>38665</v>
      </c>
      <c r="N257" t="s">
        <v>214</v>
      </c>
      <c r="O257" t="str">
        <f t="shared" si="19"/>
        <v>06142501101070</v>
      </c>
      <c r="P257" t="s">
        <v>215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465</v>
      </c>
      <c r="AA257" s="38" t="s">
        <v>1</v>
      </c>
      <c r="AB257" t="s">
        <v>465</v>
      </c>
      <c r="AC257">
        <v>0</v>
      </c>
    </row>
    <row r="258" spans="1:29" hidden="1" x14ac:dyDescent="0.25">
      <c r="A258" t="s">
        <v>599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809</v>
      </c>
      <c r="G258" t="s">
        <v>440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34" t="s">
        <v>690</v>
      </c>
      <c r="L258" s="34" t="s">
        <v>465</v>
      </c>
      <c r="M258">
        <v>1398</v>
      </c>
      <c r="N258" t="s">
        <v>824</v>
      </c>
      <c r="O258" t="str">
        <f t="shared" si="19"/>
        <v>11081010721018</v>
      </c>
      <c r="P258" t="s">
        <v>825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465</v>
      </c>
      <c r="AA258" s="38" t="s">
        <v>1</v>
      </c>
      <c r="AB258" t="s">
        <v>465</v>
      </c>
      <c r="AC258">
        <v>0</v>
      </c>
    </row>
    <row r="259" spans="1:29" hidden="1" x14ac:dyDescent="0.25">
      <c r="A259" t="s">
        <v>599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809</v>
      </c>
      <c r="G259" t="s">
        <v>440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34" t="s">
        <v>690</v>
      </c>
      <c r="L259" s="34" t="s">
        <v>465</v>
      </c>
      <c r="M259">
        <v>14</v>
      </c>
      <c r="N259" t="s">
        <v>826</v>
      </c>
      <c r="O259" t="str">
        <f t="shared" ref="O259:O322" si="24">IF(N259="",Z259,N259)</f>
        <v>03062612731027</v>
      </c>
      <c r="P259" t="s">
        <v>827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465</v>
      </c>
      <c r="AA259" s="38" t="s">
        <v>1</v>
      </c>
      <c r="AB259" t="s">
        <v>465</v>
      </c>
      <c r="AC259">
        <v>0</v>
      </c>
    </row>
    <row r="260" spans="1:29" hidden="1" x14ac:dyDescent="0.25">
      <c r="A260" t="s">
        <v>599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809</v>
      </c>
      <c r="G260" t="s">
        <v>440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34" t="s">
        <v>690</v>
      </c>
      <c r="L260" s="34" t="s">
        <v>465</v>
      </c>
      <c r="M260">
        <v>128240</v>
      </c>
      <c r="N260" t="s">
        <v>210</v>
      </c>
      <c r="O260" t="str">
        <f t="shared" si="24"/>
        <v>06141403161033</v>
      </c>
      <c r="P260" t="s">
        <v>211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465</v>
      </c>
      <c r="AA260" s="38" t="s">
        <v>1</v>
      </c>
      <c r="AB260" t="s">
        <v>465</v>
      </c>
      <c r="AC260">
        <v>0</v>
      </c>
    </row>
    <row r="261" spans="1:29" hidden="1" x14ac:dyDescent="0.25">
      <c r="A261" t="s">
        <v>599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805</v>
      </c>
      <c r="G261" t="s">
        <v>440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34" t="s">
        <v>690</v>
      </c>
      <c r="L261" s="34" t="s">
        <v>465</v>
      </c>
      <c r="M261">
        <v>168389</v>
      </c>
      <c r="N261" t="s">
        <v>327</v>
      </c>
      <c r="O261" t="str">
        <f t="shared" si="24"/>
        <v>06141612991019</v>
      </c>
      <c r="P261" t="s">
        <v>328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465</v>
      </c>
      <c r="AA261" s="38" t="s">
        <v>1</v>
      </c>
      <c r="AB261" t="s">
        <v>465</v>
      </c>
      <c r="AC261">
        <v>0</v>
      </c>
    </row>
    <row r="262" spans="1:29" hidden="1" x14ac:dyDescent="0.25">
      <c r="A262" t="s">
        <v>599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805</v>
      </c>
      <c r="G262" t="s">
        <v>440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34" t="s">
        <v>690</v>
      </c>
      <c r="L262" s="34" t="s">
        <v>465</v>
      </c>
      <c r="M262">
        <v>3818325</v>
      </c>
      <c r="N262" t="s">
        <v>167</v>
      </c>
      <c r="O262" t="str">
        <f t="shared" si="24"/>
        <v>06140108580017</v>
      </c>
      <c r="P262" t="s">
        <v>168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465</v>
      </c>
      <c r="AA262" s="38" t="s">
        <v>1</v>
      </c>
      <c r="AB262" t="s">
        <v>465</v>
      </c>
      <c r="AC262">
        <v>0</v>
      </c>
    </row>
    <row r="263" spans="1:29" hidden="1" x14ac:dyDescent="0.25">
      <c r="A263" t="s">
        <v>599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805</v>
      </c>
      <c r="G263" t="s">
        <v>440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34" t="s">
        <v>690</v>
      </c>
      <c r="L263" s="34" t="s">
        <v>465</v>
      </c>
      <c r="M263">
        <v>531342</v>
      </c>
      <c r="N263" t="s">
        <v>175</v>
      </c>
      <c r="O263" t="str">
        <f t="shared" si="24"/>
        <v>06141101690011</v>
      </c>
      <c r="P263" t="s">
        <v>176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465</v>
      </c>
      <c r="AA263" s="38" t="s">
        <v>1</v>
      </c>
      <c r="AB263" t="s">
        <v>465</v>
      </c>
      <c r="AC263">
        <v>0</v>
      </c>
    </row>
    <row r="264" spans="1:29" hidden="1" x14ac:dyDescent="0.25">
      <c r="A264" t="s">
        <v>599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808</v>
      </c>
      <c r="G264" t="s">
        <v>440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34" t="s">
        <v>690</v>
      </c>
      <c r="L264" s="34" t="s">
        <v>465</v>
      </c>
      <c r="M264">
        <v>140453</v>
      </c>
      <c r="N264" t="s">
        <v>210</v>
      </c>
      <c r="O264" t="str">
        <f t="shared" si="24"/>
        <v>06141403161033</v>
      </c>
      <c r="P264" t="s">
        <v>211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465</v>
      </c>
      <c r="AA264" s="38" t="s">
        <v>1</v>
      </c>
      <c r="AB264" t="s">
        <v>465</v>
      </c>
      <c r="AC264">
        <v>0</v>
      </c>
    </row>
    <row r="265" spans="1:29" hidden="1" x14ac:dyDescent="0.25">
      <c r="A265" t="s">
        <v>599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794</v>
      </c>
      <c r="G265" t="s">
        <v>440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34" t="s">
        <v>690</v>
      </c>
      <c r="L265" s="34" t="s">
        <v>465</v>
      </c>
      <c r="M265">
        <v>1525</v>
      </c>
      <c r="N265" t="s">
        <v>194</v>
      </c>
      <c r="O265" t="str">
        <f t="shared" si="24"/>
        <v>06141607031015</v>
      </c>
      <c r="P265" t="s">
        <v>195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465</v>
      </c>
      <c r="AA265" s="38" t="s">
        <v>1</v>
      </c>
      <c r="AB265" t="s">
        <v>465</v>
      </c>
      <c r="AC265">
        <v>0</v>
      </c>
    </row>
    <row r="266" spans="1:29" hidden="1" x14ac:dyDescent="0.25">
      <c r="A266" t="s">
        <v>599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795</v>
      </c>
      <c r="G266" t="s">
        <v>440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34" t="s">
        <v>690</v>
      </c>
      <c r="L266" s="34" t="s">
        <v>465</v>
      </c>
      <c r="M266">
        <v>1521</v>
      </c>
      <c r="N266" t="s">
        <v>194</v>
      </c>
      <c r="O266" t="str">
        <f t="shared" si="24"/>
        <v>06141607031015</v>
      </c>
      <c r="P266" t="s">
        <v>195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465</v>
      </c>
      <c r="AA266" s="38" t="s">
        <v>1</v>
      </c>
      <c r="AB266" t="s">
        <v>465</v>
      </c>
      <c r="AC266">
        <v>0</v>
      </c>
    </row>
    <row r="267" spans="1:29" hidden="1" x14ac:dyDescent="0.25">
      <c r="A267" t="s">
        <v>599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795</v>
      </c>
      <c r="G267" t="s">
        <v>440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34" t="s">
        <v>690</v>
      </c>
      <c r="L267" s="34" t="s">
        <v>465</v>
      </c>
      <c r="M267">
        <v>760</v>
      </c>
      <c r="N267" t="s">
        <v>234</v>
      </c>
      <c r="O267" t="str">
        <f t="shared" si="24"/>
        <v>06143007941037</v>
      </c>
      <c r="P267" t="s">
        <v>235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465</v>
      </c>
      <c r="AA267" s="38" t="s">
        <v>1</v>
      </c>
      <c r="AB267" t="s">
        <v>465</v>
      </c>
      <c r="AC267">
        <v>0</v>
      </c>
    </row>
    <row r="268" spans="1:29" hidden="1" x14ac:dyDescent="0.25">
      <c r="A268" t="s">
        <v>599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795</v>
      </c>
      <c r="G268" t="s">
        <v>440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34" t="s">
        <v>690</v>
      </c>
      <c r="L268" s="34" t="s">
        <v>465</v>
      </c>
      <c r="M268">
        <v>20841</v>
      </c>
      <c r="N268" t="s">
        <v>223</v>
      </c>
      <c r="O268" t="str">
        <f t="shared" si="24"/>
        <v>06140406191018</v>
      </c>
      <c r="P268" t="s">
        <v>224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465</v>
      </c>
      <c r="AA268" s="38" t="s">
        <v>1</v>
      </c>
      <c r="AB268" t="s">
        <v>465</v>
      </c>
      <c r="AC268">
        <v>0</v>
      </c>
    </row>
    <row r="269" spans="1:29" hidden="1" x14ac:dyDescent="0.25">
      <c r="A269" t="s">
        <v>599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810</v>
      </c>
      <c r="G269" t="s">
        <v>440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34" t="s">
        <v>690</v>
      </c>
      <c r="L269" s="34" t="s">
        <v>465</v>
      </c>
      <c r="M269">
        <v>1395</v>
      </c>
      <c r="N269" t="s">
        <v>824</v>
      </c>
      <c r="O269" t="str">
        <f t="shared" si="24"/>
        <v>11081010721018</v>
      </c>
      <c r="P269" t="s">
        <v>825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465</v>
      </c>
      <c r="AA269" s="38" t="s">
        <v>1</v>
      </c>
      <c r="AB269" t="s">
        <v>465</v>
      </c>
      <c r="AC269">
        <v>0</v>
      </c>
    </row>
    <row r="270" spans="1:29" hidden="1" x14ac:dyDescent="0.25">
      <c r="A270" t="s">
        <v>599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810</v>
      </c>
      <c r="G270" t="s">
        <v>440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34" t="s">
        <v>690</v>
      </c>
      <c r="L270" s="34" t="s">
        <v>465</v>
      </c>
      <c r="M270">
        <v>24388</v>
      </c>
      <c r="N270" t="s">
        <v>270</v>
      </c>
      <c r="O270" t="str">
        <f t="shared" si="24"/>
        <v>06140307951051</v>
      </c>
      <c r="P270" t="s">
        <v>271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465</v>
      </c>
      <c r="AA270" s="38" t="s">
        <v>1</v>
      </c>
      <c r="AB270" t="s">
        <v>465</v>
      </c>
      <c r="AC270">
        <v>0</v>
      </c>
    </row>
    <row r="271" spans="1:29" hidden="1" x14ac:dyDescent="0.25">
      <c r="A271" t="s">
        <v>599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794</v>
      </c>
      <c r="G271" t="s">
        <v>440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34" t="s">
        <v>690</v>
      </c>
      <c r="L271" s="34" t="s">
        <v>465</v>
      </c>
      <c r="M271">
        <v>356</v>
      </c>
      <c r="N271" t="s">
        <v>278</v>
      </c>
      <c r="O271" t="str">
        <f t="shared" si="24"/>
        <v>11181602731029</v>
      </c>
      <c r="P271" t="s">
        <v>279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465</v>
      </c>
      <c r="AA271" s="38" t="s">
        <v>1</v>
      </c>
      <c r="AB271" t="s">
        <v>465</v>
      </c>
      <c r="AC271">
        <v>0</v>
      </c>
    </row>
    <row r="272" spans="1:29" hidden="1" x14ac:dyDescent="0.25">
      <c r="A272" t="s">
        <v>599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819</v>
      </c>
      <c r="G272" t="s">
        <v>440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34" t="s">
        <v>690</v>
      </c>
      <c r="L272" s="34" t="s">
        <v>465</v>
      </c>
      <c r="M272">
        <v>24</v>
      </c>
      <c r="N272" t="s">
        <v>546</v>
      </c>
      <c r="O272" t="str">
        <f t="shared" si="24"/>
        <v>05112011861033</v>
      </c>
      <c r="P272" t="s">
        <v>547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465</v>
      </c>
      <c r="AA272" s="38" t="s">
        <v>1</v>
      </c>
      <c r="AB272" t="s">
        <v>520</v>
      </c>
      <c r="AC272">
        <v>4.9000000000000004</v>
      </c>
    </row>
    <row r="273" spans="1:29" hidden="1" x14ac:dyDescent="0.25">
      <c r="A273" t="s">
        <v>599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761</v>
      </c>
      <c r="G273" t="s">
        <v>440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34" t="s">
        <v>690</v>
      </c>
      <c r="L273" s="34" t="s">
        <v>465</v>
      </c>
      <c r="M273">
        <v>22</v>
      </c>
      <c r="N273" t="s">
        <v>546</v>
      </c>
      <c r="O273" t="str">
        <f t="shared" si="24"/>
        <v>05112011861033</v>
      </c>
      <c r="P273" t="s">
        <v>547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465</v>
      </c>
      <c r="AA273" s="38" t="s">
        <v>1</v>
      </c>
      <c r="AB273" t="s">
        <v>465</v>
      </c>
      <c r="AC273">
        <v>0</v>
      </c>
    </row>
    <row r="274" spans="1:29" hidden="1" x14ac:dyDescent="0.25">
      <c r="A274" t="s">
        <v>599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823</v>
      </c>
      <c r="G274" t="s">
        <v>440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34" t="s">
        <v>690</v>
      </c>
      <c r="L274" s="34" t="s">
        <v>465</v>
      </c>
      <c r="M274">
        <v>470</v>
      </c>
      <c r="N274" t="s">
        <v>341</v>
      </c>
      <c r="O274" t="str">
        <f t="shared" si="24"/>
        <v>05112308101011</v>
      </c>
      <c r="P274" t="s">
        <v>342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465</v>
      </c>
      <c r="AA274" s="38" t="s">
        <v>1</v>
      </c>
      <c r="AB274" t="s">
        <v>520</v>
      </c>
      <c r="AC274">
        <v>4.96</v>
      </c>
    </row>
    <row r="275" spans="1:29" hidden="1" x14ac:dyDescent="0.25">
      <c r="A275" t="s">
        <v>599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810</v>
      </c>
      <c r="G275" t="s">
        <v>440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34" t="s">
        <v>690</v>
      </c>
      <c r="L275" s="34" t="s">
        <v>465</v>
      </c>
      <c r="M275">
        <v>1526620</v>
      </c>
      <c r="N275" t="s">
        <v>221</v>
      </c>
      <c r="O275" t="str">
        <f t="shared" si="24"/>
        <v>06140812610145</v>
      </c>
      <c r="P275" t="s">
        <v>222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465</v>
      </c>
      <c r="AA275" s="38" t="s">
        <v>1</v>
      </c>
      <c r="AC275">
        <v>0</v>
      </c>
    </row>
    <row r="276" spans="1:29" hidden="1" x14ac:dyDescent="0.25">
      <c r="A276" t="s">
        <v>599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804</v>
      </c>
      <c r="G276" t="s">
        <v>440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34" t="s">
        <v>690</v>
      </c>
      <c r="L276" s="34" t="s">
        <v>465</v>
      </c>
      <c r="M276">
        <v>208053</v>
      </c>
      <c r="N276" t="s">
        <v>256</v>
      </c>
      <c r="O276" t="str">
        <f t="shared" si="24"/>
        <v>06141512001054</v>
      </c>
      <c r="P276" t="s">
        <v>257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465</v>
      </c>
      <c r="AA276" s="38" t="s">
        <v>1</v>
      </c>
      <c r="AB276" t="s">
        <v>514</v>
      </c>
      <c r="AC276">
        <v>10.85</v>
      </c>
    </row>
    <row r="277" spans="1:29" hidden="1" x14ac:dyDescent="0.25">
      <c r="A277" t="s">
        <v>599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819</v>
      </c>
      <c r="G277" t="s">
        <v>440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34" t="s">
        <v>690</v>
      </c>
      <c r="L277" s="34" t="s">
        <v>465</v>
      </c>
      <c r="M277">
        <v>22596</v>
      </c>
      <c r="N277" t="s">
        <v>185</v>
      </c>
      <c r="O277" t="str">
        <f t="shared" si="24"/>
        <v>06142407750010</v>
      </c>
      <c r="P277" t="s">
        <v>186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465</v>
      </c>
      <c r="AA277" s="38" t="s">
        <v>1</v>
      </c>
      <c r="AB277" t="s">
        <v>465</v>
      </c>
      <c r="AC277">
        <v>0</v>
      </c>
    </row>
    <row r="278" spans="1:29" hidden="1" x14ac:dyDescent="0.25">
      <c r="A278" t="s">
        <v>599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822</v>
      </c>
      <c r="G278" t="s">
        <v>440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34" t="s">
        <v>690</v>
      </c>
      <c r="L278" s="34" t="s">
        <v>465</v>
      </c>
      <c r="M278">
        <v>23</v>
      </c>
      <c r="N278" t="s">
        <v>546</v>
      </c>
      <c r="O278" t="str">
        <f t="shared" si="24"/>
        <v>05112011861033</v>
      </c>
      <c r="P278" t="s">
        <v>547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465</v>
      </c>
      <c r="AA278" s="38" t="s">
        <v>1</v>
      </c>
      <c r="AB278" t="s">
        <v>465</v>
      </c>
      <c r="AC278">
        <v>0</v>
      </c>
    </row>
    <row r="279" spans="1:29" hidden="1" x14ac:dyDescent="0.25">
      <c r="A279" t="s">
        <v>599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803</v>
      </c>
      <c r="G279" t="s">
        <v>440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34" t="s">
        <v>690</v>
      </c>
      <c r="L279" s="34" t="s">
        <v>465</v>
      </c>
      <c r="M279">
        <v>2292</v>
      </c>
      <c r="N279" t="s">
        <v>198</v>
      </c>
      <c r="O279" t="str">
        <f t="shared" si="24"/>
        <v>06141708071034</v>
      </c>
      <c r="P279" t="s">
        <v>199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465</v>
      </c>
      <c r="AA279" s="38" t="s">
        <v>1</v>
      </c>
      <c r="AB279" t="s">
        <v>465</v>
      </c>
      <c r="AC279">
        <v>0</v>
      </c>
    </row>
    <row r="280" spans="1:29" hidden="1" x14ac:dyDescent="0.25">
      <c r="A280" t="s">
        <v>599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803</v>
      </c>
      <c r="G280" t="s">
        <v>440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34" t="s">
        <v>690</v>
      </c>
      <c r="L280" s="34" t="s">
        <v>465</v>
      </c>
      <c r="M280">
        <v>3081</v>
      </c>
      <c r="N280" t="s">
        <v>225</v>
      </c>
      <c r="O280" t="str">
        <f t="shared" si="24"/>
        <v>06141007840010</v>
      </c>
      <c r="P280" t="s">
        <v>226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465</v>
      </c>
      <c r="AA280" s="38" t="s">
        <v>1</v>
      </c>
      <c r="AB280" t="s">
        <v>465</v>
      </c>
      <c r="AC280">
        <v>0</v>
      </c>
    </row>
    <row r="281" spans="1:29" hidden="1" x14ac:dyDescent="0.25">
      <c r="A281" t="s">
        <v>599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803</v>
      </c>
      <c r="G281" t="s">
        <v>440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34" t="s">
        <v>690</v>
      </c>
      <c r="L281" s="34" t="s">
        <v>465</v>
      </c>
      <c r="M281">
        <v>325</v>
      </c>
      <c r="N281" t="s">
        <v>278</v>
      </c>
      <c r="O281" t="str">
        <f t="shared" si="24"/>
        <v>11181602731029</v>
      </c>
      <c r="P281" t="s">
        <v>279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465</v>
      </c>
      <c r="AA281" s="38" t="s">
        <v>1</v>
      </c>
      <c r="AB281" t="s">
        <v>465</v>
      </c>
      <c r="AC281">
        <v>0</v>
      </c>
    </row>
    <row r="282" spans="1:29" hidden="1" x14ac:dyDescent="0.25">
      <c r="A282" t="s">
        <v>599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800</v>
      </c>
      <c r="G282" t="s">
        <v>440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34" t="s">
        <v>690</v>
      </c>
      <c r="L282" s="34" t="s">
        <v>465</v>
      </c>
      <c r="M282">
        <v>3398</v>
      </c>
      <c r="N282" t="s">
        <v>427</v>
      </c>
      <c r="O282" t="str">
        <f t="shared" si="24"/>
        <v>06140404081061</v>
      </c>
      <c r="P282" t="s">
        <v>428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465</v>
      </c>
      <c r="AA282" s="38" t="s">
        <v>1</v>
      </c>
      <c r="AB282" t="s">
        <v>465</v>
      </c>
      <c r="AC282">
        <v>0</v>
      </c>
    </row>
    <row r="283" spans="1:29" hidden="1" x14ac:dyDescent="0.25">
      <c r="A283" t="s">
        <v>599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799</v>
      </c>
      <c r="G283" t="s">
        <v>440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34" t="s">
        <v>690</v>
      </c>
      <c r="L283" s="34" t="s">
        <v>465</v>
      </c>
      <c r="M283">
        <v>965</v>
      </c>
      <c r="N283" t="s">
        <v>238</v>
      </c>
      <c r="O283" t="str">
        <f t="shared" si="24"/>
        <v>06141407941017</v>
      </c>
      <c r="P283" t="s">
        <v>239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465</v>
      </c>
      <c r="AA283" s="38" t="s">
        <v>1</v>
      </c>
      <c r="AB283" t="s">
        <v>465</v>
      </c>
      <c r="AC283">
        <v>0</v>
      </c>
    </row>
    <row r="284" spans="1:29" hidden="1" x14ac:dyDescent="0.25">
      <c r="A284" t="s">
        <v>599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819</v>
      </c>
      <c r="G284" t="s">
        <v>440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34" t="s">
        <v>690</v>
      </c>
      <c r="L284" s="34" t="s">
        <v>465</v>
      </c>
      <c r="M284">
        <v>2245</v>
      </c>
      <c r="N284" t="s">
        <v>143</v>
      </c>
      <c r="O284" t="str">
        <f t="shared" si="24"/>
        <v>06142703981055</v>
      </c>
      <c r="P284" t="s">
        <v>144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465</v>
      </c>
      <c r="AA284" s="38" t="s">
        <v>1</v>
      </c>
      <c r="AB284" t="s">
        <v>465</v>
      </c>
      <c r="AC284">
        <v>0</v>
      </c>
    </row>
    <row r="285" spans="1:29" hidden="1" x14ac:dyDescent="0.25">
      <c r="A285" t="s">
        <v>599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819</v>
      </c>
      <c r="G285" t="s">
        <v>440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34" t="s">
        <v>690</v>
      </c>
      <c r="L285" s="34" t="s">
        <v>465</v>
      </c>
      <c r="M285">
        <v>2243</v>
      </c>
      <c r="N285" t="s">
        <v>143</v>
      </c>
      <c r="O285" t="str">
        <f t="shared" si="24"/>
        <v>06142703981055</v>
      </c>
      <c r="P285" t="s">
        <v>144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465</v>
      </c>
      <c r="AA285" s="38" t="s">
        <v>1</v>
      </c>
      <c r="AB285" t="s">
        <v>465</v>
      </c>
      <c r="AC285">
        <v>0</v>
      </c>
    </row>
    <row r="286" spans="1:29" hidden="1" x14ac:dyDescent="0.25">
      <c r="A286" t="s">
        <v>599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819</v>
      </c>
      <c r="G286" t="s">
        <v>440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34" t="s">
        <v>690</v>
      </c>
      <c r="L286" s="34" t="s">
        <v>465</v>
      </c>
      <c r="M286">
        <v>2242</v>
      </c>
      <c r="N286" t="s">
        <v>143</v>
      </c>
      <c r="O286" t="str">
        <f t="shared" si="24"/>
        <v>06142703981055</v>
      </c>
      <c r="P286" t="s">
        <v>144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465</v>
      </c>
      <c r="AA286" s="38" t="s">
        <v>1</v>
      </c>
      <c r="AB286" t="s">
        <v>465</v>
      </c>
      <c r="AC286">
        <v>0</v>
      </c>
    </row>
    <row r="287" spans="1:29" x14ac:dyDescent="0.25">
      <c r="A287" t="s">
        <v>599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807</v>
      </c>
      <c r="G287" t="s">
        <v>0</v>
      </c>
      <c r="H287" t="s">
        <v>517</v>
      </c>
      <c r="I287" t="str">
        <f t="shared" si="22"/>
        <v>Factura</v>
      </c>
      <c r="J287" t="str">
        <f t="shared" si="23"/>
        <v>Otros</v>
      </c>
      <c r="K287" s="34" t="s">
        <v>690</v>
      </c>
      <c r="L287" s="34" t="s">
        <v>465</v>
      </c>
      <c r="M287">
        <v>1108711</v>
      </c>
      <c r="N287" t="s">
        <v>821</v>
      </c>
      <c r="O287" t="str">
        <f t="shared" si="24"/>
        <v>202203443834</v>
      </c>
      <c r="P287" t="s">
        <v>476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465</v>
      </c>
      <c r="AA287" s="38" t="s">
        <v>1</v>
      </c>
      <c r="AB287" t="s">
        <v>465</v>
      </c>
      <c r="AC287">
        <v>0</v>
      </c>
    </row>
    <row r="288" spans="1:29" hidden="1" x14ac:dyDescent="0.25">
      <c r="A288" t="s">
        <v>599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809</v>
      </c>
      <c r="G288" t="s">
        <v>440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34" t="s">
        <v>690</v>
      </c>
      <c r="L288" s="34" t="s">
        <v>465</v>
      </c>
      <c r="M288">
        <v>1195</v>
      </c>
      <c r="N288" t="s">
        <v>441</v>
      </c>
      <c r="O288" t="str">
        <f t="shared" si="24"/>
        <v>12170505681051</v>
      </c>
      <c r="P288" t="s">
        <v>442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465</v>
      </c>
      <c r="AA288" s="38" t="s">
        <v>1</v>
      </c>
      <c r="AB288" t="s">
        <v>520</v>
      </c>
      <c r="AC288">
        <v>2.1800000000000002</v>
      </c>
    </row>
    <row r="289" spans="1:29" hidden="1" x14ac:dyDescent="0.25">
      <c r="A289" t="s">
        <v>599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809</v>
      </c>
      <c r="G289" t="s">
        <v>440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34" t="s">
        <v>690</v>
      </c>
      <c r="L289" s="34" t="s">
        <v>465</v>
      </c>
      <c r="M289">
        <v>21375</v>
      </c>
      <c r="N289" t="s">
        <v>185</v>
      </c>
      <c r="O289" t="str">
        <f t="shared" si="24"/>
        <v>06142407750010</v>
      </c>
      <c r="P289" t="s">
        <v>186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465</v>
      </c>
      <c r="AA289" s="38" t="s">
        <v>1</v>
      </c>
      <c r="AB289" t="s">
        <v>465</v>
      </c>
      <c r="AC289">
        <v>0</v>
      </c>
    </row>
    <row r="290" spans="1:29" hidden="1" x14ac:dyDescent="0.25">
      <c r="A290" t="s">
        <v>599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809</v>
      </c>
      <c r="G290" t="s">
        <v>440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34" t="s">
        <v>690</v>
      </c>
      <c r="L290" s="34" t="s">
        <v>465</v>
      </c>
      <c r="M290">
        <v>21324</v>
      </c>
      <c r="N290" t="s">
        <v>185</v>
      </c>
      <c r="O290" t="str">
        <f t="shared" si="24"/>
        <v>06142407750010</v>
      </c>
      <c r="P290" t="s">
        <v>186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465</v>
      </c>
      <c r="AA290" s="38" t="s">
        <v>1</v>
      </c>
      <c r="AB290" t="s">
        <v>465</v>
      </c>
      <c r="AC290">
        <v>0</v>
      </c>
    </row>
    <row r="291" spans="1:29" hidden="1" x14ac:dyDescent="0.25">
      <c r="A291" t="s">
        <v>599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820</v>
      </c>
      <c r="G291" t="s">
        <v>440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34" t="s">
        <v>690</v>
      </c>
      <c r="L291" s="34" t="s">
        <v>465</v>
      </c>
      <c r="M291">
        <v>1948</v>
      </c>
      <c r="N291" t="s">
        <v>143</v>
      </c>
      <c r="O291" t="str">
        <f t="shared" si="24"/>
        <v>06142703981055</v>
      </c>
      <c r="P291" t="s">
        <v>144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465</v>
      </c>
      <c r="AA291" s="38" t="s">
        <v>1</v>
      </c>
      <c r="AB291" t="s">
        <v>465</v>
      </c>
      <c r="AC291">
        <v>0</v>
      </c>
    </row>
    <row r="292" spans="1:29" hidden="1" x14ac:dyDescent="0.25">
      <c r="A292" t="s">
        <v>599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805</v>
      </c>
      <c r="G292" t="s">
        <v>440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34" t="s">
        <v>690</v>
      </c>
      <c r="L292" s="34" t="s">
        <v>465</v>
      </c>
      <c r="M292">
        <v>14884</v>
      </c>
      <c r="N292" t="s">
        <v>190</v>
      </c>
      <c r="O292" t="str">
        <f t="shared" si="24"/>
        <v>06142406870019</v>
      </c>
      <c r="P292" t="s">
        <v>191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465</v>
      </c>
      <c r="AA292" s="38" t="s">
        <v>1</v>
      </c>
      <c r="AB292" t="s">
        <v>465</v>
      </c>
      <c r="AC292">
        <v>0</v>
      </c>
    </row>
    <row r="293" spans="1:29" hidden="1" x14ac:dyDescent="0.25">
      <c r="A293" t="s">
        <v>599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757</v>
      </c>
      <c r="G293" t="s">
        <v>440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34" t="s">
        <v>690</v>
      </c>
      <c r="L293" s="34" t="s">
        <v>465</v>
      </c>
      <c r="M293">
        <v>19896</v>
      </c>
      <c r="N293" t="s">
        <v>179</v>
      </c>
      <c r="O293" t="str">
        <f t="shared" si="24"/>
        <v>06142302931020</v>
      </c>
      <c r="P293" t="s">
        <v>180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465</v>
      </c>
      <c r="AA293" s="38" t="s">
        <v>1</v>
      </c>
      <c r="AB293" t="s">
        <v>465</v>
      </c>
      <c r="AC293">
        <v>0</v>
      </c>
    </row>
    <row r="294" spans="1:29" hidden="1" x14ac:dyDescent="0.25">
      <c r="A294" t="s">
        <v>599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806</v>
      </c>
      <c r="G294" t="s">
        <v>440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34" t="s">
        <v>690</v>
      </c>
      <c r="L294" s="34" t="s">
        <v>465</v>
      </c>
      <c r="M294">
        <v>1930</v>
      </c>
      <c r="N294" t="s">
        <v>66</v>
      </c>
      <c r="O294" t="str">
        <f t="shared" si="24"/>
        <v>06142601121035</v>
      </c>
      <c r="P294" t="s">
        <v>67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465</v>
      </c>
      <c r="AA294" s="38" t="s">
        <v>1</v>
      </c>
      <c r="AB294" t="s">
        <v>465</v>
      </c>
      <c r="AC294">
        <v>0</v>
      </c>
    </row>
    <row r="295" spans="1:29" hidden="1" x14ac:dyDescent="0.25">
      <c r="A295" t="s">
        <v>599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757</v>
      </c>
      <c r="G295" t="s">
        <v>440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34" t="s">
        <v>690</v>
      </c>
      <c r="L295" s="34" t="s">
        <v>465</v>
      </c>
      <c r="M295">
        <v>64</v>
      </c>
      <c r="N295" t="s">
        <v>177</v>
      </c>
      <c r="O295" t="str">
        <f t="shared" si="24"/>
        <v>06141611841170</v>
      </c>
      <c r="P295" t="s">
        <v>178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465</v>
      </c>
      <c r="AA295" s="38" t="s">
        <v>1</v>
      </c>
      <c r="AB295" t="s">
        <v>465</v>
      </c>
      <c r="AC295">
        <v>0</v>
      </c>
    </row>
    <row r="296" spans="1:29" hidden="1" x14ac:dyDescent="0.25">
      <c r="A296" t="s">
        <v>599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809</v>
      </c>
      <c r="G296" t="s">
        <v>440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34" t="s">
        <v>690</v>
      </c>
      <c r="L296" s="34" t="s">
        <v>465</v>
      </c>
      <c r="M296">
        <v>1828</v>
      </c>
      <c r="N296" t="s">
        <v>143</v>
      </c>
      <c r="O296" t="str">
        <f t="shared" si="24"/>
        <v>06142703981055</v>
      </c>
      <c r="P296" t="s">
        <v>144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465</v>
      </c>
      <c r="AA296" s="38" t="s">
        <v>1</v>
      </c>
      <c r="AB296" t="s">
        <v>465</v>
      </c>
      <c r="AC296">
        <v>0</v>
      </c>
    </row>
    <row r="297" spans="1:29" hidden="1" x14ac:dyDescent="0.25">
      <c r="A297" t="s">
        <v>599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819</v>
      </c>
      <c r="G297" t="s">
        <v>440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34" t="s">
        <v>690</v>
      </c>
      <c r="L297" s="34" t="s">
        <v>465</v>
      </c>
      <c r="M297">
        <v>2259</v>
      </c>
      <c r="N297" t="s">
        <v>143</v>
      </c>
      <c r="O297" t="str">
        <f t="shared" si="24"/>
        <v>06142703981055</v>
      </c>
      <c r="P297" t="s">
        <v>144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465</v>
      </c>
      <c r="AA297" s="38" t="s">
        <v>1</v>
      </c>
      <c r="AB297" t="s">
        <v>465</v>
      </c>
      <c r="AC297">
        <v>0</v>
      </c>
    </row>
    <row r="298" spans="1:29" hidden="1" x14ac:dyDescent="0.25">
      <c r="A298" t="s">
        <v>599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794</v>
      </c>
      <c r="G298" t="s">
        <v>440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34" t="s">
        <v>690</v>
      </c>
      <c r="L298" s="34" t="s">
        <v>465</v>
      </c>
      <c r="M298">
        <v>2208</v>
      </c>
      <c r="N298" t="s">
        <v>143</v>
      </c>
      <c r="O298" t="str">
        <f t="shared" si="24"/>
        <v>06142703981055</v>
      </c>
      <c r="P298" t="s">
        <v>144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465</v>
      </c>
      <c r="AA298" s="38" t="s">
        <v>1</v>
      </c>
      <c r="AB298" t="s">
        <v>465</v>
      </c>
      <c r="AC298">
        <v>0</v>
      </c>
    </row>
    <row r="299" spans="1:29" hidden="1" x14ac:dyDescent="0.25">
      <c r="A299" t="s">
        <v>599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797</v>
      </c>
      <c r="G299" t="s">
        <v>440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34" t="s">
        <v>690</v>
      </c>
      <c r="L299" s="34" t="s">
        <v>465</v>
      </c>
      <c r="M299">
        <v>2131</v>
      </c>
      <c r="N299" t="s">
        <v>143</v>
      </c>
      <c r="O299" t="str">
        <f t="shared" si="24"/>
        <v>06142703981055</v>
      </c>
      <c r="P299" t="s">
        <v>144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465</v>
      </c>
      <c r="AA299" s="38" t="s">
        <v>1</v>
      </c>
      <c r="AB299" t="s">
        <v>465</v>
      </c>
      <c r="AC299">
        <v>0</v>
      </c>
    </row>
    <row r="300" spans="1:29" hidden="1" x14ac:dyDescent="0.25">
      <c r="A300" t="s">
        <v>599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798</v>
      </c>
      <c r="G300" t="s">
        <v>440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34" t="s">
        <v>690</v>
      </c>
      <c r="L300" s="34" t="s">
        <v>465</v>
      </c>
      <c r="M300">
        <v>2107</v>
      </c>
      <c r="N300" t="s">
        <v>143</v>
      </c>
      <c r="O300" t="str">
        <f t="shared" si="24"/>
        <v>06142703981055</v>
      </c>
      <c r="P300" t="s">
        <v>144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465</v>
      </c>
      <c r="AA300" s="38" t="s">
        <v>1</v>
      </c>
      <c r="AB300" t="s">
        <v>465</v>
      </c>
      <c r="AC300">
        <v>0</v>
      </c>
    </row>
    <row r="301" spans="1:29" hidden="1" x14ac:dyDescent="0.25">
      <c r="A301" t="s">
        <v>599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799</v>
      </c>
      <c r="G301" t="s">
        <v>440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34" t="s">
        <v>690</v>
      </c>
      <c r="L301" s="34" t="s">
        <v>465</v>
      </c>
      <c r="M301">
        <v>2059</v>
      </c>
      <c r="N301" t="s">
        <v>143</v>
      </c>
      <c r="O301" t="str">
        <f t="shared" si="24"/>
        <v>06142703981055</v>
      </c>
      <c r="P301" t="s">
        <v>144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465</v>
      </c>
      <c r="AA301" s="38" t="s">
        <v>1</v>
      </c>
      <c r="AB301" t="s">
        <v>465</v>
      </c>
      <c r="AC301">
        <v>0</v>
      </c>
    </row>
    <row r="302" spans="1:29" hidden="1" x14ac:dyDescent="0.25">
      <c r="A302" t="s">
        <v>599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801</v>
      </c>
      <c r="G302" t="s">
        <v>440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34" t="s">
        <v>690</v>
      </c>
      <c r="L302" s="34" t="s">
        <v>465</v>
      </c>
      <c r="M302">
        <v>1727</v>
      </c>
      <c r="N302" t="s">
        <v>143</v>
      </c>
      <c r="O302" t="str">
        <f t="shared" si="24"/>
        <v>06142703981055</v>
      </c>
      <c r="P302" t="s">
        <v>144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465</v>
      </c>
      <c r="AA302" s="38" t="s">
        <v>1</v>
      </c>
      <c r="AB302" t="s">
        <v>465</v>
      </c>
      <c r="AC302">
        <v>0</v>
      </c>
    </row>
    <row r="303" spans="1:29" hidden="1" x14ac:dyDescent="0.25">
      <c r="A303" t="s">
        <v>599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801</v>
      </c>
      <c r="G303" t="s">
        <v>440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34" t="s">
        <v>690</v>
      </c>
      <c r="L303" s="34" t="s">
        <v>465</v>
      </c>
      <c r="M303">
        <v>2007</v>
      </c>
      <c r="N303" t="s">
        <v>143</v>
      </c>
      <c r="O303" t="str">
        <f t="shared" si="24"/>
        <v>06142703981055</v>
      </c>
      <c r="P303" t="s">
        <v>144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465</v>
      </c>
      <c r="AA303" s="38" t="s">
        <v>1</v>
      </c>
      <c r="AB303" t="s">
        <v>465</v>
      </c>
      <c r="AC303">
        <v>0</v>
      </c>
    </row>
    <row r="304" spans="1:29" hidden="1" x14ac:dyDescent="0.25">
      <c r="A304" t="s">
        <v>599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808</v>
      </c>
      <c r="G304" t="s">
        <v>440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34" t="s">
        <v>690</v>
      </c>
      <c r="L304" s="34" t="s">
        <v>465</v>
      </c>
      <c r="M304">
        <v>1903</v>
      </c>
      <c r="N304" t="s">
        <v>143</v>
      </c>
      <c r="O304" t="str">
        <f t="shared" si="24"/>
        <v>06142703981055</v>
      </c>
      <c r="P304" t="s">
        <v>144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465</v>
      </c>
      <c r="AA304" s="38" t="s">
        <v>1</v>
      </c>
      <c r="AB304" t="s">
        <v>465</v>
      </c>
      <c r="AC304">
        <v>0</v>
      </c>
    </row>
    <row r="305" spans="1:29" hidden="1" x14ac:dyDescent="0.25">
      <c r="A305" t="s">
        <v>599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804</v>
      </c>
      <c r="G305" t="s">
        <v>440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34" t="s">
        <v>690</v>
      </c>
      <c r="L305" s="34" t="s">
        <v>465</v>
      </c>
      <c r="M305">
        <v>25990</v>
      </c>
      <c r="N305" t="s">
        <v>654</v>
      </c>
      <c r="O305" t="str">
        <f t="shared" si="24"/>
        <v>95012110211015</v>
      </c>
      <c r="P305" t="s">
        <v>655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465</v>
      </c>
      <c r="AA305" s="38" t="s">
        <v>1</v>
      </c>
      <c r="AB305" t="s">
        <v>465</v>
      </c>
      <c r="AC305">
        <v>0</v>
      </c>
    </row>
    <row r="306" spans="1:29" hidden="1" x14ac:dyDescent="0.25">
      <c r="A306" t="s">
        <v>599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805</v>
      </c>
      <c r="G306" t="s">
        <v>440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34" t="s">
        <v>690</v>
      </c>
      <c r="L306" s="34" t="s">
        <v>465</v>
      </c>
      <c r="M306">
        <v>35081</v>
      </c>
      <c r="N306" t="s">
        <v>321</v>
      </c>
      <c r="O306" t="str">
        <f t="shared" si="24"/>
        <v>06140103951010</v>
      </c>
      <c r="P306" t="s">
        <v>322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465</v>
      </c>
      <c r="AA306" s="38" t="s">
        <v>1</v>
      </c>
      <c r="AB306" t="s">
        <v>465</v>
      </c>
      <c r="AC306">
        <v>0</v>
      </c>
    </row>
    <row r="307" spans="1:29" hidden="1" x14ac:dyDescent="0.25">
      <c r="A307" t="s">
        <v>599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806</v>
      </c>
      <c r="G307" t="s">
        <v>440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34" t="s">
        <v>690</v>
      </c>
      <c r="L307" s="34" t="s">
        <v>465</v>
      </c>
      <c r="M307">
        <v>86</v>
      </c>
      <c r="N307" t="s">
        <v>477</v>
      </c>
      <c r="O307" t="str">
        <f t="shared" si="24"/>
        <v>06141012141020</v>
      </c>
      <c r="P307" t="s">
        <v>478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465</v>
      </c>
      <c r="AA307" s="38" t="s">
        <v>1</v>
      </c>
      <c r="AB307" t="s">
        <v>465</v>
      </c>
      <c r="AC307">
        <v>0</v>
      </c>
    </row>
    <row r="308" spans="1:29" hidden="1" x14ac:dyDescent="0.25">
      <c r="A308" t="s">
        <v>599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757</v>
      </c>
      <c r="G308" t="s">
        <v>440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34" t="s">
        <v>690</v>
      </c>
      <c r="L308" s="34" t="s">
        <v>465</v>
      </c>
      <c r="M308">
        <v>3894509</v>
      </c>
      <c r="N308" t="s">
        <v>274</v>
      </c>
      <c r="O308" t="str">
        <f t="shared" si="24"/>
        <v>06142610981012</v>
      </c>
      <c r="P308" t="s">
        <v>275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465</v>
      </c>
      <c r="AA308" s="38" t="s">
        <v>1</v>
      </c>
      <c r="AB308" t="s">
        <v>465</v>
      </c>
      <c r="AC308">
        <v>0</v>
      </c>
    </row>
    <row r="309" spans="1:29" hidden="1" x14ac:dyDescent="0.25">
      <c r="A309" t="s">
        <v>599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797</v>
      </c>
      <c r="G309" t="s">
        <v>440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34" t="s">
        <v>690</v>
      </c>
      <c r="L309" s="34" t="s">
        <v>465</v>
      </c>
      <c r="M309">
        <v>367436</v>
      </c>
      <c r="N309" t="s">
        <v>381</v>
      </c>
      <c r="O309" t="str">
        <f t="shared" si="24"/>
        <v>06141202620014</v>
      </c>
      <c r="P309" t="s">
        <v>382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465</v>
      </c>
      <c r="AA309" s="38" t="s">
        <v>1</v>
      </c>
      <c r="AB309" t="s">
        <v>465</v>
      </c>
      <c r="AC309">
        <v>0</v>
      </c>
    </row>
    <row r="310" spans="1:29" hidden="1" x14ac:dyDescent="0.25">
      <c r="A310" t="s">
        <v>599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808</v>
      </c>
      <c r="G310" t="s">
        <v>440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34" t="s">
        <v>690</v>
      </c>
      <c r="L310" s="34" t="s">
        <v>465</v>
      </c>
      <c r="M310">
        <v>9985</v>
      </c>
      <c r="N310" t="s">
        <v>83</v>
      </c>
      <c r="O310" t="str">
        <f t="shared" si="24"/>
        <v>12171207011015</v>
      </c>
      <c r="P310" t="s">
        <v>84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465</v>
      </c>
      <c r="AA310" s="38" t="s">
        <v>1</v>
      </c>
      <c r="AB310" t="s">
        <v>465</v>
      </c>
      <c r="AC310">
        <v>0</v>
      </c>
    </row>
    <row r="311" spans="1:29" hidden="1" x14ac:dyDescent="0.25">
      <c r="A311" t="s">
        <v>599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808</v>
      </c>
      <c r="G311" t="s">
        <v>440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34" t="s">
        <v>690</v>
      </c>
      <c r="L311" s="34" t="s">
        <v>465</v>
      </c>
      <c r="M311">
        <v>13707</v>
      </c>
      <c r="N311" t="s">
        <v>83</v>
      </c>
      <c r="O311" t="str">
        <f t="shared" si="24"/>
        <v>12171207011015</v>
      </c>
      <c r="P311" t="s">
        <v>84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465</v>
      </c>
      <c r="AA311" s="38" t="s">
        <v>1</v>
      </c>
      <c r="AB311" t="s">
        <v>465</v>
      </c>
      <c r="AC311">
        <v>0</v>
      </c>
    </row>
    <row r="312" spans="1:29" hidden="1" x14ac:dyDescent="0.25">
      <c r="A312" t="s">
        <v>599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808</v>
      </c>
      <c r="G312" t="s">
        <v>440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34" t="s">
        <v>690</v>
      </c>
      <c r="L312" s="34" t="s">
        <v>465</v>
      </c>
      <c r="M312">
        <v>13706</v>
      </c>
      <c r="N312" t="s">
        <v>83</v>
      </c>
      <c r="O312" t="str">
        <f t="shared" si="24"/>
        <v>12171207011015</v>
      </c>
      <c r="P312" t="s">
        <v>84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465</v>
      </c>
      <c r="AA312" s="38" t="s">
        <v>1</v>
      </c>
      <c r="AB312" t="s">
        <v>465</v>
      </c>
      <c r="AC312">
        <v>0</v>
      </c>
    </row>
    <row r="313" spans="1:29" hidden="1" x14ac:dyDescent="0.25">
      <c r="A313" t="s">
        <v>599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800</v>
      </c>
      <c r="G313" t="s">
        <v>440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34" t="s">
        <v>690</v>
      </c>
      <c r="L313" s="34" t="s">
        <v>465</v>
      </c>
      <c r="M313">
        <v>199</v>
      </c>
      <c r="N313" t="s">
        <v>817</v>
      </c>
      <c r="O313" t="str">
        <f t="shared" si="24"/>
        <v>12170109031010</v>
      </c>
      <c r="P313" t="s">
        <v>818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465</v>
      </c>
      <c r="AA313" s="38" t="s">
        <v>1</v>
      </c>
      <c r="AB313" t="s">
        <v>465</v>
      </c>
      <c r="AC313">
        <v>0</v>
      </c>
    </row>
    <row r="314" spans="1:29" hidden="1" x14ac:dyDescent="0.25">
      <c r="A314" t="s">
        <v>599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801</v>
      </c>
      <c r="G314" t="s">
        <v>440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34" t="s">
        <v>690</v>
      </c>
      <c r="L314" s="34" t="s">
        <v>465</v>
      </c>
      <c r="M314">
        <v>235458</v>
      </c>
      <c r="N314" t="s">
        <v>244</v>
      </c>
      <c r="O314" t="str">
        <f t="shared" si="24"/>
        <v>06142604071063</v>
      </c>
      <c r="P314" t="s">
        <v>245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465</v>
      </c>
      <c r="AA314" s="38" t="s">
        <v>1</v>
      </c>
      <c r="AB314" t="s">
        <v>465</v>
      </c>
      <c r="AC314">
        <v>0</v>
      </c>
    </row>
    <row r="315" spans="1:29" hidden="1" x14ac:dyDescent="0.25">
      <c r="A315" t="s">
        <v>599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810</v>
      </c>
      <c r="G315" t="s">
        <v>440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34" t="s">
        <v>690</v>
      </c>
      <c r="L315" s="34" t="s">
        <v>465</v>
      </c>
      <c r="M315">
        <v>2139</v>
      </c>
      <c r="N315" t="s">
        <v>242</v>
      </c>
      <c r="O315" t="str">
        <f t="shared" si="24"/>
        <v>06141612021044</v>
      </c>
      <c r="P315" t="s">
        <v>243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465</v>
      </c>
      <c r="AA315" s="38" t="s">
        <v>1</v>
      </c>
      <c r="AB315" t="s">
        <v>465</v>
      </c>
      <c r="AC315">
        <v>0</v>
      </c>
    </row>
    <row r="316" spans="1:29" hidden="1" x14ac:dyDescent="0.25">
      <c r="A316" t="s">
        <v>599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774</v>
      </c>
      <c r="G316" t="s">
        <v>440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34" t="s">
        <v>690</v>
      </c>
      <c r="L316" s="34" t="s">
        <v>465</v>
      </c>
      <c r="M316">
        <v>71523</v>
      </c>
      <c r="N316" t="s">
        <v>162</v>
      </c>
      <c r="O316" t="str">
        <f t="shared" si="24"/>
        <v>94832404991012</v>
      </c>
      <c r="P316" t="s">
        <v>163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465</v>
      </c>
      <c r="AA316" s="38" t="s">
        <v>1</v>
      </c>
      <c r="AB316" t="s">
        <v>514</v>
      </c>
      <c r="AC316">
        <v>807.84</v>
      </c>
    </row>
    <row r="317" spans="1:29" hidden="1" x14ac:dyDescent="0.25">
      <c r="A317" t="s">
        <v>599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764</v>
      </c>
      <c r="G317" t="s">
        <v>440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34" t="s">
        <v>690</v>
      </c>
      <c r="L317" s="34" t="s">
        <v>465</v>
      </c>
      <c r="M317">
        <v>72088</v>
      </c>
      <c r="N317" t="s">
        <v>162</v>
      </c>
      <c r="O317" t="str">
        <f t="shared" si="24"/>
        <v>94832404991012</v>
      </c>
      <c r="P317" t="s">
        <v>163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465</v>
      </c>
      <c r="AA317" s="38" t="s">
        <v>1</v>
      </c>
      <c r="AB317" t="s">
        <v>514</v>
      </c>
      <c r="AC317">
        <v>13.5</v>
      </c>
    </row>
    <row r="318" spans="1:29" hidden="1" x14ac:dyDescent="0.25">
      <c r="A318" t="s">
        <v>599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766</v>
      </c>
      <c r="G318" t="s">
        <v>440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34" t="s">
        <v>690</v>
      </c>
      <c r="L318" s="34" t="s">
        <v>465</v>
      </c>
      <c r="M318">
        <v>64</v>
      </c>
      <c r="N318" t="s">
        <v>452</v>
      </c>
      <c r="O318" t="str">
        <f t="shared" si="24"/>
        <v>02101107171019</v>
      </c>
      <c r="P318" t="s">
        <v>453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465</v>
      </c>
      <c r="AA318" s="38" t="s">
        <v>1</v>
      </c>
      <c r="AB318" t="s">
        <v>514</v>
      </c>
      <c r="AC318">
        <v>2732.01</v>
      </c>
    </row>
    <row r="319" spans="1:29" hidden="1" x14ac:dyDescent="0.25">
      <c r="A319" t="s">
        <v>599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788</v>
      </c>
      <c r="G319" t="s">
        <v>440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34" t="s">
        <v>690</v>
      </c>
      <c r="L319" s="34" t="s">
        <v>465</v>
      </c>
      <c r="M319">
        <v>1244</v>
      </c>
      <c r="N319" t="s">
        <v>108</v>
      </c>
      <c r="O319" t="str">
        <f t="shared" si="24"/>
        <v>06141211870020</v>
      </c>
      <c r="P319" t="s">
        <v>109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465</v>
      </c>
      <c r="AA319" s="38" t="s">
        <v>1</v>
      </c>
      <c r="AB319" t="s">
        <v>514</v>
      </c>
      <c r="AC319">
        <v>910.41</v>
      </c>
    </row>
    <row r="320" spans="1:29" hidden="1" x14ac:dyDescent="0.25">
      <c r="A320" t="s">
        <v>599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788</v>
      </c>
      <c r="G320" t="s">
        <v>440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34" t="s">
        <v>690</v>
      </c>
      <c r="L320" s="34" t="s">
        <v>465</v>
      </c>
      <c r="M320">
        <v>2694</v>
      </c>
      <c r="N320" t="s">
        <v>294</v>
      </c>
      <c r="O320" t="str">
        <f t="shared" si="24"/>
        <v>13071610671016</v>
      </c>
      <c r="P320" t="s">
        <v>295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465</v>
      </c>
      <c r="AA320" s="38" t="s">
        <v>1</v>
      </c>
      <c r="AB320" t="s">
        <v>520</v>
      </c>
      <c r="AC320">
        <v>6.85</v>
      </c>
    </row>
    <row r="321" spans="1:29" hidden="1" x14ac:dyDescent="0.25">
      <c r="A321" t="s">
        <v>599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758</v>
      </c>
      <c r="G321" t="s">
        <v>440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34" t="s">
        <v>690</v>
      </c>
      <c r="L321" s="34" t="s">
        <v>465</v>
      </c>
      <c r="M321">
        <v>2413</v>
      </c>
      <c r="N321" t="s">
        <v>262</v>
      </c>
      <c r="O321" t="str">
        <f t="shared" si="24"/>
        <v>06140404530104</v>
      </c>
      <c r="P321" t="s">
        <v>263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465</v>
      </c>
      <c r="AA321" s="38" t="s">
        <v>1</v>
      </c>
      <c r="AB321" t="s">
        <v>514</v>
      </c>
      <c r="AC321">
        <v>510.39</v>
      </c>
    </row>
    <row r="322" spans="1:29" hidden="1" x14ac:dyDescent="0.25">
      <c r="A322" t="s">
        <v>599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769</v>
      </c>
      <c r="G322" t="s">
        <v>440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34" t="s">
        <v>690</v>
      </c>
      <c r="L322" s="34" t="s">
        <v>465</v>
      </c>
      <c r="M322">
        <v>2226</v>
      </c>
      <c r="N322" t="s">
        <v>262</v>
      </c>
      <c r="O322" t="str">
        <f t="shared" si="24"/>
        <v>06140404530104</v>
      </c>
      <c r="P322" t="s">
        <v>263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465</v>
      </c>
      <c r="AA322" s="38" t="s">
        <v>1</v>
      </c>
      <c r="AB322" t="s">
        <v>514</v>
      </c>
      <c r="AC322">
        <v>127.67</v>
      </c>
    </row>
    <row r="323" spans="1:29" hidden="1" x14ac:dyDescent="0.25">
      <c r="A323" t="s">
        <v>599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764</v>
      </c>
      <c r="G323" t="s">
        <v>440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34" t="s">
        <v>690</v>
      </c>
      <c r="L323" s="34" t="s">
        <v>465</v>
      </c>
      <c r="M323">
        <v>56967</v>
      </c>
      <c r="O323" t="str">
        <f t="shared" ref="O323:O386" si="29">IF(N323="",Z323,N323)</f>
        <v>007339078</v>
      </c>
      <c r="P323" t="s">
        <v>715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714</v>
      </c>
      <c r="AA323" s="38" t="s">
        <v>1</v>
      </c>
      <c r="AB323" t="s">
        <v>514</v>
      </c>
      <c r="AC323">
        <v>435.6</v>
      </c>
    </row>
    <row r="324" spans="1:29" hidden="1" x14ac:dyDescent="0.25">
      <c r="A324" t="s">
        <v>599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816</v>
      </c>
      <c r="G324" t="s">
        <v>440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34" t="s">
        <v>690</v>
      </c>
      <c r="L324" s="34" t="s">
        <v>465</v>
      </c>
      <c r="M324">
        <v>1970</v>
      </c>
      <c r="N324" t="s">
        <v>294</v>
      </c>
      <c r="O324" t="str">
        <f t="shared" si="29"/>
        <v>13071610671016</v>
      </c>
      <c r="P324" t="s">
        <v>295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465</v>
      </c>
      <c r="AA324" s="38" t="s">
        <v>1</v>
      </c>
      <c r="AB324" t="s">
        <v>514</v>
      </c>
      <c r="AC324">
        <v>48.87</v>
      </c>
    </row>
    <row r="325" spans="1:29" hidden="1" x14ac:dyDescent="0.25">
      <c r="A325" t="s">
        <v>599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794</v>
      </c>
      <c r="G325" t="s">
        <v>440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34" t="s">
        <v>690</v>
      </c>
      <c r="L325" s="34" t="s">
        <v>465</v>
      </c>
      <c r="M325">
        <v>22484</v>
      </c>
      <c r="N325" t="s">
        <v>185</v>
      </c>
      <c r="O325" t="str">
        <f t="shared" si="29"/>
        <v>06142407750010</v>
      </c>
      <c r="P325" t="s">
        <v>186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465</v>
      </c>
      <c r="AA325" s="38" t="s">
        <v>1</v>
      </c>
      <c r="AB325" t="s">
        <v>514</v>
      </c>
      <c r="AC325">
        <v>1.5</v>
      </c>
    </row>
    <row r="326" spans="1:29" hidden="1" x14ac:dyDescent="0.25">
      <c r="A326" t="s">
        <v>599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799</v>
      </c>
      <c r="G326" t="s">
        <v>440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34" t="s">
        <v>690</v>
      </c>
      <c r="L326" s="34" t="s">
        <v>465</v>
      </c>
      <c r="M326">
        <v>22664</v>
      </c>
      <c r="N326" t="s">
        <v>202</v>
      </c>
      <c r="O326" t="str">
        <f t="shared" si="29"/>
        <v>06141307921019</v>
      </c>
      <c r="P326" t="s">
        <v>203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465</v>
      </c>
      <c r="AA326" s="38" t="s">
        <v>1</v>
      </c>
      <c r="AB326" t="s">
        <v>514</v>
      </c>
      <c r="AC326">
        <v>169.01</v>
      </c>
    </row>
    <row r="327" spans="1:29" hidden="1" x14ac:dyDescent="0.25">
      <c r="A327" t="s">
        <v>599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745</v>
      </c>
      <c r="G327" t="s">
        <v>440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34" t="s">
        <v>690</v>
      </c>
      <c r="L327" s="34" t="s">
        <v>465</v>
      </c>
      <c r="M327">
        <v>1963</v>
      </c>
      <c r="N327" t="s">
        <v>225</v>
      </c>
      <c r="O327" t="str">
        <f t="shared" si="29"/>
        <v>06141007840010</v>
      </c>
      <c r="P327" t="s">
        <v>226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465</v>
      </c>
      <c r="AA327" s="38" t="s">
        <v>1</v>
      </c>
      <c r="AB327" t="s">
        <v>514</v>
      </c>
      <c r="AC327">
        <v>36.299999999999997</v>
      </c>
    </row>
    <row r="328" spans="1:29" hidden="1" x14ac:dyDescent="0.25">
      <c r="A328" t="s">
        <v>599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797</v>
      </c>
      <c r="G328" t="s">
        <v>440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34" t="s">
        <v>690</v>
      </c>
      <c r="L328" s="34" t="s">
        <v>465</v>
      </c>
      <c r="M328">
        <v>193</v>
      </c>
      <c r="N328" t="s">
        <v>411</v>
      </c>
      <c r="O328" t="str">
        <f t="shared" si="29"/>
        <v>06143105820014</v>
      </c>
      <c r="P328" t="s">
        <v>412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465</v>
      </c>
      <c r="AA328" s="38" t="s">
        <v>1</v>
      </c>
      <c r="AB328" t="s">
        <v>514</v>
      </c>
      <c r="AC328">
        <v>254.11</v>
      </c>
    </row>
    <row r="329" spans="1:29" hidden="1" x14ac:dyDescent="0.25">
      <c r="A329" t="s">
        <v>599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797</v>
      </c>
      <c r="G329" t="s">
        <v>440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34" t="s">
        <v>690</v>
      </c>
      <c r="L329" s="34" t="s">
        <v>465</v>
      </c>
      <c r="M329">
        <v>1456</v>
      </c>
      <c r="N329" t="s">
        <v>814</v>
      </c>
      <c r="O329" t="str">
        <f t="shared" si="29"/>
        <v>06141002041019</v>
      </c>
      <c r="P329" t="s">
        <v>815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465</v>
      </c>
      <c r="AA329" s="38" t="s">
        <v>1</v>
      </c>
      <c r="AB329" t="s">
        <v>514</v>
      </c>
      <c r="AC329">
        <v>74.319999999999993</v>
      </c>
    </row>
    <row r="330" spans="1:29" hidden="1" x14ac:dyDescent="0.25">
      <c r="A330" t="s">
        <v>599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806</v>
      </c>
      <c r="G330" t="s">
        <v>440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34" t="s">
        <v>690</v>
      </c>
      <c r="L330" s="34" t="s">
        <v>465</v>
      </c>
      <c r="M330">
        <v>15381733</v>
      </c>
      <c r="N330" t="s">
        <v>380</v>
      </c>
      <c r="O330" t="str">
        <f t="shared" si="29"/>
        <v>06143107620016</v>
      </c>
      <c r="P330" t="s">
        <v>253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465</v>
      </c>
      <c r="AA330" s="38" t="s">
        <v>1</v>
      </c>
      <c r="AB330" t="s">
        <v>514</v>
      </c>
      <c r="AC330">
        <v>166.81</v>
      </c>
    </row>
    <row r="331" spans="1:29" hidden="1" x14ac:dyDescent="0.25">
      <c r="A331" t="s">
        <v>599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762</v>
      </c>
      <c r="G331" t="s">
        <v>440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34" t="s">
        <v>690</v>
      </c>
      <c r="L331" s="34" t="s">
        <v>465</v>
      </c>
      <c r="M331">
        <v>20487</v>
      </c>
      <c r="N331" t="s">
        <v>62</v>
      </c>
      <c r="O331" t="str">
        <f t="shared" si="29"/>
        <v>12172508931019</v>
      </c>
      <c r="P331" t="s">
        <v>63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465</v>
      </c>
      <c r="AA331" s="38" t="s">
        <v>1</v>
      </c>
      <c r="AB331" t="s">
        <v>514</v>
      </c>
      <c r="AC331">
        <v>35.74</v>
      </c>
    </row>
    <row r="332" spans="1:29" hidden="1" x14ac:dyDescent="0.25">
      <c r="A332" t="s">
        <v>599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805</v>
      </c>
      <c r="G332" t="s">
        <v>440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34" t="s">
        <v>690</v>
      </c>
      <c r="L332" s="34" t="s">
        <v>465</v>
      </c>
      <c r="M332">
        <v>72858</v>
      </c>
      <c r="N332" t="s">
        <v>290</v>
      </c>
      <c r="O332" t="str">
        <f t="shared" si="29"/>
        <v>12173101051010</v>
      </c>
      <c r="P332" t="s">
        <v>291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465</v>
      </c>
      <c r="AA332" s="38" t="s">
        <v>1</v>
      </c>
      <c r="AB332" t="s">
        <v>514</v>
      </c>
      <c r="AC332">
        <v>679.54</v>
      </c>
    </row>
    <row r="333" spans="1:29" hidden="1" x14ac:dyDescent="0.25">
      <c r="A333" t="s">
        <v>599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805</v>
      </c>
      <c r="G333" t="s">
        <v>440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34" t="s">
        <v>690</v>
      </c>
      <c r="L333" s="34" t="s">
        <v>465</v>
      </c>
      <c r="M333">
        <v>9917</v>
      </c>
      <c r="N333" t="s">
        <v>415</v>
      </c>
      <c r="O333" t="str">
        <f t="shared" si="29"/>
        <v>06142406031056</v>
      </c>
      <c r="P333" t="s">
        <v>416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465</v>
      </c>
      <c r="AA333" s="38" t="s">
        <v>1</v>
      </c>
      <c r="AB333" t="s">
        <v>465</v>
      </c>
      <c r="AC333">
        <v>0</v>
      </c>
    </row>
    <row r="334" spans="1:29" hidden="1" x14ac:dyDescent="0.25">
      <c r="A334" t="s">
        <v>599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807</v>
      </c>
      <c r="G334" t="s">
        <v>440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34" t="s">
        <v>690</v>
      </c>
      <c r="L334" s="34" t="s">
        <v>465</v>
      </c>
      <c r="M334">
        <v>968699</v>
      </c>
      <c r="N334" t="s">
        <v>29</v>
      </c>
      <c r="O334" t="str">
        <f t="shared" si="29"/>
        <v>06141909001034</v>
      </c>
      <c r="P334" t="s">
        <v>233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465</v>
      </c>
      <c r="AA334" s="38" t="s">
        <v>1</v>
      </c>
      <c r="AB334" t="s">
        <v>465</v>
      </c>
      <c r="AC334">
        <v>0</v>
      </c>
    </row>
    <row r="335" spans="1:29" hidden="1" x14ac:dyDescent="0.25">
      <c r="A335" t="s">
        <v>599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806</v>
      </c>
      <c r="G335" t="s">
        <v>440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34" t="s">
        <v>690</v>
      </c>
      <c r="L335" s="34" t="s">
        <v>465</v>
      </c>
      <c r="M335">
        <v>66</v>
      </c>
      <c r="N335" t="s">
        <v>452</v>
      </c>
      <c r="O335" t="str">
        <f t="shared" si="29"/>
        <v>02101107171019</v>
      </c>
      <c r="P335" t="s">
        <v>453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465</v>
      </c>
      <c r="AA335" s="38" t="s">
        <v>1</v>
      </c>
      <c r="AB335" t="s">
        <v>465</v>
      </c>
      <c r="AC335">
        <v>0</v>
      </c>
    </row>
    <row r="336" spans="1:29" hidden="1" x14ac:dyDescent="0.25">
      <c r="A336" t="s">
        <v>599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806</v>
      </c>
      <c r="G336" t="s">
        <v>440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34" t="s">
        <v>690</v>
      </c>
      <c r="L336" s="34" t="s">
        <v>465</v>
      </c>
      <c r="M336">
        <v>101</v>
      </c>
      <c r="N336" t="s">
        <v>812</v>
      </c>
      <c r="O336" t="str">
        <f t="shared" si="29"/>
        <v>07150802540010</v>
      </c>
      <c r="P336" t="s">
        <v>813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465</v>
      </c>
      <c r="AA336" s="38" t="s">
        <v>1</v>
      </c>
      <c r="AB336" t="s">
        <v>465</v>
      </c>
      <c r="AC336">
        <v>0</v>
      </c>
    </row>
    <row r="337" spans="1:29" hidden="1" x14ac:dyDescent="0.25">
      <c r="A337" t="s">
        <v>599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804</v>
      </c>
      <c r="G337" t="s">
        <v>440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34" t="s">
        <v>690</v>
      </c>
      <c r="L337" s="34" t="s">
        <v>465</v>
      </c>
      <c r="M337">
        <v>1058</v>
      </c>
      <c r="N337" t="s">
        <v>423</v>
      </c>
      <c r="O337" t="str">
        <f t="shared" si="29"/>
        <v>06141903071049</v>
      </c>
      <c r="P337" t="s">
        <v>424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465</v>
      </c>
      <c r="AA337" s="38" t="s">
        <v>1</v>
      </c>
      <c r="AB337" t="s">
        <v>465</v>
      </c>
      <c r="AC337">
        <v>0</v>
      </c>
    </row>
    <row r="338" spans="1:29" hidden="1" x14ac:dyDescent="0.25">
      <c r="A338" t="s">
        <v>599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811</v>
      </c>
      <c r="G338" t="s">
        <v>440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34" t="s">
        <v>690</v>
      </c>
      <c r="L338" s="34" t="s">
        <v>465</v>
      </c>
      <c r="M338">
        <v>381357</v>
      </c>
      <c r="N338" t="s">
        <v>339</v>
      </c>
      <c r="O338" t="str">
        <f t="shared" si="29"/>
        <v>06142305771172</v>
      </c>
      <c r="P338" t="s">
        <v>340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465</v>
      </c>
      <c r="AA338" s="38" t="s">
        <v>1</v>
      </c>
      <c r="AB338" t="s">
        <v>465</v>
      </c>
      <c r="AC338">
        <v>0</v>
      </c>
    </row>
    <row r="339" spans="1:29" hidden="1" x14ac:dyDescent="0.25">
      <c r="A339" t="s">
        <v>599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808</v>
      </c>
      <c r="G339" t="s">
        <v>440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34" t="s">
        <v>690</v>
      </c>
      <c r="L339" s="34" t="s">
        <v>465</v>
      </c>
      <c r="M339">
        <v>17802</v>
      </c>
      <c r="N339" t="s">
        <v>227</v>
      </c>
      <c r="O339" t="str">
        <f t="shared" si="29"/>
        <v>06142008011037</v>
      </c>
      <c r="P339" t="s">
        <v>228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465</v>
      </c>
      <c r="AA339" s="38" t="s">
        <v>1</v>
      </c>
      <c r="AB339" t="s">
        <v>465</v>
      </c>
      <c r="AC339">
        <v>0</v>
      </c>
    </row>
    <row r="340" spans="1:29" hidden="1" x14ac:dyDescent="0.25">
      <c r="A340" t="s">
        <v>599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795</v>
      </c>
      <c r="G340" t="s">
        <v>440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34" t="s">
        <v>690</v>
      </c>
      <c r="L340" s="34" t="s">
        <v>465</v>
      </c>
      <c r="M340">
        <v>191146</v>
      </c>
      <c r="N340" t="s">
        <v>210</v>
      </c>
      <c r="O340" t="str">
        <f t="shared" si="29"/>
        <v>06141403161033</v>
      </c>
      <c r="P340" t="s">
        <v>211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465</v>
      </c>
      <c r="AA340" s="38" t="s">
        <v>1</v>
      </c>
      <c r="AB340" t="s">
        <v>465</v>
      </c>
      <c r="AC340">
        <v>0</v>
      </c>
    </row>
    <row r="341" spans="1:29" hidden="1" x14ac:dyDescent="0.25">
      <c r="A341" t="s">
        <v>599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810</v>
      </c>
      <c r="G341" t="s">
        <v>440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34" t="s">
        <v>690</v>
      </c>
      <c r="L341" s="34" t="s">
        <v>465</v>
      </c>
      <c r="M341">
        <v>2224948</v>
      </c>
      <c r="N341" t="s">
        <v>173</v>
      </c>
      <c r="O341" t="str">
        <f t="shared" si="29"/>
        <v>14070503650018</v>
      </c>
      <c r="P341" t="s">
        <v>174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465</v>
      </c>
      <c r="AA341" s="38" t="s">
        <v>1</v>
      </c>
      <c r="AB341" t="s">
        <v>465</v>
      </c>
      <c r="AC341">
        <v>0</v>
      </c>
    </row>
    <row r="342" spans="1:29" hidden="1" x14ac:dyDescent="0.25">
      <c r="A342" t="s">
        <v>598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772</v>
      </c>
      <c r="G342" t="s">
        <v>440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34" t="s">
        <v>690</v>
      </c>
      <c r="L342" s="34" t="s">
        <v>465</v>
      </c>
      <c r="M342">
        <v>278</v>
      </c>
      <c r="N342" t="s">
        <v>181</v>
      </c>
      <c r="O342" t="str">
        <f t="shared" si="29"/>
        <v>05043110741013</v>
      </c>
      <c r="P342" t="s">
        <v>182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465</v>
      </c>
      <c r="AA342" s="38" t="s">
        <v>1</v>
      </c>
      <c r="AB342" t="s">
        <v>465</v>
      </c>
      <c r="AC342">
        <v>0</v>
      </c>
    </row>
    <row r="343" spans="1:29" hidden="1" x14ac:dyDescent="0.25">
      <c r="A343" t="s">
        <v>598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768</v>
      </c>
      <c r="G343" t="s">
        <v>440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34" t="s">
        <v>690</v>
      </c>
      <c r="L343" s="34" t="s">
        <v>465</v>
      </c>
      <c r="M343">
        <v>275</v>
      </c>
      <c r="N343" t="s">
        <v>181</v>
      </c>
      <c r="O343" t="str">
        <f t="shared" si="29"/>
        <v>05043110741013</v>
      </c>
      <c r="P343" t="s">
        <v>182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465</v>
      </c>
      <c r="AA343" s="38" t="s">
        <v>1</v>
      </c>
      <c r="AB343" t="s">
        <v>465</v>
      </c>
      <c r="AC343">
        <v>0</v>
      </c>
    </row>
    <row r="344" spans="1:29" hidden="1" x14ac:dyDescent="0.25">
      <c r="A344" t="s">
        <v>598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754</v>
      </c>
      <c r="G344" t="s">
        <v>440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34" t="s">
        <v>690</v>
      </c>
      <c r="L344" s="34" t="s">
        <v>465</v>
      </c>
      <c r="M344">
        <v>6019</v>
      </c>
      <c r="N344" t="s">
        <v>323</v>
      </c>
      <c r="O344" t="str">
        <f t="shared" si="29"/>
        <v>06143112510011</v>
      </c>
      <c r="P344" t="s">
        <v>324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465</v>
      </c>
      <c r="AA344" s="38" t="s">
        <v>1</v>
      </c>
      <c r="AB344" t="s">
        <v>465</v>
      </c>
      <c r="AC344">
        <v>0</v>
      </c>
    </row>
    <row r="345" spans="1:29" hidden="1" x14ac:dyDescent="0.25">
      <c r="A345" t="s">
        <v>598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772</v>
      </c>
      <c r="G345" t="s">
        <v>440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34" t="s">
        <v>690</v>
      </c>
      <c r="L345" s="34" t="s">
        <v>465</v>
      </c>
      <c r="M345">
        <v>1617</v>
      </c>
      <c r="N345" t="s">
        <v>143</v>
      </c>
      <c r="O345" t="str">
        <f t="shared" si="29"/>
        <v>06142703981055</v>
      </c>
      <c r="P345" t="s">
        <v>144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465</v>
      </c>
      <c r="AA345" s="38" t="s">
        <v>1</v>
      </c>
      <c r="AB345" t="s">
        <v>518</v>
      </c>
      <c r="AC345">
        <v>7.67</v>
      </c>
    </row>
    <row r="346" spans="1:29" hidden="1" x14ac:dyDescent="0.25">
      <c r="A346" t="s">
        <v>598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757</v>
      </c>
      <c r="G346" t="s">
        <v>440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34" t="s">
        <v>690</v>
      </c>
      <c r="L346" s="34" t="s">
        <v>465</v>
      </c>
      <c r="M346">
        <v>144352</v>
      </c>
      <c r="N346" t="s">
        <v>210</v>
      </c>
      <c r="O346" t="str">
        <f t="shared" si="29"/>
        <v>06141403161033</v>
      </c>
      <c r="P346" t="s">
        <v>211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465</v>
      </c>
      <c r="AA346" s="38" t="s">
        <v>1</v>
      </c>
      <c r="AB346" t="s">
        <v>465</v>
      </c>
      <c r="AC346">
        <v>0</v>
      </c>
    </row>
    <row r="347" spans="1:29" hidden="1" x14ac:dyDescent="0.25">
      <c r="A347" t="s">
        <v>598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757</v>
      </c>
      <c r="G347" t="s">
        <v>440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34" t="s">
        <v>690</v>
      </c>
      <c r="L347" s="34" t="s">
        <v>465</v>
      </c>
      <c r="M347">
        <v>2183261</v>
      </c>
      <c r="N347" t="s">
        <v>173</v>
      </c>
      <c r="O347" t="str">
        <f t="shared" si="29"/>
        <v>14070503650018</v>
      </c>
      <c r="P347" t="s">
        <v>174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465</v>
      </c>
      <c r="AA347" s="38" t="s">
        <v>1</v>
      </c>
      <c r="AB347" t="s">
        <v>465</v>
      </c>
      <c r="AC347">
        <v>0</v>
      </c>
    </row>
    <row r="348" spans="1:29" hidden="1" x14ac:dyDescent="0.25">
      <c r="A348" t="s">
        <v>598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757</v>
      </c>
      <c r="G348" t="s">
        <v>440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34" t="s">
        <v>690</v>
      </c>
      <c r="L348" s="34" t="s">
        <v>465</v>
      </c>
      <c r="M348">
        <v>431</v>
      </c>
      <c r="N348" t="s">
        <v>454</v>
      </c>
      <c r="O348" t="str">
        <f t="shared" si="29"/>
        <v>12151904761013</v>
      </c>
      <c r="P348" t="s">
        <v>455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465</v>
      </c>
      <c r="AA348" s="38" t="s">
        <v>1</v>
      </c>
      <c r="AB348" t="s">
        <v>465</v>
      </c>
      <c r="AC348">
        <v>0</v>
      </c>
    </row>
    <row r="349" spans="1:29" hidden="1" x14ac:dyDescent="0.25">
      <c r="A349" t="s">
        <v>598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757</v>
      </c>
      <c r="G349" t="s">
        <v>440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34" t="s">
        <v>690</v>
      </c>
      <c r="L349" s="34" t="s">
        <v>465</v>
      </c>
      <c r="M349">
        <v>4958</v>
      </c>
      <c r="N349" t="s">
        <v>276</v>
      </c>
      <c r="O349" t="str">
        <f t="shared" si="29"/>
        <v>06143009921068</v>
      </c>
      <c r="P349" t="s">
        <v>277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465</v>
      </c>
      <c r="AA349" s="38" t="s">
        <v>1</v>
      </c>
      <c r="AB349" t="s">
        <v>465</v>
      </c>
      <c r="AC349">
        <v>0</v>
      </c>
    </row>
    <row r="350" spans="1:29" hidden="1" x14ac:dyDescent="0.25">
      <c r="A350" t="s">
        <v>598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757</v>
      </c>
      <c r="G350" t="s">
        <v>440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34" t="s">
        <v>690</v>
      </c>
      <c r="L350" s="34" t="s">
        <v>465</v>
      </c>
      <c r="M350">
        <v>71072970</v>
      </c>
      <c r="N350" t="s">
        <v>380</v>
      </c>
      <c r="O350" t="str">
        <f t="shared" si="29"/>
        <v>06143107620016</v>
      </c>
      <c r="P350" t="s">
        <v>253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465</v>
      </c>
      <c r="AA350" s="38" t="s">
        <v>1</v>
      </c>
      <c r="AB350" t="s">
        <v>465</v>
      </c>
      <c r="AC350">
        <v>0</v>
      </c>
    </row>
    <row r="351" spans="1:29" hidden="1" x14ac:dyDescent="0.25">
      <c r="A351" t="s">
        <v>598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757</v>
      </c>
      <c r="G351" t="s">
        <v>440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34" t="s">
        <v>690</v>
      </c>
      <c r="L351" s="34" t="s">
        <v>465</v>
      </c>
      <c r="M351">
        <v>510847</v>
      </c>
      <c r="N351" t="s">
        <v>175</v>
      </c>
      <c r="O351" t="str">
        <f t="shared" si="29"/>
        <v>06141101690011</v>
      </c>
      <c r="P351" t="s">
        <v>176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465</v>
      </c>
      <c r="AA351" s="38" t="s">
        <v>1</v>
      </c>
      <c r="AB351" t="s">
        <v>465</v>
      </c>
      <c r="AC351">
        <v>0</v>
      </c>
    </row>
    <row r="352" spans="1:29" hidden="1" x14ac:dyDescent="0.25">
      <c r="A352" t="s">
        <v>598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758</v>
      </c>
      <c r="G352" t="s">
        <v>440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34" t="s">
        <v>690</v>
      </c>
      <c r="L352" s="34" t="s">
        <v>465</v>
      </c>
      <c r="M352">
        <v>149</v>
      </c>
      <c r="N352" t="s">
        <v>411</v>
      </c>
      <c r="O352" t="str">
        <f t="shared" si="29"/>
        <v>06143105820014</v>
      </c>
      <c r="P352" t="s">
        <v>412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465</v>
      </c>
      <c r="AA352" s="38" t="s">
        <v>1</v>
      </c>
      <c r="AB352" t="s">
        <v>465</v>
      </c>
      <c r="AC352">
        <v>0</v>
      </c>
    </row>
    <row r="353" spans="1:29" hidden="1" x14ac:dyDescent="0.25">
      <c r="A353" t="s">
        <v>598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758</v>
      </c>
      <c r="G353" t="s">
        <v>440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34" t="s">
        <v>690</v>
      </c>
      <c r="L353" s="34" t="s">
        <v>465</v>
      </c>
      <c r="M353">
        <v>967320</v>
      </c>
      <c r="N353" t="s">
        <v>29</v>
      </c>
      <c r="O353" t="str">
        <f t="shared" si="29"/>
        <v>06141909001034</v>
      </c>
      <c r="P353" t="s">
        <v>233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465</v>
      </c>
      <c r="AA353" s="38" t="s">
        <v>1</v>
      </c>
      <c r="AB353" t="s">
        <v>465</v>
      </c>
      <c r="AC353">
        <v>0</v>
      </c>
    </row>
    <row r="354" spans="1:29" hidden="1" x14ac:dyDescent="0.25">
      <c r="A354" t="s">
        <v>598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758</v>
      </c>
      <c r="G354" t="s">
        <v>440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34" t="s">
        <v>690</v>
      </c>
      <c r="L354" s="34" t="s">
        <v>465</v>
      </c>
      <c r="M354">
        <v>32777</v>
      </c>
      <c r="N354" t="s">
        <v>214</v>
      </c>
      <c r="O354" t="str">
        <f t="shared" si="29"/>
        <v>06142501101070</v>
      </c>
      <c r="P354" t="s">
        <v>215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465</v>
      </c>
      <c r="AA354" s="38" t="s">
        <v>1</v>
      </c>
      <c r="AB354" t="s">
        <v>465</v>
      </c>
      <c r="AC354">
        <v>0</v>
      </c>
    </row>
    <row r="355" spans="1:29" hidden="1" x14ac:dyDescent="0.25">
      <c r="A355" t="s">
        <v>598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758</v>
      </c>
      <c r="G355" t="s">
        <v>440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34" t="s">
        <v>690</v>
      </c>
      <c r="L355" s="34" t="s">
        <v>465</v>
      </c>
      <c r="M355">
        <v>963</v>
      </c>
      <c r="N355" t="s">
        <v>198</v>
      </c>
      <c r="O355" t="str">
        <f t="shared" si="29"/>
        <v>06141708071034</v>
      </c>
      <c r="P355" t="s">
        <v>199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465</v>
      </c>
      <c r="AA355" s="38" t="s">
        <v>1</v>
      </c>
      <c r="AB355" t="s">
        <v>465</v>
      </c>
      <c r="AC355">
        <v>0</v>
      </c>
    </row>
    <row r="356" spans="1:29" hidden="1" x14ac:dyDescent="0.25">
      <c r="A356" t="s">
        <v>598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758</v>
      </c>
      <c r="G356" t="s">
        <v>440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34" t="s">
        <v>690</v>
      </c>
      <c r="L356" s="34" t="s">
        <v>465</v>
      </c>
      <c r="M356">
        <v>23115</v>
      </c>
      <c r="N356" t="s">
        <v>200</v>
      </c>
      <c r="O356" t="str">
        <f t="shared" si="29"/>
        <v>14162710661017</v>
      </c>
      <c r="P356" t="s">
        <v>201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465</v>
      </c>
      <c r="AA356" s="38" t="s">
        <v>1</v>
      </c>
      <c r="AB356" t="s">
        <v>465</v>
      </c>
      <c r="AC356">
        <v>0</v>
      </c>
    </row>
    <row r="357" spans="1:29" hidden="1" x14ac:dyDescent="0.25">
      <c r="A357" t="s">
        <v>598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758</v>
      </c>
      <c r="G357" t="s">
        <v>440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34" t="s">
        <v>690</v>
      </c>
      <c r="L357" s="34" t="s">
        <v>465</v>
      </c>
      <c r="M357">
        <v>7913</v>
      </c>
      <c r="N357" t="s">
        <v>219</v>
      </c>
      <c r="O357" t="str">
        <f t="shared" si="29"/>
        <v>06140210081052</v>
      </c>
      <c r="P357" t="s">
        <v>220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465</v>
      </c>
      <c r="AA357" s="38" t="s">
        <v>1</v>
      </c>
      <c r="AB357" t="s">
        <v>465</v>
      </c>
      <c r="AC357">
        <v>0</v>
      </c>
    </row>
    <row r="358" spans="1:29" hidden="1" x14ac:dyDescent="0.25">
      <c r="A358" t="s">
        <v>598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758</v>
      </c>
      <c r="G358" t="s">
        <v>440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34" t="s">
        <v>690</v>
      </c>
      <c r="L358" s="34" t="s">
        <v>465</v>
      </c>
      <c r="M358">
        <v>307136</v>
      </c>
      <c r="N358" t="s">
        <v>354</v>
      </c>
      <c r="O358" t="str">
        <f t="shared" si="29"/>
        <v>06141312850038</v>
      </c>
      <c r="P358" t="s">
        <v>355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465</v>
      </c>
      <c r="AA358" s="38" t="s">
        <v>1</v>
      </c>
      <c r="AB358" t="s">
        <v>465</v>
      </c>
      <c r="AC358">
        <v>0</v>
      </c>
    </row>
    <row r="359" spans="1:29" hidden="1" x14ac:dyDescent="0.25">
      <c r="A359" t="s">
        <v>598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759</v>
      </c>
      <c r="G359" t="s">
        <v>440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34" t="s">
        <v>690</v>
      </c>
      <c r="L359" s="34" t="s">
        <v>465</v>
      </c>
      <c r="M359">
        <v>1652</v>
      </c>
      <c r="N359" t="s">
        <v>143</v>
      </c>
      <c r="O359" t="str">
        <f t="shared" si="29"/>
        <v>06142703981055</v>
      </c>
      <c r="P359" t="s">
        <v>144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465</v>
      </c>
      <c r="AA359" s="38" t="s">
        <v>1</v>
      </c>
      <c r="AB359" t="s">
        <v>465</v>
      </c>
      <c r="AC359">
        <v>0</v>
      </c>
    </row>
    <row r="360" spans="1:29" hidden="1" x14ac:dyDescent="0.25">
      <c r="A360" t="s">
        <v>598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759</v>
      </c>
      <c r="G360" t="s">
        <v>440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34" t="s">
        <v>690</v>
      </c>
      <c r="L360" s="34" t="s">
        <v>465</v>
      </c>
      <c r="M360">
        <v>3816352</v>
      </c>
      <c r="N360" t="s">
        <v>167</v>
      </c>
      <c r="O360" t="str">
        <f t="shared" si="29"/>
        <v>06140108580017</v>
      </c>
      <c r="P360" t="s">
        <v>168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465</v>
      </c>
      <c r="AA360" s="38" t="s">
        <v>1</v>
      </c>
      <c r="AB360" t="s">
        <v>465</v>
      </c>
      <c r="AC360">
        <v>0</v>
      </c>
    </row>
    <row r="361" spans="1:29" hidden="1" x14ac:dyDescent="0.25">
      <c r="A361" t="s">
        <v>598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759</v>
      </c>
      <c r="G361" t="s">
        <v>440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34" t="s">
        <v>690</v>
      </c>
      <c r="L361" s="34" t="s">
        <v>465</v>
      </c>
      <c r="M361">
        <v>498271</v>
      </c>
      <c r="N361" t="s">
        <v>204</v>
      </c>
      <c r="O361" t="str">
        <f t="shared" si="29"/>
        <v>06142407500017</v>
      </c>
      <c r="P361" t="s">
        <v>205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465</v>
      </c>
      <c r="AA361" s="38" t="s">
        <v>1</v>
      </c>
      <c r="AB361" t="s">
        <v>465</v>
      </c>
      <c r="AC361">
        <v>0</v>
      </c>
    </row>
    <row r="362" spans="1:29" hidden="1" x14ac:dyDescent="0.25">
      <c r="A362" t="s">
        <v>598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760</v>
      </c>
      <c r="G362" t="s">
        <v>440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34" t="s">
        <v>690</v>
      </c>
      <c r="L362" s="34" t="s">
        <v>465</v>
      </c>
      <c r="M362">
        <v>225281</v>
      </c>
      <c r="N362" t="s">
        <v>173</v>
      </c>
      <c r="O362" t="str">
        <f t="shared" si="29"/>
        <v>14070503650018</v>
      </c>
      <c r="P362" t="s">
        <v>174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465</v>
      </c>
      <c r="AA362" s="38" t="s">
        <v>1</v>
      </c>
      <c r="AB362" t="s">
        <v>465</v>
      </c>
      <c r="AC362">
        <v>0</v>
      </c>
    </row>
    <row r="363" spans="1:29" hidden="1" x14ac:dyDescent="0.25">
      <c r="A363" t="s">
        <v>598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760</v>
      </c>
      <c r="G363" t="s">
        <v>440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34" t="s">
        <v>690</v>
      </c>
      <c r="L363" s="34" t="s">
        <v>465</v>
      </c>
      <c r="M363">
        <v>53938</v>
      </c>
      <c r="N363" t="s">
        <v>443</v>
      </c>
      <c r="O363" t="str">
        <f t="shared" si="29"/>
        <v>02040305560017</v>
      </c>
      <c r="P363" t="s">
        <v>444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465</v>
      </c>
      <c r="AA363" s="38" t="s">
        <v>1</v>
      </c>
      <c r="AB363" t="s">
        <v>465</v>
      </c>
      <c r="AC363">
        <v>0</v>
      </c>
    </row>
    <row r="364" spans="1:29" hidden="1" x14ac:dyDescent="0.25">
      <c r="A364" t="s">
        <v>598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760</v>
      </c>
      <c r="G364" t="s">
        <v>440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34" t="s">
        <v>690</v>
      </c>
      <c r="L364" s="34" t="s">
        <v>465</v>
      </c>
      <c r="M364">
        <v>6623</v>
      </c>
      <c r="N364" t="s">
        <v>214</v>
      </c>
      <c r="O364" t="str">
        <f t="shared" si="29"/>
        <v>06142501101070</v>
      </c>
      <c r="P364" t="s">
        <v>215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465</v>
      </c>
      <c r="AA364" s="38" t="s">
        <v>1</v>
      </c>
      <c r="AB364" t="s">
        <v>465</v>
      </c>
      <c r="AC364">
        <v>0</v>
      </c>
    </row>
    <row r="365" spans="1:29" hidden="1" x14ac:dyDescent="0.25">
      <c r="A365" t="s">
        <v>598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760</v>
      </c>
      <c r="G365" t="s">
        <v>440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34" t="s">
        <v>690</v>
      </c>
      <c r="L365" s="34" t="s">
        <v>465</v>
      </c>
      <c r="M365">
        <v>168018</v>
      </c>
      <c r="N365" t="s">
        <v>327</v>
      </c>
      <c r="O365" t="str">
        <f t="shared" si="29"/>
        <v>06141612991019</v>
      </c>
      <c r="P365" t="s">
        <v>328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465</v>
      </c>
      <c r="AA365" s="38" t="s">
        <v>1</v>
      </c>
      <c r="AB365" t="s">
        <v>465</v>
      </c>
      <c r="AC365">
        <v>0</v>
      </c>
    </row>
    <row r="366" spans="1:29" hidden="1" x14ac:dyDescent="0.25">
      <c r="A366" t="s">
        <v>598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760</v>
      </c>
      <c r="G366" t="s">
        <v>440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34" t="s">
        <v>690</v>
      </c>
      <c r="L366" s="34" t="s">
        <v>465</v>
      </c>
      <c r="M366">
        <v>6881</v>
      </c>
      <c r="N366" t="s">
        <v>219</v>
      </c>
      <c r="O366" t="str">
        <f t="shared" si="29"/>
        <v>06140210081052</v>
      </c>
      <c r="P366" t="s">
        <v>220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465</v>
      </c>
      <c r="AA366" s="38" t="s">
        <v>1</v>
      </c>
      <c r="AB366" t="s">
        <v>465</v>
      </c>
      <c r="AC366">
        <v>0</v>
      </c>
    </row>
    <row r="367" spans="1:29" hidden="1" x14ac:dyDescent="0.25">
      <c r="A367" t="s">
        <v>598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772</v>
      </c>
      <c r="G367" t="s">
        <v>440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34" t="s">
        <v>690</v>
      </c>
      <c r="L367" s="34" t="s">
        <v>465</v>
      </c>
      <c r="M367">
        <v>65</v>
      </c>
      <c r="N367" t="s">
        <v>452</v>
      </c>
      <c r="O367" t="str">
        <f t="shared" si="29"/>
        <v>02101107171019</v>
      </c>
      <c r="P367" t="s">
        <v>453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465</v>
      </c>
      <c r="AA367" s="38" t="s">
        <v>1</v>
      </c>
      <c r="AB367" t="s">
        <v>465</v>
      </c>
      <c r="AC367">
        <v>0</v>
      </c>
    </row>
    <row r="368" spans="1:29" hidden="1" x14ac:dyDescent="0.25">
      <c r="A368" t="s">
        <v>598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772</v>
      </c>
      <c r="G368" t="s">
        <v>440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34" t="s">
        <v>690</v>
      </c>
      <c r="L368" s="34" t="s">
        <v>465</v>
      </c>
      <c r="M368">
        <v>16507</v>
      </c>
      <c r="N368" t="s">
        <v>171</v>
      </c>
      <c r="O368" t="str">
        <f t="shared" si="29"/>
        <v>06140711071030</v>
      </c>
      <c r="P368" t="s">
        <v>172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465</v>
      </c>
      <c r="AA368" s="38" t="s">
        <v>1</v>
      </c>
      <c r="AB368" t="s">
        <v>465</v>
      </c>
      <c r="AC368">
        <v>0</v>
      </c>
    </row>
    <row r="369" spans="1:29" hidden="1" x14ac:dyDescent="0.25">
      <c r="A369" t="s">
        <v>598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772</v>
      </c>
      <c r="G369" t="s">
        <v>440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34" t="s">
        <v>690</v>
      </c>
      <c r="L369" s="34" t="s">
        <v>465</v>
      </c>
      <c r="M369">
        <v>2106</v>
      </c>
      <c r="N369" t="s">
        <v>91</v>
      </c>
      <c r="O369" t="str">
        <f t="shared" si="29"/>
        <v>06141504911068</v>
      </c>
      <c r="P369" t="s">
        <v>92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465</v>
      </c>
      <c r="AA369" s="38" t="s">
        <v>1</v>
      </c>
      <c r="AB369" t="s">
        <v>465</v>
      </c>
      <c r="AC369">
        <v>0</v>
      </c>
    </row>
    <row r="370" spans="1:29" hidden="1" x14ac:dyDescent="0.25">
      <c r="A370" t="s">
        <v>598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772</v>
      </c>
      <c r="G370" t="s">
        <v>440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34" t="s">
        <v>690</v>
      </c>
      <c r="L370" s="34" t="s">
        <v>465</v>
      </c>
      <c r="M370">
        <v>2105</v>
      </c>
      <c r="N370" t="s">
        <v>91</v>
      </c>
      <c r="O370" t="str">
        <f t="shared" si="29"/>
        <v>06141504911068</v>
      </c>
      <c r="P370" t="s">
        <v>92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465</v>
      </c>
      <c r="AA370" s="38" t="s">
        <v>1</v>
      </c>
      <c r="AB370" t="s">
        <v>465</v>
      </c>
      <c r="AC370">
        <v>0</v>
      </c>
    </row>
    <row r="371" spans="1:29" hidden="1" x14ac:dyDescent="0.25">
      <c r="A371" t="s">
        <v>598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772</v>
      </c>
      <c r="G371" t="s">
        <v>440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34" t="s">
        <v>690</v>
      </c>
      <c r="L371" s="34" t="s">
        <v>465</v>
      </c>
      <c r="M371">
        <v>13040549</v>
      </c>
      <c r="N371" t="s">
        <v>192</v>
      </c>
      <c r="O371" t="str">
        <f t="shared" si="29"/>
        <v>06142708101053</v>
      </c>
      <c r="P371" t="s">
        <v>193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465</v>
      </c>
      <c r="AA371" s="38" t="s">
        <v>1</v>
      </c>
      <c r="AB371" t="s">
        <v>465</v>
      </c>
      <c r="AC371">
        <v>0</v>
      </c>
    </row>
    <row r="372" spans="1:29" hidden="1" x14ac:dyDescent="0.25">
      <c r="A372" t="s">
        <v>598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772</v>
      </c>
      <c r="G372" t="s">
        <v>440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34" t="s">
        <v>690</v>
      </c>
      <c r="L372" s="34" t="s">
        <v>465</v>
      </c>
      <c r="M372">
        <v>1515580</v>
      </c>
      <c r="N372" t="s">
        <v>221</v>
      </c>
      <c r="O372" t="str">
        <f t="shared" si="29"/>
        <v>06140812610145</v>
      </c>
      <c r="P372" t="s">
        <v>222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465</v>
      </c>
      <c r="AA372" s="38" t="s">
        <v>1</v>
      </c>
      <c r="AB372" t="s">
        <v>465</v>
      </c>
      <c r="AC372">
        <v>0</v>
      </c>
    </row>
    <row r="373" spans="1:29" hidden="1" x14ac:dyDescent="0.25">
      <c r="A373" t="s">
        <v>598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772</v>
      </c>
      <c r="G373" t="s">
        <v>440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34" t="s">
        <v>690</v>
      </c>
      <c r="L373" s="34" t="s">
        <v>465</v>
      </c>
      <c r="M373">
        <v>11488</v>
      </c>
      <c r="N373" t="s">
        <v>317</v>
      </c>
      <c r="O373" t="str">
        <f t="shared" si="29"/>
        <v>06142704001062</v>
      </c>
      <c r="P373" t="s">
        <v>318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465</v>
      </c>
      <c r="AA373" s="38" t="s">
        <v>1</v>
      </c>
      <c r="AB373" t="s">
        <v>465</v>
      </c>
      <c r="AC373">
        <v>0</v>
      </c>
    </row>
    <row r="374" spans="1:29" hidden="1" x14ac:dyDescent="0.25">
      <c r="A374" t="s">
        <v>598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761</v>
      </c>
      <c r="G374" t="s">
        <v>440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34" t="s">
        <v>690</v>
      </c>
      <c r="L374" s="34" t="s">
        <v>465</v>
      </c>
      <c r="M374">
        <v>9736</v>
      </c>
      <c r="N374" t="s">
        <v>415</v>
      </c>
      <c r="O374" t="str">
        <f t="shared" si="29"/>
        <v>06142406031056</v>
      </c>
      <c r="P374" t="s">
        <v>416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465</v>
      </c>
      <c r="AA374" s="38" t="s">
        <v>1</v>
      </c>
      <c r="AB374" t="s">
        <v>465</v>
      </c>
      <c r="AC374">
        <v>0</v>
      </c>
    </row>
    <row r="375" spans="1:29" hidden="1" x14ac:dyDescent="0.25">
      <c r="A375" t="s">
        <v>598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761</v>
      </c>
      <c r="G375" s="11" t="s">
        <v>440</v>
      </c>
      <c r="H375" s="11" t="s">
        <v>0</v>
      </c>
      <c r="I375" t="str">
        <f t="shared" si="27"/>
        <v>CCF</v>
      </c>
      <c r="J375" t="str">
        <f t="shared" si="28"/>
        <v>Impreso por imprenta o tiquetes</v>
      </c>
      <c r="K375" s="34" t="s">
        <v>690</v>
      </c>
      <c r="L375" s="34" t="s">
        <v>465</v>
      </c>
      <c r="M375">
        <v>49553</v>
      </c>
      <c r="N375" t="s">
        <v>352</v>
      </c>
      <c r="O375" t="str">
        <f t="shared" si="29"/>
        <v>06140411660046</v>
      </c>
      <c r="P375" t="s">
        <v>353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465</v>
      </c>
      <c r="AA375" s="38" t="s">
        <v>1</v>
      </c>
      <c r="AB375" t="s">
        <v>465</v>
      </c>
      <c r="AC375">
        <v>0</v>
      </c>
    </row>
    <row r="376" spans="1:29" hidden="1" x14ac:dyDescent="0.25">
      <c r="A376" t="s">
        <v>598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761</v>
      </c>
      <c r="G376" t="s">
        <v>440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34" t="s">
        <v>690</v>
      </c>
      <c r="L376" s="34" t="s">
        <v>465</v>
      </c>
      <c r="M376">
        <v>1328</v>
      </c>
      <c r="O376" t="str">
        <f t="shared" si="29"/>
        <v>011500974</v>
      </c>
      <c r="P376" t="s">
        <v>298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789</v>
      </c>
      <c r="AA376" s="38" t="s">
        <v>1</v>
      </c>
      <c r="AB376" t="s">
        <v>465</v>
      </c>
      <c r="AC376">
        <v>0</v>
      </c>
    </row>
    <row r="377" spans="1:29" hidden="1" x14ac:dyDescent="0.25">
      <c r="A377" t="s">
        <v>598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761</v>
      </c>
      <c r="G377" t="s">
        <v>440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34" t="s">
        <v>690</v>
      </c>
      <c r="L377" s="34" t="s">
        <v>465</v>
      </c>
      <c r="M377">
        <v>2646</v>
      </c>
      <c r="N377" t="s">
        <v>134</v>
      </c>
      <c r="O377" t="str">
        <f t="shared" si="29"/>
        <v>06141605121041</v>
      </c>
      <c r="P377" t="s">
        <v>135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465</v>
      </c>
      <c r="AA377" s="38" t="s">
        <v>1</v>
      </c>
      <c r="AB377" t="s">
        <v>465</v>
      </c>
      <c r="AC377">
        <v>0</v>
      </c>
    </row>
    <row r="378" spans="1:29" hidden="1" x14ac:dyDescent="0.25">
      <c r="A378" t="s">
        <v>598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761</v>
      </c>
      <c r="G378" t="s">
        <v>440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34" t="s">
        <v>690</v>
      </c>
      <c r="L378" s="34" t="s">
        <v>465</v>
      </c>
      <c r="M378">
        <v>126700</v>
      </c>
      <c r="N378" t="s">
        <v>210</v>
      </c>
      <c r="O378" t="str">
        <f t="shared" si="29"/>
        <v>06141403161033</v>
      </c>
      <c r="P378" t="s">
        <v>211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465</v>
      </c>
      <c r="AA378" s="38" t="s">
        <v>1</v>
      </c>
      <c r="AB378" t="s">
        <v>465</v>
      </c>
      <c r="AC378">
        <v>0</v>
      </c>
    </row>
    <row r="379" spans="1:29" hidden="1" x14ac:dyDescent="0.25">
      <c r="A379" t="s">
        <v>598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761</v>
      </c>
      <c r="G379" t="s">
        <v>440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34" t="s">
        <v>690</v>
      </c>
      <c r="L379" s="34" t="s">
        <v>465</v>
      </c>
      <c r="M379">
        <v>1367</v>
      </c>
      <c r="N379" t="s">
        <v>194</v>
      </c>
      <c r="O379" t="str">
        <f t="shared" si="29"/>
        <v>06141607031015</v>
      </c>
      <c r="P379" t="s">
        <v>195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465</v>
      </c>
      <c r="AA379" s="38" t="s">
        <v>1</v>
      </c>
      <c r="AB379" t="s">
        <v>465</v>
      </c>
      <c r="AC379">
        <v>0</v>
      </c>
    </row>
    <row r="380" spans="1:29" hidden="1" x14ac:dyDescent="0.25">
      <c r="A380" t="s">
        <v>598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788</v>
      </c>
      <c r="G380" t="s">
        <v>440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34" t="s">
        <v>690</v>
      </c>
      <c r="L380" s="34" t="s">
        <v>465</v>
      </c>
      <c r="M380">
        <v>1807</v>
      </c>
      <c r="N380" t="s">
        <v>66</v>
      </c>
      <c r="O380" t="str">
        <f t="shared" si="29"/>
        <v>06142601121035</v>
      </c>
      <c r="P380" t="s">
        <v>67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465</v>
      </c>
      <c r="AA380" s="38" t="s">
        <v>1</v>
      </c>
      <c r="AB380" t="s">
        <v>465</v>
      </c>
      <c r="AC380">
        <v>0</v>
      </c>
    </row>
    <row r="381" spans="1:29" hidden="1" x14ac:dyDescent="0.25">
      <c r="A381" t="s">
        <v>598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788</v>
      </c>
      <c r="G381" t="s">
        <v>440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34" t="s">
        <v>690</v>
      </c>
      <c r="L381" s="34" t="s">
        <v>465</v>
      </c>
      <c r="M381">
        <v>1044172</v>
      </c>
      <c r="N381" t="s">
        <v>407</v>
      </c>
      <c r="O381" t="str">
        <f t="shared" si="29"/>
        <v>06141708001052</v>
      </c>
      <c r="P381" t="s">
        <v>408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465</v>
      </c>
      <c r="AA381" s="38" t="s">
        <v>1</v>
      </c>
      <c r="AB381" t="s">
        <v>465</v>
      </c>
      <c r="AC381">
        <v>0</v>
      </c>
    </row>
    <row r="382" spans="1:29" hidden="1" x14ac:dyDescent="0.25">
      <c r="A382" t="s">
        <v>598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788</v>
      </c>
      <c r="G382" t="s">
        <v>440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34" t="s">
        <v>690</v>
      </c>
      <c r="L382" s="34" t="s">
        <v>465</v>
      </c>
      <c r="M382">
        <v>18319</v>
      </c>
      <c r="N382" t="s">
        <v>219</v>
      </c>
      <c r="O382" t="str">
        <f t="shared" si="29"/>
        <v>06140210081052</v>
      </c>
      <c r="P382" t="s">
        <v>220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465</v>
      </c>
      <c r="AA382" s="38" t="s">
        <v>1</v>
      </c>
      <c r="AB382" t="s">
        <v>465</v>
      </c>
      <c r="AC382">
        <v>0</v>
      </c>
    </row>
    <row r="383" spans="1:29" hidden="1" x14ac:dyDescent="0.25">
      <c r="A383" t="s">
        <v>598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762</v>
      </c>
      <c r="G383" t="s">
        <v>440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34" t="s">
        <v>690</v>
      </c>
      <c r="L383" s="34" t="s">
        <v>465</v>
      </c>
      <c r="M383">
        <v>16222</v>
      </c>
      <c r="N383" t="s">
        <v>171</v>
      </c>
      <c r="O383" t="str">
        <f t="shared" si="29"/>
        <v>06140711071030</v>
      </c>
      <c r="P383" t="s">
        <v>172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465</v>
      </c>
      <c r="AA383" s="38" t="s">
        <v>1</v>
      </c>
      <c r="AB383" t="s">
        <v>465</v>
      </c>
      <c r="AC383">
        <v>0</v>
      </c>
    </row>
    <row r="384" spans="1:29" hidden="1" x14ac:dyDescent="0.25">
      <c r="A384" t="s">
        <v>598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762</v>
      </c>
      <c r="G384" t="s">
        <v>440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34" t="s">
        <v>690</v>
      </c>
      <c r="L384" s="34" t="s">
        <v>465</v>
      </c>
      <c r="M384">
        <v>5723</v>
      </c>
      <c r="N384" t="s">
        <v>208</v>
      </c>
      <c r="O384" t="str">
        <f t="shared" si="29"/>
        <v>09091105520014</v>
      </c>
      <c r="P384" t="s">
        <v>209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465</v>
      </c>
      <c r="AA384" s="38" t="s">
        <v>1</v>
      </c>
      <c r="AB384" t="s">
        <v>465</v>
      </c>
      <c r="AC384">
        <v>0</v>
      </c>
    </row>
    <row r="385" spans="1:29" hidden="1" x14ac:dyDescent="0.25">
      <c r="A385" t="s">
        <v>598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762</v>
      </c>
      <c r="G385" t="s">
        <v>440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34" t="s">
        <v>690</v>
      </c>
      <c r="L385" s="34" t="s">
        <v>465</v>
      </c>
      <c r="M385">
        <v>36822</v>
      </c>
      <c r="N385" t="s">
        <v>786</v>
      </c>
      <c r="O385" t="str">
        <f t="shared" si="29"/>
        <v>06140910131034</v>
      </c>
      <c r="P385" t="s">
        <v>787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465</v>
      </c>
      <c r="AA385" s="38" t="s">
        <v>1</v>
      </c>
      <c r="AB385" t="s">
        <v>465</v>
      </c>
      <c r="AC385">
        <v>0</v>
      </c>
    </row>
    <row r="386" spans="1:29" hidden="1" x14ac:dyDescent="0.25">
      <c r="A386" t="s">
        <v>598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762</v>
      </c>
      <c r="G386" t="s">
        <v>440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34" t="s">
        <v>690</v>
      </c>
      <c r="L386" s="34" t="s">
        <v>465</v>
      </c>
      <c r="M386">
        <v>1542</v>
      </c>
      <c r="N386" t="s">
        <v>143</v>
      </c>
      <c r="O386" t="str">
        <f t="shared" si="29"/>
        <v>06142703981055</v>
      </c>
      <c r="P386" t="s">
        <v>144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465</v>
      </c>
      <c r="AA386" s="38" t="s">
        <v>1</v>
      </c>
      <c r="AB386" t="s">
        <v>465</v>
      </c>
      <c r="AC386">
        <v>0</v>
      </c>
    </row>
    <row r="387" spans="1:29" hidden="1" x14ac:dyDescent="0.25">
      <c r="A387" t="s">
        <v>598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762</v>
      </c>
      <c r="G387" t="s">
        <v>440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34" t="s">
        <v>690</v>
      </c>
      <c r="L387" s="34" t="s">
        <v>465</v>
      </c>
      <c r="M387">
        <v>1551</v>
      </c>
      <c r="N387" t="s">
        <v>143</v>
      </c>
      <c r="O387" t="str">
        <f t="shared" ref="O387:O450" si="35">IF(N387="",Z387,N387)</f>
        <v>06142703981055</v>
      </c>
      <c r="P387" t="s">
        <v>144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465</v>
      </c>
      <c r="AA387" s="38" t="s">
        <v>1</v>
      </c>
      <c r="AB387" t="s">
        <v>465</v>
      </c>
      <c r="AC387">
        <v>0</v>
      </c>
    </row>
    <row r="388" spans="1:29" hidden="1" x14ac:dyDescent="0.25">
      <c r="A388" t="s">
        <v>598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762</v>
      </c>
      <c r="G388" t="s">
        <v>440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34" t="s">
        <v>690</v>
      </c>
      <c r="L388" s="34" t="s">
        <v>465</v>
      </c>
      <c r="M388">
        <v>1539</v>
      </c>
      <c r="N388" t="s">
        <v>143</v>
      </c>
      <c r="O388" t="str">
        <f t="shared" si="35"/>
        <v>06142703981055</v>
      </c>
      <c r="P388" t="s">
        <v>144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465</v>
      </c>
      <c r="AA388" s="38" t="s">
        <v>1</v>
      </c>
      <c r="AB388" t="s">
        <v>465</v>
      </c>
      <c r="AC388">
        <v>0</v>
      </c>
    </row>
    <row r="389" spans="1:29" hidden="1" x14ac:dyDescent="0.25">
      <c r="A389" t="s">
        <v>598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762</v>
      </c>
      <c r="G389" t="s">
        <v>440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34" t="s">
        <v>690</v>
      </c>
      <c r="L389" s="34" t="s">
        <v>465</v>
      </c>
      <c r="M389">
        <v>460</v>
      </c>
      <c r="N389" t="s">
        <v>341</v>
      </c>
      <c r="O389" t="str">
        <f t="shared" si="35"/>
        <v>05112308101011</v>
      </c>
      <c r="P389" t="s">
        <v>342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465</v>
      </c>
      <c r="AA389" s="38" t="s">
        <v>1</v>
      </c>
      <c r="AB389" t="s">
        <v>465</v>
      </c>
      <c r="AC389">
        <v>0</v>
      </c>
    </row>
    <row r="390" spans="1:29" hidden="1" x14ac:dyDescent="0.25">
      <c r="A390" t="s">
        <v>598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763</v>
      </c>
      <c r="G390" t="s">
        <v>440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34" t="s">
        <v>690</v>
      </c>
      <c r="L390" s="34" t="s">
        <v>465</v>
      </c>
      <c r="M390">
        <v>964081</v>
      </c>
      <c r="N390" t="s">
        <v>29</v>
      </c>
      <c r="O390" t="str">
        <f t="shared" si="35"/>
        <v>06141909001034</v>
      </c>
      <c r="P390" t="s">
        <v>233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465</v>
      </c>
      <c r="AA390" s="38" t="s">
        <v>1</v>
      </c>
      <c r="AB390" t="s">
        <v>465</v>
      </c>
      <c r="AC390">
        <v>0</v>
      </c>
    </row>
    <row r="391" spans="1:29" hidden="1" x14ac:dyDescent="0.25">
      <c r="A391" t="s">
        <v>598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763</v>
      </c>
      <c r="G391" t="s">
        <v>440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34" t="s">
        <v>690</v>
      </c>
      <c r="L391" s="34" t="s">
        <v>465</v>
      </c>
      <c r="M391">
        <v>902456</v>
      </c>
      <c r="N391" t="s">
        <v>169</v>
      </c>
      <c r="O391" t="str">
        <f t="shared" si="35"/>
        <v>06141511720027</v>
      </c>
      <c r="P391" t="s">
        <v>170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465</v>
      </c>
      <c r="AA391" s="38" t="s">
        <v>1</v>
      </c>
      <c r="AB391" t="s">
        <v>465</v>
      </c>
      <c r="AC391">
        <v>0</v>
      </c>
    </row>
    <row r="392" spans="1:29" hidden="1" x14ac:dyDescent="0.25">
      <c r="A392" t="s">
        <v>598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764</v>
      </c>
      <c r="G392" t="s">
        <v>440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34" t="s">
        <v>690</v>
      </c>
      <c r="L392" s="34" t="s">
        <v>465</v>
      </c>
      <c r="M392">
        <v>2875</v>
      </c>
      <c r="N392" t="s">
        <v>427</v>
      </c>
      <c r="O392" t="str">
        <f t="shared" si="35"/>
        <v>06140404081061</v>
      </c>
      <c r="P392" t="s">
        <v>428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465</v>
      </c>
      <c r="AA392" s="38" t="s">
        <v>1</v>
      </c>
      <c r="AB392" t="s">
        <v>465</v>
      </c>
      <c r="AC392">
        <v>0</v>
      </c>
    </row>
    <row r="393" spans="1:29" hidden="1" x14ac:dyDescent="0.25">
      <c r="A393" t="s">
        <v>598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764</v>
      </c>
      <c r="G393" t="s">
        <v>440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34" t="s">
        <v>690</v>
      </c>
      <c r="L393" s="34" t="s">
        <v>465</v>
      </c>
      <c r="M393">
        <v>78</v>
      </c>
      <c r="N393" t="s">
        <v>521</v>
      </c>
      <c r="O393" t="str">
        <f t="shared" si="35"/>
        <v>02022304590012</v>
      </c>
      <c r="P393" t="s">
        <v>522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465</v>
      </c>
      <c r="AA393" s="38" t="s">
        <v>1</v>
      </c>
      <c r="AB393" t="s">
        <v>465</v>
      </c>
      <c r="AC393">
        <v>0</v>
      </c>
    </row>
    <row r="394" spans="1:29" hidden="1" x14ac:dyDescent="0.25">
      <c r="A394" t="s">
        <v>598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764</v>
      </c>
      <c r="G394" t="s">
        <v>440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34" t="s">
        <v>690</v>
      </c>
      <c r="L394" s="34" t="s">
        <v>465</v>
      </c>
      <c r="M394">
        <v>32346</v>
      </c>
      <c r="N394" t="s">
        <v>251</v>
      </c>
      <c r="O394" t="str">
        <f t="shared" si="35"/>
        <v>05111703630014</v>
      </c>
      <c r="P394" t="s">
        <v>252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465</v>
      </c>
      <c r="AA394" s="38" t="s">
        <v>1</v>
      </c>
      <c r="AB394" t="s">
        <v>465</v>
      </c>
      <c r="AC394">
        <v>0</v>
      </c>
    </row>
    <row r="395" spans="1:29" hidden="1" x14ac:dyDescent="0.25">
      <c r="A395" t="s">
        <v>598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764</v>
      </c>
      <c r="G395" t="s">
        <v>440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34" t="s">
        <v>690</v>
      </c>
      <c r="L395" s="34" t="s">
        <v>465</v>
      </c>
      <c r="M395">
        <v>20400</v>
      </c>
      <c r="N395" t="s">
        <v>185</v>
      </c>
      <c r="O395" t="str">
        <f t="shared" si="35"/>
        <v>06142407750010</v>
      </c>
      <c r="P395" t="s">
        <v>186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465</v>
      </c>
      <c r="AA395" s="38" t="s">
        <v>1</v>
      </c>
      <c r="AB395" t="s">
        <v>514</v>
      </c>
      <c r="AC395">
        <v>106.63</v>
      </c>
    </row>
    <row r="396" spans="1:29" hidden="1" x14ac:dyDescent="0.25">
      <c r="A396" t="s">
        <v>598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764</v>
      </c>
      <c r="G396" t="s">
        <v>440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34" t="s">
        <v>690</v>
      </c>
      <c r="L396" s="34" t="s">
        <v>465</v>
      </c>
      <c r="M396">
        <v>1756</v>
      </c>
      <c r="N396" t="s">
        <v>66</v>
      </c>
      <c r="O396" t="str">
        <f t="shared" si="35"/>
        <v>06142601121035</v>
      </c>
      <c r="P396" t="s">
        <v>67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465</v>
      </c>
      <c r="AA396" s="38" t="s">
        <v>1</v>
      </c>
      <c r="AB396" t="s">
        <v>514</v>
      </c>
      <c r="AC396">
        <v>1048.6400000000001</v>
      </c>
    </row>
    <row r="397" spans="1:29" hidden="1" x14ac:dyDescent="0.25">
      <c r="A397" t="s">
        <v>598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764</v>
      </c>
      <c r="G397" t="s">
        <v>440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34" t="s">
        <v>690</v>
      </c>
      <c r="L397" s="34" t="s">
        <v>465</v>
      </c>
      <c r="M397">
        <v>16989</v>
      </c>
      <c r="N397" t="s">
        <v>657</v>
      </c>
      <c r="O397" t="str">
        <f t="shared" si="35"/>
        <v>06140410021046</v>
      </c>
      <c r="P397" t="s">
        <v>658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465</v>
      </c>
      <c r="AA397" s="38" t="s">
        <v>1</v>
      </c>
      <c r="AB397" t="s">
        <v>465</v>
      </c>
      <c r="AC397">
        <v>0</v>
      </c>
    </row>
    <row r="398" spans="1:29" hidden="1" x14ac:dyDescent="0.25">
      <c r="A398" t="s">
        <v>598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764</v>
      </c>
      <c r="G398" t="s">
        <v>440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34" t="s">
        <v>690</v>
      </c>
      <c r="L398" s="34" t="s">
        <v>465</v>
      </c>
      <c r="M398">
        <v>21</v>
      </c>
      <c r="N398" t="s">
        <v>546</v>
      </c>
      <c r="O398" t="str">
        <f t="shared" si="35"/>
        <v>05112011861033</v>
      </c>
      <c r="P398" t="s">
        <v>547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465</v>
      </c>
      <c r="AA398" s="38" t="s">
        <v>1</v>
      </c>
      <c r="AB398" t="s">
        <v>465</v>
      </c>
      <c r="AC398">
        <v>0</v>
      </c>
    </row>
    <row r="399" spans="1:29" hidden="1" x14ac:dyDescent="0.25">
      <c r="A399" t="s">
        <v>598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764</v>
      </c>
      <c r="G399" t="s">
        <v>440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34" t="s">
        <v>690</v>
      </c>
      <c r="L399" s="34" t="s">
        <v>465</v>
      </c>
      <c r="M399">
        <v>136386</v>
      </c>
      <c r="N399" t="s">
        <v>210</v>
      </c>
      <c r="O399" t="str">
        <f t="shared" si="35"/>
        <v>06141403161033</v>
      </c>
      <c r="P399" t="s">
        <v>211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465</v>
      </c>
      <c r="AA399" s="38" t="s">
        <v>1</v>
      </c>
      <c r="AB399" t="s">
        <v>465</v>
      </c>
      <c r="AC399">
        <v>0</v>
      </c>
    </row>
    <row r="400" spans="1:29" hidden="1" x14ac:dyDescent="0.25">
      <c r="A400" t="s">
        <v>598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785</v>
      </c>
      <c r="G400" t="s">
        <v>440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34" t="s">
        <v>690</v>
      </c>
      <c r="L400" s="34" t="s">
        <v>465</v>
      </c>
      <c r="M400">
        <v>478</v>
      </c>
      <c r="N400" t="s">
        <v>208</v>
      </c>
      <c r="O400" t="str">
        <f t="shared" si="35"/>
        <v>09091105520014</v>
      </c>
      <c r="P400" t="s">
        <v>209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465</v>
      </c>
      <c r="AA400" s="38" t="s">
        <v>1</v>
      </c>
      <c r="AB400" t="s">
        <v>465</v>
      </c>
      <c r="AC400">
        <v>0</v>
      </c>
    </row>
    <row r="401" spans="1:29" hidden="1" x14ac:dyDescent="0.25">
      <c r="A401" t="s">
        <v>598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765</v>
      </c>
      <c r="G401" t="s">
        <v>440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34" t="s">
        <v>690</v>
      </c>
      <c r="L401" s="34" t="s">
        <v>465</v>
      </c>
      <c r="M401">
        <v>290</v>
      </c>
      <c r="N401" t="s">
        <v>106</v>
      </c>
      <c r="O401" t="str">
        <f t="shared" si="35"/>
        <v>06142706001019</v>
      </c>
      <c r="P401" t="s">
        <v>107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465</v>
      </c>
      <c r="AA401" s="38" t="s">
        <v>1</v>
      </c>
      <c r="AB401" t="s">
        <v>465</v>
      </c>
      <c r="AC401">
        <v>0</v>
      </c>
    </row>
    <row r="402" spans="1:29" hidden="1" x14ac:dyDescent="0.25">
      <c r="A402" t="s">
        <v>598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765</v>
      </c>
      <c r="G402" t="s">
        <v>440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34" t="s">
        <v>690</v>
      </c>
      <c r="L402" s="34" t="s">
        <v>465</v>
      </c>
      <c r="M402">
        <v>496873</v>
      </c>
      <c r="N402" t="s">
        <v>204</v>
      </c>
      <c r="O402" t="str">
        <f t="shared" si="35"/>
        <v>06142407500017</v>
      </c>
      <c r="P402" t="s">
        <v>205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465</v>
      </c>
      <c r="AA402" s="38" t="s">
        <v>1</v>
      </c>
      <c r="AB402" t="s">
        <v>514</v>
      </c>
      <c r="AC402">
        <v>7.44</v>
      </c>
    </row>
    <row r="403" spans="1:29" hidden="1" x14ac:dyDescent="0.25">
      <c r="A403" t="s">
        <v>598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765</v>
      </c>
      <c r="G403" t="s">
        <v>440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34" t="s">
        <v>690</v>
      </c>
      <c r="L403" s="34" t="s">
        <v>465</v>
      </c>
      <c r="M403">
        <v>45468</v>
      </c>
      <c r="N403" t="s">
        <v>187</v>
      </c>
      <c r="O403" t="str">
        <f t="shared" si="35"/>
        <v>07151508430012</v>
      </c>
      <c r="P403" t="s">
        <v>188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465</v>
      </c>
      <c r="AA403" s="38" t="s">
        <v>1</v>
      </c>
      <c r="AB403" t="s">
        <v>465</v>
      </c>
      <c r="AC403">
        <v>0</v>
      </c>
    </row>
    <row r="404" spans="1:29" hidden="1" x14ac:dyDescent="0.25">
      <c r="A404" t="s">
        <v>598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765</v>
      </c>
      <c r="G404" t="s">
        <v>440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34" t="s">
        <v>690</v>
      </c>
      <c r="L404" s="34" t="s">
        <v>465</v>
      </c>
      <c r="M404">
        <v>2177020</v>
      </c>
      <c r="N404" t="s">
        <v>173</v>
      </c>
      <c r="O404" t="str">
        <f t="shared" si="35"/>
        <v>14070503650018</v>
      </c>
      <c r="P404" t="s">
        <v>174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465</v>
      </c>
      <c r="AA404" s="38" t="s">
        <v>1</v>
      </c>
      <c r="AB404" t="s">
        <v>465</v>
      </c>
      <c r="AC404">
        <v>0</v>
      </c>
    </row>
    <row r="405" spans="1:29" hidden="1" x14ac:dyDescent="0.25">
      <c r="A405" t="s">
        <v>598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765</v>
      </c>
      <c r="G405" t="s">
        <v>440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34" t="s">
        <v>690</v>
      </c>
      <c r="L405" s="34" t="s">
        <v>465</v>
      </c>
      <c r="M405">
        <v>1913</v>
      </c>
      <c r="N405" t="s">
        <v>307</v>
      </c>
      <c r="O405" t="str">
        <f t="shared" si="35"/>
        <v>06142302770010</v>
      </c>
      <c r="P405" t="s">
        <v>308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465</v>
      </c>
      <c r="AA405" s="38" t="s">
        <v>1</v>
      </c>
      <c r="AB405" t="s">
        <v>465</v>
      </c>
      <c r="AC405">
        <v>0</v>
      </c>
    </row>
    <row r="406" spans="1:29" hidden="1" x14ac:dyDescent="0.25">
      <c r="A406" t="s">
        <v>598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765</v>
      </c>
      <c r="G406" t="s">
        <v>440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34" t="s">
        <v>690</v>
      </c>
      <c r="L406" s="34" t="s">
        <v>465</v>
      </c>
      <c r="M406">
        <v>1112409</v>
      </c>
      <c r="N406" t="s">
        <v>244</v>
      </c>
      <c r="O406" t="str">
        <f t="shared" si="35"/>
        <v>06142604071063</v>
      </c>
      <c r="P406" t="s">
        <v>245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465</v>
      </c>
      <c r="AA406" s="38" t="s">
        <v>1</v>
      </c>
      <c r="AB406" t="s">
        <v>465</v>
      </c>
      <c r="AC406">
        <v>0</v>
      </c>
    </row>
    <row r="407" spans="1:29" hidden="1" x14ac:dyDescent="0.25">
      <c r="A407" t="s">
        <v>598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765</v>
      </c>
      <c r="G407" t="s">
        <v>440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34" t="s">
        <v>690</v>
      </c>
      <c r="L407" s="34" t="s">
        <v>465</v>
      </c>
      <c r="M407">
        <v>959</v>
      </c>
      <c r="N407" t="s">
        <v>206</v>
      </c>
      <c r="O407" t="str">
        <f t="shared" si="35"/>
        <v>06143003710013</v>
      </c>
      <c r="P407" t="s">
        <v>207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465</v>
      </c>
      <c r="AA407" s="38" t="s">
        <v>1</v>
      </c>
      <c r="AB407" t="s">
        <v>465</v>
      </c>
      <c r="AC407">
        <v>0</v>
      </c>
    </row>
    <row r="408" spans="1:29" hidden="1" x14ac:dyDescent="0.25">
      <c r="A408" t="s">
        <v>598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765</v>
      </c>
      <c r="G408" t="s">
        <v>440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34" t="s">
        <v>690</v>
      </c>
      <c r="L408" s="34" t="s">
        <v>465</v>
      </c>
      <c r="M408">
        <v>1510888</v>
      </c>
      <c r="N408" t="s">
        <v>221</v>
      </c>
      <c r="O408" t="str">
        <f t="shared" si="35"/>
        <v>06140812610145</v>
      </c>
      <c r="P408" t="s">
        <v>222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465</v>
      </c>
      <c r="AA408" s="38" t="s">
        <v>1</v>
      </c>
      <c r="AB408" t="s">
        <v>465</v>
      </c>
      <c r="AC408">
        <v>0</v>
      </c>
    </row>
    <row r="409" spans="1:29" hidden="1" x14ac:dyDescent="0.25">
      <c r="A409" t="s">
        <v>598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784</v>
      </c>
      <c r="G409" t="s">
        <v>440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34" t="s">
        <v>690</v>
      </c>
      <c r="L409" s="34" t="s">
        <v>465</v>
      </c>
      <c r="M409">
        <v>2545</v>
      </c>
      <c r="N409" t="s">
        <v>134</v>
      </c>
      <c r="O409" t="str">
        <f t="shared" si="35"/>
        <v>06141605121041</v>
      </c>
      <c r="P409" t="s">
        <v>135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465</v>
      </c>
      <c r="AA409" s="38" t="s">
        <v>1</v>
      </c>
      <c r="AB409" t="s">
        <v>465</v>
      </c>
      <c r="AC409">
        <v>0</v>
      </c>
    </row>
    <row r="410" spans="1:29" hidden="1" x14ac:dyDescent="0.25">
      <c r="A410" t="s">
        <v>598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773</v>
      </c>
      <c r="G410" t="s">
        <v>440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34" t="s">
        <v>690</v>
      </c>
      <c r="L410" s="34" t="s">
        <v>465</v>
      </c>
      <c r="M410">
        <v>3842</v>
      </c>
      <c r="N410" t="s">
        <v>264</v>
      </c>
      <c r="O410" t="str">
        <f t="shared" si="35"/>
        <v>06141605081040</v>
      </c>
      <c r="P410" t="s">
        <v>265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465</v>
      </c>
      <c r="AA410" s="38" t="s">
        <v>1</v>
      </c>
      <c r="AB410" t="s">
        <v>465</v>
      </c>
      <c r="AC410">
        <v>0</v>
      </c>
    </row>
    <row r="411" spans="1:29" hidden="1" x14ac:dyDescent="0.25">
      <c r="A411" t="s">
        <v>598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773</v>
      </c>
      <c r="G411" t="s">
        <v>440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34" t="s">
        <v>690</v>
      </c>
      <c r="L411" s="34" t="s">
        <v>465</v>
      </c>
      <c r="M411">
        <v>1427</v>
      </c>
      <c r="N411" t="s">
        <v>143</v>
      </c>
      <c r="O411" t="str">
        <f t="shared" si="35"/>
        <v>06142703981055</v>
      </c>
      <c r="P411" t="s">
        <v>144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465</v>
      </c>
      <c r="AA411" s="38" t="s">
        <v>1</v>
      </c>
      <c r="AB411" t="s">
        <v>602</v>
      </c>
      <c r="AC411">
        <v>2.1</v>
      </c>
    </row>
    <row r="412" spans="1:29" hidden="1" x14ac:dyDescent="0.25">
      <c r="A412" t="s">
        <v>598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773</v>
      </c>
      <c r="G412" t="s">
        <v>440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34" t="s">
        <v>690</v>
      </c>
      <c r="L412" s="34" t="s">
        <v>465</v>
      </c>
      <c r="M412">
        <v>1426</v>
      </c>
      <c r="N412" t="s">
        <v>143</v>
      </c>
      <c r="O412" t="str">
        <f t="shared" si="35"/>
        <v>06142703981055</v>
      </c>
      <c r="P412" t="s">
        <v>144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465</v>
      </c>
      <c r="AA412" s="38" t="s">
        <v>1</v>
      </c>
      <c r="AB412" t="s">
        <v>465</v>
      </c>
      <c r="AC412">
        <v>0</v>
      </c>
    </row>
    <row r="413" spans="1:29" hidden="1" x14ac:dyDescent="0.25">
      <c r="A413" t="s">
        <v>598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773</v>
      </c>
      <c r="G413" t="s">
        <v>440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34" t="s">
        <v>690</v>
      </c>
      <c r="L413" s="34" t="s">
        <v>465</v>
      </c>
      <c r="M413">
        <v>17546</v>
      </c>
      <c r="N413" t="s">
        <v>171</v>
      </c>
      <c r="O413" t="str">
        <f t="shared" si="35"/>
        <v>06140711071030</v>
      </c>
      <c r="P413" t="s">
        <v>172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465</v>
      </c>
      <c r="AA413" s="38" t="s">
        <v>1</v>
      </c>
      <c r="AB413" t="s">
        <v>520</v>
      </c>
      <c r="AC413">
        <v>13.22</v>
      </c>
    </row>
    <row r="414" spans="1:29" hidden="1" x14ac:dyDescent="0.25">
      <c r="A414" t="s">
        <v>598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773</v>
      </c>
      <c r="G414" t="s">
        <v>440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34" t="s">
        <v>690</v>
      </c>
      <c r="L414" s="34" t="s">
        <v>465</v>
      </c>
      <c r="M414">
        <v>181786</v>
      </c>
      <c r="N414" t="s">
        <v>173</v>
      </c>
      <c r="O414" t="str">
        <f t="shared" si="35"/>
        <v>14070503650018</v>
      </c>
      <c r="P414" t="s">
        <v>174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465</v>
      </c>
      <c r="AA414" s="38" t="s">
        <v>1</v>
      </c>
      <c r="AB414" t="s">
        <v>514</v>
      </c>
      <c r="AC414">
        <v>86.39</v>
      </c>
    </row>
    <row r="415" spans="1:29" hidden="1" x14ac:dyDescent="0.25">
      <c r="A415" t="s">
        <v>598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773</v>
      </c>
      <c r="G415" t="s">
        <v>440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34" t="s">
        <v>690</v>
      </c>
      <c r="L415" s="34" t="s">
        <v>465</v>
      </c>
      <c r="M415">
        <v>262942</v>
      </c>
      <c r="N415" t="s">
        <v>244</v>
      </c>
      <c r="O415" t="str">
        <f t="shared" si="35"/>
        <v>06142604071063</v>
      </c>
      <c r="P415" t="s">
        <v>245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465</v>
      </c>
      <c r="AA415" s="38" t="s">
        <v>1</v>
      </c>
      <c r="AB415" t="s">
        <v>465</v>
      </c>
      <c r="AC415">
        <v>0</v>
      </c>
    </row>
    <row r="416" spans="1:29" hidden="1" x14ac:dyDescent="0.25">
      <c r="A416" t="s">
        <v>598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773</v>
      </c>
      <c r="G416" t="s">
        <v>440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34" t="s">
        <v>690</v>
      </c>
      <c r="L416" s="34" t="s">
        <v>465</v>
      </c>
      <c r="M416">
        <v>1038343</v>
      </c>
      <c r="N416" t="s">
        <v>192</v>
      </c>
      <c r="O416" t="str">
        <f t="shared" si="35"/>
        <v>06142708101053</v>
      </c>
      <c r="P416" t="s">
        <v>193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465</v>
      </c>
      <c r="AA416" s="38" t="s">
        <v>1</v>
      </c>
      <c r="AB416" t="s">
        <v>465</v>
      </c>
      <c r="AC416">
        <v>0</v>
      </c>
    </row>
    <row r="417" spans="1:29" hidden="1" x14ac:dyDescent="0.25">
      <c r="A417" t="s">
        <v>598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783</v>
      </c>
      <c r="G417" t="s">
        <v>440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34" t="s">
        <v>690</v>
      </c>
      <c r="L417" s="34" t="s">
        <v>465</v>
      </c>
      <c r="M417">
        <v>9579</v>
      </c>
      <c r="N417" t="s">
        <v>415</v>
      </c>
      <c r="O417" t="str">
        <f t="shared" si="35"/>
        <v>06142406031056</v>
      </c>
      <c r="P417" t="s">
        <v>416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465</v>
      </c>
      <c r="AA417" s="38" t="s">
        <v>1</v>
      </c>
      <c r="AB417" t="s">
        <v>465</v>
      </c>
      <c r="AC417">
        <v>0</v>
      </c>
    </row>
    <row r="418" spans="1:29" hidden="1" x14ac:dyDescent="0.25">
      <c r="A418" t="s">
        <v>598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783</v>
      </c>
      <c r="G418" t="s">
        <v>440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34" t="s">
        <v>690</v>
      </c>
      <c r="L418" s="34" t="s">
        <v>465</v>
      </c>
      <c r="M418">
        <v>485877</v>
      </c>
      <c r="N418" t="s">
        <v>227</v>
      </c>
      <c r="O418" t="str">
        <f t="shared" si="35"/>
        <v>06142008011037</v>
      </c>
      <c r="P418" t="s">
        <v>228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465</v>
      </c>
      <c r="AA418" s="38" t="s">
        <v>1</v>
      </c>
      <c r="AB418" t="s">
        <v>514</v>
      </c>
      <c r="AC418">
        <v>11.9</v>
      </c>
    </row>
    <row r="419" spans="1:29" hidden="1" x14ac:dyDescent="0.25">
      <c r="A419" t="s">
        <v>598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767</v>
      </c>
      <c r="G419" t="s">
        <v>440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34" t="s">
        <v>690</v>
      </c>
      <c r="L419" s="34" t="s">
        <v>465</v>
      </c>
      <c r="M419">
        <v>44718</v>
      </c>
      <c r="N419" t="s">
        <v>187</v>
      </c>
      <c r="O419" t="str">
        <f t="shared" si="35"/>
        <v>07151508430012</v>
      </c>
      <c r="P419" t="s">
        <v>188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465</v>
      </c>
      <c r="AA419" s="38" t="s">
        <v>1</v>
      </c>
      <c r="AB419" t="s">
        <v>465</v>
      </c>
      <c r="AC419">
        <v>0</v>
      </c>
    </row>
    <row r="420" spans="1:29" hidden="1" x14ac:dyDescent="0.25">
      <c r="A420" t="s">
        <v>598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767</v>
      </c>
      <c r="G420" t="s">
        <v>440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34" t="s">
        <v>690</v>
      </c>
      <c r="L420" s="34" t="s">
        <v>465</v>
      </c>
      <c r="M420">
        <v>347034</v>
      </c>
      <c r="N420" t="s">
        <v>311</v>
      </c>
      <c r="O420" t="str">
        <f t="shared" si="35"/>
        <v>05110402951018</v>
      </c>
      <c r="P420" t="s">
        <v>312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465</v>
      </c>
      <c r="AA420" s="38" t="s">
        <v>1</v>
      </c>
      <c r="AB420" t="s">
        <v>465</v>
      </c>
      <c r="AC420">
        <v>0</v>
      </c>
    </row>
    <row r="421" spans="1:29" hidden="1" x14ac:dyDescent="0.25">
      <c r="A421" t="s">
        <v>598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767</v>
      </c>
      <c r="G421" t="s">
        <v>440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34" t="s">
        <v>690</v>
      </c>
      <c r="L421" s="34" t="s">
        <v>465</v>
      </c>
      <c r="M421">
        <v>150333</v>
      </c>
      <c r="N421" t="s">
        <v>192</v>
      </c>
      <c r="O421" t="str">
        <f t="shared" si="35"/>
        <v>06142708101053</v>
      </c>
      <c r="P421" t="s">
        <v>193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465</v>
      </c>
      <c r="AA421" s="38" t="s">
        <v>1</v>
      </c>
      <c r="AB421" t="s">
        <v>465</v>
      </c>
      <c r="AC421">
        <v>0</v>
      </c>
    </row>
    <row r="422" spans="1:29" hidden="1" x14ac:dyDescent="0.25">
      <c r="A422" t="s">
        <v>598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768</v>
      </c>
      <c r="G422" t="s">
        <v>440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34" t="s">
        <v>690</v>
      </c>
      <c r="L422" s="34" t="s">
        <v>465</v>
      </c>
      <c r="M422">
        <v>3394</v>
      </c>
      <c r="N422" t="s">
        <v>236</v>
      </c>
      <c r="O422" t="str">
        <f t="shared" si="35"/>
        <v>06141609031012</v>
      </c>
      <c r="P422" t="s">
        <v>237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465</v>
      </c>
      <c r="AA422" s="38" t="s">
        <v>1</v>
      </c>
      <c r="AB422" t="s">
        <v>514</v>
      </c>
      <c r="AC422">
        <v>23.27</v>
      </c>
    </row>
    <row r="423" spans="1:29" hidden="1" x14ac:dyDescent="0.25">
      <c r="A423" t="s">
        <v>598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768</v>
      </c>
      <c r="G423" t="s">
        <v>440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34" t="s">
        <v>690</v>
      </c>
      <c r="L423" s="34" t="s">
        <v>465</v>
      </c>
      <c r="M423">
        <v>150735</v>
      </c>
      <c r="N423" t="s">
        <v>29</v>
      </c>
      <c r="O423" t="str">
        <f t="shared" si="35"/>
        <v>06141909001034</v>
      </c>
      <c r="P423" t="s">
        <v>233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465</v>
      </c>
      <c r="AA423" s="38" t="s">
        <v>1</v>
      </c>
      <c r="AB423" t="s">
        <v>465</v>
      </c>
      <c r="AC423">
        <v>0</v>
      </c>
    </row>
    <row r="424" spans="1:29" hidden="1" x14ac:dyDescent="0.25">
      <c r="A424" t="s">
        <v>598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768</v>
      </c>
      <c r="G424" t="s">
        <v>440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34" t="s">
        <v>690</v>
      </c>
      <c r="L424" s="34" t="s">
        <v>465</v>
      </c>
      <c r="M424">
        <v>13009</v>
      </c>
      <c r="N424" t="s">
        <v>190</v>
      </c>
      <c r="O424" t="str">
        <f t="shared" si="35"/>
        <v>06142406870019</v>
      </c>
      <c r="P424" t="s">
        <v>191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465</v>
      </c>
      <c r="AA424" s="38" t="s">
        <v>1</v>
      </c>
      <c r="AB424" t="s">
        <v>465</v>
      </c>
      <c r="AC424">
        <v>0</v>
      </c>
    </row>
    <row r="425" spans="1:29" hidden="1" x14ac:dyDescent="0.25">
      <c r="A425" t="s">
        <v>598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768</v>
      </c>
      <c r="G425" t="s">
        <v>440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34" t="s">
        <v>690</v>
      </c>
      <c r="L425" s="34" t="s">
        <v>465</v>
      </c>
      <c r="M425">
        <v>145</v>
      </c>
      <c r="N425" t="s">
        <v>238</v>
      </c>
      <c r="O425" t="str">
        <f t="shared" si="35"/>
        <v>06141407941017</v>
      </c>
      <c r="P425" t="s">
        <v>239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465</v>
      </c>
      <c r="AA425" s="38" t="s">
        <v>1</v>
      </c>
      <c r="AB425" t="s">
        <v>465</v>
      </c>
      <c r="AC425">
        <v>0</v>
      </c>
    </row>
    <row r="426" spans="1:29" hidden="1" x14ac:dyDescent="0.25">
      <c r="A426" t="s">
        <v>598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768</v>
      </c>
      <c r="G426" t="s">
        <v>440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34" t="s">
        <v>690</v>
      </c>
      <c r="L426" s="34" t="s">
        <v>465</v>
      </c>
      <c r="M426">
        <v>28842</v>
      </c>
      <c r="N426" t="s">
        <v>214</v>
      </c>
      <c r="O426" t="str">
        <f t="shared" si="35"/>
        <v>06142501101070</v>
      </c>
      <c r="P426" t="s">
        <v>215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465</v>
      </c>
      <c r="AA426" s="38" t="s">
        <v>1</v>
      </c>
      <c r="AB426" t="s">
        <v>465</v>
      </c>
      <c r="AC426">
        <v>0</v>
      </c>
    </row>
    <row r="427" spans="1:29" hidden="1" x14ac:dyDescent="0.25">
      <c r="A427" t="s">
        <v>598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774</v>
      </c>
      <c r="G427" t="s">
        <v>440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34" t="s">
        <v>690</v>
      </c>
      <c r="L427" s="34" t="s">
        <v>465</v>
      </c>
      <c r="M427">
        <v>180273</v>
      </c>
      <c r="N427" t="s">
        <v>173</v>
      </c>
      <c r="O427" t="str">
        <f t="shared" si="35"/>
        <v>14070503650018</v>
      </c>
      <c r="P427" t="s">
        <v>174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465</v>
      </c>
      <c r="AA427" s="38" t="s">
        <v>1</v>
      </c>
      <c r="AB427" t="s">
        <v>465</v>
      </c>
      <c r="AC427">
        <v>0</v>
      </c>
    </row>
    <row r="428" spans="1:29" hidden="1" x14ac:dyDescent="0.25">
      <c r="A428" t="s">
        <v>598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774</v>
      </c>
      <c r="G428" t="s">
        <v>440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34" t="s">
        <v>690</v>
      </c>
      <c r="L428" s="34" t="s">
        <v>465</v>
      </c>
      <c r="M428">
        <v>103266</v>
      </c>
      <c r="N428" t="s">
        <v>173</v>
      </c>
      <c r="O428" t="str">
        <f t="shared" si="35"/>
        <v>14070503650018</v>
      </c>
      <c r="P428" t="s">
        <v>174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465</v>
      </c>
      <c r="AA428" s="38" t="s">
        <v>1</v>
      </c>
      <c r="AB428" t="s">
        <v>465</v>
      </c>
      <c r="AC428">
        <v>0</v>
      </c>
    </row>
    <row r="429" spans="1:29" hidden="1" x14ac:dyDescent="0.25">
      <c r="A429" t="s">
        <v>598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774</v>
      </c>
      <c r="G429" t="s">
        <v>440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34" t="s">
        <v>690</v>
      </c>
      <c r="L429" s="34" t="s">
        <v>465</v>
      </c>
      <c r="M429">
        <v>103261</v>
      </c>
      <c r="N429" t="s">
        <v>173</v>
      </c>
      <c r="O429" t="str">
        <f t="shared" si="35"/>
        <v>14070503650018</v>
      </c>
      <c r="P429" t="s">
        <v>174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465</v>
      </c>
      <c r="AA429" s="38" t="s">
        <v>1</v>
      </c>
      <c r="AB429" t="s">
        <v>465</v>
      </c>
      <c r="AC429">
        <v>0</v>
      </c>
    </row>
    <row r="430" spans="1:29" hidden="1" x14ac:dyDescent="0.25">
      <c r="A430" t="s">
        <v>598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774</v>
      </c>
      <c r="G430" t="s">
        <v>440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34" t="s">
        <v>690</v>
      </c>
      <c r="L430" s="34" t="s">
        <v>465</v>
      </c>
      <c r="M430">
        <v>2413</v>
      </c>
      <c r="N430" t="s">
        <v>781</v>
      </c>
      <c r="O430" t="str">
        <f t="shared" si="35"/>
        <v>06141207161157</v>
      </c>
      <c r="P430" t="s">
        <v>782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465</v>
      </c>
      <c r="AA430" s="38" t="s">
        <v>1</v>
      </c>
      <c r="AB430" t="s">
        <v>465</v>
      </c>
      <c r="AC430">
        <v>0</v>
      </c>
    </row>
    <row r="431" spans="1:29" hidden="1" x14ac:dyDescent="0.25">
      <c r="A431" t="s">
        <v>598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774</v>
      </c>
      <c r="G431" t="s">
        <v>440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34" t="s">
        <v>690</v>
      </c>
      <c r="L431" s="34" t="s">
        <v>465</v>
      </c>
      <c r="M431">
        <v>133</v>
      </c>
      <c r="N431" t="s">
        <v>779</v>
      </c>
      <c r="O431" t="str">
        <f t="shared" si="35"/>
        <v>05221806901010</v>
      </c>
      <c r="P431" t="s">
        <v>780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465</v>
      </c>
      <c r="AA431" s="38" t="s">
        <v>1</v>
      </c>
      <c r="AB431" t="s">
        <v>465</v>
      </c>
      <c r="AC431">
        <v>0</v>
      </c>
    </row>
    <row r="432" spans="1:29" hidden="1" x14ac:dyDescent="0.25">
      <c r="A432" t="s">
        <v>598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769</v>
      </c>
      <c r="G432" t="s">
        <v>440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34" t="s">
        <v>690</v>
      </c>
      <c r="L432" s="34" t="s">
        <v>465</v>
      </c>
      <c r="M432">
        <v>50692</v>
      </c>
      <c r="N432" t="s">
        <v>198</v>
      </c>
      <c r="O432" t="str">
        <f t="shared" si="35"/>
        <v>06141708071034</v>
      </c>
      <c r="P432" t="s">
        <v>199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465</v>
      </c>
      <c r="AA432" s="38" t="s">
        <v>1</v>
      </c>
      <c r="AB432" t="s">
        <v>465</v>
      </c>
      <c r="AC432">
        <v>0</v>
      </c>
    </row>
    <row r="433" spans="1:29" hidden="1" x14ac:dyDescent="0.25">
      <c r="A433" t="s">
        <v>598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769</v>
      </c>
      <c r="G433" t="s">
        <v>440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34" t="s">
        <v>690</v>
      </c>
      <c r="L433" s="34" t="s">
        <v>465</v>
      </c>
      <c r="M433">
        <v>14922</v>
      </c>
      <c r="N433" t="s">
        <v>223</v>
      </c>
      <c r="O433" t="str">
        <f t="shared" si="35"/>
        <v>06140406191018</v>
      </c>
      <c r="P433" t="s">
        <v>224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465</v>
      </c>
      <c r="AA433" s="38" t="s">
        <v>1</v>
      </c>
      <c r="AB433" t="s">
        <v>465</v>
      </c>
      <c r="AC433">
        <v>0</v>
      </c>
    </row>
    <row r="434" spans="1:29" hidden="1" x14ac:dyDescent="0.25">
      <c r="A434" t="s">
        <v>598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769</v>
      </c>
      <c r="G434" t="s">
        <v>440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34" t="s">
        <v>690</v>
      </c>
      <c r="L434" s="34" t="s">
        <v>465</v>
      </c>
      <c r="M434">
        <v>622534</v>
      </c>
      <c r="N434" t="s">
        <v>173</v>
      </c>
      <c r="O434" t="str">
        <f t="shared" si="35"/>
        <v>14070503650018</v>
      </c>
      <c r="P434" t="s">
        <v>174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465</v>
      </c>
      <c r="AA434" s="38" t="s">
        <v>1</v>
      </c>
      <c r="AB434" t="s">
        <v>465</v>
      </c>
      <c r="AC434">
        <v>0</v>
      </c>
    </row>
    <row r="435" spans="1:29" hidden="1" x14ac:dyDescent="0.25">
      <c r="A435" t="s">
        <v>598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770</v>
      </c>
      <c r="G435" t="s">
        <v>440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34" t="s">
        <v>690</v>
      </c>
      <c r="L435" s="34" t="s">
        <v>465</v>
      </c>
      <c r="M435">
        <v>904</v>
      </c>
      <c r="O435" t="str">
        <f t="shared" si="35"/>
        <v>053903338</v>
      </c>
      <c r="P435" t="s">
        <v>469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778</v>
      </c>
      <c r="AA435" s="38" t="s">
        <v>1</v>
      </c>
      <c r="AB435" t="s">
        <v>465</v>
      </c>
      <c r="AC435">
        <v>0</v>
      </c>
    </row>
    <row r="436" spans="1:29" hidden="1" x14ac:dyDescent="0.25">
      <c r="A436" t="s">
        <v>598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770</v>
      </c>
      <c r="G436" t="s">
        <v>440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34" t="s">
        <v>690</v>
      </c>
      <c r="L436" s="34" t="s">
        <v>465</v>
      </c>
      <c r="M436">
        <v>213</v>
      </c>
      <c r="N436" t="s">
        <v>268</v>
      </c>
      <c r="O436" t="str">
        <f t="shared" si="35"/>
        <v>06141611161047</v>
      </c>
      <c r="P436" t="s">
        <v>269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465</v>
      </c>
      <c r="AA436" s="38" t="s">
        <v>1</v>
      </c>
      <c r="AB436" t="s">
        <v>465</v>
      </c>
      <c r="AC436">
        <v>0</v>
      </c>
    </row>
    <row r="437" spans="1:29" hidden="1" x14ac:dyDescent="0.25">
      <c r="A437" t="s">
        <v>598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770</v>
      </c>
      <c r="G437" t="s">
        <v>440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34" t="s">
        <v>690</v>
      </c>
      <c r="L437" s="34" t="s">
        <v>465</v>
      </c>
      <c r="M437">
        <v>271</v>
      </c>
      <c r="N437" t="s">
        <v>278</v>
      </c>
      <c r="O437" t="str">
        <f t="shared" si="35"/>
        <v>11181602731029</v>
      </c>
      <c r="P437" t="s">
        <v>279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465</v>
      </c>
      <c r="AA437" s="38" t="s">
        <v>1</v>
      </c>
      <c r="AB437" t="s">
        <v>465</v>
      </c>
      <c r="AC437">
        <v>0</v>
      </c>
    </row>
    <row r="438" spans="1:29" hidden="1" x14ac:dyDescent="0.25">
      <c r="A438" t="s">
        <v>598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770</v>
      </c>
      <c r="G438" t="s">
        <v>440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34" t="s">
        <v>690</v>
      </c>
      <c r="L438" s="34" t="s">
        <v>465</v>
      </c>
      <c r="M438">
        <v>14627</v>
      </c>
      <c r="N438" t="s">
        <v>223</v>
      </c>
      <c r="O438" t="str">
        <f t="shared" si="35"/>
        <v>06140406191018</v>
      </c>
      <c r="P438" t="s">
        <v>224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465</v>
      </c>
      <c r="AA438" s="38" t="s">
        <v>1</v>
      </c>
      <c r="AB438" t="s">
        <v>465</v>
      </c>
      <c r="AC438">
        <v>0</v>
      </c>
    </row>
    <row r="439" spans="1:29" hidden="1" x14ac:dyDescent="0.25">
      <c r="A439" t="s">
        <v>598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770</v>
      </c>
      <c r="G439" t="s">
        <v>440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34" t="s">
        <v>690</v>
      </c>
      <c r="L439" s="34" t="s">
        <v>465</v>
      </c>
      <c r="M439">
        <v>1262</v>
      </c>
      <c r="N439" t="s">
        <v>143</v>
      </c>
      <c r="O439" t="str">
        <f t="shared" si="35"/>
        <v>06142703981055</v>
      </c>
      <c r="P439" t="s">
        <v>144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465</v>
      </c>
      <c r="AA439" s="38" t="s">
        <v>1</v>
      </c>
      <c r="AB439" t="s">
        <v>465</v>
      </c>
      <c r="AC439">
        <v>0</v>
      </c>
    </row>
    <row r="440" spans="1:29" hidden="1" x14ac:dyDescent="0.25">
      <c r="A440" t="s">
        <v>598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770</v>
      </c>
      <c r="G440" t="s">
        <v>440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34" t="s">
        <v>690</v>
      </c>
      <c r="L440" s="34" t="s">
        <v>465</v>
      </c>
      <c r="M440">
        <v>1263</v>
      </c>
      <c r="N440" t="s">
        <v>143</v>
      </c>
      <c r="O440" t="str">
        <f t="shared" si="35"/>
        <v>06142703981055</v>
      </c>
      <c r="P440" t="s">
        <v>144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465</v>
      </c>
      <c r="AA440" s="38" t="s">
        <v>1</v>
      </c>
      <c r="AB440" t="s">
        <v>465</v>
      </c>
      <c r="AC440">
        <v>0</v>
      </c>
    </row>
    <row r="441" spans="1:29" hidden="1" x14ac:dyDescent="0.25">
      <c r="A441" t="s">
        <v>598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770</v>
      </c>
      <c r="G441" t="s">
        <v>440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34" t="s">
        <v>690</v>
      </c>
      <c r="L441" s="34" t="s">
        <v>465</v>
      </c>
      <c r="M441">
        <v>873168</v>
      </c>
      <c r="N441" t="s">
        <v>29</v>
      </c>
      <c r="O441" t="str">
        <f t="shared" si="35"/>
        <v>06141909001034</v>
      </c>
      <c r="P441" t="s">
        <v>233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465</v>
      </c>
      <c r="AA441" s="38" t="s">
        <v>1</v>
      </c>
      <c r="AB441" t="s">
        <v>465</v>
      </c>
      <c r="AC441">
        <v>0</v>
      </c>
    </row>
    <row r="442" spans="1:29" hidden="1" x14ac:dyDescent="0.25">
      <c r="A442" t="s">
        <v>598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771</v>
      </c>
      <c r="G442" t="s">
        <v>440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34" t="s">
        <v>690</v>
      </c>
      <c r="L442" s="34" t="s">
        <v>465</v>
      </c>
      <c r="M442">
        <v>43550</v>
      </c>
      <c r="N442" t="s">
        <v>187</v>
      </c>
      <c r="O442" t="str">
        <f t="shared" si="35"/>
        <v>07151508430012</v>
      </c>
      <c r="P442" t="s">
        <v>188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465</v>
      </c>
      <c r="AA442" s="38" t="s">
        <v>1</v>
      </c>
      <c r="AB442" t="s">
        <v>465</v>
      </c>
      <c r="AC442">
        <v>0</v>
      </c>
    </row>
    <row r="443" spans="1:29" hidden="1" x14ac:dyDescent="0.25">
      <c r="A443" t="s">
        <v>598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771</v>
      </c>
      <c r="G443" t="s">
        <v>440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34" t="s">
        <v>690</v>
      </c>
      <c r="L443" s="34" t="s">
        <v>465</v>
      </c>
      <c r="M443">
        <v>57778</v>
      </c>
      <c r="N443" t="s">
        <v>210</v>
      </c>
      <c r="O443" t="str">
        <f t="shared" si="35"/>
        <v>06141403161033</v>
      </c>
      <c r="P443" t="s">
        <v>211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465</v>
      </c>
      <c r="AA443" s="38" t="s">
        <v>1</v>
      </c>
      <c r="AB443" t="s">
        <v>465</v>
      </c>
      <c r="AC443">
        <v>0</v>
      </c>
    </row>
    <row r="444" spans="1:29" hidden="1" x14ac:dyDescent="0.25">
      <c r="A444" t="s">
        <v>598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733</v>
      </c>
      <c r="G444" t="s">
        <v>440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34" t="s">
        <v>690</v>
      </c>
      <c r="L444" s="34" t="s">
        <v>465</v>
      </c>
      <c r="M444">
        <v>18365</v>
      </c>
      <c r="N444" t="s">
        <v>179</v>
      </c>
      <c r="O444" t="str">
        <f t="shared" si="35"/>
        <v>06142302931020</v>
      </c>
      <c r="P444" t="s">
        <v>180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465</v>
      </c>
      <c r="AA444" s="38" t="s">
        <v>1</v>
      </c>
      <c r="AB444" t="s">
        <v>465</v>
      </c>
      <c r="AC444">
        <v>0</v>
      </c>
    </row>
    <row r="445" spans="1:29" hidden="1" x14ac:dyDescent="0.25">
      <c r="A445" t="s">
        <v>598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733</v>
      </c>
      <c r="G445" t="s">
        <v>440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34" t="s">
        <v>690</v>
      </c>
      <c r="L445" s="34" t="s">
        <v>465</v>
      </c>
      <c r="M445">
        <v>20</v>
      </c>
      <c r="N445" t="s">
        <v>546</v>
      </c>
      <c r="O445" t="str">
        <f t="shared" si="35"/>
        <v>05112011861033</v>
      </c>
      <c r="P445" t="s">
        <v>547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465</v>
      </c>
      <c r="AA445" s="38" t="s">
        <v>1</v>
      </c>
      <c r="AB445" t="s">
        <v>465</v>
      </c>
      <c r="AC445">
        <v>0</v>
      </c>
    </row>
    <row r="446" spans="1:29" hidden="1" x14ac:dyDescent="0.25">
      <c r="A446" t="s">
        <v>598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754</v>
      </c>
      <c r="G446" t="s">
        <v>440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34" t="s">
        <v>690</v>
      </c>
      <c r="L446" s="34" t="s">
        <v>465</v>
      </c>
      <c r="M446">
        <v>1196</v>
      </c>
      <c r="N446" t="s">
        <v>143</v>
      </c>
      <c r="O446" t="str">
        <f t="shared" si="35"/>
        <v>06142703981055</v>
      </c>
      <c r="P446" t="s">
        <v>144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465</v>
      </c>
      <c r="AA446" s="38" t="s">
        <v>1</v>
      </c>
      <c r="AB446" t="s">
        <v>465</v>
      </c>
      <c r="AC446">
        <v>0</v>
      </c>
    </row>
    <row r="447" spans="1:29" hidden="1" x14ac:dyDescent="0.25">
      <c r="A447" t="s">
        <v>598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754</v>
      </c>
      <c r="G447" t="s">
        <v>440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34" t="s">
        <v>690</v>
      </c>
      <c r="L447" s="34" t="s">
        <v>465</v>
      </c>
      <c r="M447">
        <v>1195</v>
      </c>
      <c r="N447" t="s">
        <v>143</v>
      </c>
      <c r="O447" t="str">
        <f t="shared" si="35"/>
        <v>06142703981055</v>
      </c>
      <c r="P447" t="s">
        <v>144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465</v>
      </c>
      <c r="AA447" s="38" t="s">
        <v>1</v>
      </c>
      <c r="AB447" t="s">
        <v>465</v>
      </c>
      <c r="AC447">
        <v>0</v>
      </c>
    </row>
    <row r="448" spans="1:29" hidden="1" x14ac:dyDescent="0.25">
      <c r="A448" t="s">
        <v>598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754</v>
      </c>
      <c r="G448" t="s">
        <v>440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34" t="s">
        <v>690</v>
      </c>
      <c r="L448" s="34" t="s">
        <v>465</v>
      </c>
      <c r="M448">
        <v>1175</v>
      </c>
      <c r="N448" t="s">
        <v>143</v>
      </c>
      <c r="O448" t="str">
        <f t="shared" si="35"/>
        <v>06142703981055</v>
      </c>
      <c r="P448" t="s">
        <v>144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465</v>
      </c>
      <c r="AA448" s="38" t="s">
        <v>1</v>
      </c>
      <c r="AB448" t="s">
        <v>465</v>
      </c>
      <c r="AC448">
        <v>0</v>
      </c>
    </row>
    <row r="449" spans="1:29" hidden="1" x14ac:dyDescent="0.25">
      <c r="A449" t="s">
        <v>598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745</v>
      </c>
      <c r="G449" t="s">
        <v>440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34" t="s">
        <v>690</v>
      </c>
      <c r="L449" s="34" t="s">
        <v>465</v>
      </c>
      <c r="M449">
        <v>1537</v>
      </c>
      <c r="N449" t="s">
        <v>66</v>
      </c>
      <c r="O449" t="str">
        <f t="shared" si="35"/>
        <v>06142601121035</v>
      </c>
      <c r="P449" t="s">
        <v>67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465</v>
      </c>
      <c r="AA449" s="38" t="s">
        <v>1</v>
      </c>
      <c r="AB449" t="s">
        <v>465</v>
      </c>
      <c r="AC449">
        <v>0</v>
      </c>
    </row>
    <row r="450" spans="1:29" hidden="1" x14ac:dyDescent="0.25">
      <c r="A450" t="s">
        <v>598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708</v>
      </c>
      <c r="G450" t="s">
        <v>440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34" t="s">
        <v>690</v>
      </c>
      <c r="L450" s="34" t="s">
        <v>465</v>
      </c>
      <c r="M450">
        <v>1257</v>
      </c>
      <c r="N450" t="s">
        <v>66</v>
      </c>
      <c r="O450" t="str">
        <f t="shared" si="35"/>
        <v>06142601121035</v>
      </c>
      <c r="P450" t="s">
        <v>67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465</v>
      </c>
      <c r="AA450" s="38" t="s">
        <v>1</v>
      </c>
      <c r="AB450" t="s">
        <v>465</v>
      </c>
      <c r="AC450">
        <v>0</v>
      </c>
    </row>
    <row r="451" spans="1:29" hidden="1" x14ac:dyDescent="0.25">
      <c r="A451" t="s">
        <v>598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733</v>
      </c>
      <c r="G451" t="s">
        <v>440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34" t="s">
        <v>690</v>
      </c>
      <c r="L451" s="34" t="s">
        <v>465</v>
      </c>
      <c r="M451">
        <v>1036</v>
      </c>
      <c r="N451" t="s">
        <v>236</v>
      </c>
      <c r="O451" t="str">
        <f t="shared" ref="O451:O514" si="40">IF(N451="",Z451,N451)</f>
        <v>06141609031012</v>
      </c>
      <c r="P451" t="s">
        <v>237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465</v>
      </c>
      <c r="AA451" s="38" t="s">
        <v>1</v>
      </c>
      <c r="AB451" t="s">
        <v>465</v>
      </c>
      <c r="AC451">
        <v>0</v>
      </c>
    </row>
    <row r="452" spans="1:29" hidden="1" x14ac:dyDescent="0.25">
      <c r="A452" t="s">
        <v>598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754</v>
      </c>
      <c r="G452" t="s">
        <v>440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34" t="s">
        <v>690</v>
      </c>
      <c r="L452" s="34" t="s">
        <v>465</v>
      </c>
      <c r="M452">
        <v>63</v>
      </c>
      <c r="N452" t="s">
        <v>177</v>
      </c>
      <c r="O452" t="str">
        <f t="shared" si="40"/>
        <v>06141611841170</v>
      </c>
      <c r="P452" t="s">
        <v>178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465</v>
      </c>
      <c r="AA452" s="38" t="s">
        <v>1</v>
      </c>
      <c r="AB452" t="s">
        <v>514</v>
      </c>
      <c r="AC452">
        <v>19</v>
      </c>
    </row>
    <row r="453" spans="1:29" hidden="1" x14ac:dyDescent="0.25">
      <c r="A453" t="s">
        <v>598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733</v>
      </c>
      <c r="G453" t="s">
        <v>440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34" t="s">
        <v>690</v>
      </c>
      <c r="L453" s="34" t="s">
        <v>465</v>
      </c>
      <c r="M453">
        <v>3875166</v>
      </c>
      <c r="N453" t="s">
        <v>274</v>
      </c>
      <c r="O453" t="str">
        <f t="shared" si="40"/>
        <v>06142610981012</v>
      </c>
      <c r="P453" t="s">
        <v>275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465</v>
      </c>
      <c r="AA453" s="38" t="s">
        <v>1</v>
      </c>
      <c r="AB453" t="s">
        <v>465</v>
      </c>
      <c r="AC453">
        <v>0</v>
      </c>
    </row>
    <row r="454" spans="1:29" hidden="1" x14ac:dyDescent="0.25">
      <c r="A454" t="s">
        <v>598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745</v>
      </c>
      <c r="G454" t="s">
        <v>440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34" t="s">
        <v>690</v>
      </c>
      <c r="L454" s="34" t="s">
        <v>465</v>
      </c>
      <c r="M454">
        <v>16230</v>
      </c>
      <c r="N454" t="s">
        <v>210</v>
      </c>
      <c r="O454" t="str">
        <f t="shared" si="40"/>
        <v>06141403161033</v>
      </c>
      <c r="P454" t="s">
        <v>211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465</v>
      </c>
      <c r="AA454" s="38" t="s">
        <v>1</v>
      </c>
      <c r="AB454" t="s">
        <v>465</v>
      </c>
      <c r="AC454">
        <v>0</v>
      </c>
    </row>
    <row r="455" spans="1:29" hidden="1" x14ac:dyDescent="0.25">
      <c r="A455" t="s">
        <v>598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738</v>
      </c>
      <c r="G455" t="s">
        <v>440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34" t="s">
        <v>690</v>
      </c>
      <c r="L455" s="34" t="s">
        <v>465</v>
      </c>
      <c r="M455">
        <v>869899</v>
      </c>
      <c r="N455" t="s">
        <v>29</v>
      </c>
      <c r="O455" t="str">
        <f t="shared" si="40"/>
        <v>06141909001034</v>
      </c>
      <c r="P455" t="s">
        <v>233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465</v>
      </c>
      <c r="AA455" s="38" t="s">
        <v>1</v>
      </c>
      <c r="AB455" t="s">
        <v>514</v>
      </c>
      <c r="AC455">
        <v>47.97</v>
      </c>
    </row>
    <row r="456" spans="1:29" hidden="1" x14ac:dyDescent="0.25">
      <c r="A456" t="s">
        <v>598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754</v>
      </c>
      <c r="G456" t="s">
        <v>440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34" t="s">
        <v>690</v>
      </c>
      <c r="L456" s="34" t="s">
        <v>465</v>
      </c>
      <c r="M456">
        <v>5</v>
      </c>
      <c r="N456" t="s">
        <v>432</v>
      </c>
      <c r="O456" t="str">
        <f t="shared" si="40"/>
        <v>06142407131054</v>
      </c>
      <c r="P456" t="s">
        <v>433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465</v>
      </c>
      <c r="AA456" s="38" t="s">
        <v>1</v>
      </c>
      <c r="AB456" t="s">
        <v>514</v>
      </c>
      <c r="AC456">
        <v>47.81</v>
      </c>
    </row>
    <row r="457" spans="1:29" hidden="1" x14ac:dyDescent="0.25">
      <c r="A457" t="s">
        <v>598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755</v>
      </c>
      <c r="G457" t="s">
        <v>440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34" t="s">
        <v>690</v>
      </c>
      <c r="L457" s="34" t="s">
        <v>465</v>
      </c>
      <c r="M457">
        <v>713</v>
      </c>
      <c r="N457" t="s">
        <v>776</v>
      </c>
      <c r="O457" t="str">
        <f t="shared" si="40"/>
        <v>05012908111016</v>
      </c>
      <c r="P457" t="s">
        <v>777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465</v>
      </c>
      <c r="AA457" s="38" t="s">
        <v>1</v>
      </c>
      <c r="AB457" t="s">
        <v>465</v>
      </c>
      <c r="AC457">
        <v>0</v>
      </c>
    </row>
    <row r="458" spans="1:29" hidden="1" x14ac:dyDescent="0.25">
      <c r="A458" t="s">
        <v>598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705</v>
      </c>
      <c r="G458" t="s">
        <v>440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34" t="s">
        <v>690</v>
      </c>
      <c r="L458" s="34" t="s">
        <v>465</v>
      </c>
      <c r="M458">
        <v>2975638</v>
      </c>
      <c r="N458" t="s">
        <v>167</v>
      </c>
      <c r="O458" t="str">
        <f t="shared" si="40"/>
        <v>06140108580017</v>
      </c>
      <c r="P458" t="s">
        <v>168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465</v>
      </c>
      <c r="AA458" s="38" t="s">
        <v>1</v>
      </c>
      <c r="AB458" t="s">
        <v>465</v>
      </c>
      <c r="AC458">
        <v>0</v>
      </c>
    </row>
    <row r="459" spans="1:29" hidden="1" x14ac:dyDescent="0.25">
      <c r="A459" t="s">
        <v>598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751</v>
      </c>
      <c r="G459" t="s">
        <v>440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34" t="s">
        <v>690</v>
      </c>
      <c r="L459" s="34" t="s">
        <v>465</v>
      </c>
      <c r="M459">
        <v>40634</v>
      </c>
      <c r="N459" t="s">
        <v>187</v>
      </c>
      <c r="O459" t="str">
        <f t="shared" si="40"/>
        <v>07151508430012</v>
      </c>
      <c r="P459" t="s">
        <v>188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465</v>
      </c>
      <c r="AA459" s="38" t="s">
        <v>1</v>
      </c>
      <c r="AB459" t="s">
        <v>465</v>
      </c>
      <c r="AC459">
        <v>0</v>
      </c>
    </row>
    <row r="460" spans="1:29" hidden="1" x14ac:dyDescent="0.25">
      <c r="A460" t="s">
        <v>598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753</v>
      </c>
      <c r="G460" t="s">
        <v>440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34" t="s">
        <v>690</v>
      </c>
      <c r="L460" s="34" t="s">
        <v>465</v>
      </c>
      <c r="M460">
        <v>43148</v>
      </c>
      <c r="N460" t="s">
        <v>187</v>
      </c>
      <c r="O460" t="str">
        <f t="shared" si="40"/>
        <v>07151508430012</v>
      </c>
      <c r="P460" t="s">
        <v>188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465</v>
      </c>
      <c r="AA460" s="38" t="s">
        <v>1</v>
      </c>
      <c r="AB460" t="s">
        <v>465</v>
      </c>
      <c r="AC460">
        <v>0</v>
      </c>
    </row>
    <row r="461" spans="1:29" hidden="1" x14ac:dyDescent="0.25">
      <c r="A461" t="s">
        <v>598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775</v>
      </c>
      <c r="G461" t="s">
        <v>440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34" t="s">
        <v>690</v>
      </c>
      <c r="L461" s="34" t="s">
        <v>465</v>
      </c>
      <c r="M461">
        <v>39481</v>
      </c>
      <c r="N461" t="s">
        <v>187</v>
      </c>
      <c r="O461" t="str">
        <f t="shared" si="40"/>
        <v>07151508430012</v>
      </c>
      <c r="P461" t="s">
        <v>188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465</v>
      </c>
      <c r="AA461" s="38" t="s">
        <v>1</v>
      </c>
      <c r="AB461" t="s">
        <v>465</v>
      </c>
      <c r="AC461">
        <v>0</v>
      </c>
    </row>
    <row r="462" spans="1:29" hidden="1" x14ac:dyDescent="0.25">
      <c r="A462" t="s">
        <v>598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737</v>
      </c>
      <c r="G462" t="s">
        <v>440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34" t="s">
        <v>690</v>
      </c>
      <c r="L462" s="34" t="s">
        <v>465</v>
      </c>
      <c r="M462">
        <v>492817</v>
      </c>
      <c r="N462" t="s">
        <v>204</v>
      </c>
      <c r="O462" t="str">
        <f t="shared" si="40"/>
        <v>06142407500017</v>
      </c>
      <c r="P462" t="s">
        <v>205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465</v>
      </c>
      <c r="AA462" s="38" t="s">
        <v>1</v>
      </c>
      <c r="AB462" t="s">
        <v>465</v>
      </c>
      <c r="AC462">
        <v>0</v>
      </c>
    </row>
    <row r="463" spans="1:29" hidden="1" x14ac:dyDescent="0.25">
      <c r="A463" t="s">
        <v>598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633</v>
      </c>
      <c r="G463" t="s">
        <v>440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34" t="s">
        <v>690</v>
      </c>
      <c r="L463" s="34" t="s">
        <v>465</v>
      </c>
      <c r="M463">
        <v>119313</v>
      </c>
      <c r="N463" t="s">
        <v>299</v>
      </c>
      <c r="O463" t="str">
        <f t="shared" si="40"/>
        <v>06141702660013</v>
      </c>
      <c r="P463" t="s">
        <v>300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465</v>
      </c>
      <c r="AA463" s="38" t="s">
        <v>1</v>
      </c>
      <c r="AB463" t="s">
        <v>465</v>
      </c>
      <c r="AC463">
        <v>0</v>
      </c>
    </row>
    <row r="464" spans="1:29" hidden="1" x14ac:dyDescent="0.25">
      <c r="A464" t="s">
        <v>597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733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34" t="s">
        <v>690</v>
      </c>
      <c r="L464" s="34" t="s">
        <v>465</v>
      </c>
      <c r="M464">
        <v>1238</v>
      </c>
      <c r="N464" t="s">
        <v>143</v>
      </c>
      <c r="O464" t="str">
        <f t="shared" si="40"/>
        <v>06142703981055</v>
      </c>
      <c r="P464" t="s">
        <v>144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465</v>
      </c>
      <c r="AA464" s="38" t="s">
        <v>1</v>
      </c>
      <c r="AB464" t="s">
        <v>514</v>
      </c>
      <c r="AC464">
        <v>48.5</v>
      </c>
    </row>
    <row r="465" spans="1:29" hidden="1" x14ac:dyDescent="0.25">
      <c r="A465" t="s">
        <v>597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702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34" t="s">
        <v>690</v>
      </c>
      <c r="L465" s="34" t="s">
        <v>465</v>
      </c>
      <c r="M465">
        <v>564</v>
      </c>
      <c r="N465" t="s">
        <v>603</v>
      </c>
      <c r="O465" t="str">
        <f t="shared" si="40"/>
        <v>06141609101037</v>
      </c>
      <c r="P465" t="s">
        <v>604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465</v>
      </c>
      <c r="AA465" s="38" t="s">
        <v>1</v>
      </c>
      <c r="AB465" t="s">
        <v>514</v>
      </c>
      <c r="AC465">
        <v>26.4</v>
      </c>
    </row>
    <row r="466" spans="1:29" hidden="1" x14ac:dyDescent="0.25">
      <c r="A466" t="s">
        <v>597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700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34" t="s">
        <v>690</v>
      </c>
      <c r="L466" s="34" t="s">
        <v>465</v>
      </c>
      <c r="M466">
        <v>104</v>
      </c>
      <c r="N466" t="s">
        <v>578</v>
      </c>
      <c r="O466" t="str">
        <f t="shared" si="40"/>
        <v>06140709121055</v>
      </c>
      <c r="P466" t="s">
        <v>579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465</v>
      </c>
      <c r="AA466" s="38" t="s">
        <v>1</v>
      </c>
      <c r="AB466" t="s">
        <v>465</v>
      </c>
      <c r="AC466">
        <v>0</v>
      </c>
    </row>
    <row r="467" spans="1:29" hidden="1" x14ac:dyDescent="0.25">
      <c r="A467" t="s">
        <v>597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734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34" t="s">
        <v>690</v>
      </c>
      <c r="L467" s="34" t="s">
        <v>465</v>
      </c>
      <c r="M467">
        <v>940</v>
      </c>
      <c r="N467" t="s">
        <v>319</v>
      </c>
      <c r="O467" t="str">
        <f t="shared" si="40"/>
        <v>06142012041013</v>
      </c>
      <c r="P467" t="s">
        <v>320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465</v>
      </c>
      <c r="AA467" s="38" t="s">
        <v>1</v>
      </c>
      <c r="AB467" t="s">
        <v>514</v>
      </c>
      <c r="AC467">
        <v>13.85</v>
      </c>
    </row>
    <row r="468" spans="1:29" hidden="1" x14ac:dyDescent="0.25">
      <c r="A468" t="s">
        <v>597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735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34" t="s">
        <v>690</v>
      </c>
      <c r="L468" s="34" t="s">
        <v>465</v>
      </c>
      <c r="M468">
        <v>69</v>
      </c>
      <c r="N468" t="s">
        <v>231</v>
      </c>
      <c r="O468" t="str">
        <f t="shared" si="40"/>
        <v>06142704801220</v>
      </c>
      <c r="P468" t="s">
        <v>232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465</v>
      </c>
      <c r="AA468" s="38" t="s">
        <v>1</v>
      </c>
      <c r="AB468" t="s">
        <v>465</v>
      </c>
      <c r="AC468">
        <v>0</v>
      </c>
    </row>
    <row r="469" spans="1:29" hidden="1" x14ac:dyDescent="0.25">
      <c r="A469" t="s">
        <v>597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736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34" t="s">
        <v>690</v>
      </c>
      <c r="L469" s="34" t="s">
        <v>465</v>
      </c>
      <c r="M469">
        <v>282</v>
      </c>
      <c r="N469" t="s">
        <v>292</v>
      </c>
      <c r="O469" t="str">
        <f t="shared" si="40"/>
        <v>06140709360024</v>
      </c>
      <c r="P469" t="s">
        <v>293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465</v>
      </c>
      <c r="AA469" s="38" t="s">
        <v>1</v>
      </c>
      <c r="AB469" t="s">
        <v>465</v>
      </c>
      <c r="AC469">
        <v>0</v>
      </c>
    </row>
    <row r="470" spans="1:29" hidden="1" x14ac:dyDescent="0.25">
      <c r="A470" t="s">
        <v>597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737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34" t="s">
        <v>690</v>
      </c>
      <c r="L470" s="34" t="s">
        <v>465</v>
      </c>
      <c r="M470">
        <v>1310108</v>
      </c>
      <c r="N470" t="s">
        <v>221</v>
      </c>
      <c r="O470" t="str">
        <f t="shared" si="40"/>
        <v>06140812610145</v>
      </c>
      <c r="P470" t="s">
        <v>222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465</v>
      </c>
      <c r="AA470" s="38" t="s">
        <v>1</v>
      </c>
      <c r="AB470" t="s">
        <v>465</v>
      </c>
      <c r="AC470">
        <v>0</v>
      </c>
    </row>
    <row r="471" spans="1:29" hidden="1" x14ac:dyDescent="0.25">
      <c r="A471" t="s">
        <v>597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738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34" t="s">
        <v>690</v>
      </c>
      <c r="L471" s="34" t="s">
        <v>465</v>
      </c>
      <c r="M471">
        <v>115</v>
      </c>
      <c r="N471" t="s">
        <v>411</v>
      </c>
      <c r="O471" t="str">
        <f t="shared" si="40"/>
        <v>06143105820014</v>
      </c>
      <c r="P471" t="s">
        <v>412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465</v>
      </c>
      <c r="AA471" s="38" t="s">
        <v>1</v>
      </c>
      <c r="AB471" t="s">
        <v>465</v>
      </c>
      <c r="AC471">
        <v>0</v>
      </c>
    </row>
    <row r="472" spans="1:29" hidden="1" x14ac:dyDescent="0.25">
      <c r="A472" t="s">
        <v>597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736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34" t="s">
        <v>690</v>
      </c>
      <c r="L472" s="34" t="s">
        <v>465</v>
      </c>
      <c r="M472">
        <v>5672</v>
      </c>
      <c r="N472" t="s">
        <v>216</v>
      </c>
      <c r="O472" t="str">
        <f t="shared" si="40"/>
        <v>06141909961054</v>
      </c>
      <c r="P472" t="s">
        <v>217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465</v>
      </c>
      <c r="AA472" s="38" t="s">
        <v>1</v>
      </c>
      <c r="AB472" t="s">
        <v>520</v>
      </c>
      <c r="AC472">
        <v>1.81</v>
      </c>
    </row>
    <row r="473" spans="1:29" hidden="1" x14ac:dyDescent="0.25">
      <c r="A473" t="s">
        <v>597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739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34" t="s">
        <v>690</v>
      </c>
      <c r="L473" s="34" t="s">
        <v>465</v>
      </c>
      <c r="M473">
        <v>2066</v>
      </c>
      <c r="N473" t="s">
        <v>427</v>
      </c>
      <c r="O473" t="str">
        <f t="shared" si="40"/>
        <v>06140404081061</v>
      </c>
      <c r="P473" t="s">
        <v>428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465</v>
      </c>
      <c r="AA473" s="38" t="s">
        <v>1</v>
      </c>
      <c r="AB473" t="s">
        <v>465</v>
      </c>
      <c r="AC473">
        <v>0</v>
      </c>
    </row>
    <row r="474" spans="1:29" hidden="1" x14ac:dyDescent="0.25">
      <c r="A474" t="s">
        <v>597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740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34" t="s">
        <v>690</v>
      </c>
      <c r="L474" s="34" t="s">
        <v>465</v>
      </c>
      <c r="M474">
        <v>235</v>
      </c>
      <c r="N474" t="s">
        <v>341</v>
      </c>
      <c r="O474" t="str">
        <f t="shared" si="40"/>
        <v>05112308101011</v>
      </c>
      <c r="P474" t="s">
        <v>342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465</v>
      </c>
      <c r="AA474" s="38" t="s">
        <v>1</v>
      </c>
      <c r="AB474" t="s">
        <v>465</v>
      </c>
      <c r="AC474">
        <v>0</v>
      </c>
    </row>
    <row r="475" spans="1:29" hidden="1" x14ac:dyDescent="0.25">
      <c r="A475" t="s">
        <v>597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741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34" t="s">
        <v>690</v>
      </c>
      <c r="L475" s="34" t="s">
        <v>465</v>
      </c>
      <c r="M475">
        <v>84</v>
      </c>
      <c r="N475" t="s">
        <v>460</v>
      </c>
      <c r="O475" t="str">
        <f t="shared" si="40"/>
        <v>11100209671014</v>
      </c>
      <c r="P475" t="s">
        <v>461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465</v>
      </c>
      <c r="AA475" s="38" t="s">
        <v>1</v>
      </c>
      <c r="AB475" t="s">
        <v>465</v>
      </c>
      <c r="AC475">
        <v>0</v>
      </c>
    </row>
    <row r="476" spans="1:29" hidden="1" x14ac:dyDescent="0.25">
      <c r="A476" t="s">
        <v>597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741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34" t="s">
        <v>690</v>
      </c>
      <c r="L476" s="34" t="s">
        <v>465</v>
      </c>
      <c r="M476">
        <v>1333</v>
      </c>
      <c r="N476" t="s">
        <v>66</v>
      </c>
      <c r="O476" t="str">
        <f t="shared" si="40"/>
        <v>06142601121035</v>
      </c>
      <c r="P476" t="s">
        <v>67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465</v>
      </c>
      <c r="AA476" s="38" t="s">
        <v>1</v>
      </c>
      <c r="AB476" t="s">
        <v>465</v>
      </c>
      <c r="AC476">
        <v>0</v>
      </c>
    </row>
    <row r="477" spans="1:29" hidden="1" x14ac:dyDescent="0.25">
      <c r="A477" t="s">
        <v>597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742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34" t="s">
        <v>690</v>
      </c>
      <c r="L477" s="34" t="s">
        <v>465</v>
      </c>
      <c r="M477">
        <v>4655</v>
      </c>
      <c r="N477" t="s">
        <v>238</v>
      </c>
      <c r="O477" t="str">
        <f t="shared" si="40"/>
        <v>06141407941017</v>
      </c>
      <c r="P477" t="s">
        <v>239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465</v>
      </c>
      <c r="AA477" s="38" t="s">
        <v>1</v>
      </c>
      <c r="AB477" t="s">
        <v>465</v>
      </c>
      <c r="AC477">
        <v>0</v>
      </c>
    </row>
    <row r="478" spans="1:29" hidden="1" x14ac:dyDescent="0.25">
      <c r="A478" t="s">
        <v>597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736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34" t="s">
        <v>690</v>
      </c>
      <c r="L478" s="34" t="s">
        <v>465</v>
      </c>
      <c r="M478">
        <v>29995</v>
      </c>
      <c r="N478" t="s">
        <v>270</v>
      </c>
      <c r="O478" t="str">
        <f t="shared" si="40"/>
        <v>06140307951051</v>
      </c>
      <c r="P478" t="s">
        <v>271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465</v>
      </c>
      <c r="AA478" s="38" t="s">
        <v>1</v>
      </c>
      <c r="AB478" t="s">
        <v>465</v>
      </c>
      <c r="AC478">
        <v>0</v>
      </c>
    </row>
    <row r="479" spans="1:29" hidden="1" x14ac:dyDescent="0.25">
      <c r="A479" t="s">
        <v>597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742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34" t="s">
        <v>690</v>
      </c>
      <c r="L479" s="34" t="s">
        <v>465</v>
      </c>
      <c r="M479">
        <v>234</v>
      </c>
      <c r="N479" t="s">
        <v>743</v>
      </c>
      <c r="O479" t="str">
        <f t="shared" si="40"/>
        <v>05010801131011</v>
      </c>
      <c r="P479" t="s">
        <v>744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465</v>
      </c>
      <c r="AA479" s="38" t="s">
        <v>1</v>
      </c>
      <c r="AB479" t="s">
        <v>465</v>
      </c>
      <c r="AC479">
        <v>0</v>
      </c>
    </row>
    <row r="480" spans="1:29" hidden="1" x14ac:dyDescent="0.25">
      <c r="A480" t="s">
        <v>597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735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34" t="s">
        <v>690</v>
      </c>
      <c r="L480" s="34" t="s">
        <v>465</v>
      </c>
      <c r="M480">
        <v>19</v>
      </c>
      <c r="N480" t="s">
        <v>546</v>
      </c>
      <c r="O480" t="str">
        <f t="shared" si="40"/>
        <v>05112011861033</v>
      </c>
      <c r="P480" t="s">
        <v>547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465</v>
      </c>
      <c r="AA480" s="38" t="s">
        <v>1</v>
      </c>
      <c r="AB480" t="s">
        <v>465</v>
      </c>
      <c r="AC480">
        <v>0</v>
      </c>
    </row>
    <row r="481" spans="1:29" hidden="1" x14ac:dyDescent="0.25">
      <c r="A481" t="s">
        <v>597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740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34" t="s">
        <v>690</v>
      </c>
      <c r="L481" s="34" t="s">
        <v>465</v>
      </c>
      <c r="M481">
        <v>18</v>
      </c>
      <c r="N481" t="s">
        <v>546</v>
      </c>
      <c r="O481" t="str">
        <f t="shared" si="40"/>
        <v>05112011861033</v>
      </c>
      <c r="P481" t="s">
        <v>547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465</v>
      </c>
      <c r="AA481" s="38" t="s">
        <v>1</v>
      </c>
      <c r="AB481" t="s">
        <v>465</v>
      </c>
      <c r="AC481">
        <v>0</v>
      </c>
    </row>
    <row r="482" spans="1:29" hidden="1" x14ac:dyDescent="0.25">
      <c r="A482" t="s">
        <v>597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727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34" t="s">
        <v>690</v>
      </c>
      <c r="L482" s="34" t="s">
        <v>465</v>
      </c>
      <c r="M482">
        <v>15287</v>
      </c>
      <c r="N482" t="s">
        <v>179</v>
      </c>
      <c r="O482" t="str">
        <f t="shared" si="40"/>
        <v>06142302931020</v>
      </c>
      <c r="P482" t="s">
        <v>180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465</v>
      </c>
      <c r="AA482" s="38" t="s">
        <v>1</v>
      </c>
      <c r="AB482" t="s">
        <v>465</v>
      </c>
      <c r="AC482">
        <v>0</v>
      </c>
    </row>
    <row r="483" spans="1:29" hidden="1" x14ac:dyDescent="0.25">
      <c r="A483" t="s">
        <v>597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734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34" t="s">
        <v>690</v>
      </c>
      <c r="L483" s="34" t="s">
        <v>465</v>
      </c>
      <c r="M483">
        <v>80617</v>
      </c>
      <c r="N483" t="s">
        <v>210</v>
      </c>
      <c r="O483" t="str">
        <f t="shared" si="40"/>
        <v>06141403161033</v>
      </c>
      <c r="P483" t="s">
        <v>211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465</v>
      </c>
      <c r="AA483" s="38" t="s">
        <v>1</v>
      </c>
      <c r="AB483" t="s">
        <v>465</v>
      </c>
      <c r="AC483">
        <v>0</v>
      </c>
    </row>
    <row r="484" spans="1:29" hidden="1" x14ac:dyDescent="0.25">
      <c r="A484" t="s">
        <v>597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745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34" t="s">
        <v>690</v>
      </c>
      <c r="L484" s="34" t="s">
        <v>465</v>
      </c>
      <c r="M484">
        <v>1537</v>
      </c>
      <c r="N484" t="s">
        <v>66</v>
      </c>
      <c r="O484" t="str">
        <f t="shared" si="40"/>
        <v>06142601121035</v>
      </c>
      <c r="P484" t="s">
        <v>67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465</v>
      </c>
      <c r="AA484" s="38" t="s">
        <v>1</v>
      </c>
      <c r="AB484" t="s">
        <v>465</v>
      </c>
      <c r="AC484">
        <v>0</v>
      </c>
    </row>
    <row r="485" spans="1:29" hidden="1" x14ac:dyDescent="0.25">
      <c r="A485" t="s">
        <v>597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745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34" t="s">
        <v>690</v>
      </c>
      <c r="L485" s="34" t="s">
        <v>465</v>
      </c>
      <c r="M485">
        <v>2217</v>
      </c>
      <c r="N485" t="s">
        <v>134</v>
      </c>
      <c r="O485" t="str">
        <f t="shared" si="40"/>
        <v>06141605121041</v>
      </c>
      <c r="P485" t="s">
        <v>135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465</v>
      </c>
      <c r="AA485" s="38" t="s">
        <v>1</v>
      </c>
      <c r="AB485" t="s">
        <v>465</v>
      </c>
      <c r="AC485">
        <v>0</v>
      </c>
    </row>
    <row r="486" spans="1:29" hidden="1" x14ac:dyDescent="0.25">
      <c r="A486" t="s">
        <v>597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746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34" t="s">
        <v>690</v>
      </c>
      <c r="L486" s="34" t="s">
        <v>465</v>
      </c>
      <c r="M486">
        <v>882</v>
      </c>
      <c r="N486" t="s">
        <v>206</v>
      </c>
      <c r="O486" t="str">
        <f t="shared" si="40"/>
        <v>06143003710013</v>
      </c>
      <c r="P486" t="s">
        <v>207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465</v>
      </c>
      <c r="AA486" s="38" t="s">
        <v>1</v>
      </c>
      <c r="AB486" t="s">
        <v>465</v>
      </c>
      <c r="AC486">
        <v>0</v>
      </c>
    </row>
    <row r="487" spans="1:29" hidden="1" x14ac:dyDescent="0.25">
      <c r="A487" t="s">
        <v>597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746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34" t="s">
        <v>690</v>
      </c>
      <c r="L487" s="34" t="s">
        <v>465</v>
      </c>
      <c r="M487">
        <v>56018</v>
      </c>
      <c r="N487" t="s">
        <v>210</v>
      </c>
      <c r="O487" t="str">
        <f t="shared" si="40"/>
        <v>06141403161033</v>
      </c>
      <c r="P487" t="s">
        <v>211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465</v>
      </c>
      <c r="AA487" s="38" t="s">
        <v>1</v>
      </c>
      <c r="AB487" t="s">
        <v>465</v>
      </c>
      <c r="AC487">
        <v>0</v>
      </c>
    </row>
    <row r="488" spans="1:29" hidden="1" x14ac:dyDescent="0.25">
      <c r="A488" t="s">
        <v>597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747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34" t="s">
        <v>690</v>
      </c>
      <c r="L488" s="34" t="s">
        <v>465</v>
      </c>
      <c r="M488">
        <v>4830</v>
      </c>
      <c r="N488" t="s">
        <v>238</v>
      </c>
      <c r="O488" t="str">
        <f t="shared" si="40"/>
        <v>06141407941017</v>
      </c>
      <c r="P488" t="s">
        <v>239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465</v>
      </c>
      <c r="AA488" s="38" t="s">
        <v>1</v>
      </c>
      <c r="AB488" t="s">
        <v>465</v>
      </c>
      <c r="AC488">
        <v>0</v>
      </c>
    </row>
    <row r="489" spans="1:29" hidden="1" x14ac:dyDescent="0.25">
      <c r="A489" t="s">
        <v>597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748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34" t="s">
        <v>690</v>
      </c>
      <c r="L489" s="34" t="s">
        <v>465</v>
      </c>
      <c r="M489">
        <v>248</v>
      </c>
      <c r="N489" t="s">
        <v>278</v>
      </c>
      <c r="O489" t="str">
        <f t="shared" si="40"/>
        <v>11181602731029</v>
      </c>
      <c r="P489" t="s">
        <v>279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465</v>
      </c>
      <c r="AA489" s="38" t="s">
        <v>1</v>
      </c>
      <c r="AB489" t="s">
        <v>465</v>
      </c>
      <c r="AC489">
        <v>0</v>
      </c>
    </row>
    <row r="490" spans="1:29" hidden="1" x14ac:dyDescent="0.25">
      <c r="A490" t="s">
        <v>597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737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34" t="s">
        <v>690</v>
      </c>
      <c r="L490" s="34" t="s">
        <v>465</v>
      </c>
      <c r="M490">
        <v>4785</v>
      </c>
      <c r="N490" t="s">
        <v>238</v>
      </c>
      <c r="O490" t="str">
        <f t="shared" si="40"/>
        <v>06141407941017</v>
      </c>
      <c r="P490" t="s">
        <v>239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465</v>
      </c>
      <c r="AA490" s="38" t="s">
        <v>1</v>
      </c>
      <c r="AB490" t="s">
        <v>465</v>
      </c>
      <c r="AC490">
        <v>0</v>
      </c>
    </row>
    <row r="491" spans="1:29" hidden="1" x14ac:dyDescent="0.25">
      <c r="A491" t="s">
        <v>597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739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34" t="s">
        <v>690</v>
      </c>
      <c r="L491" s="34" t="s">
        <v>465</v>
      </c>
      <c r="M491">
        <v>4804</v>
      </c>
      <c r="N491" t="s">
        <v>238</v>
      </c>
      <c r="O491" t="str">
        <f t="shared" si="40"/>
        <v>06141407941017</v>
      </c>
      <c r="P491" t="s">
        <v>239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465</v>
      </c>
      <c r="AA491" s="38" t="s">
        <v>1</v>
      </c>
      <c r="AB491" t="s">
        <v>465</v>
      </c>
      <c r="AC491">
        <v>0</v>
      </c>
    </row>
    <row r="492" spans="1:29" hidden="1" x14ac:dyDescent="0.25">
      <c r="A492" t="s">
        <v>597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736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34" t="s">
        <v>690</v>
      </c>
      <c r="L492" s="34" t="s">
        <v>465</v>
      </c>
      <c r="M492">
        <v>861</v>
      </c>
      <c r="N492" t="s">
        <v>143</v>
      </c>
      <c r="O492" t="str">
        <f t="shared" si="40"/>
        <v>06142703981055</v>
      </c>
      <c r="P492" t="s">
        <v>144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465</v>
      </c>
      <c r="AA492" s="38" t="s">
        <v>1</v>
      </c>
      <c r="AB492" t="s">
        <v>465</v>
      </c>
      <c r="AC492">
        <v>0</v>
      </c>
    </row>
    <row r="493" spans="1:29" hidden="1" x14ac:dyDescent="0.25">
      <c r="A493" t="s">
        <v>597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741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34" t="s">
        <v>690</v>
      </c>
      <c r="L493" s="34" t="s">
        <v>465</v>
      </c>
      <c r="M493">
        <v>840</v>
      </c>
      <c r="N493" t="s">
        <v>143</v>
      </c>
      <c r="O493" t="str">
        <f t="shared" si="40"/>
        <v>06142703981055</v>
      </c>
      <c r="P493" t="s">
        <v>144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465</v>
      </c>
      <c r="AA493" s="38" t="s">
        <v>1</v>
      </c>
      <c r="AB493" t="s">
        <v>465</v>
      </c>
      <c r="AC493">
        <v>0</v>
      </c>
    </row>
    <row r="494" spans="1:29" hidden="1" x14ac:dyDescent="0.25">
      <c r="A494" t="s">
        <v>597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742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34" t="s">
        <v>690</v>
      </c>
      <c r="L494" s="34" t="s">
        <v>465</v>
      </c>
      <c r="M494">
        <v>902</v>
      </c>
      <c r="N494" t="s">
        <v>143</v>
      </c>
      <c r="O494" t="str">
        <f t="shared" si="40"/>
        <v>06142703981055</v>
      </c>
      <c r="P494" t="s">
        <v>144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465</v>
      </c>
      <c r="AA494" s="38" t="s">
        <v>1</v>
      </c>
      <c r="AB494" t="s">
        <v>465</v>
      </c>
      <c r="AC494">
        <v>0</v>
      </c>
    </row>
    <row r="495" spans="1:29" hidden="1" x14ac:dyDescent="0.25">
      <c r="A495" t="s">
        <v>597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742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34" t="s">
        <v>690</v>
      </c>
      <c r="L495" s="34" t="s">
        <v>465</v>
      </c>
      <c r="M495">
        <v>903</v>
      </c>
      <c r="N495" t="s">
        <v>143</v>
      </c>
      <c r="O495" t="str">
        <f t="shared" si="40"/>
        <v>06142703981055</v>
      </c>
      <c r="P495" t="s">
        <v>144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465</v>
      </c>
      <c r="AA495" s="38" t="s">
        <v>1</v>
      </c>
      <c r="AB495" t="s">
        <v>465</v>
      </c>
      <c r="AC495">
        <v>0</v>
      </c>
    </row>
    <row r="496" spans="1:29" hidden="1" x14ac:dyDescent="0.25">
      <c r="A496" t="s">
        <v>597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734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34" t="s">
        <v>690</v>
      </c>
      <c r="L496" s="34" t="s">
        <v>465</v>
      </c>
      <c r="M496">
        <v>959</v>
      </c>
      <c r="N496" t="s">
        <v>143</v>
      </c>
      <c r="O496" t="str">
        <f t="shared" si="40"/>
        <v>06142703981055</v>
      </c>
      <c r="P496" t="s">
        <v>144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465</v>
      </c>
      <c r="AA496" s="38" t="s">
        <v>1</v>
      </c>
      <c r="AB496" t="s">
        <v>465</v>
      </c>
      <c r="AC496">
        <v>0</v>
      </c>
    </row>
    <row r="497" spans="1:29" hidden="1" x14ac:dyDescent="0.25">
      <c r="A497" t="s">
        <v>597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737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34" t="s">
        <v>690</v>
      </c>
      <c r="L497" s="34" t="s">
        <v>465</v>
      </c>
      <c r="M497">
        <v>969</v>
      </c>
      <c r="N497" t="s">
        <v>143</v>
      </c>
      <c r="O497" t="str">
        <f t="shared" si="40"/>
        <v>06142703981055</v>
      </c>
      <c r="P497" t="s">
        <v>144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465</v>
      </c>
      <c r="AA497" s="38" t="s">
        <v>1</v>
      </c>
      <c r="AB497" t="s">
        <v>465</v>
      </c>
      <c r="AC497">
        <v>0</v>
      </c>
    </row>
    <row r="498" spans="1:29" hidden="1" x14ac:dyDescent="0.25">
      <c r="A498" t="s">
        <v>597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737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34" t="s">
        <v>690</v>
      </c>
      <c r="L498" s="34" t="s">
        <v>465</v>
      </c>
      <c r="M498">
        <v>976</v>
      </c>
      <c r="N498" t="s">
        <v>143</v>
      </c>
      <c r="O498" t="str">
        <f t="shared" si="40"/>
        <v>06142703981055</v>
      </c>
      <c r="P498" t="s">
        <v>144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465</v>
      </c>
      <c r="AA498" s="38" t="s">
        <v>1</v>
      </c>
      <c r="AB498" t="s">
        <v>465</v>
      </c>
      <c r="AC498">
        <v>0</v>
      </c>
    </row>
    <row r="499" spans="1:29" hidden="1" x14ac:dyDescent="0.25">
      <c r="A499" t="s">
        <v>597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749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34" t="s">
        <v>690</v>
      </c>
      <c r="L499" s="34" t="s">
        <v>465</v>
      </c>
      <c r="M499">
        <v>1001</v>
      </c>
      <c r="N499" t="s">
        <v>143</v>
      </c>
      <c r="O499" t="str">
        <f t="shared" si="40"/>
        <v>06142703981055</v>
      </c>
      <c r="P499" t="s">
        <v>144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465</v>
      </c>
      <c r="AA499" s="38" t="s">
        <v>1</v>
      </c>
      <c r="AB499" t="s">
        <v>465</v>
      </c>
      <c r="AC499">
        <v>0</v>
      </c>
    </row>
    <row r="500" spans="1:29" hidden="1" x14ac:dyDescent="0.25">
      <c r="A500" t="s">
        <v>597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749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34" t="s">
        <v>690</v>
      </c>
      <c r="L500" s="34" t="s">
        <v>465</v>
      </c>
      <c r="M500">
        <v>996</v>
      </c>
      <c r="N500" t="s">
        <v>143</v>
      </c>
      <c r="O500" t="str">
        <f t="shared" si="40"/>
        <v>06142703981055</v>
      </c>
      <c r="P500" t="s">
        <v>144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465</v>
      </c>
      <c r="AA500" s="38" t="s">
        <v>1</v>
      </c>
      <c r="AB500" t="s">
        <v>465</v>
      </c>
      <c r="AC500">
        <v>0</v>
      </c>
    </row>
    <row r="501" spans="1:29" hidden="1" x14ac:dyDescent="0.25">
      <c r="A501" t="s">
        <v>597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749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34" t="s">
        <v>690</v>
      </c>
      <c r="L501" s="34" t="s">
        <v>465</v>
      </c>
      <c r="M501">
        <v>1017</v>
      </c>
      <c r="N501" t="s">
        <v>143</v>
      </c>
      <c r="O501" t="str">
        <f t="shared" si="40"/>
        <v>06142703981055</v>
      </c>
      <c r="P501" t="s">
        <v>144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465</v>
      </c>
      <c r="AA501" s="38" t="s">
        <v>1</v>
      </c>
      <c r="AB501" t="s">
        <v>465</v>
      </c>
      <c r="AC501">
        <v>0</v>
      </c>
    </row>
    <row r="502" spans="1:29" hidden="1" x14ac:dyDescent="0.25">
      <c r="A502" t="s">
        <v>597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738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34" t="s">
        <v>690</v>
      </c>
      <c r="L502" s="34" t="s">
        <v>465</v>
      </c>
      <c r="M502">
        <v>1091</v>
      </c>
      <c r="N502" t="s">
        <v>143</v>
      </c>
      <c r="O502" t="str">
        <f t="shared" si="40"/>
        <v>06142703981055</v>
      </c>
      <c r="P502" t="s">
        <v>144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465</v>
      </c>
      <c r="AA502" s="38" t="s">
        <v>1</v>
      </c>
      <c r="AB502" t="s">
        <v>514</v>
      </c>
      <c r="AC502">
        <v>913.3</v>
      </c>
    </row>
    <row r="503" spans="1:29" hidden="1" x14ac:dyDescent="0.25">
      <c r="A503" t="s">
        <v>597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738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34" t="s">
        <v>690</v>
      </c>
      <c r="L503" s="34" t="s">
        <v>465</v>
      </c>
      <c r="M503">
        <v>1081</v>
      </c>
      <c r="N503" t="s">
        <v>143</v>
      </c>
      <c r="O503" t="str">
        <f t="shared" si="40"/>
        <v>06142703981055</v>
      </c>
      <c r="P503" t="s">
        <v>144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465</v>
      </c>
      <c r="AA503" s="38" t="s">
        <v>1</v>
      </c>
      <c r="AB503" t="s">
        <v>514</v>
      </c>
      <c r="AC503">
        <v>381.86</v>
      </c>
    </row>
    <row r="504" spans="1:29" hidden="1" x14ac:dyDescent="0.25">
      <c r="A504" t="s">
        <v>597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745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34" t="s">
        <v>690</v>
      </c>
      <c r="L504" s="34" t="s">
        <v>465</v>
      </c>
      <c r="M504">
        <v>1106</v>
      </c>
      <c r="N504" t="s">
        <v>143</v>
      </c>
      <c r="O504" t="str">
        <f t="shared" si="40"/>
        <v>06142703981055</v>
      </c>
      <c r="P504" t="s">
        <v>144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465</v>
      </c>
      <c r="AA504" s="38" t="s">
        <v>1</v>
      </c>
      <c r="AB504" t="s">
        <v>514</v>
      </c>
      <c r="AC504">
        <v>390.15</v>
      </c>
    </row>
    <row r="505" spans="1:29" hidden="1" x14ac:dyDescent="0.25">
      <c r="A505" t="s">
        <v>597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745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34" t="s">
        <v>690</v>
      </c>
      <c r="L505" s="34" t="s">
        <v>465</v>
      </c>
      <c r="M505">
        <v>1102</v>
      </c>
      <c r="N505" t="s">
        <v>143</v>
      </c>
      <c r="O505" t="str">
        <f t="shared" si="40"/>
        <v>06142703981055</v>
      </c>
      <c r="P505" t="s">
        <v>144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465</v>
      </c>
      <c r="AA505" s="38" t="s">
        <v>1</v>
      </c>
      <c r="AB505" t="s">
        <v>628</v>
      </c>
      <c r="AC505">
        <v>1369.97</v>
      </c>
    </row>
    <row r="506" spans="1:29" hidden="1" x14ac:dyDescent="0.25">
      <c r="A506" t="s">
        <v>597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738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34" t="s">
        <v>690</v>
      </c>
      <c r="L506" s="34" t="s">
        <v>465</v>
      </c>
      <c r="M506">
        <v>1079</v>
      </c>
      <c r="N506" t="s">
        <v>143</v>
      </c>
      <c r="O506" t="str">
        <f t="shared" si="40"/>
        <v>06142703981055</v>
      </c>
      <c r="P506" t="s">
        <v>144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465</v>
      </c>
      <c r="AA506" s="38" t="s">
        <v>1</v>
      </c>
      <c r="AB506" t="s">
        <v>465</v>
      </c>
      <c r="AC506">
        <v>0</v>
      </c>
    </row>
    <row r="507" spans="1:29" hidden="1" x14ac:dyDescent="0.25">
      <c r="A507" t="s">
        <v>597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659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34" t="s">
        <v>690</v>
      </c>
      <c r="L507" s="34" t="s">
        <v>465</v>
      </c>
      <c r="M507">
        <v>19</v>
      </c>
      <c r="N507" t="s">
        <v>189</v>
      </c>
      <c r="O507" t="str">
        <f t="shared" si="40"/>
        <v>05030410891020</v>
      </c>
      <c r="P507" t="s">
        <v>462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465</v>
      </c>
      <c r="AA507" s="38" t="s">
        <v>1</v>
      </c>
      <c r="AB507" t="s">
        <v>465</v>
      </c>
      <c r="AC507">
        <v>0</v>
      </c>
    </row>
    <row r="508" spans="1:29" hidden="1" x14ac:dyDescent="0.25">
      <c r="A508" t="s">
        <v>597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649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34" t="s">
        <v>690</v>
      </c>
      <c r="L508" s="34" t="s">
        <v>465</v>
      </c>
      <c r="M508">
        <v>9</v>
      </c>
      <c r="N508" t="s">
        <v>189</v>
      </c>
      <c r="O508" t="str">
        <f t="shared" si="40"/>
        <v>05030410891020</v>
      </c>
      <c r="P508" t="s">
        <v>462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465</v>
      </c>
      <c r="AA508" s="38" t="s">
        <v>1</v>
      </c>
      <c r="AB508" t="s">
        <v>518</v>
      </c>
      <c r="AC508">
        <v>7.9</v>
      </c>
    </row>
    <row r="509" spans="1:29" hidden="1" x14ac:dyDescent="0.25">
      <c r="A509" t="s">
        <v>597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709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34" t="s">
        <v>690</v>
      </c>
      <c r="L509" s="34" t="s">
        <v>465</v>
      </c>
      <c r="M509">
        <v>35</v>
      </c>
      <c r="N509" t="s">
        <v>189</v>
      </c>
      <c r="O509" t="str">
        <f t="shared" si="40"/>
        <v>05030410891020</v>
      </c>
      <c r="P509" t="s">
        <v>462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465</v>
      </c>
      <c r="AA509" s="38" t="s">
        <v>1</v>
      </c>
      <c r="AB509" t="s">
        <v>465</v>
      </c>
      <c r="AC509">
        <v>0</v>
      </c>
    </row>
    <row r="510" spans="1:29" hidden="1" x14ac:dyDescent="0.25">
      <c r="A510" t="s">
        <v>597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709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34" t="s">
        <v>690</v>
      </c>
      <c r="L510" s="34" t="s">
        <v>465</v>
      </c>
      <c r="M510">
        <v>36</v>
      </c>
      <c r="N510" t="s">
        <v>189</v>
      </c>
      <c r="O510" t="str">
        <f t="shared" si="40"/>
        <v>05030410891020</v>
      </c>
      <c r="P510" t="s">
        <v>462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465</v>
      </c>
      <c r="AA510" s="38" t="s">
        <v>1</v>
      </c>
      <c r="AB510" t="s">
        <v>465</v>
      </c>
      <c r="AC510">
        <v>0</v>
      </c>
    </row>
    <row r="511" spans="1:29" hidden="1" x14ac:dyDescent="0.25">
      <c r="A511" t="s">
        <v>597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701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34" t="s">
        <v>690</v>
      </c>
      <c r="L511" s="34" t="s">
        <v>465</v>
      </c>
      <c r="M511">
        <v>32</v>
      </c>
      <c r="N511" t="s">
        <v>189</v>
      </c>
      <c r="O511" t="str">
        <f t="shared" si="40"/>
        <v>05030410891020</v>
      </c>
      <c r="P511" t="s">
        <v>462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465</v>
      </c>
      <c r="AA511" s="38" t="s">
        <v>1</v>
      </c>
      <c r="AB511" t="s">
        <v>465</v>
      </c>
      <c r="AC511">
        <v>0</v>
      </c>
    </row>
    <row r="512" spans="1:29" hidden="1" x14ac:dyDescent="0.25">
      <c r="A512" t="s">
        <v>597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692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34" t="s">
        <v>690</v>
      </c>
      <c r="L512" s="34" t="s">
        <v>465</v>
      </c>
      <c r="M512">
        <v>28</v>
      </c>
      <c r="N512" t="s">
        <v>189</v>
      </c>
      <c r="O512" t="str">
        <f t="shared" si="40"/>
        <v>05030410891020</v>
      </c>
      <c r="P512" t="s">
        <v>462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465</v>
      </c>
      <c r="AA512" s="38" t="s">
        <v>1</v>
      </c>
      <c r="AB512" t="s">
        <v>465</v>
      </c>
      <c r="AC512">
        <v>0</v>
      </c>
    </row>
    <row r="513" spans="1:29" hidden="1" x14ac:dyDescent="0.25">
      <c r="A513" t="s">
        <v>597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750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34" t="s">
        <v>690</v>
      </c>
      <c r="L513" s="34" t="s">
        <v>465</v>
      </c>
      <c r="M513">
        <v>253</v>
      </c>
      <c r="N513" t="s">
        <v>743</v>
      </c>
      <c r="O513" t="str">
        <f t="shared" si="40"/>
        <v>05010801131011</v>
      </c>
      <c r="P513" t="s">
        <v>744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465</v>
      </c>
      <c r="AA513" s="38" t="s">
        <v>1</v>
      </c>
      <c r="AB513" t="s">
        <v>514</v>
      </c>
      <c r="AC513">
        <v>13.68</v>
      </c>
    </row>
    <row r="514" spans="1:29" hidden="1" x14ac:dyDescent="0.25">
      <c r="A514" t="s">
        <v>597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709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34" t="s">
        <v>690</v>
      </c>
      <c r="L514" s="34" t="s">
        <v>465</v>
      </c>
      <c r="M514">
        <v>62</v>
      </c>
      <c r="N514" t="s">
        <v>177</v>
      </c>
      <c r="O514" t="str">
        <f t="shared" si="40"/>
        <v>06141611841170</v>
      </c>
      <c r="P514" t="s">
        <v>178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465</v>
      </c>
      <c r="AA514" s="38" t="s">
        <v>1</v>
      </c>
      <c r="AB514" t="s">
        <v>514</v>
      </c>
      <c r="AC514">
        <v>113.52</v>
      </c>
    </row>
    <row r="515" spans="1:29" hidden="1" x14ac:dyDescent="0.25">
      <c r="A515" t="s">
        <v>597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751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34" t="s">
        <v>690</v>
      </c>
      <c r="L515" s="34" t="s">
        <v>465</v>
      </c>
      <c r="M515">
        <v>456081</v>
      </c>
      <c r="N515" t="s">
        <v>227</v>
      </c>
      <c r="O515" t="str">
        <f t="shared" ref="O515:O578" si="45">IF(N515="",Z515,N515)</f>
        <v>06142008011037</v>
      </c>
      <c r="P515" t="s">
        <v>228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465</v>
      </c>
      <c r="AA515" s="38" t="s">
        <v>1</v>
      </c>
      <c r="AB515" t="s">
        <v>465</v>
      </c>
      <c r="AC515">
        <v>0</v>
      </c>
    </row>
    <row r="516" spans="1:29" hidden="1" x14ac:dyDescent="0.25">
      <c r="A516" t="s">
        <v>597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739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34" t="s">
        <v>690</v>
      </c>
      <c r="L516" s="34" t="s">
        <v>465</v>
      </c>
      <c r="M516">
        <v>5951</v>
      </c>
      <c r="N516" t="s">
        <v>91</v>
      </c>
      <c r="O516" t="str">
        <f t="shared" si="45"/>
        <v>06141504911068</v>
      </c>
      <c r="P516" t="s">
        <v>92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465</v>
      </c>
      <c r="AA516" s="38" t="s">
        <v>1</v>
      </c>
      <c r="AB516" t="s">
        <v>465</v>
      </c>
      <c r="AC516">
        <v>0</v>
      </c>
    </row>
    <row r="517" spans="1:29" hidden="1" x14ac:dyDescent="0.25">
      <c r="A517" t="s">
        <v>597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746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34" t="s">
        <v>690</v>
      </c>
      <c r="L517" s="34" t="s">
        <v>465</v>
      </c>
      <c r="M517">
        <v>9298</v>
      </c>
      <c r="N517" t="s">
        <v>415</v>
      </c>
      <c r="O517" t="str">
        <f t="shared" si="45"/>
        <v>06142406031056</v>
      </c>
      <c r="P517" t="s">
        <v>416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465</v>
      </c>
      <c r="AA517" s="38" t="s">
        <v>1</v>
      </c>
      <c r="AB517" t="s">
        <v>465</v>
      </c>
      <c r="AC517">
        <v>0</v>
      </c>
    </row>
    <row r="518" spans="1:29" hidden="1" x14ac:dyDescent="0.25">
      <c r="A518" t="s">
        <v>597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647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34" t="s">
        <v>690</v>
      </c>
      <c r="L518" s="34" t="s">
        <v>465</v>
      </c>
      <c r="M518">
        <v>100</v>
      </c>
      <c r="N518" t="s">
        <v>286</v>
      </c>
      <c r="O518" t="str">
        <f t="shared" si="45"/>
        <v>12170701191011</v>
      </c>
      <c r="P518" t="s">
        <v>287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465</v>
      </c>
      <c r="AA518" s="38" t="s">
        <v>1</v>
      </c>
      <c r="AB518" t="s">
        <v>465</v>
      </c>
      <c r="AC518">
        <v>0</v>
      </c>
    </row>
    <row r="519" spans="1:29" hidden="1" x14ac:dyDescent="0.25">
      <c r="A519" t="s">
        <v>597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752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34" t="s">
        <v>690</v>
      </c>
      <c r="L519" s="34" t="s">
        <v>465</v>
      </c>
      <c r="M519">
        <v>121</v>
      </c>
      <c r="N519" t="s">
        <v>286</v>
      </c>
      <c r="O519" t="str">
        <f t="shared" si="45"/>
        <v>12170701191011</v>
      </c>
      <c r="P519" t="s">
        <v>287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465</v>
      </c>
      <c r="AA519" s="38" t="s">
        <v>1</v>
      </c>
      <c r="AB519" t="s">
        <v>465</v>
      </c>
      <c r="AC519">
        <v>0</v>
      </c>
    </row>
    <row r="520" spans="1:29" hidden="1" x14ac:dyDescent="0.25">
      <c r="A520" t="s">
        <v>597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726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34" t="s">
        <v>690</v>
      </c>
      <c r="L520" s="34" t="s">
        <v>465</v>
      </c>
      <c r="M520">
        <v>899</v>
      </c>
      <c r="N520" t="s">
        <v>108</v>
      </c>
      <c r="O520" t="str">
        <f t="shared" si="45"/>
        <v>06141211870020</v>
      </c>
      <c r="P520" t="s">
        <v>109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465</v>
      </c>
      <c r="AA520" s="38" t="s">
        <v>1</v>
      </c>
      <c r="AB520" t="s">
        <v>465</v>
      </c>
      <c r="AC520">
        <v>0</v>
      </c>
    </row>
    <row r="521" spans="1:29" hidden="1" x14ac:dyDescent="0.25">
      <c r="A521" t="s">
        <v>597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726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34" t="s">
        <v>690</v>
      </c>
      <c r="L521" s="34" t="s">
        <v>465</v>
      </c>
      <c r="M521">
        <v>1078</v>
      </c>
      <c r="N521" t="s">
        <v>108</v>
      </c>
      <c r="O521" t="str">
        <f t="shared" si="45"/>
        <v>06141211870020</v>
      </c>
      <c r="P521" t="s">
        <v>109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465</v>
      </c>
      <c r="AA521" s="38" t="s">
        <v>1</v>
      </c>
      <c r="AB521" t="s">
        <v>465</v>
      </c>
      <c r="AC521">
        <v>0</v>
      </c>
    </row>
    <row r="522" spans="1:29" hidden="1" x14ac:dyDescent="0.25">
      <c r="A522" t="s">
        <v>597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752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34" t="s">
        <v>690</v>
      </c>
      <c r="L522" s="34" t="s">
        <v>465</v>
      </c>
      <c r="M522">
        <v>18047</v>
      </c>
      <c r="N522" t="s">
        <v>62</v>
      </c>
      <c r="O522" t="str">
        <f t="shared" si="45"/>
        <v>12172508931019</v>
      </c>
      <c r="P522" t="s">
        <v>63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465</v>
      </c>
      <c r="AA522" s="38" t="s">
        <v>1</v>
      </c>
      <c r="AB522" t="s">
        <v>465</v>
      </c>
      <c r="AC522">
        <v>0</v>
      </c>
    </row>
    <row r="523" spans="1:29" hidden="1" x14ac:dyDescent="0.25">
      <c r="A523" t="s">
        <v>597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727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34" t="s">
        <v>690</v>
      </c>
      <c r="L523" s="34" t="s">
        <v>465</v>
      </c>
      <c r="M523">
        <v>3856016</v>
      </c>
      <c r="N523" t="s">
        <v>274</v>
      </c>
      <c r="O523" t="str">
        <f t="shared" si="45"/>
        <v>06142610981012</v>
      </c>
      <c r="P523" t="s">
        <v>275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465</v>
      </c>
      <c r="AA523" s="38" t="s">
        <v>1</v>
      </c>
      <c r="AB523" t="s">
        <v>465</v>
      </c>
      <c r="AC523">
        <v>0</v>
      </c>
    </row>
    <row r="524" spans="1:29" hidden="1" x14ac:dyDescent="0.25">
      <c r="A524" t="s">
        <v>597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736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34" t="s">
        <v>690</v>
      </c>
      <c r="L524" s="34" t="s">
        <v>465</v>
      </c>
      <c r="M524">
        <v>18663</v>
      </c>
      <c r="N524" t="s">
        <v>185</v>
      </c>
      <c r="O524" t="str">
        <f t="shared" si="45"/>
        <v>06142407750010</v>
      </c>
      <c r="P524" t="s">
        <v>186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465</v>
      </c>
      <c r="AA524" s="38" t="s">
        <v>1</v>
      </c>
      <c r="AB524" t="s">
        <v>465</v>
      </c>
      <c r="AC524">
        <v>0</v>
      </c>
    </row>
    <row r="525" spans="1:29" hidden="1" x14ac:dyDescent="0.25">
      <c r="A525" t="s">
        <v>597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708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34" t="s">
        <v>690</v>
      </c>
      <c r="L525" s="34" t="s">
        <v>465</v>
      </c>
      <c r="M525">
        <v>23601</v>
      </c>
      <c r="N525" t="s">
        <v>114</v>
      </c>
      <c r="O525" t="str">
        <f t="shared" si="45"/>
        <v>02102402171027</v>
      </c>
      <c r="P525" t="s">
        <v>115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465</v>
      </c>
      <c r="AA525" s="38" t="s">
        <v>1</v>
      </c>
      <c r="AB525" t="s">
        <v>519</v>
      </c>
      <c r="AC525">
        <v>5.26</v>
      </c>
    </row>
    <row r="526" spans="1:29" hidden="1" x14ac:dyDescent="0.25">
      <c r="A526" t="s">
        <v>597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739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34" t="s">
        <v>690</v>
      </c>
      <c r="L526" s="34" t="s">
        <v>465</v>
      </c>
      <c r="M526">
        <v>11231</v>
      </c>
      <c r="N526" t="s">
        <v>190</v>
      </c>
      <c r="O526" t="str">
        <f t="shared" si="45"/>
        <v>06142406870019</v>
      </c>
      <c r="P526" t="s">
        <v>191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465</v>
      </c>
      <c r="AA526" s="38" t="s">
        <v>1</v>
      </c>
      <c r="AB526" t="s">
        <v>465</v>
      </c>
      <c r="AC526">
        <v>0</v>
      </c>
    </row>
    <row r="527" spans="1:29" hidden="1" x14ac:dyDescent="0.25">
      <c r="A527" t="s">
        <v>597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749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34" t="s">
        <v>690</v>
      </c>
      <c r="L527" s="34" t="s">
        <v>465</v>
      </c>
      <c r="M527">
        <v>19069</v>
      </c>
      <c r="N527" t="s">
        <v>185</v>
      </c>
      <c r="O527" t="str">
        <f t="shared" si="45"/>
        <v>06142407750010</v>
      </c>
      <c r="P527" t="s">
        <v>186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465</v>
      </c>
      <c r="AA527" s="38" t="s">
        <v>1</v>
      </c>
      <c r="AB527" t="s">
        <v>465</v>
      </c>
      <c r="AC527">
        <v>0</v>
      </c>
    </row>
    <row r="528" spans="1:29" hidden="1" x14ac:dyDescent="0.25">
      <c r="A528" t="s">
        <v>597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709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34" t="s">
        <v>690</v>
      </c>
      <c r="L528" s="34" t="s">
        <v>465</v>
      </c>
      <c r="M528">
        <v>2815</v>
      </c>
      <c r="N528" t="s">
        <v>116</v>
      </c>
      <c r="O528" t="str">
        <f t="shared" si="45"/>
        <v>06140312700042</v>
      </c>
      <c r="P528" t="s">
        <v>117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465</v>
      </c>
      <c r="AA528" s="38" t="s">
        <v>1</v>
      </c>
      <c r="AB528" t="s">
        <v>465</v>
      </c>
      <c r="AC528">
        <v>0</v>
      </c>
    </row>
    <row r="529" spans="1:29" hidden="1" x14ac:dyDescent="0.25">
      <c r="A529" t="s">
        <v>597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745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34" t="s">
        <v>690</v>
      </c>
      <c r="L529" s="34" t="s">
        <v>465</v>
      </c>
      <c r="M529">
        <v>1100</v>
      </c>
      <c r="N529" t="s">
        <v>143</v>
      </c>
      <c r="O529" t="str">
        <f t="shared" si="45"/>
        <v>06142703981055</v>
      </c>
      <c r="P529" t="s">
        <v>144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465</v>
      </c>
      <c r="AA529" s="38" t="s">
        <v>1</v>
      </c>
      <c r="AB529" t="s">
        <v>514</v>
      </c>
      <c r="AC529">
        <v>16.64</v>
      </c>
    </row>
    <row r="530" spans="1:29" hidden="1" x14ac:dyDescent="0.25">
      <c r="A530" t="s">
        <v>597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633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34" t="s">
        <v>690</v>
      </c>
      <c r="L530" s="34" t="s">
        <v>465</v>
      </c>
      <c r="M530">
        <v>106</v>
      </c>
      <c r="N530" t="s">
        <v>286</v>
      </c>
      <c r="O530" t="str">
        <f t="shared" si="45"/>
        <v>12170701191011</v>
      </c>
      <c r="P530" t="s">
        <v>287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465</v>
      </c>
      <c r="AA530" s="38" t="s">
        <v>1</v>
      </c>
      <c r="AB530" t="s">
        <v>514</v>
      </c>
      <c r="AC530">
        <v>73.23</v>
      </c>
    </row>
    <row r="531" spans="1:29" hidden="1" x14ac:dyDescent="0.25">
      <c r="A531" t="s">
        <v>597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733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34" t="s">
        <v>690</v>
      </c>
      <c r="L531" s="34" t="s">
        <v>465</v>
      </c>
      <c r="M531">
        <v>607</v>
      </c>
      <c r="N531" t="s">
        <v>229</v>
      </c>
      <c r="O531" t="str">
        <f t="shared" si="45"/>
        <v>06140602161046</v>
      </c>
      <c r="P531" t="s">
        <v>230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465</v>
      </c>
      <c r="AA531" s="38" t="s">
        <v>1</v>
      </c>
      <c r="AB531" t="s">
        <v>465</v>
      </c>
      <c r="AC531">
        <v>0</v>
      </c>
    </row>
    <row r="532" spans="1:29" hidden="1" x14ac:dyDescent="0.25">
      <c r="A532" t="s">
        <v>597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752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34" t="s">
        <v>690</v>
      </c>
      <c r="L532" s="34" t="s">
        <v>465</v>
      </c>
      <c r="M532">
        <v>19251</v>
      </c>
      <c r="N532" t="s">
        <v>185</v>
      </c>
      <c r="O532" t="str">
        <f t="shared" si="45"/>
        <v>06142407750010</v>
      </c>
      <c r="P532" t="s">
        <v>186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465</v>
      </c>
      <c r="AA532" s="38" t="s">
        <v>1</v>
      </c>
      <c r="AB532" t="s">
        <v>465</v>
      </c>
      <c r="AC532">
        <v>0</v>
      </c>
    </row>
    <row r="533" spans="1:29" hidden="1" x14ac:dyDescent="0.25">
      <c r="A533" t="s">
        <v>597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703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34" t="s">
        <v>690</v>
      </c>
      <c r="L533" s="34" t="s">
        <v>465</v>
      </c>
      <c r="M533">
        <v>22239</v>
      </c>
      <c r="N533" t="s">
        <v>171</v>
      </c>
      <c r="O533" t="str">
        <f t="shared" si="45"/>
        <v>06140711071030</v>
      </c>
      <c r="P533" t="s">
        <v>172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465</v>
      </c>
      <c r="AA533" s="38" t="s">
        <v>1</v>
      </c>
      <c r="AB533" t="s">
        <v>465</v>
      </c>
      <c r="AC533">
        <v>0</v>
      </c>
    </row>
    <row r="534" spans="1:29" hidden="1" x14ac:dyDescent="0.25">
      <c r="A534" t="s">
        <v>597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733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34" t="s">
        <v>690</v>
      </c>
      <c r="L534" s="34" t="s">
        <v>465</v>
      </c>
      <c r="M534">
        <v>5456</v>
      </c>
      <c r="N534" t="s">
        <v>219</v>
      </c>
      <c r="O534" t="str">
        <f t="shared" si="45"/>
        <v>06140210081052</v>
      </c>
      <c r="P534" t="s">
        <v>220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465</v>
      </c>
      <c r="AA534" s="38" t="s">
        <v>1</v>
      </c>
      <c r="AB534" t="s">
        <v>465</v>
      </c>
      <c r="AC534">
        <v>0</v>
      </c>
    </row>
    <row r="535" spans="1:29" hidden="1" x14ac:dyDescent="0.25">
      <c r="A535" t="s">
        <v>597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753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34" t="s">
        <v>690</v>
      </c>
      <c r="L535" s="34" t="s">
        <v>465</v>
      </c>
      <c r="M535">
        <v>57324</v>
      </c>
      <c r="N535" t="s">
        <v>210</v>
      </c>
      <c r="O535" t="str">
        <f t="shared" si="45"/>
        <v>06141403161033</v>
      </c>
      <c r="P535" t="s">
        <v>211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465</v>
      </c>
      <c r="AA535" s="38" t="s">
        <v>1</v>
      </c>
      <c r="AB535" t="s">
        <v>465</v>
      </c>
      <c r="AC535">
        <v>0</v>
      </c>
    </row>
    <row r="536" spans="1:29" hidden="1" x14ac:dyDescent="0.25">
      <c r="A536" t="s">
        <v>597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750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34" t="s">
        <v>690</v>
      </c>
      <c r="L536" s="34" t="s">
        <v>465</v>
      </c>
      <c r="M536">
        <v>2479</v>
      </c>
      <c r="N536" t="s">
        <v>427</v>
      </c>
      <c r="O536" t="str">
        <f t="shared" si="45"/>
        <v>06140404081061</v>
      </c>
      <c r="P536" t="s">
        <v>428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465</v>
      </c>
      <c r="AA536" s="38" t="s">
        <v>1</v>
      </c>
      <c r="AB536" t="s">
        <v>465</v>
      </c>
      <c r="AC536">
        <v>0</v>
      </c>
    </row>
    <row r="537" spans="1:29" hidden="1" x14ac:dyDescent="0.25">
      <c r="A537" t="s">
        <v>597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753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34" t="s">
        <v>690</v>
      </c>
      <c r="L537" s="34" t="s">
        <v>465</v>
      </c>
      <c r="M537">
        <v>433271</v>
      </c>
      <c r="N537" t="s">
        <v>175</v>
      </c>
      <c r="O537" t="str">
        <f t="shared" si="45"/>
        <v>06141101690011</v>
      </c>
      <c r="P537" t="s">
        <v>176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465</v>
      </c>
      <c r="AA537" s="38" t="s">
        <v>1</v>
      </c>
      <c r="AB537" t="s">
        <v>514</v>
      </c>
      <c r="AC537">
        <v>29.49</v>
      </c>
    </row>
    <row r="538" spans="1:29" hidden="1" x14ac:dyDescent="0.25">
      <c r="A538" t="s">
        <v>597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742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34" t="s">
        <v>690</v>
      </c>
      <c r="L538" s="34" t="s">
        <v>465</v>
      </c>
      <c r="M538">
        <v>1766</v>
      </c>
      <c r="N538" t="s">
        <v>294</v>
      </c>
      <c r="O538" t="str">
        <f t="shared" si="45"/>
        <v>13071610671016</v>
      </c>
      <c r="P538" t="s">
        <v>295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465</v>
      </c>
      <c r="AA538" s="38" t="s">
        <v>1</v>
      </c>
      <c r="AB538" t="s">
        <v>465</v>
      </c>
      <c r="AC538">
        <v>0</v>
      </c>
    </row>
    <row r="539" spans="1:29" hidden="1" x14ac:dyDescent="0.25">
      <c r="A539" t="s">
        <v>597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734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34" t="s">
        <v>690</v>
      </c>
      <c r="L539" s="34" t="s">
        <v>465</v>
      </c>
      <c r="M539">
        <v>77116</v>
      </c>
      <c r="N539" t="s">
        <v>162</v>
      </c>
      <c r="O539" t="str">
        <f t="shared" si="45"/>
        <v>94832404991012</v>
      </c>
      <c r="P539" t="s">
        <v>163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465</v>
      </c>
      <c r="AA539" s="38" t="s">
        <v>1</v>
      </c>
      <c r="AB539" t="s">
        <v>465</v>
      </c>
      <c r="AC539">
        <v>0</v>
      </c>
    </row>
    <row r="540" spans="1:29" hidden="1" x14ac:dyDescent="0.25">
      <c r="A540" t="s">
        <v>597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741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34" t="s">
        <v>690</v>
      </c>
      <c r="L540" s="34" t="s">
        <v>465</v>
      </c>
      <c r="M540">
        <v>89836</v>
      </c>
      <c r="N540" t="s">
        <v>162</v>
      </c>
      <c r="O540" t="str">
        <f t="shared" si="45"/>
        <v>94832404991012</v>
      </c>
      <c r="P540" t="s">
        <v>163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465</v>
      </c>
      <c r="AA540" s="38" t="s">
        <v>1</v>
      </c>
      <c r="AB540" t="s">
        <v>465</v>
      </c>
      <c r="AC540">
        <v>0</v>
      </c>
    </row>
    <row r="541" spans="1:29" hidden="1" x14ac:dyDescent="0.25">
      <c r="A541" t="s">
        <v>596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693</v>
      </c>
      <c r="G541" t="s">
        <v>440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34" t="s">
        <v>690</v>
      </c>
      <c r="L541" s="34" t="s">
        <v>465</v>
      </c>
      <c r="M541">
        <v>179</v>
      </c>
      <c r="N541" t="s">
        <v>143</v>
      </c>
      <c r="O541" t="str">
        <f t="shared" si="45"/>
        <v>06142703981055</v>
      </c>
      <c r="P541" t="s">
        <v>144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465</v>
      </c>
      <c r="AA541" s="38" t="s">
        <v>1</v>
      </c>
      <c r="AB541" t="s">
        <v>465</v>
      </c>
      <c r="AC541">
        <v>0</v>
      </c>
    </row>
    <row r="542" spans="1:29" hidden="1" x14ac:dyDescent="0.25">
      <c r="A542" t="s">
        <v>596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649</v>
      </c>
      <c r="G542" t="s">
        <v>440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34" t="s">
        <v>690</v>
      </c>
      <c r="L542" s="34" t="s">
        <v>465</v>
      </c>
      <c r="M542">
        <v>255</v>
      </c>
      <c r="N542" t="s">
        <v>181</v>
      </c>
      <c r="O542" t="str">
        <f t="shared" si="45"/>
        <v>05043110741013</v>
      </c>
      <c r="P542" t="s">
        <v>182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465</v>
      </c>
      <c r="AA542" s="38" t="s">
        <v>1</v>
      </c>
      <c r="AB542" t="s">
        <v>514</v>
      </c>
      <c r="AC542">
        <v>125.24</v>
      </c>
    </row>
    <row r="543" spans="1:29" hidden="1" x14ac:dyDescent="0.25">
      <c r="A543" t="s">
        <v>596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583</v>
      </c>
      <c r="G543" t="s">
        <v>440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34" t="s">
        <v>690</v>
      </c>
      <c r="L543" s="34" t="s">
        <v>465</v>
      </c>
      <c r="M543">
        <v>34</v>
      </c>
      <c r="N543" t="s">
        <v>126</v>
      </c>
      <c r="O543" t="str">
        <f t="shared" si="45"/>
        <v>08021212871024</v>
      </c>
      <c r="P543" t="s">
        <v>127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465</v>
      </c>
      <c r="AA543" s="38" t="s">
        <v>1</v>
      </c>
      <c r="AB543" t="s">
        <v>465</v>
      </c>
      <c r="AC543">
        <v>0</v>
      </c>
    </row>
    <row r="544" spans="1:29" hidden="1" x14ac:dyDescent="0.25">
      <c r="A544" t="s">
        <v>596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707</v>
      </c>
      <c r="G544" t="s">
        <v>440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34" t="s">
        <v>690</v>
      </c>
      <c r="L544" s="34" t="s">
        <v>465</v>
      </c>
      <c r="M544">
        <v>543</v>
      </c>
      <c r="N544" t="s">
        <v>432</v>
      </c>
      <c r="O544" t="str">
        <f t="shared" si="45"/>
        <v>06142407131054</v>
      </c>
      <c r="P544" t="s">
        <v>433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465</v>
      </c>
      <c r="AA544" s="38" t="s">
        <v>1</v>
      </c>
      <c r="AB544" t="s">
        <v>465</v>
      </c>
      <c r="AC544">
        <v>0</v>
      </c>
    </row>
    <row r="545" spans="1:29" hidden="1" x14ac:dyDescent="0.25">
      <c r="A545" t="s">
        <v>596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708</v>
      </c>
      <c r="G545" t="s">
        <v>440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34" t="s">
        <v>690</v>
      </c>
      <c r="L545" s="34" t="s">
        <v>465</v>
      </c>
      <c r="M545">
        <v>78</v>
      </c>
      <c r="N545" t="s">
        <v>411</v>
      </c>
      <c r="O545" t="str">
        <f t="shared" si="45"/>
        <v>06143105820014</v>
      </c>
      <c r="P545" t="s">
        <v>412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465</v>
      </c>
      <c r="AA545" s="38" t="s">
        <v>1</v>
      </c>
      <c r="AB545" t="s">
        <v>465</v>
      </c>
      <c r="AC545">
        <v>0</v>
      </c>
    </row>
    <row r="546" spans="1:29" hidden="1" x14ac:dyDescent="0.25">
      <c r="A546" t="s">
        <v>596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706</v>
      </c>
      <c r="G546" t="s">
        <v>440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34" t="s">
        <v>690</v>
      </c>
      <c r="L546" s="34" t="s">
        <v>465</v>
      </c>
      <c r="M546">
        <v>70</v>
      </c>
      <c r="N546" t="s">
        <v>411</v>
      </c>
      <c r="O546" t="str">
        <f t="shared" si="45"/>
        <v>06143105820014</v>
      </c>
      <c r="P546" t="s">
        <v>412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465</v>
      </c>
      <c r="AA546" s="38" t="s">
        <v>1</v>
      </c>
      <c r="AB546" t="s">
        <v>465</v>
      </c>
      <c r="AC546">
        <v>0</v>
      </c>
    </row>
    <row r="547" spans="1:29" hidden="1" x14ac:dyDescent="0.25">
      <c r="A547" t="s">
        <v>596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708</v>
      </c>
      <c r="G547" t="s">
        <v>440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34" t="s">
        <v>690</v>
      </c>
      <c r="L547" s="34" t="s">
        <v>465</v>
      </c>
      <c r="M547">
        <v>56</v>
      </c>
      <c r="N547" t="s">
        <v>411</v>
      </c>
      <c r="O547" t="str">
        <f t="shared" si="45"/>
        <v>06143105820014</v>
      </c>
      <c r="P547" t="s">
        <v>412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465</v>
      </c>
      <c r="AA547" s="38" t="s">
        <v>1</v>
      </c>
      <c r="AB547" t="s">
        <v>465</v>
      </c>
      <c r="AC547">
        <v>0</v>
      </c>
    </row>
    <row r="548" spans="1:29" hidden="1" x14ac:dyDescent="0.25">
      <c r="A548" t="s">
        <v>596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708</v>
      </c>
      <c r="G548" t="s">
        <v>440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34" t="s">
        <v>690</v>
      </c>
      <c r="L548" s="34" t="s">
        <v>465</v>
      </c>
      <c r="M548">
        <v>4159</v>
      </c>
      <c r="N548" t="s">
        <v>212</v>
      </c>
      <c r="O548" t="str">
        <f t="shared" si="45"/>
        <v>12171109131010</v>
      </c>
      <c r="P548" t="s">
        <v>213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465</v>
      </c>
      <c r="AA548" s="38" t="s">
        <v>1</v>
      </c>
      <c r="AB548" t="s">
        <v>465</v>
      </c>
      <c r="AC548">
        <v>0</v>
      </c>
    </row>
    <row r="549" spans="1:29" hidden="1" x14ac:dyDescent="0.25">
      <c r="A549" t="s">
        <v>596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706</v>
      </c>
      <c r="G549" t="s">
        <v>440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34" t="s">
        <v>690</v>
      </c>
      <c r="L549" s="34" t="s">
        <v>465</v>
      </c>
      <c r="M549">
        <v>925697</v>
      </c>
      <c r="N549" t="s">
        <v>204</v>
      </c>
      <c r="O549" t="str">
        <f t="shared" si="45"/>
        <v>06142407500017</v>
      </c>
      <c r="P549" t="s">
        <v>205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465</v>
      </c>
      <c r="AA549" s="38" t="s">
        <v>1</v>
      </c>
      <c r="AB549" t="s">
        <v>465</v>
      </c>
      <c r="AC549">
        <v>0</v>
      </c>
    </row>
    <row r="550" spans="1:29" hidden="1" x14ac:dyDescent="0.25">
      <c r="A550" t="s">
        <v>596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701</v>
      </c>
      <c r="G550" t="s">
        <v>440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34" t="s">
        <v>690</v>
      </c>
      <c r="L550" s="34" t="s">
        <v>465</v>
      </c>
      <c r="M550">
        <v>2572282</v>
      </c>
      <c r="N550" t="s">
        <v>29</v>
      </c>
      <c r="O550" t="str">
        <f t="shared" si="45"/>
        <v>06141909001034</v>
      </c>
      <c r="P550" t="s">
        <v>233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465</v>
      </c>
      <c r="AA550" s="38" t="s">
        <v>1</v>
      </c>
      <c r="AB550" t="s">
        <v>514</v>
      </c>
      <c r="AC550">
        <v>592.41</v>
      </c>
    </row>
    <row r="551" spans="1:29" hidden="1" x14ac:dyDescent="0.25">
      <c r="A551" t="s">
        <v>596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664</v>
      </c>
      <c r="G551" t="s">
        <v>440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34" t="s">
        <v>690</v>
      </c>
      <c r="L551" s="34" t="s">
        <v>465</v>
      </c>
      <c r="M551">
        <v>586</v>
      </c>
      <c r="N551" t="s">
        <v>164</v>
      </c>
      <c r="O551" t="str">
        <f t="shared" si="45"/>
        <v>04070802600010</v>
      </c>
      <c r="P551" t="s">
        <v>165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465</v>
      </c>
      <c r="AA551" s="38" t="s">
        <v>1</v>
      </c>
      <c r="AB551" t="s">
        <v>514</v>
      </c>
      <c r="AC551">
        <v>698.41</v>
      </c>
    </row>
    <row r="552" spans="1:29" hidden="1" x14ac:dyDescent="0.25">
      <c r="A552" t="s">
        <v>596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710</v>
      </c>
      <c r="G552" t="s">
        <v>440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34" t="s">
        <v>690</v>
      </c>
      <c r="L552" s="34" t="s">
        <v>465</v>
      </c>
      <c r="M552">
        <v>27545</v>
      </c>
      <c r="N552" t="s">
        <v>198</v>
      </c>
      <c r="O552" t="str">
        <f t="shared" si="45"/>
        <v>06141708071034</v>
      </c>
      <c r="P552" t="s">
        <v>199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465</v>
      </c>
      <c r="AA552" s="38" t="s">
        <v>1</v>
      </c>
      <c r="AB552" t="s">
        <v>465</v>
      </c>
      <c r="AC552">
        <v>0</v>
      </c>
    </row>
    <row r="553" spans="1:29" hidden="1" x14ac:dyDescent="0.25">
      <c r="A553" t="s">
        <v>596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695</v>
      </c>
      <c r="G553" t="s">
        <v>440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34" t="s">
        <v>690</v>
      </c>
      <c r="L553" s="34" t="s">
        <v>465</v>
      </c>
      <c r="M553">
        <v>34900</v>
      </c>
      <c r="N553" t="s">
        <v>187</v>
      </c>
      <c r="O553" t="str">
        <f t="shared" si="45"/>
        <v>07151508430012</v>
      </c>
      <c r="P553" t="s">
        <v>188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465</v>
      </c>
      <c r="AA553" s="38" t="s">
        <v>1</v>
      </c>
      <c r="AB553" t="s">
        <v>465</v>
      </c>
      <c r="AC553">
        <v>0</v>
      </c>
    </row>
    <row r="554" spans="1:29" hidden="1" x14ac:dyDescent="0.25">
      <c r="A554" t="s">
        <v>596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728</v>
      </c>
      <c r="G554" t="s">
        <v>440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34" t="s">
        <v>690</v>
      </c>
      <c r="L554" s="34" t="s">
        <v>465</v>
      </c>
      <c r="M554">
        <v>32185</v>
      </c>
      <c r="N554" t="s">
        <v>187</v>
      </c>
      <c r="O554" t="str">
        <f t="shared" si="45"/>
        <v>07151508430012</v>
      </c>
      <c r="P554" t="s">
        <v>188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465</v>
      </c>
      <c r="AA554" s="38" t="s">
        <v>1</v>
      </c>
      <c r="AB554" t="s">
        <v>520</v>
      </c>
      <c r="AC554">
        <v>5.96</v>
      </c>
    </row>
    <row r="555" spans="1:29" hidden="1" x14ac:dyDescent="0.25">
      <c r="A555" t="s">
        <v>596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633</v>
      </c>
      <c r="G555" t="s">
        <v>440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34" t="s">
        <v>690</v>
      </c>
      <c r="L555" s="34" t="s">
        <v>465</v>
      </c>
      <c r="M555">
        <v>533588</v>
      </c>
      <c r="N555" t="s">
        <v>204</v>
      </c>
      <c r="O555" t="str">
        <f t="shared" si="45"/>
        <v>06142407500017</v>
      </c>
      <c r="P555" t="s">
        <v>205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465</v>
      </c>
      <c r="AA555" s="38" t="s">
        <v>1</v>
      </c>
      <c r="AB555" t="s">
        <v>465</v>
      </c>
      <c r="AC555">
        <v>0</v>
      </c>
    </row>
    <row r="556" spans="1:29" hidden="1" x14ac:dyDescent="0.25">
      <c r="A556" t="s">
        <v>596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661</v>
      </c>
      <c r="G556" t="s">
        <v>440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34" t="s">
        <v>690</v>
      </c>
      <c r="L556" s="34" t="s">
        <v>465</v>
      </c>
      <c r="M556">
        <v>78421</v>
      </c>
      <c r="N556" t="s">
        <v>329</v>
      </c>
      <c r="O556" t="str">
        <f t="shared" si="45"/>
        <v>06143101630050</v>
      </c>
      <c r="P556" t="s">
        <v>330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465</v>
      </c>
      <c r="AA556" s="38" t="s">
        <v>1</v>
      </c>
      <c r="AB556" t="s">
        <v>465</v>
      </c>
      <c r="AC556">
        <v>0</v>
      </c>
    </row>
    <row r="557" spans="1:29" hidden="1" x14ac:dyDescent="0.25">
      <c r="A557" t="s">
        <v>596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727</v>
      </c>
      <c r="G557" t="s">
        <v>440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34" t="s">
        <v>690</v>
      </c>
      <c r="L557" s="34" t="s">
        <v>465</v>
      </c>
      <c r="M557">
        <v>490778</v>
      </c>
      <c r="N557" t="s">
        <v>204</v>
      </c>
      <c r="O557" t="str">
        <f t="shared" si="45"/>
        <v>06142407500017</v>
      </c>
      <c r="P557" t="s">
        <v>205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465</v>
      </c>
      <c r="AA557" s="38" t="s">
        <v>1</v>
      </c>
      <c r="AB557" t="s">
        <v>465</v>
      </c>
      <c r="AC557">
        <v>0</v>
      </c>
    </row>
    <row r="558" spans="1:29" hidden="1" x14ac:dyDescent="0.25">
      <c r="A558" t="s">
        <v>596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709</v>
      </c>
      <c r="G558" t="s">
        <v>440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34" t="s">
        <v>690</v>
      </c>
      <c r="L558" s="34" t="s">
        <v>465</v>
      </c>
      <c r="M558">
        <v>781</v>
      </c>
      <c r="N558" t="s">
        <v>143</v>
      </c>
      <c r="O558" t="str">
        <f t="shared" si="45"/>
        <v>06142703981055</v>
      </c>
      <c r="P558" t="s">
        <v>144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465</v>
      </c>
      <c r="AA558" s="38" t="s">
        <v>1</v>
      </c>
      <c r="AB558" t="s">
        <v>465</v>
      </c>
      <c r="AC558">
        <v>0</v>
      </c>
    </row>
    <row r="559" spans="1:29" hidden="1" x14ac:dyDescent="0.25">
      <c r="A559" t="s">
        <v>596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726</v>
      </c>
      <c r="G559" t="s">
        <v>440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34" t="s">
        <v>690</v>
      </c>
      <c r="L559" s="34" t="s">
        <v>465</v>
      </c>
      <c r="M559">
        <v>13737</v>
      </c>
      <c r="N559" t="s">
        <v>654</v>
      </c>
      <c r="O559" t="str">
        <f t="shared" si="45"/>
        <v>95012110211015</v>
      </c>
      <c r="P559" t="s">
        <v>655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465</v>
      </c>
      <c r="AA559" s="38" t="s">
        <v>1</v>
      </c>
      <c r="AB559" t="s">
        <v>465</v>
      </c>
      <c r="AC559">
        <v>0</v>
      </c>
    </row>
    <row r="560" spans="1:29" hidden="1" x14ac:dyDescent="0.25">
      <c r="A560" t="s">
        <v>596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726</v>
      </c>
      <c r="G560" t="s">
        <v>440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34" t="s">
        <v>690</v>
      </c>
      <c r="L560" s="34" t="s">
        <v>465</v>
      </c>
      <c r="M560">
        <v>5062</v>
      </c>
      <c r="N560" t="s">
        <v>282</v>
      </c>
      <c r="O560" t="str">
        <f t="shared" si="45"/>
        <v>06140706911055</v>
      </c>
      <c r="P560" t="s">
        <v>283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465</v>
      </c>
      <c r="AA560" s="38" t="s">
        <v>1</v>
      </c>
      <c r="AB560" t="s">
        <v>465</v>
      </c>
      <c r="AC560">
        <v>0</v>
      </c>
    </row>
    <row r="561" spans="1:29" hidden="1" x14ac:dyDescent="0.25">
      <c r="A561" t="s">
        <v>596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726</v>
      </c>
      <c r="G561" t="s">
        <v>440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34" t="s">
        <v>690</v>
      </c>
      <c r="L561" s="34" t="s">
        <v>465</v>
      </c>
      <c r="M561">
        <v>3378914</v>
      </c>
      <c r="N561" t="s">
        <v>167</v>
      </c>
      <c r="O561" t="str">
        <f t="shared" si="45"/>
        <v>06140108580017</v>
      </c>
      <c r="P561" t="s">
        <v>168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465</v>
      </c>
      <c r="AA561" s="38" t="s">
        <v>1</v>
      </c>
      <c r="AB561" t="s">
        <v>465</v>
      </c>
      <c r="AC561">
        <v>0</v>
      </c>
    </row>
    <row r="562" spans="1:29" hidden="1" x14ac:dyDescent="0.25">
      <c r="A562" t="s">
        <v>596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726</v>
      </c>
      <c r="G562" t="s">
        <v>440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34" t="s">
        <v>690</v>
      </c>
      <c r="L562" s="34" t="s">
        <v>465</v>
      </c>
      <c r="M562">
        <v>184607</v>
      </c>
      <c r="N562" t="s">
        <v>225</v>
      </c>
      <c r="O562" t="str">
        <f t="shared" si="45"/>
        <v>06141007840010</v>
      </c>
      <c r="P562" t="s">
        <v>226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465</v>
      </c>
      <c r="AA562" s="38" t="s">
        <v>1</v>
      </c>
      <c r="AB562" t="s">
        <v>465</v>
      </c>
      <c r="AC562">
        <v>0</v>
      </c>
    </row>
    <row r="563" spans="1:29" hidden="1" x14ac:dyDescent="0.25">
      <c r="A563" t="s">
        <v>596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726</v>
      </c>
      <c r="G563" t="s">
        <v>440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34" t="s">
        <v>690</v>
      </c>
      <c r="L563" s="34" t="s">
        <v>465</v>
      </c>
      <c r="M563">
        <v>1964</v>
      </c>
      <c r="N563" t="s">
        <v>262</v>
      </c>
      <c r="O563" t="str">
        <f t="shared" si="45"/>
        <v>06140404530104</v>
      </c>
      <c r="P563" t="s">
        <v>263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465</v>
      </c>
      <c r="AA563" s="38" t="s">
        <v>1</v>
      </c>
      <c r="AB563" t="s">
        <v>514</v>
      </c>
      <c r="AC563">
        <v>112.83</v>
      </c>
    </row>
    <row r="564" spans="1:29" hidden="1" x14ac:dyDescent="0.25">
      <c r="A564" t="s">
        <v>596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708</v>
      </c>
      <c r="G564" t="s">
        <v>440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34" t="s">
        <v>690</v>
      </c>
      <c r="L564" s="34" t="s">
        <v>465</v>
      </c>
      <c r="M564">
        <v>12877</v>
      </c>
      <c r="N564" t="s">
        <v>383</v>
      </c>
      <c r="O564" t="str">
        <f t="shared" si="45"/>
        <v>06142911390029</v>
      </c>
      <c r="P564" t="s">
        <v>384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465</v>
      </c>
      <c r="AA564" s="38" t="s">
        <v>1</v>
      </c>
      <c r="AB564" t="s">
        <v>465</v>
      </c>
      <c r="AC564">
        <v>0</v>
      </c>
    </row>
    <row r="565" spans="1:29" hidden="1" x14ac:dyDescent="0.25">
      <c r="A565" t="s">
        <v>596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708</v>
      </c>
      <c r="G565" t="s">
        <v>440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34" t="s">
        <v>690</v>
      </c>
      <c r="L565" s="34" t="s">
        <v>465</v>
      </c>
      <c r="M565">
        <v>140505</v>
      </c>
      <c r="N565" t="s">
        <v>173</v>
      </c>
      <c r="O565" t="str">
        <f t="shared" si="45"/>
        <v>14070503650018</v>
      </c>
      <c r="P565" t="s">
        <v>174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465</v>
      </c>
      <c r="AA565" s="38" t="s">
        <v>1</v>
      </c>
      <c r="AB565" t="s">
        <v>514</v>
      </c>
      <c r="AC565">
        <v>33.380000000000003</v>
      </c>
    </row>
    <row r="566" spans="1:29" hidden="1" x14ac:dyDescent="0.25">
      <c r="A566" t="s">
        <v>596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708</v>
      </c>
      <c r="G566" t="s">
        <v>440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34" t="s">
        <v>690</v>
      </c>
      <c r="L566" s="34" t="s">
        <v>465</v>
      </c>
      <c r="M566">
        <v>34945</v>
      </c>
      <c r="N566" t="s">
        <v>198</v>
      </c>
      <c r="O566" t="str">
        <f t="shared" si="45"/>
        <v>06141708071034</v>
      </c>
      <c r="P566" t="s">
        <v>199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465</v>
      </c>
      <c r="AA566" s="38" t="s">
        <v>1</v>
      </c>
      <c r="AB566" t="s">
        <v>465</v>
      </c>
      <c r="AC566">
        <v>0</v>
      </c>
    </row>
    <row r="567" spans="1:29" hidden="1" x14ac:dyDescent="0.25">
      <c r="A567" t="s">
        <v>596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708</v>
      </c>
      <c r="G567" t="s">
        <v>440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34" t="s">
        <v>690</v>
      </c>
      <c r="L567" s="34" t="s">
        <v>465</v>
      </c>
      <c r="M567">
        <v>735</v>
      </c>
      <c r="N567" t="s">
        <v>143</v>
      </c>
      <c r="O567" t="str">
        <f t="shared" si="45"/>
        <v>06142703981055</v>
      </c>
      <c r="P567" t="s">
        <v>144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465</v>
      </c>
      <c r="AA567" s="38" t="s">
        <v>1</v>
      </c>
      <c r="AB567" t="s">
        <v>465</v>
      </c>
      <c r="AC567">
        <v>0</v>
      </c>
    </row>
    <row r="568" spans="1:29" hidden="1" x14ac:dyDescent="0.25">
      <c r="A568" t="s">
        <v>596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708</v>
      </c>
      <c r="G568" t="s">
        <v>440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34" t="s">
        <v>690</v>
      </c>
      <c r="L568" s="34" t="s">
        <v>465</v>
      </c>
      <c r="M568">
        <v>734</v>
      </c>
      <c r="N568" t="s">
        <v>143</v>
      </c>
      <c r="O568" t="str">
        <f t="shared" si="45"/>
        <v>06142703981055</v>
      </c>
      <c r="P568" t="s">
        <v>144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465</v>
      </c>
      <c r="AA568" s="38" t="s">
        <v>1</v>
      </c>
      <c r="AB568" t="s">
        <v>465</v>
      </c>
      <c r="AC568">
        <v>0</v>
      </c>
    </row>
    <row r="569" spans="1:29" hidden="1" x14ac:dyDescent="0.25">
      <c r="A569" t="s">
        <v>596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705</v>
      </c>
      <c r="G569" t="s">
        <v>440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34" t="s">
        <v>690</v>
      </c>
      <c r="L569" s="34" t="s">
        <v>465</v>
      </c>
      <c r="M569">
        <v>9678</v>
      </c>
      <c r="N569" t="s">
        <v>171</v>
      </c>
      <c r="O569" t="str">
        <f t="shared" si="45"/>
        <v>06140711071030</v>
      </c>
      <c r="P569" t="s">
        <v>172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465</v>
      </c>
      <c r="AA569" s="38" t="s">
        <v>1</v>
      </c>
      <c r="AB569" t="s">
        <v>465</v>
      </c>
      <c r="AC569">
        <v>0</v>
      </c>
    </row>
    <row r="570" spans="1:29" hidden="1" x14ac:dyDescent="0.25">
      <c r="A570" t="s">
        <v>596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705</v>
      </c>
      <c r="G570" t="s">
        <v>440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34" t="s">
        <v>690</v>
      </c>
      <c r="L570" s="34" t="s">
        <v>465</v>
      </c>
      <c r="M570">
        <v>652</v>
      </c>
      <c r="N570" t="s">
        <v>143</v>
      </c>
      <c r="O570" t="str">
        <f t="shared" si="45"/>
        <v>06142703981055</v>
      </c>
      <c r="P570" t="s">
        <v>144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465</v>
      </c>
      <c r="AA570" s="38" t="s">
        <v>1</v>
      </c>
      <c r="AB570" t="s">
        <v>465</v>
      </c>
      <c r="AC570">
        <v>0</v>
      </c>
    </row>
    <row r="571" spans="1:29" hidden="1" x14ac:dyDescent="0.25">
      <c r="A571" t="s">
        <v>596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707</v>
      </c>
      <c r="G571" t="s">
        <v>440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34" t="s">
        <v>690</v>
      </c>
      <c r="L571" s="34" t="s">
        <v>465</v>
      </c>
      <c r="M571">
        <v>926409</v>
      </c>
      <c r="N571" t="s">
        <v>204</v>
      </c>
      <c r="O571" t="str">
        <f t="shared" si="45"/>
        <v>06142407500017</v>
      </c>
      <c r="P571" t="s">
        <v>205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465</v>
      </c>
      <c r="AA571" s="38" t="s">
        <v>1</v>
      </c>
      <c r="AB571" t="s">
        <v>465</v>
      </c>
      <c r="AC571">
        <v>0</v>
      </c>
    </row>
    <row r="572" spans="1:29" hidden="1" x14ac:dyDescent="0.25">
      <c r="A572" t="s">
        <v>596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707</v>
      </c>
      <c r="G572" t="s">
        <v>440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34" t="s">
        <v>690</v>
      </c>
      <c r="L572" s="34" t="s">
        <v>465</v>
      </c>
      <c r="M572">
        <v>933</v>
      </c>
      <c r="N572" t="s">
        <v>724</v>
      </c>
      <c r="O572" t="str">
        <f t="shared" si="45"/>
        <v>06142509201057</v>
      </c>
      <c r="P572" t="s">
        <v>725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465</v>
      </c>
      <c r="AA572" s="38" t="s">
        <v>1</v>
      </c>
      <c r="AB572" t="s">
        <v>465</v>
      </c>
      <c r="AC572">
        <v>0</v>
      </c>
    </row>
    <row r="573" spans="1:29" hidden="1" x14ac:dyDescent="0.25">
      <c r="A573" t="s">
        <v>596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707</v>
      </c>
      <c r="G573" t="s">
        <v>440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34" t="s">
        <v>690</v>
      </c>
      <c r="L573" s="34" t="s">
        <v>465</v>
      </c>
      <c r="M573">
        <v>11760</v>
      </c>
      <c r="N573" t="s">
        <v>171</v>
      </c>
      <c r="O573" t="str">
        <f t="shared" si="45"/>
        <v>06140711071030</v>
      </c>
      <c r="P573" t="s">
        <v>172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465</v>
      </c>
      <c r="AA573" s="38" t="s">
        <v>1</v>
      </c>
      <c r="AB573" t="s">
        <v>465</v>
      </c>
      <c r="AC573">
        <v>0</v>
      </c>
    </row>
    <row r="574" spans="1:29" hidden="1" x14ac:dyDescent="0.25">
      <c r="A574" t="s">
        <v>596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707</v>
      </c>
      <c r="G574" t="s">
        <v>440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34" t="s">
        <v>690</v>
      </c>
      <c r="L574" s="34" t="s">
        <v>465</v>
      </c>
      <c r="M574">
        <v>1465</v>
      </c>
      <c r="N574" t="s">
        <v>294</v>
      </c>
      <c r="O574" t="str">
        <f t="shared" si="45"/>
        <v>13071610671016</v>
      </c>
      <c r="P574" t="s">
        <v>295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465</v>
      </c>
      <c r="AA574" s="38" t="s">
        <v>1</v>
      </c>
      <c r="AB574" t="s">
        <v>514</v>
      </c>
      <c r="AC574">
        <v>530.71</v>
      </c>
    </row>
    <row r="575" spans="1:29" hidden="1" x14ac:dyDescent="0.25">
      <c r="A575" t="s">
        <v>596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723</v>
      </c>
      <c r="G575" t="s">
        <v>440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34" t="s">
        <v>690</v>
      </c>
      <c r="L575" s="34" t="s">
        <v>465</v>
      </c>
      <c r="M575">
        <v>3682</v>
      </c>
      <c r="N575" t="s">
        <v>270</v>
      </c>
      <c r="O575" t="str">
        <f t="shared" si="45"/>
        <v>06140307951051</v>
      </c>
      <c r="P575" t="s">
        <v>271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465</v>
      </c>
      <c r="AA575" s="38" t="s">
        <v>1</v>
      </c>
      <c r="AB575" t="s">
        <v>514</v>
      </c>
      <c r="AC575">
        <v>863.94</v>
      </c>
    </row>
    <row r="576" spans="1:29" hidden="1" x14ac:dyDescent="0.25">
      <c r="A576" t="s">
        <v>596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704</v>
      </c>
      <c r="G576" t="s">
        <v>440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34" t="s">
        <v>690</v>
      </c>
      <c r="L576" s="34" t="s">
        <v>465</v>
      </c>
      <c r="M576">
        <v>403660</v>
      </c>
      <c r="N576" t="s">
        <v>354</v>
      </c>
      <c r="O576" t="str">
        <f t="shared" si="45"/>
        <v>06141312850038</v>
      </c>
      <c r="P576" t="s">
        <v>355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465</v>
      </c>
      <c r="AA576" s="38" t="s">
        <v>1</v>
      </c>
      <c r="AB576" t="s">
        <v>514</v>
      </c>
      <c r="AC576">
        <v>12.56</v>
      </c>
    </row>
    <row r="577" spans="1:29" hidden="1" x14ac:dyDescent="0.25">
      <c r="A577" t="s">
        <v>596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704</v>
      </c>
      <c r="G577" t="s">
        <v>440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34" t="s">
        <v>690</v>
      </c>
      <c r="L577" s="34" t="s">
        <v>465</v>
      </c>
      <c r="M577">
        <v>18914</v>
      </c>
      <c r="N577" t="s">
        <v>251</v>
      </c>
      <c r="O577" t="str">
        <f t="shared" si="45"/>
        <v>05111703630014</v>
      </c>
      <c r="P577" t="s">
        <v>252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465</v>
      </c>
      <c r="AA577" s="38" t="s">
        <v>1</v>
      </c>
      <c r="AB577" t="s">
        <v>465</v>
      </c>
      <c r="AC577">
        <v>0</v>
      </c>
    </row>
    <row r="578" spans="1:29" hidden="1" x14ac:dyDescent="0.25">
      <c r="A578" t="s">
        <v>596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703</v>
      </c>
      <c r="G578" t="s">
        <v>440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34" t="s">
        <v>690</v>
      </c>
      <c r="L578" s="34" t="s">
        <v>465</v>
      </c>
      <c r="M578">
        <v>15010</v>
      </c>
      <c r="N578" t="s">
        <v>650</v>
      </c>
      <c r="O578" t="str">
        <f t="shared" si="45"/>
        <v>08110405590010</v>
      </c>
      <c r="P578" t="s">
        <v>651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465</v>
      </c>
      <c r="AA578" s="38" t="s">
        <v>1</v>
      </c>
      <c r="AB578" t="s">
        <v>465</v>
      </c>
      <c r="AC578">
        <v>0</v>
      </c>
    </row>
    <row r="579" spans="1:29" hidden="1" x14ac:dyDescent="0.25">
      <c r="A579" t="s">
        <v>596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706</v>
      </c>
      <c r="G579" t="s">
        <v>440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34" t="s">
        <v>690</v>
      </c>
      <c r="L579" s="34" t="s">
        <v>465</v>
      </c>
      <c r="M579">
        <v>9289</v>
      </c>
      <c r="N579" t="s">
        <v>223</v>
      </c>
      <c r="O579" t="str">
        <f t="shared" ref="O579:O642" si="51">IF(N579="",Z579,N579)</f>
        <v>06140406191018</v>
      </c>
      <c r="P579" t="s">
        <v>224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465</v>
      </c>
      <c r="AA579" s="38" t="s">
        <v>1</v>
      </c>
      <c r="AB579" t="s">
        <v>465</v>
      </c>
      <c r="AC579">
        <v>0</v>
      </c>
    </row>
    <row r="580" spans="1:29" hidden="1" x14ac:dyDescent="0.25">
      <c r="A580" t="s">
        <v>596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706</v>
      </c>
      <c r="G580" t="s">
        <v>440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34" t="s">
        <v>690</v>
      </c>
      <c r="L580" s="34" t="s">
        <v>465</v>
      </c>
      <c r="M580">
        <v>1051389</v>
      </c>
      <c r="N580" t="s">
        <v>244</v>
      </c>
      <c r="O580" t="str">
        <f t="shared" si="51"/>
        <v>06142604071063</v>
      </c>
      <c r="P580" t="s">
        <v>245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465</v>
      </c>
      <c r="AA580" s="38" t="s">
        <v>1</v>
      </c>
      <c r="AB580" t="s">
        <v>465</v>
      </c>
      <c r="AC580">
        <v>0</v>
      </c>
    </row>
    <row r="581" spans="1:29" hidden="1" x14ac:dyDescent="0.25">
      <c r="A581" t="s">
        <v>596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706</v>
      </c>
      <c r="G581" t="s">
        <v>440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34" t="s">
        <v>690</v>
      </c>
      <c r="L581" s="34" t="s">
        <v>465</v>
      </c>
      <c r="M581">
        <v>4306</v>
      </c>
      <c r="N581" t="s">
        <v>238</v>
      </c>
      <c r="O581" t="str">
        <f t="shared" si="51"/>
        <v>06141407941017</v>
      </c>
      <c r="P581" t="s">
        <v>239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465</v>
      </c>
      <c r="AA581" s="38" t="s">
        <v>1</v>
      </c>
      <c r="AB581" t="s">
        <v>520</v>
      </c>
      <c r="AC581">
        <v>13.16</v>
      </c>
    </row>
    <row r="582" spans="1:29" hidden="1" x14ac:dyDescent="0.25">
      <c r="A582" t="s">
        <v>596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706</v>
      </c>
      <c r="G582" t="s">
        <v>440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34" t="s">
        <v>690</v>
      </c>
      <c r="L582" s="34" t="s">
        <v>465</v>
      </c>
      <c r="M582">
        <v>332332</v>
      </c>
      <c r="N582" t="s">
        <v>175</v>
      </c>
      <c r="O582" t="str">
        <f t="shared" si="51"/>
        <v>06141101690011</v>
      </c>
      <c r="P582" t="s">
        <v>176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465</v>
      </c>
      <c r="AA582" s="38" t="s">
        <v>1</v>
      </c>
      <c r="AB582" t="s">
        <v>465</v>
      </c>
      <c r="AC582">
        <v>0</v>
      </c>
    </row>
    <row r="583" spans="1:29" hidden="1" x14ac:dyDescent="0.25">
      <c r="A583" t="s">
        <v>596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706</v>
      </c>
      <c r="G583" t="s">
        <v>440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34" t="s">
        <v>690</v>
      </c>
      <c r="L583" s="34" t="s">
        <v>465</v>
      </c>
      <c r="M583">
        <v>503</v>
      </c>
      <c r="N583" t="s">
        <v>143</v>
      </c>
      <c r="O583" t="str">
        <f t="shared" si="51"/>
        <v>06142703981055</v>
      </c>
      <c r="P583" t="s">
        <v>144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465</v>
      </c>
      <c r="AA583" s="38" t="s">
        <v>1</v>
      </c>
      <c r="AB583" t="s">
        <v>465</v>
      </c>
      <c r="AC583">
        <v>0</v>
      </c>
    </row>
    <row r="584" spans="1:29" hidden="1" x14ac:dyDescent="0.25">
      <c r="A584" t="s">
        <v>596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702</v>
      </c>
      <c r="G584" t="s">
        <v>440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34" t="s">
        <v>690</v>
      </c>
      <c r="L584" s="34" t="s">
        <v>465</v>
      </c>
      <c r="M584">
        <v>2973762</v>
      </c>
      <c r="N584" t="s">
        <v>167</v>
      </c>
      <c r="O584" t="str">
        <f t="shared" si="51"/>
        <v>06140108580017</v>
      </c>
      <c r="P584" t="s">
        <v>168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465</v>
      </c>
      <c r="AA584" s="38" t="s">
        <v>1</v>
      </c>
      <c r="AB584" t="s">
        <v>465</v>
      </c>
      <c r="AC584">
        <v>0</v>
      </c>
    </row>
    <row r="585" spans="1:29" hidden="1" x14ac:dyDescent="0.25">
      <c r="A585" t="s">
        <v>596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702</v>
      </c>
      <c r="G585" t="s">
        <v>440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34" t="s">
        <v>690</v>
      </c>
      <c r="L585" s="34" t="s">
        <v>465</v>
      </c>
      <c r="M585">
        <v>31044148</v>
      </c>
      <c r="N585" t="s">
        <v>167</v>
      </c>
      <c r="O585" t="str">
        <f t="shared" si="51"/>
        <v>06140108580017</v>
      </c>
      <c r="P585" t="s">
        <v>168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465</v>
      </c>
      <c r="AA585" s="38" t="s">
        <v>1</v>
      </c>
      <c r="AB585" t="s">
        <v>465</v>
      </c>
      <c r="AC585">
        <v>0</v>
      </c>
    </row>
    <row r="586" spans="1:29" hidden="1" x14ac:dyDescent="0.25">
      <c r="A586" t="s">
        <v>596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702</v>
      </c>
      <c r="G586" t="s">
        <v>440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34" t="s">
        <v>690</v>
      </c>
      <c r="L586" s="34" t="s">
        <v>465</v>
      </c>
      <c r="M586">
        <v>2973458</v>
      </c>
      <c r="N586" t="s">
        <v>167</v>
      </c>
      <c r="O586" t="str">
        <f t="shared" si="51"/>
        <v>06140108580017</v>
      </c>
      <c r="P586" t="s">
        <v>168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465</v>
      </c>
      <c r="AA586" s="38" t="s">
        <v>1</v>
      </c>
      <c r="AB586" t="s">
        <v>465</v>
      </c>
      <c r="AC586">
        <v>0</v>
      </c>
    </row>
    <row r="587" spans="1:29" hidden="1" x14ac:dyDescent="0.25">
      <c r="A587" t="s">
        <v>596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702</v>
      </c>
      <c r="G587" t="s">
        <v>440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34" t="s">
        <v>690</v>
      </c>
      <c r="L587" s="34" t="s">
        <v>465</v>
      </c>
      <c r="M587">
        <v>17529</v>
      </c>
      <c r="N587" t="s">
        <v>185</v>
      </c>
      <c r="O587" t="str">
        <f t="shared" si="51"/>
        <v>06142407750010</v>
      </c>
      <c r="P587" t="s">
        <v>186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465</v>
      </c>
      <c r="AA587" s="38" t="s">
        <v>1</v>
      </c>
      <c r="AB587" t="s">
        <v>465</v>
      </c>
      <c r="AC587">
        <v>0</v>
      </c>
    </row>
    <row r="588" spans="1:29" hidden="1" x14ac:dyDescent="0.25">
      <c r="A588" t="s">
        <v>596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702</v>
      </c>
      <c r="G588" t="s">
        <v>440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34" t="s">
        <v>690</v>
      </c>
      <c r="L588" s="34" t="s">
        <v>465</v>
      </c>
      <c r="M588">
        <v>480</v>
      </c>
      <c r="N588" t="s">
        <v>143</v>
      </c>
      <c r="O588" t="str">
        <f t="shared" si="51"/>
        <v>06142703981055</v>
      </c>
      <c r="P588" t="s">
        <v>144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465</v>
      </c>
      <c r="AA588" s="38" t="s">
        <v>1</v>
      </c>
      <c r="AB588" t="s">
        <v>465</v>
      </c>
      <c r="AC588">
        <v>0</v>
      </c>
    </row>
    <row r="589" spans="1:29" hidden="1" x14ac:dyDescent="0.25">
      <c r="A589" t="s">
        <v>596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702</v>
      </c>
      <c r="G589" t="s">
        <v>440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34" t="s">
        <v>690</v>
      </c>
      <c r="L589" s="34" t="s">
        <v>465</v>
      </c>
      <c r="M589">
        <v>82</v>
      </c>
      <c r="N589" t="s">
        <v>460</v>
      </c>
      <c r="O589" t="str">
        <f t="shared" si="51"/>
        <v>11100209671014</v>
      </c>
      <c r="P589" t="s">
        <v>461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465</v>
      </c>
      <c r="AA589" s="38" t="s">
        <v>1</v>
      </c>
      <c r="AB589" t="s">
        <v>465</v>
      </c>
      <c r="AC589">
        <v>0</v>
      </c>
    </row>
    <row r="590" spans="1:29" hidden="1" x14ac:dyDescent="0.25">
      <c r="A590" t="s">
        <v>596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702</v>
      </c>
      <c r="G590" t="s">
        <v>440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34" t="s">
        <v>690</v>
      </c>
      <c r="L590" s="34" t="s">
        <v>465</v>
      </c>
      <c r="M590">
        <v>477</v>
      </c>
      <c r="N590" t="s">
        <v>143</v>
      </c>
      <c r="O590" t="str">
        <f t="shared" si="51"/>
        <v>06142703981055</v>
      </c>
      <c r="P590" t="s">
        <v>144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465</v>
      </c>
      <c r="AA590" s="38" t="s">
        <v>1</v>
      </c>
      <c r="AB590" t="s">
        <v>465</v>
      </c>
      <c r="AC590">
        <v>0</v>
      </c>
    </row>
    <row r="591" spans="1:29" hidden="1" x14ac:dyDescent="0.25">
      <c r="A591" t="s">
        <v>596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702</v>
      </c>
      <c r="G591" t="s">
        <v>440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34" t="s">
        <v>690</v>
      </c>
      <c r="L591" s="34" t="s">
        <v>465</v>
      </c>
      <c r="M591">
        <v>497</v>
      </c>
      <c r="N591" t="s">
        <v>143</v>
      </c>
      <c r="O591" t="str">
        <f t="shared" si="51"/>
        <v>06142703981055</v>
      </c>
      <c r="P591" t="s">
        <v>144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465</v>
      </c>
      <c r="AA591" s="38" t="s">
        <v>1</v>
      </c>
      <c r="AB591" t="s">
        <v>465</v>
      </c>
      <c r="AC591">
        <v>0</v>
      </c>
    </row>
    <row r="592" spans="1:29" hidden="1" x14ac:dyDescent="0.25">
      <c r="A592" t="s">
        <v>596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720</v>
      </c>
      <c r="G592" t="s">
        <v>440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34" t="s">
        <v>690</v>
      </c>
      <c r="L592" s="34" t="s">
        <v>465</v>
      </c>
      <c r="M592">
        <v>426530</v>
      </c>
      <c r="N592" t="s">
        <v>227</v>
      </c>
      <c r="O592" t="str">
        <f t="shared" si="51"/>
        <v>06142008011037</v>
      </c>
      <c r="P592" t="s">
        <v>228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465</v>
      </c>
      <c r="AA592" s="38" t="s">
        <v>1</v>
      </c>
      <c r="AB592" t="s">
        <v>465</v>
      </c>
      <c r="AC592">
        <v>0</v>
      </c>
    </row>
    <row r="593" spans="1:29" hidden="1" x14ac:dyDescent="0.25">
      <c r="A593" t="s">
        <v>596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720</v>
      </c>
      <c r="G593" t="s">
        <v>440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34" t="s">
        <v>690</v>
      </c>
      <c r="L593" s="34" t="s">
        <v>465</v>
      </c>
      <c r="M593">
        <v>175</v>
      </c>
      <c r="N593" t="s">
        <v>721</v>
      </c>
      <c r="O593" t="str">
        <f t="shared" si="51"/>
        <v>06142002931037</v>
      </c>
      <c r="P593" t="s">
        <v>722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465</v>
      </c>
      <c r="AA593" s="38" t="s">
        <v>1</v>
      </c>
      <c r="AB593" t="s">
        <v>465</v>
      </c>
      <c r="AC593">
        <v>0</v>
      </c>
    </row>
    <row r="594" spans="1:29" hidden="1" x14ac:dyDescent="0.25">
      <c r="A594" t="s">
        <v>596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720</v>
      </c>
      <c r="G594" t="s">
        <v>440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34" t="s">
        <v>690</v>
      </c>
      <c r="L594" s="34" t="s">
        <v>465</v>
      </c>
      <c r="M594">
        <v>2241089</v>
      </c>
      <c r="N594" t="s">
        <v>167</v>
      </c>
      <c r="O594" t="str">
        <f t="shared" si="51"/>
        <v>06140108580017</v>
      </c>
      <c r="P594" t="s">
        <v>168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465</v>
      </c>
      <c r="AA594" s="38" t="s">
        <v>1</v>
      </c>
      <c r="AB594" t="s">
        <v>514</v>
      </c>
      <c r="AC594">
        <v>111.22</v>
      </c>
    </row>
    <row r="595" spans="1:29" hidden="1" x14ac:dyDescent="0.25">
      <c r="A595" t="s">
        <v>596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701</v>
      </c>
      <c r="G595" t="s">
        <v>440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34" t="s">
        <v>690</v>
      </c>
      <c r="L595" s="34" t="s">
        <v>465</v>
      </c>
      <c r="M595">
        <v>1729</v>
      </c>
      <c r="N595" t="s">
        <v>427</v>
      </c>
      <c r="O595" t="str">
        <f t="shared" si="51"/>
        <v>06140404081061</v>
      </c>
      <c r="P595" t="s">
        <v>428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465</v>
      </c>
      <c r="AA595" s="38" t="s">
        <v>1</v>
      </c>
      <c r="AB595" t="s">
        <v>465</v>
      </c>
      <c r="AC595">
        <v>0</v>
      </c>
    </row>
    <row r="596" spans="1:29" hidden="1" x14ac:dyDescent="0.25">
      <c r="A596" t="s">
        <v>596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701</v>
      </c>
      <c r="G596" t="s">
        <v>440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34" t="s">
        <v>690</v>
      </c>
      <c r="L596" s="34" t="s">
        <v>465</v>
      </c>
      <c r="M596">
        <v>3791</v>
      </c>
      <c r="N596" t="s">
        <v>605</v>
      </c>
      <c r="O596" t="str">
        <f t="shared" si="51"/>
        <v>06143012981020</v>
      </c>
      <c r="P596" t="s">
        <v>606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465</v>
      </c>
      <c r="AA596" s="38" t="s">
        <v>1</v>
      </c>
      <c r="AB596" t="s">
        <v>514</v>
      </c>
      <c r="AC596">
        <v>1051.24</v>
      </c>
    </row>
    <row r="597" spans="1:29" hidden="1" x14ac:dyDescent="0.25">
      <c r="A597" t="s">
        <v>596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701</v>
      </c>
      <c r="G597" t="s">
        <v>440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34" t="s">
        <v>690</v>
      </c>
      <c r="L597" s="34" t="s">
        <v>465</v>
      </c>
      <c r="M597">
        <v>507996</v>
      </c>
      <c r="N597" t="s">
        <v>173</v>
      </c>
      <c r="O597" t="str">
        <f t="shared" si="51"/>
        <v>14070503650018</v>
      </c>
      <c r="P597" t="s">
        <v>174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465</v>
      </c>
      <c r="AA597" s="38" t="s">
        <v>1</v>
      </c>
      <c r="AB597" t="s">
        <v>465</v>
      </c>
      <c r="AC597">
        <v>0</v>
      </c>
    </row>
    <row r="598" spans="1:29" hidden="1" x14ac:dyDescent="0.25">
      <c r="A598" t="s">
        <v>596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701</v>
      </c>
      <c r="G598" t="s">
        <v>440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34" t="s">
        <v>690</v>
      </c>
      <c r="L598" s="34" t="s">
        <v>465</v>
      </c>
      <c r="M598">
        <v>17484</v>
      </c>
      <c r="N598" t="s">
        <v>185</v>
      </c>
      <c r="O598" t="str">
        <f t="shared" si="51"/>
        <v>06142407750010</v>
      </c>
      <c r="P598" t="s">
        <v>186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465</v>
      </c>
      <c r="AA598" s="38" t="s">
        <v>1</v>
      </c>
      <c r="AB598" t="s">
        <v>465</v>
      </c>
      <c r="AC598">
        <v>0</v>
      </c>
    </row>
    <row r="599" spans="1:29" hidden="1" x14ac:dyDescent="0.25">
      <c r="A599" t="s">
        <v>596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701</v>
      </c>
      <c r="G599" t="s">
        <v>440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34" t="s">
        <v>690</v>
      </c>
      <c r="L599" s="34" t="s">
        <v>465</v>
      </c>
      <c r="M599">
        <v>476</v>
      </c>
      <c r="N599" t="s">
        <v>143</v>
      </c>
      <c r="O599" t="str">
        <f t="shared" si="51"/>
        <v>06142703981055</v>
      </c>
      <c r="P599" t="s">
        <v>144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465</v>
      </c>
      <c r="AA599" s="38" t="s">
        <v>1</v>
      </c>
      <c r="AB599" t="s">
        <v>465</v>
      </c>
      <c r="AC599">
        <v>0</v>
      </c>
    </row>
    <row r="600" spans="1:29" hidden="1" x14ac:dyDescent="0.25">
      <c r="A600" t="s">
        <v>596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700</v>
      </c>
      <c r="G600" t="s">
        <v>440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34" t="s">
        <v>690</v>
      </c>
      <c r="L600" s="34" t="s">
        <v>465</v>
      </c>
      <c r="M600">
        <v>15</v>
      </c>
      <c r="N600" t="s">
        <v>546</v>
      </c>
      <c r="O600" t="str">
        <f t="shared" si="51"/>
        <v>05112011861033</v>
      </c>
      <c r="P600" t="s">
        <v>547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465</v>
      </c>
      <c r="AA600" s="38" t="s">
        <v>1</v>
      </c>
      <c r="AB600" t="s">
        <v>465</v>
      </c>
      <c r="AC600">
        <v>0</v>
      </c>
    </row>
    <row r="601" spans="1:29" hidden="1" x14ac:dyDescent="0.25">
      <c r="A601" t="s">
        <v>596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700</v>
      </c>
      <c r="G601" t="s">
        <v>440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34" t="s">
        <v>690</v>
      </c>
      <c r="L601" s="34" t="s">
        <v>465</v>
      </c>
      <c r="M601">
        <v>451</v>
      </c>
      <c r="N601" t="s">
        <v>143</v>
      </c>
      <c r="O601" t="str">
        <f t="shared" si="51"/>
        <v>06142703981055</v>
      </c>
      <c r="P601" t="s">
        <v>144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465</v>
      </c>
      <c r="AA601" s="38" t="s">
        <v>1</v>
      </c>
      <c r="AB601" t="s">
        <v>465</v>
      </c>
      <c r="AC601">
        <v>0</v>
      </c>
    </row>
    <row r="602" spans="1:29" hidden="1" x14ac:dyDescent="0.25">
      <c r="A602" t="s">
        <v>596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700</v>
      </c>
      <c r="G602" t="s">
        <v>440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34" t="s">
        <v>690</v>
      </c>
      <c r="L602" s="34" t="s">
        <v>465</v>
      </c>
      <c r="M602">
        <v>452</v>
      </c>
      <c r="N602" t="s">
        <v>143</v>
      </c>
      <c r="O602" t="str">
        <f t="shared" si="51"/>
        <v>06142703981055</v>
      </c>
      <c r="P602" t="s">
        <v>144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465</v>
      </c>
      <c r="AA602" s="38" t="s">
        <v>1</v>
      </c>
      <c r="AB602" t="s">
        <v>465</v>
      </c>
      <c r="AC602">
        <v>0</v>
      </c>
    </row>
    <row r="603" spans="1:29" hidden="1" x14ac:dyDescent="0.25">
      <c r="A603" t="s">
        <v>596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700</v>
      </c>
      <c r="G603" t="s">
        <v>440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34" t="s">
        <v>690</v>
      </c>
      <c r="L603" s="34" t="s">
        <v>465</v>
      </c>
      <c r="M603">
        <v>433</v>
      </c>
      <c r="N603" t="s">
        <v>143</v>
      </c>
      <c r="O603" t="str">
        <f t="shared" si="51"/>
        <v>06142703981055</v>
      </c>
      <c r="P603" t="s">
        <v>144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465</v>
      </c>
      <c r="AA603" s="38" t="s">
        <v>1</v>
      </c>
      <c r="AB603" t="s">
        <v>465</v>
      </c>
      <c r="AC603">
        <v>0</v>
      </c>
    </row>
    <row r="604" spans="1:29" hidden="1" x14ac:dyDescent="0.25">
      <c r="A604" t="s">
        <v>596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700</v>
      </c>
      <c r="G604" t="s">
        <v>440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34" t="s">
        <v>690</v>
      </c>
      <c r="L604" s="34" t="s">
        <v>465</v>
      </c>
      <c r="M604">
        <v>137357</v>
      </c>
      <c r="N604" t="s">
        <v>173</v>
      </c>
      <c r="O604" t="str">
        <f t="shared" si="51"/>
        <v>14070503650018</v>
      </c>
      <c r="P604" t="s">
        <v>174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465</v>
      </c>
      <c r="AA604" s="38" t="s">
        <v>1</v>
      </c>
      <c r="AB604" t="s">
        <v>465</v>
      </c>
      <c r="AC604">
        <v>0</v>
      </c>
    </row>
    <row r="605" spans="1:29" hidden="1" x14ac:dyDescent="0.25">
      <c r="A605" t="s">
        <v>596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700</v>
      </c>
      <c r="G605" t="s">
        <v>440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34" t="s">
        <v>690</v>
      </c>
      <c r="L605" s="34" t="s">
        <v>465</v>
      </c>
      <c r="M605">
        <v>1862</v>
      </c>
      <c r="N605" t="s">
        <v>262</v>
      </c>
      <c r="O605" t="str">
        <f t="shared" si="51"/>
        <v>06140404530104</v>
      </c>
      <c r="P605" t="s">
        <v>263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465</v>
      </c>
      <c r="AA605" s="38" t="s">
        <v>1</v>
      </c>
      <c r="AB605" t="s">
        <v>465</v>
      </c>
      <c r="AC605">
        <v>0</v>
      </c>
    </row>
    <row r="606" spans="1:29" hidden="1" x14ac:dyDescent="0.25">
      <c r="A606" t="s">
        <v>596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700</v>
      </c>
      <c r="G606" t="s">
        <v>440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34" t="s">
        <v>690</v>
      </c>
      <c r="L606" s="34" t="s">
        <v>465</v>
      </c>
      <c r="M606">
        <v>156</v>
      </c>
      <c r="N606" t="s">
        <v>718</v>
      </c>
      <c r="O606" t="str">
        <f t="shared" si="51"/>
        <v>06040103841015</v>
      </c>
      <c r="P606" t="s">
        <v>719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465</v>
      </c>
      <c r="AA606" s="38" t="s">
        <v>1</v>
      </c>
      <c r="AB606" t="s">
        <v>465</v>
      </c>
      <c r="AC606">
        <v>0</v>
      </c>
    </row>
    <row r="607" spans="1:29" hidden="1" x14ac:dyDescent="0.25">
      <c r="A607" t="s">
        <v>596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700</v>
      </c>
      <c r="G607" t="s">
        <v>440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34" t="s">
        <v>690</v>
      </c>
      <c r="L607" s="34" t="s">
        <v>465</v>
      </c>
      <c r="M607">
        <v>3975</v>
      </c>
      <c r="N607" t="s">
        <v>729</v>
      </c>
      <c r="O607" t="str">
        <f t="shared" si="51"/>
        <v>02072404811019</v>
      </c>
      <c r="P607" t="s">
        <v>717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465</v>
      </c>
      <c r="AA607" s="38" t="s">
        <v>1</v>
      </c>
      <c r="AB607" t="s">
        <v>465</v>
      </c>
      <c r="AC607">
        <v>0</v>
      </c>
    </row>
    <row r="608" spans="1:29" hidden="1" x14ac:dyDescent="0.25">
      <c r="A608" t="s">
        <v>596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699</v>
      </c>
      <c r="G608" t="s">
        <v>440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34" t="s">
        <v>690</v>
      </c>
      <c r="L608" s="34" t="s">
        <v>465</v>
      </c>
      <c r="M608">
        <v>3104687</v>
      </c>
      <c r="N608" t="s">
        <v>167</v>
      </c>
      <c r="O608" t="str">
        <f t="shared" si="51"/>
        <v>06140108580017</v>
      </c>
      <c r="P608" t="s">
        <v>168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465</v>
      </c>
      <c r="AA608" s="38" t="s">
        <v>1</v>
      </c>
      <c r="AB608" t="s">
        <v>465</v>
      </c>
      <c r="AC608">
        <v>0</v>
      </c>
    </row>
    <row r="609" spans="1:29" hidden="1" x14ac:dyDescent="0.25">
      <c r="A609" t="s">
        <v>596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699</v>
      </c>
      <c r="G609" t="s">
        <v>440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34" t="s">
        <v>690</v>
      </c>
      <c r="L609" s="34" t="s">
        <v>465</v>
      </c>
      <c r="M609">
        <v>1304</v>
      </c>
      <c r="N609" t="s">
        <v>134</v>
      </c>
      <c r="O609" t="str">
        <f t="shared" si="51"/>
        <v>06141605121041</v>
      </c>
      <c r="P609" t="s">
        <v>135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465</v>
      </c>
      <c r="AA609" s="38" t="s">
        <v>1</v>
      </c>
      <c r="AB609" t="s">
        <v>465</v>
      </c>
      <c r="AC609">
        <v>0</v>
      </c>
    </row>
    <row r="610" spans="1:29" hidden="1" x14ac:dyDescent="0.25">
      <c r="A610" t="s">
        <v>596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699</v>
      </c>
      <c r="G610" t="s">
        <v>440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34" t="s">
        <v>690</v>
      </c>
      <c r="L610" s="34" t="s">
        <v>465</v>
      </c>
      <c r="M610">
        <v>845936</v>
      </c>
      <c r="N610" t="s">
        <v>29</v>
      </c>
      <c r="O610" t="str">
        <f t="shared" si="51"/>
        <v>06141909001034</v>
      </c>
      <c r="P610" t="s">
        <v>233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465</v>
      </c>
      <c r="AA610" s="38" t="s">
        <v>1</v>
      </c>
      <c r="AB610" t="s">
        <v>465</v>
      </c>
      <c r="AC610">
        <v>0</v>
      </c>
    </row>
    <row r="611" spans="1:29" hidden="1" x14ac:dyDescent="0.25">
      <c r="A611" t="s">
        <v>596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699</v>
      </c>
      <c r="G611" t="s">
        <v>440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34" t="s">
        <v>690</v>
      </c>
      <c r="L611" s="34" t="s">
        <v>465</v>
      </c>
      <c r="M611">
        <v>414</v>
      </c>
      <c r="N611" t="s">
        <v>143</v>
      </c>
      <c r="O611" t="str">
        <f t="shared" si="51"/>
        <v>06142703981055</v>
      </c>
      <c r="P611" t="s">
        <v>144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465</v>
      </c>
      <c r="AA611" s="38" t="s">
        <v>1</v>
      </c>
      <c r="AB611" t="s">
        <v>465</v>
      </c>
      <c r="AC611">
        <v>0</v>
      </c>
    </row>
    <row r="612" spans="1:29" hidden="1" x14ac:dyDescent="0.25">
      <c r="A612" t="s">
        <v>596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699</v>
      </c>
      <c r="G612" t="s">
        <v>440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34" t="s">
        <v>690</v>
      </c>
      <c r="L612" s="34" t="s">
        <v>465</v>
      </c>
      <c r="M612">
        <v>1073024</v>
      </c>
      <c r="N612" t="s">
        <v>192</v>
      </c>
      <c r="O612" t="str">
        <f t="shared" si="51"/>
        <v>06142708101053</v>
      </c>
      <c r="P612" t="s">
        <v>193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465</v>
      </c>
      <c r="AA612" s="38" t="s">
        <v>1</v>
      </c>
      <c r="AB612" t="s">
        <v>465</v>
      </c>
      <c r="AC612">
        <v>0</v>
      </c>
    </row>
    <row r="613" spans="1:29" hidden="1" x14ac:dyDescent="0.25">
      <c r="A613" t="s">
        <v>596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699</v>
      </c>
      <c r="G613" t="s">
        <v>440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34" t="s">
        <v>690</v>
      </c>
      <c r="L613" s="34" t="s">
        <v>465</v>
      </c>
      <c r="M613">
        <v>55508</v>
      </c>
      <c r="N613" t="s">
        <v>290</v>
      </c>
      <c r="O613" t="str">
        <f t="shared" si="51"/>
        <v>12173101051010</v>
      </c>
      <c r="P613" t="s">
        <v>291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465</v>
      </c>
      <c r="AA613" s="38" t="s">
        <v>1</v>
      </c>
      <c r="AB613" t="s">
        <v>465</v>
      </c>
      <c r="AC613">
        <v>0</v>
      </c>
    </row>
    <row r="614" spans="1:29" hidden="1" x14ac:dyDescent="0.25">
      <c r="A614" t="s">
        <v>596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699</v>
      </c>
      <c r="G614" t="s">
        <v>440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34" t="s">
        <v>690</v>
      </c>
      <c r="L614" s="34" t="s">
        <v>465</v>
      </c>
      <c r="M614">
        <v>58</v>
      </c>
      <c r="N614" t="s">
        <v>452</v>
      </c>
      <c r="O614" t="str">
        <f t="shared" si="51"/>
        <v>02101107171019</v>
      </c>
      <c r="P614" t="s">
        <v>453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465</v>
      </c>
      <c r="AA614" s="38" t="s">
        <v>1</v>
      </c>
      <c r="AB614" t="s">
        <v>465</v>
      </c>
      <c r="AC614">
        <v>0</v>
      </c>
    </row>
    <row r="615" spans="1:29" hidden="1" x14ac:dyDescent="0.25">
      <c r="A615" t="s">
        <v>596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699</v>
      </c>
      <c r="G615" t="s">
        <v>440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34" t="s">
        <v>690</v>
      </c>
      <c r="L615" s="34" t="s">
        <v>465</v>
      </c>
      <c r="M615">
        <v>43</v>
      </c>
      <c r="N615" t="s">
        <v>425</v>
      </c>
      <c r="O615" t="str">
        <f t="shared" si="51"/>
        <v>12170509850014</v>
      </c>
      <c r="P615" t="s">
        <v>426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465</v>
      </c>
      <c r="AA615" s="38" t="s">
        <v>1</v>
      </c>
      <c r="AB615" t="s">
        <v>465</v>
      </c>
      <c r="AC615">
        <v>0</v>
      </c>
    </row>
    <row r="616" spans="1:29" hidden="1" x14ac:dyDescent="0.25">
      <c r="A616" t="s">
        <v>596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698</v>
      </c>
      <c r="G616" t="s">
        <v>440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34" t="s">
        <v>690</v>
      </c>
      <c r="L616" s="34" t="s">
        <v>465</v>
      </c>
      <c r="M616">
        <v>2972898</v>
      </c>
      <c r="N616" t="s">
        <v>167</v>
      </c>
      <c r="O616" t="str">
        <f t="shared" si="51"/>
        <v>06140108580017</v>
      </c>
      <c r="P616" t="s">
        <v>168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465</v>
      </c>
      <c r="AA616" s="38" t="s">
        <v>1</v>
      </c>
      <c r="AB616" t="s">
        <v>465</v>
      </c>
      <c r="AC616">
        <v>0</v>
      </c>
    </row>
    <row r="617" spans="1:29" hidden="1" x14ac:dyDescent="0.25">
      <c r="A617" t="s">
        <v>596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710</v>
      </c>
      <c r="G617" t="s">
        <v>440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34" t="s">
        <v>690</v>
      </c>
      <c r="L617" s="34" t="s">
        <v>465</v>
      </c>
      <c r="M617">
        <v>55821</v>
      </c>
      <c r="N617" t="s">
        <v>91</v>
      </c>
      <c r="O617" t="str">
        <f t="shared" si="51"/>
        <v>06141504911068</v>
      </c>
      <c r="P617" t="s">
        <v>92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465</v>
      </c>
      <c r="AA617" s="38" t="s">
        <v>1</v>
      </c>
      <c r="AB617" t="s">
        <v>465</v>
      </c>
      <c r="AC617">
        <v>0</v>
      </c>
    </row>
    <row r="618" spans="1:29" hidden="1" x14ac:dyDescent="0.25">
      <c r="A618" t="s">
        <v>596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710</v>
      </c>
      <c r="G618" t="s">
        <v>440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34" t="s">
        <v>690</v>
      </c>
      <c r="L618" s="34" t="s">
        <v>465</v>
      </c>
      <c r="M618">
        <v>36</v>
      </c>
      <c r="N618" t="s">
        <v>301</v>
      </c>
      <c r="O618" t="str">
        <f t="shared" si="51"/>
        <v>06142806901106</v>
      </c>
      <c r="P618" t="s">
        <v>302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465</v>
      </c>
      <c r="AA618" s="38" t="s">
        <v>1</v>
      </c>
      <c r="AB618" t="s">
        <v>465</v>
      </c>
      <c r="AC618">
        <v>0</v>
      </c>
    </row>
    <row r="619" spans="1:29" hidden="1" x14ac:dyDescent="0.25">
      <c r="A619" t="s">
        <v>596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710</v>
      </c>
      <c r="G619" t="s">
        <v>440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34" t="s">
        <v>690</v>
      </c>
      <c r="L619" s="34" t="s">
        <v>465</v>
      </c>
      <c r="M619">
        <v>2967074</v>
      </c>
      <c r="N619" t="s">
        <v>167</v>
      </c>
      <c r="O619" t="str">
        <f t="shared" si="51"/>
        <v>06140108580017</v>
      </c>
      <c r="P619" t="s">
        <v>168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465</v>
      </c>
      <c r="AA619" s="38" t="s">
        <v>1</v>
      </c>
      <c r="AB619" t="s">
        <v>465</v>
      </c>
      <c r="AC619">
        <v>0</v>
      </c>
    </row>
    <row r="620" spans="1:29" hidden="1" x14ac:dyDescent="0.25">
      <c r="A620" t="s">
        <v>596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710</v>
      </c>
      <c r="G620" t="s">
        <v>440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34" t="s">
        <v>690</v>
      </c>
      <c r="L620" s="34" t="s">
        <v>465</v>
      </c>
      <c r="M620">
        <v>814</v>
      </c>
      <c r="N620" t="s">
        <v>441</v>
      </c>
      <c r="O620" t="str">
        <f t="shared" si="51"/>
        <v>12170505681051</v>
      </c>
      <c r="P620" t="s">
        <v>442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465</v>
      </c>
      <c r="AA620" s="38" t="s">
        <v>1</v>
      </c>
      <c r="AB620" t="s">
        <v>465</v>
      </c>
      <c r="AC620">
        <v>0</v>
      </c>
    </row>
    <row r="621" spans="1:29" hidden="1" x14ac:dyDescent="0.25">
      <c r="A621" t="s">
        <v>596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710</v>
      </c>
      <c r="G621" t="s">
        <v>440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34" t="s">
        <v>690</v>
      </c>
      <c r="L621" s="34" t="s">
        <v>465</v>
      </c>
      <c r="M621">
        <v>142866</v>
      </c>
      <c r="N621" t="s">
        <v>192</v>
      </c>
      <c r="O621" t="str">
        <f t="shared" si="51"/>
        <v>06142708101053</v>
      </c>
      <c r="P621" t="s">
        <v>193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465</v>
      </c>
      <c r="AA621" s="38" t="s">
        <v>1</v>
      </c>
      <c r="AB621" t="s">
        <v>465</v>
      </c>
      <c r="AC621">
        <v>0</v>
      </c>
    </row>
    <row r="622" spans="1:29" hidden="1" x14ac:dyDescent="0.25">
      <c r="A622" t="s">
        <v>596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710</v>
      </c>
      <c r="G622" t="s">
        <v>440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34" t="s">
        <v>690</v>
      </c>
      <c r="L622" s="34" t="s">
        <v>465</v>
      </c>
      <c r="M622">
        <v>355</v>
      </c>
      <c r="N622" t="s">
        <v>143</v>
      </c>
      <c r="O622" t="str">
        <f t="shared" si="51"/>
        <v>06142703981055</v>
      </c>
      <c r="P622" t="s">
        <v>144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465</v>
      </c>
      <c r="AA622" s="38" t="s">
        <v>1</v>
      </c>
      <c r="AB622" t="s">
        <v>465</v>
      </c>
      <c r="AC622">
        <v>0</v>
      </c>
    </row>
    <row r="623" spans="1:29" hidden="1" x14ac:dyDescent="0.25">
      <c r="A623" t="s">
        <v>596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716</v>
      </c>
      <c r="G623" t="s">
        <v>440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34" t="s">
        <v>690</v>
      </c>
      <c r="L623" s="34" t="s">
        <v>465</v>
      </c>
      <c r="M623">
        <v>1350431</v>
      </c>
      <c r="N623" t="s">
        <v>192</v>
      </c>
      <c r="O623" t="str">
        <f t="shared" si="51"/>
        <v>06142708101053</v>
      </c>
      <c r="P623" t="s">
        <v>193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465</v>
      </c>
      <c r="AA623" s="38" t="s">
        <v>1</v>
      </c>
      <c r="AB623" t="s">
        <v>520</v>
      </c>
      <c r="AC623">
        <v>1.1200000000000001</v>
      </c>
    </row>
    <row r="624" spans="1:29" hidden="1" x14ac:dyDescent="0.25">
      <c r="A624" t="s">
        <v>596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716</v>
      </c>
      <c r="G624" t="s">
        <v>440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34" t="s">
        <v>690</v>
      </c>
      <c r="L624" s="34" t="s">
        <v>465</v>
      </c>
      <c r="M624">
        <v>1303</v>
      </c>
      <c r="N624" t="s">
        <v>294</v>
      </c>
      <c r="O624" t="str">
        <f t="shared" si="51"/>
        <v>13071610671016</v>
      </c>
      <c r="P624" t="s">
        <v>295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465</v>
      </c>
      <c r="AA624" s="38" t="s">
        <v>1</v>
      </c>
      <c r="AB624" t="s">
        <v>465</v>
      </c>
      <c r="AC624">
        <v>0</v>
      </c>
    </row>
    <row r="625" spans="1:29" hidden="1" x14ac:dyDescent="0.25">
      <c r="A625" t="s">
        <v>596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697</v>
      </c>
      <c r="G625" t="s">
        <v>440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34" t="s">
        <v>690</v>
      </c>
      <c r="L625" s="34" t="s">
        <v>465</v>
      </c>
      <c r="M625">
        <v>980</v>
      </c>
      <c r="N625" t="s">
        <v>194</v>
      </c>
      <c r="O625" t="str">
        <f t="shared" si="51"/>
        <v>06141607031015</v>
      </c>
      <c r="P625" t="s">
        <v>195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465</v>
      </c>
      <c r="AA625" s="38" t="s">
        <v>1</v>
      </c>
      <c r="AB625" t="s">
        <v>465</v>
      </c>
      <c r="AC625">
        <v>0</v>
      </c>
    </row>
    <row r="626" spans="1:29" hidden="1" x14ac:dyDescent="0.25">
      <c r="A626" t="s">
        <v>596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697</v>
      </c>
      <c r="G626" t="s">
        <v>440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34" t="s">
        <v>690</v>
      </c>
      <c r="L626" s="34" t="s">
        <v>465</v>
      </c>
      <c r="M626">
        <v>292807</v>
      </c>
      <c r="N626" t="s">
        <v>358</v>
      </c>
      <c r="O626" t="str">
        <f t="shared" si="51"/>
        <v>06143001780012</v>
      </c>
      <c r="P626" t="s">
        <v>359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465</v>
      </c>
      <c r="AA626" s="38" t="s">
        <v>1</v>
      </c>
      <c r="AB626" t="s">
        <v>465</v>
      </c>
      <c r="AC626">
        <v>0</v>
      </c>
    </row>
    <row r="627" spans="1:29" hidden="1" x14ac:dyDescent="0.25">
      <c r="A627" t="s">
        <v>596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697</v>
      </c>
      <c r="G627" t="s">
        <v>440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34" t="s">
        <v>690</v>
      </c>
      <c r="L627" s="34" t="s">
        <v>465</v>
      </c>
      <c r="M627">
        <v>5401</v>
      </c>
      <c r="O627" t="str">
        <f t="shared" si="51"/>
        <v>007339078</v>
      </c>
      <c r="P627" t="s">
        <v>715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714</v>
      </c>
      <c r="AA627" s="38" t="s">
        <v>1</v>
      </c>
      <c r="AB627" t="s">
        <v>465</v>
      </c>
      <c r="AC627">
        <v>0</v>
      </c>
    </row>
    <row r="628" spans="1:29" hidden="1" x14ac:dyDescent="0.25">
      <c r="A628" t="s">
        <v>596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696</v>
      </c>
      <c r="G628" t="s">
        <v>440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34" t="s">
        <v>690</v>
      </c>
      <c r="L628" s="34" t="s">
        <v>465</v>
      </c>
      <c r="M628">
        <v>288</v>
      </c>
      <c r="N628" t="s">
        <v>431</v>
      </c>
      <c r="O628" t="str">
        <f t="shared" si="51"/>
        <v>06143007891048</v>
      </c>
      <c r="P628" t="s">
        <v>436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465</v>
      </c>
      <c r="AA628" s="38" t="s">
        <v>1</v>
      </c>
      <c r="AB628" t="s">
        <v>465</v>
      </c>
      <c r="AC628">
        <v>0</v>
      </c>
    </row>
    <row r="629" spans="1:29" hidden="1" x14ac:dyDescent="0.25">
      <c r="A629" t="s">
        <v>596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696</v>
      </c>
      <c r="G629" t="s">
        <v>440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34" t="s">
        <v>690</v>
      </c>
      <c r="L629" s="34" t="s">
        <v>465</v>
      </c>
      <c r="M629">
        <v>502643</v>
      </c>
      <c r="N629" t="s">
        <v>192</v>
      </c>
      <c r="O629" t="str">
        <f t="shared" si="51"/>
        <v>06142708101053</v>
      </c>
      <c r="P629" t="s">
        <v>193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465</v>
      </c>
      <c r="AA629" s="38" t="s">
        <v>1</v>
      </c>
      <c r="AB629" t="s">
        <v>465</v>
      </c>
      <c r="AC629">
        <v>0</v>
      </c>
    </row>
    <row r="630" spans="1:29" hidden="1" x14ac:dyDescent="0.25">
      <c r="A630" t="s">
        <v>596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696</v>
      </c>
      <c r="G630" t="s">
        <v>440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34" t="s">
        <v>690</v>
      </c>
      <c r="L630" s="34" t="s">
        <v>465</v>
      </c>
      <c r="M630">
        <v>15372</v>
      </c>
      <c r="N630" t="s">
        <v>251</v>
      </c>
      <c r="O630" t="str">
        <f t="shared" si="51"/>
        <v>05111703630014</v>
      </c>
      <c r="P630" t="s">
        <v>252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465</v>
      </c>
      <c r="AA630" s="38" t="s">
        <v>1</v>
      </c>
      <c r="AB630" t="s">
        <v>465</v>
      </c>
      <c r="AC630">
        <v>0</v>
      </c>
    </row>
    <row r="631" spans="1:29" hidden="1" x14ac:dyDescent="0.25">
      <c r="A631" t="s">
        <v>596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695</v>
      </c>
      <c r="G631" t="s">
        <v>440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34" t="s">
        <v>690</v>
      </c>
      <c r="L631" s="34" t="s">
        <v>465</v>
      </c>
      <c r="M631">
        <v>757</v>
      </c>
      <c r="N631" t="s">
        <v>206</v>
      </c>
      <c r="O631" t="str">
        <f t="shared" si="51"/>
        <v>06143003710013</v>
      </c>
      <c r="P631" t="s">
        <v>207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465</v>
      </c>
      <c r="AA631" s="38" t="s">
        <v>1</v>
      </c>
      <c r="AB631" t="s">
        <v>465</v>
      </c>
      <c r="AC631">
        <v>0</v>
      </c>
    </row>
    <row r="632" spans="1:29" hidden="1" x14ac:dyDescent="0.25">
      <c r="A632" t="s">
        <v>596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695</v>
      </c>
      <c r="G632" t="s">
        <v>440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34" t="s">
        <v>690</v>
      </c>
      <c r="L632" s="34" t="s">
        <v>465</v>
      </c>
      <c r="M632">
        <v>240</v>
      </c>
      <c r="N632" t="s">
        <v>143</v>
      </c>
      <c r="O632" t="str">
        <f t="shared" si="51"/>
        <v>06142703981055</v>
      </c>
      <c r="P632" t="s">
        <v>144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465</v>
      </c>
      <c r="AA632" s="38" t="s">
        <v>1</v>
      </c>
      <c r="AB632" t="s">
        <v>465</v>
      </c>
      <c r="AC632">
        <v>0</v>
      </c>
    </row>
    <row r="633" spans="1:29" hidden="1" x14ac:dyDescent="0.25">
      <c r="A633" t="s">
        <v>596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695</v>
      </c>
      <c r="G633" t="s">
        <v>440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34" t="s">
        <v>690</v>
      </c>
      <c r="L633" s="34" t="s">
        <v>465</v>
      </c>
      <c r="M633">
        <v>7557</v>
      </c>
      <c r="N633" t="s">
        <v>223</v>
      </c>
      <c r="O633" t="str">
        <f t="shared" si="51"/>
        <v>06140406191018</v>
      </c>
      <c r="P633" t="s">
        <v>224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465</v>
      </c>
      <c r="AA633" s="38" t="s">
        <v>1</v>
      </c>
      <c r="AB633" t="s">
        <v>465</v>
      </c>
      <c r="AC633">
        <v>0</v>
      </c>
    </row>
    <row r="634" spans="1:29" hidden="1" x14ac:dyDescent="0.25">
      <c r="A634" t="s">
        <v>596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695</v>
      </c>
      <c r="G634" t="s">
        <v>440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34" t="s">
        <v>690</v>
      </c>
      <c r="L634" s="34" t="s">
        <v>465</v>
      </c>
      <c r="M634">
        <v>796</v>
      </c>
      <c r="N634" t="s">
        <v>441</v>
      </c>
      <c r="O634" t="str">
        <f t="shared" si="51"/>
        <v>12170505681051</v>
      </c>
      <c r="P634" t="s">
        <v>442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465</v>
      </c>
      <c r="AA634" s="38" t="s">
        <v>1</v>
      </c>
      <c r="AB634" t="s">
        <v>465</v>
      </c>
      <c r="AC634">
        <v>0</v>
      </c>
    </row>
    <row r="635" spans="1:29" hidden="1" x14ac:dyDescent="0.25">
      <c r="A635" t="s">
        <v>596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695</v>
      </c>
      <c r="G635" t="s">
        <v>440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34" t="s">
        <v>690</v>
      </c>
      <c r="L635" s="34" t="s">
        <v>465</v>
      </c>
      <c r="M635">
        <v>9401</v>
      </c>
      <c r="N635" t="s">
        <v>190</v>
      </c>
      <c r="O635" t="str">
        <f t="shared" si="51"/>
        <v>06142406870019</v>
      </c>
      <c r="P635" t="s">
        <v>191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465</v>
      </c>
      <c r="AA635" s="38" t="s">
        <v>1</v>
      </c>
      <c r="AB635" t="s">
        <v>465</v>
      </c>
      <c r="AC635">
        <v>0</v>
      </c>
    </row>
    <row r="636" spans="1:29" hidden="1" x14ac:dyDescent="0.25">
      <c r="A636" t="s">
        <v>596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695</v>
      </c>
      <c r="G636" t="s">
        <v>440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34" t="s">
        <v>690</v>
      </c>
      <c r="L636" s="34" t="s">
        <v>465</v>
      </c>
      <c r="M636">
        <v>15821</v>
      </c>
      <c r="N636" t="s">
        <v>62</v>
      </c>
      <c r="O636" t="str">
        <f t="shared" si="51"/>
        <v>12172508931019</v>
      </c>
      <c r="P636" t="s">
        <v>63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465</v>
      </c>
      <c r="AA636" s="38" t="s">
        <v>1</v>
      </c>
      <c r="AB636" t="s">
        <v>465</v>
      </c>
      <c r="AC636">
        <v>0</v>
      </c>
    </row>
    <row r="637" spans="1:29" hidden="1" x14ac:dyDescent="0.25">
      <c r="A637" t="s">
        <v>596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695</v>
      </c>
      <c r="G637" t="s">
        <v>440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34" t="s">
        <v>690</v>
      </c>
      <c r="L637" s="34" t="s">
        <v>465</v>
      </c>
      <c r="M637">
        <v>71</v>
      </c>
      <c r="N637" t="s">
        <v>477</v>
      </c>
      <c r="O637" t="str">
        <f t="shared" si="51"/>
        <v>06141012141020</v>
      </c>
      <c r="P637" t="s">
        <v>478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465</v>
      </c>
      <c r="AA637" s="38" t="s">
        <v>1</v>
      </c>
      <c r="AB637" t="s">
        <v>465</v>
      </c>
      <c r="AC637">
        <v>0</v>
      </c>
    </row>
    <row r="638" spans="1:29" hidden="1" x14ac:dyDescent="0.25">
      <c r="A638" t="s">
        <v>596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694</v>
      </c>
      <c r="G638" t="s">
        <v>440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34" t="s">
        <v>690</v>
      </c>
      <c r="L638" s="34" t="s">
        <v>465</v>
      </c>
      <c r="M638">
        <v>296621</v>
      </c>
      <c r="N638" t="s">
        <v>175</v>
      </c>
      <c r="O638" t="str">
        <f t="shared" si="51"/>
        <v>06141101690011</v>
      </c>
      <c r="P638" t="s">
        <v>176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465</v>
      </c>
      <c r="AA638" s="38" t="s">
        <v>1</v>
      </c>
      <c r="AB638" t="s">
        <v>465</v>
      </c>
      <c r="AC638">
        <v>0</v>
      </c>
    </row>
    <row r="639" spans="1:29" hidden="1" x14ac:dyDescent="0.25">
      <c r="A639" t="s">
        <v>596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694</v>
      </c>
      <c r="G639" t="s">
        <v>440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34" t="s">
        <v>690</v>
      </c>
      <c r="L639" s="34" t="s">
        <v>465</v>
      </c>
      <c r="M639">
        <v>4381</v>
      </c>
      <c r="N639" t="s">
        <v>282</v>
      </c>
      <c r="O639" t="str">
        <f t="shared" si="51"/>
        <v>06140706911055</v>
      </c>
      <c r="P639" t="s">
        <v>283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465</v>
      </c>
      <c r="AA639" s="38" t="s">
        <v>1</v>
      </c>
      <c r="AB639" t="s">
        <v>465</v>
      </c>
      <c r="AC639">
        <v>0</v>
      </c>
    </row>
    <row r="640" spans="1:29" hidden="1" x14ac:dyDescent="0.25">
      <c r="A640" t="s">
        <v>596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694</v>
      </c>
      <c r="G640" t="s">
        <v>440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34" t="s">
        <v>690</v>
      </c>
      <c r="L640" s="34" t="s">
        <v>465</v>
      </c>
      <c r="M640">
        <v>362646</v>
      </c>
      <c r="N640" t="s">
        <v>339</v>
      </c>
      <c r="O640" t="str">
        <f t="shared" si="51"/>
        <v>06142305771172</v>
      </c>
      <c r="P640" t="s">
        <v>340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465</v>
      </c>
      <c r="AA640" s="38" t="s">
        <v>1</v>
      </c>
      <c r="AB640" t="s">
        <v>465</v>
      </c>
      <c r="AC640">
        <v>0</v>
      </c>
    </row>
    <row r="641" spans="1:29" hidden="1" x14ac:dyDescent="0.25">
      <c r="A641" t="s">
        <v>596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694</v>
      </c>
      <c r="G641" t="s">
        <v>440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34" t="s">
        <v>690</v>
      </c>
      <c r="L641" s="34" t="s">
        <v>465</v>
      </c>
      <c r="M641">
        <v>2415663</v>
      </c>
      <c r="N641" t="s">
        <v>167</v>
      </c>
      <c r="O641" t="str">
        <f t="shared" si="51"/>
        <v>06140108580017</v>
      </c>
      <c r="P641" t="s">
        <v>168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465</v>
      </c>
      <c r="AA641" s="38" t="s">
        <v>1</v>
      </c>
      <c r="AB641" t="s">
        <v>465</v>
      </c>
      <c r="AC641">
        <v>0</v>
      </c>
    </row>
    <row r="642" spans="1:29" hidden="1" x14ac:dyDescent="0.25">
      <c r="A642" t="s">
        <v>596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694</v>
      </c>
      <c r="G642" t="s">
        <v>440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34" t="s">
        <v>690</v>
      </c>
      <c r="L642" s="34" t="s">
        <v>465</v>
      </c>
      <c r="M642">
        <v>948</v>
      </c>
      <c r="N642" t="s">
        <v>194</v>
      </c>
      <c r="O642" t="str">
        <f t="shared" si="51"/>
        <v>06141607031015</v>
      </c>
      <c r="P642" t="s">
        <v>195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465</v>
      </c>
      <c r="AA642" s="38" t="s">
        <v>1</v>
      </c>
      <c r="AB642" t="s">
        <v>514</v>
      </c>
      <c r="AC642">
        <v>60.67</v>
      </c>
    </row>
    <row r="643" spans="1:29" hidden="1" x14ac:dyDescent="0.25">
      <c r="A643" t="s">
        <v>596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694</v>
      </c>
      <c r="G643" t="s">
        <v>440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34" t="s">
        <v>690</v>
      </c>
      <c r="L643" s="34" t="s">
        <v>465</v>
      </c>
      <c r="M643">
        <v>73831</v>
      </c>
      <c r="N643" t="s">
        <v>162</v>
      </c>
      <c r="O643" t="str">
        <f t="shared" ref="O643:O669" si="56">IF(N643="",Z643,N643)</f>
        <v>94832404991012</v>
      </c>
      <c r="P643" t="s">
        <v>163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465</v>
      </c>
      <c r="AA643" s="38" t="s">
        <v>1</v>
      </c>
      <c r="AB643" t="s">
        <v>465</v>
      </c>
      <c r="AC643">
        <v>0</v>
      </c>
    </row>
    <row r="644" spans="1:29" hidden="1" x14ac:dyDescent="0.25">
      <c r="A644" t="s">
        <v>596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694</v>
      </c>
      <c r="G644" t="s">
        <v>440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34" t="s">
        <v>690</v>
      </c>
      <c r="L644" s="34" t="s">
        <v>465</v>
      </c>
      <c r="M644">
        <v>60040</v>
      </c>
      <c r="N644" t="s">
        <v>296</v>
      </c>
      <c r="O644" t="str">
        <f t="shared" si="56"/>
        <v>06142312610117</v>
      </c>
      <c r="P644" t="s">
        <v>297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465</v>
      </c>
      <c r="AA644" s="38" t="s">
        <v>1</v>
      </c>
      <c r="AB644" t="s">
        <v>465</v>
      </c>
      <c r="AC644">
        <v>0</v>
      </c>
    </row>
    <row r="645" spans="1:29" hidden="1" x14ac:dyDescent="0.25">
      <c r="A645" t="s">
        <v>596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694</v>
      </c>
      <c r="G645" t="s">
        <v>440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34" t="s">
        <v>690</v>
      </c>
      <c r="L645" s="34" t="s">
        <v>465</v>
      </c>
      <c r="M645">
        <v>487343</v>
      </c>
      <c r="N645" t="s">
        <v>204</v>
      </c>
      <c r="O645" t="str">
        <f t="shared" si="56"/>
        <v>06142407500017</v>
      </c>
      <c r="P645" t="s">
        <v>205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465</v>
      </c>
      <c r="AA645" s="38" t="s">
        <v>1</v>
      </c>
      <c r="AB645" t="s">
        <v>514</v>
      </c>
      <c r="AC645">
        <v>15.5</v>
      </c>
    </row>
    <row r="646" spans="1:29" hidden="1" x14ac:dyDescent="0.25">
      <c r="A646" t="s">
        <v>596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694</v>
      </c>
      <c r="G646" t="s">
        <v>440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34" t="s">
        <v>690</v>
      </c>
      <c r="L646" s="34" t="s">
        <v>465</v>
      </c>
      <c r="M646">
        <v>2746768</v>
      </c>
      <c r="N646" t="s">
        <v>167</v>
      </c>
      <c r="O646" t="str">
        <f t="shared" si="56"/>
        <v>06140108580017</v>
      </c>
      <c r="P646" t="s">
        <v>168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465</v>
      </c>
      <c r="AA646" s="38" t="s">
        <v>1</v>
      </c>
      <c r="AB646" t="s">
        <v>514</v>
      </c>
      <c r="AC646">
        <v>14.4</v>
      </c>
    </row>
    <row r="647" spans="1:29" hidden="1" x14ac:dyDescent="0.25">
      <c r="A647" t="s">
        <v>596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693</v>
      </c>
      <c r="G647" t="s">
        <v>440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34" t="s">
        <v>690</v>
      </c>
      <c r="L647" s="34" t="s">
        <v>465</v>
      </c>
      <c r="M647">
        <v>19643</v>
      </c>
      <c r="N647" t="s">
        <v>219</v>
      </c>
      <c r="O647" t="str">
        <f t="shared" si="56"/>
        <v>06140210081052</v>
      </c>
      <c r="P647" t="s">
        <v>220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465</v>
      </c>
      <c r="AA647" s="38" t="s">
        <v>1</v>
      </c>
      <c r="AB647" t="s">
        <v>514</v>
      </c>
      <c r="AC647">
        <v>15.96</v>
      </c>
    </row>
    <row r="648" spans="1:29" hidden="1" x14ac:dyDescent="0.25">
      <c r="A648" t="s">
        <v>596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693</v>
      </c>
      <c r="G648" t="s">
        <v>440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34" t="s">
        <v>690</v>
      </c>
      <c r="L648" s="34" t="s">
        <v>465</v>
      </c>
      <c r="M648">
        <v>19649</v>
      </c>
      <c r="N648" t="s">
        <v>219</v>
      </c>
      <c r="O648" t="str">
        <f t="shared" si="56"/>
        <v>06140210081052</v>
      </c>
      <c r="P648" t="s">
        <v>220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465</v>
      </c>
      <c r="AA648" s="38" t="s">
        <v>1</v>
      </c>
      <c r="AB648" t="s">
        <v>465</v>
      </c>
      <c r="AC648">
        <v>0</v>
      </c>
    </row>
    <row r="649" spans="1:29" hidden="1" x14ac:dyDescent="0.25">
      <c r="A649" t="s">
        <v>596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693</v>
      </c>
      <c r="G649" t="s">
        <v>440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34" t="s">
        <v>690</v>
      </c>
      <c r="L649" s="34" t="s">
        <v>465</v>
      </c>
      <c r="M649">
        <v>2746711</v>
      </c>
      <c r="N649" t="s">
        <v>167</v>
      </c>
      <c r="O649" t="str">
        <f t="shared" si="56"/>
        <v>06140108580017</v>
      </c>
      <c r="P649" t="s">
        <v>168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465</v>
      </c>
      <c r="AA649" s="38" t="s">
        <v>1</v>
      </c>
      <c r="AB649" t="s">
        <v>465</v>
      </c>
      <c r="AC649">
        <v>0</v>
      </c>
    </row>
    <row r="650" spans="1:29" hidden="1" x14ac:dyDescent="0.25">
      <c r="A650" t="s">
        <v>596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713</v>
      </c>
      <c r="G650" t="s">
        <v>440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34" t="s">
        <v>690</v>
      </c>
      <c r="L650" s="34" t="s">
        <v>465</v>
      </c>
      <c r="M650">
        <v>487068</v>
      </c>
      <c r="N650" t="s">
        <v>204</v>
      </c>
      <c r="O650" t="str">
        <f t="shared" si="56"/>
        <v>06142407500017</v>
      </c>
      <c r="P650" t="s">
        <v>205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465</v>
      </c>
      <c r="AA650" s="38" t="s">
        <v>1</v>
      </c>
      <c r="AB650" t="s">
        <v>465</v>
      </c>
      <c r="AC650">
        <v>0</v>
      </c>
    </row>
    <row r="651" spans="1:29" hidden="1" x14ac:dyDescent="0.25">
      <c r="A651" t="s">
        <v>596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692</v>
      </c>
      <c r="G651" t="s">
        <v>440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34" t="s">
        <v>690</v>
      </c>
      <c r="L651" s="34" t="s">
        <v>465</v>
      </c>
      <c r="M651">
        <v>14</v>
      </c>
      <c r="N651" t="s">
        <v>546</v>
      </c>
      <c r="O651" t="str">
        <f t="shared" si="56"/>
        <v>05112011861033</v>
      </c>
      <c r="P651" t="s">
        <v>547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465</v>
      </c>
      <c r="AA651" s="38" t="s">
        <v>1</v>
      </c>
      <c r="AB651" t="s">
        <v>465</v>
      </c>
      <c r="AC651">
        <v>0</v>
      </c>
    </row>
    <row r="652" spans="1:29" hidden="1" x14ac:dyDescent="0.25">
      <c r="A652" t="s">
        <v>596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692</v>
      </c>
      <c r="G652" t="s">
        <v>440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34" t="s">
        <v>690</v>
      </c>
      <c r="L652" s="34" t="s">
        <v>465</v>
      </c>
      <c r="M652">
        <v>6973</v>
      </c>
      <c r="N652" t="s">
        <v>223</v>
      </c>
      <c r="O652" t="str">
        <f t="shared" si="56"/>
        <v>06140406191018</v>
      </c>
      <c r="P652" t="s">
        <v>224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465</v>
      </c>
      <c r="AA652" s="38" t="s">
        <v>1</v>
      </c>
      <c r="AB652" t="s">
        <v>465</v>
      </c>
      <c r="AC652">
        <v>0</v>
      </c>
    </row>
    <row r="653" spans="1:29" hidden="1" x14ac:dyDescent="0.25">
      <c r="A653" t="s">
        <v>596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692</v>
      </c>
      <c r="G653" t="s">
        <v>440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34" t="s">
        <v>690</v>
      </c>
      <c r="L653" s="34" t="s">
        <v>465</v>
      </c>
      <c r="M653">
        <v>2756101</v>
      </c>
      <c r="N653" t="s">
        <v>167</v>
      </c>
      <c r="O653" t="str">
        <f t="shared" si="56"/>
        <v>06140108580017</v>
      </c>
      <c r="P653" t="s">
        <v>168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465</v>
      </c>
      <c r="AA653" s="38" t="s">
        <v>1</v>
      </c>
      <c r="AB653" t="s">
        <v>465</v>
      </c>
      <c r="AC653">
        <v>0</v>
      </c>
    </row>
    <row r="654" spans="1:29" hidden="1" x14ac:dyDescent="0.25">
      <c r="A654" t="s">
        <v>596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692</v>
      </c>
      <c r="G654" t="s">
        <v>440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34" t="s">
        <v>690</v>
      </c>
      <c r="L654" s="34" t="s">
        <v>465</v>
      </c>
      <c r="M654">
        <v>2967342</v>
      </c>
      <c r="N654" t="s">
        <v>167</v>
      </c>
      <c r="O654" t="str">
        <f t="shared" si="56"/>
        <v>06140108580017</v>
      </c>
      <c r="P654" t="s">
        <v>168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465</v>
      </c>
      <c r="AA654" s="38" t="s">
        <v>1</v>
      </c>
      <c r="AB654" t="s">
        <v>465</v>
      </c>
      <c r="AC654">
        <v>0</v>
      </c>
    </row>
    <row r="655" spans="1:29" hidden="1" x14ac:dyDescent="0.25">
      <c r="A655" t="s">
        <v>596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692</v>
      </c>
      <c r="G655" t="s">
        <v>440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34" t="s">
        <v>690</v>
      </c>
      <c r="L655" s="34" t="s">
        <v>465</v>
      </c>
      <c r="M655">
        <v>84</v>
      </c>
      <c r="N655" t="s">
        <v>341</v>
      </c>
      <c r="O655" t="str">
        <f t="shared" si="56"/>
        <v>05112308101011</v>
      </c>
      <c r="P655" t="s">
        <v>342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465</v>
      </c>
      <c r="AA655" s="38" t="s">
        <v>1</v>
      </c>
      <c r="AB655" t="s">
        <v>514</v>
      </c>
      <c r="AC655">
        <v>1406.99</v>
      </c>
    </row>
    <row r="656" spans="1:29" hidden="1" x14ac:dyDescent="0.25">
      <c r="A656" t="s">
        <v>596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633</v>
      </c>
      <c r="G656" t="s">
        <v>440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34" t="s">
        <v>690</v>
      </c>
      <c r="L656" s="34" t="s">
        <v>465</v>
      </c>
      <c r="M656">
        <v>3836939</v>
      </c>
      <c r="N656" t="s">
        <v>274</v>
      </c>
      <c r="O656" t="str">
        <f t="shared" si="56"/>
        <v>06142610981012</v>
      </c>
      <c r="P656" t="s">
        <v>275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465</v>
      </c>
      <c r="AA656" s="38" t="s">
        <v>1</v>
      </c>
      <c r="AB656" t="s">
        <v>465</v>
      </c>
      <c r="AC656">
        <v>0</v>
      </c>
    </row>
    <row r="657" spans="1:29" hidden="1" x14ac:dyDescent="0.25">
      <c r="A657" t="s">
        <v>596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633</v>
      </c>
      <c r="G657" t="s">
        <v>440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34" t="s">
        <v>690</v>
      </c>
      <c r="L657" s="34" t="s">
        <v>465</v>
      </c>
      <c r="M657">
        <v>22297</v>
      </c>
      <c r="N657" t="s">
        <v>114</v>
      </c>
      <c r="O657" t="str">
        <f t="shared" si="56"/>
        <v>02102402171027</v>
      </c>
      <c r="P657" t="s">
        <v>115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465</v>
      </c>
      <c r="AA657" s="38" t="s">
        <v>1</v>
      </c>
      <c r="AB657" t="s">
        <v>465</v>
      </c>
      <c r="AC657">
        <v>0</v>
      </c>
    </row>
    <row r="658" spans="1:29" hidden="1" x14ac:dyDescent="0.25">
      <c r="A658" t="s">
        <v>596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633</v>
      </c>
      <c r="G658" t="s">
        <v>440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34" t="s">
        <v>690</v>
      </c>
      <c r="L658" s="34" t="s">
        <v>465</v>
      </c>
      <c r="M658">
        <v>5207</v>
      </c>
      <c r="N658" t="s">
        <v>83</v>
      </c>
      <c r="O658" t="str">
        <f t="shared" si="56"/>
        <v>12171207011015</v>
      </c>
      <c r="P658" t="s">
        <v>84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465</v>
      </c>
      <c r="AA658" s="38" t="s">
        <v>1</v>
      </c>
      <c r="AB658" t="s">
        <v>465</v>
      </c>
      <c r="AC658">
        <v>0</v>
      </c>
    </row>
    <row r="659" spans="1:29" hidden="1" x14ac:dyDescent="0.25">
      <c r="A659" t="s">
        <v>596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633</v>
      </c>
      <c r="G659" t="s">
        <v>440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34" t="s">
        <v>690</v>
      </c>
      <c r="L659" s="34" t="s">
        <v>465</v>
      </c>
      <c r="M659">
        <v>13821</v>
      </c>
      <c r="N659" t="s">
        <v>712</v>
      </c>
      <c r="O659" t="str">
        <f t="shared" si="56"/>
        <v>061423029*31020</v>
      </c>
      <c r="P659" t="s">
        <v>180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465</v>
      </c>
      <c r="AA659" s="38" t="s">
        <v>1</v>
      </c>
      <c r="AB659" t="s">
        <v>465</v>
      </c>
      <c r="AC659">
        <v>0</v>
      </c>
    </row>
    <row r="660" spans="1:29" hidden="1" x14ac:dyDescent="0.25">
      <c r="A660" t="s">
        <v>596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711</v>
      </c>
      <c r="G660" t="s">
        <v>440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34" t="s">
        <v>690</v>
      </c>
      <c r="L660" s="34" t="s">
        <v>465</v>
      </c>
      <c r="M660">
        <v>20661</v>
      </c>
      <c r="N660" t="s">
        <v>114</v>
      </c>
      <c r="O660" t="str">
        <f t="shared" si="56"/>
        <v>02102402171027</v>
      </c>
      <c r="P660" t="s">
        <v>115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465</v>
      </c>
      <c r="AA660" s="38" t="s">
        <v>1</v>
      </c>
      <c r="AB660" t="s">
        <v>465</v>
      </c>
      <c r="AC660">
        <v>0</v>
      </c>
    </row>
    <row r="661" spans="1:29" hidden="1" x14ac:dyDescent="0.25">
      <c r="A661" t="s">
        <v>596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711</v>
      </c>
      <c r="G661" t="s">
        <v>440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34" t="s">
        <v>690</v>
      </c>
      <c r="L661" s="34" t="s">
        <v>465</v>
      </c>
      <c r="M661">
        <v>61</v>
      </c>
      <c r="N661" t="s">
        <v>177</v>
      </c>
      <c r="O661" t="str">
        <f t="shared" si="56"/>
        <v>06141611841170</v>
      </c>
      <c r="P661" t="s">
        <v>178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465</v>
      </c>
      <c r="AA661" s="38" t="s">
        <v>1</v>
      </c>
      <c r="AB661" t="s">
        <v>465</v>
      </c>
      <c r="AC661">
        <v>0</v>
      </c>
    </row>
    <row r="662" spans="1:29" hidden="1" x14ac:dyDescent="0.25">
      <c r="A662" t="s">
        <v>596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635</v>
      </c>
      <c r="G662" t="s">
        <v>440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34" t="s">
        <v>690</v>
      </c>
      <c r="L662" s="34" t="s">
        <v>465</v>
      </c>
      <c r="M662">
        <v>15715</v>
      </c>
      <c r="N662" t="s">
        <v>214</v>
      </c>
      <c r="O662" t="str">
        <f t="shared" si="56"/>
        <v>06142501101070</v>
      </c>
      <c r="P662" t="s">
        <v>215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465</v>
      </c>
      <c r="AA662" s="38" t="s">
        <v>1</v>
      </c>
      <c r="AB662" t="s">
        <v>465</v>
      </c>
      <c r="AC662">
        <v>0</v>
      </c>
    </row>
    <row r="663" spans="1:29" hidden="1" x14ac:dyDescent="0.25">
      <c r="A663" t="s">
        <v>596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635</v>
      </c>
      <c r="G663" t="s">
        <v>440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34" t="s">
        <v>690</v>
      </c>
      <c r="L663" s="34" t="s">
        <v>465</v>
      </c>
      <c r="M663">
        <v>183718</v>
      </c>
      <c r="N663" t="s">
        <v>225</v>
      </c>
      <c r="O663" t="str">
        <f t="shared" si="56"/>
        <v>06141007840010</v>
      </c>
      <c r="P663" t="s">
        <v>226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465</v>
      </c>
      <c r="AA663" s="38" t="s">
        <v>1</v>
      </c>
      <c r="AB663" t="s">
        <v>465</v>
      </c>
      <c r="AC663">
        <v>0</v>
      </c>
    </row>
    <row r="664" spans="1:29" hidden="1" x14ac:dyDescent="0.25">
      <c r="A664" t="s">
        <v>596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649</v>
      </c>
      <c r="G664" t="s">
        <v>440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34" t="s">
        <v>690</v>
      </c>
      <c r="L664" s="34" t="s">
        <v>465</v>
      </c>
      <c r="M664">
        <v>2788</v>
      </c>
      <c r="N664" t="s">
        <v>83</v>
      </c>
      <c r="O664" t="str">
        <f t="shared" si="56"/>
        <v>12171207011015</v>
      </c>
      <c r="P664" t="s">
        <v>84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465</v>
      </c>
      <c r="AA664" s="38" t="s">
        <v>1</v>
      </c>
      <c r="AB664" t="s">
        <v>465</v>
      </c>
      <c r="AC664">
        <v>0</v>
      </c>
    </row>
    <row r="665" spans="1:29" hidden="1" x14ac:dyDescent="0.25">
      <c r="A665" t="s">
        <v>596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649</v>
      </c>
      <c r="G665" t="s">
        <v>440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34" t="s">
        <v>690</v>
      </c>
      <c r="L665" s="34" t="s">
        <v>465</v>
      </c>
      <c r="M665">
        <v>2789</v>
      </c>
      <c r="N665" t="s">
        <v>83</v>
      </c>
      <c r="O665" t="str">
        <f t="shared" si="56"/>
        <v>12171207011015</v>
      </c>
      <c r="P665" t="s">
        <v>84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465</v>
      </c>
      <c r="AA665" s="38" t="s">
        <v>1</v>
      </c>
      <c r="AB665" t="s">
        <v>465</v>
      </c>
      <c r="AC665">
        <v>0</v>
      </c>
    </row>
    <row r="666" spans="1:29" hidden="1" x14ac:dyDescent="0.25">
      <c r="A666" t="s">
        <v>596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649</v>
      </c>
      <c r="G666" t="s">
        <v>440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34" t="s">
        <v>690</v>
      </c>
      <c r="L666" s="34" t="s">
        <v>465</v>
      </c>
      <c r="M666">
        <v>2787</v>
      </c>
      <c r="N666" t="s">
        <v>83</v>
      </c>
      <c r="O666" t="str">
        <f t="shared" si="56"/>
        <v>12171207011015</v>
      </c>
      <c r="P666" t="s">
        <v>84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465</v>
      </c>
      <c r="AA666" s="38" t="s">
        <v>1</v>
      </c>
      <c r="AB666" t="s">
        <v>514</v>
      </c>
      <c r="AC666">
        <v>302.2</v>
      </c>
    </row>
    <row r="667" spans="1:29" hidden="1" x14ac:dyDescent="0.25">
      <c r="A667" t="s">
        <v>596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587</v>
      </c>
      <c r="G667" t="s">
        <v>440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34" t="s">
        <v>690</v>
      </c>
      <c r="L667" s="34" t="s">
        <v>465</v>
      </c>
      <c r="M667">
        <v>308</v>
      </c>
      <c r="N667" t="s">
        <v>576</v>
      </c>
      <c r="O667" t="str">
        <f t="shared" si="56"/>
        <v>11020404600018</v>
      </c>
      <c r="P667" t="s">
        <v>577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465</v>
      </c>
      <c r="AA667" s="38" t="s">
        <v>1</v>
      </c>
      <c r="AB667" t="s">
        <v>520</v>
      </c>
      <c r="AC667">
        <v>5.42</v>
      </c>
    </row>
    <row r="668" spans="1:29" hidden="1" x14ac:dyDescent="0.25">
      <c r="A668" t="s">
        <v>596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588</v>
      </c>
      <c r="G668" t="s">
        <v>440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34" t="s">
        <v>690</v>
      </c>
      <c r="L668" s="34" t="s">
        <v>465</v>
      </c>
      <c r="M668">
        <v>41788</v>
      </c>
      <c r="N668" t="s">
        <v>196</v>
      </c>
      <c r="O668" t="str">
        <f t="shared" si="56"/>
        <v>06141402370078</v>
      </c>
      <c r="P668" t="s">
        <v>197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465</v>
      </c>
      <c r="AA668" s="38" t="s">
        <v>1</v>
      </c>
      <c r="AB668" t="s">
        <v>465</v>
      </c>
      <c r="AC668">
        <v>0</v>
      </c>
    </row>
    <row r="669" spans="1:29" hidden="1" x14ac:dyDescent="0.25">
      <c r="A669" t="s">
        <v>596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589</v>
      </c>
      <c r="G669" t="s">
        <v>440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34" t="s">
        <v>690</v>
      </c>
      <c r="L669" s="34" t="s">
        <v>465</v>
      </c>
      <c r="M669">
        <v>7540</v>
      </c>
      <c r="N669" t="s">
        <v>315</v>
      </c>
      <c r="O669" t="str">
        <f t="shared" si="56"/>
        <v>06140106710049</v>
      </c>
      <c r="P669" t="s">
        <v>316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465</v>
      </c>
      <c r="AA669" s="38" t="s">
        <v>1</v>
      </c>
      <c r="AB669" t="s">
        <v>465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4" priority="1"/>
    <cfRule type="duplicateValues" dxfId="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524"/>
  <sheetViews>
    <sheetView tabSelected="1" zoomScaleNormal="100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39"/>
      <c r="D1" s="39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45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479</v>
      </c>
      <c r="R2" t="s">
        <v>16</v>
      </c>
      <c r="S2" t="s">
        <v>43</v>
      </c>
      <c r="T2" t="s">
        <v>468</v>
      </c>
    </row>
    <row r="3" spans="1:21" x14ac:dyDescent="0.25">
      <c r="A3" t="s">
        <v>554</v>
      </c>
      <c r="B3" t="s">
        <v>1238</v>
      </c>
      <c r="C3" t="s">
        <v>440</v>
      </c>
      <c r="D3" t="s">
        <v>0</v>
      </c>
      <c r="E3">
        <v>63736</v>
      </c>
      <c r="F3" t="s">
        <v>362</v>
      </c>
      <c r="G3" t="s">
        <v>363</v>
      </c>
      <c r="H3" s="2">
        <v>0</v>
      </c>
      <c r="I3" s="2">
        <v>0</v>
      </c>
      <c r="J3" s="2">
        <v>0</v>
      </c>
      <c r="K3" s="6">
        <v>385.32</v>
      </c>
      <c r="L3" s="2">
        <v>0</v>
      </c>
      <c r="M3" s="2">
        <v>0</v>
      </c>
      <c r="N3" s="2">
        <v>0</v>
      </c>
      <c r="O3" s="2">
        <v>50.0916</v>
      </c>
      <c r="P3" s="2">
        <v>435.41160000000002</v>
      </c>
      <c r="Q3" t="s">
        <v>465</v>
      </c>
      <c r="R3" t="s">
        <v>516</v>
      </c>
      <c r="S3" s="2" t="s">
        <v>518</v>
      </c>
      <c r="T3" s="2">
        <v>3.85</v>
      </c>
      <c r="U3" s="2"/>
    </row>
    <row r="4" spans="1:21" x14ac:dyDescent="0.25">
      <c r="A4" t="s">
        <v>554</v>
      </c>
      <c r="B4" t="s">
        <v>1286</v>
      </c>
      <c r="C4" t="s">
        <v>440</v>
      </c>
      <c r="D4" t="s">
        <v>0</v>
      </c>
      <c r="E4">
        <v>86226</v>
      </c>
      <c r="F4" t="s">
        <v>362</v>
      </c>
      <c r="G4" t="s">
        <v>363</v>
      </c>
      <c r="H4" s="2">
        <v>0</v>
      </c>
      <c r="I4" s="2">
        <v>0</v>
      </c>
      <c r="J4" s="2">
        <v>0</v>
      </c>
      <c r="K4" s="6">
        <v>156.25</v>
      </c>
      <c r="L4" s="2">
        <v>0</v>
      </c>
      <c r="M4" s="2">
        <v>0</v>
      </c>
      <c r="N4" s="2">
        <v>0</v>
      </c>
      <c r="O4" s="2">
        <v>20.3125</v>
      </c>
      <c r="P4" s="2">
        <v>176.5625</v>
      </c>
      <c r="Q4" t="s">
        <v>465</v>
      </c>
      <c r="R4" t="s">
        <v>516</v>
      </c>
      <c r="S4" s="2" t="s">
        <v>518</v>
      </c>
      <c r="T4" s="2">
        <v>1.56</v>
      </c>
      <c r="U4" s="2"/>
    </row>
    <row r="5" spans="1:21" x14ac:dyDescent="0.25">
      <c r="A5" t="s">
        <v>554</v>
      </c>
      <c r="B5" t="s">
        <v>1273</v>
      </c>
      <c r="C5" t="s">
        <v>440</v>
      </c>
      <c r="D5" t="s">
        <v>0</v>
      </c>
      <c r="E5">
        <v>33626</v>
      </c>
      <c r="F5" t="s">
        <v>350</v>
      </c>
      <c r="G5" t="s">
        <v>351</v>
      </c>
      <c r="H5" s="2">
        <v>0</v>
      </c>
      <c r="I5" s="2">
        <v>0</v>
      </c>
      <c r="J5" s="2">
        <v>0</v>
      </c>
      <c r="K5" s="6">
        <v>287.61</v>
      </c>
      <c r="L5" s="2">
        <v>0</v>
      </c>
      <c r="M5" s="2">
        <v>0</v>
      </c>
      <c r="N5" s="2">
        <v>0</v>
      </c>
      <c r="O5" s="2">
        <v>37.389300000000006</v>
      </c>
      <c r="P5" s="2">
        <v>324.99930000000001</v>
      </c>
      <c r="Q5" t="s">
        <v>465</v>
      </c>
      <c r="R5" t="s">
        <v>516</v>
      </c>
      <c r="S5" s="2" t="s">
        <v>1223</v>
      </c>
      <c r="T5" s="2">
        <v>2.88</v>
      </c>
      <c r="U5" s="2"/>
    </row>
    <row r="6" spans="1:21" x14ac:dyDescent="0.25">
      <c r="A6" t="s">
        <v>554</v>
      </c>
      <c r="B6" t="s">
        <v>1287</v>
      </c>
      <c r="C6" t="s">
        <v>440</v>
      </c>
      <c r="D6" t="s">
        <v>0</v>
      </c>
      <c r="E6">
        <v>18705</v>
      </c>
      <c r="F6" t="s">
        <v>372</v>
      </c>
      <c r="G6" t="s">
        <v>373</v>
      </c>
      <c r="H6" s="2">
        <v>0</v>
      </c>
      <c r="I6" s="2">
        <v>0</v>
      </c>
      <c r="J6" s="2">
        <v>0</v>
      </c>
      <c r="K6" s="6">
        <v>17.809999999999999</v>
      </c>
      <c r="L6" s="2">
        <v>0</v>
      </c>
      <c r="M6" s="2">
        <v>0</v>
      </c>
      <c r="N6" s="2">
        <v>0</v>
      </c>
      <c r="O6" s="2">
        <v>2.3152999999999997</v>
      </c>
      <c r="P6" s="2">
        <v>20.125299999999999</v>
      </c>
      <c r="Q6" t="s">
        <v>465</v>
      </c>
      <c r="R6" t="s">
        <v>516</v>
      </c>
      <c r="S6" s="2">
        <v>0</v>
      </c>
      <c r="T6" s="2">
        <v>0</v>
      </c>
      <c r="U6" s="2"/>
    </row>
    <row r="7" spans="1:21" x14ac:dyDescent="0.25">
      <c r="A7" t="s">
        <v>554</v>
      </c>
      <c r="B7" t="s">
        <v>1286</v>
      </c>
      <c r="C7" t="s">
        <v>440</v>
      </c>
      <c r="D7" t="s">
        <v>0</v>
      </c>
      <c r="E7">
        <v>1930</v>
      </c>
      <c r="F7" t="s">
        <v>368</v>
      </c>
      <c r="G7" t="s">
        <v>369</v>
      </c>
      <c r="H7" s="2">
        <v>0</v>
      </c>
      <c r="I7" s="2">
        <v>0</v>
      </c>
      <c r="J7" s="2">
        <v>0</v>
      </c>
      <c r="K7" s="6">
        <v>316.85000000000002</v>
      </c>
      <c r="L7" s="2">
        <v>0</v>
      </c>
      <c r="M7" s="2">
        <v>0</v>
      </c>
      <c r="N7" s="2">
        <v>0</v>
      </c>
      <c r="O7" s="2">
        <v>41.190500000000007</v>
      </c>
      <c r="P7" s="2">
        <v>358.04050000000001</v>
      </c>
      <c r="Q7" t="s">
        <v>465</v>
      </c>
      <c r="R7" t="s">
        <v>516</v>
      </c>
      <c r="S7" s="2" t="s">
        <v>1226</v>
      </c>
      <c r="T7" s="2">
        <v>3.17</v>
      </c>
      <c r="U7" s="2"/>
    </row>
    <row r="8" spans="1:21" x14ac:dyDescent="0.25">
      <c r="A8" t="s">
        <v>554</v>
      </c>
      <c r="B8" t="s">
        <v>1303</v>
      </c>
      <c r="C8" t="s">
        <v>440</v>
      </c>
      <c r="D8" t="s">
        <v>0</v>
      </c>
      <c r="E8">
        <v>212357</v>
      </c>
      <c r="F8" t="s">
        <v>256</v>
      </c>
      <c r="G8" t="s">
        <v>257</v>
      </c>
      <c r="H8" s="2">
        <v>0</v>
      </c>
      <c r="I8" s="2">
        <v>0</v>
      </c>
      <c r="J8" s="2">
        <v>0</v>
      </c>
      <c r="K8" s="6">
        <v>963.2</v>
      </c>
      <c r="L8" s="2">
        <v>0</v>
      </c>
      <c r="M8" s="2">
        <v>0</v>
      </c>
      <c r="N8" s="2">
        <v>0</v>
      </c>
      <c r="O8" s="2">
        <v>125.21600000000001</v>
      </c>
      <c r="P8" s="2">
        <v>1088.4160000000002</v>
      </c>
      <c r="Q8" t="s">
        <v>465</v>
      </c>
      <c r="R8" t="s">
        <v>516</v>
      </c>
      <c r="S8" s="2" t="s">
        <v>518</v>
      </c>
      <c r="T8" s="2">
        <v>9.6300000000000008</v>
      </c>
      <c r="U8" s="2"/>
    </row>
    <row r="9" spans="1:21" x14ac:dyDescent="0.25">
      <c r="A9" t="s">
        <v>554</v>
      </c>
      <c r="B9" t="s">
        <v>1303</v>
      </c>
      <c r="C9" t="s">
        <v>440</v>
      </c>
      <c r="D9" t="s">
        <v>0</v>
      </c>
      <c r="E9">
        <v>212353</v>
      </c>
      <c r="F9" t="s">
        <v>256</v>
      </c>
      <c r="G9" t="s">
        <v>257</v>
      </c>
      <c r="H9" s="2">
        <v>0</v>
      </c>
      <c r="I9" s="2">
        <v>0</v>
      </c>
      <c r="J9" s="2">
        <v>0</v>
      </c>
      <c r="K9" s="6">
        <v>394.88</v>
      </c>
      <c r="L9" s="2">
        <v>0</v>
      </c>
      <c r="M9" s="2">
        <v>0</v>
      </c>
      <c r="N9" s="2">
        <v>0</v>
      </c>
      <c r="O9" s="2">
        <v>51.334400000000002</v>
      </c>
      <c r="P9" s="2">
        <v>446.21440000000001</v>
      </c>
      <c r="Q9" t="s">
        <v>465</v>
      </c>
      <c r="R9" t="s">
        <v>516</v>
      </c>
      <c r="S9" s="2" t="s">
        <v>518</v>
      </c>
      <c r="T9" s="2">
        <v>3.95</v>
      </c>
      <c r="U9" s="2"/>
    </row>
    <row r="10" spans="1:21" x14ac:dyDescent="0.25">
      <c r="A10" t="s">
        <v>554</v>
      </c>
      <c r="B10" t="s">
        <v>1303</v>
      </c>
      <c r="C10" t="s">
        <v>440</v>
      </c>
      <c r="D10" t="s">
        <v>0</v>
      </c>
      <c r="E10">
        <v>28293</v>
      </c>
      <c r="F10" t="s">
        <v>317</v>
      </c>
      <c r="G10" t="s">
        <v>318</v>
      </c>
      <c r="H10" s="2">
        <v>0</v>
      </c>
      <c r="I10" s="2">
        <v>0</v>
      </c>
      <c r="J10" s="2">
        <v>0</v>
      </c>
      <c r="K10" s="6">
        <v>146.27000000000001</v>
      </c>
      <c r="L10" s="2">
        <v>0</v>
      </c>
      <c r="M10" s="2">
        <v>0</v>
      </c>
      <c r="N10" s="2">
        <v>0</v>
      </c>
      <c r="O10" s="2">
        <v>19.0151</v>
      </c>
      <c r="P10" s="2">
        <v>165.2851</v>
      </c>
      <c r="Q10" t="s">
        <v>465</v>
      </c>
      <c r="R10" t="s">
        <v>516</v>
      </c>
      <c r="S10" s="2" t="s">
        <v>1226</v>
      </c>
      <c r="T10" s="2">
        <v>1.46</v>
      </c>
      <c r="U10" s="2"/>
    </row>
    <row r="11" spans="1:21" x14ac:dyDescent="0.25">
      <c r="A11" t="s">
        <v>554</v>
      </c>
      <c r="B11" t="s">
        <v>1303</v>
      </c>
      <c r="C11" t="s">
        <v>440</v>
      </c>
      <c r="D11" t="s">
        <v>0</v>
      </c>
      <c r="E11">
        <v>28297</v>
      </c>
      <c r="F11" t="s">
        <v>317</v>
      </c>
      <c r="G11" t="s">
        <v>318</v>
      </c>
      <c r="H11" s="2">
        <v>0</v>
      </c>
      <c r="I11" s="2">
        <v>0</v>
      </c>
      <c r="J11" s="2">
        <v>0</v>
      </c>
      <c r="K11" s="6">
        <v>96.2</v>
      </c>
      <c r="L11" s="2">
        <v>0</v>
      </c>
      <c r="M11" s="2">
        <v>0</v>
      </c>
      <c r="N11" s="2">
        <v>0</v>
      </c>
      <c r="O11" s="2">
        <v>12.506</v>
      </c>
      <c r="P11" s="2">
        <v>108.706</v>
      </c>
      <c r="Q11" t="s">
        <v>465</v>
      </c>
      <c r="R11" t="s">
        <v>516</v>
      </c>
      <c r="S11" s="2">
        <v>0</v>
      </c>
      <c r="T11" s="2">
        <v>0</v>
      </c>
      <c r="U11" s="2"/>
    </row>
    <row r="12" spans="1:21" x14ac:dyDescent="0.25">
      <c r="A12" t="s">
        <v>554</v>
      </c>
      <c r="B12" t="s">
        <v>1285</v>
      </c>
      <c r="C12" t="s">
        <v>440</v>
      </c>
      <c r="D12" t="s">
        <v>0</v>
      </c>
      <c r="E12">
        <v>4618</v>
      </c>
      <c r="F12" t="s">
        <v>143</v>
      </c>
      <c r="G12" t="s">
        <v>144</v>
      </c>
      <c r="H12" s="2">
        <v>0</v>
      </c>
      <c r="I12" s="2">
        <v>0</v>
      </c>
      <c r="J12" s="2">
        <v>0</v>
      </c>
      <c r="K12" s="6">
        <v>3666</v>
      </c>
      <c r="L12" s="2">
        <v>0</v>
      </c>
      <c r="M12" s="2">
        <v>0</v>
      </c>
      <c r="N12" s="2">
        <v>0</v>
      </c>
      <c r="O12" s="2">
        <v>476.58000000000004</v>
      </c>
      <c r="P12" s="2">
        <v>4142.58</v>
      </c>
      <c r="Q12" t="s">
        <v>465</v>
      </c>
      <c r="R12" t="s">
        <v>516</v>
      </c>
      <c r="S12" s="2" t="s">
        <v>520</v>
      </c>
      <c r="T12" s="2">
        <v>36.659999999999997</v>
      </c>
      <c r="U12" s="2"/>
    </row>
    <row r="13" spans="1:21" x14ac:dyDescent="0.25">
      <c r="A13" t="s">
        <v>554</v>
      </c>
      <c r="B13" t="s">
        <v>1285</v>
      </c>
      <c r="C13" t="s">
        <v>440</v>
      </c>
      <c r="D13" t="s">
        <v>0</v>
      </c>
      <c r="E13">
        <v>3567</v>
      </c>
      <c r="F13" t="s">
        <v>1084</v>
      </c>
      <c r="G13" t="s">
        <v>1085</v>
      </c>
      <c r="H13" s="2">
        <v>0</v>
      </c>
      <c r="I13" s="2">
        <v>0</v>
      </c>
      <c r="J13" s="2">
        <v>0</v>
      </c>
      <c r="K13" s="6">
        <v>92.39</v>
      </c>
      <c r="L13" s="2">
        <v>0</v>
      </c>
      <c r="M13" s="2">
        <v>0</v>
      </c>
      <c r="N13" s="2">
        <v>0</v>
      </c>
      <c r="O13" s="2">
        <v>12.0107</v>
      </c>
      <c r="P13" s="2">
        <v>104.4007</v>
      </c>
      <c r="Q13" t="s">
        <v>465</v>
      </c>
      <c r="R13" t="s">
        <v>516</v>
      </c>
      <c r="S13" s="2">
        <v>0</v>
      </c>
      <c r="T13" s="2">
        <v>0</v>
      </c>
      <c r="U13" s="2"/>
    </row>
    <row r="14" spans="1:21" x14ac:dyDescent="0.25">
      <c r="A14" t="s">
        <v>554</v>
      </c>
      <c r="B14" t="s">
        <v>1240</v>
      </c>
      <c r="C14" t="s">
        <v>440</v>
      </c>
      <c r="D14" t="s">
        <v>0</v>
      </c>
      <c r="E14">
        <v>3011</v>
      </c>
      <c r="F14" t="s">
        <v>1037</v>
      </c>
      <c r="G14" t="s">
        <v>1038</v>
      </c>
      <c r="H14" s="2">
        <v>0</v>
      </c>
      <c r="I14" s="2">
        <v>0</v>
      </c>
      <c r="J14" s="2">
        <v>0</v>
      </c>
      <c r="K14" s="6">
        <v>28.85</v>
      </c>
      <c r="L14" s="2">
        <v>0</v>
      </c>
      <c r="M14" s="2">
        <v>0</v>
      </c>
      <c r="N14" s="2">
        <v>0</v>
      </c>
      <c r="O14" s="2">
        <v>3.7505000000000002</v>
      </c>
      <c r="P14" s="2">
        <v>32.600500000000004</v>
      </c>
      <c r="Q14" t="s">
        <v>465</v>
      </c>
      <c r="R14" t="s">
        <v>516</v>
      </c>
      <c r="S14" s="2">
        <v>0</v>
      </c>
      <c r="T14" s="2">
        <v>0</v>
      </c>
      <c r="U14" s="2"/>
    </row>
    <row r="15" spans="1:21" x14ac:dyDescent="0.25">
      <c r="A15" t="s">
        <v>554</v>
      </c>
      <c r="B15" t="s">
        <v>1274</v>
      </c>
      <c r="C15" t="s">
        <v>440</v>
      </c>
      <c r="D15" t="s">
        <v>0</v>
      </c>
      <c r="E15">
        <v>4392</v>
      </c>
      <c r="F15" t="s">
        <v>143</v>
      </c>
      <c r="G15" t="s">
        <v>144</v>
      </c>
      <c r="H15" s="2">
        <v>0</v>
      </c>
      <c r="I15" s="2">
        <v>0</v>
      </c>
      <c r="J15" s="2">
        <v>0</v>
      </c>
      <c r="K15" s="6">
        <v>2392</v>
      </c>
      <c r="L15" s="2">
        <v>0</v>
      </c>
      <c r="M15" s="2">
        <v>0</v>
      </c>
      <c r="N15" s="2">
        <v>0</v>
      </c>
      <c r="O15" s="2">
        <v>310.96000000000004</v>
      </c>
      <c r="P15" s="2">
        <v>2702.96</v>
      </c>
      <c r="Q15" t="s">
        <v>465</v>
      </c>
      <c r="R15" t="s">
        <v>516</v>
      </c>
      <c r="S15" s="2" t="s">
        <v>520</v>
      </c>
      <c r="T15" s="2">
        <v>23.92</v>
      </c>
      <c r="U15" s="2"/>
    </row>
    <row r="16" spans="1:21" x14ac:dyDescent="0.25">
      <c r="A16" t="s">
        <v>554</v>
      </c>
      <c r="B16" t="s">
        <v>1291</v>
      </c>
      <c r="C16" t="s">
        <v>440</v>
      </c>
      <c r="D16" t="s">
        <v>0</v>
      </c>
      <c r="E16">
        <v>11058</v>
      </c>
      <c r="F16" t="s">
        <v>348</v>
      </c>
      <c r="G16" t="s">
        <v>349</v>
      </c>
      <c r="H16" s="2">
        <v>0</v>
      </c>
      <c r="I16" s="2">
        <v>0</v>
      </c>
      <c r="J16" s="2">
        <v>0</v>
      </c>
      <c r="K16" s="6">
        <v>130.97</v>
      </c>
      <c r="L16" s="2">
        <v>0</v>
      </c>
      <c r="M16" s="2">
        <v>0</v>
      </c>
      <c r="N16" s="2">
        <v>0</v>
      </c>
      <c r="O16" s="2">
        <v>17.0261</v>
      </c>
      <c r="P16" s="2">
        <v>147.99610000000001</v>
      </c>
      <c r="Q16" t="s">
        <v>465</v>
      </c>
      <c r="R16" t="s">
        <v>516</v>
      </c>
      <c r="S16" s="2" t="s">
        <v>1223</v>
      </c>
      <c r="T16" s="2">
        <v>1.31</v>
      </c>
      <c r="U16" s="2"/>
    </row>
    <row r="17" spans="1:21" x14ac:dyDescent="0.25">
      <c r="A17" t="s">
        <v>554</v>
      </c>
      <c r="B17" t="s">
        <v>1291</v>
      </c>
      <c r="C17" t="s">
        <v>440</v>
      </c>
      <c r="D17" t="s">
        <v>0</v>
      </c>
      <c r="E17">
        <v>3139</v>
      </c>
      <c r="F17" t="s">
        <v>1037</v>
      </c>
      <c r="G17" t="s">
        <v>1038</v>
      </c>
      <c r="H17" s="2">
        <v>0</v>
      </c>
      <c r="I17" s="2">
        <v>0</v>
      </c>
      <c r="J17" s="2">
        <v>0</v>
      </c>
      <c r="K17" s="6">
        <v>203.54</v>
      </c>
      <c r="L17" s="2">
        <v>0</v>
      </c>
      <c r="M17" s="2">
        <v>0</v>
      </c>
      <c r="N17" s="2">
        <v>0</v>
      </c>
      <c r="O17" s="2">
        <v>26.4602</v>
      </c>
      <c r="P17" s="2">
        <v>230.00020000000001</v>
      </c>
      <c r="Q17" t="s">
        <v>465</v>
      </c>
      <c r="R17" t="s">
        <v>516</v>
      </c>
      <c r="S17" s="2">
        <v>0</v>
      </c>
      <c r="T17" s="2">
        <v>0</v>
      </c>
      <c r="U17" s="2"/>
    </row>
    <row r="18" spans="1:21" x14ac:dyDescent="0.25">
      <c r="A18" t="s">
        <v>554</v>
      </c>
      <c r="B18" t="s">
        <v>1291</v>
      </c>
      <c r="C18" t="s">
        <v>440</v>
      </c>
      <c r="D18" t="s">
        <v>0</v>
      </c>
      <c r="E18">
        <v>9242</v>
      </c>
      <c r="F18" t="s">
        <v>417</v>
      </c>
      <c r="G18" t="s">
        <v>418</v>
      </c>
      <c r="H18" s="2">
        <v>0</v>
      </c>
      <c r="I18" s="2">
        <v>0</v>
      </c>
      <c r="J18" s="2">
        <v>0</v>
      </c>
      <c r="K18" s="6">
        <v>133.99</v>
      </c>
      <c r="L18" s="2">
        <v>0</v>
      </c>
      <c r="M18" s="2">
        <v>0</v>
      </c>
      <c r="N18" s="2">
        <v>0</v>
      </c>
      <c r="O18" s="2">
        <v>17.418700000000001</v>
      </c>
      <c r="P18" s="2">
        <v>151.40870000000001</v>
      </c>
      <c r="Q18" t="s">
        <v>465</v>
      </c>
      <c r="R18" t="s">
        <v>516</v>
      </c>
      <c r="S18" s="2">
        <v>0</v>
      </c>
      <c r="T18" s="2">
        <v>0</v>
      </c>
      <c r="U18" s="2"/>
    </row>
    <row r="19" spans="1:21" x14ac:dyDescent="0.25">
      <c r="A19" t="s">
        <v>554</v>
      </c>
      <c r="B19" t="s">
        <v>1235</v>
      </c>
      <c r="C19" t="s">
        <v>440</v>
      </c>
      <c r="D19" t="s">
        <v>0</v>
      </c>
      <c r="E19">
        <v>212071</v>
      </c>
      <c r="F19" t="s">
        <v>256</v>
      </c>
      <c r="G19" t="s">
        <v>257</v>
      </c>
      <c r="H19" s="2">
        <v>0</v>
      </c>
      <c r="I19" s="2">
        <v>0</v>
      </c>
      <c r="J19" s="2">
        <v>0</v>
      </c>
      <c r="K19" s="6">
        <v>575.91</v>
      </c>
      <c r="L19" s="2">
        <v>0</v>
      </c>
      <c r="M19" s="2">
        <v>0</v>
      </c>
      <c r="N19" s="2">
        <v>0</v>
      </c>
      <c r="O19" s="2">
        <v>74.868300000000005</v>
      </c>
      <c r="P19" s="2">
        <v>650.77829999999994</v>
      </c>
      <c r="Q19" t="s">
        <v>465</v>
      </c>
      <c r="R19" t="s">
        <v>516</v>
      </c>
      <c r="S19" s="2" t="s">
        <v>518</v>
      </c>
      <c r="T19" s="2">
        <v>5.76</v>
      </c>
      <c r="U19" s="2"/>
    </row>
    <row r="20" spans="1:21" x14ac:dyDescent="0.25">
      <c r="A20" t="s">
        <v>554</v>
      </c>
      <c r="B20" t="s">
        <v>1290</v>
      </c>
      <c r="C20" t="s">
        <v>440</v>
      </c>
      <c r="D20" t="s">
        <v>0</v>
      </c>
      <c r="E20">
        <v>27259</v>
      </c>
      <c r="F20" t="s">
        <v>317</v>
      </c>
      <c r="G20" t="s">
        <v>318</v>
      </c>
      <c r="H20" s="2">
        <v>0</v>
      </c>
      <c r="I20" s="2">
        <v>0</v>
      </c>
      <c r="J20" s="2">
        <v>0</v>
      </c>
      <c r="K20" s="6">
        <v>224.43</v>
      </c>
      <c r="L20" s="2">
        <v>0</v>
      </c>
      <c r="M20" s="2">
        <v>0</v>
      </c>
      <c r="N20" s="2">
        <v>0</v>
      </c>
      <c r="O20" s="2">
        <v>29.175900000000002</v>
      </c>
      <c r="P20" s="2">
        <v>253.60590000000002</v>
      </c>
      <c r="Q20" t="s">
        <v>465</v>
      </c>
      <c r="R20" t="s">
        <v>516</v>
      </c>
      <c r="S20" s="2" t="s">
        <v>1223</v>
      </c>
      <c r="T20" s="2">
        <v>2.2400000000000002</v>
      </c>
      <c r="U20" s="2"/>
    </row>
    <row r="21" spans="1:21" x14ac:dyDescent="0.25">
      <c r="A21" t="s">
        <v>554</v>
      </c>
      <c r="B21" t="s">
        <v>1291</v>
      </c>
      <c r="C21" t="s">
        <v>440</v>
      </c>
      <c r="D21" t="s">
        <v>0</v>
      </c>
      <c r="E21">
        <v>27139</v>
      </c>
      <c r="F21" t="s">
        <v>317</v>
      </c>
      <c r="G21" t="s">
        <v>318</v>
      </c>
      <c r="H21" s="2">
        <v>0</v>
      </c>
      <c r="I21" s="2">
        <v>0</v>
      </c>
      <c r="J21" s="2">
        <v>0</v>
      </c>
      <c r="K21" s="6">
        <v>62.1</v>
      </c>
      <c r="L21" s="2">
        <v>0</v>
      </c>
      <c r="M21" s="2">
        <v>0</v>
      </c>
      <c r="N21" s="2">
        <v>0</v>
      </c>
      <c r="O21" s="2">
        <v>8.0730000000000004</v>
      </c>
      <c r="P21" s="2">
        <v>70.173000000000002</v>
      </c>
      <c r="Q21" t="s">
        <v>465</v>
      </c>
      <c r="R21" t="s">
        <v>516</v>
      </c>
      <c r="S21" s="2">
        <v>0</v>
      </c>
      <c r="T21" s="2">
        <v>0</v>
      </c>
      <c r="U21" s="2"/>
    </row>
    <row r="22" spans="1:21" x14ac:dyDescent="0.25">
      <c r="A22" t="s">
        <v>554</v>
      </c>
      <c r="B22" t="s">
        <v>1289</v>
      </c>
      <c r="C22" t="s">
        <v>440</v>
      </c>
      <c r="D22" t="s">
        <v>0</v>
      </c>
      <c r="E22">
        <v>1583596</v>
      </c>
      <c r="F22" t="s">
        <v>221</v>
      </c>
      <c r="G22" t="s">
        <v>222</v>
      </c>
      <c r="H22" s="2">
        <v>0</v>
      </c>
      <c r="I22" s="2">
        <v>0</v>
      </c>
      <c r="J22" s="2">
        <v>0</v>
      </c>
      <c r="K22" s="6">
        <v>707.36</v>
      </c>
      <c r="L22" s="2">
        <v>0</v>
      </c>
      <c r="M22" s="2">
        <v>0</v>
      </c>
      <c r="N22" s="2">
        <v>0</v>
      </c>
      <c r="O22" s="2">
        <v>91.956800000000001</v>
      </c>
      <c r="P22" s="2">
        <v>799.31680000000006</v>
      </c>
      <c r="Q22" t="s">
        <v>465</v>
      </c>
      <c r="R22" t="s">
        <v>516</v>
      </c>
      <c r="S22" s="2" t="s">
        <v>518</v>
      </c>
      <c r="T22" s="2">
        <v>7.07</v>
      </c>
      <c r="U22" s="2"/>
    </row>
    <row r="23" spans="1:21" x14ac:dyDescent="0.25">
      <c r="A23" t="s">
        <v>554</v>
      </c>
      <c r="B23" t="s">
        <v>1289</v>
      </c>
      <c r="C23" t="s">
        <v>440</v>
      </c>
      <c r="D23" t="s">
        <v>0</v>
      </c>
      <c r="E23">
        <v>1955750</v>
      </c>
      <c r="F23" t="s">
        <v>221</v>
      </c>
      <c r="G23" t="s">
        <v>222</v>
      </c>
      <c r="H23" s="2">
        <v>0</v>
      </c>
      <c r="I23" s="2">
        <v>0</v>
      </c>
      <c r="J23" s="2">
        <v>0</v>
      </c>
      <c r="K23" s="6">
        <v>882.5</v>
      </c>
      <c r="L23" s="2">
        <v>0</v>
      </c>
      <c r="M23" s="2">
        <v>0</v>
      </c>
      <c r="N23" s="2">
        <v>0</v>
      </c>
      <c r="O23" s="2">
        <v>114.72500000000001</v>
      </c>
      <c r="P23" s="2">
        <v>997.22500000000002</v>
      </c>
      <c r="Q23" t="s">
        <v>465</v>
      </c>
      <c r="R23" t="s">
        <v>516</v>
      </c>
      <c r="S23" s="2" t="s">
        <v>518</v>
      </c>
      <c r="T23" s="2">
        <v>8.83</v>
      </c>
      <c r="U23" s="2"/>
    </row>
    <row r="24" spans="1:21" x14ac:dyDescent="0.25">
      <c r="A24" t="s">
        <v>554</v>
      </c>
      <c r="B24" t="s">
        <v>1288</v>
      </c>
      <c r="C24" t="s">
        <v>440</v>
      </c>
      <c r="D24" t="s">
        <v>0</v>
      </c>
      <c r="E24">
        <v>3188</v>
      </c>
      <c r="F24" t="s">
        <v>1037</v>
      </c>
      <c r="G24" t="s">
        <v>1038</v>
      </c>
      <c r="H24" s="2">
        <v>0</v>
      </c>
      <c r="I24" s="2">
        <v>0</v>
      </c>
      <c r="J24" s="2">
        <v>0</v>
      </c>
      <c r="K24" s="6">
        <v>72.12</v>
      </c>
      <c r="L24" s="2">
        <v>0</v>
      </c>
      <c r="M24" s="2">
        <v>0</v>
      </c>
      <c r="N24" s="2">
        <v>0</v>
      </c>
      <c r="O24" s="2">
        <v>9.3756000000000004</v>
      </c>
      <c r="P24" s="2">
        <v>81.49560000000001</v>
      </c>
      <c r="Q24" t="s">
        <v>465</v>
      </c>
      <c r="R24" t="s">
        <v>516</v>
      </c>
      <c r="S24" s="2">
        <v>0</v>
      </c>
      <c r="T24" s="2">
        <v>0</v>
      </c>
      <c r="U24" s="2"/>
    </row>
    <row r="25" spans="1:21" x14ac:dyDescent="0.25">
      <c r="A25" t="s">
        <v>554</v>
      </c>
      <c r="B25" t="s">
        <v>1290</v>
      </c>
      <c r="C25" t="s">
        <v>440</v>
      </c>
      <c r="D25" t="s">
        <v>0</v>
      </c>
      <c r="E25">
        <v>4457</v>
      </c>
      <c r="F25" t="s">
        <v>143</v>
      </c>
      <c r="G25" t="s">
        <v>144</v>
      </c>
      <c r="H25" s="2">
        <v>0</v>
      </c>
      <c r="I25" s="2">
        <v>0</v>
      </c>
      <c r="J25" s="2">
        <v>0</v>
      </c>
      <c r="K25" s="6">
        <v>1058.0999999999999</v>
      </c>
      <c r="L25" s="2">
        <v>0</v>
      </c>
      <c r="M25" s="2">
        <v>0</v>
      </c>
      <c r="N25" s="2">
        <v>0</v>
      </c>
      <c r="O25" s="2">
        <v>137.553</v>
      </c>
      <c r="P25" s="2">
        <v>1195.6529999999998</v>
      </c>
      <c r="Q25" t="s">
        <v>465</v>
      </c>
      <c r="R25" t="s">
        <v>516</v>
      </c>
      <c r="S25" s="2" t="s">
        <v>520</v>
      </c>
      <c r="T25" s="2">
        <v>10.59</v>
      </c>
      <c r="U25" s="2"/>
    </row>
    <row r="26" spans="1:21" x14ac:dyDescent="0.25">
      <c r="A26" t="s">
        <v>554</v>
      </c>
      <c r="B26" t="s">
        <v>1236</v>
      </c>
      <c r="C26" t="s">
        <v>440</v>
      </c>
      <c r="D26" t="s">
        <v>0</v>
      </c>
      <c r="E26">
        <v>3302</v>
      </c>
      <c r="F26" t="s">
        <v>66</v>
      </c>
      <c r="G26" t="s">
        <v>67</v>
      </c>
      <c r="H26" s="2">
        <v>0</v>
      </c>
      <c r="I26" s="2">
        <v>0</v>
      </c>
      <c r="J26" s="2">
        <v>0</v>
      </c>
      <c r="K26" s="6">
        <v>1694.22</v>
      </c>
      <c r="L26" s="2">
        <v>0</v>
      </c>
      <c r="M26" s="2">
        <v>0</v>
      </c>
      <c r="N26" s="2">
        <v>0</v>
      </c>
      <c r="O26" s="2">
        <v>220.24860000000001</v>
      </c>
      <c r="P26" s="2">
        <v>1914.4686000000002</v>
      </c>
      <c r="Q26" t="s">
        <v>465</v>
      </c>
      <c r="R26" t="s">
        <v>516</v>
      </c>
      <c r="S26" s="2">
        <v>0</v>
      </c>
      <c r="T26" s="2">
        <v>0</v>
      </c>
      <c r="U26" s="2"/>
    </row>
    <row r="27" spans="1:21" x14ac:dyDescent="0.25">
      <c r="A27" t="s">
        <v>554</v>
      </c>
      <c r="B27" t="s">
        <v>1254</v>
      </c>
      <c r="C27" t="s">
        <v>440</v>
      </c>
      <c r="D27" t="s">
        <v>0</v>
      </c>
      <c r="E27">
        <v>3175</v>
      </c>
      <c r="F27" t="s">
        <v>66</v>
      </c>
      <c r="G27" t="s">
        <v>67</v>
      </c>
      <c r="H27" s="2">
        <v>0</v>
      </c>
      <c r="I27" s="2">
        <v>0</v>
      </c>
      <c r="J27" s="2">
        <v>0</v>
      </c>
      <c r="K27" s="6">
        <v>406.4</v>
      </c>
      <c r="L27" s="2">
        <v>0</v>
      </c>
      <c r="M27" s="2">
        <v>0</v>
      </c>
      <c r="N27" s="2">
        <v>0</v>
      </c>
      <c r="O27" s="2">
        <v>52.832000000000001</v>
      </c>
      <c r="P27" s="2">
        <v>459.23199999999997</v>
      </c>
      <c r="Q27" t="s">
        <v>465</v>
      </c>
      <c r="R27" t="s">
        <v>516</v>
      </c>
      <c r="S27" s="2">
        <v>0</v>
      </c>
      <c r="T27" s="2">
        <v>0</v>
      </c>
      <c r="U27" s="2"/>
    </row>
    <row r="28" spans="1:21" x14ac:dyDescent="0.25">
      <c r="A28" t="s">
        <v>554</v>
      </c>
      <c r="B28" t="s">
        <v>1289</v>
      </c>
      <c r="C28" t="s">
        <v>440</v>
      </c>
      <c r="D28" t="s">
        <v>0</v>
      </c>
      <c r="E28">
        <v>1934</v>
      </c>
      <c r="F28" t="s">
        <v>441</v>
      </c>
      <c r="G28" t="s">
        <v>442</v>
      </c>
      <c r="H28" s="2">
        <v>0</v>
      </c>
      <c r="I28" s="2">
        <v>0</v>
      </c>
      <c r="J28" s="2">
        <v>0</v>
      </c>
      <c r="K28" s="6">
        <v>752.21</v>
      </c>
      <c r="L28" s="2">
        <v>0</v>
      </c>
      <c r="M28" s="2">
        <v>0</v>
      </c>
      <c r="N28" s="2">
        <v>0</v>
      </c>
      <c r="O28" s="2">
        <v>97.787300000000002</v>
      </c>
      <c r="P28" s="2">
        <v>849.9973</v>
      </c>
      <c r="Q28" t="s">
        <v>465</v>
      </c>
      <c r="R28" t="s">
        <v>516</v>
      </c>
      <c r="S28" s="2">
        <v>0</v>
      </c>
      <c r="T28" s="2">
        <v>0</v>
      </c>
      <c r="U28" s="2"/>
    </row>
    <row r="29" spans="1:21" x14ac:dyDescent="0.25">
      <c r="A29" t="s">
        <v>554</v>
      </c>
      <c r="B29" t="s">
        <v>1287</v>
      </c>
      <c r="C29" t="s">
        <v>440</v>
      </c>
      <c r="D29" t="s">
        <v>0</v>
      </c>
      <c r="E29">
        <v>3216</v>
      </c>
      <c r="F29" t="s">
        <v>1037</v>
      </c>
      <c r="G29" t="s">
        <v>1038</v>
      </c>
      <c r="H29" s="2">
        <v>0</v>
      </c>
      <c r="I29" s="2">
        <v>0</v>
      </c>
      <c r="J29" s="2">
        <v>0</v>
      </c>
      <c r="K29" s="6">
        <v>100.15</v>
      </c>
      <c r="L29" s="2">
        <v>0</v>
      </c>
      <c r="M29" s="2">
        <v>0</v>
      </c>
      <c r="N29" s="2">
        <v>0</v>
      </c>
      <c r="O29" s="2">
        <v>13.019500000000001</v>
      </c>
      <c r="P29" s="2">
        <v>113.1695</v>
      </c>
      <c r="Q29" t="s">
        <v>465</v>
      </c>
      <c r="R29" t="s">
        <v>516</v>
      </c>
      <c r="S29" s="2">
        <v>0</v>
      </c>
      <c r="T29" s="2">
        <v>0</v>
      </c>
      <c r="U29" s="2"/>
    </row>
    <row r="30" spans="1:21" x14ac:dyDescent="0.25">
      <c r="A30" t="s">
        <v>554</v>
      </c>
      <c r="B30" t="s">
        <v>1287</v>
      </c>
      <c r="C30" t="s">
        <v>440</v>
      </c>
      <c r="D30" t="s">
        <v>0</v>
      </c>
      <c r="E30">
        <v>212270</v>
      </c>
      <c r="F30" t="s">
        <v>256</v>
      </c>
      <c r="G30" t="s">
        <v>257</v>
      </c>
      <c r="H30" s="2">
        <v>0</v>
      </c>
      <c r="I30" s="2">
        <v>0</v>
      </c>
      <c r="J30" s="2">
        <v>0</v>
      </c>
      <c r="K30" s="6">
        <v>182.32</v>
      </c>
      <c r="L30" s="2">
        <v>0</v>
      </c>
      <c r="M30" s="2">
        <v>0</v>
      </c>
      <c r="N30" s="2">
        <v>0</v>
      </c>
      <c r="O30" s="2">
        <v>23.701599999999999</v>
      </c>
      <c r="P30" s="2">
        <v>206.02159999999998</v>
      </c>
      <c r="Q30" t="s">
        <v>465</v>
      </c>
      <c r="R30" t="s">
        <v>516</v>
      </c>
      <c r="S30" s="2" t="s">
        <v>518</v>
      </c>
      <c r="T30" s="2">
        <v>1.82</v>
      </c>
      <c r="U30" s="2"/>
    </row>
    <row r="31" spans="1:21" x14ac:dyDescent="0.25">
      <c r="A31" t="s">
        <v>554</v>
      </c>
      <c r="B31" t="s">
        <v>1238</v>
      </c>
      <c r="C31" t="s">
        <v>440</v>
      </c>
      <c r="D31" t="s">
        <v>0</v>
      </c>
      <c r="E31">
        <v>83721</v>
      </c>
      <c r="F31" t="s">
        <v>362</v>
      </c>
      <c r="G31" t="s">
        <v>363</v>
      </c>
      <c r="H31" s="2">
        <v>0</v>
      </c>
      <c r="I31" s="2">
        <v>0</v>
      </c>
      <c r="J31" s="2">
        <v>0</v>
      </c>
      <c r="K31" s="6">
        <v>1396.79</v>
      </c>
      <c r="L31" s="2">
        <v>0</v>
      </c>
      <c r="M31" s="2">
        <v>0</v>
      </c>
      <c r="N31" s="2">
        <v>0</v>
      </c>
      <c r="O31" s="2">
        <v>181.58269999999999</v>
      </c>
      <c r="P31" s="2">
        <v>1578.3726999999999</v>
      </c>
      <c r="Q31" t="s">
        <v>465</v>
      </c>
      <c r="R31" t="s">
        <v>516</v>
      </c>
      <c r="S31" s="2" t="s">
        <v>518</v>
      </c>
      <c r="T31" s="2">
        <v>13.97</v>
      </c>
      <c r="U31" s="2"/>
    </row>
    <row r="32" spans="1:21" x14ac:dyDescent="0.25">
      <c r="A32" t="s">
        <v>554</v>
      </c>
      <c r="B32" t="s">
        <v>1284</v>
      </c>
      <c r="C32" t="s">
        <v>440</v>
      </c>
      <c r="D32" t="s">
        <v>0</v>
      </c>
      <c r="E32">
        <v>6487</v>
      </c>
      <c r="F32" t="s">
        <v>225</v>
      </c>
      <c r="G32" t="s">
        <v>226</v>
      </c>
      <c r="H32" s="2">
        <v>0</v>
      </c>
      <c r="I32" s="2">
        <v>0</v>
      </c>
      <c r="J32" s="2">
        <v>0</v>
      </c>
      <c r="K32" s="6">
        <v>210.4</v>
      </c>
      <c r="L32" s="2">
        <v>0</v>
      </c>
      <c r="M32" s="2">
        <v>0</v>
      </c>
      <c r="N32" s="2">
        <v>0</v>
      </c>
      <c r="O32" s="2">
        <v>27.352</v>
      </c>
      <c r="P32" s="2">
        <v>237.75200000000001</v>
      </c>
      <c r="Q32" t="s">
        <v>465</v>
      </c>
      <c r="R32" t="s">
        <v>516</v>
      </c>
      <c r="S32" s="2" t="s">
        <v>1223</v>
      </c>
      <c r="T32" s="2">
        <v>2.1</v>
      </c>
      <c r="U32" s="2"/>
    </row>
    <row r="33" spans="1:21" x14ac:dyDescent="0.25">
      <c r="A33" t="s">
        <v>554</v>
      </c>
      <c r="B33" t="s">
        <v>1284</v>
      </c>
      <c r="C33" t="s">
        <v>440</v>
      </c>
      <c r="D33" t="s">
        <v>0</v>
      </c>
      <c r="E33">
        <v>15276</v>
      </c>
      <c r="F33" t="s">
        <v>331</v>
      </c>
      <c r="G33" t="s">
        <v>332</v>
      </c>
      <c r="H33" s="2">
        <v>0</v>
      </c>
      <c r="I33" s="2">
        <v>0</v>
      </c>
      <c r="J33" s="2">
        <v>0</v>
      </c>
      <c r="K33" s="6">
        <v>90.15</v>
      </c>
      <c r="L33" s="2">
        <v>0</v>
      </c>
      <c r="M33" s="2">
        <v>0</v>
      </c>
      <c r="N33" s="2">
        <v>0</v>
      </c>
      <c r="O33" s="2">
        <v>11.719500000000002</v>
      </c>
      <c r="P33" s="2">
        <v>101.8695</v>
      </c>
      <c r="Q33" t="s">
        <v>465</v>
      </c>
      <c r="R33" t="s">
        <v>516</v>
      </c>
      <c r="S33" s="2">
        <v>0</v>
      </c>
      <c r="T33" s="2">
        <v>0</v>
      </c>
      <c r="U33" s="2"/>
    </row>
    <row r="34" spans="1:21" x14ac:dyDescent="0.25">
      <c r="A34" t="s">
        <v>554</v>
      </c>
      <c r="B34" t="s">
        <v>1285</v>
      </c>
      <c r="C34" t="s">
        <v>440</v>
      </c>
      <c r="D34" t="s">
        <v>0</v>
      </c>
      <c r="E34">
        <v>1025311</v>
      </c>
      <c r="F34" t="s">
        <v>333</v>
      </c>
      <c r="G34" t="s">
        <v>334</v>
      </c>
      <c r="H34" s="2">
        <v>0</v>
      </c>
      <c r="I34" s="2">
        <v>0</v>
      </c>
      <c r="J34" s="2">
        <v>0</v>
      </c>
      <c r="K34" s="6">
        <v>258.05</v>
      </c>
      <c r="L34" s="2">
        <v>0</v>
      </c>
      <c r="M34" s="2">
        <v>0</v>
      </c>
      <c r="N34" s="2">
        <v>0</v>
      </c>
      <c r="O34" s="2">
        <v>33.546500000000002</v>
      </c>
      <c r="P34" s="2">
        <v>291.59649999999999</v>
      </c>
      <c r="Q34" t="s">
        <v>465</v>
      </c>
      <c r="R34" t="s">
        <v>516</v>
      </c>
      <c r="S34" s="2" t="s">
        <v>519</v>
      </c>
      <c r="T34" s="2">
        <v>2.58</v>
      </c>
      <c r="U34" s="2"/>
    </row>
    <row r="35" spans="1:21" x14ac:dyDescent="0.25">
      <c r="A35" t="s">
        <v>554</v>
      </c>
      <c r="B35" t="s">
        <v>1285</v>
      </c>
      <c r="C35" t="s">
        <v>440</v>
      </c>
      <c r="D35" t="s">
        <v>0</v>
      </c>
      <c r="E35">
        <v>1811</v>
      </c>
      <c r="F35" t="s">
        <v>403</v>
      </c>
      <c r="G35" t="s">
        <v>404</v>
      </c>
      <c r="H35" s="2">
        <v>0</v>
      </c>
      <c r="I35" s="2">
        <v>0</v>
      </c>
      <c r="J35" s="2">
        <v>0</v>
      </c>
      <c r="K35" s="6">
        <v>60.53</v>
      </c>
      <c r="L35" s="2">
        <v>0</v>
      </c>
      <c r="M35" s="2">
        <v>0</v>
      </c>
      <c r="N35" s="2">
        <v>0</v>
      </c>
      <c r="O35" s="2">
        <v>7.8689</v>
      </c>
      <c r="P35" s="2">
        <v>68.398899999999998</v>
      </c>
      <c r="Q35" t="s">
        <v>465</v>
      </c>
      <c r="R35" t="s">
        <v>516</v>
      </c>
      <c r="S35" s="2">
        <v>0</v>
      </c>
      <c r="T35" s="2">
        <v>0</v>
      </c>
      <c r="U35" s="2"/>
    </row>
    <row r="36" spans="1:21" x14ac:dyDescent="0.25">
      <c r="A36" t="s">
        <v>554</v>
      </c>
      <c r="B36" t="s">
        <v>1283</v>
      </c>
      <c r="C36" t="s">
        <v>440</v>
      </c>
      <c r="D36" t="s">
        <v>0</v>
      </c>
      <c r="E36">
        <v>3672</v>
      </c>
      <c r="F36" t="s">
        <v>1317</v>
      </c>
      <c r="G36" t="s">
        <v>1085</v>
      </c>
      <c r="H36" s="2">
        <v>0</v>
      </c>
      <c r="I36" s="2">
        <v>0</v>
      </c>
      <c r="J36" s="2">
        <v>0</v>
      </c>
      <c r="K36" s="6">
        <v>121.66</v>
      </c>
      <c r="L36" s="2">
        <v>0</v>
      </c>
      <c r="M36" s="2">
        <v>0</v>
      </c>
      <c r="N36" s="2">
        <v>0</v>
      </c>
      <c r="O36" s="2">
        <v>15.815799999999999</v>
      </c>
      <c r="P36" s="2">
        <v>137.47579999999999</v>
      </c>
      <c r="Q36" t="s">
        <v>465</v>
      </c>
      <c r="R36" t="s">
        <v>516</v>
      </c>
      <c r="S36" s="2">
        <v>0</v>
      </c>
      <c r="T36" s="2">
        <v>0</v>
      </c>
      <c r="U36" s="2"/>
    </row>
    <row r="37" spans="1:21" x14ac:dyDescent="0.25">
      <c r="A37" t="s">
        <v>554</v>
      </c>
      <c r="B37" t="s">
        <v>1282</v>
      </c>
      <c r="C37" t="s">
        <v>440</v>
      </c>
      <c r="D37" t="s">
        <v>0</v>
      </c>
      <c r="E37">
        <v>4724</v>
      </c>
      <c r="F37" t="s">
        <v>143</v>
      </c>
      <c r="G37" t="s">
        <v>144</v>
      </c>
      <c r="H37" s="2">
        <v>0</v>
      </c>
      <c r="I37" s="2">
        <v>0</v>
      </c>
      <c r="J37" s="2">
        <v>0</v>
      </c>
      <c r="K37" s="6">
        <v>3211.4</v>
      </c>
      <c r="L37" s="2">
        <v>0</v>
      </c>
      <c r="M37" s="2">
        <v>0</v>
      </c>
      <c r="N37" s="2">
        <v>0</v>
      </c>
      <c r="O37" s="2">
        <v>417.48200000000003</v>
      </c>
      <c r="P37" s="2">
        <v>3628.8820000000001</v>
      </c>
      <c r="Q37" t="s">
        <v>465</v>
      </c>
      <c r="R37" t="s">
        <v>516</v>
      </c>
      <c r="S37" s="2" t="s">
        <v>520</v>
      </c>
      <c r="T37" s="2">
        <v>32.11</v>
      </c>
      <c r="U37" s="2"/>
    </row>
    <row r="38" spans="1:21" x14ac:dyDescent="0.25">
      <c r="A38" t="s">
        <v>554</v>
      </c>
      <c r="B38" t="s">
        <v>1282</v>
      </c>
      <c r="C38" t="s">
        <v>440</v>
      </c>
      <c r="D38" t="s">
        <v>0</v>
      </c>
      <c r="E38">
        <v>6556</v>
      </c>
      <c r="F38" t="s">
        <v>225</v>
      </c>
      <c r="G38" t="s">
        <v>226</v>
      </c>
      <c r="H38" s="2">
        <v>0</v>
      </c>
      <c r="I38" s="2">
        <v>0</v>
      </c>
      <c r="J38" s="2">
        <v>0</v>
      </c>
      <c r="K38" s="6">
        <v>526</v>
      </c>
      <c r="L38" s="2">
        <v>0</v>
      </c>
      <c r="M38" s="2">
        <v>0</v>
      </c>
      <c r="N38" s="2">
        <v>0</v>
      </c>
      <c r="O38" s="2">
        <v>68.38</v>
      </c>
      <c r="P38" s="2">
        <v>594.38</v>
      </c>
      <c r="Q38" t="s">
        <v>465</v>
      </c>
      <c r="R38" t="s">
        <v>516</v>
      </c>
      <c r="S38" s="2" t="s">
        <v>1223</v>
      </c>
      <c r="T38" s="2">
        <v>5.26</v>
      </c>
      <c r="U38" s="2"/>
    </row>
    <row r="39" spans="1:21" x14ac:dyDescent="0.25">
      <c r="A39" t="s">
        <v>554</v>
      </c>
      <c r="B39" t="s">
        <v>1283</v>
      </c>
      <c r="C39" t="s">
        <v>440</v>
      </c>
      <c r="D39" t="s">
        <v>0</v>
      </c>
      <c r="E39">
        <v>4725</v>
      </c>
      <c r="F39" t="s">
        <v>143</v>
      </c>
      <c r="G39" t="s">
        <v>144</v>
      </c>
      <c r="H39" s="2">
        <v>0</v>
      </c>
      <c r="I39" s="2">
        <v>0</v>
      </c>
      <c r="J39" s="2">
        <v>0</v>
      </c>
      <c r="K39" s="6">
        <v>4618.3500000000004</v>
      </c>
      <c r="L39" s="2">
        <v>0</v>
      </c>
      <c r="M39" s="2">
        <v>0</v>
      </c>
      <c r="N39" s="2">
        <v>0</v>
      </c>
      <c r="O39" s="2">
        <v>600.38550000000009</v>
      </c>
      <c r="P39" s="2">
        <v>5218.7355000000007</v>
      </c>
      <c r="Q39" t="s">
        <v>465</v>
      </c>
      <c r="R39" t="s">
        <v>516</v>
      </c>
      <c r="S39" s="2" t="s">
        <v>520</v>
      </c>
      <c r="T39" s="2">
        <v>46.18</v>
      </c>
      <c r="U39" s="2"/>
    </row>
    <row r="40" spans="1:21" x14ac:dyDescent="0.25">
      <c r="A40" t="s">
        <v>554</v>
      </c>
      <c r="B40" t="s">
        <v>1281</v>
      </c>
      <c r="C40" t="s">
        <v>440</v>
      </c>
      <c r="D40" t="s">
        <v>0</v>
      </c>
      <c r="E40">
        <v>11909</v>
      </c>
      <c r="F40" t="s">
        <v>364</v>
      </c>
      <c r="G40" t="s">
        <v>365</v>
      </c>
      <c r="H40" s="2">
        <v>0</v>
      </c>
      <c r="I40" s="2">
        <v>0</v>
      </c>
      <c r="J40" s="2">
        <v>0</v>
      </c>
      <c r="K40" s="6">
        <v>382.06</v>
      </c>
      <c r="L40" s="2">
        <v>0</v>
      </c>
      <c r="M40" s="2">
        <v>0</v>
      </c>
      <c r="N40" s="2">
        <v>0</v>
      </c>
      <c r="O40" s="2">
        <v>49.6678</v>
      </c>
      <c r="P40" s="2">
        <v>431.7278</v>
      </c>
      <c r="Q40" t="s">
        <v>465</v>
      </c>
      <c r="R40" t="s">
        <v>516</v>
      </c>
      <c r="S40" s="2" t="s">
        <v>1226</v>
      </c>
      <c r="T40" s="2">
        <v>3.82</v>
      </c>
      <c r="U40" s="2"/>
    </row>
    <row r="41" spans="1:21" x14ac:dyDescent="0.25">
      <c r="A41" t="s">
        <v>554</v>
      </c>
      <c r="B41" t="s">
        <v>1288</v>
      </c>
      <c r="C41" t="s">
        <v>440</v>
      </c>
      <c r="D41" t="s">
        <v>0</v>
      </c>
      <c r="E41">
        <v>355</v>
      </c>
      <c r="F41" t="s">
        <v>1086</v>
      </c>
      <c r="G41" t="s">
        <v>1087</v>
      </c>
      <c r="H41" s="2">
        <v>0</v>
      </c>
      <c r="I41" s="2">
        <v>0</v>
      </c>
      <c r="J41" s="2">
        <v>0</v>
      </c>
      <c r="K41" s="6">
        <v>49.56</v>
      </c>
      <c r="L41" s="2">
        <v>0</v>
      </c>
      <c r="M41" s="2">
        <v>0</v>
      </c>
      <c r="N41" s="2">
        <v>0</v>
      </c>
      <c r="O41" s="2">
        <v>6.4428000000000001</v>
      </c>
      <c r="P41" s="2">
        <v>56.002800000000001</v>
      </c>
      <c r="Q41" t="s">
        <v>465</v>
      </c>
      <c r="R41" t="s">
        <v>516</v>
      </c>
      <c r="S41" s="2">
        <v>0</v>
      </c>
      <c r="T41" s="2">
        <v>0</v>
      </c>
      <c r="U41" s="2"/>
    </row>
    <row r="42" spans="1:21" x14ac:dyDescent="0.25">
      <c r="A42" t="s">
        <v>554</v>
      </c>
      <c r="B42" t="s">
        <v>1286</v>
      </c>
      <c r="C42" t="s">
        <v>440</v>
      </c>
      <c r="D42" t="s">
        <v>0</v>
      </c>
      <c r="E42">
        <v>254</v>
      </c>
      <c r="F42" t="s">
        <v>206</v>
      </c>
      <c r="G42" t="s">
        <v>207</v>
      </c>
      <c r="H42" s="2">
        <v>0</v>
      </c>
      <c r="I42" s="2">
        <v>0</v>
      </c>
      <c r="J42" s="2">
        <v>0</v>
      </c>
      <c r="K42" s="6">
        <v>211</v>
      </c>
      <c r="L42" s="2">
        <v>0</v>
      </c>
      <c r="M42" s="2">
        <v>0</v>
      </c>
      <c r="N42" s="2">
        <v>0</v>
      </c>
      <c r="O42" s="2">
        <v>27.43</v>
      </c>
      <c r="P42" s="2">
        <v>238.43</v>
      </c>
      <c r="Q42" t="s">
        <v>465</v>
      </c>
      <c r="R42" t="s">
        <v>516</v>
      </c>
      <c r="S42" s="2">
        <v>0</v>
      </c>
      <c r="T42" s="2">
        <v>0</v>
      </c>
      <c r="U42" s="2"/>
    </row>
    <row r="43" spans="1:21" x14ac:dyDescent="0.25">
      <c r="A43" t="s">
        <v>554</v>
      </c>
      <c r="B43" t="s">
        <v>1284</v>
      </c>
      <c r="C43" t="s">
        <v>440</v>
      </c>
      <c r="D43" t="s">
        <v>0</v>
      </c>
      <c r="E43">
        <v>5797</v>
      </c>
      <c r="F43" t="s">
        <v>335</v>
      </c>
      <c r="G43" t="s">
        <v>336</v>
      </c>
      <c r="H43" s="2">
        <v>0</v>
      </c>
      <c r="I43" s="2">
        <v>0</v>
      </c>
      <c r="J43" s="2">
        <v>0</v>
      </c>
      <c r="K43" s="6">
        <v>33.090000000000003</v>
      </c>
      <c r="L43" s="2">
        <v>0</v>
      </c>
      <c r="M43" s="2">
        <v>0</v>
      </c>
      <c r="N43" s="2">
        <v>0</v>
      </c>
      <c r="O43" s="2">
        <v>4.3017000000000003</v>
      </c>
      <c r="P43" s="2">
        <v>37.3917</v>
      </c>
      <c r="Q43" t="s">
        <v>465</v>
      </c>
      <c r="R43" t="s">
        <v>516</v>
      </c>
      <c r="S43" s="2">
        <v>0</v>
      </c>
      <c r="T43" s="2">
        <v>0</v>
      </c>
      <c r="U43" s="2"/>
    </row>
    <row r="44" spans="1:21" x14ac:dyDescent="0.25">
      <c r="A44" t="s">
        <v>554</v>
      </c>
      <c r="B44" t="s">
        <v>1281</v>
      </c>
      <c r="C44" t="s">
        <v>440</v>
      </c>
      <c r="D44" t="s">
        <v>0</v>
      </c>
      <c r="E44">
        <v>16851</v>
      </c>
      <c r="F44" t="s">
        <v>370</v>
      </c>
      <c r="G44" t="s">
        <v>371</v>
      </c>
      <c r="H44" s="2">
        <v>0</v>
      </c>
      <c r="I44" s="2">
        <v>0</v>
      </c>
      <c r="J44" s="2">
        <v>0</v>
      </c>
      <c r="K44" s="6">
        <v>10.56</v>
      </c>
      <c r="L44" s="2">
        <v>0</v>
      </c>
      <c r="M44" s="2">
        <v>0</v>
      </c>
      <c r="N44" s="2">
        <v>0</v>
      </c>
      <c r="O44" s="2">
        <v>1.3728</v>
      </c>
      <c r="P44" s="2">
        <v>11.9328</v>
      </c>
      <c r="Q44" t="s">
        <v>465</v>
      </c>
      <c r="R44" t="s">
        <v>516</v>
      </c>
      <c r="S44" s="2">
        <v>0</v>
      </c>
      <c r="T44" s="2">
        <v>0</v>
      </c>
      <c r="U44" s="2"/>
    </row>
    <row r="45" spans="1:21" x14ac:dyDescent="0.25">
      <c r="A45" t="s">
        <v>554</v>
      </c>
      <c r="B45" t="s">
        <v>1313</v>
      </c>
      <c r="C45" t="s">
        <v>440</v>
      </c>
      <c r="D45" t="s">
        <v>0</v>
      </c>
      <c r="E45">
        <v>1590970</v>
      </c>
      <c r="F45" t="s">
        <v>221</v>
      </c>
      <c r="G45" t="s">
        <v>222</v>
      </c>
      <c r="H45" s="2">
        <v>0</v>
      </c>
      <c r="I45" s="2">
        <v>0</v>
      </c>
      <c r="J45" s="2">
        <v>0</v>
      </c>
      <c r="K45" s="6">
        <v>52.72</v>
      </c>
      <c r="L45" s="2">
        <v>0</v>
      </c>
      <c r="M45" s="2">
        <v>0</v>
      </c>
      <c r="N45" s="2">
        <v>0</v>
      </c>
      <c r="O45" s="2">
        <v>6.8536000000000001</v>
      </c>
      <c r="P45" s="2">
        <v>59.573599999999999</v>
      </c>
      <c r="Q45" t="s">
        <v>465</v>
      </c>
      <c r="R45" t="s">
        <v>516</v>
      </c>
      <c r="S45" s="2">
        <v>0</v>
      </c>
      <c r="T45" s="2">
        <v>0</v>
      </c>
      <c r="U45" s="2"/>
    </row>
    <row r="46" spans="1:21" x14ac:dyDescent="0.25">
      <c r="A46" t="s">
        <v>554</v>
      </c>
      <c r="B46" t="s">
        <v>1281</v>
      </c>
      <c r="C46" t="s">
        <v>440</v>
      </c>
      <c r="D46" t="s">
        <v>0</v>
      </c>
      <c r="E46">
        <v>1026273</v>
      </c>
      <c r="F46" t="s">
        <v>333</v>
      </c>
      <c r="G46" t="s">
        <v>334</v>
      </c>
      <c r="H46" s="2">
        <v>0</v>
      </c>
      <c r="I46" s="2">
        <v>0</v>
      </c>
      <c r="J46" s="2">
        <v>0</v>
      </c>
      <c r="K46" s="6">
        <v>498.83</v>
      </c>
      <c r="L46" s="2">
        <v>0</v>
      </c>
      <c r="M46" s="2">
        <v>0</v>
      </c>
      <c r="N46" s="2">
        <v>0</v>
      </c>
      <c r="O46" s="2">
        <v>64.847899999999996</v>
      </c>
      <c r="P46" s="2">
        <v>563.67790000000002</v>
      </c>
      <c r="Q46" t="s">
        <v>465</v>
      </c>
      <c r="R46" t="s">
        <v>516</v>
      </c>
      <c r="S46" s="2" t="s">
        <v>519</v>
      </c>
      <c r="T46" s="2">
        <v>4.99</v>
      </c>
      <c r="U46" s="2"/>
    </row>
    <row r="47" spans="1:21" x14ac:dyDescent="0.25">
      <c r="A47" t="s">
        <v>554</v>
      </c>
      <c r="B47" t="s">
        <v>1280</v>
      </c>
      <c r="C47" t="s">
        <v>440</v>
      </c>
      <c r="D47" t="s">
        <v>0</v>
      </c>
      <c r="E47">
        <v>15632</v>
      </c>
      <c r="F47" t="s">
        <v>331</v>
      </c>
      <c r="G47" t="s">
        <v>332</v>
      </c>
      <c r="H47" s="2">
        <v>0</v>
      </c>
      <c r="I47" s="2">
        <v>0</v>
      </c>
      <c r="J47" s="2">
        <v>0</v>
      </c>
      <c r="K47" s="6">
        <v>1279.81</v>
      </c>
      <c r="L47" s="2">
        <v>0</v>
      </c>
      <c r="M47" s="2">
        <v>0</v>
      </c>
      <c r="N47" s="2">
        <v>0</v>
      </c>
      <c r="O47" s="2">
        <v>166.37530000000001</v>
      </c>
      <c r="P47" s="2">
        <v>1446.1852999999999</v>
      </c>
      <c r="Q47" t="s">
        <v>465</v>
      </c>
      <c r="R47" t="s">
        <v>516</v>
      </c>
      <c r="S47" s="2" t="s">
        <v>1223</v>
      </c>
      <c r="T47" s="2">
        <v>12.8</v>
      </c>
      <c r="U47" s="2"/>
    </row>
    <row r="48" spans="1:21" x14ac:dyDescent="0.25">
      <c r="A48" t="s">
        <v>554</v>
      </c>
      <c r="B48" t="s">
        <v>1313</v>
      </c>
      <c r="C48" t="s">
        <v>440</v>
      </c>
      <c r="D48" t="s">
        <v>0</v>
      </c>
      <c r="E48">
        <v>4858</v>
      </c>
      <c r="F48" t="s">
        <v>143</v>
      </c>
      <c r="G48" t="s">
        <v>144</v>
      </c>
      <c r="H48" s="2">
        <v>0</v>
      </c>
      <c r="I48" s="2">
        <v>0</v>
      </c>
      <c r="J48" s="2">
        <v>0</v>
      </c>
      <c r="K48" s="6">
        <v>2146.56</v>
      </c>
      <c r="L48" s="2">
        <v>0</v>
      </c>
      <c r="M48" s="2">
        <v>0</v>
      </c>
      <c r="N48" s="2">
        <v>0</v>
      </c>
      <c r="O48" s="2">
        <v>279.05279999999999</v>
      </c>
      <c r="P48" s="2">
        <v>2425.6127999999999</v>
      </c>
      <c r="Q48" t="s">
        <v>465</v>
      </c>
      <c r="R48" t="s">
        <v>516</v>
      </c>
      <c r="S48" s="2" t="s">
        <v>1232</v>
      </c>
      <c r="T48" s="2">
        <v>21.48</v>
      </c>
      <c r="U48" s="2"/>
    </row>
    <row r="49" spans="1:21" x14ac:dyDescent="0.25">
      <c r="A49" t="s">
        <v>554</v>
      </c>
      <c r="B49" t="s">
        <v>1313</v>
      </c>
      <c r="C49" t="s">
        <v>440</v>
      </c>
      <c r="D49" t="s">
        <v>0</v>
      </c>
      <c r="E49">
        <v>4791</v>
      </c>
      <c r="F49" t="s">
        <v>143</v>
      </c>
      <c r="G49" t="s">
        <v>144</v>
      </c>
      <c r="H49" s="2">
        <v>0</v>
      </c>
      <c r="I49" s="2">
        <v>0</v>
      </c>
      <c r="J49" s="2">
        <v>0</v>
      </c>
      <c r="K49" s="6">
        <v>1000</v>
      </c>
      <c r="L49" s="2">
        <v>0</v>
      </c>
      <c r="M49" s="2">
        <v>0</v>
      </c>
      <c r="N49" s="2">
        <v>0</v>
      </c>
      <c r="O49" s="2">
        <v>130</v>
      </c>
      <c r="P49" s="2">
        <v>1130</v>
      </c>
      <c r="Q49" t="s">
        <v>465</v>
      </c>
      <c r="R49" t="s">
        <v>516</v>
      </c>
      <c r="S49" s="2" t="s">
        <v>520</v>
      </c>
      <c r="T49" s="2">
        <v>10</v>
      </c>
      <c r="U49" s="2"/>
    </row>
    <row r="50" spans="1:21" x14ac:dyDescent="0.25">
      <c r="A50" t="s">
        <v>554</v>
      </c>
      <c r="B50" t="s">
        <v>1284</v>
      </c>
      <c r="C50" t="s">
        <v>440</v>
      </c>
      <c r="D50" t="s">
        <v>0</v>
      </c>
      <c r="E50">
        <v>4672</v>
      </c>
      <c r="F50" t="s">
        <v>143</v>
      </c>
      <c r="G50" t="s">
        <v>144</v>
      </c>
      <c r="H50" s="2">
        <v>0</v>
      </c>
      <c r="I50" s="2">
        <v>0</v>
      </c>
      <c r="J50" s="2">
        <v>0</v>
      </c>
      <c r="K50" s="6">
        <v>600</v>
      </c>
      <c r="L50" s="2">
        <v>0</v>
      </c>
      <c r="M50" s="2">
        <v>0</v>
      </c>
      <c r="N50" s="2">
        <v>0</v>
      </c>
      <c r="O50" s="2">
        <v>78</v>
      </c>
      <c r="P50" s="2">
        <v>678</v>
      </c>
      <c r="Q50" t="s">
        <v>465</v>
      </c>
      <c r="R50" t="s">
        <v>516</v>
      </c>
      <c r="S50" s="2" t="s">
        <v>1232</v>
      </c>
      <c r="T50" s="2">
        <v>6</v>
      </c>
      <c r="U50" s="2"/>
    </row>
    <row r="51" spans="1:21" x14ac:dyDescent="0.25">
      <c r="A51" t="s">
        <v>554</v>
      </c>
      <c r="B51" t="s">
        <v>1281</v>
      </c>
      <c r="C51" t="s">
        <v>440</v>
      </c>
      <c r="D51" t="s">
        <v>0</v>
      </c>
      <c r="E51">
        <v>4772</v>
      </c>
      <c r="F51" t="s">
        <v>143</v>
      </c>
      <c r="G51" t="s">
        <v>144</v>
      </c>
      <c r="H51" s="2">
        <v>0</v>
      </c>
      <c r="I51" s="2">
        <v>0</v>
      </c>
      <c r="J51" s="2">
        <v>0</v>
      </c>
      <c r="K51" s="6">
        <v>252.2</v>
      </c>
      <c r="L51" s="2">
        <v>0</v>
      </c>
      <c r="M51" s="2">
        <v>0</v>
      </c>
      <c r="N51" s="2">
        <v>0</v>
      </c>
      <c r="O51" s="2">
        <v>32.786000000000001</v>
      </c>
      <c r="P51" s="2">
        <v>284.98599999999999</v>
      </c>
      <c r="Q51" t="s">
        <v>465</v>
      </c>
      <c r="R51" t="s">
        <v>516</v>
      </c>
      <c r="S51" s="2" t="s">
        <v>520</v>
      </c>
      <c r="T51" s="2">
        <v>2.52</v>
      </c>
      <c r="U51" s="2"/>
    </row>
    <row r="52" spans="1:21" x14ac:dyDescent="0.25">
      <c r="A52" t="s">
        <v>554</v>
      </c>
      <c r="B52" t="s">
        <v>1303</v>
      </c>
      <c r="C52" t="s">
        <v>440</v>
      </c>
      <c r="D52" t="s">
        <v>0</v>
      </c>
      <c r="E52">
        <v>3437</v>
      </c>
      <c r="F52" t="s">
        <v>66</v>
      </c>
      <c r="G52" t="s">
        <v>67</v>
      </c>
      <c r="H52" s="2">
        <v>0</v>
      </c>
      <c r="I52" s="2">
        <v>0</v>
      </c>
      <c r="J52" s="2">
        <v>0</v>
      </c>
      <c r="K52" s="6">
        <v>1416.64</v>
      </c>
      <c r="L52" s="2">
        <v>0</v>
      </c>
      <c r="M52" s="2">
        <v>0</v>
      </c>
      <c r="N52" s="2">
        <v>0</v>
      </c>
      <c r="O52" s="2">
        <v>184.16320000000002</v>
      </c>
      <c r="P52" s="2">
        <v>1600.8032000000001</v>
      </c>
      <c r="Q52" t="s">
        <v>465</v>
      </c>
      <c r="R52" t="s">
        <v>516</v>
      </c>
      <c r="S52" s="2">
        <v>0</v>
      </c>
      <c r="T52" s="2">
        <v>0</v>
      </c>
      <c r="U52" s="2"/>
    </row>
    <row r="53" spans="1:21" x14ac:dyDescent="0.25">
      <c r="A53" t="s">
        <v>554</v>
      </c>
      <c r="B53" t="s">
        <v>948</v>
      </c>
      <c r="C53" t="s">
        <v>440</v>
      </c>
      <c r="D53" t="s">
        <v>0</v>
      </c>
      <c r="E53">
        <v>21072</v>
      </c>
      <c r="F53" t="s">
        <v>372</v>
      </c>
      <c r="G53" t="s">
        <v>373</v>
      </c>
      <c r="H53" s="2">
        <v>0</v>
      </c>
      <c r="I53" s="2">
        <v>0</v>
      </c>
      <c r="J53" s="2">
        <v>0</v>
      </c>
      <c r="K53" s="6">
        <v>20.3</v>
      </c>
      <c r="L53" s="2">
        <v>0</v>
      </c>
      <c r="M53" s="2">
        <v>0</v>
      </c>
      <c r="N53" s="2">
        <v>0</v>
      </c>
      <c r="O53" s="2">
        <v>2.6390000000000002</v>
      </c>
      <c r="P53" s="2">
        <v>22.939</v>
      </c>
      <c r="Q53" t="s">
        <v>465</v>
      </c>
      <c r="R53" t="s">
        <v>516</v>
      </c>
      <c r="S53" s="2">
        <v>0</v>
      </c>
      <c r="T53" s="2">
        <v>0</v>
      </c>
      <c r="U53" s="2"/>
    </row>
    <row r="54" spans="1:21" x14ac:dyDescent="0.25">
      <c r="A54" t="s">
        <v>554</v>
      </c>
      <c r="B54" t="s">
        <v>1271</v>
      </c>
      <c r="C54" t="s">
        <v>440</v>
      </c>
      <c r="D54" t="s">
        <v>0</v>
      </c>
      <c r="E54">
        <v>3588</v>
      </c>
      <c r="F54" t="s">
        <v>66</v>
      </c>
      <c r="G54" t="s">
        <v>67</v>
      </c>
      <c r="H54" s="2">
        <v>0</v>
      </c>
      <c r="I54" s="2">
        <v>0</v>
      </c>
      <c r="J54" s="2">
        <v>0</v>
      </c>
      <c r="K54" s="6">
        <v>588.53</v>
      </c>
      <c r="L54" s="2">
        <v>0</v>
      </c>
      <c r="M54" s="2">
        <v>0</v>
      </c>
      <c r="N54" s="2">
        <v>0</v>
      </c>
      <c r="O54" s="2">
        <v>76.508899999999997</v>
      </c>
      <c r="P54" s="2">
        <v>665.03890000000001</v>
      </c>
      <c r="Q54" t="s">
        <v>465</v>
      </c>
      <c r="R54" t="s">
        <v>516</v>
      </c>
      <c r="S54" s="2">
        <v>0</v>
      </c>
      <c r="T54" s="2">
        <v>0</v>
      </c>
      <c r="U54" s="2"/>
    </row>
    <row r="55" spans="1:21" x14ac:dyDescent="0.25">
      <c r="A55" t="s">
        <v>554</v>
      </c>
      <c r="B55" t="s">
        <v>1271</v>
      </c>
      <c r="C55" t="s">
        <v>440</v>
      </c>
      <c r="D55" t="s">
        <v>0</v>
      </c>
      <c r="E55">
        <v>4895</v>
      </c>
      <c r="F55" t="s">
        <v>143</v>
      </c>
      <c r="G55" t="s">
        <v>144</v>
      </c>
      <c r="H55" s="2">
        <v>0</v>
      </c>
      <c r="I55" s="2">
        <v>0</v>
      </c>
      <c r="J55" s="2">
        <v>0</v>
      </c>
      <c r="K55" s="6">
        <v>5074.05</v>
      </c>
      <c r="L55" s="2">
        <v>0</v>
      </c>
      <c r="M55" s="2">
        <v>0</v>
      </c>
      <c r="N55" s="2">
        <v>0</v>
      </c>
      <c r="O55" s="2">
        <v>659.62650000000008</v>
      </c>
      <c r="P55" s="2">
        <v>5733.6765000000005</v>
      </c>
      <c r="Q55" t="s">
        <v>465</v>
      </c>
      <c r="R55" t="s">
        <v>516</v>
      </c>
      <c r="S55" s="2" t="s">
        <v>520</v>
      </c>
      <c r="T55" s="2">
        <v>50.740500000000004</v>
      </c>
      <c r="U55" s="2"/>
    </row>
    <row r="56" spans="1:21" x14ac:dyDescent="0.25">
      <c r="A56" t="s">
        <v>554</v>
      </c>
      <c r="B56" t="s">
        <v>1278</v>
      </c>
      <c r="C56" t="s">
        <v>440</v>
      </c>
      <c r="D56" t="s">
        <v>0</v>
      </c>
      <c r="E56">
        <v>4906</v>
      </c>
      <c r="F56" t="s">
        <v>143</v>
      </c>
      <c r="G56" t="s">
        <v>144</v>
      </c>
      <c r="H56" s="2">
        <v>0</v>
      </c>
      <c r="I56" s="2">
        <v>0</v>
      </c>
      <c r="J56" s="2">
        <v>0</v>
      </c>
      <c r="K56" s="6">
        <v>2520</v>
      </c>
      <c r="L56" s="2">
        <v>0</v>
      </c>
      <c r="M56" s="2">
        <v>0</v>
      </c>
      <c r="N56" s="2">
        <v>0</v>
      </c>
      <c r="O56" s="2">
        <v>327.60000000000002</v>
      </c>
      <c r="P56" s="2">
        <v>2847.6</v>
      </c>
      <c r="Q56" t="s">
        <v>465</v>
      </c>
      <c r="R56" t="s">
        <v>516</v>
      </c>
      <c r="S56" s="2" t="s">
        <v>520</v>
      </c>
      <c r="T56" s="2">
        <v>25.2</v>
      </c>
      <c r="U56" s="2"/>
    </row>
    <row r="57" spans="1:21" x14ac:dyDescent="0.25">
      <c r="A57" t="s">
        <v>554</v>
      </c>
      <c r="B57" t="s">
        <v>1278</v>
      </c>
      <c r="C57" t="s">
        <v>440</v>
      </c>
      <c r="D57" t="s">
        <v>0</v>
      </c>
      <c r="E57">
        <v>4904</v>
      </c>
      <c r="F57" t="s">
        <v>143</v>
      </c>
      <c r="G57" t="s">
        <v>144</v>
      </c>
      <c r="H57" s="2">
        <v>0</v>
      </c>
      <c r="I57" s="2">
        <v>0</v>
      </c>
      <c r="J57" s="2">
        <v>0</v>
      </c>
      <c r="K57" s="6">
        <v>3836.45</v>
      </c>
      <c r="L57" s="2">
        <v>0</v>
      </c>
      <c r="M57" s="2">
        <v>0</v>
      </c>
      <c r="N57" s="2">
        <v>0</v>
      </c>
      <c r="O57" s="2">
        <v>498.73849999999999</v>
      </c>
      <c r="P57" s="2">
        <v>4335.1885000000002</v>
      </c>
      <c r="Q57" t="s">
        <v>465</v>
      </c>
      <c r="R57" t="s">
        <v>516</v>
      </c>
      <c r="S57" s="2" t="s">
        <v>520</v>
      </c>
      <c r="T57" s="2">
        <v>38.3645</v>
      </c>
      <c r="U57" s="2"/>
    </row>
    <row r="58" spans="1:21" x14ac:dyDescent="0.25">
      <c r="A58" t="s">
        <v>554</v>
      </c>
      <c r="B58" t="s">
        <v>1278</v>
      </c>
      <c r="C58" t="s">
        <v>440</v>
      </c>
      <c r="D58" t="s">
        <v>0</v>
      </c>
      <c r="E58">
        <v>17306</v>
      </c>
      <c r="F58" t="s">
        <v>370</v>
      </c>
      <c r="G58" t="s">
        <v>371</v>
      </c>
      <c r="H58" s="2">
        <v>0</v>
      </c>
      <c r="I58" s="2">
        <v>0</v>
      </c>
      <c r="J58" s="2">
        <v>0</v>
      </c>
      <c r="K58" s="6">
        <v>132</v>
      </c>
      <c r="L58" s="2">
        <v>0</v>
      </c>
      <c r="M58" s="2">
        <v>0</v>
      </c>
      <c r="N58" s="2">
        <v>0</v>
      </c>
      <c r="O58" s="2">
        <v>17.16</v>
      </c>
      <c r="P58" s="2">
        <v>149.16</v>
      </c>
      <c r="Q58" t="s">
        <v>465</v>
      </c>
      <c r="R58" t="s">
        <v>516</v>
      </c>
      <c r="S58" s="2" t="s">
        <v>1226</v>
      </c>
      <c r="T58" s="2">
        <v>1.32</v>
      </c>
      <c r="U58" s="2"/>
    </row>
    <row r="59" spans="1:21" x14ac:dyDescent="0.25">
      <c r="A59" t="s">
        <v>554</v>
      </c>
      <c r="B59" t="s">
        <v>1275</v>
      </c>
      <c r="C59" t="s">
        <v>440</v>
      </c>
      <c r="D59" t="s">
        <v>0</v>
      </c>
      <c r="E59">
        <v>21966</v>
      </c>
      <c r="F59" t="s">
        <v>372</v>
      </c>
      <c r="G59" t="s">
        <v>373</v>
      </c>
      <c r="H59" s="2">
        <v>0</v>
      </c>
      <c r="I59" s="2">
        <v>0</v>
      </c>
      <c r="J59" s="2">
        <v>0</v>
      </c>
      <c r="K59" s="6">
        <v>221.81</v>
      </c>
      <c r="L59" s="2">
        <v>0</v>
      </c>
      <c r="M59" s="2">
        <v>0</v>
      </c>
      <c r="N59" s="2">
        <v>0</v>
      </c>
      <c r="O59" s="2">
        <v>28.8353</v>
      </c>
      <c r="P59" s="2">
        <v>250.64529999999999</v>
      </c>
      <c r="Q59" t="s">
        <v>465</v>
      </c>
      <c r="R59" t="s">
        <v>516</v>
      </c>
      <c r="S59" s="2" t="s">
        <v>1226</v>
      </c>
      <c r="T59" s="2">
        <v>2.2200000000000002</v>
      </c>
      <c r="U59" s="2"/>
    </row>
    <row r="60" spans="1:21" x14ac:dyDescent="0.25">
      <c r="A60" t="s">
        <v>554</v>
      </c>
      <c r="B60" t="s">
        <v>1269</v>
      </c>
      <c r="C60" t="s">
        <v>440</v>
      </c>
      <c r="D60" t="s">
        <v>0</v>
      </c>
      <c r="E60">
        <v>1411</v>
      </c>
      <c r="F60" t="s">
        <v>403</v>
      </c>
      <c r="G60" t="s">
        <v>404</v>
      </c>
      <c r="H60" s="2">
        <v>0</v>
      </c>
      <c r="I60" s="2">
        <v>0</v>
      </c>
      <c r="J60" s="2">
        <v>0</v>
      </c>
      <c r="K60" s="6">
        <v>99.56</v>
      </c>
      <c r="L60" s="2">
        <v>0</v>
      </c>
      <c r="M60" s="2">
        <v>0</v>
      </c>
      <c r="N60" s="2">
        <v>0</v>
      </c>
      <c r="O60" s="2">
        <v>12.9428</v>
      </c>
      <c r="P60" s="2">
        <v>112.50280000000001</v>
      </c>
      <c r="Q60" t="s">
        <v>465</v>
      </c>
      <c r="R60" t="s">
        <v>516</v>
      </c>
      <c r="S60" s="2">
        <v>0</v>
      </c>
      <c r="T60" s="2">
        <v>0</v>
      </c>
      <c r="U60" s="2"/>
    </row>
    <row r="61" spans="1:21" x14ac:dyDescent="0.25">
      <c r="A61" t="s">
        <v>554</v>
      </c>
      <c r="B61" t="s">
        <v>1278</v>
      </c>
      <c r="C61" t="s">
        <v>440</v>
      </c>
      <c r="D61" t="s">
        <v>0</v>
      </c>
      <c r="E61">
        <v>551</v>
      </c>
      <c r="F61" t="s">
        <v>122</v>
      </c>
      <c r="G61" t="s">
        <v>123</v>
      </c>
      <c r="H61" s="2">
        <v>0</v>
      </c>
      <c r="I61" s="2">
        <v>0</v>
      </c>
      <c r="J61" s="2">
        <v>0</v>
      </c>
      <c r="K61" s="6">
        <v>37</v>
      </c>
      <c r="L61" s="2">
        <v>0</v>
      </c>
      <c r="M61" s="2">
        <v>0</v>
      </c>
      <c r="N61" s="2">
        <v>0</v>
      </c>
      <c r="O61" s="2">
        <v>4.8100000000000005</v>
      </c>
      <c r="P61" s="2">
        <v>41.81</v>
      </c>
      <c r="Q61" t="s">
        <v>465</v>
      </c>
      <c r="R61" t="s">
        <v>516</v>
      </c>
      <c r="S61" s="2">
        <v>0</v>
      </c>
      <c r="T61" s="2">
        <v>0</v>
      </c>
      <c r="U61" s="2"/>
    </row>
    <row r="62" spans="1:21" x14ac:dyDescent="0.25">
      <c r="A62" t="s">
        <v>554</v>
      </c>
      <c r="B62" t="s">
        <v>1316</v>
      </c>
      <c r="C62" t="s">
        <v>440</v>
      </c>
      <c r="D62" t="s">
        <v>0</v>
      </c>
      <c r="E62">
        <v>14645</v>
      </c>
      <c r="F62" t="s">
        <v>372</v>
      </c>
      <c r="G62" t="s">
        <v>373</v>
      </c>
      <c r="H62" s="2">
        <v>0</v>
      </c>
      <c r="I62" s="2">
        <v>0</v>
      </c>
      <c r="J62" s="2">
        <v>0</v>
      </c>
      <c r="K62" s="6">
        <v>209.64</v>
      </c>
      <c r="L62" s="2">
        <v>0</v>
      </c>
      <c r="M62" s="2">
        <v>0</v>
      </c>
      <c r="N62" s="2">
        <v>0</v>
      </c>
      <c r="O62" s="2">
        <v>27.2532</v>
      </c>
      <c r="P62" s="2">
        <v>236.89319999999998</v>
      </c>
      <c r="Q62" t="s">
        <v>465</v>
      </c>
      <c r="R62" t="s">
        <v>516</v>
      </c>
      <c r="S62" s="2" t="s">
        <v>1226</v>
      </c>
      <c r="T62" s="2">
        <v>2.1</v>
      </c>
      <c r="U62" s="2"/>
    </row>
    <row r="63" spans="1:21" x14ac:dyDescent="0.25">
      <c r="A63" t="s">
        <v>554</v>
      </c>
      <c r="B63" t="s">
        <v>1281</v>
      </c>
      <c r="C63" t="s">
        <v>440</v>
      </c>
      <c r="D63" t="s">
        <v>0</v>
      </c>
      <c r="E63">
        <v>3515</v>
      </c>
      <c r="F63" t="s">
        <v>66</v>
      </c>
      <c r="G63" t="s">
        <v>67</v>
      </c>
      <c r="H63" s="2">
        <v>0</v>
      </c>
      <c r="I63" s="2">
        <v>0</v>
      </c>
      <c r="J63" s="2">
        <v>0</v>
      </c>
      <c r="K63" s="6">
        <v>341.1</v>
      </c>
      <c r="L63" s="2">
        <v>0</v>
      </c>
      <c r="M63" s="2">
        <v>0</v>
      </c>
      <c r="N63" s="2">
        <v>0</v>
      </c>
      <c r="O63" s="2">
        <v>44.343000000000004</v>
      </c>
      <c r="P63" s="2">
        <v>385.44300000000004</v>
      </c>
      <c r="Q63" t="s">
        <v>465</v>
      </c>
      <c r="R63" t="s">
        <v>516</v>
      </c>
      <c r="S63" s="2">
        <v>0</v>
      </c>
      <c r="T63" s="2">
        <v>0</v>
      </c>
      <c r="U63" s="2"/>
    </row>
    <row r="64" spans="1:21" x14ac:dyDescent="0.25">
      <c r="A64" t="s">
        <v>554</v>
      </c>
      <c r="B64" t="s">
        <v>1278</v>
      </c>
      <c r="C64" t="s">
        <v>440</v>
      </c>
      <c r="D64" t="s">
        <v>0</v>
      </c>
      <c r="E64">
        <v>3597</v>
      </c>
      <c r="F64" t="s">
        <v>66</v>
      </c>
      <c r="G64" t="s">
        <v>67</v>
      </c>
      <c r="H64" s="2">
        <v>0</v>
      </c>
      <c r="I64" s="2">
        <v>0</v>
      </c>
      <c r="J64" s="2">
        <v>0</v>
      </c>
      <c r="K64" s="6">
        <v>29.87</v>
      </c>
      <c r="L64" s="2">
        <v>0</v>
      </c>
      <c r="M64" s="2">
        <v>0</v>
      </c>
      <c r="N64" s="2">
        <v>0</v>
      </c>
      <c r="O64" s="2">
        <v>3.8831000000000002</v>
      </c>
      <c r="P64" s="2">
        <v>33.753100000000003</v>
      </c>
      <c r="Q64" t="s">
        <v>465</v>
      </c>
      <c r="R64" t="s">
        <v>516</v>
      </c>
      <c r="S64" s="2">
        <v>0</v>
      </c>
      <c r="T64" s="2">
        <v>0</v>
      </c>
      <c r="U64" s="2"/>
    </row>
    <row r="65" spans="1:21" x14ac:dyDescent="0.25">
      <c r="A65" t="s">
        <v>554</v>
      </c>
      <c r="B65" t="s">
        <v>1269</v>
      </c>
      <c r="C65" t="s">
        <v>440</v>
      </c>
      <c r="D65" t="s">
        <v>0</v>
      </c>
      <c r="E65">
        <v>9851</v>
      </c>
      <c r="F65" t="s">
        <v>348</v>
      </c>
      <c r="G65" t="s">
        <v>349</v>
      </c>
      <c r="H65" s="2">
        <v>0</v>
      </c>
      <c r="I65" s="2">
        <v>0</v>
      </c>
      <c r="J65" s="2">
        <v>0</v>
      </c>
      <c r="K65" s="6">
        <v>142.04</v>
      </c>
      <c r="L65" s="2">
        <v>0</v>
      </c>
      <c r="M65" s="2">
        <v>0</v>
      </c>
      <c r="N65" s="2">
        <v>0</v>
      </c>
      <c r="O65" s="2">
        <v>18.465199999999999</v>
      </c>
      <c r="P65" s="2">
        <v>160.5052</v>
      </c>
      <c r="Q65" t="s">
        <v>465</v>
      </c>
      <c r="R65" t="s">
        <v>516</v>
      </c>
      <c r="S65" s="2" t="s">
        <v>1223</v>
      </c>
      <c r="T65" s="2">
        <v>1.42</v>
      </c>
      <c r="U65" s="2"/>
    </row>
    <row r="66" spans="1:21" x14ac:dyDescent="0.25">
      <c r="A66" t="s">
        <v>554</v>
      </c>
      <c r="B66" t="s">
        <v>1207</v>
      </c>
      <c r="C66" t="s">
        <v>440</v>
      </c>
      <c r="D66" t="s">
        <v>0</v>
      </c>
      <c r="E66">
        <v>9113</v>
      </c>
      <c r="F66" t="s">
        <v>348</v>
      </c>
      <c r="G66" t="s">
        <v>349</v>
      </c>
      <c r="H66" s="2">
        <v>0</v>
      </c>
      <c r="I66" s="2">
        <v>0</v>
      </c>
      <c r="J66" s="2">
        <v>0</v>
      </c>
      <c r="K66" s="6">
        <v>244.34</v>
      </c>
      <c r="L66" s="2">
        <v>0</v>
      </c>
      <c r="M66" s="2">
        <v>0</v>
      </c>
      <c r="N66" s="2">
        <v>0</v>
      </c>
      <c r="O66" s="2">
        <v>31.764200000000002</v>
      </c>
      <c r="P66" s="2">
        <v>276.10419999999999</v>
      </c>
      <c r="Q66" t="s">
        <v>465</v>
      </c>
      <c r="R66" t="s">
        <v>516</v>
      </c>
      <c r="S66" s="2" t="s">
        <v>1223</v>
      </c>
      <c r="T66" s="2">
        <v>2.44</v>
      </c>
      <c r="U66" s="2"/>
    </row>
    <row r="67" spans="1:21" x14ac:dyDescent="0.25">
      <c r="A67" t="s">
        <v>554</v>
      </c>
      <c r="B67" t="s">
        <v>1210</v>
      </c>
      <c r="C67" t="s">
        <v>440</v>
      </c>
      <c r="D67" t="s">
        <v>0</v>
      </c>
      <c r="E67">
        <v>8815</v>
      </c>
      <c r="F67" t="s">
        <v>348</v>
      </c>
      <c r="G67" t="s">
        <v>349</v>
      </c>
      <c r="H67" s="2">
        <v>0</v>
      </c>
      <c r="I67" s="2">
        <v>0</v>
      </c>
      <c r="J67" s="2">
        <v>0</v>
      </c>
      <c r="K67" s="6">
        <v>61.06</v>
      </c>
      <c r="L67" s="2">
        <v>0</v>
      </c>
      <c r="M67" s="2">
        <v>0</v>
      </c>
      <c r="N67" s="2">
        <v>0</v>
      </c>
      <c r="O67" s="2">
        <v>7.9378000000000002</v>
      </c>
      <c r="P67" s="2">
        <v>68.997799999999998</v>
      </c>
      <c r="Q67" t="s">
        <v>465</v>
      </c>
      <c r="R67" t="s">
        <v>516</v>
      </c>
      <c r="S67" s="2">
        <v>0</v>
      </c>
      <c r="T67" s="2">
        <v>0</v>
      </c>
      <c r="U67" s="2"/>
    </row>
    <row r="68" spans="1:21" x14ac:dyDescent="0.25">
      <c r="A68" t="s">
        <v>554</v>
      </c>
      <c r="B68" t="s">
        <v>1277</v>
      </c>
      <c r="C68" t="s">
        <v>440</v>
      </c>
      <c r="D68" t="s">
        <v>0</v>
      </c>
      <c r="E68">
        <v>1639828</v>
      </c>
      <c r="F68" t="s">
        <v>309</v>
      </c>
      <c r="G68" t="s">
        <v>310</v>
      </c>
      <c r="H68" s="2">
        <v>0</v>
      </c>
      <c r="I68" s="2">
        <v>0</v>
      </c>
      <c r="J68" s="2">
        <v>0</v>
      </c>
      <c r="K68" s="6">
        <v>65.81</v>
      </c>
      <c r="L68" s="2">
        <v>0</v>
      </c>
      <c r="M68" s="2">
        <v>0</v>
      </c>
      <c r="N68" s="2">
        <v>0</v>
      </c>
      <c r="O68" s="2">
        <v>8.5553000000000008</v>
      </c>
      <c r="P68" s="2">
        <v>74.365300000000005</v>
      </c>
      <c r="Q68" t="s">
        <v>465</v>
      </c>
      <c r="R68" t="s">
        <v>516</v>
      </c>
      <c r="S68" s="2">
        <v>0</v>
      </c>
      <c r="T68" s="2">
        <v>0</v>
      </c>
      <c r="U68" s="2"/>
    </row>
    <row r="69" spans="1:21" x14ac:dyDescent="0.25">
      <c r="A69" t="s">
        <v>554</v>
      </c>
      <c r="B69" t="s">
        <v>1277</v>
      </c>
      <c r="C69" t="s">
        <v>440</v>
      </c>
      <c r="D69" t="s">
        <v>0</v>
      </c>
      <c r="E69">
        <v>1639825</v>
      </c>
      <c r="F69" t="s">
        <v>309</v>
      </c>
      <c r="G69" t="s">
        <v>310</v>
      </c>
      <c r="H69" s="2">
        <v>0</v>
      </c>
      <c r="I69" s="2">
        <v>0</v>
      </c>
      <c r="J69" s="2">
        <v>0</v>
      </c>
      <c r="K69" s="6">
        <v>154.5</v>
      </c>
      <c r="L69" s="2">
        <v>0</v>
      </c>
      <c r="M69" s="2">
        <v>0</v>
      </c>
      <c r="N69" s="2">
        <v>0</v>
      </c>
      <c r="O69" s="2">
        <v>20.085000000000001</v>
      </c>
      <c r="P69" s="2">
        <v>174.58500000000001</v>
      </c>
      <c r="Q69" t="s">
        <v>465</v>
      </c>
      <c r="R69" t="s">
        <v>516</v>
      </c>
      <c r="S69" s="2">
        <v>0</v>
      </c>
      <c r="T69" s="2">
        <v>0</v>
      </c>
      <c r="U69" s="2"/>
    </row>
    <row r="70" spans="1:21" x14ac:dyDescent="0.25">
      <c r="A70" t="s">
        <v>554</v>
      </c>
      <c r="B70" t="s">
        <v>1277</v>
      </c>
      <c r="C70" t="s">
        <v>440</v>
      </c>
      <c r="D70" t="s">
        <v>0</v>
      </c>
      <c r="E70">
        <v>1639827</v>
      </c>
      <c r="F70" t="s">
        <v>309</v>
      </c>
      <c r="G70" t="s">
        <v>310</v>
      </c>
      <c r="H70" s="2">
        <v>0</v>
      </c>
      <c r="I70" s="2">
        <v>0</v>
      </c>
      <c r="J70" s="2">
        <v>0</v>
      </c>
      <c r="K70" s="6">
        <v>47.97</v>
      </c>
      <c r="L70" s="2">
        <v>0</v>
      </c>
      <c r="M70" s="2">
        <v>0</v>
      </c>
      <c r="N70" s="2">
        <v>0</v>
      </c>
      <c r="O70" s="2">
        <v>6.2361000000000004</v>
      </c>
      <c r="P70" s="2">
        <v>54.206099999999999</v>
      </c>
      <c r="Q70" t="s">
        <v>465</v>
      </c>
      <c r="R70" t="s">
        <v>516</v>
      </c>
      <c r="S70" s="2">
        <v>0</v>
      </c>
      <c r="T70" s="2">
        <v>0</v>
      </c>
      <c r="U70" s="2"/>
    </row>
    <row r="71" spans="1:21" x14ac:dyDescent="0.25">
      <c r="A71" t="s">
        <v>554</v>
      </c>
      <c r="B71" t="s">
        <v>1277</v>
      </c>
      <c r="C71" t="s">
        <v>440</v>
      </c>
      <c r="D71" t="s">
        <v>0</v>
      </c>
      <c r="E71">
        <v>1639826</v>
      </c>
      <c r="F71" t="s">
        <v>309</v>
      </c>
      <c r="G71" t="s">
        <v>310</v>
      </c>
      <c r="H71" s="2">
        <v>0</v>
      </c>
      <c r="I71" s="2">
        <v>0</v>
      </c>
      <c r="J71" s="2">
        <v>0</v>
      </c>
      <c r="K71" s="6">
        <v>284.77</v>
      </c>
      <c r="L71" s="2">
        <v>0</v>
      </c>
      <c r="M71" s="2">
        <v>0</v>
      </c>
      <c r="N71" s="2">
        <v>0</v>
      </c>
      <c r="O71" s="2">
        <v>37.020099999999999</v>
      </c>
      <c r="P71" s="2">
        <v>321.7901</v>
      </c>
      <c r="Q71" t="s">
        <v>465</v>
      </c>
      <c r="R71" t="s">
        <v>516</v>
      </c>
      <c r="S71" s="2">
        <v>0</v>
      </c>
      <c r="T71" s="2">
        <v>0</v>
      </c>
      <c r="U71" s="2"/>
    </row>
    <row r="72" spans="1:21" x14ac:dyDescent="0.25">
      <c r="A72" t="s">
        <v>554</v>
      </c>
      <c r="B72" t="s">
        <v>1277</v>
      </c>
      <c r="C72" t="s">
        <v>440</v>
      </c>
      <c r="D72" t="s">
        <v>0</v>
      </c>
      <c r="E72">
        <v>1639830</v>
      </c>
      <c r="F72" t="s">
        <v>309</v>
      </c>
      <c r="G72" t="s">
        <v>310</v>
      </c>
      <c r="H72" s="2">
        <v>0</v>
      </c>
      <c r="I72" s="2">
        <v>0</v>
      </c>
      <c r="J72" s="2">
        <v>0</v>
      </c>
      <c r="K72" s="6">
        <v>55.85</v>
      </c>
      <c r="L72" s="2">
        <v>0</v>
      </c>
      <c r="M72" s="2">
        <v>0</v>
      </c>
      <c r="N72" s="2">
        <v>0</v>
      </c>
      <c r="O72" s="2">
        <v>7.2605000000000004</v>
      </c>
      <c r="P72" s="2">
        <v>63.110500000000002</v>
      </c>
      <c r="Q72" t="s">
        <v>465</v>
      </c>
      <c r="R72" t="s">
        <v>516</v>
      </c>
      <c r="S72" s="2">
        <v>0</v>
      </c>
      <c r="T72" s="2">
        <v>0</v>
      </c>
      <c r="U72" s="2"/>
    </row>
    <row r="73" spans="1:21" x14ac:dyDescent="0.25">
      <c r="A73" t="s">
        <v>554</v>
      </c>
      <c r="B73" t="s">
        <v>1277</v>
      </c>
      <c r="C73" t="s">
        <v>440</v>
      </c>
      <c r="D73" t="s">
        <v>0</v>
      </c>
      <c r="E73">
        <v>1639829</v>
      </c>
      <c r="F73" t="s">
        <v>309</v>
      </c>
      <c r="G73" t="s">
        <v>310</v>
      </c>
      <c r="H73" s="2">
        <v>0</v>
      </c>
      <c r="I73" s="2">
        <v>0</v>
      </c>
      <c r="J73" s="2">
        <v>0</v>
      </c>
      <c r="K73" s="6">
        <v>65.8</v>
      </c>
      <c r="L73" s="2">
        <v>0</v>
      </c>
      <c r="M73" s="2">
        <v>0</v>
      </c>
      <c r="N73" s="2">
        <v>0</v>
      </c>
      <c r="O73" s="2">
        <v>8.5540000000000003</v>
      </c>
      <c r="P73" s="2">
        <v>74.353999999999999</v>
      </c>
      <c r="Q73" t="s">
        <v>465</v>
      </c>
      <c r="R73" t="s">
        <v>516</v>
      </c>
      <c r="S73" s="2">
        <v>0</v>
      </c>
      <c r="T73" s="2">
        <v>0</v>
      </c>
      <c r="U73" s="2"/>
    </row>
    <row r="74" spans="1:21" x14ac:dyDescent="0.25">
      <c r="A74" t="s">
        <v>554</v>
      </c>
      <c r="B74" t="s">
        <v>1277</v>
      </c>
      <c r="C74" t="s">
        <v>440</v>
      </c>
      <c r="D74" t="s">
        <v>0</v>
      </c>
      <c r="E74">
        <v>1639832</v>
      </c>
      <c r="F74" t="s">
        <v>309</v>
      </c>
      <c r="G74" t="s">
        <v>310</v>
      </c>
      <c r="H74" s="2">
        <v>0</v>
      </c>
      <c r="I74" s="2">
        <v>0</v>
      </c>
      <c r="J74" s="2">
        <v>0</v>
      </c>
      <c r="K74" s="6">
        <v>55.46</v>
      </c>
      <c r="L74" s="2">
        <v>0</v>
      </c>
      <c r="M74" s="2">
        <v>0</v>
      </c>
      <c r="N74" s="2">
        <v>0</v>
      </c>
      <c r="O74" s="2">
        <v>7.2098000000000004</v>
      </c>
      <c r="P74" s="2">
        <v>62.669800000000002</v>
      </c>
      <c r="Q74" t="s">
        <v>465</v>
      </c>
      <c r="R74" t="s">
        <v>516</v>
      </c>
      <c r="S74" s="2">
        <v>0</v>
      </c>
      <c r="T74" s="2">
        <v>0</v>
      </c>
      <c r="U74" s="2"/>
    </row>
    <row r="75" spans="1:21" x14ac:dyDescent="0.25">
      <c r="A75" t="s">
        <v>554</v>
      </c>
      <c r="B75" t="s">
        <v>1277</v>
      </c>
      <c r="C75" t="s">
        <v>440</v>
      </c>
      <c r="D75" t="s">
        <v>0</v>
      </c>
      <c r="E75">
        <v>1639831</v>
      </c>
      <c r="F75" t="s">
        <v>309</v>
      </c>
      <c r="G75" t="s">
        <v>310</v>
      </c>
      <c r="H75" s="2">
        <v>0</v>
      </c>
      <c r="I75" s="2">
        <v>0</v>
      </c>
      <c r="J75" s="2">
        <v>0</v>
      </c>
      <c r="K75" s="6">
        <v>46.66</v>
      </c>
      <c r="L75" s="2">
        <v>0</v>
      </c>
      <c r="M75" s="2">
        <v>0</v>
      </c>
      <c r="N75" s="2">
        <v>0</v>
      </c>
      <c r="O75" s="2">
        <v>6.0657999999999994</v>
      </c>
      <c r="P75" s="2">
        <v>52.725799999999992</v>
      </c>
      <c r="Q75" t="s">
        <v>465</v>
      </c>
      <c r="R75" t="s">
        <v>516</v>
      </c>
      <c r="S75" s="2">
        <v>0</v>
      </c>
      <c r="T75" s="2">
        <v>0</v>
      </c>
      <c r="U75" s="2"/>
    </row>
    <row r="76" spans="1:21" x14ac:dyDescent="0.25">
      <c r="A76" t="s">
        <v>554</v>
      </c>
      <c r="B76" t="s">
        <v>1277</v>
      </c>
      <c r="C76" t="s">
        <v>440</v>
      </c>
      <c r="D76" t="s">
        <v>0</v>
      </c>
      <c r="E76">
        <v>1639833</v>
      </c>
      <c r="F76" t="s">
        <v>309</v>
      </c>
      <c r="G76" t="s">
        <v>310</v>
      </c>
      <c r="H76" s="2">
        <v>0</v>
      </c>
      <c r="I76" s="2">
        <v>0</v>
      </c>
      <c r="J76" s="2">
        <v>0</v>
      </c>
      <c r="K76" s="6">
        <v>55.46</v>
      </c>
      <c r="L76" s="2">
        <v>0</v>
      </c>
      <c r="M76" s="2">
        <v>0</v>
      </c>
      <c r="N76" s="2">
        <v>0</v>
      </c>
      <c r="O76" s="2">
        <v>7.2098000000000004</v>
      </c>
      <c r="P76" s="2">
        <v>62.669800000000002</v>
      </c>
      <c r="Q76" t="s">
        <v>465</v>
      </c>
      <c r="R76" t="s">
        <v>516</v>
      </c>
      <c r="S76" s="2">
        <v>0</v>
      </c>
      <c r="T76" s="2">
        <v>0</v>
      </c>
      <c r="U76" s="2"/>
    </row>
    <row r="77" spans="1:21" x14ac:dyDescent="0.25">
      <c r="A77" t="s">
        <v>554</v>
      </c>
      <c r="B77" t="s">
        <v>1287</v>
      </c>
      <c r="C77" t="s">
        <v>440</v>
      </c>
      <c r="D77" t="s">
        <v>0</v>
      </c>
      <c r="E77">
        <v>4133</v>
      </c>
      <c r="F77" t="s">
        <v>1314</v>
      </c>
      <c r="G77" t="s">
        <v>1315</v>
      </c>
      <c r="H77" s="2">
        <v>2.08</v>
      </c>
      <c r="I77" s="2">
        <v>0</v>
      </c>
      <c r="J77" s="2">
        <v>0</v>
      </c>
      <c r="K77" s="6">
        <v>24.71</v>
      </c>
      <c r="L77" s="2">
        <v>0</v>
      </c>
      <c r="M77" s="2">
        <v>0</v>
      </c>
      <c r="N77" s="2">
        <v>0</v>
      </c>
      <c r="O77" s="2">
        <v>3.2123000000000004</v>
      </c>
      <c r="P77" s="2">
        <v>30.002299999999998</v>
      </c>
      <c r="Q77" t="s">
        <v>465</v>
      </c>
      <c r="R77" t="s">
        <v>516</v>
      </c>
      <c r="S77" s="2">
        <v>0</v>
      </c>
      <c r="T77" s="2">
        <v>0</v>
      </c>
      <c r="U77" s="2"/>
    </row>
    <row r="78" spans="1:21" x14ac:dyDescent="0.25">
      <c r="A78" t="s">
        <v>554</v>
      </c>
      <c r="B78" t="s">
        <v>1286</v>
      </c>
      <c r="C78" t="s">
        <v>440</v>
      </c>
      <c r="D78" t="s">
        <v>0</v>
      </c>
      <c r="E78">
        <v>22971</v>
      </c>
      <c r="F78" t="s">
        <v>260</v>
      </c>
      <c r="G78" t="s">
        <v>261</v>
      </c>
      <c r="H78" s="2">
        <v>2.0699999999999998</v>
      </c>
      <c r="I78" s="2">
        <v>0</v>
      </c>
      <c r="J78" s="2">
        <v>0</v>
      </c>
      <c r="K78" s="6">
        <v>24.71</v>
      </c>
      <c r="L78" s="2">
        <v>0</v>
      </c>
      <c r="M78" s="2">
        <v>0</v>
      </c>
      <c r="N78" s="2">
        <v>0</v>
      </c>
      <c r="O78" s="2">
        <v>3.2123000000000004</v>
      </c>
      <c r="P78" s="2">
        <v>29.9923</v>
      </c>
      <c r="Q78" t="s">
        <v>465</v>
      </c>
      <c r="R78" t="s">
        <v>516</v>
      </c>
      <c r="S78" s="2">
        <v>0</v>
      </c>
      <c r="T78" s="2">
        <v>0</v>
      </c>
      <c r="U78" s="2"/>
    </row>
    <row r="79" spans="1:21" x14ac:dyDescent="0.25">
      <c r="A79" t="s">
        <v>554</v>
      </c>
      <c r="B79" t="s">
        <v>1303</v>
      </c>
      <c r="C79" t="s">
        <v>440</v>
      </c>
      <c r="D79" t="s">
        <v>0</v>
      </c>
      <c r="E79">
        <v>540288</v>
      </c>
      <c r="F79" t="s">
        <v>204</v>
      </c>
      <c r="G79" t="s">
        <v>205</v>
      </c>
      <c r="H79" s="2">
        <v>2.0699999999999998</v>
      </c>
      <c r="I79" s="2">
        <v>0</v>
      </c>
      <c r="J79" s="2">
        <v>0</v>
      </c>
      <c r="K79" s="6">
        <v>24.71</v>
      </c>
      <c r="L79" s="2">
        <v>0</v>
      </c>
      <c r="M79" s="2">
        <v>0</v>
      </c>
      <c r="N79" s="2">
        <v>0</v>
      </c>
      <c r="O79" s="2">
        <v>3.2123000000000004</v>
      </c>
      <c r="P79" s="2">
        <v>29.9923</v>
      </c>
      <c r="Q79" t="s">
        <v>465</v>
      </c>
      <c r="R79" t="s">
        <v>516</v>
      </c>
      <c r="S79" s="2">
        <v>0</v>
      </c>
      <c r="T79" s="2">
        <v>0</v>
      </c>
      <c r="U79" s="2"/>
    </row>
    <row r="80" spans="1:21" x14ac:dyDescent="0.25">
      <c r="A80" t="s">
        <v>554</v>
      </c>
      <c r="B80" t="s">
        <v>1272</v>
      </c>
      <c r="C80" t="s">
        <v>440</v>
      </c>
      <c r="D80" t="s">
        <v>0</v>
      </c>
      <c r="E80">
        <v>6123</v>
      </c>
      <c r="F80" t="s">
        <v>134</v>
      </c>
      <c r="G80" t="s">
        <v>135</v>
      </c>
      <c r="H80" s="2">
        <v>0</v>
      </c>
      <c r="I80" s="2">
        <v>0</v>
      </c>
      <c r="J80" s="2">
        <v>0</v>
      </c>
      <c r="K80" s="6">
        <v>55.31</v>
      </c>
      <c r="L80" s="2">
        <v>0</v>
      </c>
      <c r="M80" s="2">
        <v>0</v>
      </c>
      <c r="N80" s="2">
        <v>0</v>
      </c>
      <c r="O80" s="2">
        <v>7.1903000000000006</v>
      </c>
      <c r="P80" s="2">
        <v>62.500300000000003</v>
      </c>
      <c r="Q80" t="s">
        <v>465</v>
      </c>
      <c r="R80" t="s">
        <v>516</v>
      </c>
      <c r="S80" s="2">
        <v>0</v>
      </c>
      <c r="T80" s="2">
        <v>0</v>
      </c>
      <c r="U80" s="2"/>
    </row>
    <row r="81" spans="1:21" x14ac:dyDescent="0.25">
      <c r="A81" t="s">
        <v>554</v>
      </c>
      <c r="B81" t="s">
        <v>1272</v>
      </c>
      <c r="C81" t="s">
        <v>440</v>
      </c>
      <c r="D81" t="s">
        <v>0</v>
      </c>
      <c r="E81">
        <v>23742</v>
      </c>
      <c r="F81" t="s">
        <v>246</v>
      </c>
      <c r="G81" t="s">
        <v>247</v>
      </c>
      <c r="H81" s="2">
        <v>2.11</v>
      </c>
      <c r="I81" s="2">
        <v>0</v>
      </c>
      <c r="J81" s="2">
        <v>0</v>
      </c>
      <c r="K81" s="6">
        <v>24.68</v>
      </c>
      <c r="L81" s="2">
        <v>0</v>
      </c>
      <c r="M81" s="2">
        <v>0</v>
      </c>
      <c r="N81" s="2">
        <v>0</v>
      </c>
      <c r="O81" s="2">
        <v>3.2084000000000001</v>
      </c>
      <c r="P81" s="2">
        <v>29.9984</v>
      </c>
      <c r="Q81" t="s">
        <v>465</v>
      </c>
      <c r="R81" t="s">
        <v>516</v>
      </c>
      <c r="S81" s="2">
        <v>0</v>
      </c>
      <c r="T81" s="2">
        <v>0</v>
      </c>
      <c r="U81" s="2"/>
    </row>
    <row r="82" spans="1:21" x14ac:dyDescent="0.25">
      <c r="A82" t="s">
        <v>554</v>
      </c>
      <c r="B82" t="s">
        <v>1282</v>
      </c>
      <c r="C82" t="s">
        <v>440</v>
      </c>
      <c r="D82" t="s">
        <v>0</v>
      </c>
      <c r="E82">
        <v>74920</v>
      </c>
      <c r="F82" t="s">
        <v>187</v>
      </c>
      <c r="G82" t="s">
        <v>188</v>
      </c>
      <c r="H82" s="2">
        <v>2.21</v>
      </c>
      <c r="I82" s="2">
        <v>0</v>
      </c>
      <c r="J82" s="2">
        <v>0</v>
      </c>
      <c r="K82" s="6">
        <v>24.59</v>
      </c>
      <c r="L82" s="2">
        <v>0</v>
      </c>
      <c r="M82" s="2">
        <v>0</v>
      </c>
      <c r="N82" s="2">
        <v>0</v>
      </c>
      <c r="O82" s="2">
        <v>3.1966999999999999</v>
      </c>
      <c r="P82" s="2">
        <v>29.996700000000001</v>
      </c>
      <c r="Q82" t="s">
        <v>465</v>
      </c>
      <c r="R82" t="s">
        <v>516</v>
      </c>
      <c r="S82" s="2">
        <v>0</v>
      </c>
      <c r="T82" s="2">
        <v>0</v>
      </c>
      <c r="U82" s="2"/>
    </row>
    <row r="83" spans="1:21" x14ac:dyDescent="0.25">
      <c r="A83" t="s">
        <v>554</v>
      </c>
      <c r="B83" t="s">
        <v>1313</v>
      </c>
      <c r="C83" t="s">
        <v>440</v>
      </c>
      <c r="D83" t="s">
        <v>0</v>
      </c>
      <c r="E83">
        <v>2253081</v>
      </c>
      <c r="F83" t="s">
        <v>173</v>
      </c>
      <c r="G83" t="s">
        <v>174</v>
      </c>
      <c r="H83" s="2">
        <v>2.23</v>
      </c>
      <c r="I83" s="2">
        <v>0</v>
      </c>
      <c r="J83" s="2">
        <v>0</v>
      </c>
      <c r="K83" s="6">
        <v>24.58</v>
      </c>
      <c r="L83" s="2">
        <v>0</v>
      </c>
      <c r="M83" s="2">
        <v>0</v>
      </c>
      <c r="N83" s="2">
        <v>0</v>
      </c>
      <c r="O83" s="2">
        <v>3.1953999999999998</v>
      </c>
      <c r="P83" s="2">
        <v>30.005399999999998</v>
      </c>
      <c r="Q83" t="s">
        <v>465</v>
      </c>
      <c r="R83" t="s">
        <v>516</v>
      </c>
      <c r="S83" s="2">
        <v>0</v>
      </c>
      <c r="T83" s="2">
        <v>0</v>
      </c>
      <c r="U83" s="2"/>
    </row>
    <row r="84" spans="1:21" x14ac:dyDescent="0.25">
      <c r="A84" t="s">
        <v>554</v>
      </c>
      <c r="B84" t="s">
        <v>1279</v>
      </c>
      <c r="C84" t="s">
        <v>440</v>
      </c>
      <c r="D84" t="s">
        <v>0</v>
      </c>
      <c r="E84">
        <v>405806</v>
      </c>
      <c r="F84" t="s">
        <v>210</v>
      </c>
      <c r="G84" t="s">
        <v>211</v>
      </c>
      <c r="H84" s="2">
        <v>2.93</v>
      </c>
      <c r="I84" s="2">
        <v>0</v>
      </c>
      <c r="J84" s="2">
        <v>0</v>
      </c>
      <c r="K84" s="6">
        <v>32.81</v>
      </c>
      <c r="L84" s="2">
        <v>0</v>
      </c>
      <c r="M84" s="2">
        <v>0</v>
      </c>
      <c r="N84" s="2">
        <v>0</v>
      </c>
      <c r="O84" s="2">
        <v>4.2653000000000008</v>
      </c>
      <c r="P84" s="2">
        <v>40.005300000000005</v>
      </c>
      <c r="Q84" t="s">
        <v>465</v>
      </c>
      <c r="R84" t="s">
        <v>516</v>
      </c>
      <c r="S84" s="2">
        <v>0</v>
      </c>
      <c r="T84" s="2">
        <v>0</v>
      </c>
      <c r="U84" s="2"/>
    </row>
    <row r="85" spans="1:21" x14ac:dyDescent="0.25">
      <c r="A85" t="s">
        <v>554</v>
      </c>
      <c r="B85" t="s">
        <v>1278</v>
      </c>
      <c r="C85" t="s">
        <v>440</v>
      </c>
      <c r="D85" t="s">
        <v>0</v>
      </c>
      <c r="E85">
        <v>2255530</v>
      </c>
      <c r="F85" t="s">
        <v>173</v>
      </c>
      <c r="G85" t="s">
        <v>174</v>
      </c>
      <c r="H85" s="2">
        <v>2.23</v>
      </c>
      <c r="I85" s="2">
        <v>0</v>
      </c>
      <c r="J85" s="2">
        <v>0</v>
      </c>
      <c r="K85" s="6">
        <v>24.58</v>
      </c>
      <c r="L85" s="2">
        <v>0</v>
      </c>
      <c r="M85" s="2">
        <v>0</v>
      </c>
      <c r="N85" s="2">
        <v>0</v>
      </c>
      <c r="O85" s="2">
        <v>3.1953999999999998</v>
      </c>
      <c r="P85" s="2">
        <v>30.005399999999998</v>
      </c>
      <c r="Q85" t="s">
        <v>465</v>
      </c>
      <c r="R85" t="s">
        <v>516</v>
      </c>
      <c r="S85" s="2">
        <v>0</v>
      </c>
      <c r="T85" s="2">
        <v>0</v>
      </c>
      <c r="U85" s="2"/>
    </row>
    <row r="86" spans="1:21" x14ac:dyDescent="0.25">
      <c r="A86" t="s">
        <v>554</v>
      </c>
      <c r="B86" t="s">
        <v>1276</v>
      </c>
      <c r="C86" t="s">
        <v>440</v>
      </c>
      <c r="D86" t="s">
        <v>0</v>
      </c>
      <c r="E86">
        <v>24757</v>
      </c>
      <c r="F86" t="s">
        <v>260</v>
      </c>
      <c r="G86" t="s">
        <v>261</v>
      </c>
      <c r="H86" s="2">
        <v>0.69000000000000006</v>
      </c>
      <c r="I86" s="2">
        <v>0</v>
      </c>
      <c r="J86" s="2">
        <v>0</v>
      </c>
      <c r="K86" s="6">
        <v>8.23</v>
      </c>
      <c r="L86" s="2">
        <v>0</v>
      </c>
      <c r="M86" s="2">
        <v>0</v>
      </c>
      <c r="N86" s="2">
        <v>0</v>
      </c>
      <c r="O86" s="2">
        <v>1.0699000000000001</v>
      </c>
      <c r="P86" s="2">
        <v>9.9899000000000004</v>
      </c>
      <c r="Q86" t="s">
        <v>465</v>
      </c>
      <c r="R86" t="s">
        <v>516</v>
      </c>
      <c r="S86" s="2">
        <v>0</v>
      </c>
      <c r="T86" s="2">
        <v>0</v>
      </c>
      <c r="U86" s="2"/>
    </row>
    <row r="87" spans="1:21" x14ac:dyDescent="0.25">
      <c r="A87" t="s">
        <v>554</v>
      </c>
      <c r="B87" t="s">
        <v>1290</v>
      </c>
      <c r="C87" t="s">
        <v>440</v>
      </c>
      <c r="D87" t="s">
        <v>0</v>
      </c>
      <c r="E87">
        <v>818410</v>
      </c>
      <c r="F87" t="s">
        <v>358</v>
      </c>
      <c r="G87" t="s">
        <v>359</v>
      </c>
      <c r="H87" s="2">
        <v>0</v>
      </c>
      <c r="I87" s="2">
        <v>0</v>
      </c>
      <c r="J87" s="2">
        <v>0</v>
      </c>
      <c r="K87" s="6">
        <v>43.36</v>
      </c>
      <c r="L87" s="2">
        <v>0</v>
      </c>
      <c r="M87" s="2">
        <v>0</v>
      </c>
      <c r="N87" s="2">
        <v>0</v>
      </c>
      <c r="O87" s="2">
        <v>5.6368</v>
      </c>
      <c r="P87" s="2">
        <v>48.9968</v>
      </c>
      <c r="Q87" t="s">
        <v>465</v>
      </c>
      <c r="R87" t="s">
        <v>516</v>
      </c>
      <c r="S87" s="2">
        <v>0</v>
      </c>
      <c r="T87" s="2">
        <v>0</v>
      </c>
      <c r="U87" s="2"/>
    </row>
    <row r="88" spans="1:21" x14ac:dyDescent="0.25">
      <c r="A88" t="s">
        <v>554</v>
      </c>
      <c r="B88" t="s">
        <v>1275</v>
      </c>
      <c r="C88" t="s">
        <v>440</v>
      </c>
      <c r="D88" t="s">
        <v>0</v>
      </c>
      <c r="E88">
        <v>275</v>
      </c>
      <c r="F88" t="s">
        <v>280</v>
      </c>
      <c r="G88" t="s">
        <v>281</v>
      </c>
      <c r="H88" s="2">
        <v>1.4</v>
      </c>
      <c r="I88" s="2">
        <v>0</v>
      </c>
      <c r="J88" s="2">
        <v>0</v>
      </c>
      <c r="K88" s="6">
        <v>16.46</v>
      </c>
      <c r="L88" s="2">
        <v>0</v>
      </c>
      <c r="M88" s="2">
        <v>0</v>
      </c>
      <c r="N88" s="2">
        <v>0</v>
      </c>
      <c r="O88" s="2">
        <v>2.1398000000000001</v>
      </c>
      <c r="P88" s="2">
        <v>19.9998</v>
      </c>
      <c r="Q88" t="s">
        <v>465</v>
      </c>
      <c r="R88" t="s">
        <v>516</v>
      </c>
      <c r="S88" s="2">
        <v>0</v>
      </c>
      <c r="T88" s="2">
        <v>0</v>
      </c>
      <c r="U88" s="2"/>
    </row>
    <row r="89" spans="1:21" x14ac:dyDescent="0.25">
      <c r="A89" t="s">
        <v>554</v>
      </c>
      <c r="B89" t="s">
        <v>1275</v>
      </c>
      <c r="C89" t="s">
        <v>440</v>
      </c>
      <c r="D89" t="s">
        <v>0</v>
      </c>
      <c r="E89">
        <v>255</v>
      </c>
      <c r="F89" t="s">
        <v>1311</v>
      </c>
      <c r="G89" t="s">
        <v>1312</v>
      </c>
      <c r="H89" s="2">
        <v>0</v>
      </c>
      <c r="I89" s="2">
        <v>0</v>
      </c>
      <c r="J89" s="2">
        <v>0</v>
      </c>
      <c r="K89" s="6">
        <v>243.36</v>
      </c>
      <c r="L89" s="2">
        <v>0</v>
      </c>
      <c r="M89" s="2">
        <v>0</v>
      </c>
      <c r="N89" s="2">
        <v>0</v>
      </c>
      <c r="O89" s="2">
        <v>31.636800000000004</v>
      </c>
      <c r="P89" s="2">
        <v>274.99680000000001</v>
      </c>
      <c r="Q89" t="s">
        <v>465</v>
      </c>
      <c r="R89" t="s">
        <v>516</v>
      </c>
      <c r="S89" s="2">
        <v>0</v>
      </c>
      <c r="T89" s="2">
        <v>0</v>
      </c>
      <c r="U89" s="2"/>
    </row>
    <row r="90" spans="1:21" x14ac:dyDescent="0.25">
      <c r="A90" t="s">
        <v>554</v>
      </c>
      <c r="B90" t="s">
        <v>1275</v>
      </c>
      <c r="C90" t="s">
        <v>440</v>
      </c>
      <c r="D90" t="s">
        <v>0</v>
      </c>
      <c r="E90">
        <v>23</v>
      </c>
      <c r="F90" t="s">
        <v>1309</v>
      </c>
      <c r="G90" t="s">
        <v>1310</v>
      </c>
      <c r="H90" s="2">
        <v>0</v>
      </c>
      <c r="I90" s="2">
        <v>0</v>
      </c>
      <c r="J90" s="2">
        <v>0</v>
      </c>
      <c r="K90" s="6">
        <v>132.74</v>
      </c>
      <c r="L90" s="2">
        <v>0</v>
      </c>
      <c r="M90" s="2">
        <v>0</v>
      </c>
      <c r="N90" s="2">
        <v>0</v>
      </c>
      <c r="O90" s="2">
        <v>17.256200000000003</v>
      </c>
      <c r="P90" s="2">
        <v>149.99620000000002</v>
      </c>
      <c r="Q90" t="s">
        <v>465</v>
      </c>
      <c r="R90" t="s">
        <v>516</v>
      </c>
      <c r="S90" s="2">
        <v>0</v>
      </c>
      <c r="T90" s="2">
        <v>0</v>
      </c>
      <c r="U90" s="2"/>
    </row>
    <row r="91" spans="1:21" x14ac:dyDescent="0.25">
      <c r="A91" t="s">
        <v>554</v>
      </c>
      <c r="B91" t="s">
        <v>1275</v>
      </c>
      <c r="C91" t="s">
        <v>440</v>
      </c>
      <c r="D91" t="s">
        <v>0</v>
      </c>
      <c r="E91">
        <v>368</v>
      </c>
      <c r="F91" t="s">
        <v>429</v>
      </c>
      <c r="G91" t="s">
        <v>430</v>
      </c>
      <c r="H91" s="2">
        <v>0</v>
      </c>
      <c r="I91" s="2">
        <v>0</v>
      </c>
      <c r="J91" s="2">
        <v>0</v>
      </c>
      <c r="K91" s="6">
        <v>11.5</v>
      </c>
      <c r="L91" s="2">
        <v>0</v>
      </c>
      <c r="M91" s="2">
        <v>0</v>
      </c>
      <c r="N91" s="2">
        <v>0</v>
      </c>
      <c r="O91" s="2">
        <v>1.4950000000000001</v>
      </c>
      <c r="P91" s="2">
        <v>12.995000000000001</v>
      </c>
      <c r="Q91" t="s">
        <v>465</v>
      </c>
      <c r="R91" t="s">
        <v>516</v>
      </c>
      <c r="S91" s="2">
        <v>0</v>
      </c>
      <c r="T91" s="2">
        <v>0</v>
      </c>
      <c r="U91" s="2"/>
    </row>
    <row r="92" spans="1:21" x14ac:dyDescent="0.25">
      <c r="A92" t="s">
        <v>554</v>
      </c>
      <c r="B92" t="s">
        <v>1276</v>
      </c>
      <c r="C92" t="s">
        <v>440</v>
      </c>
      <c r="D92" t="s">
        <v>0</v>
      </c>
      <c r="E92">
        <v>59565</v>
      </c>
      <c r="F92" t="s">
        <v>270</v>
      </c>
      <c r="G92" t="s">
        <v>271</v>
      </c>
      <c r="H92" s="2">
        <v>2.37</v>
      </c>
      <c r="I92" s="2">
        <v>0</v>
      </c>
      <c r="J92" s="2">
        <v>0</v>
      </c>
      <c r="K92" s="6">
        <v>28.88</v>
      </c>
      <c r="L92" s="2">
        <v>0</v>
      </c>
      <c r="M92" s="2">
        <v>0</v>
      </c>
      <c r="N92" s="2">
        <v>0</v>
      </c>
      <c r="O92" s="2">
        <v>3.7544</v>
      </c>
      <c r="P92" s="2">
        <v>35.004399999999997</v>
      </c>
      <c r="Q92" t="s">
        <v>465</v>
      </c>
      <c r="R92" t="s">
        <v>516</v>
      </c>
      <c r="S92" s="2">
        <v>0</v>
      </c>
      <c r="T92" s="2">
        <v>0</v>
      </c>
      <c r="U92" s="2"/>
    </row>
    <row r="93" spans="1:21" x14ac:dyDescent="0.25">
      <c r="A93" t="s">
        <v>554</v>
      </c>
      <c r="B93" t="s">
        <v>1277</v>
      </c>
      <c r="C93" t="s">
        <v>440</v>
      </c>
      <c r="D93" t="s">
        <v>0</v>
      </c>
      <c r="E93">
        <v>60343</v>
      </c>
      <c r="F93" t="s">
        <v>385</v>
      </c>
      <c r="G93" t="s">
        <v>386</v>
      </c>
      <c r="H93" s="2">
        <v>0</v>
      </c>
      <c r="I93" s="2">
        <v>0</v>
      </c>
      <c r="J93" s="2">
        <v>0</v>
      </c>
      <c r="K93" s="6">
        <v>67.45</v>
      </c>
      <c r="L93" s="2">
        <v>0</v>
      </c>
      <c r="M93" s="2">
        <v>0</v>
      </c>
      <c r="N93" s="2">
        <v>0</v>
      </c>
      <c r="O93" s="2">
        <v>8.7685000000000013</v>
      </c>
      <c r="P93" s="2">
        <v>76.218500000000006</v>
      </c>
      <c r="Q93" t="s">
        <v>465</v>
      </c>
      <c r="R93" t="s">
        <v>516</v>
      </c>
      <c r="S93" s="2">
        <v>0</v>
      </c>
      <c r="T93" s="2">
        <v>0</v>
      </c>
      <c r="U93" s="2"/>
    </row>
    <row r="94" spans="1:21" x14ac:dyDescent="0.25">
      <c r="A94" t="s">
        <v>554</v>
      </c>
      <c r="B94" t="s">
        <v>1277</v>
      </c>
      <c r="C94" t="s">
        <v>440</v>
      </c>
      <c r="D94" t="s">
        <v>0</v>
      </c>
      <c r="E94">
        <v>521291</v>
      </c>
      <c r="F94" t="s">
        <v>204</v>
      </c>
      <c r="G94" t="s">
        <v>205</v>
      </c>
      <c r="H94" s="2">
        <v>3.04</v>
      </c>
      <c r="I94" s="2">
        <v>0</v>
      </c>
      <c r="J94" s="2">
        <v>0</v>
      </c>
      <c r="K94" s="6">
        <v>37.14</v>
      </c>
      <c r="L94" s="2">
        <v>0</v>
      </c>
      <c r="M94" s="2">
        <v>0</v>
      </c>
      <c r="N94" s="2">
        <v>0</v>
      </c>
      <c r="O94" s="2">
        <v>4.8281999999999998</v>
      </c>
      <c r="P94" s="2">
        <v>45.008200000000002</v>
      </c>
      <c r="Q94" t="s">
        <v>465</v>
      </c>
      <c r="R94" t="s">
        <v>516</v>
      </c>
      <c r="S94" s="2">
        <v>0</v>
      </c>
      <c r="T94" s="2">
        <v>0</v>
      </c>
      <c r="U94" s="2"/>
    </row>
    <row r="95" spans="1:21" x14ac:dyDescent="0.25">
      <c r="A95" t="s">
        <v>554</v>
      </c>
      <c r="B95" t="s">
        <v>1278</v>
      </c>
      <c r="C95" t="s">
        <v>440</v>
      </c>
      <c r="D95" t="s">
        <v>0</v>
      </c>
      <c r="E95">
        <v>7710</v>
      </c>
      <c r="F95" t="s">
        <v>223</v>
      </c>
      <c r="G95" t="s">
        <v>224</v>
      </c>
      <c r="H95" s="2">
        <v>1.35</v>
      </c>
      <c r="I95" s="2">
        <v>0</v>
      </c>
      <c r="J95" s="2">
        <v>0</v>
      </c>
      <c r="K95" s="6">
        <v>16.5</v>
      </c>
      <c r="L95" s="2">
        <v>0</v>
      </c>
      <c r="M95" s="2">
        <v>0</v>
      </c>
      <c r="N95" s="2">
        <v>0</v>
      </c>
      <c r="O95" s="2">
        <v>2.145</v>
      </c>
      <c r="P95" s="2">
        <v>19.995000000000001</v>
      </c>
      <c r="Q95" t="s">
        <v>465</v>
      </c>
      <c r="R95" t="s">
        <v>516</v>
      </c>
      <c r="S95" s="2">
        <v>0</v>
      </c>
      <c r="T95" s="2">
        <v>0</v>
      </c>
      <c r="U95" s="2"/>
    </row>
    <row r="96" spans="1:21" x14ac:dyDescent="0.25">
      <c r="A96" t="s">
        <v>554</v>
      </c>
      <c r="B96" t="s">
        <v>1278</v>
      </c>
      <c r="C96" t="s">
        <v>440</v>
      </c>
      <c r="D96" t="s">
        <v>0</v>
      </c>
      <c r="E96">
        <v>23717</v>
      </c>
      <c r="F96" t="s">
        <v>242</v>
      </c>
      <c r="G96" t="s">
        <v>243</v>
      </c>
      <c r="H96" s="2">
        <v>2.35</v>
      </c>
      <c r="I96" s="2">
        <v>0</v>
      </c>
      <c r="J96" s="2">
        <v>0</v>
      </c>
      <c r="K96" s="6">
        <v>29.78</v>
      </c>
      <c r="L96" s="2">
        <v>0</v>
      </c>
      <c r="M96" s="2">
        <v>0</v>
      </c>
      <c r="N96" s="2">
        <v>0</v>
      </c>
      <c r="O96" s="2">
        <v>3.8714000000000004</v>
      </c>
      <c r="P96" s="2">
        <v>36.001400000000004</v>
      </c>
      <c r="Q96" t="s">
        <v>465</v>
      </c>
      <c r="R96" t="s">
        <v>516</v>
      </c>
      <c r="S96" s="2">
        <v>0</v>
      </c>
      <c r="T96" s="2">
        <v>0</v>
      </c>
      <c r="U96" s="2"/>
    </row>
    <row r="97" spans="1:21" x14ac:dyDescent="0.25">
      <c r="A97" t="s">
        <v>554</v>
      </c>
      <c r="B97" t="s">
        <v>1271</v>
      </c>
      <c r="C97" t="s">
        <v>440</v>
      </c>
      <c r="D97" t="s">
        <v>0</v>
      </c>
      <c r="E97">
        <v>8834</v>
      </c>
      <c r="F97" t="s">
        <v>60</v>
      </c>
      <c r="G97" t="s">
        <v>61</v>
      </c>
      <c r="H97" s="2">
        <v>0</v>
      </c>
      <c r="I97" s="2">
        <v>0</v>
      </c>
      <c r="J97" s="2">
        <v>0</v>
      </c>
      <c r="K97" s="6">
        <v>31.5</v>
      </c>
      <c r="L97" s="2">
        <v>0</v>
      </c>
      <c r="M97" s="2">
        <v>0</v>
      </c>
      <c r="N97" s="2">
        <v>0</v>
      </c>
      <c r="O97" s="2">
        <v>4.0949999999999998</v>
      </c>
      <c r="P97" s="2">
        <v>35.594999999999999</v>
      </c>
      <c r="Q97" t="s">
        <v>465</v>
      </c>
      <c r="R97" t="s">
        <v>516</v>
      </c>
      <c r="S97" s="2">
        <v>0</v>
      </c>
      <c r="T97" s="2">
        <v>0</v>
      </c>
      <c r="U97" s="2"/>
    </row>
    <row r="98" spans="1:21" x14ac:dyDescent="0.25">
      <c r="A98" t="s">
        <v>554</v>
      </c>
      <c r="B98" t="s">
        <v>1271</v>
      </c>
      <c r="C98" t="s">
        <v>440</v>
      </c>
      <c r="D98" t="s">
        <v>0</v>
      </c>
      <c r="E98">
        <v>91</v>
      </c>
      <c r="F98" t="s">
        <v>231</v>
      </c>
      <c r="G98" t="s">
        <v>232</v>
      </c>
      <c r="H98" s="2">
        <v>0</v>
      </c>
      <c r="I98" s="2">
        <v>0</v>
      </c>
      <c r="J98" s="2">
        <v>0</v>
      </c>
      <c r="K98" s="6">
        <v>97.8</v>
      </c>
      <c r="L98" s="2">
        <v>0</v>
      </c>
      <c r="M98" s="2">
        <v>0</v>
      </c>
      <c r="N98" s="2">
        <v>0</v>
      </c>
      <c r="O98" s="2">
        <v>12.714</v>
      </c>
      <c r="P98" s="2">
        <v>110.514</v>
      </c>
      <c r="Q98" t="s">
        <v>465</v>
      </c>
      <c r="R98" t="s">
        <v>516</v>
      </c>
      <c r="S98" s="2">
        <v>0</v>
      </c>
      <c r="T98" s="2">
        <v>0</v>
      </c>
      <c r="U98" s="2"/>
    </row>
    <row r="99" spans="1:21" x14ac:dyDescent="0.25">
      <c r="A99" t="s">
        <v>554</v>
      </c>
      <c r="B99" t="s">
        <v>1271</v>
      </c>
      <c r="C99" t="s">
        <v>440</v>
      </c>
      <c r="D99" t="s">
        <v>0</v>
      </c>
      <c r="E99">
        <v>327</v>
      </c>
      <c r="F99" t="s">
        <v>432</v>
      </c>
      <c r="G99" t="s">
        <v>433</v>
      </c>
      <c r="H99" s="2">
        <v>0</v>
      </c>
      <c r="I99" s="2">
        <v>0</v>
      </c>
      <c r="J99" s="2">
        <v>0</v>
      </c>
      <c r="K99" s="6">
        <v>84.07</v>
      </c>
      <c r="L99" s="2">
        <v>0</v>
      </c>
      <c r="M99" s="2">
        <v>0</v>
      </c>
      <c r="N99" s="2">
        <v>0</v>
      </c>
      <c r="O99" s="2">
        <v>10.9291</v>
      </c>
      <c r="P99" s="2">
        <v>94.999099999999999</v>
      </c>
      <c r="Q99" t="s">
        <v>465</v>
      </c>
      <c r="R99" t="s">
        <v>516</v>
      </c>
      <c r="S99" s="2">
        <v>0</v>
      </c>
      <c r="T99" s="2">
        <v>0</v>
      </c>
      <c r="U99" s="2"/>
    </row>
    <row r="100" spans="1:21" x14ac:dyDescent="0.25">
      <c r="A100" t="s">
        <v>554</v>
      </c>
      <c r="B100" t="s">
        <v>1308</v>
      </c>
      <c r="C100" t="s">
        <v>440</v>
      </c>
      <c r="D100" t="s">
        <v>0</v>
      </c>
      <c r="E100">
        <v>88020</v>
      </c>
      <c r="F100" t="s">
        <v>296</v>
      </c>
      <c r="G100" t="s">
        <v>297</v>
      </c>
      <c r="H100" s="2">
        <v>5.1100000000000003</v>
      </c>
      <c r="I100" s="2">
        <v>0</v>
      </c>
      <c r="J100" s="2">
        <v>0</v>
      </c>
      <c r="K100" s="6">
        <v>60.52</v>
      </c>
      <c r="L100" s="2">
        <v>0</v>
      </c>
      <c r="M100" s="2">
        <v>0</v>
      </c>
      <c r="N100" s="2">
        <v>0</v>
      </c>
      <c r="O100" s="2">
        <v>7.8676000000000004</v>
      </c>
      <c r="P100" s="2">
        <v>73.497600000000006</v>
      </c>
      <c r="Q100" t="s">
        <v>465</v>
      </c>
      <c r="R100" t="s">
        <v>516</v>
      </c>
      <c r="S100" s="2">
        <v>0</v>
      </c>
      <c r="T100" s="2">
        <v>0</v>
      </c>
      <c r="U100" s="2"/>
    </row>
    <row r="101" spans="1:21" x14ac:dyDescent="0.25">
      <c r="A101" t="s">
        <v>554</v>
      </c>
      <c r="B101" t="s">
        <v>1281</v>
      </c>
      <c r="C101" t="s">
        <v>440</v>
      </c>
      <c r="D101" t="s">
        <v>0</v>
      </c>
      <c r="E101">
        <v>115</v>
      </c>
      <c r="F101" t="s">
        <v>1306</v>
      </c>
      <c r="G101" t="s">
        <v>1307</v>
      </c>
      <c r="H101" s="2">
        <v>0</v>
      </c>
      <c r="I101" s="2">
        <v>0</v>
      </c>
      <c r="J101" s="2">
        <v>0</v>
      </c>
      <c r="K101" s="6">
        <v>203.49</v>
      </c>
      <c r="L101" s="2">
        <v>0</v>
      </c>
      <c r="M101" s="2">
        <v>0</v>
      </c>
      <c r="N101" s="2">
        <v>0</v>
      </c>
      <c r="O101" s="2">
        <v>26.453700000000001</v>
      </c>
      <c r="P101" s="2">
        <v>229.94370000000001</v>
      </c>
      <c r="Q101" t="s">
        <v>465</v>
      </c>
      <c r="R101" t="s">
        <v>516</v>
      </c>
      <c r="S101" s="2">
        <v>0</v>
      </c>
      <c r="T101" s="2">
        <v>0</v>
      </c>
      <c r="U101" s="2"/>
    </row>
    <row r="102" spans="1:21" x14ac:dyDescent="0.25">
      <c r="A102" t="s">
        <v>554</v>
      </c>
      <c r="B102" t="s">
        <v>1282</v>
      </c>
      <c r="C102" t="s">
        <v>440</v>
      </c>
      <c r="D102" t="s">
        <v>0</v>
      </c>
      <c r="E102">
        <v>90939</v>
      </c>
      <c r="F102" t="s">
        <v>714</v>
      </c>
      <c r="G102" t="s">
        <v>715</v>
      </c>
      <c r="H102" s="2">
        <v>1.41</v>
      </c>
      <c r="I102" s="2">
        <v>0</v>
      </c>
      <c r="J102" s="2">
        <v>0</v>
      </c>
      <c r="K102" s="6">
        <v>16.46</v>
      </c>
      <c r="L102" s="2">
        <v>0</v>
      </c>
      <c r="M102" s="2">
        <v>0</v>
      </c>
      <c r="N102" s="2">
        <v>0</v>
      </c>
      <c r="O102" s="2">
        <v>2.1398000000000001</v>
      </c>
      <c r="P102" s="2">
        <v>20.009800000000002</v>
      </c>
      <c r="Q102" t="s">
        <v>465</v>
      </c>
      <c r="R102" t="s">
        <v>516</v>
      </c>
      <c r="S102" s="2">
        <v>0</v>
      </c>
      <c r="T102" s="2">
        <v>0</v>
      </c>
      <c r="U102" s="2"/>
    </row>
    <row r="103" spans="1:21" x14ac:dyDescent="0.25">
      <c r="A103" t="s">
        <v>554</v>
      </c>
      <c r="B103" t="s">
        <v>1282</v>
      </c>
      <c r="C103" t="s">
        <v>440</v>
      </c>
      <c r="D103" t="s">
        <v>0</v>
      </c>
      <c r="E103">
        <v>953528</v>
      </c>
      <c r="F103" t="s">
        <v>204</v>
      </c>
      <c r="G103" t="s">
        <v>205</v>
      </c>
      <c r="H103" s="2">
        <v>4.91</v>
      </c>
      <c r="I103" s="2">
        <v>0</v>
      </c>
      <c r="J103" s="2">
        <v>0</v>
      </c>
      <c r="K103" s="6">
        <v>58.49</v>
      </c>
      <c r="L103" s="2">
        <v>0</v>
      </c>
      <c r="M103" s="2">
        <v>0</v>
      </c>
      <c r="N103" s="2">
        <v>0</v>
      </c>
      <c r="O103" s="2">
        <v>7.6037000000000008</v>
      </c>
      <c r="P103" s="2">
        <v>71.003700000000009</v>
      </c>
      <c r="Q103" t="s">
        <v>465</v>
      </c>
      <c r="R103" t="s">
        <v>516</v>
      </c>
      <c r="S103" s="2">
        <v>0</v>
      </c>
      <c r="T103" s="2">
        <v>0</v>
      </c>
      <c r="U103" s="2"/>
    </row>
    <row r="104" spans="1:21" x14ac:dyDescent="0.25">
      <c r="A104" t="s">
        <v>554</v>
      </c>
      <c r="B104" t="s">
        <v>1283</v>
      </c>
      <c r="C104" t="s">
        <v>440</v>
      </c>
      <c r="D104" t="s">
        <v>0</v>
      </c>
      <c r="E104">
        <v>286</v>
      </c>
      <c r="F104" t="s">
        <v>429</v>
      </c>
      <c r="G104" t="s">
        <v>430</v>
      </c>
      <c r="H104" s="2">
        <v>0</v>
      </c>
      <c r="I104" s="2">
        <v>0</v>
      </c>
      <c r="J104" s="2">
        <v>0</v>
      </c>
      <c r="K104" s="6">
        <v>63.72</v>
      </c>
      <c r="L104" s="2">
        <v>0</v>
      </c>
      <c r="M104" s="2">
        <v>0</v>
      </c>
      <c r="N104" s="2">
        <v>0</v>
      </c>
      <c r="O104" s="2">
        <v>8.2835999999999999</v>
      </c>
      <c r="P104" s="2">
        <v>72.003600000000006</v>
      </c>
      <c r="Q104" t="s">
        <v>465</v>
      </c>
      <c r="R104" t="s">
        <v>516</v>
      </c>
      <c r="S104" s="2">
        <v>0</v>
      </c>
      <c r="T104" s="2">
        <v>0</v>
      </c>
      <c r="U104" s="2"/>
    </row>
    <row r="105" spans="1:21" x14ac:dyDescent="0.25">
      <c r="A105" t="s">
        <v>554</v>
      </c>
      <c r="B105" t="s">
        <v>1272</v>
      </c>
      <c r="C105" t="s">
        <v>440</v>
      </c>
      <c r="D105" t="s">
        <v>0</v>
      </c>
      <c r="E105">
        <v>89</v>
      </c>
      <c r="F105" t="s">
        <v>231</v>
      </c>
      <c r="G105" t="s">
        <v>232</v>
      </c>
      <c r="H105" s="2">
        <v>0</v>
      </c>
      <c r="I105" s="2">
        <v>0</v>
      </c>
      <c r="J105" s="2">
        <v>0</v>
      </c>
      <c r="K105" s="6">
        <v>132.75</v>
      </c>
      <c r="L105" s="2">
        <v>0</v>
      </c>
      <c r="M105" s="2">
        <v>0</v>
      </c>
      <c r="N105" s="2">
        <v>0</v>
      </c>
      <c r="O105" s="2">
        <v>17.2575</v>
      </c>
      <c r="P105" s="2">
        <v>150.00749999999999</v>
      </c>
      <c r="Q105" t="s">
        <v>465</v>
      </c>
      <c r="R105" t="s">
        <v>516</v>
      </c>
      <c r="S105" s="2">
        <v>0</v>
      </c>
      <c r="T105" s="2">
        <v>0</v>
      </c>
      <c r="U105" s="2"/>
    </row>
    <row r="106" spans="1:21" x14ac:dyDescent="0.25">
      <c r="A106" t="s">
        <v>554</v>
      </c>
      <c r="B106" t="s">
        <v>1284</v>
      </c>
      <c r="C106" t="s">
        <v>440</v>
      </c>
      <c r="D106" t="s">
        <v>0</v>
      </c>
      <c r="E106">
        <v>230</v>
      </c>
      <c r="F106" t="s">
        <v>158</v>
      </c>
      <c r="G106" t="s">
        <v>1231</v>
      </c>
      <c r="H106" s="2">
        <v>0</v>
      </c>
      <c r="I106" s="2">
        <v>0</v>
      </c>
      <c r="J106" s="2">
        <v>0</v>
      </c>
      <c r="K106" s="6">
        <v>245.68</v>
      </c>
      <c r="L106" s="2">
        <v>0</v>
      </c>
      <c r="M106" s="2">
        <v>0</v>
      </c>
      <c r="N106" s="2">
        <v>0</v>
      </c>
      <c r="O106" s="2">
        <v>31.938400000000001</v>
      </c>
      <c r="P106" s="2">
        <v>277.61840000000001</v>
      </c>
      <c r="Q106" t="s">
        <v>465</v>
      </c>
      <c r="R106" t="s">
        <v>516</v>
      </c>
      <c r="S106" s="2">
        <v>0</v>
      </c>
      <c r="T106" s="2">
        <v>0</v>
      </c>
      <c r="U106" s="2"/>
    </row>
    <row r="107" spans="1:21" x14ac:dyDescent="0.25">
      <c r="A107" t="s">
        <v>554</v>
      </c>
      <c r="B107" t="s">
        <v>1284</v>
      </c>
      <c r="C107" t="s">
        <v>440</v>
      </c>
      <c r="D107" t="s">
        <v>0</v>
      </c>
      <c r="E107">
        <v>1380</v>
      </c>
      <c r="F107" t="s">
        <v>60</v>
      </c>
      <c r="G107" t="s">
        <v>61</v>
      </c>
      <c r="H107" s="2">
        <v>0</v>
      </c>
      <c r="I107" s="2">
        <v>0</v>
      </c>
      <c r="J107" s="2">
        <v>0</v>
      </c>
      <c r="K107" s="6">
        <v>86.91</v>
      </c>
      <c r="L107" s="2">
        <v>0</v>
      </c>
      <c r="M107" s="2">
        <v>0</v>
      </c>
      <c r="N107" s="2">
        <v>0</v>
      </c>
      <c r="O107" s="2">
        <v>11.298299999999999</v>
      </c>
      <c r="P107" s="2">
        <v>98.208299999999994</v>
      </c>
      <c r="Q107" t="s">
        <v>465</v>
      </c>
      <c r="R107" t="s">
        <v>516</v>
      </c>
      <c r="S107" s="2">
        <v>0</v>
      </c>
      <c r="T107" s="2">
        <v>0</v>
      </c>
      <c r="U107" s="2"/>
    </row>
    <row r="108" spans="1:21" x14ac:dyDescent="0.25">
      <c r="A108" t="s">
        <v>554</v>
      </c>
      <c r="B108" t="s">
        <v>1284</v>
      </c>
      <c r="C108" t="s">
        <v>440</v>
      </c>
      <c r="D108" t="s">
        <v>0</v>
      </c>
      <c r="E108">
        <v>460</v>
      </c>
      <c r="F108" t="s">
        <v>413</v>
      </c>
      <c r="G108" t="s">
        <v>414</v>
      </c>
      <c r="H108" s="2">
        <v>0</v>
      </c>
      <c r="I108" s="2">
        <v>0</v>
      </c>
      <c r="J108" s="2">
        <v>0</v>
      </c>
      <c r="K108" s="6">
        <v>458</v>
      </c>
      <c r="L108" s="2">
        <v>0</v>
      </c>
      <c r="M108" s="2">
        <v>0</v>
      </c>
      <c r="N108" s="2">
        <v>0</v>
      </c>
      <c r="O108" s="2">
        <v>59.54</v>
      </c>
      <c r="P108" s="2">
        <v>517.54</v>
      </c>
      <c r="Q108" t="s">
        <v>465</v>
      </c>
      <c r="R108" t="s">
        <v>516</v>
      </c>
      <c r="S108" s="2">
        <v>0</v>
      </c>
      <c r="T108" s="2">
        <v>0</v>
      </c>
      <c r="U108" s="2"/>
    </row>
    <row r="109" spans="1:21" x14ac:dyDescent="0.25">
      <c r="A109" t="s">
        <v>554</v>
      </c>
      <c r="B109" t="s">
        <v>1284</v>
      </c>
      <c r="C109" t="s">
        <v>440</v>
      </c>
      <c r="D109" t="s">
        <v>0</v>
      </c>
      <c r="E109">
        <v>74216</v>
      </c>
      <c r="F109" t="s">
        <v>187</v>
      </c>
      <c r="G109" t="s">
        <v>188</v>
      </c>
      <c r="H109" s="2">
        <v>4.38</v>
      </c>
      <c r="I109" s="2">
        <v>0</v>
      </c>
      <c r="J109" s="2">
        <v>0</v>
      </c>
      <c r="K109" s="6">
        <v>51.88</v>
      </c>
      <c r="L109" s="2">
        <v>0</v>
      </c>
      <c r="M109" s="2">
        <v>0</v>
      </c>
      <c r="N109" s="2">
        <v>0</v>
      </c>
      <c r="O109" s="2">
        <v>6.7444000000000006</v>
      </c>
      <c r="P109" s="2">
        <v>63.004400000000004</v>
      </c>
      <c r="Q109" t="s">
        <v>465</v>
      </c>
      <c r="R109" t="s">
        <v>516</v>
      </c>
      <c r="S109" s="2">
        <v>0</v>
      </c>
      <c r="T109" s="2">
        <v>0</v>
      </c>
      <c r="U109" s="2"/>
    </row>
    <row r="110" spans="1:21" x14ac:dyDescent="0.25">
      <c r="A110" t="s">
        <v>554</v>
      </c>
      <c r="B110" t="s">
        <v>1284</v>
      </c>
      <c r="C110" t="s">
        <v>440</v>
      </c>
      <c r="D110" t="s">
        <v>0</v>
      </c>
      <c r="E110">
        <v>496355</v>
      </c>
      <c r="F110" t="s">
        <v>167</v>
      </c>
      <c r="G110" t="s">
        <v>168</v>
      </c>
      <c r="H110" s="2">
        <v>0</v>
      </c>
      <c r="I110" s="2">
        <v>0</v>
      </c>
      <c r="J110" s="2">
        <v>0</v>
      </c>
      <c r="K110" s="6">
        <v>150.66999999999999</v>
      </c>
      <c r="L110" s="2">
        <v>0</v>
      </c>
      <c r="M110" s="2">
        <v>0</v>
      </c>
      <c r="N110" s="2">
        <v>0</v>
      </c>
      <c r="O110" s="2">
        <v>19.5871</v>
      </c>
      <c r="P110" s="2">
        <v>170.25709999999998</v>
      </c>
      <c r="Q110" t="s">
        <v>465</v>
      </c>
      <c r="R110" t="s">
        <v>516</v>
      </c>
      <c r="S110" s="2">
        <v>0</v>
      </c>
      <c r="T110" s="2">
        <v>0</v>
      </c>
      <c r="U110" s="2"/>
    </row>
    <row r="111" spans="1:21" x14ac:dyDescent="0.25">
      <c r="A111" t="s">
        <v>554</v>
      </c>
      <c r="B111" t="s">
        <v>1285</v>
      </c>
      <c r="C111" t="s">
        <v>440</v>
      </c>
      <c r="D111" t="s">
        <v>0</v>
      </c>
      <c r="E111">
        <v>91</v>
      </c>
      <c r="F111" t="s">
        <v>1304</v>
      </c>
      <c r="G111" t="s">
        <v>1305</v>
      </c>
      <c r="H111" s="2">
        <v>0</v>
      </c>
      <c r="I111" s="2">
        <v>0</v>
      </c>
      <c r="J111" s="2">
        <v>0</v>
      </c>
      <c r="K111" s="6">
        <v>110.62</v>
      </c>
      <c r="L111" s="2">
        <v>0</v>
      </c>
      <c r="M111" s="2">
        <v>0</v>
      </c>
      <c r="N111" s="2">
        <v>0</v>
      </c>
      <c r="O111" s="2">
        <v>14.380600000000001</v>
      </c>
      <c r="P111" s="2">
        <v>125.00060000000001</v>
      </c>
      <c r="Q111" t="s">
        <v>465</v>
      </c>
      <c r="R111" t="s">
        <v>516</v>
      </c>
      <c r="S111" s="2">
        <v>0</v>
      </c>
      <c r="T111" s="2">
        <v>0</v>
      </c>
      <c r="U111" s="2"/>
    </row>
    <row r="112" spans="1:21" x14ac:dyDescent="0.25">
      <c r="A112" t="s">
        <v>554</v>
      </c>
      <c r="B112" t="s">
        <v>1285</v>
      </c>
      <c r="C112" t="s">
        <v>440</v>
      </c>
      <c r="D112" t="s">
        <v>0</v>
      </c>
      <c r="E112">
        <v>9749</v>
      </c>
      <c r="F112" t="s">
        <v>60</v>
      </c>
      <c r="G112" t="s">
        <v>61</v>
      </c>
      <c r="H112" s="2">
        <v>0</v>
      </c>
      <c r="I112" s="2">
        <v>0</v>
      </c>
      <c r="J112" s="2">
        <v>0</v>
      </c>
      <c r="K112" s="6">
        <v>22.04</v>
      </c>
      <c r="L112" s="2">
        <v>0</v>
      </c>
      <c r="M112" s="2">
        <v>0</v>
      </c>
      <c r="N112" s="2">
        <v>0</v>
      </c>
      <c r="O112" s="2">
        <v>2.8652000000000002</v>
      </c>
      <c r="P112" s="2">
        <v>24.905200000000001</v>
      </c>
      <c r="Q112" t="s">
        <v>465</v>
      </c>
      <c r="R112" t="s">
        <v>516</v>
      </c>
      <c r="S112" s="2">
        <v>0</v>
      </c>
      <c r="T112" s="2">
        <v>0</v>
      </c>
      <c r="U112" s="2"/>
    </row>
    <row r="113" spans="1:21" x14ac:dyDescent="0.25">
      <c r="A113" t="s">
        <v>554</v>
      </c>
      <c r="B113" t="s">
        <v>1285</v>
      </c>
      <c r="C113" t="s">
        <v>440</v>
      </c>
      <c r="D113" t="s">
        <v>0</v>
      </c>
      <c r="E113">
        <v>52721</v>
      </c>
      <c r="F113" t="s">
        <v>327</v>
      </c>
      <c r="G113" t="s">
        <v>328</v>
      </c>
      <c r="H113" s="2">
        <v>2.04</v>
      </c>
      <c r="I113" s="2">
        <v>0</v>
      </c>
      <c r="J113" s="2">
        <v>0</v>
      </c>
      <c r="K113" s="6">
        <v>24.74</v>
      </c>
      <c r="L113" s="2">
        <v>0</v>
      </c>
      <c r="M113" s="2">
        <v>0</v>
      </c>
      <c r="N113" s="2">
        <v>0</v>
      </c>
      <c r="O113" s="2">
        <v>3.2161999999999997</v>
      </c>
      <c r="P113" s="2">
        <v>29.996199999999998</v>
      </c>
      <c r="Q113" t="s">
        <v>465</v>
      </c>
      <c r="R113" t="s">
        <v>516</v>
      </c>
      <c r="S113" s="2">
        <v>0</v>
      </c>
      <c r="T113" s="2">
        <v>0</v>
      </c>
      <c r="U113" s="2"/>
    </row>
    <row r="114" spans="1:21" x14ac:dyDescent="0.25">
      <c r="A114" t="s">
        <v>554</v>
      </c>
      <c r="B114" t="s">
        <v>1285</v>
      </c>
      <c r="C114" t="s">
        <v>440</v>
      </c>
      <c r="D114" t="s">
        <v>0</v>
      </c>
      <c r="E114">
        <v>58446</v>
      </c>
      <c r="F114" t="s">
        <v>272</v>
      </c>
      <c r="G114" t="s">
        <v>273</v>
      </c>
      <c r="H114" s="2">
        <v>5.07</v>
      </c>
      <c r="I114" s="2">
        <v>0</v>
      </c>
      <c r="J114" s="2">
        <v>0</v>
      </c>
      <c r="K114" s="6">
        <v>57.46</v>
      </c>
      <c r="L114" s="2">
        <v>0</v>
      </c>
      <c r="M114" s="2">
        <v>0</v>
      </c>
      <c r="N114" s="2">
        <v>0</v>
      </c>
      <c r="O114" s="2">
        <v>7.4698000000000002</v>
      </c>
      <c r="P114" s="2">
        <v>69.999800000000008</v>
      </c>
      <c r="Q114" t="s">
        <v>465</v>
      </c>
      <c r="R114" t="s">
        <v>516</v>
      </c>
      <c r="S114" s="2">
        <v>0</v>
      </c>
      <c r="T114" s="2">
        <v>0</v>
      </c>
      <c r="U114" s="2"/>
    </row>
    <row r="115" spans="1:21" x14ac:dyDescent="0.25">
      <c r="A115" t="s">
        <v>554</v>
      </c>
      <c r="B115" t="s">
        <v>1303</v>
      </c>
      <c r="C115" t="s">
        <v>440</v>
      </c>
      <c r="D115" t="s">
        <v>0</v>
      </c>
      <c r="E115">
        <v>46006293</v>
      </c>
      <c r="F115" t="s">
        <v>385</v>
      </c>
      <c r="G115" t="s">
        <v>386</v>
      </c>
      <c r="H115" s="2">
        <v>0</v>
      </c>
      <c r="I115" s="2">
        <v>0</v>
      </c>
      <c r="J115" s="2">
        <v>0</v>
      </c>
      <c r="K115" s="6">
        <v>230.56</v>
      </c>
      <c r="L115" s="2">
        <v>0</v>
      </c>
      <c r="M115" s="2">
        <v>0</v>
      </c>
      <c r="N115" s="2">
        <v>0</v>
      </c>
      <c r="O115" s="2">
        <v>29.972800000000003</v>
      </c>
      <c r="P115" s="2">
        <v>260.53280000000001</v>
      </c>
      <c r="Q115" t="s">
        <v>465</v>
      </c>
      <c r="R115" t="s">
        <v>516</v>
      </c>
      <c r="S115" s="2">
        <v>0</v>
      </c>
      <c r="T115" s="2">
        <v>0</v>
      </c>
      <c r="U115" s="2"/>
    </row>
    <row r="116" spans="1:21" x14ac:dyDescent="0.25">
      <c r="A116" t="s">
        <v>554</v>
      </c>
      <c r="B116" t="s">
        <v>1303</v>
      </c>
      <c r="C116" t="s">
        <v>440</v>
      </c>
      <c r="D116" t="s">
        <v>0</v>
      </c>
      <c r="E116">
        <v>34029</v>
      </c>
      <c r="F116" t="s">
        <v>327</v>
      </c>
      <c r="G116" t="s">
        <v>328</v>
      </c>
      <c r="H116" s="2">
        <v>2.08</v>
      </c>
      <c r="I116" s="2">
        <v>0</v>
      </c>
      <c r="J116" s="2">
        <v>0</v>
      </c>
      <c r="K116" s="6">
        <v>24.7</v>
      </c>
      <c r="L116" s="2">
        <v>0</v>
      </c>
      <c r="M116" s="2">
        <v>0</v>
      </c>
      <c r="N116" s="2">
        <v>0</v>
      </c>
      <c r="O116" s="2">
        <v>3.2109999999999999</v>
      </c>
      <c r="P116" s="2">
        <v>29.991</v>
      </c>
      <c r="Q116" t="s">
        <v>465</v>
      </c>
      <c r="R116" t="s">
        <v>516</v>
      </c>
      <c r="S116" s="2">
        <v>0</v>
      </c>
      <c r="T116" s="2">
        <v>0</v>
      </c>
      <c r="U116" s="2"/>
    </row>
    <row r="117" spans="1:21" x14ac:dyDescent="0.25">
      <c r="A117" t="s">
        <v>554</v>
      </c>
      <c r="B117" t="s">
        <v>1303</v>
      </c>
      <c r="C117" t="s">
        <v>440</v>
      </c>
      <c r="D117" t="s">
        <v>0</v>
      </c>
      <c r="E117">
        <v>357</v>
      </c>
      <c r="F117" t="s">
        <v>1086</v>
      </c>
      <c r="G117" t="s">
        <v>1087</v>
      </c>
      <c r="H117" s="2">
        <v>0</v>
      </c>
      <c r="I117" s="2">
        <v>0</v>
      </c>
      <c r="J117" s="2">
        <v>0</v>
      </c>
      <c r="K117" s="6">
        <v>72</v>
      </c>
      <c r="L117" s="2">
        <v>0</v>
      </c>
      <c r="M117" s="2">
        <v>0</v>
      </c>
      <c r="N117" s="2">
        <v>0</v>
      </c>
      <c r="O117" s="2">
        <v>9.36</v>
      </c>
      <c r="P117" s="2">
        <v>81.36</v>
      </c>
      <c r="Q117" t="s">
        <v>465</v>
      </c>
      <c r="R117" t="s">
        <v>516</v>
      </c>
      <c r="S117" s="2">
        <v>0</v>
      </c>
      <c r="T117" s="2">
        <v>0</v>
      </c>
      <c r="U117" s="2"/>
    </row>
    <row r="118" spans="1:21" x14ac:dyDescent="0.25">
      <c r="A118" t="s">
        <v>554</v>
      </c>
      <c r="B118" t="s">
        <v>1286</v>
      </c>
      <c r="C118" t="s">
        <v>440</v>
      </c>
      <c r="D118" t="s">
        <v>0</v>
      </c>
      <c r="E118">
        <v>587</v>
      </c>
      <c r="F118" t="s">
        <v>110</v>
      </c>
      <c r="G118" t="s">
        <v>111</v>
      </c>
      <c r="H118" s="2">
        <v>0</v>
      </c>
      <c r="I118" s="2">
        <v>0</v>
      </c>
      <c r="J118" s="2">
        <v>0</v>
      </c>
      <c r="K118" s="6">
        <v>59.55</v>
      </c>
      <c r="L118" s="2">
        <v>0</v>
      </c>
      <c r="M118" s="2">
        <v>0</v>
      </c>
      <c r="N118" s="2">
        <v>0</v>
      </c>
      <c r="O118" s="2">
        <v>7.7415000000000003</v>
      </c>
      <c r="P118" s="2">
        <v>67.291499999999999</v>
      </c>
      <c r="Q118" t="s">
        <v>465</v>
      </c>
      <c r="R118" t="s">
        <v>516</v>
      </c>
      <c r="S118" s="2">
        <v>0</v>
      </c>
      <c r="T118" s="2">
        <v>0</v>
      </c>
      <c r="U118" s="2"/>
    </row>
    <row r="119" spans="1:21" x14ac:dyDescent="0.25">
      <c r="A119" t="s">
        <v>554</v>
      </c>
      <c r="B119" t="s">
        <v>1286</v>
      </c>
      <c r="C119" t="s">
        <v>440</v>
      </c>
      <c r="D119" t="s">
        <v>0</v>
      </c>
      <c r="E119">
        <v>526020</v>
      </c>
      <c r="G119" t="s">
        <v>218</v>
      </c>
      <c r="H119" s="2">
        <v>2.61</v>
      </c>
      <c r="I119" s="2">
        <v>0</v>
      </c>
      <c r="J119" s="2">
        <v>0</v>
      </c>
      <c r="K119" s="6">
        <v>31.33</v>
      </c>
      <c r="L119" s="2">
        <v>0</v>
      </c>
      <c r="M119" s="2">
        <v>0</v>
      </c>
      <c r="N119" s="2">
        <v>0</v>
      </c>
      <c r="O119" s="2">
        <v>4.0728999999999997</v>
      </c>
      <c r="P119" s="2">
        <v>38.012899999999995</v>
      </c>
      <c r="Q119" t="s">
        <v>1167</v>
      </c>
      <c r="R119" t="s">
        <v>516</v>
      </c>
      <c r="S119" s="2">
        <v>0</v>
      </c>
      <c r="T119" s="2">
        <v>0</v>
      </c>
      <c r="U119" s="2"/>
    </row>
    <row r="120" spans="1:21" x14ac:dyDescent="0.25">
      <c r="A120" t="s">
        <v>554</v>
      </c>
      <c r="B120" t="s">
        <v>1286</v>
      </c>
      <c r="C120" t="s">
        <v>440</v>
      </c>
      <c r="D120" t="s">
        <v>0</v>
      </c>
      <c r="E120">
        <v>646652</v>
      </c>
      <c r="F120" t="s">
        <v>167</v>
      </c>
      <c r="G120" t="s">
        <v>168</v>
      </c>
      <c r="H120" s="2">
        <v>0</v>
      </c>
      <c r="I120" s="2">
        <v>0</v>
      </c>
      <c r="J120" s="2">
        <v>0</v>
      </c>
      <c r="K120" s="6">
        <v>79.64</v>
      </c>
      <c r="L120" s="2">
        <v>0</v>
      </c>
      <c r="M120" s="2">
        <v>0</v>
      </c>
      <c r="N120" s="2">
        <v>0</v>
      </c>
      <c r="O120" s="2">
        <v>10.353200000000001</v>
      </c>
      <c r="P120" s="2">
        <v>89.993200000000002</v>
      </c>
      <c r="Q120" t="s">
        <v>465</v>
      </c>
      <c r="R120" t="s">
        <v>516</v>
      </c>
      <c r="S120" s="2">
        <v>0</v>
      </c>
      <c r="T120" s="2">
        <v>0</v>
      </c>
      <c r="U120" s="2"/>
    </row>
    <row r="121" spans="1:21" x14ac:dyDescent="0.25">
      <c r="A121" t="s">
        <v>554</v>
      </c>
      <c r="B121" t="s">
        <v>1286</v>
      </c>
      <c r="C121" t="s">
        <v>440</v>
      </c>
      <c r="D121" t="s">
        <v>0</v>
      </c>
      <c r="E121">
        <v>615540</v>
      </c>
      <c r="F121" t="s">
        <v>325</v>
      </c>
      <c r="G121" t="s">
        <v>326</v>
      </c>
      <c r="H121" s="2">
        <v>0</v>
      </c>
      <c r="I121" s="2">
        <v>0</v>
      </c>
      <c r="J121" s="2">
        <v>0</v>
      </c>
      <c r="K121" s="6">
        <v>144.65</v>
      </c>
      <c r="L121" s="2">
        <v>0</v>
      </c>
      <c r="M121" s="2">
        <v>0</v>
      </c>
      <c r="N121" s="2">
        <v>0</v>
      </c>
      <c r="O121" s="2">
        <v>18.804500000000001</v>
      </c>
      <c r="P121" s="2">
        <v>163.4545</v>
      </c>
      <c r="Q121" t="s">
        <v>465</v>
      </c>
      <c r="R121" t="s">
        <v>516</v>
      </c>
      <c r="S121" s="2">
        <v>0</v>
      </c>
      <c r="T121" s="2">
        <v>0</v>
      </c>
      <c r="U121" s="2"/>
    </row>
    <row r="122" spans="1:21" x14ac:dyDescent="0.25">
      <c r="A122" t="s">
        <v>554</v>
      </c>
      <c r="B122" t="s">
        <v>1286</v>
      </c>
      <c r="C122" t="s">
        <v>440</v>
      </c>
      <c r="D122" t="s">
        <v>0</v>
      </c>
      <c r="E122">
        <v>64201</v>
      </c>
      <c r="G122" t="s">
        <v>715</v>
      </c>
      <c r="H122" s="2">
        <v>4.3600000000000003</v>
      </c>
      <c r="I122" s="2">
        <v>0</v>
      </c>
      <c r="J122" s="2">
        <v>0</v>
      </c>
      <c r="K122" s="6">
        <v>52.77</v>
      </c>
      <c r="L122" s="2">
        <v>0</v>
      </c>
      <c r="M122" s="2">
        <v>0</v>
      </c>
      <c r="N122" s="2">
        <v>0</v>
      </c>
      <c r="O122" s="2">
        <v>6.860100000000001</v>
      </c>
      <c r="P122" s="2">
        <v>63.990100000000005</v>
      </c>
      <c r="Q122" t="s">
        <v>714</v>
      </c>
      <c r="R122" t="s">
        <v>516</v>
      </c>
      <c r="S122" s="2">
        <v>0</v>
      </c>
      <c r="T122" s="2">
        <v>0</v>
      </c>
      <c r="U122" s="2"/>
    </row>
    <row r="123" spans="1:21" x14ac:dyDescent="0.25">
      <c r="A123" t="s">
        <v>554</v>
      </c>
      <c r="B123" t="s">
        <v>1273</v>
      </c>
      <c r="C123" t="s">
        <v>440</v>
      </c>
      <c r="D123" t="s">
        <v>0</v>
      </c>
      <c r="E123">
        <v>437048</v>
      </c>
      <c r="F123" t="s">
        <v>284</v>
      </c>
      <c r="G123" t="s">
        <v>285</v>
      </c>
      <c r="H123" s="2">
        <v>0</v>
      </c>
      <c r="I123" s="2">
        <v>0</v>
      </c>
      <c r="J123" s="2">
        <v>0</v>
      </c>
      <c r="K123" s="6">
        <v>18</v>
      </c>
      <c r="L123" s="2">
        <v>0</v>
      </c>
      <c r="M123" s="2">
        <v>0</v>
      </c>
      <c r="N123" s="2">
        <v>0</v>
      </c>
      <c r="O123" s="2">
        <v>2.34</v>
      </c>
      <c r="P123" s="2">
        <v>20.34</v>
      </c>
      <c r="Q123" t="s">
        <v>465</v>
      </c>
      <c r="R123" t="s">
        <v>516</v>
      </c>
      <c r="S123" s="2">
        <v>0</v>
      </c>
      <c r="T123" s="2">
        <v>0</v>
      </c>
      <c r="U123" s="2"/>
    </row>
    <row r="124" spans="1:21" x14ac:dyDescent="0.25">
      <c r="A124" t="s">
        <v>554</v>
      </c>
      <c r="B124" t="s">
        <v>1273</v>
      </c>
      <c r="C124" t="s">
        <v>440</v>
      </c>
      <c r="D124" t="s">
        <v>0</v>
      </c>
      <c r="E124">
        <v>547108</v>
      </c>
      <c r="F124" t="s">
        <v>204</v>
      </c>
      <c r="G124" t="s">
        <v>205</v>
      </c>
      <c r="H124" s="2">
        <v>4.7</v>
      </c>
      <c r="I124" s="2">
        <v>0</v>
      </c>
      <c r="J124" s="2">
        <v>0</v>
      </c>
      <c r="K124" s="6">
        <v>56.02</v>
      </c>
      <c r="L124" s="2">
        <v>0</v>
      </c>
      <c r="M124" s="2">
        <v>0</v>
      </c>
      <c r="N124" s="2">
        <v>0</v>
      </c>
      <c r="O124" s="2">
        <v>7.2826000000000004</v>
      </c>
      <c r="P124" s="2">
        <v>68.002600000000001</v>
      </c>
      <c r="Q124" t="s">
        <v>465</v>
      </c>
      <c r="R124" t="s">
        <v>516</v>
      </c>
      <c r="S124" s="2">
        <v>0</v>
      </c>
      <c r="T124" s="2">
        <v>0</v>
      </c>
      <c r="U124" s="2"/>
    </row>
    <row r="125" spans="1:21" x14ac:dyDescent="0.25">
      <c r="A125" t="s">
        <v>554</v>
      </c>
      <c r="B125" t="s">
        <v>1288</v>
      </c>
      <c r="C125" t="s">
        <v>440</v>
      </c>
      <c r="D125" t="s">
        <v>0</v>
      </c>
      <c r="E125">
        <v>2173189</v>
      </c>
      <c r="F125" t="s">
        <v>192</v>
      </c>
      <c r="G125" t="s">
        <v>193</v>
      </c>
      <c r="H125" s="2">
        <v>1.71</v>
      </c>
      <c r="I125" s="2">
        <v>0</v>
      </c>
      <c r="J125" s="2">
        <v>0</v>
      </c>
      <c r="K125" s="6">
        <v>20.62</v>
      </c>
      <c r="L125" s="2">
        <v>0</v>
      </c>
      <c r="M125" s="2">
        <v>0</v>
      </c>
      <c r="N125" s="2">
        <v>0</v>
      </c>
      <c r="O125" s="2">
        <v>2.6806000000000001</v>
      </c>
      <c r="P125" s="2">
        <v>25.010600000000004</v>
      </c>
      <c r="Q125" t="s">
        <v>465</v>
      </c>
      <c r="R125" t="s">
        <v>516</v>
      </c>
      <c r="S125" s="2">
        <v>0</v>
      </c>
      <c r="T125" s="2">
        <v>0</v>
      </c>
      <c r="U125" s="2"/>
    </row>
    <row r="126" spans="1:21" x14ac:dyDescent="0.25">
      <c r="A126" t="s">
        <v>554</v>
      </c>
      <c r="B126" t="s">
        <v>1288</v>
      </c>
      <c r="C126" t="s">
        <v>440</v>
      </c>
      <c r="D126" t="s">
        <v>0</v>
      </c>
      <c r="E126">
        <v>49205</v>
      </c>
      <c r="F126" t="s">
        <v>385</v>
      </c>
      <c r="G126" t="s">
        <v>386</v>
      </c>
      <c r="H126" s="2">
        <v>0</v>
      </c>
      <c r="I126" s="2">
        <v>0</v>
      </c>
      <c r="J126" s="2">
        <v>0</v>
      </c>
      <c r="K126" s="6">
        <v>197.18</v>
      </c>
      <c r="L126" s="2">
        <v>0</v>
      </c>
      <c r="M126" s="2">
        <v>0</v>
      </c>
      <c r="N126" s="2">
        <v>0</v>
      </c>
      <c r="O126" s="2">
        <v>25.633400000000002</v>
      </c>
      <c r="P126" s="2">
        <v>222.8134</v>
      </c>
      <c r="Q126" t="s">
        <v>465</v>
      </c>
      <c r="R126" t="s">
        <v>516</v>
      </c>
      <c r="S126" s="2">
        <v>0</v>
      </c>
      <c r="T126" s="2">
        <v>0</v>
      </c>
      <c r="U126" s="2"/>
    </row>
    <row r="127" spans="1:21" x14ac:dyDescent="0.25">
      <c r="A127" t="s">
        <v>554</v>
      </c>
      <c r="B127" t="s">
        <v>1288</v>
      </c>
      <c r="C127" t="s">
        <v>440</v>
      </c>
      <c r="D127" t="s">
        <v>0</v>
      </c>
      <c r="E127">
        <v>388748</v>
      </c>
      <c r="F127" t="s">
        <v>376</v>
      </c>
      <c r="G127" t="s">
        <v>377</v>
      </c>
      <c r="H127" s="2">
        <v>0</v>
      </c>
      <c r="I127" s="2">
        <v>0</v>
      </c>
      <c r="J127" s="2">
        <v>0</v>
      </c>
      <c r="K127" s="6">
        <v>50.48</v>
      </c>
      <c r="L127" s="2">
        <v>0</v>
      </c>
      <c r="M127" s="2">
        <v>0</v>
      </c>
      <c r="N127" s="2">
        <v>0</v>
      </c>
      <c r="O127" s="2">
        <v>6.5624000000000002</v>
      </c>
      <c r="P127" s="2">
        <v>57.042400000000001</v>
      </c>
      <c r="Q127" t="s">
        <v>465</v>
      </c>
      <c r="R127" t="s">
        <v>516</v>
      </c>
      <c r="S127" s="2">
        <v>0</v>
      </c>
      <c r="T127" s="2">
        <v>0</v>
      </c>
      <c r="U127" s="2"/>
    </row>
    <row r="128" spans="1:21" x14ac:dyDescent="0.25">
      <c r="A128" t="s">
        <v>554</v>
      </c>
      <c r="B128" t="s">
        <v>1288</v>
      </c>
      <c r="C128" t="s">
        <v>440</v>
      </c>
      <c r="D128" t="s">
        <v>0</v>
      </c>
      <c r="E128">
        <v>53812</v>
      </c>
      <c r="F128" t="s">
        <v>270</v>
      </c>
      <c r="G128" t="s">
        <v>271</v>
      </c>
      <c r="H128" s="2">
        <v>4.3600000000000003</v>
      </c>
      <c r="I128" s="2">
        <v>0</v>
      </c>
      <c r="J128" s="2">
        <v>0</v>
      </c>
      <c r="K128" s="6">
        <v>52.78</v>
      </c>
      <c r="L128" s="2">
        <v>0</v>
      </c>
      <c r="M128" s="2">
        <v>0</v>
      </c>
      <c r="N128" s="2">
        <v>0</v>
      </c>
      <c r="O128" s="2">
        <v>6.8614000000000006</v>
      </c>
      <c r="P128" s="2">
        <v>64.001400000000004</v>
      </c>
      <c r="Q128" t="s">
        <v>465</v>
      </c>
      <c r="R128" t="s">
        <v>516</v>
      </c>
      <c r="S128" s="2">
        <v>0</v>
      </c>
      <c r="T128" s="2">
        <v>0</v>
      </c>
      <c r="U128" s="2"/>
    </row>
    <row r="129" spans="1:21" x14ac:dyDescent="0.25">
      <c r="A129" t="s">
        <v>554</v>
      </c>
      <c r="B129" t="s">
        <v>1288</v>
      </c>
      <c r="C129" t="s">
        <v>440</v>
      </c>
      <c r="D129" t="s">
        <v>0</v>
      </c>
      <c r="E129">
        <v>46006263</v>
      </c>
      <c r="F129" t="s">
        <v>385</v>
      </c>
      <c r="G129" t="s">
        <v>386</v>
      </c>
      <c r="H129" s="2">
        <v>0</v>
      </c>
      <c r="I129" s="2">
        <v>0</v>
      </c>
      <c r="J129" s="2">
        <v>0</v>
      </c>
      <c r="K129" s="6">
        <v>45.4</v>
      </c>
      <c r="L129" s="2">
        <v>0</v>
      </c>
      <c r="M129" s="2">
        <v>0</v>
      </c>
      <c r="N129" s="2">
        <v>0</v>
      </c>
      <c r="O129" s="2">
        <v>5.9020000000000001</v>
      </c>
      <c r="P129" s="2">
        <v>51.302</v>
      </c>
      <c r="Q129" t="s">
        <v>465</v>
      </c>
      <c r="R129" t="s">
        <v>516</v>
      </c>
      <c r="S129" s="2">
        <v>0</v>
      </c>
      <c r="T129" s="2">
        <v>0</v>
      </c>
      <c r="U129" s="2"/>
    </row>
    <row r="130" spans="1:21" x14ac:dyDescent="0.25">
      <c r="A130" t="s">
        <v>554</v>
      </c>
      <c r="B130" t="s">
        <v>1289</v>
      </c>
      <c r="C130" t="s">
        <v>440</v>
      </c>
      <c r="D130" t="s">
        <v>0</v>
      </c>
      <c r="E130">
        <v>3369</v>
      </c>
      <c r="F130" t="s">
        <v>185</v>
      </c>
      <c r="G130" t="s">
        <v>186</v>
      </c>
      <c r="H130" s="2">
        <v>0</v>
      </c>
      <c r="I130" s="2">
        <v>0</v>
      </c>
      <c r="J130" s="2">
        <v>0</v>
      </c>
      <c r="K130" s="6">
        <v>570.5</v>
      </c>
      <c r="L130" s="2">
        <v>0</v>
      </c>
      <c r="M130" s="2">
        <v>0</v>
      </c>
      <c r="N130" s="2">
        <v>0</v>
      </c>
      <c r="O130" s="2">
        <v>74.165000000000006</v>
      </c>
      <c r="P130" s="2">
        <v>644.66499999999996</v>
      </c>
      <c r="Q130" t="s">
        <v>465</v>
      </c>
      <c r="R130" t="s">
        <v>516</v>
      </c>
      <c r="S130" s="2">
        <v>0</v>
      </c>
      <c r="T130" s="2">
        <v>0</v>
      </c>
      <c r="U130" s="2"/>
    </row>
    <row r="131" spans="1:21" x14ac:dyDescent="0.25">
      <c r="A131" t="s">
        <v>554</v>
      </c>
      <c r="B131" t="s">
        <v>1289</v>
      </c>
      <c r="C131" t="s">
        <v>440</v>
      </c>
      <c r="D131" t="s">
        <v>0</v>
      </c>
      <c r="E131">
        <v>34</v>
      </c>
      <c r="F131" t="s">
        <v>1301</v>
      </c>
      <c r="G131" t="s">
        <v>1302</v>
      </c>
      <c r="H131" s="2">
        <v>0</v>
      </c>
      <c r="I131" s="2">
        <v>0</v>
      </c>
      <c r="J131" s="2">
        <v>0</v>
      </c>
      <c r="K131" s="6">
        <v>35</v>
      </c>
      <c r="L131" s="2">
        <v>0</v>
      </c>
      <c r="M131" s="2">
        <v>0</v>
      </c>
      <c r="N131" s="2">
        <v>0</v>
      </c>
      <c r="O131" s="2">
        <v>4.55</v>
      </c>
      <c r="P131" s="2">
        <v>39.549999999999997</v>
      </c>
      <c r="Q131" t="s">
        <v>465</v>
      </c>
      <c r="R131" t="s">
        <v>516</v>
      </c>
      <c r="S131" s="2">
        <v>0</v>
      </c>
      <c r="T131" s="2">
        <v>0</v>
      </c>
      <c r="U131" s="2"/>
    </row>
    <row r="132" spans="1:21" x14ac:dyDescent="0.25">
      <c r="A132" t="s">
        <v>554</v>
      </c>
      <c r="B132" t="s">
        <v>1289</v>
      </c>
      <c r="C132" t="s">
        <v>440</v>
      </c>
      <c r="D132" t="s">
        <v>0</v>
      </c>
      <c r="E132">
        <v>6064</v>
      </c>
      <c r="F132" t="s">
        <v>284</v>
      </c>
      <c r="G132" t="s">
        <v>285</v>
      </c>
      <c r="H132" s="2">
        <v>0</v>
      </c>
      <c r="I132" s="2">
        <v>0</v>
      </c>
      <c r="J132" s="2">
        <v>0</v>
      </c>
      <c r="K132" s="6">
        <v>1021.38</v>
      </c>
      <c r="L132" s="2">
        <v>0</v>
      </c>
      <c r="M132" s="2">
        <v>0</v>
      </c>
      <c r="N132" s="2">
        <v>0</v>
      </c>
      <c r="O132" s="2">
        <v>132.77940000000001</v>
      </c>
      <c r="P132" s="2">
        <v>1154.1594</v>
      </c>
      <c r="Q132" t="s">
        <v>465</v>
      </c>
      <c r="R132" t="s">
        <v>516</v>
      </c>
      <c r="S132" s="2">
        <v>0</v>
      </c>
      <c r="T132" s="2">
        <v>0</v>
      </c>
      <c r="U132" s="2"/>
    </row>
    <row r="133" spans="1:21" x14ac:dyDescent="0.25">
      <c r="A133" t="s">
        <v>554</v>
      </c>
      <c r="B133" t="s">
        <v>1288</v>
      </c>
      <c r="C133" t="s">
        <v>440</v>
      </c>
      <c r="D133" t="s">
        <v>0</v>
      </c>
      <c r="E133">
        <v>7965</v>
      </c>
      <c r="F133" t="s">
        <v>60</v>
      </c>
      <c r="G133" t="s">
        <v>61</v>
      </c>
      <c r="H133" s="2">
        <v>0</v>
      </c>
      <c r="I133" s="2">
        <v>0</v>
      </c>
      <c r="J133" s="2">
        <v>0</v>
      </c>
      <c r="K133" s="6">
        <v>54.8</v>
      </c>
      <c r="L133" s="2">
        <v>0</v>
      </c>
      <c r="M133" s="2">
        <v>0</v>
      </c>
      <c r="N133" s="2">
        <v>0</v>
      </c>
      <c r="O133" s="2">
        <v>7.1239999999999997</v>
      </c>
      <c r="P133" s="2">
        <v>61.923999999999999</v>
      </c>
      <c r="Q133" t="s">
        <v>465</v>
      </c>
      <c r="R133" t="s">
        <v>516</v>
      </c>
      <c r="S133" s="2">
        <v>0</v>
      </c>
      <c r="T133" s="2">
        <v>0</v>
      </c>
      <c r="U133" s="2"/>
    </row>
    <row r="134" spans="1:21" x14ac:dyDescent="0.25">
      <c r="A134" t="s">
        <v>554</v>
      </c>
      <c r="B134" t="s">
        <v>1289</v>
      </c>
      <c r="C134" t="s">
        <v>440</v>
      </c>
      <c r="D134" t="s">
        <v>0</v>
      </c>
      <c r="E134">
        <v>1666</v>
      </c>
      <c r="F134" t="s">
        <v>650</v>
      </c>
      <c r="G134" t="s">
        <v>651</v>
      </c>
      <c r="H134" s="2">
        <v>1.02</v>
      </c>
      <c r="I134" s="2">
        <v>0</v>
      </c>
      <c r="J134" s="2">
        <v>0</v>
      </c>
      <c r="K134" s="6">
        <v>12.37</v>
      </c>
      <c r="L134" s="2">
        <v>0</v>
      </c>
      <c r="M134" s="2">
        <v>0</v>
      </c>
      <c r="N134" s="2">
        <v>0</v>
      </c>
      <c r="O134" s="2">
        <v>1.6080999999999999</v>
      </c>
      <c r="P134" s="2">
        <v>14.998099999999999</v>
      </c>
      <c r="Q134" t="s">
        <v>465</v>
      </c>
      <c r="R134" t="s">
        <v>516</v>
      </c>
      <c r="S134" s="2">
        <v>0</v>
      </c>
      <c r="T134" s="2">
        <v>0</v>
      </c>
      <c r="U134" s="2"/>
    </row>
    <row r="135" spans="1:21" x14ac:dyDescent="0.25">
      <c r="A135" t="s">
        <v>554</v>
      </c>
      <c r="B135" t="s">
        <v>1290</v>
      </c>
      <c r="C135" t="s">
        <v>440</v>
      </c>
      <c r="D135" t="s">
        <v>0</v>
      </c>
      <c r="E135">
        <v>56277</v>
      </c>
      <c r="F135" t="s">
        <v>272</v>
      </c>
      <c r="G135" t="s">
        <v>273</v>
      </c>
      <c r="H135" s="2">
        <v>4.5600000000000005</v>
      </c>
      <c r="I135" s="2">
        <v>0</v>
      </c>
      <c r="J135" s="2">
        <v>0</v>
      </c>
      <c r="K135" s="6">
        <v>54.37</v>
      </c>
      <c r="L135" s="2">
        <v>0</v>
      </c>
      <c r="M135" s="2">
        <v>0</v>
      </c>
      <c r="N135" s="2">
        <v>0</v>
      </c>
      <c r="O135" s="2">
        <v>7.0681000000000003</v>
      </c>
      <c r="P135" s="2">
        <v>65.998099999999994</v>
      </c>
      <c r="Q135" t="s">
        <v>465</v>
      </c>
      <c r="R135" t="s">
        <v>516</v>
      </c>
      <c r="S135" s="2">
        <v>0</v>
      </c>
      <c r="T135" s="2">
        <v>0</v>
      </c>
      <c r="U135" s="2"/>
    </row>
    <row r="136" spans="1:21" x14ac:dyDescent="0.25">
      <c r="A136" t="s">
        <v>554</v>
      </c>
      <c r="B136" t="s">
        <v>1291</v>
      </c>
      <c r="C136" t="s">
        <v>440</v>
      </c>
      <c r="D136" t="s">
        <v>0</v>
      </c>
      <c r="E136">
        <v>162</v>
      </c>
      <c r="F136" t="s">
        <v>138</v>
      </c>
      <c r="G136" t="s">
        <v>139</v>
      </c>
      <c r="H136" s="2">
        <v>0</v>
      </c>
      <c r="I136" s="2">
        <v>0</v>
      </c>
      <c r="J136" s="2">
        <v>0</v>
      </c>
      <c r="K136" s="6">
        <v>92.5</v>
      </c>
      <c r="L136" s="2">
        <v>0</v>
      </c>
      <c r="M136" s="2">
        <v>0</v>
      </c>
      <c r="N136" s="2">
        <v>0</v>
      </c>
      <c r="O136" s="2">
        <v>12.025</v>
      </c>
      <c r="P136" s="2">
        <v>104.52500000000001</v>
      </c>
      <c r="Q136" t="s">
        <v>465</v>
      </c>
      <c r="R136" t="s">
        <v>516</v>
      </c>
      <c r="S136" s="2">
        <v>0</v>
      </c>
      <c r="T136" s="2">
        <v>0</v>
      </c>
      <c r="U136" s="2"/>
    </row>
    <row r="137" spans="1:21" x14ac:dyDescent="0.25">
      <c r="A137" t="s">
        <v>554</v>
      </c>
      <c r="B137" t="s">
        <v>1291</v>
      </c>
      <c r="C137" t="s">
        <v>440</v>
      </c>
      <c r="D137" t="s">
        <v>0</v>
      </c>
      <c r="E137">
        <v>31382</v>
      </c>
      <c r="F137" t="s">
        <v>272</v>
      </c>
      <c r="G137" t="s">
        <v>273</v>
      </c>
      <c r="H137" s="2">
        <v>2.4699999999999998</v>
      </c>
      <c r="I137" s="2">
        <v>0</v>
      </c>
      <c r="J137" s="2">
        <v>0</v>
      </c>
      <c r="K137" s="6">
        <v>30.56</v>
      </c>
      <c r="L137" s="2">
        <v>0</v>
      </c>
      <c r="M137" s="2">
        <v>0</v>
      </c>
      <c r="N137" s="2">
        <v>0</v>
      </c>
      <c r="O137" s="2">
        <v>3.9727999999999999</v>
      </c>
      <c r="P137" s="2">
        <v>37.002800000000001</v>
      </c>
      <c r="Q137" t="s">
        <v>465</v>
      </c>
      <c r="R137" t="s">
        <v>516</v>
      </c>
      <c r="S137" s="2">
        <v>0</v>
      </c>
      <c r="T137" s="2">
        <v>0</v>
      </c>
      <c r="U137" s="2"/>
    </row>
    <row r="138" spans="1:21" x14ac:dyDescent="0.25">
      <c r="A138" t="s">
        <v>554</v>
      </c>
      <c r="B138" t="s">
        <v>1274</v>
      </c>
      <c r="C138" t="s">
        <v>440</v>
      </c>
      <c r="D138" t="s">
        <v>0</v>
      </c>
      <c r="E138">
        <v>71776</v>
      </c>
      <c r="F138" t="s">
        <v>187</v>
      </c>
      <c r="G138" t="s">
        <v>188</v>
      </c>
      <c r="H138" s="2">
        <v>0</v>
      </c>
      <c r="I138" s="2">
        <v>0</v>
      </c>
      <c r="J138" s="2">
        <v>0</v>
      </c>
      <c r="K138" s="6">
        <v>55.27</v>
      </c>
      <c r="L138" s="2">
        <v>0</v>
      </c>
      <c r="M138" s="2">
        <v>0</v>
      </c>
      <c r="N138" s="2">
        <v>0</v>
      </c>
      <c r="O138" s="2">
        <v>7.1851000000000003</v>
      </c>
      <c r="P138" s="2">
        <v>62.455100000000002</v>
      </c>
      <c r="Q138" t="s">
        <v>465</v>
      </c>
      <c r="R138" t="s">
        <v>516</v>
      </c>
      <c r="S138" s="2">
        <v>0</v>
      </c>
      <c r="T138" s="2">
        <v>0</v>
      </c>
      <c r="U138" s="2"/>
    </row>
    <row r="139" spans="1:21" x14ac:dyDescent="0.25">
      <c r="A139" t="s">
        <v>554</v>
      </c>
      <c r="B139" t="s">
        <v>1235</v>
      </c>
      <c r="C139" t="s">
        <v>440</v>
      </c>
      <c r="D139" t="s">
        <v>0</v>
      </c>
      <c r="E139">
        <v>958</v>
      </c>
      <c r="F139" t="s">
        <v>1160</v>
      </c>
      <c r="G139" t="s">
        <v>1161</v>
      </c>
      <c r="H139" s="2">
        <v>0</v>
      </c>
      <c r="I139" s="2">
        <v>0</v>
      </c>
      <c r="J139" s="2">
        <v>0</v>
      </c>
      <c r="K139" s="6">
        <v>267.95</v>
      </c>
      <c r="L139" s="2">
        <v>0</v>
      </c>
      <c r="M139" s="2">
        <v>0</v>
      </c>
      <c r="N139" s="2">
        <v>0</v>
      </c>
      <c r="O139" s="2">
        <v>34.833500000000001</v>
      </c>
      <c r="P139" s="2">
        <v>302.7835</v>
      </c>
      <c r="Q139" t="s">
        <v>465</v>
      </c>
      <c r="R139" t="s">
        <v>516</v>
      </c>
      <c r="S139" s="2">
        <v>0</v>
      </c>
      <c r="T139" s="2">
        <v>0</v>
      </c>
      <c r="U139" s="2"/>
    </row>
    <row r="140" spans="1:21" x14ac:dyDescent="0.25">
      <c r="A140" t="s">
        <v>554</v>
      </c>
      <c r="B140" t="s">
        <v>1235</v>
      </c>
      <c r="C140" t="s">
        <v>440</v>
      </c>
      <c r="D140" t="s">
        <v>0</v>
      </c>
      <c r="E140">
        <v>25042</v>
      </c>
      <c r="F140" t="s">
        <v>470</v>
      </c>
      <c r="G140" t="s">
        <v>471</v>
      </c>
      <c r="H140" s="2">
        <v>2</v>
      </c>
      <c r="I140" s="2">
        <v>0</v>
      </c>
      <c r="J140" s="2">
        <v>0</v>
      </c>
      <c r="K140" s="6">
        <v>24.77</v>
      </c>
      <c r="L140" s="2">
        <v>0</v>
      </c>
      <c r="M140" s="2">
        <v>0</v>
      </c>
      <c r="N140" s="2">
        <v>0</v>
      </c>
      <c r="O140" s="2">
        <v>3.2201</v>
      </c>
      <c r="P140" s="2">
        <v>29.990099999999998</v>
      </c>
      <c r="Q140" t="s">
        <v>465</v>
      </c>
      <c r="R140" t="s">
        <v>516</v>
      </c>
      <c r="S140" s="2">
        <v>0</v>
      </c>
      <c r="T140" s="2">
        <v>0</v>
      </c>
      <c r="U140" s="2"/>
    </row>
    <row r="141" spans="1:21" x14ac:dyDescent="0.25">
      <c r="A141" t="s">
        <v>554</v>
      </c>
      <c r="B141" t="s">
        <v>1235</v>
      </c>
      <c r="C141" t="s">
        <v>440</v>
      </c>
      <c r="D141" t="s">
        <v>0</v>
      </c>
      <c r="E141">
        <v>1258</v>
      </c>
      <c r="F141" t="s">
        <v>343</v>
      </c>
      <c r="G141" t="s">
        <v>344</v>
      </c>
      <c r="H141" s="2">
        <v>0</v>
      </c>
      <c r="I141" s="2">
        <v>0</v>
      </c>
      <c r="J141" s="2">
        <v>0</v>
      </c>
      <c r="K141" s="6">
        <v>23.5</v>
      </c>
      <c r="L141" s="2">
        <v>0</v>
      </c>
      <c r="M141" s="2">
        <v>0</v>
      </c>
      <c r="N141" s="2">
        <v>0</v>
      </c>
      <c r="O141" s="2">
        <v>3.0550000000000002</v>
      </c>
      <c r="P141" s="2">
        <v>26.555</v>
      </c>
      <c r="Q141" t="s">
        <v>465</v>
      </c>
      <c r="R141" t="s">
        <v>516</v>
      </c>
      <c r="S141" s="2">
        <v>0</v>
      </c>
      <c r="T141" s="2">
        <v>0</v>
      </c>
      <c r="U141" s="2"/>
    </row>
    <row r="142" spans="1:21" x14ac:dyDescent="0.25">
      <c r="A142" t="s">
        <v>554</v>
      </c>
      <c r="B142" t="s">
        <v>1235</v>
      </c>
      <c r="C142" t="s">
        <v>440</v>
      </c>
      <c r="D142" t="s">
        <v>0</v>
      </c>
      <c r="E142">
        <v>3988150</v>
      </c>
      <c r="F142" t="s">
        <v>274</v>
      </c>
      <c r="G142" t="s">
        <v>275</v>
      </c>
      <c r="H142" s="2">
        <v>0</v>
      </c>
      <c r="I142" s="2">
        <v>0</v>
      </c>
      <c r="J142" s="2">
        <v>0</v>
      </c>
      <c r="K142" s="6">
        <v>21.97</v>
      </c>
      <c r="L142" s="2">
        <v>0</v>
      </c>
      <c r="M142" s="2">
        <v>0</v>
      </c>
      <c r="N142" s="2">
        <v>0</v>
      </c>
      <c r="O142" s="2">
        <v>2.8561000000000001</v>
      </c>
      <c r="P142" s="2">
        <v>24.8261</v>
      </c>
      <c r="Q142" t="s">
        <v>465</v>
      </c>
      <c r="R142" t="s">
        <v>516</v>
      </c>
      <c r="S142" s="2">
        <v>0</v>
      </c>
      <c r="T142" s="2">
        <v>0</v>
      </c>
      <c r="U142" s="2"/>
    </row>
    <row r="143" spans="1:21" x14ac:dyDescent="0.25">
      <c r="A143" t="s">
        <v>554</v>
      </c>
      <c r="B143" t="s">
        <v>1238</v>
      </c>
      <c r="C143" t="s">
        <v>440</v>
      </c>
      <c r="D143" t="s">
        <v>0</v>
      </c>
      <c r="E143">
        <v>546333</v>
      </c>
      <c r="F143" t="s">
        <v>204</v>
      </c>
      <c r="G143" t="s">
        <v>205</v>
      </c>
      <c r="H143" s="2">
        <v>4.9499999999999993</v>
      </c>
      <c r="I143" s="2">
        <v>0</v>
      </c>
      <c r="J143" s="2">
        <v>0</v>
      </c>
      <c r="K143" s="6">
        <v>61.99</v>
      </c>
      <c r="L143" s="2">
        <v>0</v>
      </c>
      <c r="M143" s="2">
        <v>0</v>
      </c>
      <c r="N143" s="2">
        <v>0</v>
      </c>
      <c r="O143" s="2">
        <v>8.0587</v>
      </c>
      <c r="P143" s="2">
        <v>74.998699999999999</v>
      </c>
      <c r="Q143" t="s">
        <v>465</v>
      </c>
      <c r="R143" t="s">
        <v>516</v>
      </c>
      <c r="S143" s="2">
        <v>0</v>
      </c>
      <c r="T143" s="2">
        <v>0</v>
      </c>
      <c r="U143" s="2"/>
    </row>
    <row r="144" spans="1:21" x14ac:dyDescent="0.25">
      <c r="A144" t="s">
        <v>554</v>
      </c>
      <c r="B144" t="s">
        <v>1238</v>
      </c>
      <c r="C144" t="s">
        <v>440</v>
      </c>
      <c r="D144" s="11" t="s">
        <v>1221</v>
      </c>
      <c r="E144">
        <v>1040</v>
      </c>
      <c r="F144" t="s">
        <v>364</v>
      </c>
      <c r="G144" t="s">
        <v>365</v>
      </c>
      <c r="H144" s="2">
        <v>0</v>
      </c>
      <c r="I144" s="2">
        <v>0</v>
      </c>
      <c r="J144" s="2">
        <v>0</v>
      </c>
      <c r="K144" s="6">
        <v>70.180000000000007</v>
      </c>
      <c r="L144" s="2">
        <v>0</v>
      </c>
      <c r="M144" s="2">
        <v>0</v>
      </c>
      <c r="N144" s="2">
        <v>0</v>
      </c>
      <c r="O144" s="2">
        <v>9.123400000000002</v>
      </c>
      <c r="P144" s="2">
        <v>79.303400000000011</v>
      </c>
      <c r="Q144" t="s">
        <v>465</v>
      </c>
      <c r="R144" t="s">
        <v>516</v>
      </c>
      <c r="S144" s="2">
        <v>0</v>
      </c>
      <c r="T144" s="2">
        <v>0</v>
      </c>
      <c r="U144" s="2"/>
    </row>
    <row r="145" spans="1:21" x14ac:dyDescent="0.25">
      <c r="A145" t="s">
        <v>554</v>
      </c>
      <c r="B145" t="s">
        <v>1238</v>
      </c>
      <c r="C145" t="s">
        <v>440</v>
      </c>
      <c r="D145" t="s">
        <v>0</v>
      </c>
      <c r="E145">
        <v>10269</v>
      </c>
      <c r="F145" t="s">
        <v>364</v>
      </c>
      <c r="G145" t="s">
        <v>365</v>
      </c>
      <c r="H145" s="2">
        <v>0</v>
      </c>
      <c r="I145" s="2">
        <v>0</v>
      </c>
      <c r="J145" s="2">
        <v>0</v>
      </c>
      <c r="K145" s="6">
        <v>70.180000000000007</v>
      </c>
      <c r="L145" s="2">
        <v>0</v>
      </c>
      <c r="M145" s="2">
        <v>0</v>
      </c>
      <c r="N145" s="2">
        <v>0</v>
      </c>
      <c r="O145" s="2">
        <v>9.123400000000002</v>
      </c>
      <c r="P145" s="2">
        <v>79.303400000000011</v>
      </c>
      <c r="Q145" t="s">
        <v>465</v>
      </c>
      <c r="R145" t="s">
        <v>516</v>
      </c>
      <c r="S145" s="2">
        <v>0</v>
      </c>
      <c r="T145" s="2">
        <v>0</v>
      </c>
      <c r="U145" s="2"/>
    </row>
    <row r="146" spans="1:21" x14ac:dyDescent="0.25">
      <c r="A146" t="s">
        <v>554</v>
      </c>
      <c r="B146" t="s">
        <v>1246</v>
      </c>
      <c r="C146" t="s">
        <v>440</v>
      </c>
      <c r="D146" t="s">
        <v>0</v>
      </c>
      <c r="E146">
        <v>514951</v>
      </c>
      <c r="F146" t="s">
        <v>204</v>
      </c>
      <c r="G146" t="s">
        <v>205</v>
      </c>
      <c r="H146" s="2">
        <v>4.75</v>
      </c>
      <c r="I146" s="2">
        <v>0</v>
      </c>
      <c r="J146" s="2">
        <v>0</v>
      </c>
      <c r="K146" s="6">
        <v>63.06</v>
      </c>
      <c r="L146" s="2">
        <v>0</v>
      </c>
      <c r="M146" s="2">
        <v>0</v>
      </c>
      <c r="N146" s="2">
        <v>0</v>
      </c>
      <c r="O146" s="2">
        <v>8.1978000000000009</v>
      </c>
      <c r="P146" s="2">
        <v>76.007800000000003</v>
      </c>
      <c r="Q146" t="s">
        <v>465</v>
      </c>
      <c r="R146" t="s">
        <v>516</v>
      </c>
      <c r="S146" s="2">
        <v>0</v>
      </c>
      <c r="T146" s="2">
        <v>0</v>
      </c>
      <c r="U146" s="2"/>
    </row>
    <row r="147" spans="1:21" x14ac:dyDescent="0.25">
      <c r="A147" t="s">
        <v>554</v>
      </c>
      <c r="B147" t="s">
        <v>1246</v>
      </c>
      <c r="C147" t="s">
        <v>440</v>
      </c>
      <c r="D147" t="s">
        <v>0</v>
      </c>
      <c r="E147">
        <v>292105</v>
      </c>
      <c r="F147" t="s">
        <v>210</v>
      </c>
      <c r="G147" t="s">
        <v>211</v>
      </c>
      <c r="H147" s="2">
        <v>1.4</v>
      </c>
      <c r="I147" s="2">
        <v>0</v>
      </c>
      <c r="J147" s="2">
        <v>0</v>
      </c>
      <c r="K147" s="6">
        <v>16.46</v>
      </c>
      <c r="L147" s="2">
        <v>0</v>
      </c>
      <c r="M147" s="2">
        <v>0</v>
      </c>
      <c r="N147" s="2">
        <v>0</v>
      </c>
      <c r="O147" s="2">
        <v>2.1398000000000001</v>
      </c>
      <c r="P147" s="2">
        <v>19.9998</v>
      </c>
      <c r="Q147" t="s">
        <v>465</v>
      </c>
      <c r="R147" t="s">
        <v>516</v>
      </c>
      <c r="S147" s="2">
        <v>0</v>
      </c>
      <c r="T147" s="2">
        <v>0</v>
      </c>
      <c r="U147" s="2"/>
    </row>
    <row r="148" spans="1:21" x14ac:dyDescent="0.25">
      <c r="A148" t="s">
        <v>554</v>
      </c>
      <c r="B148" t="s">
        <v>1248</v>
      </c>
      <c r="C148" t="s">
        <v>440</v>
      </c>
      <c r="D148" s="11" t="s">
        <v>1221</v>
      </c>
      <c r="E148">
        <v>2891</v>
      </c>
      <c r="F148" t="s">
        <v>348</v>
      </c>
      <c r="G148" t="s">
        <v>349</v>
      </c>
      <c r="H148" s="2">
        <v>0</v>
      </c>
      <c r="I148" s="2">
        <v>0</v>
      </c>
      <c r="J148" s="2">
        <v>0</v>
      </c>
      <c r="K148" s="6">
        <v>131.63999999999999</v>
      </c>
      <c r="L148" s="2">
        <v>0</v>
      </c>
      <c r="M148" s="2">
        <v>0</v>
      </c>
      <c r="N148" s="2">
        <v>0</v>
      </c>
      <c r="O148" s="2">
        <v>17.113199999999999</v>
      </c>
      <c r="P148" s="2">
        <v>148.75319999999999</v>
      </c>
      <c r="Q148" t="s">
        <v>465</v>
      </c>
      <c r="R148" t="s">
        <v>516</v>
      </c>
      <c r="S148" s="2">
        <v>0</v>
      </c>
      <c r="T148" s="2">
        <v>0</v>
      </c>
      <c r="U148" s="2"/>
    </row>
    <row r="149" spans="1:21" x14ac:dyDescent="0.25">
      <c r="A149" t="s">
        <v>508</v>
      </c>
      <c r="B149" t="s">
        <v>1235</v>
      </c>
      <c r="C149" t="s">
        <v>440</v>
      </c>
      <c r="D149" t="s">
        <v>0</v>
      </c>
      <c r="E149">
        <v>1952</v>
      </c>
      <c r="F149" t="s">
        <v>1082</v>
      </c>
      <c r="G149" t="s">
        <v>1083</v>
      </c>
      <c r="H149" s="2">
        <v>0</v>
      </c>
      <c r="I149" s="2">
        <v>0</v>
      </c>
      <c r="J149" s="2">
        <v>0</v>
      </c>
      <c r="K149" s="6">
        <v>145.13</v>
      </c>
      <c r="L149" s="2">
        <v>0</v>
      </c>
      <c r="M149" s="2">
        <v>0</v>
      </c>
      <c r="N149" s="2">
        <v>0</v>
      </c>
      <c r="O149" s="2">
        <v>18.866900000000001</v>
      </c>
      <c r="P149" s="2">
        <v>163.99689999999998</v>
      </c>
      <c r="Q149" t="s">
        <v>465</v>
      </c>
      <c r="R149" t="s">
        <v>516</v>
      </c>
      <c r="S149" s="2">
        <v>0</v>
      </c>
      <c r="T149" s="2">
        <v>0</v>
      </c>
      <c r="U149" s="2"/>
    </row>
    <row r="150" spans="1:21" x14ac:dyDescent="0.25">
      <c r="A150" t="s">
        <v>508</v>
      </c>
      <c r="B150" t="s">
        <v>1235</v>
      </c>
      <c r="C150" t="s">
        <v>440</v>
      </c>
      <c r="D150" t="s">
        <v>0</v>
      </c>
      <c r="E150">
        <v>71553</v>
      </c>
      <c r="F150" t="s">
        <v>187</v>
      </c>
      <c r="G150" t="s">
        <v>188</v>
      </c>
      <c r="H150" s="2">
        <v>1.36</v>
      </c>
      <c r="I150" s="2">
        <v>0</v>
      </c>
      <c r="J150" s="2">
        <v>0</v>
      </c>
      <c r="K150" s="6">
        <v>16.5</v>
      </c>
      <c r="L150" s="2">
        <v>0</v>
      </c>
      <c r="M150" s="2">
        <v>0</v>
      </c>
      <c r="N150" s="2">
        <v>0</v>
      </c>
      <c r="O150" s="2">
        <v>2.145</v>
      </c>
      <c r="P150" s="2">
        <v>20.004999999999999</v>
      </c>
      <c r="Q150" t="s">
        <v>465</v>
      </c>
      <c r="R150" t="s">
        <v>516</v>
      </c>
      <c r="S150" s="2">
        <v>0</v>
      </c>
      <c r="T150" s="2">
        <v>0</v>
      </c>
      <c r="U150" s="2"/>
    </row>
    <row r="151" spans="1:21" x14ac:dyDescent="0.25">
      <c r="A151" t="s">
        <v>508</v>
      </c>
      <c r="B151" t="s">
        <v>1235</v>
      </c>
      <c r="C151" t="s">
        <v>440</v>
      </c>
      <c r="D151" t="s">
        <v>0</v>
      </c>
      <c r="E151">
        <v>4353</v>
      </c>
      <c r="F151" t="s">
        <v>143</v>
      </c>
      <c r="G151" t="s">
        <v>144</v>
      </c>
      <c r="H151" s="2">
        <v>0</v>
      </c>
      <c r="I151" s="2">
        <v>0</v>
      </c>
      <c r="J151" s="2">
        <v>0</v>
      </c>
      <c r="K151" s="6">
        <v>1100</v>
      </c>
      <c r="L151" s="2">
        <v>0</v>
      </c>
      <c r="M151" s="2">
        <v>0</v>
      </c>
      <c r="N151" s="2">
        <v>0</v>
      </c>
      <c r="O151" s="2">
        <v>143</v>
      </c>
      <c r="P151" s="2">
        <v>1243</v>
      </c>
      <c r="Q151" t="s">
        <v>465</v>
      </c>
      <c r="R151" t="s">
        <v>516</v>
      </c>
      <c r="S151" s="2" t="s">
        <v>520</v>
      </c>
      <c r="T151" s="2">
        <v>11</v>
      </c>
      <c r="U151" s="2"/>
    </row>
    <row r="152" spans="1:21" x14ac:dyDescent="0.25">
      <c r="A152" t="s">
        <v>508</v>
      </c>
      <c r="B152" t="s">
        <v>1236</v>
      </c>
      <c r="C152" t="s">
        <v>440</v>
      </c>
      <c r="D152" t="s">
        <v>0</v>
      </c>
      <c r="E152">
        <v>4334</v>
      </c>
      <c r="F152" t="s">
        <v>143</v>
      </c>
      <c r="G152" t="s">
        <v>144</v>
      </c>
      <c r="H152" s="2">
        <v>0</v>
      </c>
      <c r="I152" s="2">
        <v>0</v>
      </c>
      <c r="J152" s="2">
        <v>0</v>
      </c>
      <c r="K152" s="6">
        <v>825</v>
      </c>
      <c r="L152" s="2">
        <v>0</v>
      </c>
      <c r="M152" s="2">
        <v>0</v>
      </c>
      <c r="N152" s="2">
        <v>0</v>
      </c>
      <c r="O152" s="2">
        <v>107.25</v>
      </c>
      <c r="P152" s="2">
        <v>932.25</v>
      </c>
      <c r="Q152" t="s">
        <v>465</v>
      </c>
      <c r="R152" t="s">
        <v>516</v>
      </c>
      <c r="S152" s="2" t="s">
        <v>520</v>
      </c>
      <c r="T152" s="2">
        <v>8.25</v>
      </c>
      <c r="U152" s="2"/>
    </row>
    <row r="153" spans="1:21" x14ac:dyDescent="0.25">
      <c r="A153" t="s">
        <v>508</v>
      </c>
      <c r="B153" t="s">
        <v>1236</v>
      </c>
      <c r="C153" t="s">
        <v>440</v>
      </c>
      <c r="D153" t="s">
        <v>0</v>
      </c>
      <c r="E153">
        <v>71329</v>
      </c>
      <c r="F153" t="s">
        <v>187</v>
      </c>
      <c r="G153" t="s">
        <v>188</v>
      </c>
      <c r="H153" s="2">
        <v>1.56</v>
      </c>
      <c r="I153" s="2">
        <v>0</v>
      </c>
      <c r="J153" s="2">
        <v>0</v>
      </c>
      <c r="K153" s="6">
        <v>18.97</v>
      </c>
      <c r="L153" s="2">
        <v>0</v>
      </c>
      <c r="M153" s="2">
        <v>0</v>
      </c>
      <c r="N153" s="2">
        <v>0</v>
      </c>
      <c r="O153" s="2">
        <v>2.4661</v>
      </c>
      <c r="P153" s="2">
        <v>22.996099999999998</v>
      </c>
      <c r="Q153" t="s">
        <v>465</v>
      </c>
      <c r="R153" t="s">
        <v>516</v>
      </c>
      <c r="S153" s="2">
        <v>0</v>
      </c>
      <c r="T153" s="2">
        <v>0</v>
      </c>
      <c r="U153" s="2"/>
    </row>
    <row r="154" spans="1:21" x14ac:dyDescent="0.25">
      <c r="A154" t="s">
        <v>508</v>
      </c>
      <c r="B154" t="s">
        <v>1236</v>
      </c>
      <c r="C154" t="s">
        <v>440</v>
      </c>
      <c r="D154" t="s">
        <v>0</v>
      </c>
      <c r="E154">
        <v>3095</v>
      </c>
      <c r="F154" t="s">
        <v>1037</v>
      </c>
      <c r="G154" t="s">
        <v>1038</v>
      </c>
      <c r="H154" s="2">
        <v>0</v>
      </c>
      <c r="I154" s="2">
        <v>0</v>
      </c>
      <c r="J154" s="2">
        <v>0</v>
      </c>
      <c r="K154" s="6">
        <v>57.7</v>
      </c>
      <c r="L154" s="2">
        <v>0</v>
      </c>
      <c r="M154" s="2">
        <v>0</v>
      </c>
      <c r="N154" s="2">
        <v>0</v>
      </c>
      <c r="O154" s="2">
        <v>7.5010000000000003</v>
      </c>
      <c r="P154" s="2">
        <v>65.201000000000008</v>
      </c>
      <c r="Q154" t="s">
        <v>465</v>
      </c>
      <c r="R154" t="s">
        <v>516</v>
      </c>
      <c r="S154" s="2">
        <v>0</v>
      </c>
      <c r="T154" s="2">
        <v>0</v>
      </c>
      <c r="U154" s="2"/>
    </row>
    <row r="155" spans="1:21" x14ac:dyDescent="0.25">
      <c r="A155" t="s">
        <v>508</v>
      </c>
      <c r="B155" t="s">
        <v>1237</v>
      </c>
      <c r="C155" t="s">
        <v>440</v>
      </c>
      <c r="D155" t="s">
        <v>0</v>
      </c>
      <c r="E155">
        <v>1249</v>
      </c>
      <c r="F155" t="s">
        <v>60</v>
      </c>
      <c r="G155" t="s">
        <v>61</v>
      </c>
      <c r="H155" s="2">
        <v>0</v>
      </c>
      <c r="I155" s="2">
        <v>0</v>
      </c>
      <c r="J155" s="2">
        <v>0</v>
      </c>
      <c r="K155" s="6">
        <v>17</v>
      </c>
      <c r="L155" s="2">
        <v>0</v>
      </c>
      <c r="M155" s="2">
        <v>0</v>
      </c>
      <c r="N155" s="2">
        <v>0</v>
      </c>
      <c r="O155" s="2">
        <v>2.21</v>
      </c>
      <c r="P155" s="2">
        <v>19.21</v>
      </c>
      <c r="Q155" t="s">
        <v>465</v>
      </c>
      <c r="R155" t="s">
        <v>516</v>
      </c>
      <c r="S155" s="2">
        <v>0</v>
      </c>
      <c r="T155" s="2">
        <v>0</v>
      </c>
      <c r="U155" s="2"/>
    </row>
    <row r="156" spans="1:21" x14ac:dyDescent="0.25">
      <c r="A156" t="s">
        <v>508</v>
      </c>
      <c r="B156" t="s">
        <v>1237</v>
      </c>
      <c r="C156" t="s">
        <v>440</v>
      </c>
      <c r="D156" t="s">
        <v>0</v>
      </c>
      <c r="E156">
        <v>26489</v>
      </c>
      <c r="F156" t="s">
        <v>317</v>
      </c>
      <c r="G156" t="s">
        <v>318</v>
      </c>
      <c r="H156" s="2">
        <v>0</v>
      </c>
      <c r="I156" s="2">
        <v>0</v>
      </c>
      <c r="J156" s="2">
        <v>0</v>
      </c>
      <c r="K156" s="6">
        <v>814.97</v>
      </c>
      <c r="L156" s="2">
        <v>0</v>
      </c>
      <c r="M156" s="2">
        <v>0</v>
      </c>
      <c r="N156" s="2">
        <v>0</v>
      </c>
      <c r="O156" s="2">
        <v>105.9461</v>
      </c>
      <c r="P156" s="2">
        <v>920.91610000000003</v>
      </c>
      <c r="Q156" t="s">
        <v>465</v>
      </c>
      <c r="R156" t="s">
        <v>516</v>
      </c>
      <c r="S156" s="2" t="s">
        <v>1223</v>
      </c>
      <c r="T156" s="2">
        <v>8.15</v>
      </c>
      <c r="U156" s="2"/>
    </row>
    <row r="157" spans="1:21" x14ac:dyDescent="0.25">
      <c r="A157" t="s">
        <v>508</v>
      </c>
      <c r="B157" t="s">
        <v>1237</v>
      </c>
      <c r="C157" t="s">
        <v>440</v>
      </c>
      <c r="D157" t="s">
        <v>0</v>
      </c>
      <c r="E157">
        <v>1580013</v>
      </c>
      <c r="F157" t="s">
        <v>221</v>
      </c>
      <c r="G157" t="s">
        <v>222</v>
      </c>
      <c r="H157" s="2">
        <v>0</v>
      </c>
      <c r="I157" s="2">
        <v>0</v>
      </c>
      <c r="J157" s="2">
        <v>0</v>
      </c>
      <c r="K157" s="6">
        <v>165.87</v>
      </c>
      <c r="L157" s="2">
        <v>0</v>
      </c>
      <c r="M157" s="2">
        <v>0</v>
      </c>
      <c r="N157" s="2">
        <v>0</v>
      </c>
      <c r="O157" s="2">
        <v>21.563100000000002</v>
      </c>
      <c r="P157" s="2">
        <v>187.4331</v>
      </c>
      <c r="Q157" t="s">
        <v>465</v>
      </c>
      <c r="R157" t="s">
        <v>516</v>
      </c>
      <c r="S157" s="2" t="s">
        <v>518</v>
      </c>
      <c r="T157" s="2">
        <v>1.66</v>
      </c>
      <c r="U157" s="2"/>
    </row>
    <row r="158" spans="1:21" x14ac:dyDescent="0.25">
      <c r="A158" t="s">
        <v>508</v>
      </c>
      <c r="B158" t="s">
        <v>1237</v>
      </c>
      <c r="C158" t="s">
        <v>440</v>
      </c>
      <c r="D158" t="s">
        <v>0</v>
      </c>
      <c r="E158">
        <v>383477</v>
      </c>
      <c r="F158" t="s">
        <v>331</v>
      </c>
      <c r="G158" t="s">
        <v>332</v>
      </c>
      <c r="H158" s="2">
        <v>0</v>
      </c>
      <c r="I158" s="2">
        <v>0</v>
      </c>
      <c r="J158" s="2">
        <v>0</v>
      </c>
      <c r="K158" s="6">
        <v>75.650000000000006</v>
      </c>
      <c r="L158" s="2">
        <v>0</v>
      </c>
      <c r="M158" s="2">
        <v>0</v>
      </c>
      <c r="N158" s="2">
        <v>0</v>
      </c>
      <c r="O158" s="2">
        <v>9.8345000000000002</v>
      </c>
      <c r="P158" s="2">
        <v>85.484500000000011</v>
      </c>
      <c r="Q158" t="s">
        <v>465</v>
      </c>
      <c r="R158" t="s">
        <v>516</v>
      </c>
      <c r="S158" s="2">
        <v>0</v>
      </c>
      <c r="T158" s="2">
        <v>0</v>
      </c>
      <c r="U158" s="2"/>
    </row>
    <row r="159" spans="1:21" x14ac:dyDescent="0.25">
      <c r="A159" t="s">
        <v>508</v>
      </c>
      <c r="B159" t="s">
        <v>1237</v>
      </c>
      <c r="C159" t="s">
        <v>440</v>
      </c>
      <c r="D159" t="s">
        <v>0</v>
      </c>
      <c r="E159">
        <v>12719</v>
      </c>
      <c r="F159" t="s">
        <v>216</v>
      </c>
      <c r="G159" t="s">
        <v>217</v>
      </c>
      <c r="H159" s="2">
        <v>0</v>
      </c>
      <c r="I159" s="2">
        <v>0</v>
      </c>
      <c r="J159" s="2">
        <v>0</v>
      </c>
      <c r="K159" s="6">
        <v>780</v>
      </c>
      <c r="L159" s="2">
        <v>0</v>
      </c>
      <c r="M159" s="2">
        <v>0</v>
      </c>
      <c r="N159" s="2">
        <v>0</v>
      </c>
      <c r="O159" s="2">
        <v>101.4</v>
      </c>
      <c r="P159" s="2">
        <v>881.4</v>
      </c>
      <c r="Q159" t="s">
        <v>465</v>
      </c>
      <c r="R159" t="s">
        <v>516</v>
      </c>
      <c r="S159" s="2">
        <v>0</v>
      </c>
      <c r="T159" s="2">
        <v>0</v>
      </c>
      <c r="U159" s="2"/>
    </row>
    <row r="160" spans="1:21" x14ac:dyDescent="0.25">
      <c r="A160" t="s">
        <v>508</v>
      </c>
      <c r="B160" t="s">
        <v>1237</v>
      </c>
      <c r="C160" t="s">
        <v>440</v>
      </c>
      <c r="D160" t="s">
        <v>0</v>
      </c>
      <c r="E160">
        <v>383492</v>
      </c>
      <c r="F160" t="s">
        <v>331</v>
      </c>
      <c r="G160" t="s">
        <v>332</v>
      </c>
      <c r="H160" s="2">
        <v>0</v>
      </c>
      <c r="I160" s="2">
        <v>0</v>
      </c>
      <c r="J160" s="2">
        <v>0</v>
      </c>
      <c r="K160" s="6">
        <v>134.29</v>
      </c>
      <c r="L160" s="2">
        <v>0</v>
      </c>
      <c r="M160" s="2">
        <v>0</v>
      </c>
      <c r="N160" s="2">
        <v>0</v>
      </c>
      <c r="O160" s="2">
        <v>17.457699999999999</v>
      </c>
      <c r="P160" s="2">
        <v>151.74769999999998</v>
      </c>
      <c r="Q160" t="s">
        <v>465</v>
      </c>
      <c r="R160" t="s">
        <v>516</v>
      </c>
      <c r="S160" s="2" t="s">
        <v>1223</v>
      </c>
      <c r="T160" s="2">
        <v>1.34</v>
      </c>
      <c r="U160" s="2"/>
    </row>
    <row r="161" spans="1:21" x14ac:dyDescent="0.25">
      <c r="A161" t="s">
        <v>508</v>
      </c>
      <c r="B161" t="s">
        <v>1238</v>
      </c>
      <c r="C161" t="s">
        <v>440</v>
      </c>
      <c r="D161" t="s">
        <v>0</v>
      </c>
      <c r="E161">
        <v>211774</v>
      </c>
      <c r="F161" t="s">
        <v>256</v>
      </c>
      <c r="G161" t="s">
        <v>257</v>
      </c>
      <c r="H161" s="2">
        <v>0</v>
      </c>
      <c r="I161" s="2">
        <v>0</v>
      </c>
      <c r="J161" s="2">
        <v>0</v>
      </c>
      <c r="K161" s="6">
        <v>288.8</v>
      </c>
      <c r="L161" s="2">
        <v>0</v>
      </c>
      <c r="M161" s="2">
        <v>0</v>
      </c>
      <c r="N161" s="2">
        <v>0</v>
      </c>
      <c r="O161" s="2">
        <v>37.544000000000004</v>
      </c>
      <c r="P161" s="2">
        <v>326.34399999999999</v>
      </c>
      <c r="Q161" t="s">
        <v>465</v>
      </c>
      <c r="R161" t="s">
        <v>516</v>
      </c>
      <c r="S161" s="2" t="s">
        <v>518</v>
      </c>
      <c r="T161" s="2">
        <v>2.89</v>
      </c>
      <c r="U161" s="2"/>
    </row>
    <row r="162" spans="1:21" x14ac:dyDescent="0.25">
      <c r="A162" t="s">
        <v>508</v>
      </c>
      <c r="B162" t="s">
        <v>1238</v>
      </c>
      <c r="C162" t="s">
        <v>440</v>
      </c>
      <c r="D162" t="s">
        <v>0</v>
      </c>
      <c r="E162">
        <v>2121</v>
      </c>
      <c r="F162" t="s">
        <v>1233</v>
      </c>
      <c r="G162" t="s">
        <v>1234</v>
      </c>
      <c r="H162" s="2">
        <v>4.47</v>
      </c>
      <c r="I162" s="2">
        <v>0</v>
      </c>
      <c r="J162" s="2">
        <v>0</v>
      </c>
      <c r="K162" s="6">
        <v>53.57</v>
      </c>
      <c r="L162" s="2">
        <v>0</v>
      </c>
      <c r="M162" s="2">
        <v>0</v>
      </c>
      <c r="N162" s="2">
        <v>0</v>
      </c>
      <c r="O162" s="2">
        <v>6.9641000000000002</v>
      </c>
      <c r="P162" s="2">
        <v>65.004099999999994</v>
      </c>
      <c r="Q162" t="s">
        <v>465</v>
      </c>
      <c r="R162" t="s">
        <v>516</v>
      </c>
      <c r="S162" s="2">
        <v>0</v>
      </c>
      <c r="T162" s="2">
        <v>0</v>
      </c>
      <c r="U162" s="2"/>
    </row>
    <row r="163" spans="1:21" x14ac:dyDescent="0.25">
      <c r="A163" t="s">
        <v>508</v>
      </c>
      <c r="B163" t="s">
        <v>1238</v>
      </c>
      <c r="C163" t="s">
        <v>440</v>
      </c>
      <c r="D163" t="s">
        <v>0</v>
      </c>
      <c r="E163">
        <v>699017</v>
      </c>
      <c r="F163" t="s">
        <v>204</v>
      </c>
      <c r="G163" t="s">
        <v>205</v>
      </c>
      <c r="H163" s="2">
        <v>2.0100000000000002</v>
      </c>
      <c r="I163" s="2">
        <v>0</v>
      </c>
      <c r="J163" s="2">
        <v>0</v>
      </c>
      <c r="K163" s="6">
        <v>24.77</v>
      </c>
      <c r="L163" s="2">
        <v>0</v>
      </c>
      <c r="M163" s="2">
        <v>0</v>
      </c>
      <c r="N163" s="2">
        <v>0</v>
      </c>
      <c r="O163" s="2">
        <v>3.2201</v>
      </c>
      <c r="P163" s="2">
        <v>30.0001</v>
      </c>
      <c r="Q163" t="s">
        <v>465</v>
      </c>
      <c r="R163" t="s">
        <v>516</v>
      </c>
      <c r="S163" s="2">
        <v>0</v>
      </c>
      <c r="T163" s="2">
        <v>0</v>
      </c>
      <c r="U163" s="2"/>
    </row>
    <row r="164" spans="1:21" x14ac:dyDescent="0.25">
      <c r="A164" t="s">
        <v>508</v>
      </c>
      <c r="B164" t="s">
        <v>1239</v>
      </c>
      <c r="C164" t="s">
        <v>440</v>
      </c>
      <c r="D164" t="s">
        <v>0</v>
      </c>
      <c r="E164">
        <v>1769</v>
      </c>
      <c r="F164" t="s">
        <v>249</v>
      </c>
      <c r="G164" t="s">
        <v>250</v>
      </c>
      <c r="H164" s="2">
        <v>0</v>
      </c>
      <c r="I164" s="2">
        <v>0</v>
      </c>
      <c r="J164" s="2">
        <v>0</v>
      </c>
      <c r="K164" s="6">
        <v>57.52</v>
      </c>
      <c r="L164" s="2">
        <v>0</v>
      </c>
      <c r="M164" s="2">
        <v>0</v>
      </c>
      <c r="N164" s="2">
        <v>0</v>
      </c>
      <c r="O164" s="2">
        <v>7.4776000000000007</v>
      </c>
      <c r="P164" s="2">
        <v>64.997600000000006</v>
      </c>
      <c r="Q164" t="s">
        <v>465</v>
      </c>
      <c r="R164" t="s">
        <v>516</v>
      </c>
      <c r="S164" s="2">
        <v>0</v>
      </c>
      <c r="T164" s="2">
        <v>0</v>
      </c>
      <c r="U164" s="2"/>
    </row>
    <row r="165" spans="1:21" x14ac:dyDescent="0.25">
      <c r="A165" t="s">
        <v>508</v>
      </c>
      <c r="B165" t="s">
        <v>1239</v>
      </c>
      <c r="C165" t="s">
        <v>440</v>
      </c>
      <c r="D165" t="s">
        <v>0</v>
      </c>
      <c r="E165">
        <v>2731</v>
      </c>
      <c r="F165" t="s">
        <v>60</v>
      </c>
      <c r="G165" t="s">
        <v>61</v>
      </c>
      <c r="H165" s="2">
        <v>0</v>
      </c>
      <c r="I165" s="2">
        <v>0</v>
      </c>
      <c r="J165" s="2">
        <v>0</v>
      </c>
      <c r="K165" s="6">
        <v>22</v>
      </c>
      <c r="L165" s="2">
        <v>0</v>
      </c>
      <c r="M165" s="2">
        <v>0</v>
      </c>
      <c r="N165" s="2">
        <v>0</v>
      </c>
      <c r="O165" s="2">
        <v>2.8600000000000003</v>
      </c>
      <c r="P165" s="2">
        <v>24.86</v>
      </c>
      <c r="Q165" t="s">
        <v>465</v>
      </c>
      <c r="R165" t="s">
        <v>516</v>
      </c>
      <c r="S165" s="2">
        <v>0</v>
      </c>
      <c r="T165" s="2">
        <v>0</v>
      </c>
      <c r="U165" s="2"/>
    </row>
    <row r="166" spans="1:21" x14ac:dyDescent="0.25">
      <c r="A166" t="s">
        <v>508</v>
      </c>
      <c r="B166" t="s">
        <v>1239</v>
      </c>
      <c r="C166" t="s">
        <v>440</v>
      </c>
      <c r="D166" t="s">
        <v>0</v>
      </c>
      <c r="E166">
        <v>950453</v>
      </c>
      <c r="F166" t="s">
        <v>204</v>
      </c>
      <c r="G166" t="s">
        <v>205</v>
      </c>
      <c r="H166" s="2">
        <v>1.34</v>
      </c>
      <c r="I166" s="2">
        <v>0</v>
      </c>
      <c r="J166" s="2">
        <v>0</v>
      </c>
      <c r="K166" s="6">
        <v>16.52</v>
      </c>
      <c r="L166" s="2">
        <v>0</v>
      </c>
      <c r="M166" s="2">
        <v>0</v>
      </c>
      <c r="N166" s="2">
        <v>0</v>
      </c>
      <c r="O166" s="2">
        <v>2.1476000000000002</v>
      </c>
      <c r="P166" s="2">
        <v>20.0076</v>
      </c>
      <c r="Q166" t="s">
        <v>465</v>
      </c>
      <c r="R166" t="s">
        <v>516</v>
      </c>
      <c r="S166" s="2">
        <v>0</v>
      </c>
      <c r="T166" s="2">
        <v>0</v>
      </c>
      <c r="U166" s="2"/>
    </row>
    <row r="167" spans="1:21" x14ac:dyDescent="0.25">
      <c r="A167" t="s">
        <v>508</v>
      </c>
      <c r="B167" t="s">
        <v>1240</v>
      </c>
      <c r="C167" t="s">
        <v>440</v>
      </c>
      <c r="D167" s="11" t="s">
        <v>1221</v>
      </c>
      <c r="E167">
        <v>2895</v>
      </c>
      <c r="F167" t="s">
        <v>185</v>
      </c>
      <c r="G167" t="s">
        <v>186</v>
      </c>
      <c r="H167" s="2">
        <v>0</v>
      </c>
      <c r="I167" s="2">
        <v>0</v>
      </c>
      <c r="J167" s="2">
        <v>0</v>
      </c>
      <c r="K167" s="6">
        <v>99.11</v>
      </c>
      <c r="L167" s="2">
        <v>0</v>
      </c>
      <c r="M167" s="2">
        <v>0</v>
      </c>
      <c r="N167" s="2">
        <v>0</v>
      </c>
      <c r="O167" s="2">
        <v>12.8843</v>
      </c>
      <c r="P167" s="2">
        <v>111.9943</v>
      </c>
      <c r="Q167" t="s">
        <v>465</v>
      </c>
      <c r="R167" t="s">
        <v>516</v>
      </c>
      <c r="S167" s="2">
        <v>0</v>
      </c>
      <c r="T167" s="2">
        <v>0</v>
      </c>
      <c r="U167" s="2"/>
    </row>
    <row r="168" spans="1:21" x14ac:dyDescent="0.25">
      <c r="A168" t="s">
        <v>508</v>
      </c>
      <c r="B168" t="s">
        <v>1240</v>
      </c>
      <c r="C168" t="s">
        <v>440</v>
      </c>
      <c r="D168" t="s">
        <v>0</v>
      </c>
      <c r="E168">
        <v>2722</v>
      </c>
      <c r="F168" t="s">
        <v>185</v>
      </c>
      <c r="G168" t="s">
        <v>186</v>
      </c>
      <c r="H168" s="2">
        <v>0</v>
      </c>
      <c r="I168" s="2">
        <v>0</v>
      </c>
      <c r="J168" s="2">
        <v>0</v>
      </c>
      <c r="K168" s="6">
        <v>1712.61</v>
      </c>
      <c r="L168" s="2">
        <v>0</v>
      </c>
      <c r="M168" s="2">
        <v>0</v>
      </c>
      <c r="N168" s="2">
        <v>0</v>
      </c>
      <c r="O168" s="2">
        <v>222.63929999999999</v>
      </c>
      <c r="P168" s="2">
        <v>1935.2492999999999</v>
      </c>
      <c r="Q168" t="s">
        <v>465</v>
      </c>
      <c r="R168" t="s">
        <v>516</v>
      </c>
      <c r="S168" s="2" t="s">
        <v>1226</v>
      </c>
      <c r="T168" s="2">
        <v>17.13</v>
      </c>
      <c r="U168" s="2"/>
    </row>
    <row r="169" spans="1:21" x14ac:dyDescent="0.25">
      <c r="A169" t="s">
        <v>508</v>
      </c>
      <c r="B169" t="s">
        <v>1240</v>
      </c>
      <c r="C169" t="s">
        <v>440</v>
      </c>
      <c r="D169" t="s">
        <v>0</v>
      </c>
      <c r="E169">
        <v>10570</v>
      </c>
      <c r="F169" t="s">
        <v>348</v>
      </c>
      <c r="G169" t="s">
        <v>349</v>
      </c>
      <c r="H169" s="2">
        <v>0</v>
      </c>
      <c r="I169" s="2">
        <v>0</v>
      </c>
      <c r="J169" s="2">
        <v>0</v>
      </c>
      <c r="K169" s="6">
        <v>376.11</v>
      </c>
      <c r="L169" s="2">
        <v>0</v>
      </c>
      <c r="M169" s="2">
        <v>0</v>
      </c>
      <c r="N169" s="2">
        <v>0</v>
      </c>
      <c r="O169" s="2">
        <v>48.894300000000001</v>
      </c>
      <c r="P169" s="2">
        <v>425.0043</v>
      </c>
      <c r="Q169" t="s">
        <v>465</v>
      </c>
      <c r="R169" t="s">
        <v>516</v>
      </c>
      <c r="S169" s="2" t="s">
        <v>1223</v>
      </c>
      <c r="T169" s="2">
        <v>3.76</v>
      </c>
      <c r="U169" s="2"/>
    </row>
    <row r="170" spans="1:21" x14ac:dyDescent="0.25">
      <c r="A170" t="s">
        <v>508</v>
      </c>
      <c r="B170" t="s">
        <v>1240</v>
      </c>
      <c r="C170" t="s">
        <v>440</v>
      </c>
      <c r="D170" t="s">
        <v>0</v>
      </c>
      <c r="E170">
        <v>10559</v>
      </c>
      <c r="F170" t="s">
        <v>348</v>
      </c>
      <c r="G170" t="s">
        <v>349</v>
      </c>
      <c r="H170" s="2">
        <v>0</v>
      </c>
      <c r="I170" s="2">
        <v>0</v>
      </c>
      <c r="J170" s="2">
        <v>0</v>
      </c>
      <c r="K170" s="6">
        <v>66.37</v>
      </c>
      <c r="L170" s="2">
        <v>0</v>
      </c>
      <c r="M170" s="2">
        <v>0</v>
      </c>
      <c r="N170" s="2">
        <v>0</v>
      </c>
      <c r="O170" s="2">
        <v>8.6281000000000017</v>
      </c>
      <c r="P170" s="2">
        <v>74.998100000000008</v>
      </c>
      <c r="Q170" t="s">
        <v>465</v>
      </c>
      <c r="R170" t="s">
        <v>516</v>
      </c>
      <c r="S170" s="2">
        <v>0</v>
      </c>
      <c r="T170" s="2">
        <v>0</v>
      </c>
      <c r="U170" s="2"/>
    </row>
    <row r="171" spans="1:21" x14ac:dyDescent="0.25">
      <c r="A171" t="s">
        <v>508</v>
      </c>
      <c r="B171" t="s">
        <v>1240</v>
      </c>
      <c r="C171" t="s">
        <v>440</v>
      </c>
      <c r="D171" t="s">
        <v>0</v>
      </c>
      <c r="E171">
        <v>1022716</v>
      </c>
      <c r="F171" t="s">
        <v>333</v>
      </c>
      <c r="G171" t="s">
        <v>334</v>
      </c>
      <c r="H171" s="2">
        <v>0</v>
      </c>
      <c r="I171" s="2">
        <v>0</v>
      </c>
      <c r="J171" s="2">
        <v>0</v>
      </c>
      <c r="K171" s="6">
        <v>938.69</v>
      </c>
      <c r="L171" s="2">
        <v>0</v>
      </c>
      <c r="M171" s="2">
        <v>0</v>
      </c>
      <c r="N171" s="2">
        <v>0</v>
      </c>
      <c r="O171" s="2">
        <v>122.02970000000001</v>
      </c>
      <c r="P171" s="2">
        <v>1060.7197000000001</v>
      </c>
      <c r="Q171" t="s">
        <v>465</v>
      </c>
      <c r="R171" t="s">
        <v>516</v>
      </c>
      <c r="S171" s="2" t="s">
        <v>519</v>
      </c>
      <c r="T171" s="2">
        <v>9.39</v>
      </c>
      <c r="U171" s="2"/>
    </row>
    <row r="172" spans="1:21" x14ac:dyDescent="0.25">
      <c r="A172" t="s">
        <v>508</v>
      </c>
      <c r="B172" t="s">
        <v>1241</v>
      </c>
      <c r="C172" t="s">
        <v>440</v>
      </c>
      <c r="D172" t="s">
        <v>0</v>
      </c>
      <c r="E172">
        <v>4202</v>
      </c>
      <c r="F172" t="s">
        <v>143</v>
      </c>
      <c r="G172" t="s">
        <v>144</v>
      </c>
      <c r="H172" s="2">
        <v>0</v>
      </c>
      <c r="I172" s="2">
        <v>0</v>
      </c>
      <c r="J172" s="2">
        <v>0</v>
      </c>
      <c r="K172" s="6">
        <v>3093.2</v>
      </c>
      <c r="L172" s="2">
        <v>0</v>
      </c>
      <c r="M172" s="2">
        <v>0</v>
      </c>
      <c r="N172" s="2">
        <v>0</v>
      </c>
      <c r="O172" s="2">
        <v>402.11599999999999</v>
      </c>
      <c r="P172" s="2">
        <v>3495.3159999999998</v>
      </c>
      <c r="Q172" t="s">
        <v>465</v>
      </c>
      <c r="R172" t="s">
        <v>516</v>
      </c>
      <c r="S172" s="2" t="s">
        <v>520</v>
      </c>
      <c r="T172" s="2">
        <v>30.93</v>
      </c>
      <c r="U172" s="2"/>
    </row>
    <row r="173" spans="1:21" x14ac:dyDescent="0.25">
      <c r="A173" t="s">
        <v>508</v>
      </c>
      <c r="B173" t="s">
        <v>1241</v>
      </c>
      <c r="C173" t="s">
        <v>440</v>
      </c>
      <c r="D173" t="s">
        <v>0</v>
      </c>
      <c r="E173">
        <v>1577558</v>
      </c>
      <c r="F173" t="s">
        <v>221</v>
      </c>
      <c r="G173" t="s">
        <v>222</v>
      </c>
      <c r="H173" s="2">
        <v>0</v>
      </c>
      <c r="I173" s="2">
        <v>0</v>
      </c>
      <c r="J173" s="2">
        <v>0</v>
      </c>
      <c r="K173" s="6">
        <v>200.75</v>
      </c>
      <c r="L173" s="2">
        <v>0</v>
      </c>
      <c r="M173" s="2">
        <v>0</v>
      </c>
      <c r="N173" s="2">
        <v>0</v>
      </c>
      <c r="O173" s="2">
        <v>26.0975</v>
      </c>
      <c r="P173" s="2">
        <v>226.8475</v>
      </c>
      <c r="Q173" t="s">
        <v>465</v>
      </c>
      <c r="R173" t="s">
        <v>516</v>
      </c>
      <c r="S173" s="2" t="s">
        <v>518</v>
      </c>
      <c r="T173" s="2">
        <v>2.0099999999999998</v>
      </c>
      <c r="U173" s="2"/>
    </row>
    <row r="174" spans="1:21" x14ac:dyDescent="0.25">
      <c r="A174" t="s">
        <v>508</v>
      </c>
      <c r="B174" t="s">
        <v>1241</v>
      </c>
      <c r="C174" t="s">
        <v>440</v>
      </c>
      <c r="D174" t="s">
        <v>0</v>
      </c>
      <c r="E174">
        <v>7805</v>
      </c>
      <c r="F174" t="s">
        <v>60</v>
      </c>
      <c r="G174" t="s">
        <v>61</v>
      </c>
      <c r="H174" s="2">
        <v>0</v>
      </c>
      <c r="I174" s="2">
        <v>0</v>
      </c>
      <c r="J174" s="2">
        <v>0</v>
      </c>
      <c r="K174" s="6">
        <v>9.94</v>
      </c>
      <c r="L174" s="2">
        <v>0</v>
      </c>
      <c r="M174" s="2">
        <v>0</v>
      </c>
      <c r="N174" s="2">
        <v>0</v>
      </c>
      <c r="O174" s="2">
        <v>1.2922</v>
      </c>
      <c r="P174" s="2">
        <v>11.232199999999999</v>
      </c>
      <c r="Q174" t="s">
        <v>465</v>
      </c>
      <c r="R174" t="s">
        <v>516</v>
      </c>
      <c r="S174" s="2">
        <v>0</v>
      </c>
      <c r="T174" s="2">
        <v>0</v>
      </c>
      <c r="U174" s="2"/>
    </row>
    <row r="175" spans="1:21" x14ac:dyDescent="0.25">
      <c r="A175" t="s">
        <v>508</v>
      </c>
      <c r="B175" t="s">
        <v>1270</v>
      </c>
      <c r="C175" t="s">
        <v>440</v>
      </c>
      <c r="D175" t="s">
        <v>0</v>
      </c>
      <c r="E175">
        <v>3458</v>
      </c>
      <c r="F175" t="s">
        <v>303</v>
      </c>
      <c r="G175" t="s">
        <v>304</v>
      </c>
      <c r="H175" s="2">
        <v>0</v>
      </c>
      <c r="I175" s="2">
        <v>0</v>
      </c>
      <c r="J175" s="2">
        <v>0</v>
      </c>
      <c r="K175" s="6">
        <v>239</v>
      </c>
      <c r="L175" s="2">
        <v>0</v>
      </c>
      <c r="M175" s="2">
        <v>0</v>
      </c>
      <c r="N175" s="2">
        <v>0</v>
      </c>
      <c r="O175" s="2">
        <v>31.07</v>
      </c>
      <c r="P175" s="2">
        <v>270.07</v>
      </c>
      <c r="Q175" t="s">
        <v>465</v>
      </c>
      <c r="R175" t="s">
        <v>516</v>
      </c>
      <c r="S175" s="2">
        <v>0</v>
      </c>
      <c r="T175" s="2">
        <v>0</v>
      </c>
      <c r="U175" s="2"/>
    </row>
    <row r="176" spans="1:21" x14ac:dyDescent="0.25">
      <c r="A176" t="s">
        <v>508</v>
      </c>
      <c r="B176" t="s">
        <v>1270</v>
      </c>
      <c r="C176" t="s">
        <v>440</v>
      </c>
      <c r="D176" t="s">
        <v>0</v>
      </c>
      <c r="E176">
        <v>17241</v>
      </c>
      <c r="F176" t="s">
        <v>198</v>
      </c>
      <c r="G176" t="s">
        <v>199</v>
      </c>
      <c r="H176" s="2">
        <v>1.33</v>
      </c>
      <c r="I176" s="2">
        <v>0</v>
      </c>
      <c r="J176" s="2">
        <v>0</v>
      </c>
      <c r="K176" s="6">
        <v>16.52</v>
      </c>
      <c r="L176" s="2">
        <v>0</v>
      </c>
      <c r="M176" s="2">
        <v>0</v>
      </c>
      <c r="N176" s="2">
        <v>0</v>
      </c>
      <c r="O176" s="2">
        <v>2.1476000000000002</v>
      </c>
      <c r="P176" s="2">
        <v>19.997600000000002</v>
      </c>
      <c r="Q176" t="s">
        <v>465</v>
      </c>
      <c r="R176" t="s">
        <v>516</v>
      </c>
      <c r="S176" s="2">
        <v>0</v>
      </c>
      <c r="T176" s="2">
        <v>0</v>
      </c>
      <c r="U176" s="2"/>
    </row>
    <row r="177" spans="1:21" x14ac:dyDescent="0.25">
      <c r="A177" t="s">
        <v>508</v>
      </c>
      <c r="B177" t="s">
        <v>1270</v>
      </c>
      <c r="C177" t="s">
        <v>440</v>
      </c>
      <c r="D177" t="s">
        <v>0</v>
      </c>
      <c r="E177">
        <v>4981</v>
      </c>
      <c r="F177" t="s">
        <v>1233</v>
      </c>
      <c r="G177" t="s">
        <v>1234</v>
      </c>
      <c r="H177" s="2">
        <v>0.83000000000000007</v>
      </c>
      <c r="I177" s="2">
        <v>0</v>
      </c>
      <c r="J177" s="2">
        <v>0</v>
      </c>
      <c r="K177" s="6">
        <v>9.8800000000000008</v>
      </c>
      <c r="L177" s="2">
        <v>0</v>
      </c>
      <c r="M177" s="2">
        <v>0</v>
      </c>
      <c r="N177" s="2">
        <v>0</v>
      </c>
      <c r="O177" s="2">
        <v>1.2844000000000002</v>
      </c>
      <c r="P177" s="2">
        <v>11.994400000000001</v>
      </c>
      <c r="Q177" t="s">
        <v>465</v>
      </c>
      <c r="R177" t="s">
        <v>516</v>
      </c>
      <c r="S177" s="2">
        <v>0</v>
      </c>
      <c r="T177" s="2">
        <v>0</v>
      </c>
      <c r="U177" s="2"/>
    </row>
    <row r="178" spans="1:21" x14ac:dyDescent="0.25">
      <c r="A178" t="s">
        <v>508</v>
      </c>
      <c r="B178" t="s">
        <v>1270</v>
      </c>
      <c r="C178" t="s">
        <v>440</v>
      </c>
      <c r="D178" t="s">
        <v>0</v>
      </c>
      <c r="E178">
        <v>1105</v>
      </c>
      <c r="F178" t="s">
        <v>454</v>
      </c>
      <c r="G178" t="s">
        <v>455</v>
      </c>
      <c r="H178" s="2">
        <v>0</v>
      </c>
      <c r="I178" s="2">
        <v>0</v>
      </c>
      <c r="J178" s="2">
        <v>0</v>
      </c>
      <c r="K178" s="6">
        <v>63.53</v>
      </c>
      <c r="L178" s="2">
        <v>0</v>
      </c>
      <c r="M178" s="2">
        <v>0</v>
      </c>
      <c r="N178" s="2">
        <v>0</v>
      </c>
      <c r="O178" s="2">
        <v>8.2589000000000006</v>
      </c>
      <c r="P178" s="2">
        <v>71.788899999999998</v>
      </c>
      <c r="Q178" t="s">
        <v>465</v>
      </c>
      <c r="R178" t="s">
        <v>516</v>
      </c>
      <c r="S178" s="2">
        <v>0</v>
      </c>
      <c r="T178" s="2">
        <v>0</v>
      </c>
      <c r="U178" s="2"/>
    </row>
    <row r="179" spans="1:21" x14ac:dyDescent="0.25">
      <c r="A179" t="s">
        <v>508</v>
      </c>
      <c r="B179" t="s">
        <v>1255</v>
      </c>
      <c r="C179" t="s">
        <v>440</v>
      </c>
      <c r="D179" t="s">
        <v>0</v>
      </c>
      <c r="E179">
        <v>10465</v>
      </c>
      <c r="F179" t="s">
        <v>348</v>
      </c>
      <c r="G179" t="s">
        <v>349</v>
      </c>
      <c r="H179" s="2">
        <v>0</v>
      </c>
      <c r="I179" s="2">
        <v>0</v>
      </c>
      <c r="J179" s="2">
        <v>0</v>
      </c>
      <c r="K179" s="6">
        <v>266.73</v>
      </c>
      <c r="L179" s="2">
        <v>0</v>
      </c>
      <c r="M179" s="2">
        <v>0</v>
      </c>
      <c r="N179" s="2">
        <v>0</v>
      </c>
      <c r="O179" s="2">
        <v>34.674900000000001</v>
      </c>
      <c r="P179" s="2">
        <v>301.4049</v>
      </c>
      <c r="Q179" t="s">
        <v>465</v>
      </c>
      <c r="R179" t="s">
        <v>516</v>
      </c>
      <c r="S179" s="2" t="s">
        <v>1223</v>
      </c>
      <c r="T179" s="2">
        <v>2.67</v>
      </c>
      <c r="U179" s="2"/>
    </row>
    <row r="180" spans="1:21" x14ac:dyDescent="0.25">
      <c r="A180" t="s">
        <v>508</v>
      </c>
      <c r="B180" t="s">
        <v>1255</v>
      </c>
      <c r="C180" t="s">
        <v>440</v>
      </c>
      <c r="D180" t="s">
        <v>0</v>
      </c>
      <c r="E180">
        <v>912</v>
      </c>
      <c r="F180" t="s">
        <v>1160</v>
      </c>
      <c r="G180" t="s">
        <v>1161</v>
      </c>
      <c r="H180" s="2">
        <v>0</v>
      </c>
      <c r="I180" s="2">
        <v>0</v>
      </c>
      <c r="J180" s="2">
        <v>0</v>
      </c>
      <c r="K180" s="6">
        <v>77.069999999999993</v>
      </c>
      <c r="L180" s="2">
        <v>0</v>
      </c>
      <c r="M180" s="2">
        <v>0</v>
      </c>
      <c r="N180" s="2">
        <v>0</v>
      </c>
      <c r="O180" s="2">
        <v>10.0191</v>
      </c>
      <c r="P180" s="2">
        <v>87.089099999999988</v>
      </c>
      <c r="Q180" t="s">
        <v>465</v>
      </c>
      <c r="R180" t="s">
        <v>516</v>
      </c>
      <c r="S180" s="2">
        <v>0</v>
      </c>
      <c r="T180" s="2">
        <v>0</v>
      </c>
      <c r="U180" s="2"/>
    </row>
    <row r="181" spans="1:21" x14ac:dyDescent="0.25">
      <c r="A181" t="s">
        <v>508</v>
      </c>
      <c r="B181" t="s">
        <v>1242</v>
      </c>
      <c r="C181" t="s">
        <v>440</v>
      </c>
      <c r="D181" t="s">
        <v>0</v>
      </c>
      <c r="E181">
        <v>934721</v>
      </c>
      <c r="F181" t="s">
        <v>244</v>
      </c>
      <c r="G181" t="s">
        <v>245</v>
      </c>
      <c r="H181" s="2">
        <v>2.34</v>
      </c>
      <c r="I181" s="2">
        <v>0</v>
      </c>
      <c r="J181" s="2">
        <v>0</v>
      </c>
      <c r="K181" s="6">
        <v>28.9</v>
      </c>
      <c r="L181" s="2">
        <v>0</v>
      </c>
      <c r="M181" s="2">
        <v>0</v>
      </c>
      <c r="N181" s="2">
        <v>0</v>
      </c>
      <c r="O181" s="2">
        <v>3.7570000000000001</v>
      </c>
      <c r="P181" s="2">
        <v>34.997</v>
      </c>
      <c r="Q181" t="s">
        <v>465</v>
      </c>
      <c r="R181" t="s">
        <v>516</v>
      </c>
      <c r="S181" s="2">
        <v>0</v>
      </c>
      <c r="T181" s="2">
        <v>0</v>
      </c>
      <c r="U181" s="2"/>
    </row>
    <row r="182" spans="1:21" x14ac:dyDescent="0.25">
      <c r="A182" t="s">
        <v>508</v>
      </c>
      <c r="B182" t="s">
        <v>1242</v>
      </c>
      <c r="C182" t="s">
        <v>440</v>
      </c>
      <c r="D182" t="s">
        <v>0</v>
      </c>
      <c r="E182">
        <v>10222373</v>
      </c>
      <c r="F182" t="s">
        <v>333</v>
      </c>
      <c r="G182" t="s">
        <v>334</v>
      </c>
      <c r="H182" s="2">
        <v>0</v>
      </c>
      <c r="I182" s="2">
        <v>0</v>
      </c>
      <c r="J182" s="2">
        <v>0</v>
      </c>
      <c r="K182" s="6">
        <v>86.6</v>
      </c>
      <c r="L182" s="2">
        <v>0</v>
      </c>
      <c r="M182" s="2">
        <v>0</v>
      </c>
      <c r="N182" s="2">
        <v>0</v>
      </c>
      <c r="O182" s="2">
        <v>11.257999999999999</v>
      </c>
      <c r="P182" s="2">
        <v>97.85799999999999</v>
      </c>
      <c r="Q182" t="s">
        <v>465</v>
      </c>
      <c r="R182" t="s">
        <v>516</v>
      </c>
      <c r="S182" s="2">
        <v>0</v>
      </c>
      <c r="T182" s="2">
        <v>0</v>
      </c>
      <c r="U182" s="2"/>
    </row>
    <row r="183" spans="1:21" x14ac:dyDescent="0.25">
      <c r="A183" t="s">
        <v>508</v>
      </c>
      <c r="B183" t="s">
        <v>1242</v>
      </c>
      <c r="C183" t="s">
        <v>440</v>
      </c>
      <c r="D183" t="s">
        <v>0</v>
      </c>
      <c r="E183">
        <v>5813</v>
      </c>
      <c r="F183" t="s">
        <v>225</v>
      </c>
      <c r="G183" t="s">
        <v>226</v>
      </c>
      <c r="H183" s="2">
        <v>0</v>
      </c>
      <c r="I183" s="2">
        <v>0</v>
      </c>
      <c r="J183" s="2">
        <v>0</v>
      </c>
      <c r="K183" s="6">
        <v>157.80000000000001</v>
      </c>
      <c r="L183" s="2">
        <v>0</v>
      </c>
      <c r="M183" s="2">
        <v>0</v>
      </c>
      <c r="N183" s="2">
        <v>0</v>
      </c>
      <c r="O183" s="2">
        <v>20.514000000000003</v>
      </c>
      <c r="P183" s="2">
        <v>178.31400000000002</v>
      </c>
      <c r="Q183" t="s">
        <v>465</v>
      </c>
      <c r="R183" t="s">
        <v>516</v>
      </c>
      <c r="S183" s="2" t="s">
        <v>1223</v>
      </c>
      <c r="T183" s="2">
        <v>1.58</v>
      </c>
      <c r="U183" s="2"/>
    </row>
    <row r="184" spans="1:21" x14ac:dyDescent="0.25">
      <c r="A184" t="s">
        <v>508</v>
      </c>
      <c r="B184" t="s">
        <v>1242</v>
      </c>
      <c r="C184" t="s">
        <v>440</v>
      </c>
      <c r="D184" t="s">
        <v>0</v>
      </c>
      <c r="E184">
        <v>48285</v>
      </c>
      <c r="F184" t="s">
        <v>270</v>
      </c>
      <c r="G184" t="s">
        <v>271</v>
      </c>
      <c r="H184" s="2">
        <v>4.04</v>
      </c>
      <c r="I184" s="2">
        <v>0</v>
      </c>
      <c r="J184" s="2">
        <v>0</v>
      </c>
      <c r="K184" s="6">
        <v>49.52</v>
      </c>
      <c r="L184" s="2">
        <v>0</v>
      </c>
      <c r="M184" s="2">
        <v>0</v>
      </c>
      <c r="N184" s="2">
        <v>0</v>
      </c>
      <c r="O184" s="2">
        <v>6.4376000000000007</v>
      </c>
      <c r="P184" s="2">
        <v>59.997600000000006</v>
      </c>
      <c r="Q184" t="s">
        <v>465</v>
      </c>
      <c r="R184" t="s">
        <v>516</v>
      </c>
      <c r="S184" s="2">
        <v>0</v>
      </c>
      <c r="T184" s="2">
        <v>0</v>
      </c>
      <c r="U184" s="2"/>
    </row>
    <row r="185" spans="1:21" x14ac:dyDescent="0.25">
      <c r="A185" t="s">
        <v>508</v>
      </c>
      <c r="B185" t="s">
        <v>1242</v>
      </c>
      <c r="C185" t="s">
        <v>440</v>
      </c>
      <c r="D185" t="s">
        <v>0</v>
      </c>
      <c r="E185">
        <v>1359</v>
      </c>
      <c r="F185" t="s">
        <v>234</v>
      </c>
      <c r="G185" t="s">
        <v>235</v>
      </c>
      <c r="H185" s="2">
        <v>0</v>
      </c>
      <c r="I185" s="2">
        <v>0</v>
      </c>
      <c r="J185" s="2">
        <v>0</v>
      </c>
      <c r="K185" s="6">
        <v>225</v>
      </c>
      <c r="L185" s="2">
        <v>0</v>
      </c>
      <c r="M185" s="2">
        <v>0</v>
      </c>
      <c r="N185" s="2">
        <v>0</v>
      </c>
      <c r="O185" s="2">
        <v>29.25</v>
      </c>
      <c r="P185" s="2">
        <v>254.25</v>
      </c>
      <c r="Q185" t="s">
        <v>465</v>
      </c>
      <c r="R185" t="s">
        <v>516</v>
      </c>
      <c r="S185" s="2">
        <v>0</v>
      </c>
      <c r="T185" s="2">
        <v>0</v>
      </c>
      <c r="U185" s="2"/>
    </row>
    <row r="186" spans="1:21" x14ac:dyDescent="0.25">
      <c r="A186" t="s">
        <v>508</v>
      </c>
      <c r="B186" t="s">
        <v>1242</v>
      </c>
      <c r="C186" t="s">
        <v>440</v>
      </c>
      <c r="D186" t="s">
        <v>0</v>
      </c>
      <c r="E186">
        <v>14084</v>
      </c>
      <c r="F186" t="s">
        <v>331</v>
      </c>
      <c r="G186" t="s">
        <v>332</v>
      </c>
      <c r="H186" s="2">
        <v>0</v>
      </c>
      <c r="I186" s="2">
        <v>0</v>
      </c>
      <c r="J186" s="2">
        <v>0</v>
      </c>
      <c r="K186" s="6">
        <v>112.26</v>
      </c>
      <c r="L186" s="2">
        <v>0</v>
      </c>
      <c r="M186" s="2">
        <v>0</v>
      </c>
      <c r="N186" s="2">
        <v>0</v>
      </c>
      <c r="O186" s="2">
        <v>14.593800000000002</v>
      </c>
      <c r="P186" s="2">
        <v>126.85380000000001</v>
      </c>
      <c r="Q186" t="s">
        <v>465</v>
      </c>
      <c r="R186" t="s">
        <v>516</v>
      </c>
      <c r="S186" s="2" t="s">
        <v>1223</v>
      </c>
      <c r="T186" s="2">
        <v>1.1200000000000001</v>
      </c>
      <c r="U186" s="2"/>
    </row>
    <row r="187" spans="1:21" x14ac:dyDescent="0.25">
      <c r="A187" t="s">
        <v>508</v>
      </c>
      <c r="B187" t="s">
        <v>1242</v>
      </c>
      <c r="C187" t="s">
        <v>440</v>
      </c>
      <c r="D187" t="s">
        <v>0</v>
      </c>
      <c r="E187">
        <v>10396</v>
      </c>
      <c r="F187" t="s">
        <v>348</v>
      </c>
      <c r="G187" t="s">
        <v>349</v>
      </c>
      <c r="H187" s="2">
        <v>0</v>
      </c>
      <c r="I187" s="2">
        <v>0</v>
      </c>
      <c r="J187" s="2">
        <v>0</v>
      </c>
      <c r="K187" s="6">
        <v>109.83</v>
      </c>
      <c r="L187" s="2">
        <v>0</v>
      </c>
      <c r="M187" s="2">
        <v>0</v>
      </c>
      <c r="N187" s="2">
        <v>0</v>
      </c>
      <c r="O187" s="2">
        <v>14.277900000000001</v>
      </c>
      <c r="P187" s="2">
        <v>124.1079</v>
      </c>
      <c r="Q187" t="s">
        <v>465</v>
      </c>
      <c r="R187" t="s">
        <v>516</v>
      </c>
      <c r="S187" s="2" t="s">
        <v>1223</v>
      </c>
      <c r="T187" s="2">
        <v>1.1000000000000001</v>
      </c>
      <c r="U187" s="2"/>
    </row>
    <row r="188" spans="1:21" x14ac:dyDescent="0.25">
      <c r="A188" t="s">
        <v>508</v>
      </c>
      <c r="B188" t="s">
        <v>1242</v>
      </c>
      <c r="C188" t="s">
        <v>440</v>
      </c>
      <c r="D188" t="s">
        <v>0</v>
      </c>
      <c r="E188">
        <v>69612</v>
      </c>
      <c r="F188" t="s">
        <v>187</v>
      </c>
      <c r="G188" t="s">
        <v>188</v>
      </c>
      <c r="H188" s="2">
        <v>1.35</v>
      </c>
      <c r="I188" s="2">
        <v>0</v>
      </c>
      <c r="J188" s="2">
        <v>0</v>
      </c>
      <c r="K188" s="6">
        <v>16.5</v>
      </c>
      <c r="L188" s="2">
        <v>0</v>
      </c>
      <c r="M188" s="2">
        <v>0</v>
      </c>
      <c r="N188" s="2">
        <v>0</v>
      </c>
      <c r="O188" s="2">
        <v>2.145</v>
      </c>
      <c r="P188" s="2">
        <v>19.995000000000001</v>
      </c>
      <c r="Q188" t="s">
        <v>465</v>
      </c>
      <c r="R188" t="s">
        <v>516</v>
      </c>
      <c r="S188" s="2">
        <v>0</v>
      </c>
      <c r="T188" s="2">
        <v>0</v>
      </c>
      <c r="U188" s="2"/>
    </row>
    <row r="189" spans="1:21" x14ac:dyDescent="0.25">
      <c r="A189" t="s">
        <v>508</v>
      </c>
      <c r="B189" t="s">
        <v>1242</v>
      </c>
      <c r="C189" t="s">
        <v>440</v>
      </c>
      <c r="D189" t="s">
        <v>0</v>
      </c>
      <c r="E189">
        <v>10385</v>
      </c>
      <c r="F189" t="s">
        <v>348</v>
      </c>
      <c r="G189" t="s">
        <v>349</v>
      </c>
      <c r="H189" s="2">
        <v>0</v>
      </c>
      <c r="I189" s="2">
        <v>0</v>
      </c>
      <c r="J189" s="2">
        <v>0</v>
      </c>
      <c r="K189" s="6">
        <v>1539.82</v>
      </c>
      <c r="L189" s="2">
        <v>0</v>
      </c>
      <c r="M189" s="2">
        <v>0</v>
      </c>
      <c r="N189" s="2">
        <v>0</v>
      </c>
      <c r="O189" s="2">
        <v>200.17660000000001</v>
      </c>
      <c r="P189" s="2">
        <v>1739.9965999999999</v>
      </c>
      <c r="Q189" t="s">
        <v>465</v>
      </c>
      <c r="R189" t="s">
        <v>516</v>
      </c>
      <c r="S189" s="2" t="s">
        <v>1223</v>
      </c>
      <c r="T189" s="2">
        <v>15.4</v>
      </c>
      <c r="U189" s="2"/>
    </row>
    <row r="190" spans="1:21" x14ac:dyDescent="0.25">
      <c r="A190" t="s">
        <v>508</v>
      </c>
      <c r="B190" t="s">
        <v>1242</v>
      </c>
      <c r="C190" t="s">
        <v>440</v>
      </c>
      <c r="D190" t="s">
        <v>0</v>
      </c>
      <c r="E190">
        <v>4160</v>
      </c>
      <c r="F190" t="s">
        <v>143</v>
      </c>
      <c r="G190" t="s">
        <v>144</v>
      </c>
      <c r="H190" s="2">
        <v>0</v>
      </c>
      <c r="I190" s="2">
        <v>0</v>
      </c>
      <c r="J190" s="2">
        <v>0</v>
      </c>
      <c r="K190" s="6">
        <v>2864.2</v>
      </c>
      <c r="L190" s="2">
        <v>0</v>
      </c>
      <c r="M190" s="2">
        <v>0</v>
      </c>
      <c r="N190" s="2">
        <v>0</v>
      </c>
      <c r="O190" s="2">
        <v>372.346</v>
      </c>
      <c r="P190" s="2">
        <v>3236.5459999999998</v>
      </c>
      <c r="Q190" t="s">
        <v>465</v>
      </c>
      <c r="R190" t="s">
        <v>516</v>
      </c>
      <c r="S190" s="2" t="s">
        <v>520</v>
      </c>
      <c r="T190" s="2">
        <v>28.64</v>
      </c>
      <c r="U190" s="2"/>
    </row>
    <row r="191" spans="1:21" x14ac:dyDescent="0.25">
      <c r="A191" t="s">
        <v>508</v>
      </c>
      <c r="B191" t="s">
        <v>1243</v>
      </c>
      <c r="C191" t="s">
        <v>440</v>
      </c>
      <c r="D191" t="s">
        <v>0</v>
      </c>
      <c r="E191">
        <v>2459</v>
      </c>
      <c r="F191" t="s">
        <v>1045</v>
      </c>
      <c r="G191" t="s">
        <v>1046</v>
      </c>
      <c r="H191" s="2">
        <v>0</v>
      </c>
      <c r="I191" s="2">
        <v>0</v>
      </c>
      <c r="J191" s="2">
        <v>0</v>
      </c>
      <c r="K191" s="6">
        <v>104.44</v>
      </c>
      <c r="L191" s="2">
        <v>0</v>
      </c>
      <c r="M191" s="2">
        <v>0</v>
      </c>
      <c r="N191" s="2">
        <v>0</v>
      </c>
      <c r="O191" s="2">
        <v>13.577199999999999</v>
      </c>
      <c r="P191" s="2">
        <v>118.0172</v>
      </c>
      <c r="Q191" t="s">
        <v>465</v>
      </c>
      <c r="R191" t="s">
        <v>516</v>
      </c>
      <c r="S191" s="2">
        <v>0</v>
      </c>
      <c r="T191" s="2">
        <v>0</v>
      </c>
      <c r="U191" s="2"/>
    </row>
    <row r="192" spans="1:21" x14ac:dyDescent="0.25">
      <c r="A192" t="s">
        <v>508</v>
      </c>
      <c r="B192" t="s">
        <v>1243</v>
      </c>
      <c r="C192" t="s">
        <v>440</v>
      </c>
      <c r="D192" t="s">
        <v>0</v>
      </c>
      <c r="E192">
        <v>1083</v>
      </c>
      <c r="F192" t="s">
        <v>454</v>
      </c>
      <c r="G192" t="s">
        <v>455</v>
      </c>
      <c r="H192" s="2">
        <v>0</v>
      </c>
      <c r="I192" s="2">
        <v>0</v>
      </c>
      <c r="J192" s="2">
        <v>0</v>
      </c>
      <c r="K192" s="6">
        <v>88.1</v>
      </c>
      <c r="L192" s="2">
        <v>0</v>
      </c>
      <c r="M192" s="2">
        <v>0</v>
      </c>
      <c r="N192" s="2">
        <v>0</v>
      </c>
      <c r="O192" s="2">
        <v>11.452999999999999</v>
      </c>
      <c r="P192" s="2">
        <v>99.552999999999997</v>
      </c>
      <c r="Q192" t="s">
        <v>465</v>
      </c>
      <c r="R192" t="s">
        <v>516</v>
      </c>
      <c r="S192" s="2">
        <v>0</v>
      </c>
      <c r="T192" s="2">
        <v>0</v>
      </c>
      <c r="U192" s="2"/>
    </row>
    <row r="193" spans="1:21" x14ac:dyDescent="0.25">
      <c r="A193" t="s">
        <v>508</v>
      </c>
      <c r="B193" t="s">
        <v>1243</v>
      </c>
      <c r="C193" t="s">
        <v>440</v>
      </c>
      <c r="D193" t="s">
        <v>0</v>
      </c>
      <c r="E193">
        <v>24214</v>
      </c>
      <c r="F193" t="s">
        <v>202</v>
      </c>
      <c r="G193" t="s">
        <v>203</v>
      </c>
      <c r="H193" s="2">
        <v>0</v>
      </c>
      <c r="I193" s="2">
        <v>0</v>
      </c>
      <c r="J193" s="2">
        <v>0</v>
      </c>
      <c r="K193" s="6">
        <v>530.15</v>
      </c>
      <c r="L193" s="2">
        <v>0</v>
      </c>
      <c r="M193" s="2">
        <v>0</v>
      </c>
      <c r="N193" s="2">
        <v>0</v>
      </c>
      <c r="O193" s="2">
        <v>68.919499999999999</v>
      </c>
      <c r="P193" s="2">
        <v>599.06949999999995</v>
      </c>
      <c r="Q193" t="s">
        <v>465</v>
      </c>
      <c r="R193" t="s">
        <v>516</v>
      </c>
      <c r="S193" s="2">
        <v>0</v>
      </c>
      <c r="T193" s="2">
        <v>0</v>
      </c>
      <c r="U193" s="2"/>
    </row>
    <row r="194" spans="1:21" x14ac:dyDescent="0.25">
      <c r="A194" t="s">
        <v>508</v>
      </c>
      <c r="B194" t="s">
        <v>1243</v>
      </c>
      <c r="C194" t="s">
        <v>440</v>
      </c>
      <c r="D194" t="s">
        <v>0</v>
      </c>
      <c r="E194">
        <v>1</v>
      </c>
      <c r="F194" t="s">
        <v>1043</v>
      </c>
      <c r="G194" t="s">
        <v>1044</v>
      </c>
      <c r="H194" s="2">
        <v>0</v>
      </c>
      <c r="I194" s="2">
        <v>0</v>
      </c>
      <c r="J194" s="2">
        <v>0</v>
      </c>
      <c r="K194" s="6">
        <v>83.64</v>
      </c>
      <c r="L194" s="2">
        <v>0</v>
      </c>
      <c r="M194" s="2">
        <v>0</v>
      </c>
      <c r="N194" s="2">
        <v>0</v>
      </c>
      <c r="O194" s="2">
        <v>10.873200000000001</v>
      </c>
      <c r="P194" s="2">
        <v>94.513199999999998</v>
      </c>
      <c r="Q194" t="s">
        <v>465</v>
      </c>
      <c r="R194" t="s">
        <v>516</v>
      </c>
      <c r="S194" s="2">
        <v>0</v>
      </c>
      <c r="T194" s="2">
        <v>0</v>
      </c>
      <c r="U194" s="2"/>
    </row>
    <row r="195" spans="1:21" x14ac:dyDescent="0.25">
      <c r="A195" t="s">
        <v>508</v>
      </c>
      <c r="B195" t="s">
        <v>1244</v>
      </c>
      <c r="C195" t="s">
        <v>440</v>
      </c>
      <c r="D195" t="s">
        <v>0</v>
      </c>
      <c r="E195">
        <v>3765</v>
      </c>
      <c r="F195" t="s">
        <v>1041</v>
      </c>
      <c r="G195" t="s">
        <v>1042</v>
      </c>
      <c r="H195" s="2">
        <v>0</v>
      </c>
      <c r="I195" s="2">
        <v>0</v>
      </c>
      <c r="J195" s="2">
        <v>0</v>
      </c>
      <c r="K195" s="6">
        <v>269.10000000000002</v>
      </c>
      <c r="L195" s="2">
        <v>0</v>
      </c>
      <c r="M195" s="2">
        <v>0</v>
      </c>
      <c r="N195" s="2">
        <v>0</v>
      </c>
      <c r="O195" s="2">
        <v>34.983000000000004</v>
      </c>
      <c r="P195" s="2">
        <v>304.08300000000003</v>
      </c>
      <c r="Q195" t="s">
        <v>465</v>
      </c>
      <c r="R195" t="s">
        <v>516</v>
      </c>
      <c r="S195" s="2">
        <v>0</v>
      </c>
      <c r="T195" s="2">
        <v>0</v>
      </c>
      <c r="U195" s="2"/>
    </row>
    <row r="196" spans="1:21" x14ac:dyDescent="0.25">
      <c r="A196" t="s">
        <v>508</v>
      </c>
      <c r="B196" t="s">
        <v>1244</v>
      </c>
      <c r="C196" t="s">
        <v>440</v>
      </c>
      <c r="D196" t="s">
        <v>0</v>
      </c>
      <c r="E196">
        <v>2902</v>
      </c>
      <c r="F196" t="s">
        <v>1037</v>
      </c>
      <c r="G196" t="s">
        <v>1038</v>
      </c>
      <c r="H196" s="2">
        <v>0</v>
      </c>
      <c r="I196" s="2">
        <v>0</v>
      </c>
      <c r="J196" s="2">
        <v>0</v>
      </c>
      <c r="K196" s="6">
        <v>213.73</v>
      </c>
      <c r="L196" s="2">
        <v>0</v>
      </c>
      <c r="M196" s="2">
        <v>0</v>
      </c>
      <c r="N196" s="2">
        <v>0</v>
      </c>
      <c r="O196" s="2">
        <v>27.7849</v>
      </c>
      <c r="P196" s="2">
        <v>241.51489999999998</v>
      </c>
      <c r="Q196" t="s">
        <v>465</v>
      </c>
      <c r="R196" t="s">
        <v>516</v>
      </c>
      <c r="S196" s="2">
        <v>0</v>
      </c>
      <c r="T196" s="2">
        <v>0</v>
      </c>
      <c r="U196" s="2"/>
    </row>
    <row r="197" spans="1:21" x14ac:dyDescent="0.25">
      <c r="A197" t="s">
        <v>508</v>
      </c>
      <c r="B197" t="s">
        <v>1244</v>
      </c>
      <c r="C197" t="s">
        <v>440</v>
      </c>
      <c r="D197" t="s">
        <v>0</v>
      </c>
      <c r="E197">
        <v>1476891</v>
      </c>
      <c r="F197" t="s">
        <v>29</v>
      </c>
      <c r="G197" t="s">
        <v>233</v>
      </c>
      <c r="H197" s="2">
        <v>1.37</v>
      </c>
      <c r="I197" s="2">
        <v>0</v>
      </c>
      <c r="J197" s="2">
        <v>0</v>
      </c>
      <c r="K197" s="6">
        <v>16.489999999999998</v>
      </c>
      <c r="L197" s="2">
        <v>0</v>
      </c>
      <c r="M197" s="2">
        <v>0</v>
      </c>
      <c r="N197" s="2">
        <v>0</v>
      </c>
      <c r="O197" s="2">
        <v>2.1436999999999999</v>
      </c>
      <c r="P197" s="2">
        <v>20.003699999999998</v>
      </c>
      <c r="Q197" t="s">
        <v>465</v>
      </c>
      <c r="R197" t="s">
        <v>516</v>
      </c>
      <c r="S197" s="2">
        <v>0</v>
      </c>
      <c r="T197" s="2">
        <v>0</v>
      </c>
      <c r="U197" s="2"/>
    </row>
    <row r="198" spans="1:21" x14ac:dyDescent="0.25">
      <c r="A198" t="s">
        <v>508</v>
      </c>
      <c r="B198" t="s">
        <v>1244</v>
      </c>
      <c r="C198" t="s">
        <v>440</v>
      </c>
      <c r="D198" t="s">
        <v>0</v>
      </c>
      <c r="E198">
        <v>6977</v>
      </c>
      <c r="F198" t="s">
        <v>409</v>
      </c>
      <c r="G198" t="s">
        <v>410</v>
      </c>
      <c r="H198" s="2">
        <v>0</v>
      </c>
      <c r="I198" s="2">
        <v>0</v>
      </c>
      <c r="J198" s="2">
        <v>0</v>
      </c>
      <c r="K198" s="6">
        <v>390.91</v>
      </c>
      <c r="L198" s="2">
        <v>0</v>
      </c>
      <c r="M198" s="2">
        <v>0</v>
      </c>
      <c r="N198" s="2">
        <v>0</v>
      </c>
      <c r="O198" s="2">
        <v>50.818300000000008</v>
      </c>
      <c r="P198" s="2">
        <v>441.72830000000005</v>
      </c>
      <c r="Q198" t="s">
        <v>465</v>
      </c>
      <c r="R198" t="s">
        <v>516</v>
      </c>
      <c r="S198" s="2">
        <v>0</v>
      </c>
      <c r="T198" s="2">
        <v>0</v>
      </c>
      <c r="U198" s="2"/>
    </row>
    <row r="199" spans="1:21" x14ac:dyDescent="0.25">
      <c r="A199" t="s">
        <v>508</v>
      </c>
      <c r="B199" t="s">
        <v>1254</v>
      </c>
      <c r="C199" t="s">
        <v>440</v>
      </c>
      <c r="D199" t="s">
        <v>0</v>
      </c>
      <c r="E199">
        <v>365043</v>
      </c>
      <c r="F199" t="s">
        <v>376</v>
      </c>
      <c r="G199" t="s">
        <v>377</v>
      </c>
      <c r="H199" s="2">
        <v>0</v>
      </c>
      <c r="I199" s="2">
        <v>0</v>
      </c>
      <c r="J199" s="2">
        <v>0</v>
      </c>
      <c r="K199" s="6">
        <v>113.45</v>
      </c>
      <c r="L199" s="2">
        <v>0</v>
      </c>
      <c r="M199" s="2">
        <v>0</v>
      </c>
      <c r="N199" s="2">
        <v>0</v>
      </c>
      <c r="O199" s="2">
        <v>14.748500000000002</v>
      </c>
      <c r="P199" s="2">
        <v>128.1985</v>
      </c>
      <c r="Q199" t="s">
        <v>465</v>
      </c>
      <c r="R199" t="s">
        <v>516</v>
      </c>
      <c r="S199" s="2">
        <v>0</v>
      </c>
      <c r="T199" s="2">
        <v>0</v>
      </c>
      <c r="U199" s="2"/>
    </row>
    <row r="200" spans="1:21" x14ac:dyDescent="0.25">
      <c r="A200" t="s">
        <v>508</v>
      </c>
      <c r="B200" t="s">
        <v>1254</v>
      </c>
      <c r="C200" t="s">
        <v>440</v>
      </c>
      <c r="D200" t="s">
        <v>0</v>
      </c>
      <c r="E200">
        <v>815975</v>
      </c>
      <c r="F200" t="s">
        <v>358</v>
      </c>
      <c r="G200" t="s">
        <v>359</v>
      </c>
      <c r="H200" s="2">
        <v>0</v>
      </c>
      <c r="I200" s="2">
        <v>0</v>
      </c>
      <c r="J200" s="2">
        <v>0</v>
      </c>
      <c r="K200" s="6">
        <v>47.12</v>
      </c>
      <c r="L200" s="2">
        <v>0</v>
      </c>
      <c r="M200" s="2">
        <v>0</v>
      </c>
      <c r="N200" s="2">
        <v>0</v>
      </c>
      <c r="O200" s="2">
        <v>6.1255999999999995</v>
      </c>
      <c r="P200" s="2">
        <v>53.245599999999996</v>
      </c>
      <c r="Q200" t="s">
        <v>465</v>
      </c>
      <c r="R200" t="s">
        <v>516</v>
      </c>
      <c r="S200" s="2">
        <v>0</v>
      </c>
      <c r="T200" s="2">
        <v>0</v>
      </c>
      <c r="U200" s="2"/>
    </row>
    <row r="201" spans="1:21" x14ac:dyDescent="0.25">
      <c r="A201" t="s">
        <v>508</v>
      </c>
      <c r="B201" t="s">
        <v>1254</v>
      </c>
      <c r="C201" t="s">
        <v>440</v>
      </c>
      <c r="D201" t="s">
        <v>0</v>
      </c>
      <c r="E201">
        <v>10021725</v>
      </c>
      <c r="F201" t="s">
        <v>333</v>
      </c>
      <c r="G201" t="s">
        <v>334</v>
      </c>
      <c r="H201" s="2">
        <v>0</v>
      </c>
      <c r="I201" s="2">
        <v>0</v>
      </c>
      <c r="J201" s="2">
        <v>0</v>
      </c>
      <c r="K201" s="6">
        <v>73.92</v>
      </c>
      <c r="L201" s="2">
        <v>0</v>
      </c>
      <c r="M201" s="2">
        <v>0</v>
      </c>
      <c r="N201" s="2">
        <v>0</v>
      </c>
      <c r="O201" s="2">
        <v>9.6096000000000004</v>
      </c>
      <c r="P201" s="2">
        <v>83.529600000000002</v>
      </c>
      <c r="Q201" t="s">
        <v>465</v>
      </c>
      <c r="R201" t="s">
        <v>516</v>
      </c>
      <c r="S201" s="2">
        <v>0</v>
      </c>
      <c r="T201" s="2">
        <v>0</v>
      </c>
      <c r="U201" s="2"/>
    </row>
    <row r="202" spans="1:21" x14ac:dyDescent="0.25">
      <c r="A202" t="s">
        <v>508</v>
      </c>
      <c r="B202" t="s">
        <v>1254</v>
      </c>
      <c r="C202" t="s">
        <v>440</v>
      </c>
      <c r="D202" t="s">
        <v>0</v>
      </c>
      <c r="E202">
        <v>36236</v>
      </c>
      <c r="F202" t="s">
        <v>366</v>
      </c>
      <c r="G202" t="s">
        <v>367</v>
      </c>
      <c r="H202" s="2">
        <v>0</v>
      </c>
      <c r="I202" s="2">
        <v>0</v>
      </c>
      <c r="J202" s="2">
        <v>0</v>
      </c>
      <c r="K202" s="6">
        <v>21.78</v>
      </c>
      <c r="L202" s="2">
        <v>0</v>
      </c>
      <c r="M202" s="2">
        <v>0</v>
      </c>
      <c r="N202" s="2">
        <v>0</v>
      </c>
      <c r="O202" s="2">
        <v>2.8314000000000004</v>
      </c>
      <c r="P202" s="2">
        <v>24.611400000000003</v>
      </c>
      <c r="Q202" t="s">
        <v>465</v>
      </c>
      <c r="R202" t="s">
        <v>516</v>
      </c>
      <c r="S202" s="2">
        <v>0</v>
      </c>
      <c r="T202" s="2">
        <v>0</v>
      </c>
      <c r="U202" s="2"/>
    </row>
    <row r="203" spans="1:21" x14ac:dyDescent="0.25">
      <c r="A203" t="s">
        <v>508</v>
      </c>
      <c r="B203" t="s">
        <v>1246</v>
      </c>
      <c r="C203" t="s">
        <v>440</v>
      </c>
      <c r="D203" t="s">
        <v>0</v>
      </c>
      <c r="E203">
        <v>1164</v>
      </c>
      <c r="F203" t="s">
        <v>60</v>
      </c>
      <c r="G203" t="s">
        <v>61</v>
      </c>
      <c r="H203" s="2">
        <v>0</v>
      </c>
      <c r="I203" s="2">
        <v>0</v>
      </c>
      <c r="J203" s="2">
        <v>0</v>
      </c>
      <c r="K203" s="6">
        <v>5.61</v>
      </c>
      <c r="L203" s="2">
        <v>0</v>
      </c>
      <c r="M203" s="2">
        <v>0</v>
      </c>
      <c r="N203" s="2">
        <v>0</v>
      </c>
      <c r="O203" s="2">
        <v>0.72930000000000006</v>
      </c>
      <c r="P203" s="2">
        <v>6.3393000000000006</v>
      </c>
      <c r="Q203" t="s">
        <v>465</v>
      </c>
      <c r="R203" t="s">
        <v>516</v>
      </c>
      <c r="S203" s="2">
        <v>0</v>
      </c>
      <c r="T203" s="2">
        <v>0</v>
      </c>
      <c r="U203" s="2"/>
    </row>
    <row r="204" spans="1:21" x14ac:dyDescent="0.25">
      <c r="A204" t="s">
        <v>508</v>
      </c>
      <c r="B204" t="s">
        <v>1246</v>
      </c>
      <c r="C204" t="s">
        <v>440</v>
      </c>
      <c r="D204" t="s">
        <v>0</v>
      </c>
      <c r="E204">
        <v>697261</v>
      </c>
      <c r="F204" t="s">
        <v>204</v>
      </c>
      <c r="G204" t="s">
        <v>205</v>
      </c>
      <c r="H204" s="2">
        <v>0.66</v>
      </c>
      <c r="I204" s="2">
        <v>0</v>
      </c>
      <c r="J204" s="2">
        <v>0</v>
      </c>
      <c r="K204" s="6">
        <v>8.26</v>
      </c>
      <c r="L204" s="2">
        <v>0</v>
      </c>
      <c r="M204" s="2">
        <v>0</v>
      </c>
      <c r="N204" s="2">
        <v>0</v>
      </c>
      <c r="O204" s="2">
        <v>1.0738000000000001</v>
      </c>
      <c r="P204" s="2">
        <v>9.9938000000000002</v>
      </c>
      <c r="Q204" t="s">
        <v>465</v>
      </c>
      <c r="R204" t="s">
        <v>516</v>
      </c>
      <c r="S204" s="2">
        <v>0</v>
      </c>
      <c r="T204" s="2">
        <v>0</v>
      </c>
      <c r="U204" s="2"/>
    </row>
    <row r="205" spans="1:21" x14ac:dyDescent="0.25">
      <c r="A205" t="s">
        <v>508</v>
      </c>
      <c r="B205" t="s">
        <v>1246</v>
      </c>
      <c r="C205" t="s">
        <v>440</v>
      </c>
      <c r="D205" t="s">
        <v>0</v>
      </c>
      <c r="E205">
        <v>514929</v>
      </c>
      <c r="F205" t="s">
        <v>204</v>
      </c>
      <c r="G205" t="s">
        <v>205</v>
      </c>
      <c r="H205" s="2">
        <v>1.8599999999999999</v>
      </c>
      <c r="I205" s="2">
        <v>0</v>
      </c>
      <c r="J205" s="2">
        <v>0</v>
      </c>
      <c r="K205" s="6">
        <v>23.13</v>
      </c>
      <c r="L205" s="2">
        <v>0</v>
      </c>
      <c r="M205" s="2">
        <v>0</v>
      </c>
      <c r="N205" s="2">
        <v>0</v>
      </c>
      <c r="O205" s="2">
        <v>3.0068999999999999</v>
      </c>
      <c r="P205" s="2">
        <v>27.996899999999997</v>
      </c>
      <c r="Q205" t="s">
        <v>465</v>
      </c>
      <c r="R205" t="s">
        <v>516</v>
      </c>
      <c r="S205" s="2">
        <v>0</v>
      </c>
      <c r="T205" s="2">
        <v>0</v>
      </c>
      <c r="U205" s="2"/>
    </row>
    <row r="206" spans="1:21" x14ac:dyDescent="0.25">
      <c r="A206" t="s">
        <v>508</v>
      </c>
      <c r="B206" t="s">
        <v>1246</v>
      </c>
      <c r="C206" t="s">
        <v>440</v>
      </c>
      <c r="D206" t="s">
        <v>0</v>
      </c>
      <c r="E206">
        <v>39780</v>
      </c>
      <c r="F206" t="s">
        <v>171</v>
      </c>
      <c r="G206" t="s">
        <v>172</v>
      </c>
      <c r="H206" s="2">
        <v>0</v>
      </c>
      <c r="I206" s="2">
        <v>0</v>
      </c>
      <c r="J206" s="2">
        <v>0</v>
      </c>
      <c r="K206" s="6">
        <v>50</v>
      </c>
      <c r="L206" s="2">
        <v>0</v>
      </c>
      <c r="M206" s="2">
        <v>0</v>
      </c>
      <c r="N206" s="2">
        <v>0</v>
      </c>
      <c r="O206" s="2">
        <v>6.5</v>
      </c>
      <c r="P206" s="2">
        <v>56.5</v>
      </c>
      <c r="Q206" t="s">
        <v>465</v>
      </c>
      <c r="R206" t="s">
        <v>516</v>
      </c>
      <c r="S206" s="2">
        <v>0</v>
      </c>
      <c r="T206" s="2">
        <v>0</v>
      </c>
      <c r="U206" s="2"/>
    </row>
    <row r="207" spans="1:21" x14ac:dyDescent="0.25">
      <c r="A207" t="s">
        <v>508</v>
      </c>
      <c r="B207" t="s">
        <v>1247</v>
      </c>
      <c r="C207" t="s">
        <v>440</v>
      </c>
      <c r="D207" t="s">
        <v>0</v>
      </c>
      <c r="E207">
        <v>4003</v>
      </c>
      <c r="F207" t="s">
        <v>143</v>
      </c>
      <c r="G207" t="s">
        <v>144</v>
      </c>
      <c r="H207" s="2">
        <v>0</v>
      </c>
      <c r="I207" s="2">
        <v>0</v>
      </c>
      <c r="J207" s="2">
        <v>0</v>
      </c>
      <c r="K207" s="6">
        <v>2244.1999999999998</v>
      </c>
      <c r="L207" s="2">
        <v>0</v>
      </c>
      <c r="M207" s="2">
        <v>0</v>
      </c>
      <c r="N207" s="2">
        <v>0</v>
      </c>
      <c r="O207" s="2">
        <v>291.74599999999998</v>
      </c>
      <c r="P207" s="2">
        <v>2535.9459999999999</v>
      </c>
      <c r="Q207" t="s">
        <v>465</v>
      </c>
      <c r="R207" t="s">
        <v>516</v>
      </c>
      <c r="S207" s="2" t="s">
        <v>520</v>
      </c>
      <c r="T207" s="2">
        <v>22.44</v>
      </c>
      <c r="U207" s="2"/>
    </row>
    <row r="208" spans="1:21" x14ac:dyDescent="0.25">
      <c r="A208" t="s">
        <v>508</v>
      </c>
      <c r="B208" t="s">
        <v>1247</v>
      </c>
      <c r="C208" t="s">
        <v>440</v>
      </c>
      <c r="D208" t="s">
        <v>0</v>
      </c>
      <c r="E208">
        <v>7197</v>
      </c>
      <c r="F208" t="s">
        <v>60</v>
      </c>
      <c r="G208" t="s">
        <v>61</v>
      </c>
      <c r="H208" s="2">
        <v>0</v>
      </c>
      <c r="I208" s="2">
        <v>0</v>
      </c>
      <c r="J208" s="2">
        <v>0</v>
      </c>
      <c r="K208" s="6">
        <v>54.8</v>
      </c>
      <c r="L208" s="2">
        <v>0</v>
      </c>
      <c r="M208" s="2">
        <v>0</v>
      </c>
      <c r="N208" s="2">
        <v>0</v>
      </c>
      <c r="O208" s="2">
        <v>7.1239999999999997</v>
      </c>
      <c r="P208" s="2">
        <v>61.923999999999999</v>
      </c>
      <c r="Q208" t="s">
        <v>465</v>
      </c>
      <c r="R208" t="s">
        <v>516</v>
      </c>
      <c r="S208" s="2">
        <v>0</v>
      </c>
      <c r="T208" s="2">
        <v>0</v>
      </c>
      <c r="U208" s="2"/>
    </row>
    <row r="209" spans="1:21" x14ac:dyDescent="0.25">
      <c r="A209" t="s">
        <v>508</v>
      </c>
      <c r="B209" t="s">
        <v>1247</v>
      </c>
      <c r="C209" t="s">
        <v>440</v>
      </c>
      <c r="D209" t="s">
        <v>0</v>
      </c>
      <c r="E209">
        <v>3369</v>
      </c>
      <c r="F209" t="s">
        <v>374</v>
      </c>
      <c r="G209" t="s">
        <v>375</v>
      </c>
      <c r="H209" s="2">
        <v>0</v>
      </c>
      <c r="I209" s="2">
        <v>0</v>
      </c>
      <c r="J209" s="2">
        <v>0</v>
      </c>
      <c r="K209" s="6">
        <v>65.400000000000006</v>
      </c>
      <c r="L209" s="2">
        <v>0</v>
      </c>
      <c r="M209" s="2">
        <v>0</v>
      </c>
      <c r="N209" s="2">
        <v>0</v>
      </c>
      <c r="O209" s="2">
        <v>8.5020000000000007</v>
      </c>
      <c r="P209" s="2">
        <v>73.902000000000001</v>
      </c>
      <c r="Q209" t="s">
        <v>465</v>
      </c>
      <c r="R209" t="s">
        <v>516</v>
      </c>
      <c r="S209" s="2">
        <v>0</v>
      </c>
      <c r="T209" s="2">
        <v>0</v>
      </c>
      <c r="U209" s="2"/>
    </row>
    <row r="210" spans="1:21" x14ac:dyDescent="0.25">
      <c r="A210" t="s">
        <v>508</v>
      </c>
      <c r="B210" t="s">
        <v>1248</v>
      </c>
      <c r="C210" t="s">
        <v>440</v>
      </c>
      <c r="D210" t="s">
        <v>0</v>
      </c>
      <c r="E210">
        <v>5922</v>
      </c>
      <c r="F210" t="s">
        <v>284</v>
      </c>
      <c r="G210" t="s">
        <v>285</v>
      </c>
      <c r="H210" s="2">
        <v>0</v>
      </c>
      <c r="I210" s="2">
        <v>0</v>
      </c>
      <c r="J210" s="2">
        <v>0</v>
      </c>
      <c r="K210" s="6">
        <v>1021.38</v>
      </c>
      <c r="L210" s="2">
        <v>0</v>
      </c>
      <c r="M210" s="2">
        <v>0</v>
      </c>
      <c r="N210" s="2">
        <v>0</v>
      </c>
      <c r="O210" s="2">
        <v>132.77940000000001</v>
      </c>
      <c r="P210" s="2">
        <v>1154.1594</v>
      </c>
      <c r="Q210" t="s">
        <v>465</v>
      </c>
      <c r="R210" t="s">
        <v>516</v>
      </c>
      <c r="S210" s="2">
        <v>0</v>
      </c>
      <c r="T210" s="2">
        <v>0</v>
      </c>
      <c r="U210" s="2"/>
    </row>
    <row r="211" spans="1:21" x14ac:dyDescent="0.25">
      <c r="A211" t="s">
        <v>508</v>
      </c>
      <c r="B211" t="s">
        <v>1248</v>
      </c>
      <c r="C211" t="s">
        <v>440</v>
      </c>
      <c r="D211" t="s">
        <v>0</v>
      </c>
      <c r="E211">
        <v>606062</v>
      </c>
      <c r="F211" t="s">
        <v>325</v>
      </c>
      <c r="G211" t="s">
        <v>326</v>
      </c>
      <c r="H211" s="2">
        <v>0</v>
      </c>
      <c r="I211" s="2">
        <v>0</v>
      </c>
      <c r="J211" s="2">
        <v>0</v>
      </c>
      <c r="K211" s="6">
        <v>120.31</v>
      </c>
      <c r="L211" s="2">
        <v>0</v>
      </c>
      <c r="M211" s="2">
        <v>0</v>
      </c>
      <c r="N211" s="2">
        <v>0</v>
      </c>
      <c r="O211" s="2">
        <v>15.640300000000002</v>
      </c>
      <c r="P211" s="2">
        <v>135.9503</v>
      </c>
      <c r="Q211" t="s">
        <v>465</v>
      </c>
      <c r="R211" t="s">
        <v>516</v>
      </c>
      <c r="S211" s="2">
        <v>0</v>
      </c>
      <c r="T211" s="2">
        <v>0</v>
      </c>
      <c r="U211" s="2"/>
    </row>
    <row r="212" spans="1:21" x14ac:dyDescent="0.25">
      <c r="A212" t="s">
        <v>508</v>
      </c>
      <c r="B212" t="s">
        <v>1248</v>
      </c>
      <c r="C212" t="s">
        <v>440</v>
      </c>
      <c r="D212" t="s">
        <v>0</v>
      </c>
      <c r="E212">
        <v>196</v>
      </c>
      <c r="F212" t="s">
        <v>1043</v>
      </c>
      <c r="G212" t="s">
        <v>1044</v>
      </c>
      <c r="H212" s="2">
        <v>0</v>
      </c>
      <c r="I212" s="2">
        <v>0</v>
      </c>
      <c r="J212" s="2">
        <v>0</v>
      </c>
      <c r="K212" s="6">
        <v>63.72</v>
      </c>
      <c r="L212" s="2">
        <v>0</v>
      </c>
      <c r="M212" s="2">
        <v>0</v>
      </c>
      <c r="N212" s="2">
        <v>0</v>
      </c>
      <c r="O212" s="2">
        <v>8.2835999999999999</v>
      </c>
      <c r="P212" s="2">
        <v>72.003600000000006</v>
      </c>
      <c r="Q212" t="s">
        <v>465</v>
      </c>
      <c r="R212" t="s">
        <v>516</v>
      </c>
      <c r="S212" s="2">
        <v>0</v>
      </c>
      <c r="T212" s="2">
        <v>0</v>
      </c>
      <c r="U212" s="2"/>
    </row>
    <row r="213" spans="1:21" x14ac:dyDescent="0.25">
      <c r="A213" t="s">
        <v>508</v>
      </c>
      <c r="B213" t="s">
        <v>1248</v>
      </c>
      <c r="C213" t="s">
        <v>440</v>
      </c>
      <c r="D213" t="s">
        <v>0</v>
      </c>
      <c r="E213">
        <v>948786</v>
      </c>
      <c r="F213" t="s">
        <v>204</v>
      </c>
      <c r="G213" t="s">
        <v>205</v>
      </c>
      <c r="H213" s="2">
        <v>1</v>
      </c>
      <c r="I213" s="2">
        <v>0</v>
      </c>
      <c r="J213" s="2">
        <v>0</v>
      </c>
      <c r="K213" s="6">
        <v>12.39</v>
      </c>
      <c r="L213" s="2">
        <v>0</v>
      </c>
      <c r="M213" s="2">
        <v>0</v>
      </c>
      <c r="N213" s="2">
        <v>0</v>
      </c>
      <c r="O213" s="2">
        <v>1.6107</v>
      </c>
      <c r="P213" s="2">
        <v>15.0007</v>
      </c>
      <c r="Q213" t="s">
        <v>465</v>
      </c>
      <c r="R213" t="s">
        <v>516</v>
      </c>
      <c r="S213" s="2">
        <v>0</v>
      </c>
      <c r="T213" s="2">
        <v>0</v>
      </c>
      <c r="U213" s="2"/>
    </row>
    <row r="214" spans="1:21" x14ac:dyDescent="0.25">
      <c r="A214" t="s">
        <v>508</v>
      </c>
      <c r="B214" t="s">
        <v>1248</v>
      </c>
      <c r="C214" t="s">
        <v>440</v>
      </c>
      <c r="D214" t="s">
        <v>0</v>
      </c>
      <c r="E214">
        <v>2855</v>
      </c>
      <c r="F214" t="s">
        <v>1037</v>
      </c>
      <c r="G214" t="s">
        <v>1038</v>
      </c>
      <c r="H214" s="2">
        <v>0</v>
      </c>
      <c r="I214" s="2">
        <v>0</v>
      </c>
      <c r="J214" s="2">
        <v>0</v>
      </c>
      <c r="K214" s="6">
        <v>444.29</v>
      </c>
      <c r="L214" s="2">
        <v>0</v>
      </c>
      <c r="M214" s="2">
        <v>0</v>
      </c>
      <c r="N214" s="2">
        <v>0</v>
      </c>
      <c r="O214" s="2">
        <v>57.757700000000007</v>
      </c>
      <c r="P214" s="2">
        <v>502.04770000000002</v>
      </c>
      <c r="Q214" t="s">
        <v>465</v>
      </c>
      <c r="R214" t="s">
        <v>516</v>
      </c>
      <c r="S214" s="2">
        <v>0</v>
      </c>
      <c r="T214" s="2">
        <v>0</v>
      </c>
      <c r="U214" s="2"/>
    </row>
    <row r="215" spans="1:21" x14ac:dyDescent="0.25">
      <c r="A215" t="s">
        <v>508</v>
      </c>
      <c r="B215" t="s">
        <v>1248</v>
      </c>
      <c r="C215" t="s">
        <v>440</v>
      </c>
      <c r="D215" t="s">
        <v>0</v>
      </c>
      <c r="E215">
        <v>1516</v>
      </c>
      <c r="F215" t="s">
        <v>372</v>
      </c>
      <c r="G215" t="s">
        <v>373</v>
      </c>
      <c r="H215" s="2">
        <v>0</v>
      </c>
      <c r="I215" s="2">
        <v>0</v>
      </c>
      <c r="J215" s="2">
        <v>0</v>
      </c>
      <c r="K215" s="6">
        <v>403.61</v>
      </c>
      <c r="L215" s="2">
        <v>0</v>
      </c>
      <c r="M215" s="2">
        <v>0</v>
      </c>
      <c r="N215" s="2">
        <v>0</v>
      </c>
      <c r="O215" s="2">
        <v>52.469300000000004</v>
      </c>
      <c r="P215" s="2">
        <v>456.07929999999999</v>
      </c>
      <c r="Q215" t="s">
        <v>465</v>
      </c>
      <c r="R215" t="s">
        <v>516</v>
      </c>
      <c r="S215" s="2" t="s">
        <v>1226</v>
      </c>
      <c r="T215" s="2">
        <v>4.04</v>
      </c>
      <c r="U215" s="2"/>
    </row>
    <row r="216" spans="1:21" x14ac:dyDescent="0.25">
      <c r="A216" t="s">
        <v>508</v>
      </c>
      <c r="B216" t="s">
        <v>1248</v>
      </c>
      <c r="C216" t="s">
        <v>440</v>
      </c>
      <c r="D216" t="s">
        <v>0</v>
      </c>
      <c r="E216">
        <v>15101</v>
      </c>
      <c r="F216" t="s">
        <v>372</v>
      </c>
      <c r="G216" t="s">
        <v>373</v>
      </c>
      <c r="H216" s="2">
        <v>0</v>
      </c>
      <c r="I216" s="2">
        <v>0</v>
      </c>
      <c r="J216" s="2">
        <v>0</v>
      </c>
      <c r="K216" s="6">
        <v>84.36</v>
      </c>
      <c r="L216" s="2">
        <v>0</v>
      </c>
      <c r="M216" s="2">
        <v>0</v>
      </c>
      <c r="N216" s="2">
        <v>0</v>
      </c>
      <c r="O216" s="2">
        <v>10.966800000000001</v>
      </c>
      <c r="P216" s="2">
        <v>95.326800000000006</v>
      </c>
      <c r="Q216" t="s">
        <v>465</v>
      </c>
      <c r="R216" t="s">
        <v>516</v>
      </c>
      <c r="S216" s="2">
        <v>0</v>
      </c>
      <c r="T216" s="2">
        <v>0</v>
      </c>
      <c r="U216" s="2"/>
    </row>
    <row r="217" spans="1:21" x14ac:dyDescent="0.25">
      <c r="A217" t="s">
        <v>508</v>
      </c>
      <c r="B217" t="s">
        <v>1248</v>
      </c>
      <c r="C217" t="s">
        <v>440</v>
      </c>
      <c r="D217" t="s">
        <v>0</v>
      </c>
      <c r="E217">
        <v>9366</v>
      </c>
      <c r="F217" t="s">
        <v>364</v>
      </c>
      <c r="G217" t="s">
        <v>365</v>
      </c>
      <c r="H217" s="2">
        <v>0</v>
      </c>
      <c r="I217" s="2">
        <v>0</v>
      </c>
      <c r="J217" s="2">
        <v>0</v>
      </c>
      <c r="K217" s="6">
        <v>642.65</v>
      </c>
      <c r="L217" s="2">
        <v>0</v>
      </c>
      <c r="M217" s="2">
        <v>0</v>
      </c>
      <c r="N217" s="2">
        <v>0</v>
      </c>
      <c r="O217" s="2">
        <v>83.544499999999999</v>
      </c>
      <c r="P217" s="2">
        <v>726.19449999999995</v>
      </c>
      <c r="Q217" t="s">
        <v>465</v>
      </c>
      <c r="R217" t="s">
        <v>516</v>
      </c>
      <c r="S217" s="2" t="s">
        <v>1226</v>
      </c>
      <c r="T217" s="2">
        <v>6.43</v>
      </c>
      <c r="U217" s="2"/>
    </row>
    <row r="218" spans="1:21" x14ac:dyDescent="0.25">
      <c r="A218" t="s">
        <v>508</v>
      </c>
      <c r="B218" t="s">
        <v>1248</v>
      </c>
      <c r="C218" t="s">
        <v>440</v>
      </c>
      <c r="D218" t="s">
        <v>0</v>
      </c>
      <c r="E218">
        <v>14020</v>
      </c>
      <c r="F218" t="s">
        <v>370</v>
      </c>
      <c r="G218" t="s">
        <v>371</v>
      </c>
      <c r="H218" s="2">
        <v>0</v>
      </c>
      <c r="I218" s="2">
        <v>0</v>
      </c>
      <c r="J218" s="2">
        <v>0</v>
      </c>
      <c r="K218" s="6">
        <v>287.17</v>
      </c>
      <c r="L218" s="2">
        <v>0</v>
      </c>
      <c r="M218" s="2">
        <v>0</v>
      </c>
      <c r="N218" s="2">
        <v>0</v>
      </c>
      <c r="O218" s="2">
        <v>37.332100000000004</v>
      </c>
      <c r="P218" s="2">
        <v>324.50210000000004</v>
      </c>
      <c r="Q218" t="s">
        <v>465</v>
      </c>
      <c r="R218" t="s">
        <v>516</v>
      </c>
      <c r="S218" s="2" t="s">
        <v>1226</v>
      </c>
      <c r="T218" s="2">
        <v>2.87</v>
      </c>
      <c r="U218" s="2"/>
    </row>
    <row r="219" spans="1:21" x14ac:dyDescent="0.25">
      <c r="A219" t="s">
        <v>508</v>
      </c>
      <c r="B219" t="s">
        <v>1248</v>
      </c>
      <c r="C219" t="s">
        <v>440</v>
      </c>
      <c r="D219" t="s">
        <v>0</v>
      </c>
      <c r="E219">
        <v>10042</v>
      </c>
      <c r="F219" t="s">
        <v>348</v>
      </c>
      <c r="G219" t="s">
        <v>349</v>
      </c>
      <c r="H219" s="2">
        <v>0</v>
      </c>
      <c r="I219" s="2">
        <v>0</v>
      </c>
      <c r="J219" s="2">
        <v>0</v>
      </c>
      <c r="K219" s="6">
        <v>407.03</v>
      </c>
      <c r="L219" s="2">
        <v>0</v>
      </c>
      <c r="M219" s="2">
        <v>0</v>
      </c>
      <c r="N219" s="2">
        <v>0</v>
      </c>
      <c r="O219" s="2">
        <v>52.913899999999998</v>
      </c>
      <c r="P219" s="2">
        <v>459.94389999999999</v>
      </c>
      <c r="Q219" t="s">
        <v>465</v>
      </c>
      <c r="R219" t="s">
        <v>516</v>
      </c>
      <c r="S219" s="2" t="s">
        <v>1223</v>
      </c>
      <c r="T219" s="2">
        <v>4.07</v>
      </c>
      <c r="U219" s="2"/>
    </row>
    <row r="220" spans="1:21" x14ac:dyDescent="0.25">
      <c r="A220" t="s">
        <v>508</v>
      </c>
      <c r="B220" t="s">
        <v>1248</v>
      </c>
      <c r="C220" t="s">
        <v>440</v>
      </c>
      <c r="D220" t="s">
        <v>0</v>
      </c>
      <c r="E220">
        <v>1021174</v>
      </c>
      <c r="F220" t="s">
        <v>333</v>
      </c>
      <c r="G220" t="s">
        <v>334</v>
      </c>
      <c r="H220" s="2">
        <v>0</v>
      </c>
      <c r="I220" s="2">
        <v>0</v>
      </c>
      <c r="J220" s="2">
        <v>0</v>
      </c>
      <c r="K220" s="6">
        <v>395.58</v>
      </c>
      <c r="L220" s="2">
        <v>0</v>
      </c>
      <c r="M220" s="2">
        <v>0</v>
      </c>
      <c r="N220" s="2">
        <v>0</v>
      </c>
      <c r="O220" s="2">
        <v>51.425399999999996</v>
      </c>
      <c r="P220" s="2">
        <v>447.00540000000001</v>
      </c>
      <c r="Q220" t="s">
        <v>465</v>
      </c>
      <c r="R220" t="s">
        <v>516</v>
      </c>
      <c r="S220" s="2" t="s">
        <v>519</v>
      </c>
      <c r="T220" s="2">
        <v>3.96</v>
      </c>
      <c r="U220" s="2"/>
    </row>
    <row r="221" spans="1:21" x14ac:dyDescent="0.25">
      <c r="A221" t="s">
        <v>508</v>
      </c>
      <c r="B221" t="s">
        <v>1249</v>
      </c>
      <c r="C221" t="s">
        <v>440</v>
      </c>
      <c r="D221" t="s">
        <v>0</v>
      </c>
      <c r="E221">
        <v>2831</v>
      </c>
      <c r="F221" t="s">
        <v>1037</v>
      </c>
      <c r="G221" t="s">
        <v>1038</v>
      </c>
      <c r="H221" s="2">
        <v>0</v>
      </c>
      <c r="I221" s="2">
        <v>0</v>
      </c>
      <c r="J221" s="2">
        <v>0</v>
      </c>
      <c r="K221" s="6">
        <v>492.36</v>
      </c>
      <c r="L221" s="2">
        <v>0</v>
      </c>
      <c r="M221" s="2">
        <v>0</v>
      </c>
      <c r="N221" s="2">
        <v>0</v>
      </c>
      <c r="O221" s="2">
        <v>64.006799999999998</v>
      </c>
      <c r="P221" s="2">
        <v>556.36680000000001</v>
      </c>
      <c r="Q221" t="s">
        <v>465</v>
      </c>
      <c r="R221" t="s">
        <v>516</v>
      </c>
      <c r="S221" s="2">
        <v>0</v>
      </c>
      <c r="T221" s="2">
        <v>0</v>
      </c>
      <c r="U221" s="2"/>
    </row>
    <row r="222" spans="1:21" x14ac:dyDescent="0.25">
      <c r="A222" t="s">
        <v>508</v>
      </c>
      <c r="B222" t="s">
        <v>1249</v>
      </c>
      <c r="C222" t="s">
        <v>440</v>
      </c>
      <c r="D222" t="s">
        <v>0</v>
      </c>
      <c r="E222">
        <v>1571852</v>
      </c>
      <c r="F222" t="s">
        <v>221</v>
      </c>
      <c r="G222" t="s">
        <v>222</v>
      </c>
      <c r="H222" s="2">
        <v>0</v>
      </c>
      <c r="I222" s="2">
        <v>0</v>
      </c>
      <c r="J222" s="2">
        <v>0</v>
      </c>
      <c r="K222" s="6">
        <v>479.69</v>
      </c>
      <c r="L222" s="2">
        <v>0</v>
      </c>
      <c r="M222" s="2">
        <v>0</v>
      </c>
      <c r="N222" s="2">
        <v>0</v>
      </c>
      <c r="O222" s="2">
        <v>62.359700000000004</v>
      </c>
      <c r="P222" s="2">
        <v>542.04970000000003</v>
      </c>
      <c r="Q222" t="s">
        <v>465</v>
      </c>
      <c r="R222" t="s">
        <v>516</v>
      </c>
      <c r="S222" s="2" t="s">
        <v>518</v>
      </c>
      <c r="T222" s="2">
        <v>4.8</v>
      </c>
      <c r="U222" s="2"/>
    </row>
    <row r="223" spans="1:21" x14ac:dyDescent="0.25">
      <c r="A223" t="s">
        <v>508</v>
      </c>
      <c r="B223" t="s">
        <v>1249</v>
      </c>
      <c r="C223" t="s">
        <v>440</v>
      </c>
      <c r="D223" t="s">
        <v>0</v>
      </c>
      <c r="E223">
        <v>931328</v>
      </c>
      <c r="F223" t="s">
        <v>244</v>
      </c>
      <c r="G223" t="s">
        <v>245</v>
      </c>
      <c r="H223" s="2">
        <v>2.21</v>
      </c>
      <c r="I223" s="2">
        <v>0</v>
      </c>
      <c r="J223" s="2">
        <v>0</v>
      </c>
      <c r="K223" s="6">
        <v>27.25</v>
      </c>
      <c r="L223" s="2">
        <v>0</v>
      </c>
      <c r="M223" s="2">
        <v>0</v>
      </c>
      <c r="N223" s="2">
        <v>0</v>
      </c>
      <c r="O223" s="2">
        <v>3.5425</v>
      </c>
      <c r="P223" s="2">
        <v>33.002499999999998</v>
      </c>
      <c r="Q223" t="s">
        <v>465</v>
      </c>
      <c r="R223" t="s">
        <v>516</v>
      </c>
      <c r="S223" s="2">
        <v>0</v>
      </c>
      <c r="T223" s="2">
        <v>0</v>
      </c>
      <c r="U223" s="2"/>
    </row>
    <row r="224" spans="1:21" x14ac:dyDescent="0.25">
      <c r="A224" t="s">
        <v>508</v>
      </c>
      <c r="B224" t="s">
        <v>1249</v>
      </c>
      <c r="C224" t="s">
        <v>440</v>
      </c>
      <c r="D224" t="s">
        <v>0</v>
      </c>
      <c r="E224">
        <v>1381</v>
      </c>
      <c r="F224" t="s">
        <v>1139</v>
      </c>
      <c r="G224" t="s">
        <v>1140</v>
      </c>
      <c r="H224" s="2">
        <v>1.33</v>
      </c>
      <c r="I224" s="2">
        <v>0</v>
      </c>
      <c r="J224" s="2">
        <v>0</v>
      </c>
      <c r="K224" s="6">
        <v>16.52</v>
      </c>
      <c r="L224" s="2">
        <v>0</v>
      </c>
      <c r="M224" s="2">
        <v>0</v>
      </c>
      <c r="N224" s="2">
        <v>0</v>
      </c>
      <c r="O224" s="2">
        <v>2.1476000000000002</v>
      </c>
      <c r="P224" s="2">
        <v>19.997600000000002</v>
      </c>
      <c r="Q224" t="s">
        <v>465</v>
      </c>
      <c r="R224" t="s">
        <v>516</v>
      </c>
      <c r="S224" s="2">
        <v>0</v>
      </c>
      <c r="T224" s="2">
        <v>0</v>
      </c>
      <c r="U224" s="2"/>
    </row>
    <row r="225" spans="1:21" x14ac:dyDescent="0.25">
      <c r="A225" t="s">
        <v>508</v>
      </c>
      <c r="B225" t="s">
        <v>1249</v>
      </c>
      <c r="C225" t="s">
        <v>440</v>
      </c>
      <c r="D225" t="s">
        <v>0</v>
      </c>
      <c r="E225">
        <v>3949</v>
      </c>
      <c r="F225" t="s">
        <v>143</v>
      </c>
      <c r="G225" t="s">
        <v>144</v>
      </c>
      <c r="H225" s="2">
        <v>0</v>
      </c>
      <c r="I225" s="2">
        <v>0</v>
      </c>
      <c r="J225" s="2">
        <v>0</v>
      </c>
      <c r="K225" s="6">
        <v>486</v>
      </c>
      <c r="L225" s="2">
        <v>0</v>
      </c>
      <c r="M225" s="2">
        <v>0</v>
      </c>
      <c r="N225" s="2">
        <v>0</v>
      </c>
      <c r="O225" s="2">
        <v>63.18</v>
      </c>
      <c r="P225" s="2">
        <v>549.17999999999995</v>
      </c>
      <c r="Q225" t="s">
        <v>465</v>
      </c>
      <c r="R225" t="s">
        <v>516</v>
      </c>
      <c r="S225" s="2" t="s">
        <v>520</v>
      </c>
      <c r="T225" s="2">
        <v>4.87</v>
      </c>
      <c r="U225" s="2"/>
    </row>
    <row r="226" spans="1:21" x14ac:dyDescent="0.25">
      <c r="A226" t="s">
        <v>508</v>
      </c>
      <c r="B226" t="s">
        <v>1249</v>
      </c>
      <c r="C226" t="s">
        <v>440</v>
      </c>
      <c r="D226" t="s">
        <v>0</v>
      </c>
      <c r="E226">
        <v>47432</v>
      </c>
      <c r="F226" t="s">
        <v>270</v>
      </c>
      <c r="G226" t="s">
        <v>271</v>
      </c>
      <c r="H226" s="2">
        <v>1.67</v>
      </c>
      <c r="I226" s="2">
        <v>0</v>
      </c>
      <c r="J226" s="2">
        <v>0</v>
      </c>
      <c r="K226" s="6">
        <v>20.65</v>
      </c>
      <c r="L226" s="2">
        <v>0</v>
      </c>
      <c r="M226" s="2">
        <v>0</v>
      </c>
      <c r="N226" s="2">
        <v>0</v>
      </c>
      <c r="O226" s="2">
        <v>2.6844999999999999</v>
      </c>
      <c r="P226" s="2">
        <v>25.0045</v>
      </c>
      <c r="Q226" t="s">
        <v>465</v>
      </c>
      <c r="R226" t="s">
        <v>516</v>
      </c>
      <c r="S226" s="2">
        <v>0</v>
      </c>
      <c r="T226" s="2">
        <v>0</v>
      </c>
      <c r="U226" s="2"/>
    </row>
    <row r="227" spans="1:21" x14ac:dyDescent="0.25">
      <c r="A227" t="s">
        <v>508</v>
      </c>
      <c r="B227" t="s">
        <v>1249</v>
      </c>
      <c r="C227" t="s">
        <v>440</v>
      </c>
      <c r="D227" t="s">
        <v>0</v>
      </c>
      <c r="E227">
        <v>5216</v>
      </c>
      <c r="F227" t="s">
        <v>134</v>
      </c>
      <c r="G227" t="s">
        <v>135</v>
      </c>
      <c r="H227" s="2">
        <v>0</v>
      </c>
      <c r="I227" s="2">
        <v>0</v>
      </c>
      <c r="J227" s="2">
        <v>0</v>
      </c>
      <c r="K227" s="6">
        <v>81.42</v>
      </c>
      <c r="L227" s="2">
        <v>0</v>
      </c>
      <c r="M227" s="2">
        <v>0</v>
      </c>
      <c r="N227" s="2">
        <v>0</v>
      </c>
      <c r="O227" s="2">
        <v>10.5846</v>
      </c>
      <c r="P227" s="2">
        <v>92.004599999999996</v>
      </c>
      <c r="Q227" t="s">
        <v>465</v>
      </c>
      <c r="R227" t="s">
        <v>516</v>
      </c>
      <c r="S227" s="2">
        <v>0</v>
      </c>
      <c r="T227" s="2">
        <v>0</v>
      </c>
      <c r="U227" s="2"/>
    </row>
    <row r="228" spans="1:21" x14ac:dyDescent="0.25">
      <c r="A228" t="s">
        <v>508</v>
      </c>
      <c r="B228" t="s">
        <v>1249</v>
      </c>
      <c r="C228" t="s">
        <v>440</v>
      </c>
      <c r="D228" t="s">
        <v>0</v>
      </c>
      <c r="E228">
        <v>815020</v>
      </c>
      <c r="F228" t="s">
        <v>358</v>
      </c>
      <c r="G228" t="s">
        <v>359</v>
      </c>
      <c r="H228" s="2">
        <v>0</v>
      </c>
      <c r="I228" s="2">
        <v>0</v>
      </c>
      <c r="J228" s="2">
        <v>0</v>
      </c>
      <c r="K228" s="6">
        <v>43.72</v>
      </c>
      <c r="L228" s="2">
        <v>0</v>
      </c>
      <c r="M228" s="2">
        <v>0</v>
      </c>
      <c r="N228" s="2">
        <v>0</v>
      </c>
      <c r="O228" s="2">
        <v>5.6836000000000002</v>
      </c>
      <c r="P228" s="2">
        <v>49.403599999999997</v>
      </c>
      <c r="Q228" t="s">
        <v>465</v>
      </c>
      <c r="R228" t="s">
        <v>516</v>
      </c>
      <c r="S228" s="2">
        <v>0</v>
      </c>
      <c r="T228" s="2">
        <v>0</v>
      </c>
      <c r="U228" s="2"/>
    </row>
    <row r="229" spans="1:21" x14ac:dyDescent="0.25">
      <c r="A229" t="s">
        <v>508</v>
      </c>
      <c r="B229" t="s">
        <v>1269</v>
      </c>
      <c r="C229" t="s">
        <v>440</v>
      </c>
      <c r="D229" t="s">
        <v>0</v>
      </c>
      <c r="E229">
        <v>5540</v>
      </c>
      <c r="F229" t="s">
        <v>214</v>
      </c>
      <c r="G229" t="s">
        <v>215</v>
      </c>
      <c r="H229" s="2">
        <v>1.9300000000000002</v>
      </c>
      <c r="I229" s="2">
        <v>0</v>
      </c>
      <c r="J229" s="2">
        <v>0</v>
      </c>
      <c r="K229" s="6">
        <v>24.83</v>
      </c>
      <c r="L229" s="2">
        <v>0</v>
      </c>
      <c r="M229" s="2">
        <v>0</v>
      </c>
      <c r="N229" s="2">
        <v>0</v>
      </c>
      <c r="O229" s="2">
        <v>3.2279</v>
      </c>
      <c r="P229" s="2">
        <v>29.987899999999996</v>
      </c>
      <c r="Q229" t="s">
        <v>465</v>
      </c>
      <c r="R229" t="s">
        <v>516</v>
      </c>
      <c r="S229" s="2">
        <v>0</v>
      </c>
      <c r="T229" s="2">
        <v>0</v>
      </c>
      <c r="U229" s="2"/>
    </row>
    <row r="230" spans="1:21" x14ac:dyDescent="0.25">
      <c r="A230" t="s">
        <v>508</v>
      </c>
      <c r="B230" t="s">
        <v>1269</v>
      </c>
      <c r="C230" t="s">
        <v>440</v>
      </c>
      <c r="D230" t="s">
        <v>0</v>
      </c>
      <c r="E230">
        <v>1440</v>
      </c>
      <c r="F230" t="s">
        <v>1120</v>
      </c>
      <c r="G230" t="s">
        <v>1121</v>
      </c>
      <c r="H230" s="2">
        <v>0</v>
      </c>
      <c r="I230" s="2">
        <v>0</v>
      </c>
      <c r="J230" s="2">
        <v>0</v>
      </c>
      <c r="K230" s="6">
        <v>20</v>
      </c>
      <c r="L230" s="2">
        <v>0</v>
      </c>
      <c r="M230" s="2">
        <v>0</v>
      </c>
      <c r="N230" s="2">
        <v>0</v>
      </c>
      <c r="O230" s="2">
        <v>2.6</v>
      </c>
      <c r="P230" s="2">
        <v>22.6</v>
      </c>
      <c r="Q230" t="s">
        <v>465</v>
      </c>
      <c r="R230" t="s">
        <v>516</v>
      </c>
      <c r="S230" s="2">
        <v>0</v>
      </c>
      <c r="T230" s="2">
        <v>0</v>
      </c>
      <c r="U230" s="2"/>
    </row>
    <row r="231" spans="1:21" x14ac:dyDescent="0.25">
      <c r="A231" t="s">
        <v>508</v>
      </c>
      <c r="B231" t="s">
        <v>1269</v>
      </c>
      <c r="C231" t="s">
        <v>440</v>
      </c>
      <c r="D231" t="s">
        <v>0</v>
      </c>
      <c r="E231">
        <v>6801</v>
      </c>
      <c r="F231" t="s">
        <v>419</v>
      </c>
      <c r="G231" t="s">
        <v>420</v>
      </c>
      <c r="H231" s="2">
        <v>0</v>
      </c>
      <c r="I231" s="2">
        <v>0</v>
      </c>
      <c r="J231" s="2">
        <v>0</v>
      </c>
      <c r="K231" s="6">
        <v>231.05</v>
      </c>
      <c r="L231" s="2">
        <v>0</v>
      </c>
      <c r="M231" s="2">
        <v>0</v>
      </c>
      <c r="N231" s="2">
        <v>0</v>
      </c>
      <c r="O231" s="2">
        <v>30.036500000000004</v>
      </c>
      <c r="P231" s="2">
        <v>261.0865</v>
      </c>
      <c r="Q231" t="s">
        <v>465</v>
      </c>
      <c r="R231" t="s">
        <v>516</v>
      </c>
      <c r="S231" s="2">
        <v>0</v>
      </c>
      <c r="T231" s="2">
        <v>0</v>
      </c>
      <c r="U231" s="2"/>
    </row>
    <row r="232" spans="1:21" x14ac:dyDescent="0.25">
      <c r="A232" t="s">
        <v>508</v>
      </c>
      <c r="B232" t="s">
        <v>1269</v>
      </c>
      <c r="C232" t="s">
        <v>440</v>
      </c>
      <c r="D232" t="s">
        <v>0</v>
      </c>
      <c r="E232">
        <v>362</v>
      </c>
      <c r="F232" t="s">
        <v>1137</v>
      </c>
      <c r="G232" t="s">
        <v>1138</v>
      </c>
      <c r="H232" s="2">
        <v>0</v>
      </c>
      <c r="I232" s="2">
        <v>0</v>
      </c>
      <c r="J232" s="2">
        <v>0</v>
      </c>
      <c r="K232" s="6">
        <v>239.47</v>
      </c>
      <c r="L232" s="2">
        <v>0</v>
      </c>
      <c r="M232" s="2">
        <v>0</v>
      </c>
      <c r="N232" s="2">
        <v>0</v>
      </c>
      <c r="O232" s="2">
        <v>31.1311</v>
      </c>
      <c r="P232" s="2">
        <v>270.60109999999997</v>
      </c>
      <c r="Q232" t="s">
        <v>465</v>
      </c>
      <c r="R232" t="s">
        <v>516</v>
      </c>
      <c r="S232" s="2">
        <v>0</v>
      </c>
      <c r="T232" s="2">
        <v>0</v>
      </c>
      <c r="U232" s="2"/>
    </row>
    <row r="233" spans="1:21" x14ac:dyDescent="0.25">
      <c r="A233" t="s">
        <v>508</v>
      </c>
      <c r="B233" t="s">
        <v>1269</v>
      </c>
      <c r="C233" t="s">
        <v>440</v>
      </c>
      <c r="D233" t="s">
        <v>0</v>
      </c>
      <c r="E233">
        <v>1801</v>
      </c>
      <c r="F233" t="s">
        <v>965</v>
      </c>
      <c r="G233" t="s">
        <v>966</v>
      </c>
      <c r="H233" s="2">
        <v>0</v>
      </c>
      <c r="I233" s="2">
        <v>0</v>
      </c>
      <c r="J233" s="2">
        <v>0</v>
      </c>
      <c r="K233" s="6">
        <v>138.5</v>
      </c>
      <c r="L233" s="2">
        <v>0</v>
      </c>
      <c r="M233" s="2">
        <v>0</v>
      </c>
      <c r="N233" s="2">
        <v>0</v>
      </c>
      <c r="O233" s="2">
        <v>18.004999999999999</v>
      </c>
      <c r="P233" s="2">
        <v>156.505</v>
      </c>
      <c r="Q233" t="s">
        <v>465</v>
      </c>
      <c r="R233" t="s">
        <v>516</v>
      </c>
      <c r="S233" s="2">
        <v>0</v>
      </c>
      <c r="T233" s="2">
        <v>0</v>
      </c>
      <c r="U233" s="2"/>
    </row>
    <row r="234" spans="1:21" x14ac:dyDescent="0.25">
      <c r="A234" t="s">
        <v>508</v>
      </c>
      <c r="B234" t="s">
        <v>1269</v>
      </c>
      <c r="C234" t="s">
        <v>440</v>
      </c>
      <c r="D234" t="s">
        <v>0</v>
      </c>
      <c r="E234">
        <v>3092</v>
      </c>
      <c r="F234" t="s">
        <v>66</v>
      </c>
      <c r="G234" t="s">
        <v>67</v>
      </c>
      <c r="H234" s="2">
        <v>0</v>
      </c>
      <c r="I234" s="2">
        <v>0</v>
      </c>
      <c r="J234" s="2">
        <v>0</v>
      </c>
      <c r="K234" s="6">
        <v>165.49</v>
      </c>
      <c r="L234" s="2">
        <v>0</v>
      </c>
      <c r="M234" s="2">
        <v>0</v>
      </c>
      <c r="N234" s="2">
        <v>0</v>
      </c>
      <c r="O234" s="2">
        <v>21.513700000000004</v>
      </c>
      <c r="P234" s="2">
        <v>187.00370000000001</v>
      </c>
      <c r="Q234" t="s">
        <v>465</v>
      </c>
      <c r="R234" t="s">
        <v>516</v>
      </c>
      <c r="S234" s="2">
        <v>0</v>
      </c>
      <c r="T234" s="2">
        <v>0</v>
      </c>
      <c r="U234" s="2"/>
    </row>
    <row r="235" spans="1:21" x14ac:dyDescent="0.25">
      <c r="A235" t="s">
        <v>508</v>
      </c>
      <c r="B235" t="s">
        <v>1269</v>
      </c>
      <c r="C235" t="s">
        <v>440</v>
      </c>
      <c r="D235" t="s">
        <v>0</v>
      </c>
      <c r="E235">
        <v>1571589</v>
      </c>
      <c r="F235" t="s">
        <v>221</v>
      </c>
      <c r="G235" t="s">
        <v>222</v>
      </c>
      <c r="H235" s="2">
        <v>0</v>
      </c>
      <c r="I235" s="2">
        <v>0</v>
      </c>
      <c r="J235" s="2">
        <v>0</v>
      </c>
      <c r="K235" s="6">
        <v>66.23</v>
      </c>
      <c r="L235" s="2">
        <v>0</v>
      </c>
      <c r="M235" s="2">
        <v>0</v>
      </c>
      <c r="N235" s="2">
        <v>0</v>
      </c>
      <c r="O235" s="2">
        <v>8.6099000000000014</v>
      </c>
      <c r="P235" s="2">
        <v>74.8399</v>
      </c>
      <c r="Q235" t="s">
        <v>465</v>
      </c>
      <c r="R235" t="s">
        <v>516</v>
      </c>
      <c r="S235" s="2">
        <v>0</v>
      </c>
      <c r="T235" s="2">
        <v>0</v>
      </c>
      <c r="U235" s="2"/>
    </row>
    <row r="236" spans="1:21" x14ac:dyDescent="0.25">
      <c r="A236" t="s">
        <v>508</v>
      </c>
      <c r="B236" t="s">
        <v>1269</v>
      </c>
      <c r="C236" t="s">
        <v>440</v>
      </c>
      <c r="D236" t="s">
        <v>0</v>
      </c>
      <c r="E236">
        <v>2806</v>
      </c>
      <c r="F236" t="s">
        <v>1037</v>
      </c>
      <c r="G236" t="s">
        <v>1038</v>
      </c>
      <c r="H236" s="2">
        <v>0</v>
      </c>
      <c r="I236" s="2">
        <v>0</v>
      </c>
      <c r="J236" s="2">
        <v>0</v>
      </c>
      <c r="K236" s="6">
        <v>196.04</v>
      </c>
      <c r="L236" s="2">
        <v>0</v>
      </c>
      <c r="M236" s="2">
        <v>0</v>
      </c>
      <c r="N236" s="2">
        <v>0</v>
      </c>
      <c r="O236" s="2">
        <v>25.485199999999999</v>
      </c>
      <c r="P236" s="2">
        <v>221.52519999999998</v>
      </c>
      <c r="Q236" t="s">
        <v>465</v>
      </c>
      <c r="R236" t="s">
        <v>516</v>
      </c>
      <c r="S236" s="2">
        <v>0</v>
      </c>
      <c r="T236" s="2">
        <v>0</v>
      </c>
      <c r="U236" s="2"/>
    </row>
    <row r="237" spans="1:21" x14ac:dyDescent="0.25">
      <c r="A237" t="s">
        <v>508</v>
      </c>
      <c r="B237" t="s">
        <v>1251</v>
      </c>
      <c r="C237" t="s">
        <v>440</v>
      </c>
      <c r="D237" t="s">
        <v>0</v>
      </c>
      <c r="E237">
        <v>344</v>
      </c>
      <c r="F237" t="s">
        <v>1137</v>
      </c>
      <c r="G237" t="s">
        <v>1138</v>
      </c>
      <c r="H237" s="2">
        <v>0</v>
      </c>
      <c r="I237" s="2">
        <v>0</v>
      </c>
      <c r="J237" s="2">
        <v>0</v>
      </c>
      <c r="K237" s="6">
        <v>128.5</v>
      </c>
      <c r="L237" s="2">
        <v>0</v>
      </c>
      <c r="M237" s="2">
        <v>0</v>
      </c>
      <c r="N237" s="2">
        <v>0</v>
      </c>
      <c r="O237" s="2">
        <v>16.705000000000002</v>
      </c>
      <c r="P237" s="2">
        <v>145.20500000000001</v>
      </c>
      <c r="Q237" t="s">
        <v>465</v>
      </c>
      <c r="R237" t="s">
        <v>516</v>
      </c>
      <c r="S237" s="2">
        <v>0</v>
      </c>
      <c r="T237" s="2">
        <v>0</v>
      </c>
      <c r="U237" s="2"/>
    </row>
    <row r="238" spans="1:21" x14ac:dyDescent="0.25">
      <c r="A238" t="s">
        <v>508</v>
      </c>
      <c r="B238" t="s">
        <v>1251</v>
      </c>
      <c r="C238" t="s">
        <v>440</v>
      </c>
      <c r="D238" t="s">
        <v>0</v>
      </c>
      <c r="E238">
        <v>46530</v>
      </c>
      <c r="F238" t="s">
        <v>270</v>
      </c>
      <c r="G238" t="s">
        <v>271</v>
      </c>
      <c r="H238" s="2">
        <v>0.99</v>
      </c>
      <c r="I238" s="2">
        <v>0</v>
      </c>
      <c r="J238" s="2">
        <v>0</v>
      </c>
      <c r="K238" s="6">
        <v>12.4</v>
      </c>
      <c r="L238" s="2">
        <v>0</v>
      </c>
      <c r="M238" s="2">
        <v>0</v>
      </c>
      <c r="N238" s="2">
        <v>0</v>
      </c>
      <c r="O238" s="2">
        <v>1.6120000000000001</v>
      </c>
      <c r="P238" s="2">
        <v>15.002000000000001</v>
      </c>
      <c r="Q238" t="s">
        <v>465</v>
      </c>
      <c r="R238" t="s">
        <v>516</v>
      </c>
      <c r="S238" s="2">
        <v>0</v>
      </c>
      <c r="T238" s="2">
        <v>0</v>
      </c>
      <c r="U238" s="2"/>
    </row>
    <row r="239" spans="1:21" x14ac:dyDescent="0.25">
      <c r="A239" t="s">
        <v>508</v>
      </c>
      <c r="B239" t="s">
        <v>1251</v>
      </c>
      <c r="C239" t="s">
        <v>440</v>
      </c>
      <c r="D239" t="s">
        <v>0</v>
      </c>
      <c r="E239">
        <v>24336</v>
      </c>
      <c r="F239" t="s">
        <v>317</v>
      </c>
      <c r="G239" t="s">
        <v>318</v>
      </c>
      <c r="H239" s="2">
        <v>0</v>
      </c>
      <c r="I239" s="2">
        <v>0</v>
      </c>
      <c r="J239" s="2">
        <v>0</v>
      </c>
      <c r="K239" s="6">
        <v>420.44</v>
      </c>
      <c r="L239" s="2">
        <v>0</v>
      </c>
      <c r="M239" s="2">
        <v>0</v>
      </c>
      <c r="N239" s="2">
        <v>0</v>
      </c>
      <c r="O239" s="2">
        <v>54.657200000000003</v>
      </c>
      <c r="P239" s="2">
        <v>475.09719999999999</v>
      </c>
      <c r="Q239" t="s">
        <v>465</v>
      </c>
      <c r="R239" t="s">
        <v>516</v>
      </c>
      <c r="S239" s="2" t="s">
        <v>1223</v>
      </c>
      <c r="T239" s="2">
        <v>4.2</v>
      </c>
      <c r="U239" s="2"/>
    </row>
    <row r="240" spans="1:21" x14ac:dyDescent="0.25">
      <c r="A240" t="s">
        <v>508</v>
      </c>
      <c r="B240" t="s">
        <v>1252</v>
      </c>
      <c r="C240" t="s">
        <v>440</v>
      </c>
      <c r="D240" t="s">
        <v>0</v>
      </c>
      <c r="E240">
        <v>71077173</v>
      </c>
      <c r="F240" t="s">
        <v>380</v>
      </c>
      <c r="G240" t="s">
        <v>253</v>
      </c>
      <c r="H240" s="2">
        <v>0</v>
      </c>
      <c r="I240" s="2">
        <v>0</v>
      </c>
      <c r="J240" s="2">
        <v>0</v>
      </c>
      <c r="K240" s="6">
        <v>166.58</v>
      </c>
      <c r="L240" s="2">
        <v>0</v>
      </c>
      <c r="M240" s="2">
        <v>0</v>
      </c>
      <c r="N240" s="2">
        <v>0</v>
      </c>
      <c r="O240" s="2">
        <v>21.655400000000004</v>
      </c>
      <c r="P240" s="2">
        <v>188.23540000000003</v>
      </c>
      <c r="Q240" t="s">
        <v>465</v>
      </c>
      <c r="R240" t="s">
        <v>516</v>
      </c>
      <c r="S240" s="2">
        <v>0</v>
      </c>
      <c r="T240" s="2">
        <v>0</v>
      </c>
      <c r="U240" s="2"/>
    </row>
    <row r="241" spans="1:21" x14ac:dyDescent="0.25">
      <c r="A241" t="s">
        <v>508</v>
      </c>
      <c r="B241" t="s">
        <v>1252</v>
      </c>
      <c r="C241" t="s">
        <v>440</v>
      </c>
      <c r="D241" t="s">
        <v>0</v>
      </c>
      <c r="E241">
        <v>603937</v>
      </c>
      <c r="F241" t="s">
        <v>325</v>
      </c>
      <c r="G241" t="s">
        <v>326</v>
      </c>
      <c r="H241" s="2">
        <v>0</v>
      </c>
      <c r="I241" s="2">
        <v>0</v>
      </c>
      <c r="J241" s="2">
        <v>0</v>
      </c>
      <c r="K241" s="6">
        <v>91.98</v>
      </c>
      <c r="L241" s="2">
        <v>0</v>
      </c>
      <c r="M241" s="2">
        <v>0</v>
      </c>
      <c r="N241" s="2">
        <v>0</v>
      </c>
      <c r="O241" s="2">
        <v>11.957400000000002</v>
      </c>
      <c r="P241" s="2">
        <v>103.93740000000001</v>
      </c>
      <c r="Q241" t="s">
        <v>465</v>
      </c>
      <c r="R241" t="s">
        <v>516</v>
      </c>
      <c r="S241" s="2">
        <v>0</v>
      </c>
      <c r="T241" s="2">
        <v>0</v>
      </c>
      <c r="U241" s="2"/>
    </row>
    <row r="242" spans="1:21" x14ac:dyDescent="0.25">
      <c r="A242" t="s">
        <v>508</v>
      </c>
      <c r="B242" t="s">
        <v>1252</v>
      </c>
      <c r="C242" t="s">
        <v>440</v>
      </c>
      <c r="D242" t="s">
        <v>0</v>
      </c>
      <c r="E242">
        <v>211164</v>
      </c>
      <c r="F242" t="s">
        <v>256</v>
      </c>
      <c r="G242" t="s">
        <v>257</v>
      </c>
      <c r="H242" s="2">
        <v>0</v>
      </c>
      <c r="I242" s="2">
        <v>0</v>
      </c>
      <c r="J242" s="2">
        <v>0</v>
      </c>
      <c r="K242" s="6">
        <v>699.58</v>
      </c>
      <c r="L242" s="2">
        <v>0</v>
      </c>
      <c r="M242" s="2">
        <v>0</v>
      </c>
      <c r="N242" s="2">
        <v>0</v>
      </c>
      <c r="O242" s="2">
        <v>90.945400000000006</v>
      </c>
      <c r="P242" s="2">
        <v>790.52539999999999</v>
      </c>
      <c r="Q242" t="s">
        <v>465</v>
      </c>
      <c r="R242" t="s">
        <v>516</v>
      </c>
      <c r="S242" s="2" t="s">
        <v>518</v>
      </c>
      <c r="T242" s="2">
        <v>7</v>
      </c>
      <c r="U242" s="2"/>
    </row>
    <row r="243" spans="1:21" x14ac:dyDescent="0.25">
      <c r="A243" t="s">
        <v>508</v>
      </c>
      <c r="B243" t="s">
        <v>1253</v>
      </c>
      <c r="C243" t="s">
        <v>440</v>
      </c>
      <c r="D243" t="s">
        <v>0</v>
      </c>
      <c r="E243">
        <v>1847918</v>
      </c>
      <c r="F243" t="s">
        <v>221</v>
      </c>
      <c r="G243" t="s">
        <v>222</v>
      </c>
      <c r="H243" s="2">
        <v>0</v>
      </c>
      <c r="I243" s="2">
        <v>0</v>
      </c>
      <c r="J243" s="2">
        <v>0</v>
      </c>
      <c r="K243" s="6">
        <v>2334</v>
      </c>
      <c r="L243" s="2">
        <v>0</v>
      </c>
      <c r="M243" s="2">
        <v>0</v>
      </c>
      <c r="N243" s="2">
        <v>0</v>
      </c>
      <c r="O243" s="2">
        <v>303.42</v>
      </c>
      <c r="P243" s="2">
        <v>2637.42</v>
      </c>
      <c r="Q243" t="s">
        <v>465</v>
      </c>
      <c r="R243" t="s">
        <v>516</v>
      </c>
      <c r="S243" s="2" t="s">
        <v>518</v>
      </c>
      <c r="T243" s="2">
        <v>23.34</v>
      </c>
      <c r="U243" s="2"/>
    </row>
    <row r="244" spans="1:21" x14ac:dyDescent="0.25">
      <c r="A244" t="s">
        <v>508</v>
      </c>
      <c r="B244" t="s">
        <v>1253</v>
      </c>
      <c r="C244" t="s">
        <v>440</v>
      </c>
      <c r="D244" t="s">
        <v>0</v>
      </c>
      <c r="E244">
        <v>1570007</v>
      </c>
      <c r="F244" t="s">
        <v>221</v>
      </c>
      <c r="G244" t="s">
        <v>222</v>
      </c>
      <c r="H244" s="2">
        <v>0</v>
      </c>
      <c r="I244" s="2">
        <v>0</v>
      </c>
      <c r="J244" s="2">
        <v>0</v>
      </c>
      <c r="K244" s="6">
        <v>1579.61</v>
      </c>
      <c r="L244" s="2">
        <v>0</v>
      </c>
      <c r="M244" s="2">
        <v>0</v>
      </c>
      <c r="N244" s="2">
        <v>0</v>
      </c>
      <c r="O244" s="2">
        <v>205.3493</v>
      </c>
      <c r="P244" s="2">
        <v>1784.9593</v>
      </c>
      <c r="Q244" t="s">
        <v>465</v>
      </c>
      <c r="R244" t="s">
        <v>516</v>
      </c>
      <c r="S244" s="2" t="s">
        <v>518</v>
      </c>
      <c r="T244" s="2">
        <v>15.8</v>
      </c>
      <c r="U244" s="2"/>
    </row>
    <row r="245" spans="1:21" x14ac:dyDescent="0.25">
      <c r="A245" t="s">
        <v>508</v>
      </c>
      <c r="B245" t="s">
        <v>1253</v>
      </c>
      <c r="C245" t="s">
        <v>440</v>
      </c>
      <c r="D245" t="s">
        <v>0</v>
      </c>
      <c r="E245">
        <v>1569998</v>
      </c>
      <c r="F245" t="s">
        <v>221</v>
      </c>
      <c r="G245" t="s">
        <v>222</v>
      </c>
      <c r="H245" s="2">
        <v>0</v>
      </c>
      <c r="I245" s="2">
        <v>0</v>
      </c>
      <c r="J245" s="2">
        <v>0</v>
      </c>
      <c r="K245" s="6">
        <v>1104</v>
      </c>
      <c r="L245" s="2">
        <v>0</v>
      </c>
      <c r="M245" s="2">
        <v>0</v>
      </c>
      <c r="N245" s="2">
        <v>0</v>
      </c>
      <c r="O245" s="2">
        <v>143.52000000000001</v>
      </c>
      <c r="P245" s="2">
        <v>1247.52</v>
      </c>
      <c r="Q245" t="s">
        <v>465</v>
      </c>
      <c r="R245" t="s">
        <v>516</v>
      </c>
      <c r="S245" s="2" t="s">
        <v>518</v>
      </c>
      <c r="T245" s="2">
        <v>11.04</v>
      </c>
      <c r="U245" s="2"/>
    </row>
    <row r="246" spans="1:21" x14ac:dyDescent="0.25">
      <c r="A246" t="s">
        <v>508</v>
      </c>
      <c r="B246" t="s">
        <v>1253</v>
      </c>
      <c r="C246" t="s">
        <v>440</v>
      </c>
      <c r="D246" t="s">
        <v>0</v>
      </c>
      <c r="E246">
        <v>382462</v>
      </c>
      <c r="F246" t="s">
        <v>331</v>
      </c>
      <c r="G246" t="s">
        <v>332</v>
      </c>
      <c r="H246" s="2">
        <v>0</v>
      </c>
      <c r="I246" s="2">
        <v>0</v>
      </c>
      <c r="J246" s="2">
        <v>0</v>
      </c>
      <c r="K246" s="6">
        <v>38.71</v>
      </c>
      <c r="L246" s="2">
        <v>0</v>
      </c>
      <c r="M246" s="2">
        <v>0</v>
      </c>
      <c r="N246" s="2">
        <v>0</v>
      </c>
      <c r="O246" s="2">
        <v>5.0323000000000002</v>
      </c>
      <c r="P246" s="2">
        <v>43.7423</v>
      </c>
      <c r="Q246" t="s">
        <v>465</v>
      </c>
      <c r="R246" t="s">
        <v>516</v>
      </c>
      <c r="S246" s="2">
        <v>0</v>
      </c>
      <c r="T246" s="2">
        <v>0</v>
      </c>
      <c r="U246" s="2"/>
    </row>
    <row r="247" spans="1:21" x14ac:dyDescent="0.25">
      <c r="A247" t="s">
        <v>508</v>
      </c>
      <c r="B247" t="s">
        <v>1253</v>
      </c>
      <c r="C247" t="s">
        <v>440</v>
      </c>
      <c r="D247" t="s">
        <v>0</v>
      </c>
      <c r="E247">
        <v>3855</v>
      </c>
      <c r="F247" t="s">
        <v>143</v>
      </c>
      <c r="G247" t="s">
        <v>144</v>
      </c>
      <c r="H247" s="2">
        <v>0</v>
      </c>
      <c r="I247" s="2">
        <v>0</v>
      </c>
      <c r="J247" s="2">
        <v>0</v>
      </c>
      <c r="K247" s="6">
        <v>150</v>
      </c>
      <c r="L247" s="2">
        <v>0</v>
      </c>
      <c r="M247" s="2">
        <v>0</v>
      </c>
      <c r="N247" s="2">
        <v>0</v>
      </c>
      <c r="O247" s="2">
        <v>19.5</v>
      </c>
      <c r="P247" s="2">
        <v>169.5</v>
      </c>
      <c r="Q247" t="s">
        <v>465</v>
      </c>
      <c r="R247" t="s">
        <v>516</v>
      </c>
      <c r="S247" s="2" t="s">
        <v>520</v>
      </c>
      <c r="T247" s="2">
        <v>1.5</v>
      </c>
      <c r="U247" s="2"/>
    </row>
    <row r="248" spans="1:21" x14ac:dyDescent="0.25">
      <c r="A248" t="s">
        <v>508</v>
      </c>
      <c r="B248" t="s">
        <v>1201</v>
      </c>
      <c r="C248" t="s">
        <v>440</v>
      </c>
      <c r="D248" t="s">
        <v>0</v>
      </c>
      <c r="E248">
        <v>106963</v>
      </c>
      <c r="F248" t="s">
        <v>187</v>
      </c>
      <c r="G248" t="s">
        <v>188</v>
      </c>
      <c r="H248" s="2">
        <v>0</v>
      </c>
      <c r="I248" s="2">
        <v>0</v>
      </c>
      <c r="J248" s="2">
        <v>0</v>
      </c>
      <c r="K248" s="6">
        <v>259.56</v>
      </c>
      <c r="L248" s="2">
        <v>0</v>
      </c>
      <c r="M248" s="2">
        <v>0</v>
      </c>
      <c r="N248" s="2">
        <v>0</v>
      </c>
      <c r="O248" s="2">
        <v>33.742800000000003</v>
      </c>
      <c r="P248" s="2">
        <v>293.30279999999999</v>
      </c>
      <c r="Q248" t="s">
        <v>465</v>
      </c>
      <c r="R248" t="s">
        <v>516</v>
      </c>
      <c r="S248" s="2">
        <v>0</v>
      </c>
      <c r="T248" s="2">
        <v>0</v>
      </c>
      <c r="U248" s="2"/>
    </row>
    <row r="249" spans="1:21" x14ac:dyDescent="0.25">
      <c r="A249" t="s">
        <v>508</v>
      </c>
      <c r="B249" t="s">
        <v>1201</v>
      </c>
      <c r="C249" t="s">
        <v>440</v>
      </c>
      <c r="D249" t="s">
        <v>0</v>
      </c>
      <c r="E249">
        <v>66877</v>
      </c>
      <c r="F249" t="s">
        <v>187</v>
      </c>
      <c r="G249" t="s">
        <v>188</v>
      </c>
      <c r="H249" s="2">
        <v>4.46</v>
      </c>
      <c r="I249" s="2">
        <v>0</v>
      </c>
      <c r="J249" s="2">
        <v>0</v>
      </c>
      <c r="K249" s="6">
        <v>52.69</v>
      </c>
      <c r="L249" s="2">
        <v>0</v>
      </c>
      <c r="M249" s="2">
        <v>0</v>
      </c>
      <c r="N249" s="2">
        <v>0</v>
      </c>
      <c r="O249" s="2">
        <v>6.8497000000000003</v>
      </c>
      <c r="P249" s="2">
        <v>63.999699999999997</v>
      </c>
      <c r="Q249" t="s">
        <v>465</v>
      </c>
      <c r="R249" t="s">
        <v>516</v>
      </c>
      <c r="S249" s="2">
        <v>0</v>
      </c>
      <c r="T249" s="2">
        <v>0</v>
      </c>
      <c r="U249" s="2"/>
    </row>
    <row r="250" spans="1:21" x14ac:dyDescent="0.25">
      <c r="A250" t="s">
        <v>508</v>
      </c>
      <c r="B250" t="s">
        <v>1201</v>
      </c>
      <c r="C250" t="s">
        <v>440</v>
      </c>
      <c r="D250" t="s">
        <v>0</v>
      </c>
      <c r="E250">
        <v>80059</v>
      </c>
      <c r="F250" t="s">
        <v>362</v>
      </c>
      <c r="G250" t="s">
        <v>363</v>
      </c>
      <c r="H250" s="2">
        <v>0</v>
      </c>
      <c r="I250" s="2">
        <v>0</v>
      </c>
      <c r="J250" s="2">
        <v>0</v>
      </c>
      <c r="K250" s="6">
        <v>81.540000000000006</v>
      </c>
      <c r="L250" s="2">
        <v>0</v>
      </c>
      <c r="M250" s="2">
        <v>0</v>
      </c>
      <c r="N250" s="2">
        <v>0</v>
      </c>
      <c r="O250" s="2">
        <v>10.600200000000001</v>
      </c>
      <c r="P250" s="2">
        <v>92.140200000000007</v>
      </c>
      <c r="Q250" t="s">
        <v>465</v>
      </c>
      <c r="R250" t="s">
        <v>516</v>
      </c>
      <c r="S250" s="2">
        <v>0</v>
      </c>
      <c r="T250" s="2">
        <v>0</v>
      </c>
      <c r="U250" s="2"/>
    </row>
    <row r="251" spans="1:21" x14ac:dyDescent="0.25">
      <c r="A251" t="s">
        <v>508</v>
      </c>
      <c r="B251" t="s">
        <v>1202</v>
      </c>
      <c r="C251" t="s">
        <v>440</v>
      </c>
      <c r="D251" t="s">
        <v>0</v>
      </c>
      <c r="E251">
        <v>13453</v>
      </c>
      <c r="F251" t="s">
        <v>370</v>
      </c>
      <c r="G251" t="s">
        <v>371</v>
      </c>
      <c r="H251" s="2">
        <v>0</v>
      </c>
      <c r="I251" s="2">
        <v>0</v>
      </c>
      <c r="J251" s="2">
        <v>0</v>
      </c>
      <c r="K251" s="6">
        <v>202.14</v>
      </c>
      <c r="L251" s="2">
        <v>0</v>
      </c>
      <c r="M251" s="2">
        <v>0</v>
      </c>
      <c r="N251" s="2">
        <v>0</v>
      </c>
      <c r="O251" s="2">
        <v>26.278199999999998</v>
      </c>
      <c r="P251" s="2">
        <v>228.41819999999998</v>
      </c>
      <c r="Q251" t="s">
        <v>465</v>
      </c>
      <c r="R251" t="s">
        <v>516</v>
      </c>
      <c r="S251" s="2" t="s">
        <v>1226</v>
      </c>
      <c r="T251" s="2">
        <v>2.02</v>
      </c>
      <c r="U251" s="2"/>
    </row>
    <row r="252" spans="1:21" x14ac:dyDescent="0.25">
      <c r="A252" t="s">
        <v>508</v>
      </c>
      <c r="B252" t="s">
        <v>1203</v>
      </c>
      <c r="C252" t="s">
        <v>440</v>
      </c>
      <c r="D252" t="s">
        <v>0</v>
      </c>
      <c r="E252">
        <v>1567601</v>
      </c>
      <c r="F252" t="s">
        <v>221</v>
      </c>
      <c r="G252" t="s">
        <v>222</v>
      </c>
      <c r="H252" s="2">
        <v>0</v>
      </c>
      <c r="I252" s="2">
        <v>0</v>
      </c>
      <c r="J252" s="2">
        <v>0</v>
      </c>
      <c r="K252" s="6">
        <v>546.45000000000005</v>
      </c>
      <c r="L252" s="2">
        <v>0</v>
      </c>
      <c r="M252" s="2">
        <v>0</v>
      </c>
      <c r="N252" s="2">
        <v>0</v>
      </c>
      <c r="O252" s="2">
        <v>71.038500000000013</v>
      </c>
      <c r="P252" s="2">
        <v>617.48850000000004</v>
      </c>
      <c r="Q252" t="s">
        <v>465</v>
      </c>
      <c r="R252" t="s">
        <v>516</v>
      </c>
      <c r="S252" s="2" t="s">
        <v>518</v>
      </c>
      <c r="T252" s="2">
        <v>5.46</v>
      </c>
      <c r="U252" s="2"/>
    </row>
    <row r="253" spans="1:21" x14ac:dyDescent="0.25">
      <c r="A253" t="s">
        <v>508</v>
      </c>
      <c r="B253" t="s">
        <v>1203</v>
      </c>
      <c r="C253" t="s">
        <v>440</v>
      </c>
      <c r="D253" t="s">
        <v>0</v>
      </c>
      <c r="E253">
        <v>695</v>
      </c>
      <c r="F253" t="s">
        <v>93</v>
      </c>
      <c r="G253" t="s">
        <v>94</v>
      </c>
      <c r="H253" s="2">
        <v>0</v>
      </c>
      <c r="I253" s="2">
        <v>0</v>
      </c>
      <c r="J253" s="2">
        <v>0</v>
      </c>
      <c r="K253" s="6">
        <v>334.5</v>
      </c>
      <c r="L253" s="2">
        <v>0</v>
      </c>
      <c r="M253" s="2">
        <v>0</v>
      </c>
      <c r="N253" s="2">
        <v>0</v>
      </c>
      <c r="O253" s="2">
        <v>43.484999999999999</v>
      </c>
      <c r="P253" s="2">
        <v>377.98500000000001</v>
      </c>
      <c r="Q253" t="s">
        <v>465</v>
      </c>
      <c r="R253" t="s">
        <v>516</v>
      </c>
      <c r="S253" s="2">
        <v>0</v>
      </c>
      <c r="T253" s="2">
        <v>0</v>
      </c>
      <c r="U253" s="2"/>
    </row>
    <row r="254" spans="1:21" x14ac:dyDescent="0.25">
      <c r="A254" t="s">
        <v>508</v>
      </c>
      <c r="B254" t="s">
        <v>1204</v>
      </c>
      <c r="C254" t="s">
        <v>440</v>
      </c>
      <c r="D254" t="s">
        <v>0</v>
      </c>
      <c r="E254">
        <v>2649</v>
      </c>
      <c r="F254" t="s">
        <v>1037</v>
      </c>
      <c r="G254" t="s">
        <v>1038</v>
      </c>
      <c r="H254" s="2">
        <v>0</v>
      </c>
      <c r="I254" s="2">
        <v>0</v>
      </c>
      <c r="J254" s="2">
        <v>0</v>
      </c>
      <c r="K254" s="6">
        <v>368.14</v>
      </c>
      <c r="L254" s="2">
        <v>0</v>
      </c>
      <c r="M254" s="2">
        <v>0</v>
      </c>
      <c r="N254" s="2">
        <v>0</v>
      </c>
      <c r="O254" s="2">
        <v>47.858199999999997</v>
      </c>
      <c r="P254" s="2">
        <v>415.9982</v>
      </c>
      <c r="Q254" t="s">
        <v>465</v>
      </c>
      <c r="R254" t="s">
        <v>516</v>
      </c>
      <c r="S254" s="2">
        <v>0</v>
      </c>
      <c r="T254" s="2">
        <v>0</v>
      </c>
      <c r="U254" s="2"/>
    </row>
    <row r="255" spans="1:21" x14ac:dyDescent="0.25">
      <c r="A255" t="s">
        <v>508</v>
      </c>
      <c r="B255" t="s">
        <v>1204</v>
      </c>
      <c r="C255" t="s">
        <v>440</v>
      </c>
      <c r="D255" t="s">
        <v>0</v>
      </c>
      <c r="E255">
        <v>9276</v>
      </c>
      <c r="F255" t="s">
        <v>348</v>
      </c>
      <c r="G255" t="s">
        <v>349</v>
      </c>
      <c r="H255" s="2">
        <v>0</v>
      </c>
      <c r="I255" s="2">
        <v>0</v>
      </c>
      <c r="J255" s="2">
        <v>0</v>
      </c>
      <c r="K255" s="6">
        <v>459.51</v>
      </c>
      <c r="L255" s="2">
        <v>0</v>
      </c>
      <c r="M255" s="2">
        <v>0</v>
      </c>
      <c r="N255" s="2">
        <v>0</v>
      </c>
      <c r="O255" s="2">
        <v>59.7363</v>
      </c>
      <c r="P255" s="2">
        <v>519.24630000000002</v>
      </c>
      <c r="Q255" t="s">
        <v>465</v>
      </c>
      <c r="R255" t="s">
        <v>516</v>
      </c>
      <c r="S255" s="2" t="s">
        <v>1223</v>
      </c>
      <c r="T255" s="2">
        <v>4.5999999999999996</v>
      </c>
      <c r="U255" s="2"/>
    </row>
    <row r="256" spans="1:21" x14ac:dyDescent="0.25">
      <c r="A256" t="s">
        <v>508</v>
      </c>
      <c r="B256" t="s">
        <v>1205</v>
      </c>
      <c r="C256" t="s">
        <v>440</v>
      </c>
      <c r="D256" t="s">
        <v>0</v>
      </c>
      <c r="E256">
        <v>2954</v>
      </c>
      <c r="F256" t="s">
        <v>66</v>
      </c>
      <c r="G256" t="s">
        <v>67</v>
      </c>
      <c r="H256" s="2">
        <v>0</v>
      </c>
      <c r="I256" s="2">
        <v>0</v>
      </c>
      <c r="J256" s="2">
        <v>0</v>
      </c>
      <c r="K256" s="6">
        <v>424.78</v>
      </c>
      <c r="L256" s="2">
        <v>0</v>
      </c>
      <c r="M256" s="2">
        <v>0</v>
      </c>
      <c r="N256" s="2">
        <v>0</v>
      </c>
      <c r="O256" s="2">
        <v>55.221399999999996</v>
      </c>
      <c r="P256" s="2">
        <v>480.00139999999999</v>
      </c>
      <c r="Q256" t="s">
        <v>465</v>
      </c>
      <c r="R256" t="s">
        <v>516</v>
      </c>
      <c r="S256" s="2">
        <v>0</v>
      </c>
      <c r="T256" s="2">
        <v>0</v>
      </c>
      <c r="U256" s="2"/>
    </row>
    <row r="257" spans="1:21" x14ac:dyDescent="0.25">
      <c r="A257" t="s">
        <v>508</v>
      </c>
      <c r="B257" t="s">
        <v>1205</v>
      </c>
      <c r="C257" t="s">
        <v>440</v>
      </c>
      <c r="D257" t="s">
        <v>0</v>
      </c>
      <c r="E257">
        <v>2648</v>
      </c>
      <c r="F257" t="s">
        <v>1037</v>
      </c>
      <c r="G257" t="s">
        <v>1038</v>
      </c>
      <c r="H257" s="2">
        <v>0</v>
      </c>
      <c r="I257" s="2">
        <v>0</v>
      </c>
      <c r="J257" s="2">
        <v>0</v>
      </c>
      <c r="K257" s="6">
        <v>132.87</v>
      </c>
      <c r="L257" s="2">
        <v>0</v>
      </c>
      <c r="M257" s="2">
        <v>0</v>
      </c>
      <c r="N257" s="2">
        <v>0</v>
      </c>
      <c r="O257" s="2">
        <v>17.273099999999999</v>
      </c>
      <c r="P257" s="2">
        <v>150.1431</v>
      </c>
      <c r="Q257" t="s">
        <v>465</v>
      </c>
      <c r="R257" t="s">
        <v>516</v>
      </c>
      <c r="S257" s="2">
        <v>0</v>
      </c>
      <c r="T257" s="2">
        <v>0</v>
      </c>
      <c r="U257" s="2"/>
    </row>
    <row r="258" spans="1:21" x14ac:dyDescent="0.25">
      <c r="A258" t="s">
        <v>508</v>
      </c>
      <c r="B258" t="s">
        <v>1205</v>
      </c>
      <c r="C258" t="s">
        <v>440</v>
      </c>
      <c r="D258" t="s">
        <v>0</v>
      </c>
      <c r="E258">
        <v>946904</v>
      </c>
      <c r="F258" t="s">
        <v>204</v>
      </c>
      <c r="G258" t="s">
        <v>205</v>
      </c>
      <c r="H258" s="2">
        <v>4.91</v>
      </c>
      <c r="I258" s="2">
        <v>0</v>
      </c>
      <c r="J258" s="2">
        <v>0</v>
      </c>
      <c r="K258" s="6">
        <v>60.51</v>
      </c>
      <c r="L258" s="2">
        <v>0</v>
      </c>
      <c r="M258" s="2">
        <v>0</v>
      </c>
      <c r="N258" s="2">
        <v>0</v>
      </c>
      <c r="O258" s="2">
        <v>7.8662999999999998</v>
      </c>
      <c r="P258" s="2">
        <v>73.286299999999997</v>
      </c>
      <c r="Q258" t="s">
        <v>465</v>
      </c>
      <c r="R258" t="s">
        <v>516</v>
      </c>
      <c r="S258" s="2">
        <v>0</v>
      </c>
      <c r="T258" s="2">
        <v>0</v>
      </c>
      <c r="U258" s="2"/>
    </row>
    <row r="259" spans="1:21" x14ac:dyDescent="0.25">
      <c r="A259" t="s">
        <v>508</v>
      </c>
      <c r="B259" t="s">
        <v>1268</v>
      </c>
      <c r="C259" t="s">
        <v>440</v>
      </c>
      <c r="D259" t="s">
        <v>0</v>
      </c>
      <c r="E259">
        <v>3620</v>
      </c>
      <c r="F259" t="s">
        <v>143</v>
      </c>
      <c r="G259" t="s">
        <v>144</v>
      </c>
      <c r="H259" s="2">
        <v>0</v>
      </c>
      <c r="I259" s="2">
        <v>0</v>
      </c>
      <c r="J259" s="2">
        <v>0</v>
      </c>
      <c r="K259" s="6">
        <v>660</v>
      </c>
      <c r="L259" s="2">
        <v>0</v>
      </c>
      <c r="M259" s="2">
        <v>0</v>
      </c>
      <c r="N259" s="2">
        <v>0</v>
      </c>
      <c r="O259" s="2">
        <v>85.8</v>
      </c>
      <c r="P259" s="2">
        <v>745.8</v>
      </c>
      <c r="Q259" t="s">
        <v>465</v>
      </c>
      <c r="R259" t="s">
        <v>516</v>
      </c>
      <c r="S259" s="2" t="s">
        <v>1232</v>
      </c>
      <c r="T259" s="2">
        <v>6.6</v>
      </c>
      <c r="U259" s="2"/>
    </row>
    <row r="260" spans="1:21" x14ac:dyDescent="0.25">
      <c r="A260" t="s">
        <v>508</v>
      </c>
      <c r="B260" t="s">
        <v>1268</v>
      </c>
      <c r="C260" t="s">
        <v>440</v>
      </c>
      <c r="D260" t="s">
        <v>0</v>
      </c>
      <c r="E260">
        <v>413052</v>
      </c>
      <c r="F260" t="s">
        <v>167</v>
      </c>
      <c r="G260" t="s">
        <v>168</v>
      </c>
      <c r="H260" s="2">
        <v>0</v>
      </c>
      <c r="I260" s="2">
        <v>0</v>
      </c>
      <c r="J260" s="2">
        <v>0</v>
      </c>
      <c r="K260" s="6">
        <v>20.75</v>
      </c>
      <c r="L260" s="2">
        <v>0</v>
      </c>
      <c r="M260" s="2">
        <v>0</v>
      </c>
      <c r="N260" s="2">
        <v>0</v>
      </c>
      <c r="O260" s="2">
        <v>2.6975000000000002</v>
      </c>
      <c r="P260" s="2">
        <v>23.447500000000002</v>
      </c>
      <c r="Q260" t="s">
        <v>465</v>
      </c>
      <c r="R260" t="s">
        <v>516</v>
      </c>
      <c r="S260" s="2">
        <v>0</v>
      </c>
      <c r="T260" s="2">
        <v>0</v>
      </c>
      <c r="U260" s="2"/>
    </row>
    <row r="261" spans="1:21" x14ac:dyDescent="0.25">
      <c r="A261" t="s">
        <v>508</v>
      </c>
      <c r="B261" t="s">
        <v>1207</v>
      </c>
      <c r="C261" t="s">
        <v>440</v>
      </c>
      <c r="D261" t="s">
        <v>0</v>
      </c>
      <c r="E261">
        <v>537648</v>
      </c>
      <c r="F261" t="s">
        <v>204</v>
      </c>
      <c r="G261" t="s">
        <v>205</v>
      </c>
      <c r="H261" s="2">
        <v>4.55</v>
      </c>
      <c r="I261" s="2">
        <v>0</v>
      </c>
      <c r="J261" s="2">
        <v>0</v>
      </c>
      <c r="K261" s="6">
        <v>58.8</v>
      </c>
      <c r="L261" s="2">
        <v>0</v>
      </c>
      <c r="M261" s="2">
        <v>0</v>
      </c>
      <c r="N261" s="2">
        <v>0</v>
      </c>
      <c r="O261" s="2">
        <v>7.6440000000000001</v>
      </c>
      <c r="P261" s="2">
        <v>70.994</v>
      </c>
      <c r="Q261" t="s">
        <v>465</v>
      </c>
      <c r="R261" t="s">
        <v>516</v>
      </c>
      <c r="S261" s="2">
        <v>0</v>
      </c>
      <c r="T261" s="2">
        <v>0</v>
      </c>
      <c r="U261" s="2"/>
    </row>
    <row r="262" spans="1:21" x14ac:dyDescent="0.25">
      <c r="A262" t="s">
        <v>508</v>
      </c>
      <c r="B262" t="s">
        <v>1207</v>
      </c>
      <c r="C262" t="s">
        <v>440</v>
      </c>
      <c r="D262" t="s">
        <v>0</v>
      </c>
      <c r="E262">
        <v>381923</v>
      </c>
      <c r="F262" t="s">
        <v>331</v>
      </c>
      <c r="G262" t="s">
        <v>332</v>
      </c>
      <c r="H262" s="2">
        <v>0</v>
      </c>
      <c r="I262" s="2">
        <v>0</v>
      </c>
      <c r="J262" s="2">
        <v>0</v>
      </c>
      <c r="K262" s="6">
        <v>264.48</v>
      </c>
      <c r="L262" s="2">
        <v>0</v>
      </c>
      <c r="M262" s="2">
        <v>0</v>
      </c>
      <c r="N262" s="2">
        <v>0</v>
      </c>
      <c r="O262" s="2">
        <v>34.382400000000004</v>
      </c>
      <c r="P262" s="2">
        <v>298.86240000000004</v>
      </c>
      <c r="Q262" t="s">
        <v>465</v>
      </c>
      <c r="R262" t="s">
        <v>516</v>
      </c>
      <c r="S262" s="2" t="s">
        <v>1223</v>
      </c>
      <c r="T262" s="2">
        <v>2.64</v>
      </c>
      <c r="U262" s="2"/>
    </row>
    <row r="263" spans="1:21" x14ac:dyDescent="0.25">
      <c r="A263" t="s">
        <v>508</v>
      </c>
      <c r="B263" t="s">
        <v>1207</v>
      </c>
      <c r="C263" t="s">
        <v>440</v>
      </c>
      <c r="D263" t="s">
        <v>0</v>
      </c>
      <c r="E263">
        <v>381906</v>
      </c>
      <c r="F263" t="s">
        <v>331</v>
      </c>
      <c r="G263" t="s">
        <v>332</v>
      </c>
      <c r="H263" s="2">
        <v>0</v>
      </c>
      <c r="I263" s="2">
        <v>0</v>
      </c>
      <c r="J263" s="2">
        <v>0</v>
      </c>
      <c r="K263" s="6">
        <v>301.74</v>
      </c>
      <c r="L263" s="2">
        <v>0</v>
      </c>
      <c r="M263" s="2">
        <v>0</v>
      </c>
      <c r="N263" s="2">
        <v>0</v>
      </c>
      <c r="O263" s="2">
        <v>39.226200000000006</v>
      </c>
      <c r="P263" s="2">
        <v>340.96620000000001</v>
      </c>
      <c r="Q263" t="s">
        <v>465</v>
      </c>
      <c r="R263" t="s">
        <v>516</v>
      </c>
      <c r="S263" s="2" t="s">
        <v>1223</v>
      </c>
      <c r="T263" s="2">
        <v>3.02</v>
      </c>
      <c r="U263" s="2"/>
    </row>
    <row r="264" spans="1:21" x14ac:dyDescent="0.25">
      <c r="A264" t="s">
        <v>508</v>
      </c>
      <c r="B264" t="s">
        <v>1208</v>
      </c>
      <c r="C264" t="s">
        <v>440</v>
      </c>
      <c r="D264" t="s">
        <v>0</v>
      </c>
      <c r="E264">
        <v>381878</v>
      </c>
      <c r="F264" t="s">
        <v>331</v>
      </c>
      <c r="G264" t="s">
        <v>332</v>
      </c>
      <c r="H264" s="2">
        <v>0</v>
      </c>
      <c r="I264" s="2">
        <v>0</v>
      </c>
      <c r="J264" s="2">
        <v>0</v>
      </c>
      <c r="K264" s="6">
        <v>197.84</v>
      </c>
      <c r="L264" s="2">
        <v>0</v>
      </c>
      <c r="M264" s="2">
        <v>0</v>
      </c>
      <c r="N264" s="2">
        <v>0</v>
      </c>
      <c r="O264" s="2">
        <v>25.719200000000001</v>
      </c>
      <c r="P264" s="2">
        <v>223.5592</v>
      </c>
      <c r="Q264" t="s">
        <v>465</v>
      </c>
      <c r="R264" t="s">
        <v>516</v>
      </c>
      <c r="S264" s="2" t="s">
        <v>1223</v>
      </c>
      <c r="T264" s="2">
        <v>1.98</v>
      </c>
      <c r="U264" s="2"/>
    </row>
    <row r="265" spans="1:21" x14ac:dyDescent="0.25">
      <c r="A265" t="s">
        <v>508</v>
      </c>
      <c r="B265" t="s">
        <v>1208</v>
      </c>
      <c r="C265" t="s">
        <v>440</v>
      </c>
      <c r="D265" t="s">
        <v>0</v>
      </c>
      <c r="E265">
        <v>381877</v>
      </c>
      <c r="F265" t="s">
        <v>331</v>
      </c>
      <c r="G265" t="s">
        <v>332</v>
      </c>
      <c r="H265" s="2">
        <v>0</v>
      </c>
      <c r="I265" s="2">
        <v>0</v>
      </c>
      <c r="J265" s="2">
        <v>0</v>
      </c>
      <c r="K265" s="6">
        <v>32.68</v>
      </c>
      <c r="L265" s="2">
        <v>0</v>
      </c>
      <c r="M265" s="2">
        <v>0</v>
      </c>
      <c r="N265" s="2">
        <v>0</v>
      </c>
      <c r="O265" s="2">
        <v>4.2484000000000002</v>
      </c>
      <c r="P265" s="2">
        <v>36.928399999999996</v>
      </c>
      <c r="Q265" t="s">
        <v>465</v>
      </c>
      <c r="R265" t="s">
        <v>516</v>
      </c>
      <c r="S265" s="2">
        <v>0</v>
      </c>
      <c r="T265" s="2">
        <v>0</v>
      </c>
      <c r="U265" s="2"/>
    </row>
    <row r="266" spans="1:21" x14ac:dyDescent="0.25">
      <c r="A266" t="s">
        <v>508</v>
      </c>
      <c r="B266" t="s">
        <v>1230</v>
      </c>
      <c r="C266" t="s">
        <v>440</v>
      </c>
      <c r="D266" t="s">
        <v>0</v>
      </c>
      <c r="E266">
        <v>5211</v>
      </c>
      <c r="F266" t="s">
        <v>1233</v>
      </c>
      <c r="G266" t="s">
        <v>1234</v>
      </c>
      <c r="H266" s="2">
        <v>4.54</v>
      </c>
      <c r="I266" s="2">
        <v>0</v>
      </c>
      <c r="J266" s="2">
        <v>0</v>
      </c>
      <c r="K266" s="6">
        <v>50.84</v>
      </c>
      <c r="L266" s="2">
        <v>0</v>
      </c>
      <c r="M266" s="2">
        <v>0</v>
      </c>
      <c r="N266" s="2">
        <v>0</v>
      </c>
      <c r="O266" s="2">
        <v>6.6092000000000004</v>
      </c>
      <c r="P266" s="2">
        <v>61.989200000000004</v>
      </c>
      <c r="Q266" t="s">
        <v>465</v>
      </c>
      <c r="R266" t="s">
        <v>516</v>
      </c>
      <c r="S266" s="2">
        <v>0</v>
      </c>
      <c r="T266" s="2">
        <v>0</v>
      </c>
      <c r="U266" s="2"/>
    </row>
    <row r="267" spans="1:21" x14ac:dyDescent="0.25">
      <c r="A267" t="s">
        <v>508</v>
      </c>
      <c r="B267" t="s">
        <v>1230</v>
      </c>
      <c r="C267" t="s">
        <v>440</v>
      </c>
      <c r="D267" t="s">
        <v>0</v>
      </c>
      <c r="E267">
        <v>6573</v>
      </c>
      <c r="F267" t="s">
        <v>1267</v>
      </c>
      <c r="G267" t="s">
        <v>347</v>
      </c>
      <c r="H267" s="2">
        <v>0</v>
      </c>
      <c r="I267" s="2">
        <v>0</v>
      </c>
      <c r="J267" s="2">
        <v>0</v>
      </c>
      <c r="K267" s="6">
        <v>83.87</v>
      </c>
      <c r="L267" s="2">
        <v>0</v>
      </c>
      <c r="M267" s="2">
        <v>0</v>
      </c>
      <c r="N267" s="2">
        <v>0</v>
      </c>
      <c r="O267" s="2">
        <v>10.9031</v>
      </c>
      <c r="P267" s="2">
        <v>94.773099999999999</v>
      </c>
      <c r="Q267" t="s">
        <v>465</v>
      </c>
      <c r="R267" t="s">
        <v>516</v>
      </c>
      <c r="S267" s="2">
        <v>0</v>
      </c>
      <c r="T267" s="2">
        <v>0</v>
      </c>
      <c r="U267" s="2"/>
    </row>
    <row r="268" spans="1:21" x14ac:dyDescent="0.25">
      <c r="A268" t="s">
        <v>508</v>
      </c>
      <c r="B268" t="s">
        <v>1230</v>
      </c>
      <c r="C268" t="s">
        <v>440</v>
      </c>
      <c r="D268" t="s">
        <v>0</v>
      </c>
      <c r="E268">
        <v>294228</v>
      </c>
      <c r="F268" t="s">
        <v>317</v>
      </c>
      <c r="G268" t="s">
        <v>318</v>
      </c>
      <c r="H268" s="2">
        <v>0</v>
      </c>
      <c r="I268" s="2">
        <v>0</v>
      </c>
      <c r="J268" s="2">
        <v>0</v>
      </c>
      <c r="K268" s="6">
        <v>315.88</v>
      </c>
      <c r="L268" s="2">
        <v>0</v>
      </c>
      <c r="M268" s="2">
        <v>0</v>
      </c>
      <c r="N268" s="2">
        <v>0</v>
      </c>
      <c r="O268" s="2">
        <v>41.064399999999999</v>
      </c>
      <c r="P268" s="2">
        <v>356.94439999999997</v>
      </c>
      <c r="Q268" t="s">
        <v>465</v>
      </c>
      <c r="R268" t="s">
        <v>516</v>
      </c>
      <c r="S268" s="2" t="s">
        <v>1223</v>
      </c>
      <c r="T268" s="2">
        <v>3.16</v>
      </c>
      <c r="U268" s="2"/>
    </row>
    <row r="269" spans="1:21" x14ac:dyDescent="0.25">
      <c r="A269" t="s">
        <v>508</v>
      </c>
      <c r="B269" t="s">
        <v>1230</v>
      </c>
      <c r="C269" t="s">
        <v>440</v>
      </c>
      <c r="D269" t="s">
        <v>0</v>
      </c>
      <c r="E269">
        <v>1018414</v>
      </c>
      <c r="F269" t="s">
        <v>333</v>
      </c>
      <c r="G269" t="s">
        <v>334</v>
      </c>
      <c r="H269" s="2">
        <v>0</v>
      </c>
      <c r="I269" s="2">
        <v>0</v>
      </c>
      <c r="J269" s="2">
        <v>0</v>
      </c>
      <c r="K269" s="6">
        <v>1175.69</v>
      </c>
      <c r="L269" s="2">
        <v>0</v>
      </c>
      <c r="M269" s="2">
        <v>0</v>
      </c>
      <c r="N269" s="2">
        <v>0</v>
      </c>
      <c r="O269" s="2">
        <v>152.83970000000002</v>
      </c>
      <c r="P269" s="2">
        <v>1328.5297</v>
      </c>
      <c r="Q269" t="s">
        <v>465</v>
      </c>
      <c r="R269" t="s">
        <v>516</v>
      </c>
      <c r="S269" s="2" t="s">
        <v>519</v>
      </c>
      <c r="T269" s="2">
        <v>11.76</v>
      </c>
      <c r="U269" s="2"/>
    </row>
    <row r="270" spans="1:21" x14ac:dyDescent="0.25">
      <c r="A270" t="s">
        <v>508</v>
      </c>
      <c r="B270" t="s">
        <v>1209</v>
      </c>
      <c r="C270" t="s">
        <v>440</v>
      </c>
      <c r="D270" t="s">
        <v>0</v>
      </c>
      <c r="E270">
        <v>42246</v>
      </c>
      <c r="F270" t="s">
        <v>270</v>
      </c>
      <c r="G270" t="s">
        <v>271</v>
      </c>
      <c r="H270" s="2">
        <v>4.93</v>
      </c>
      <c r="I270" s="2">
        <v>0</v>
      </c>
      <c r="J270" s="2">
        <v>0</v>
      </c>
      <c r="K270" s="6">
        <v>60.55</v>
      </c>
      <c r="L270" s="2">
        <v>0</v>
      </c>
      <c r="M270" s="2">
        <v>0</v>
      </c>
      <c r="N270" s="2">
        <v>0</v>
      </c>
      <c r="O270" s="2">
        <v>7.8715000000000002</v>
      </c>
      <c r="P270" s="2">
        <v>73.351499999999987</v>
      </c>
      <c r="Q270" t="s">
        <v>465</v>
      </c>
      <c r="R270" t="s">
        <v>516</v>
      </c>
      <c r="S270" s="2">
        <v>0</v>
      </c>
      <c r="T270" s="2">
        <v>0</v>
      </c>
      <c r="U270" s="2"/>
    </row>
    <row r="271" spans="1:21" x14ac:dyDescent="0.25">
      <c r="A271" t="s">
        <v>508</v>
      </c>
      <c r="B271" t="s">
        <v>1209</v>
      </c>
      <c r="C271" t="s">
        <v>440</v>
      </c>
      <c r="D271" t="s">
        <v>0</v>
      </c>
      <c r="E271">
        <v>41999</v>
      </c>
      <c r="F271" t="s">
        <v>270</v>
      </c>
      <c r="G271" t="s">
        <v>271</v>
      </c>
      <c r="H271" s="2">
        <v>4.28</v>
      </c>
      <c r="I271" s="2">
        <v>0</v>
      </c>
      <c r="J271" s="2">
        <v>0</v>
      </c>
      <c r="K271" s="6">
        <v>47.54</v>
      </c>
      <c r="L271" s="2">
        <v>0</v>
      </c>
      <c r="M271" s="2">
        <v>0</v>
      </c>
      <c r="N271" s="2">
        <v>0</v>
      </c>
      <c r="O271" s="2">
        <v>6.1802000000000001</v>
      </c>
      <c r="P271" s="2">
        <v>58.0002</v>
      </c>
      <c r="Q271" t="s">
        <v>465</v>
      </c>
      <c r="R271" t="s">
        <v>516</v>
      </c>
      <c r="S271" s="2">
        <v>0</v>
      </c>
      <c r="T271" s="2">
        <v>0</v>
      </c>
      <c r="U271" s="2"/>
    </row>
    <row r="272" spans="1:21" x14ac:dyDescent="0.25">
      <c r="A272" t="s">
        <v>508</v>
      </c>
      <c r="B272" t="s">
        <v>1210</v>
      </c>
      <c r="C272" t="s">
        <v>440</v>
      </c>
      <c r="D272" t="s">
        <v>0</v>
      </c>
      <c r="E272">
        <v>33038</v>
      </c>
      <c r="F272" t="s">
        <v>242</v>
      </c>
      <c r="G272" t="s">
        <v>243</v>
      </c>
      <c r="H272" s="2">
        <v>1.47</v>
      </c>
      <c r="I272" s="2">
        <v>0</v>
      </c>
      <c r="J272" s="2">
        <v>0</v>
      </c>
      <c r="K272" s="6">
        <v>16.399999999999999</v>
      </c>
      <c r="L272" s="2">
        <v>0</v>
      </c>
      <c r="M272" s="2">
        <v>0</v>
      </c>
      <c r="N272" s="2">
        <v>0</v>
      </c>
      <c r="O272" s="2">
        <v>2.1319999999999997</v>
      </c>
      <c r="P272" s="2">
        <v>20.001999999999995</v>
      </c>
      <c r="Q272" t="s">
        <v>465</v>
      </c>
      <c r="R272" t="s">
        <v>516</v>
      </c>
      <c r="S272" s="2">
        <v>0</v>
      </c>
      <c r="T272" s="2">
        <v>0</v>
      </c>
      <c r="U272" s="2"/>
    </row>
    <row r="273" spans="1:21" x14ac:dyDescent="0.25">
      <c r="A273" t="s">
        <v>508</v>
      </c>
      <c r="B273" t="s">
        <v>1210</v>
      </c>
      <c r="C273" t="s">
        <v>440</v>
      </c>
      <c r="D273" t="s">
        <v>0</v>
      </c>
      <c r="E273">
        <v>786</v>
      </c>
      <c r="F273" t="s">
        <v>158</v>
      </c>
      <c r="G273" t="s">
        <v>1231</v>
      </c>
      <c r="H273" s="2">
        <v>0</v>
      </c>
      <c r="I273" s="2">
        <v>0</v>
      </c>
      <c r="J273" s="2">
        <v>0</v>
      </c>
      <c r="K273" s="6">
        <v>25.32</v>
      </c>
      <c r="L273" s="2">
        <v>0</v>
      </c>
      <c r="M273" s="2">
        <v>0</v>
      </c>
      <c r="N273" s="2">
        <v>0</v>
      </c>
      <c r="O273" s="2">
        <v>3.2916000000000003</v>
      </c>
      <c r="P273" s="2">
        <v>28.611599999999999</v>
      </c>
      <c r="Q273" t="s">
        <v>465</v>
      </c>
      <c r="R273" t="s">
        <v>516</v>
      </c>
      <c r="S273" s="2">
        <v>0</v>
      </c>
      <c r="T273" s="2">
        <v>0</v>
      </c>
      <c r="U273" s="2"/>
    </row>
    <row r="274" spans="1:21" x14ac:dyDescent="0.25">
      <c r="A274" t="s">
        <v>508</v>
      </c>
      <c r="B274" t="s">
        <v>1210</v>
      </c>
      <c r="C274" t="s">
        <v>440</v>
      </c>
      <c r="D274" t="s">
        <v>0</v>
      </c>
      <c r="E274">
        <v>785</v>
      </c>
      <c r="F274" t="s">
        <v>158</v>
      </c>
      <c r="G274" t="s">
        <v>1231</v>
      </c>
      <c r="H274" s="2">
        <v>0</v>
      </c>
      <c r="I274" s="2">
        <v>0</v>
      </c>
      <c r="J274" s="2">
        <v>0</v>
      </c>
      <c r="K274" s="6">
        <v>10.8</v>
      </c>
      <c r="L274" s="2">
        <v>0</v>
      </c>
      <c r="M274" s="2">
        <v>0</v>
      </c>
      <c r="N274" s="2">
        <v>0</v>
      </c>
      <c r="O274" s="2">
        <v>1.4040000000000001</v>
      </c>
      <c r="P274" s="2">
        <v>12.204000000000001</v>
      </c>
      <c r="Q274" t="s">
        <v>465</v>
      </c>
      <c r="R274" t="s">
        <v>516</v>
      </c>
      <c r="S274" s="2">
        <v>0</v>
      </c>
      <c r="T274" s="2">
        <v>0</v>
      </c>
      <c r="U274" s="2"/>
    </row>
    <row r="275" spans="1:21" x14ac:dyDescent="0.25">
      <c r="A275" t="s">
        <v>508</v>
      </c>
      <c r="B275" t="s">
        <v>948</v>
      </c>
      <c r="C275" t="s">
        <v>440</v>
      </c>
      <c r="D275" t="s">
        <v>0</v>
      </c>
      <c r="E275">
        <v>2856</v>
      </c>
      <c r="F275" t="s">
        <v>66</v>
      </c>
      <c r="G275" t="s">
        <v>67</v>
      </c>
      <c r="H275" s="2">
        <v>0</v>
      </c>
      <c r="I275" s="2">
        <v>0</v>
      </c>
      <c r="J275" s="2">
        <v>0</v>
      </c>
      <c r="K275" s="6">
        <v>1719.03</v>
      </c>
      <c r="L275" s="2">
        <v>0</v>
      </c>
      <c r="M275" s="2">
        <v>0</v>
      </c>
      <c r="N275" s="2">
        <v>0</v>
      </c>
      <c r="O275" s="2">
        <v>223.47390000000001</v>
      </c>
      <c r="P275" s="2">
        <v>1942.5038999999999</v>
      </c>
      <c r="Q275" t="s">
        <v>465</v>
      </c>
      <c r="R275" t="s">
        <v>516</v>
      </c>
      <c r="S275" s="2">
        <v>0</v>
      </c>
      <c r="T275" s="2">
        <v>0</v>
      </c>
      <c r="U275" s="2"/>
    </row>
    <row r="276" spans="1:21" x14ac:dyDescent="0.25">
      <c r="A276" t="s">
        <v>508</v>
      </c>
      <c r="B276" t="s">
        <v>948</v>
      </c>
      <c r="C276" t="s">
        <v>440</v>
      </c>
      <c r="D276" t="s">
        <v>0</v>
      </c>
      <c r="E276">
        <v>2534</v>
      </c>
      <c r="F276" t="s">
        <v>1233</v>
      </c>
      <c r="G276" t="s">
        <v>1234</v>
      </c>
      <c r="H276" s="2">
        <v>4.3900000000000006</v>
      </c>
      <c r="I276" s="2">
        <v>0</v>
      </c>
      <c r="J276" s="2">
        <v>0</v>
      </c>
      <c r="K276" s="6">
        <v>49.2</v>
      </c>
      <c r="L276" s="2">
        <v>0</v>
      </c>
      <c r="M276" s="2">
        <v>0</v>
      </c>
      <c r="N276" s="2">
        <v>0</v>
      </c>
      <c r="O276" s="2">
        <v>6.3960000000000008</v>
      </c>
      <c r="P276" s="2">
        <v>59.986000000000004</v>
      </c>
      <c r="Q276" t="s">
        <v>465</v>
      </c>
      <c r="R276" t="s">
        <v>516</v>
      </c>
      <c r="S276" s="2">
        <v>0</v>
      </c>
      <c r="T276" s="2">
        <v>0</v>
      </c>
      <c r="U276" s="2"/>
    </row>
    <row r="277" spans="1:21" x14ac:dyDescent="0.25">
      <c r="A277" t="s">
        <v>508</v>
      </c>
      <c r="B277" t="s">
        <v>948</v>
      </c>
      <c r="C277" t="s">
        <v>440</v>
      </c>
      <c r="D277" t="s">
        <v>0</v>
      </c>
      <c r="E277">
        <v>16786</v>
      </c>
      <c r="F277" t="s">
        <v>219</v>
      </c>
      <c r="G277" t="s">
        <v>220</v>
      </c>
      <c r="H277" s="2">
        <v>0</v>
      </c>
      <c r="I277" s="2">
        <v>0</v>
      </c>
      <c r="J277" s="2">
        <v>0</v>
      </c>
      <c r="K277" s="6">
        <v>101.11</v>
      </c>
      <c r="L277" s="2">
        <v>0</v>
      </c>
      <c r="M277" s="2">
        <v>0</v>
      </c>
      <c r="N277" s="2">
        <v>0</v>
      </c>
      <c r="O277" s="2">
        <v>13.144300000000001</v>
      </c>
      <c r="P277" s="2">
        <v>114.2543</v>
      </c>
      <c r="Q277" t="s">
        <v>465</v>
      </c>
      <c r="R277" t="s">
        <v>516</v>
      </c>
      <c r="S277" s="2">
        <v>0</v>
      </c>
      <c r="T277" s="2">
        <v>0</v>
      </c>
      <c r="U277" s="2"/>
    </row>
    <row r="278" spans="1:21" x14ac:dyDescent="0.25">
      <c r="A278" t="s">
        <v>508</v>
      </c>
      <c r="B278" t="s">
        <v>948</v>
      </c>
      <c r="C278" t="s">
        <v>440</v>
      </c>
      <c r="D278" t="s">
        <v>0</v>
      </c>
      <c r="E278">
        <v>771</v>
      </c>
      <c r="F278" t="s">
        <v>54</v>
      </c>
      <c r="G278" t="s">
        <v>55</v>
      </c>
      <c r="H278" s="2">
        <v>0</v>
      </c>
      <c r="I278" s="2">
        <v>0</v>
      </c>
      <c r="J278" s="2">
        <v>0</v>
      </c>
      <c r="K278" s="6">
        <v>138.34</v>
      </c>
      <c r="L278" s="2">
        <v>0</v>
      </c>
      <c r="M278" s="2">
        <v>0</v>
      </c>
      <c r="N278" s="2">
        <v>0</v>
      </c>
      <c r="O278" s="2">
        <v>17.984200000000001</v>
      </c>
      <c r="P278" s="2">
        <v>156.32420000000002</v>
      </c>
      <c r="Q278" t="s">
        <v>465</v>
      </c>
      <c r="R278" t="s">
        <v>516</v>
      </c>
      <c r="S278" s="2">
        <v>0</v>
      </c>
      <c r="T278" s="2">
        <v>0</v>
      </c>
      <c r="U278" s="2"/>
    </row>
    <row r="279" spans="1:21" x14ac:dyDescent="0.25">
      <c r="A279" t="s">
        <v>508</v>
      </c>
      <c r="B279" t="s">
        <v>1188</v>
      </c>
      <c r="C279" t="s">
        <v>440</v>
      </c>
      <c r="D279" t="s">
        <v>0</v>
      </c>
      <c r="E279">
        <v>41896</v>
      </c>
      <c r="F279" t="s">
        <v>270</v>
      </c>
      <c r="G279" t="s">
        <v>271</v>
      </c>
      <c r="H279" s="2">
        <v>4.92</v>
      </c>
      <c r="I279" s="2">
        <v>0</v>
      </c>
      <c r="J279" s="2">
        <v>0</v>
      </c>
      <c r="K279" s="6">
        <v>57.59</v>
      </c>
      <c r="L279" s="2">
        <v>0</v>
      </c>
      <c r="M279" s="2">
        <v>0</v>
      </c>
      <c r="N279" s="2">
        <v>0</v>
      </c>
      <c r="O279" s="2">
        <v>7.4867000000000008</v>
      </c>
      <c r="P279" s="2">
        <v>69.996700000000004</v>
      </c>
      <c r="Q279" t="s">
        <v>465</v>
      </c>
      <c r="R279" t="s">
        <v>516</v>
      </c>
      <c r="S279" s="2">
        <v>0</v>
      </c>
      <c r="T279" s="2">
        <v>0</v>
      </c>
      <c r="U279" s="2"/>
    </row>
    <row r="280" spans="1:21" x14ac:dyDescent="0.25">
      <c r="A280" t="s">
        <v>508</v>
      </c>
      <c r="B280" t="s">
        <v>1215</v>
      </c>
      <c r="C280" t="s">
        <v>440</v>
      </c>
      <c r="D280" t="s">
        <v>0</v>
      </c>
      <c r="E280">
        <v>310605</v>
      </c>
      <c r="F280" t="s">
        <v>210</v>
      </c>
      <c r="G280" t="s">
        <v>211</v>
      </c>
      <c r="H280" s="2">
        <v>4.4000000000000004</v>
      </c>
      <c r="I280" s="2">
        <v>0</v>
      </c>
      <c r="J280" s="2">
        <v>0</v>
      </c>
      <c r="K280" s="6">
        <v>49.2</v>
      </c>
      <c r="L280" s="2">
        <v>0</v>
      </c>
      <c r="M280" s="2">
        <v>0</v>
      </c>
      <c r="N280" s="2">
        <v>0</v>
      </c>
      <c r="O280" s="2">
        <v>6.3960000000000008</v>
      </c>
      <c r="P280" s="2">
        <v>59.996000000000002</v>
      </c>
      <c r="Q280" t="s">
        <v>465</v>
      </c>
      <c r="R280" t="s">
        <v>516</v>
      </c>
      <c r="S280" s="2">
        <v>0</v>
      </c>
      <c r="T280" s="2">
        <v>0</v>
      </c>
      <c r="U280" s="2"/>
    </row>
    <row r="281" spans="1:21" x14ac:dyDescent="0.25">
      <c r="A281" t="s">
        <v>508</v>
      </c>
      <c r="B281" t="s">
        <v>1266</v>
      </c>
      <c r="C281" t="s">
        <v>440</v>
      </c>
      <c r="D281" t="s">
        <v>0</v>
      </c>
      <c r="E281">
        <v>2253094</v>
      </c>
      <c r="F281" t="s">
        <v>173</v>
      </c>
      <c r="G281" t="s">
        <v>174</v>
      </c>
      <c r="H281" s="2">
        <v>1.54</v>
      </c>
      <c r="I281" s="2">
        <v>0</v>
      </c>
      <c r="J281" s="2">
        <v>0</v>
      </c>
      <c r="K281" s="6">
        <v>16.329999999999998</v>
      </c>
      <c r="L281" s="2">
        <v>0</v>
      </c>
      <c r="M281" s="2">
        <v>0</v>
      </c>
      <c r="N281" s="2">
        <v>0</v>
      </c>
      <c r="O281" s="2">
        <v>2.1229</v>
      </c>
      <c r="P281" s="2">
        <v>19.992899999999999</v>
      </c>
      <c r="Q281" t="s">
        <v>465</v>
      </c>
      <c r="R281" t="s">
        <v>516</v>
      </c>
      <c r="S281" s="2">
        <v>0</v>
      </c>
      <c r="T281" s="2">
        <v>0</v>
      </c>
      <c r="U281" s="2"/>
    </row>
    <row r="282" spans="1:21" x14ac:dyDescent="0.25">
      <c r="A282" t="s">
        <v>508</v>
      </c>
      <c r="B282" t="s">
        <v>1266</v>
      </c>
      <c r="C282" t="s">
        <v>440</v>
      </c>
      <c r="D282" t="s">
        <v>0</v>
      </c>
      <c r="E282">
        <v>6102</v>
      </c>
      <c r="F282" t="s">
        <v>1267</v>
      </c>
      <c r="G282" t="s">
        <v>347</v>
      </c>
      <c r="H282" s="2">
        <v>0</v>
      </c>
      <c r="I282" s="2">
        <v>0</v>
      </c>
      <c r="J282" s="2">
        <v>0</v>
      </c>
      <c r="K282" s="6">
        <v>26.97</v>
      </c>
      <c r="L282" s="2">
        <v>0</v>
      </c>
      <c r="M282" s="2">
        <v>0</v>
      </c>
      <c r="N282" s="2">
        <v>0</v>
      </c>
      <c r="O282" s="2">
        <v>3.5061</v>
      </c>
      <c r="P282" s="2">
        <v>30.476099999999999</v>
      </c>
      <c r="Q282" t="s">
        <v>465</v>
      </c>
      <c r="R282" t="s">
        <v>516</v>
      </c>
      <c r="S282" s="2">
        <v>0</v>
      </c>
      <c r="T282" s="2">
        <v>0</v>
      </c>
      <c r="U282" s="2"/>
    </row>
    <row r="283" spans="1:21" x14ac:dyDescent="0.25">
      <c r="A283" t="s">
        <v>508</v>
      </c>
      <c r="B283" t="s">
        <v>926</v>
      </c>
      <c r="C283" t="s">
        <v>440</v>
      </c>
      <c r="D283" t="s">
        <v>0</v>
      </c>
      <c r="E283">
        <v>48831</v>
      </c>
      <c r="F283" t="s">
        <v>214</v>
      </c>
      <c r="G283" t="s">
        <v>215</v>
      </c>
      <c r="H283" s="2">
        <v>4.3900000000000006</v>
      </c>
      <c r="I283" s="2">
        <v>0</v>
      </c>
      <c r="J283" s="2">
        <v>0</v>
      </c>
      <c r="K283" s="6">
        <v>49.2</v>
      </c>
      <c r="L283" s="2">
        <v>0</v>
      </c>
      <c r="M283" s="2">
        <v>0</v>
      </c>
      <c r="N283" s="2">
        <v>0</v>
      </c>
      <c r="O283" s="2">
        <v>6.3960000000000008</v>
      </c>
      <c r="P283" s="2">
        <v>59.986000000000004</v>
      </c>
      <c r="Q283" t="s">
        <v>465</v>
      </c>
      <c r="R283" t="s">
        <v>516</v>
      </c>
      <c r="S283" s="2">
        <v>0</v>
      </c>
      <c r="T283" s="2">
        <v>0</v>
      </c>
      <c r="U283" s="2"/>
    </row>
    <row r="284" spans="1:21" x14ac:dyDescent="0.25">
      <c r="A284" t="s">
        <v>508</v>
      </c>
      <c r="B284" t="s">
        <v>921</v>
      </c>
      <c r="C284" t="s">
        <v>440</v>
      </c>
      <c r="D284" t="s">
        <v>0</v>
      </c>
      <c r="E284">
        <v>1413</v>
      </c>
      <c r="F284" t="s">
        <v>1084</v>
      </c>
      <c r="G284" t="s">
        <v>1085</v>
      </c>
      <c r="H284" s="2">
        <v>0</v>
      </c>
      <c r="I284" s="2">
        <v>0</v>
      </c>
      <c r="J284" s="2">
        <v>0</v>
      </c>
      <c r="K284" s="6">
        <v>292.66000000000003</v>
      </c>
      <c r="L284" s="2">
        <v>0</v>
      </c>
      <c r="M284" s="2">
        <v>0</v>
      </c>
      <c r="N284" s="2">
        <v>0</v>
      </c>
      <c r="O284" s="2">
        <v>38.045800000000007</v>
      </c>
      <c r="P284" s="2">
        <v>330.70580000000001</v>
      </c>
      <c r="Q284" t="s">
        <v>465</v>
      </c>
      <c r="R284" t="s">
        <v>516</v>
      </c>
      <c r="S284" s="2">
        <v>0</v>
      </c>
      <c r="T284" s="2">
        <v>0</v>
      </c>
      <c r="U284" s="2"/>
    </row>
    <row r="285" spans="1:21" x14ac:dyDescent="0.25">
      <c r="A285" t="s">
        <v>508</v>
      </c>
      <c r="B285" s="11" t="s">
        <v>938</v>
      </c>
      <c r="C285" t="s">
        <v>440</v>
      </c>
      <c r="D285" t="s">
        <v>0</v>
      </c>
      <c r="E285">
        <v>3116</v>
      </c>
      <c r="F285" t="s">
        <v>1150</v>
      </c>
      <c r="G285" t="s">
        <v>1151</v>
      </c>
      <c r="H285" s="2">
        <v>0</v>
      </c>
      <c r="I285" s="2">
        <v>0</v>
      </c>
      <c r="J285" s="2">
        <v>0</v>
      </c>
      <c r="K285" s="6">
        <v>25.62</v>
      </c>
      <c r="L285" s="2">
        <v>0</v>
      </c>
      <c r="M285" s="2">
        <v>0</v>
      </c>
      <c r="N285" s="2">
        <v>0</v>
      </c>
      <c r="O285" s="2">
        <v>3.3306000000000004</v>
      </c>
      <c r="P285" s="2">
        <v>28.950600000000001</v>
      </c>
      <c r="Q285" t="s">
        <v>465</v>
      </c>
      <c r="R285" t="s">
        <v>516</v>
      </c>
      <c r="S285" s="2">
        <v>0</v>
      </c>
      <c r="T285" s="2">
        <v>0</v>
      </c>
      <c r="U285" s="2"/>
    </row>
    <row r="286" spans="1:21" x14ac:dyDescent="0.25">
      <c r="A286" t="s">
        <v>508</v>
      </c>
      <c r="B286" t="s">
        <v>930</v>
      </c>
      <c r="C286" t="s">
        <v>440</v>
      </c>
      <c r="D286" t="s">
        <v>0</v>
      </c>
      <c r="E286">
        <v>40536</v>
      </c>
      <c r="F286" t="s">
        <v>270</v>
      </c>
      <c r="G286" t="s">
        <v>271</v>
      </c>
      <c r="H286" s="2">
        <v>4.29</v>
      </c>
      <c r="I286" s="2">
        <v>0</v>
      </c>
      <c r="J286" s="2">
        <v>0</v>
      </c>
      <c r="K286" s="6">
        <v>47.53</v>
      </c>
      <c r="L286" s="2">
        <v>0</v>
      </c>
      <c r="M286" s="2">
        <v>0</v>
      </c>
      <c r="N286" s="2">
        <v>0</v>
      </c>
      <c r="O286" s="2">
        <v>6.1789000000000005</v>
      </c>
      <c r="P286" s="2">
        <v>57.998899999999999</v>
      </c>
      <c r="Q286" t="s">
        <v>465</v>
      </c>
      <c r="R286" t="s">
        <v>516</v>
      </c>
      <c r="S286" s="2">
        <v>0</v>
      </c>
      <c r="T286" s="2">
        <v>0</v>
      </c>
      <c r="U286" s="2"/>
    </row>
    <row r="287" spans="1:21" x14ac:dyDescent="0.25">
      <c r="A287" t="s">
        <v>508</v>
      </c>
      <c r="B287" t="s">
        <v>922</v>
      </c>
      <c r="C287" t="s">
        <v>440</v>
      </c>
      <c r="D287" t="s">
        <v>0</v>
      </c>
      <c r="E287">
        <v>1013402</v>
      </c>
      <c r="F287" t="s">
        <v>333</v>
      </c>
      <c r="G287" t="s">
        <v>334</v>
      </c>
      <c r="H287" s="2">
        <v>0</v>
      </c>
      <c r="I287" s="2">
        <v>0</v>
      </c>
      <c r="J287" s="2">
        <v>0</v>
      </c>
      <c r="K287" s="6">
        <v>965.13</v>
      </c>
      <c r="L287" s="2">
        <v>0</v>
      </c>
      <c r="M287" s="2">
        <v>0</v>
      </c>
      <c r="N287" s="2">
        <v>0</v>
      </c>
      <c r="O287" s="2">
        <v>125.46690000000001</v>
      </c>
      <c r="P287" s="2">
        <v>1090.5969</v>
      </c>
      <c r="Q287" t="s">
        <v>465</v>
      </c>
      <c r="R287" t="s">
        <v>516</v>
      </c>
      <c r="S287" s="2" t="s">
        <v>519</v>
      </c>
      <c r="T287" s="2">
        <v>9.65</v>
      </c>
      <c r="U287" s="2"/>
    </row>
    <row r="288" spans="1:21" x14ac:dyDescent="0.25">
      <c r="A288" t="s">
        <v>508</v>
      </c>
      <c r="B288" s="40" t="s">
        <v>885</v>
      </c>
      <c r="C288" t="s">
        <v>440</v>
      </c>
      <c r="D288" t="s">
        <v>0</v>
      </c>
      <c r="E288">
        <v>880</v>
      </c>
      <c r="F288" t="s">
        <v>1045</v>
      </c>
      <c r="G288" t="s">
        <v>1046</v>
      </c>
      <c r="H288" s="2">
        <v>0</v>
      </c>
      <c r="I288" s="2">
        <v>0</v>
      </c>
      <c r="J288" s="2">
        <v>0</v>
      </c>
      <c r="K288" s="6">
        <v>103.74</v>
      </c>
      <c r="L288" s="2">
        <v>0</v>
      </c>
      <c r="M288" s="2">
        <v>0</v>
      </c>
      <c r="N288" s="2">
        <v>0</v>
      </c>
      <c r="O288" s="2">
        <v>13.4862</v>
      </c>
      <c r="P288" s="2">
        <v>117.22619999999999</v>
      </c>
      <c r="Q288" t="s">
        <v>465</v>
      </c>
      <c r="R288" t="s">
        <v>516</v>
      </c>
      <c r="S288" s="2">
        <v>0</v>
      </c>
      <c r="T288" s="2">
        <v>0</v>
      </c>
      <c r="U288" s="2"/>
    </row>
    <row r="289" spans="1:21" x14ac:dyDescent="0.25">
      <c r="A289" t="s">
        <v>480</v>
      </c>
      <c r="B289" t="s">
        <v>1201</v>
      </c>
      <c r="C289" t="s">
        <v>440</v>
      </c>
      <c r="D289" t="s">
        <v>0</v>
      </c>
      <c r="E289">
        <v>513572</v>
      </c>
      <c r="F289" t="s">
        <v>204</v>
      </c>
      <c r="G289" t="s">
        <v>205</v>
      </c>
      <c r="H289" s="2">
        <v>2.61</v>
      </c>
      <c r="I289" s="2">
        <v>0</v>
      </c>
      <c r="J289" s="2">
        <v>0</v>
      </c>
      <c r="K289" s="6">
        <v>31.32</v>
      </c>
      <c r="L289" s="2">
        <v>0</v>
      </c>
      <c r="M289" s="2">
        <v>0</v>
      </c>
      <c r="N289" s="2">
        <v>0</v>
      </c>
      <c r="O289" s="2">
        <v>4.0716000000000001</v>
      </c>
      <c r="P289" s="2">
        <v>38.001599999999996</v>
      </c>
      <c r="Q289" t="s">
        <v>465</v>
      </c>
      <c r="R289" t="s">
        <v>516</v>
      </c>
      <c r="S289" s="2">
        <v>0</v>
      </c>
      <c r="T289" s="2">
        <v>0</v>
      </c>
      <c r="U289" s="2"/>
    </row>
    <row r="290" spans="1:21" x14ac:dyDescent="0.25">
      <c r="A290" t="s">
        <v>480</v>
      </c>
      <c r="B290" t="s">
        <v>1201</v>
      </c>
      <c r="C290" t="s">
        <v>440</v>
      </c>
      <c r="D290" t="s">
        <v>0</v>
      </c>
      <c r="E290">
        <v>1740</v>
      </c>
      <c r="F290" t="s">
        <v>249</v>
      </c>
      <c r="G290" t="s">
        <v>250</v>
      </c>
      <c r="H290" s="2">
        <v>0</v>
      </c>
      <c r="I290" s="2">
        <v>0</v>
      </c>
      <c r="J290" s="2">
        <v>0</v>
      </c>
      <c r="K290" s="6">
        <v>57.52</v>
      </c>
      <c r="L290" s="2">
        <v>0</v>
      </c>
      <c r="M290" s="2">
        <v>0</v>
      </c>
      <c r="N290" s="2">
        <v>0</v>
      </c>
      <c r="O290" s="2">
        <v>7.4776000000000007</v>
      </c>
      <c r="P290" s="2">
        <v>64.997600000000006</v>
      </c>
      <c r="Q290" t="s">
        <v>465</v>
      </c>
      <c r="R290" t="s">
        <v>516</v>
      </c>
      <c r="S290" s="2">
        <v>0</v>
      </c>
      <c r="T290" s="2">
        <v>0</v>
      </c>
      <c r="U290" s="2"/>
    </row>
    <row r="291" spans="1:21" x14ac:dyDescent="0.25">
      <c r="A291" t="s">
        <v>480</v>
      </c>
      <c r="B291" t="s">
        <v>1201</v>
      </c>
      <c r="C291" t="s">
        <v>440</v>
      </c>
      <c r="D291" t="s">
        <v>0</v>
      </c>
      <c r="E291">
        <v>1881</v>
      </c>
      <c r="F291" t="s">
        <v>194</v>
      </c>
      <c r="G291" t="s">
        <v>195</v>
      </c>
      <c r="H291" s="2">
        <v>0</v>
      </c>
      <c r="I291" s="2">
        <v>0</v>
      </c>
      <c r="J291" s="2">
        <v>0</v>
      </c>
      <c r="K291" s="6">
        <v>305</v>
      </c>
      <c r="L291" s="2">
        <v>0</v>
      </c>
      <c r="M291" s="2">
        <v>0</v>
      </c>
      <c r="N291" s="2">
        <v>0</v>
      </c>
      <c r="O291" s="2">
        <v>39.65</v>
      </c>
      <c r="P291" s="2">
        <v>344.65</v>
      </c>
      <c r="Q291" t="s">
        <v>465</v>
      </c>
      <c r="R291" t="s">
        <v>516</v>
      </c>
      <c r="S291" s="2">
        <v>0</v>
      </c>
      <c r="T291" s="2">
        <v>0</v>
      </c>
      <c r="U291" s="2"/>
    </row>
    <row r="292" spans="1:21" x14ac:dyDescent="0.25">
      <c r="A292" t="s">
        <v>480</v>
      </c>
      <c r="B292" t="s">
        <v>1201</v>
      </c>
      <c r="C292" t="s">
        <v>440</v>
      </c>
      <c r="D292" t="s">
        <v>0</v>
      </c>
      <c r="E292">
        <v>330977</v>
      </c>
      <c r="F292" t="s">
        <v>350</v>
      </c>
      <c r="G292" t="s">
        <v>351</v>
      </c>
      <c r="H292" s="2">
        <v>0</v>
      </c>
      <c r="I292" s="2">
        <v>0</v>
      </c>
      <c r="J292" s="2">
        <v>0</v>
      </c>
      <c r="K292" s="6">
        <v>345.13</v>
      </c>
      <c r="L292" s="2">
        <v>0</v>
      </c>
      <c r="M292" s="2">
        <v>0</v>
      </c>
      <c r="N292" s="2">
        <v>0</v>
      </c>
      <c r="O292" s="2">
        <v>44.866900000000001</v>
      </c>
      <c r="P292" s="2">
        <v>389.99689999999998</v>
      </c>
      <c r="Q292" t="s">
        <v>465</v>
      </c>
      <c r="R292" t="s">
        <v>516</v>
      </c>
      <c r="S292" s="2" t="s">
        <v>1223</v>
      </c>
      <c r="T292" s="2">
        <v>3.45</v>
      </c>
      <c r="U292" s="2"/>
    </row>
    <row r="293" spans="1:21" x14ac:dyDescent="0.25">
      <c r="A293" t="s">
        <v>480</v>
      </c>
      <c r="B293" t="s">
        <v>1201</v>
      </c>
      <c r="C293" t="s">
        <v>440</v>
      </c>
      <c r="D293" t="s">
        <v>0</v>
      </c>
      <c r="E293">
        <v>3813</v>
      </c>
      <c r="F293" t="s">
        <v>143</v>
      </c>
      <c r="G293" t="s">
        <v>144</v>
      </c>
      <c r="H293" s="2">
        <v>0</v>
      </c>
      <c r="I293" s="2">
        <v>0</v>
      </c>
      <c r="J293" s="2">
        <v>0</v>
      </c>
      <c r="K293" s="6">
        <v>5389</v>
      </c>
      <c r="L293" s="2">
        <v>0</v>
      </c>
      <c r="M293" s="2">
        <v>0</v>
      </c>
      <c r="N293" s="2">
        <v>0</v>
      </c>
      <c r="O293" s="2">
        <v>700.57</v>
      </c>
      <c r="P293" s="2">
        <v>6089.57</v>
      </c>
      <c r="Q293" t="s">
        <v>465</v>
      </c>
      <c r="R293" t="s">
        <v>516</v>
      </c>
      <c r="S293" s="2" t="s">
        <v>520</v>
      </c>
      <c r="T293" s="2">
        <v>53.89</v>
      </c>
      <c r="U293" s="2"/>
    </row>
    <row r="294" spans="1:21" x14ac:dyDescent="0.25">
      <c r="A294" t="s">
        <v>480</v>
      </c>
      <c r="B294" t="s">
        <v>1202</v>
      </c>
      <c r="C294" t="s">
        <v>440</v>
      </c>
      <c r="D294" t="s">
        <v>0</v>
      </c>
      <c r="E294">
        <v>2583</v>
      </c>
      <c r="F294" t="s">
        <v>335</v>
      </c>
      <c r="G294" t="s">
        <v>336</v>
      </c>
      <c r="H294" s="2">
        <v>0</v>
      </c>
      <c r="I294" s="2">
        <v>0</v>
      </c>
      <c r="J294" s="2">
        <v>0</v>
      </c>
      <c r="K294" s="6">
        <v>12.34</v>
      </c>
      <c r="L294" s="2">
        <v>0</v>
      </c>
      <c r="M294" s="2">
        <v>0</v>
      </c>
      <c r="N294" s="2">
        <v>0</v>
      </c>
      <c r="O294" s="2">
        <v>1.6042000000000001</v>
      </c>
      <c r="P294" s="2">
        <v>13.9442</v>
      </c>
      <c r="Q294" t="s">
        <v>465</v>
      </c>
      <c r="R294" t="s">
        <v>516</v>
      </c>
      <c r="S294" s="2">
        <v>0</v>
      </c>
      <c r="T294" s="2">
        <v>0</v>
      </c>
      <c r="U294" s="2"/>
    </row>
    <row r="295" spans="1:21" x14ac:dyDescent="0.25">
      <c r="A295" t="s">
        <v>480</v>
      </c>
      <c r="B295" t="s">
        <v>1202</v>
      </c>
      <c r="C295" t="s">
        <v>440</v>
      </c>
      <c r="D295" t="s">
        <v>0</v>
      </c>
      <c r="E295">
        <v>49190</v>
      </c>
      <c r="F295" t="s">
        <v>327</v>
      </c>
      <c r="G295" t="s">
        <v>328</v>
      </c>
      <c r="H295" s="2">
        <v>1.9500000000000002</v>
      </c>
      <c r="I295" s="2">
        <v>0</v>
      </c>
      <c r="J295" s="2">
        <v>0</v>
      </c>
      <c r="K295" s="6">
        <v>24.82</v>
      </c>
      <c r="L295" s="2">
        <v>0</v>
      </c>
      <c r="M295" s="2">
        <v>0</v>
      </c>
      <c r="N295" s="2">
        <v>0</v>
      </c>
      <c r="O295" s="2">
        <v>3.2266000000000004</v>
      </c>
      <c r="P295" s="2">
        <v>29.996600000000001</v>
      </c>
      <c r="Q295" t="s">
        <v>465</v>
      </c>
      <c r="R295" t="s">
        <v>516</v>
      </c>
      <c r="S295" s="2">
        <v>0</v>
      </c>
      <c r="T295" s="2">
        <v>0</v>
      </c>
      <c r="U295" s="2"/>
    </row>
    <row r="296" spans="1:21" x14ac:dyDescent="0.25">
      <c r="A296" t="s">
        <v>480</v>
      </c>
      <c r="B296" t="s">
        <v>1202</v>
      </c>
      <c r="C296" t="s">
        <v>440</v>
      </c>
      <c r="D296" t="s">
        <v>0</v>
      </c>
      <c r="E296">
        <v>1879</v>
      </c>
      <c r="F296" t="s">
        <v>194</v>
      </c>
      <c r="G296" t="s">
        <v>195</v>
      </c>
      <c r="H296" s="2">
        <v>0</v>
      </c>
      <c r="I296" s="2">
        <v>0</v>
      </c>
      <c r="J296" s="2">
        <v>0</v>
      </c>
      <c r="K296" s="6">
        <v>50</v>
      </c>
      <c r="L296" s="2">
        <v>0</v>
      </c>
      <c r="M296" s="2">
        <v>0</v>
      </c>
      <c r="N296" s="2">
        <v>0</v>
      </c>
      <c r="O296" s="2">
        <v>6.5</v>
      </c>
      <c r="P296" s="2">
        <v>56.5</v>
      </c>
      <c r="Q296" t="s">
        <v>465</v>
      </c>
      <c r="R296" t="s">
        <v>516</v>
      </c>
      <c r="S296" s="2">
        <v>0</v>
      </c>
      <c r="T296" s="2">
        <v>0</v>
      </c>
      <c r="U296" s="2"/>
    </row>
    <row r="297" spans="1:21" x14ac:dyDescent="0.25">
      <c r="A297" t="s">
        <v>480</v>
      </c>
      <c r="B297" t="s">
        <v>1203</v>
      </c>
      <c r="C297" t="s">
        <v>440</v>
      </c>
      <c r="D297" t="s">
        <v>0</v>
      </c>
      <c r="E297">
        <v>283</v>
      </c>
      <c r="F297" t="s">
        <v>1233</v>
      </c>
      <c r="G297" t="s">
        <v>1234</v>
      </c>
      <c r="H297" s="2">
        <v>1.72</v>
      </c>
      <c r="I297" s="2">
        <v>0</v>
      </c>
      <c r="J297" s="2">
        <v>0</v>
      </c>
      <c r="K297" s="6">
        <v>20.6</v>
      </c>
      <c r="L297" s="2">
        <v>0</v>
      </c>
      <c r="M297" s="2">
        <v>0</v>
      </c>
      <c r="N297" s="2">
        <v>0</v>
      </c>
      <c r="O297" s="2">
        <v>2.6780000000000004</v>
      </c>
      <c r="P297" s="2">
        <v>24.998000000000001</v>
      </c>
      <c r="Q297" t="s">
        <v>465</v>
      </c>
      <c r="R297" t="s">
        <v>516</v>
      </c>
      <c r="S297" s="2">
        <v>0</v>
      </c>
      <c r="T297" s="2">
        <v>0</v>
      </c>
      <c r="U297" s="2"/>
    </row>
    <row r="298" spans="1:21" x14ac:dyDescent="0.25">
      <c r="A298" t="s">
        <v>480</v>
      </c>
      <c r="B298" t="s">
        <v>1203</v>
      </c>
      <c r="C298" t="s">
        <v>440</v>
      </c>
      <c r="D298" t="s">
        <v>0</v>
      </c>
      <c r="E298">
        <v>1000</v>
      </c>
      <c r="F298" t="s">
        <v>158</v>
      </c>
      <c r="G298" t="s">
        <v>1231</v>
      </c>
      <c r="H298" s="2">
        <v>0</v>
      </c>
      <c r="I298" s="2">
        <v>0</v>
      </c>
      <c r="J298" s="2">
        <v>0</v>
      </c>
      <c r="K298" s="6">
        <v>198</v>
      </c>
      <c r="L298" s="2">
        <v>0</v>
      </c>
      <c r="M298" s="2">
        <v>0</v>
      </c>
      <c r="N298" s="2">
        <v>0</v>
      </c>
      <c r="O298" s="2">
        <v>25.740000000000002</v>
      </c>
      <c r="P298" s="2">
        <v>223.74</v>
      </c>
      <c r="Q298" t="s">
        <v>465</v>
      </c>
      <c r="R298" t="s">
        <v>516</v>
      </c>
      <c r="S298" s="2">
        <v>0</v>
      </c>
      <c r="T298" s="2">
        <v>0</v>
      </c>
      <c r="U298" s="2"/>
    </row>
    <row r="299" spans="1:21" x14ac:dyDescent="0.25">
      <c r="A299" t="s">
        <v>480</v>
      </c>
      <c r="B299" t="s">
        <v>1203</v>
      </c>
      <c r="C299" t="s">
        <v>440</v>
      </c>
      <c r="D299" t="s">
        <v>0</v>
      </c>
      <c r="E299">
        <v>49031</v>
      </c>
      <c r="F299" t="s">
        <v>327</v>
      </c>
      <c r="G299" t="s">
        <v>328</v>
      </c>
      <c r="H299" s="2">
        <v>1.9500000000000002</v>
      </c>
      <c r="I299" s="2">
        <v>0</v>
      </c>
      <c r="J299" s="2">
        <v>0</v>
      </c>
      <c r="K299" s="6">
        <v>28.04</v>
      </c>
      <c r="L299" s="2">
        <v>0</v>
      </c>
      <c r="M299" s="2">
        <v>0</v>
      </c>
      <c r="N299" s="2">
        <v>0</v>
      </c>
      <c r="O299" s="2">
        <v>3.6452</v>
      </c>
      <c r="P299" s="2">
        <v>33.635199999999998</v>
      </c>
      <c r="Q299" t="s">
        <v>465</v>
      </c>
      <c r="R299" t="s">
        <v>516</v>
      </c>
      <c r="S299" s="2">
        <v>0</v>
      </c>
      <c r="T299" s="2">
        <v>0</v>
      </c>
      <c r="U299" s="2"/>
    </row>
    <row r="300" spans="1:21" x14ac:dyDescent="0.25">
      <c r="A300" t="s">
        <v>480</v>
      </c>
      <c r="B300" t="s">
        <v>1189</v>
      </c>
      <c r="C300" t="s">
        <v>440</v>
      </c>
      <c r="D300" t="s">
        <v>0</v>
      </c>
      <c r="E300">
        <v>79041</v>
      </c>
      <c r="F300" t="s">
        <v>362</v>
      </c>
      <c r="G300" t="s">
        <v>363</v>
      </c>
      <c r="H300" s="2">
        <v>0</v>
      </c>
      <c r="I300" s="2">
        <v>0</v>
      </c>
      <c r="J300" s="2">
        <v>0</v>
      </c>
      <c r="K300" s="6">
        <v>712.5</v>
      </c>
      <c r="L300" s="2">
        <v>0</v>
      </c>
      <c r="M300" s="2">
        <v>0</v>
      </c>
      <c r="N300" s="2">
        <v>0</v>
      </c>
      <c r="O300" s="2">
        <v>92.625</v>
      </c>
      <c r="P300" s="2">
        <v>805.125</v>
      </c>
      <c r="Q300" t="s">
        <v>465</v>
      </c>
      <c r="R300" t="s">
        <v>516</v>
      </c>
      <c r="S300" s="2" t="s">
        <v>518</v>
      </c>
      <c r="T300" s="2">
        <v>7.13</v>
      </c>
      <c r="U300" s="2"/>
    </row>
    <row r="301" spans="1:21" x14ac:dyDescent="0.25">
      <c r="A301" t="s">
        <v>480</v>
      </c>
      <c r="B301" t="s">
        <v>1189</v>
      </c>
      <c r="C301" t="s">
        <v>440</v>
      </c>
      <c r="D301" t="s">
        <v>0</v>
      </c>
      <c r="E301">
        <v>2683</v>
      </c>
      <c r="F301" t="s">
        <v>1037</v>
      </c>
      <c r="G301" t="s">
        <v>1038</v>
      </c>
      <c r="H301" s="2">
        <v>0</v>
      </c>
      <c r="I301" s="2">
        <v>0</v>
      </c>
      <c r="J301" s="2">
        <v>0</v>
      </c>
      <c r="K301" s="6">
        <v>136.28</v>
      </c>
      <c r="L301" s="2">
        <v>0</v>
      </c>
      <c r="M301" s="2">
        <v>0</v>
      </c>
      <c r="N301" s="2">
        <v>0</v>
      </c>
      <c r="O301" s="2">
        <v>17.7164</v>
      </c>
      <c r="P301" s="2">
        <v>153.99639999999999</v>
      </c>
      <c r="Q301" t="s">
        <v>465</v>
      </c>
      <c r="R301" t="s">
        <v>516</v>
      </c>
      <c r="S301" s="2">
        <v>0</v>
      </c>
      <c r="T301" s="2">
        <v>0</v>
      </c>
      <c r="U301" s="2"/>
    </row>
    <row r="302" spans="1:21" x14ac:dyDescent="0.25">
      <c r="A302" t="s">
        <v>480</v>
      </c>
      <c r="B302" t="s">
        <v>1187</v>
      </c>
      <c r="C302" t="s">
        <v>440</v>
      </c>
      <c r="D302" t="s">
        <v>0</v>
      </c>
      <c r="E302">
        <v>66119</v>
      </c>
      <c r="F302" t="s">
        <v>187</v>
      </c>
      <c r="G302" t="s">
        <v>188</v>
      </c>
      <c r="H302" s="2">
        <v>0.69000000000000006</v>
      </c>
      <c r="I302" s="2">
        <v>0</v>
      </c>
      <c r="J302" s="2">
        <v>0</v>
      </c>
      <c r="K302" s="6">
        <v>8.24</v>
      </c>
      <c r="L302" s="2">
        <v>0</v>
      </c>
      <c r="M302" s="2">
        <v>0</v>
      </c>
      <c r="N302" s="2">
        <v>0</v>
      </c>
      <c r="O302" s="2">
        <v>1.0712000000000002</v>
      </c>
      <c r="P302" s="2">
        <v>10.001200000000001</v>
      </c>
      <c r="Q302" t="s">
        <v>465</v>
      </c>
      <c r="R302" t="s">
        <v>516</v>
      </c>
      <c r="S302" s="2">
        <v>0</v>
      </c>
      <c r="T302" s="2">
        <v>0</v>
      </c>
      <c r="U302" s="2"/>
    </row>
    <row r="303" spans="1:21" x14ac:dyDescent="0.25">
      <c r="A303" t="s">
        <v>480</v>
      </c>
      <c r="B303" t="s">
        <v>1187</v>
      </c>
      <c r="C303" t="s">
        <v>440</v>
      </c>
      <c r="D303" t="s">
        <v>0</v>
      </c>
      <c r="E303">
        <v>48869</v>
      </c>
      <c r="F303" t="s">
        <v>327</v>
      </c>
      <c r="G303" t="s">
        <v>328</v>
      </c>
      <c r="H303" s="2">
        <v>1.9500000000000002</v>
      </c>
      <c r="I303" s="2">
        <v>0</v>
      </c>
      <c r="J303" s="2">
        <v>0</v>
      </c>
      <c r="K303" s="6">
        <v>24.82</v>
      </c>
      <c r="L303" s="2">
        <v>0</v>
      </c>
      <c r="M303" s="2">
        <v>0</v>
      </c>
      <c r="N303" s="2">
        <v>0</v>
      </c>
      <c r="O303" s="2">
        <v>3.2266000000000004</v>
      </c>
      <c r="P303" s="2">
        <v>29.996600000000001</v>
      </c>
      <c r="Q303" t="s">
        <v>465</v>
      </c>
      <c r="R303" t="s">
        <v>516</v>
      </c>
      <c r="S303" s="2">
        <v>0</v>
      </c>
      <c r="T303" s="2">
        <v>0</v>
      </c>
      <c r="U303" s="2"/>
    </row>
    <row r="304" spans="1:21" x14ac:dyDescent="0.25">
      <c r="A304" t="s">
        <v>480</v>
      </c>
      <c r="B304" t="s">
        <v>1187</v>
      </c>
      <c r="C304" t="s">
        <v>440</v>
      </c>
      <c r="D304" t="s">
        <v>0</v>
      </c>
      <c r="E304">
        <v>3690</v>
      </c>
      <c r="F304" t="s">
        <v>143</v>
      </c>
      <c r="G304" t="s">
        <v>144</v>
      </c>
      <c r="H304" s="2">
        <v>0</v>
      </c>
      <c r="I304" s="2">
        <v>0</v>
      </c>
      <c r="J304" s="2">
        <v>0</v>
      </c>
      <c r="K304" s="6">
        <v>1201.25</v>
      </c>
      <c r="L304" s="2">
        <v>0</v>
      </c>
      <c r="M304" s="2">
        <v>0</v>
      </c>
      <c r="N304" s="2">
        <v>0</v>
      </c>
      <c r="O304" s="2">
        <v>156.16249999999999</v>
      </c>
      <c r="P304" s="2">
        <v>1357.4124999999999</v>
      </c>
      <c r="Q304" t="s">
        <v>465</v>
      </c>
      <c r="R304" t="s">
        <v>516</v>
      </c>
      <c r="S304" s="2" t="s">
        <v>520</v>
      </c>
      <c r="T304" s="2">
        <v>12.01</v>
      </c>
      <c r="U304" s="2"/>
    </row>
    <row r="305" spans="1:21" x14ac:dyDescent="0.25">
      <c r="A305" t="s">
        <v>480</v>
      </c>
      <c r="B305" t="s">
        <v>1187</v>
      </c>
      <c r="C305" t="s">
        <v>440</v>
      </c>
      <c r="D305" t="s">
        <v>0</v>
      </c>
      <c r="E305">
        <v>3689</v>
      </c>
      <c r="F305" t="s">
        <v>143</v>
      </c>
      <c r="G305" t="s">
        <v>144</v>
      </c>
      <c r="H305" s="2">
        <v>0</v>
      </c>
      <c r="I305" s="2">
        <v>0</v>
      </c>
      <c r="J305" s="2">
        <v>0</v>
      </c>
      <c r="K305" s="6">
        <v>3321</v>
      </c>
      <c r="L305" s="2">
        <v>0</v>
      </c>
      <c r="M305" s="2">
        <v>0</v>
      </c>
      <c r="N305" s="2">
        <v>0</v>
      </c>
      <c r="O305" s="2">
        <v>431.73</v>
      </c>
      <c r="P305" s="2">
        <v>3752.73</v>
      </c>
      <c r="Q305" t="s">
        <v>465</v>
      </c>
      <c r="R305" t="s">
        <v>516</v>
      </c>
      <c r="S305" s="2" t="s">
        <v>520</v>
      </c>
      <c r="T305" s="2">
        <v>33.21</v>
      </c>
      <c r="U305" s="2"/>
    </row>
    <row r="306" spans="1:21" x14ac:dyDescent="0.25">
      <c r="A306" t="s">
        <v>480</v>
      </c>
      <c r="B306" t="s">
        <v>1189</v>
      </c>
      <c r="C306" t="s">
        <v>440</v>
      </c>
      <c r="D306" t="s">
        <v>0</v>
      </c>
      <c r="E306">
        <v>6366</v>
      </c>
      <c r="F306" t="s">
        <v>122</v>
      </c>
      <c r="G306" t="s">
        <v>123</v>
      </c>
      <c r="H306" s="2">
        <v>0</v>
      </c>
      <c r="I306" s="2">
        <v>0</v>
      </c>
      <c r="J306" s="2">
        <v>0</v>
      </c>
      <c r="K306" s="6">
        <v>186</v>
      </c>
      <c r="L306" s="2">
        <v>0</v>
      </c>
      <c r="M306" s="2">
        <v>0</v>
      </c>
      <c r="N306" s="2">
        <v>0</v>
      </c>
      <c r="O306" s="2">
        <v>24.18</v>
      </c>
      <c r="P306" s="2">
        <v>210.18</v>
      </c>
      <c r="Q306" t="s">
        <v>465</v>
      </c>
      <c r="R306" t="s">
        <v>516</v>
      </c>
      <c r="S306" s="2">
        <v>0</v>
      </c>
      <c r="T306" s="2">
        <v>0</v>
      </c>
      <c r="U306" s="2"/>
    </row>
    <row r="307" spans="1:21" x14ac:dyDescent="0.25">
      <c r="A307" t="s">
        <v>480</v>
      </c>
      <c r="B307" t="s">
        <v>1204</v>
      </c>
      <c r="C307" t="s">
        <v>440</v>
      </c>
      <c r="D307" t="s">
        <v>0</v>
      </c>
      <c r="E307">
        <v>512556</v>
      </c>
      <c r="F307" t="s">
        <v>204</v>
      </c>
      <c r="G307" t="s">
        <v>205</v>
      </c>
      <c r="H307" s="2">
        <v>0.69000000000000006</v>
      </c>
      <c r="I307" s="2">
        <v>0</v>
      </c>
      <c r="J307" s="2">
        <v>0</v>
      </c>
      <c r="K307" s="6">
        <v>8.24</v>
      </c>
      <c r="L307" s="2">
        <v>0</v>
      </c>
      <c r="M307" s="2">
        <v>0</v>
      </c>
      <c r="N307" s="2">
        <v>0</v>
      </c>
      <c r="O307" s="2">
        <v>1.0712000000000002</v>
      </c>
      <c r="P307" s="2">
        <v>10.001200000000001</v>
      </c>
      <c r="Q307" t="s">
        <v>465</v>
      </c>
      <c r="R307" t="s">
        <v>516</v>
      </c>
      <c r="S307" s="2">
        <v>0</v>
      </c>
      <c r="T307" s="2">
        <v>0</v>
      </c>
      <c r="U307" s="2"/>
    </row>
    <row r="308" spans="1:21" x14ac:dyDescent="0.25">
      <c r="A308" t="s">
        <v>480</v>
      </c>
      <c r="B308" t="s">
        <v>1204</v>
      </c>
      <c r="C308" t="s">
        <v>440</v>
      </c>
      <c r="D308" t="s">
        <v>0</v>
      </c>
      <c r="E308">
        <v>330499</v>
      </c>
      <c r="F308" t="s">
        <v>350</v>
      </c>
      <c r="G308" t="s">
        <v>351</v>
      </c>
      <c r="H308" s="2">
        <v>0</v>
      </c>
      <c r="I308" s="2">
        <v>0</v>
      </c>
      <c r="J308" s="2">
        <v>0</v>
      </c>
      <c r="K308" s="6">
        <v>135.13</v>
      </c>
      <c r="L308" s="2">
        <v>0</v>
      </c>
      <c r="M308" s="2">
        <v>0</v>
      </c>
      <c r="N308" s="2">
        <v>0</v>
      </c>
      <c r="O308" s="2">
        <v>17.5669</v>
      </c>
      <c r="P308" s="2">
        <v>152.6969</v>
      </c>
      <c r="Q308" t="s">
        <v>465</v>
      </c>
      <c r="R308" t="s">
        <v>516</v>
      </c>
      <c r="S308" s="2" t="s">
        <v>1223</v>
      </c>
      <c r="T308" s="2">
        <v>1.35</v>
      </c>
      <c r="U308" s="2"/>
    </row>
    <row r="309" spans="1:21" x14ac:dyDescent="0.25">
      <c r="A309" t="s">
        <v>480</v>
      </c>
      <c r="B309" t="s">
        <v>1204</v>
      </c>
      <c r="C309" t="s">
        <v>440</v>
      </c>
      <c r="D309" t="s">
        <v>0</v>
      </c>
      <c r="E309">
        <v>3679</v>
      </c>
      <c r="F309" t="s">
        <v>143</v>
      </c>
      <c r="G309" t="s">
        <v>144</v>
      </c>
      <c r="H309" s="2">
        <v>0</v>
      </c>
      <c r="I309" s="2">
        <v>0</v>
      </c>
      <c r="J309" s="2">
        <v>0</v>
      </c>
      <c r="K309" s="6">
        <v>1170.4000000000001</v>
      </c>
      <c r="L309" s="2">
        <v>0</v>
      </c>
      <c r="M309" s="2">
        <v>0</v>
      </c>
      <c r="N309" s="2">
        <v>0</v>
      </c>
      <c r="O309" s="2">
        <v>152.15200000000002</v>
      </c>
      <c r="P309" s="2">
        <v>1322.5520000000001</v>
      </c>
      <c r="Q309" t="s">
        <v>465</v>
      </c>
      <c r="R309" t="s">
        <v>516</v>
      </c>
      <c r="S309" s="2" t="s">
        <v>1232</v>
      </c>
      <c r="T309" s="2">
        <v>11.7</v>
      </c>
      <c r="U309" s="2"/>
    </row>
    <row r="310" spans="1:21" x14ac:dyDescent="0.25">
      <c r="A310" t="s">
        <v>480</v>
      </c>
      <c r="B310" t="s">
        <v>1204</v>
      </c>
      <c r="C310" t="s">
        <v>440</v>
      </c>
      <c r="D310" t="s">
        <v>0</v>
      </c>
      <c r="E310">
        <v>12874</v>
      </c>
      <c r="F310" t="s">
        <v>331</v>
      </c>
      <c r="G310" t="s">
        <v>332</v>
      </c>
      <c r="H310" s="2">
        <v>0</v>
      </c>
      <c r="I310" s="2">
        <v>0</v>
      </c>
      <c r="J310" s="2">
        <v>0</v>
      </c>
      <c r="K310" s="6">
        <v>23.78</v>
      </c>
      <c r="L310" s="2">
        <v>0</v>
      </c>
      <c r="M310" s="2">
        <v>0</v>
      </c>
      <c r="N310" s="2">
        <v>0</v>
      </c>
      <c r="O310" s="2">
        <v>3.0914000000000001</v>
      </c>
      <c r="P310" s="2">
        <v>26.871400000000001</v>
      </c>
      <c r="Q310" t="s">
        <v>465</v>
      </c>
      <c r="R310" t="s">
        <v>516</v>
      </c>
      <c r="S310" s="2">
        <v>0</v>
      </c>
      <c r="T310" s="2">
        <v>0</v>
      </c>
      <c r="U310" s="2"/>
    </row>
    <row r="311" spans="1:21" x14ac:dyDescent="0.25">
      <c r="A311" t="s">
        <v>480</v>
      </c>
      <c r="B311" t="s">
        <v>1204</v>
      </c>
      <c r="C311" t="s">
        <v>440</v>
      </c>
      <c r="D311" t="s">
        <v>0</v>
      </c>
      <c r="E311">
        <v>6435</v>
      </c>
      <c r="F311" t="s">
        <v>419</v>
      </c>
      <c r="G311" t="s">
        <v>420</v>
      </c>
      <c r="H311" s="2">
        <v>0</v>
      </c>
      <c r="I311" s="2">
        <v>0</v>
      </c>
      <c r="J311" s="2">
        <v>0</v>
      </c>
      <c r="K311" s="6">
        <v>76.8</v>
      </c>
      <c r="L311" s="2">
        <v>0</v>
      </c>
      <c r="M311" s="2">
        <v>0</v>
      </c>
      <c r="N311" s="2">
        <v>0</v>
      </c>
      <c r="O311" s="2">
        <v>9.984</v>
      </c>
      <c r="P311" s="2">
        <v>86.783999999999992</v>
      </c>
      <c r="Q311" t="s">
        <v>465</v>
      </c>
      <c r="R311" t="s">
        <v>516</v>
      </c>
      <c r="S311" s="2">
        <v>0</v>
      </c>
      <c r="T311" s="2">
        <v>0</v>
      </c>
      <c r="U311" s="2"/>
    </row>
    <row r="312" spans="1:21" x14ac:dyDescent="0.25">
      <c r="A312" t="s">
        <v>480</v>
      </c>
      <c r="B312" t="s">
        <v>1205</v>
      </c>
      <c r="C312" t="s">
        <v>440</v>
      </c>
      <c r="D312" t="s">
        <v>0</v>
      </c>
      <c r="E312">
        <v>330426</v>
      </c>
      <c r="F312" t="s">
        <v>350</v>
      </c>
      <c r="G312" t="s">
        <v>351</v>
      </c>
      <c r="H312" s="2">
        <v>0</v>
      </c>
      <c r="I312" s="2">
        <v>0</v>
      </c>
      <c r="J312" s="2">
        <v>0</v>
      </c>
      <c r="K312" s="6">
        <v>672.22</v>
      </c>
      <c r="L312" s="2">
        <v>0</v>
      </c>
      <c r="M312" s="2">
        <v>0</v>
      </c>
      <c r="N312" s="2">
        <v>0</v>
      </c>
      <c r="O312" s="2">
        <v>87.388600000000011</v>
      </c>
      <c r="P312" s="2">
        <v>759.60860000000002</v>
      </c>
      <c r="Q312" t="s">
        <v>465</v>
      </c>
      <c r="R312" t="s">
        <v>516</v>
      </c>
      <c r="S312" s="2" t="s">
        <v>1223</v>
      </c>
      <c r="T312" s="2">
        <v>6.72</v>
      </c>
      <c r="U312" s="2"/>
    </row>
    <row r="313" spans="1:21" x14ac:dyDescent="0.25">
      <c r="A313" t="s">
        <v>480</v>
      </c>
      <c r="B313" t="s">
        <v>1206</v>
      </c>
      <c r="C313" t="s">
        <v>440</v>
      </c>
      <c r="D313" t="s">
        <v>0</v>
      </c>
      <c r="E313">
        <v>43335</v>
      </c>
      <c r="F313" t="s">
        <v>270</v>
      </c>
      <c r="G313" t="s">
        <v>271</v>
      </c>
      <c r="H313" s="2">
        <v>2.2080000000000002</v>
      </c>
      <c r="I313" s="2">
        <v>0</v>
      </c>
      <c r="J313" s="2">
        <v>0</v>
      </c>
      <c r="K313" s="6">
        <v>24.6</v>
      </c>
      <c r="L313" s="2">
        <v>0</v>
      </c>
      <c r="M313" s="2">
        <v>0</v>
      </c>
      <c r="N313" s="2">
        <v>0</v>
      </c>
      <c r="O313" s="2">
        <v>3.1980000000000004</v>
      </c>
      <c r="P313" s="2">
        <v>30.006</v>
      </c>
      <c r="Q313" t="s">
        <v>465</v>
      </c>
      <c r="R313" t="s">
        <v>516</v>
      </c>
      <c r="S313" s="2">
        <v>0</v>
      </c>
      <c r="T313" s="2">
        <v>0</v>
      </c>
      <c r="U313" s="2"/>
    </row>
    <row r="314" spans="1:21" x14ac:dyDescent="0.25">
      <c r="A314" t="s">
        <v>480</v>
      </c>
      <c r="B314" t="s">
        <v>1206</v>
      </c>
      <c r="C314" t="s">
        <v>440</v>
      </c>
      <c r="D314" t="s">
        <v>0</v>
      </c>
      <c r="E314">
        <v>512063</v>
      </c>
      <c r="F314" t="s">
        <v>204</v>
      </c>
      <c r="G314" t="s">
        <v>205</v>
      </c>
      <c r="H314" s="2">
        <v>2.64</v>
      </c>
      <c r="I314" s="2">
        <v>0</v>
      </c>
      <c r="J314" s="2">
        <v>0</v>
      </c>
      <c r="K314" s="6">
        <v>29.52</v>
      </c>
      <c r="L314" s="2">
        <v>0</v>
      </c>
      <c r="M314" s="2">
        <v>0</v>
      </c>
      <c r="N314" s="2">
        <v>0</v>
      </c>
      <c r="O314" s="2">
        <v>3.8376000000000001</v>
      </c>
      <c r="P314" s="2">
        <v>35.997599999999998</v>
      </c>
      <c r="Q314" t="s">
        <v>465</v>
      </c>
      <c r="R314" t="s">
        <v>516</v>
      </c>
      <c r="S314" s="2">
        <v>0</v>
      </c>
      <c r="T314" s="2">
        <v>0</v>
      </c>
      <c r="U314" s="2"/>
    </row>
    <row r="315" spans="1:21" x14ac:dyDescent="0.25">
      <c r="A315" t="s">
        <v>480</v>
      </c>
      <c r="B315" t="s">
        <v>1206</v>
      </c>
      <c r="C315" t="s">
        <v>440</v>
      </c>
      <c r="D315" t="s">
        <v>0</v>
      </c>
      <c r="E315">
        <v>968</v>
      </c>
      <c r="F315" t="s">
        <v>158</v>
      </c>
      <c r="G315" t="s">
        <v>1231</v>
      </c>
      <c r="H315" s="2">
        <v>0</v>
      </c>
      <c r="I315" s="2">
        <v>0</v>
      </c>
      <c r="J315" s="2">
        <v>0</v>
      </c>
      <c r="K315" s="6">
        <v>181.2</v>
      </c>
      <c r="L315" s="2">
        <v>0</v>
      </c>
      <c r="M315" s="2">
        <v>0</v>
      </c>
      <c r="N315" s="2">
        <v>0</v>
      </c>
      <c r="O315" s="2">
        <v>23.556000000000001</v>
      </c>
      <c r="P315" s="2">
        <v>204.756</v>
      </c>
      <c r="Q315" t="s">
        <v>465</v>
      </c>
      <c r="R315" t="s">
        <v>516</v>
      </c>
      <c r="S315" s="2">
        <v>0</v>
      </c>
      <c r="T315" s="2">
        <v>0</v>
      </c>
      <c r="U315" s="2"/>
    </row>
    <row r="316" spans="1:21" x14ac:dyDescent="0.25">
      <c r="A316" t="s">
        <v>480</v>
      </c>
      <c r="B316" t="s">
        <v>1206</v>
      </c>
      <c r="C316" t="s">
        <v>440</v>
      </c>
      <c r="D316" t="s">
        <v>0</v>
      </c>
      <c r="E316">
        <v>222639</v>
      </c>
      <c r="F316" t="s">
        <v>173</v>
      </c>
      <c r="G316" t="s">
        <v>174</v>
      </c>
      <c r="H316" s="2">
        <v>2.04</v>
      </c>
      <c r="I316" s="2">
        <v>0</v>
      </c>
      <c r="J316" s="2">
        <v>0</v>
      </c>
      <c r="K316" s="6">
        <v>24.74</v>
      </c>
      <c r="L316" s="2">
        <v>0</v>
      </c>
      <c r="M316" s="2">
        <v>0</v>
      </c>
      <c r="N316" s="2">
        <v>0</v>
      </c>
      <c r="O316" s="2">
        <v>3.2161999999999997</v>
      </c>
      <c r="P316" s="2">
        <v>29.996199999999998</v>
      </c>
      <c r="Q316" t="s">
        <v>465</v>
      </c>
      <c r="R316" t="s">
        <v>516</v>
      </c>
      <c r="S316" s="2">
        <v>0</v>
      </c>
      <c r="T316" s="2">
        <v>0</v>
      </c>
      <c r="U316" s="2"/>
    </row>
    <row r="317" spans="1:21" x14ac:dyDescent="0.25">
      <c r="A317" t="s">
        <v>480</v>
      </c>
      <c r="B317" t="s">
        <v>1207</v>
      </c>
      <c r="C317" t="s">
        <v>440</v>
      </c>
      <c r="D317" t="s">
        <v>0</v>
      </c>
      <c r="E317">
        <v>4634</v>
      </c>
      <c r="F317" t="s">
        <v>1039</v>
      </c>
      <c r="G317" t="s">
        <v>1040</v>
      </c>
      <c r="H317" s="2">
        <v>0</v>
      </c>
      <c r="I317" s="2">
        <v>0</v>
      </c>
      <c r="J317" s="2">
        <v>0</v>
      </c>
      <c r="K317" s="6">
        <v>83.62</v>
      </c>
      <c r="L317" s="2">
        <v>0</v>
      </c>
      <c r="M317" s="2">
        <v>0</v>
      </c>
      <c r="N317" s="2">
        <v>0</v>
      </c>
      <c r="O317" s="2">
        <v>10.870600000000001</v>
      </c>
      <c r="P317" s="2">
        <v>94.490600000000001</v>
      </c>
      <c r="Q317" t="s">
        <v>465</v>
      </c>
      <c r="R317" t="s">
        <v>516</v>
      </c>
      <c r="S317" s="2">
        <v>0</v>
      </c>
      <c r="T317" s="2">
        <v>0</v>
      </c>
      <c r="U317" s="2"/>
    </row>
    <row r="318" spans="1:21" x14ac:dyDescent="0.25">
      <c r="A318" t="s">
        <v>480</v>
      </c>
      <c r="B318" t="s">
        <v>1207</v>
      </c>
      <c r="C318" t="s">
        <v>440</v>
      </c>
      <c r="D318" t="s">
        <v>0</v>
      </c>
      <c r="E318">
        <v>121372</v>
      </c>
      <c r="F318" t="s">
        <v>339</v>
      </c>
      <c r="G318" t="s">
        <v>340</v>
      </c>
      <c r="H318" s="2">
        <v>2.0100000000000002</v>
      </c>
      <c r="I318" s="2">
        <v>0</v>
      </c>
      <c r="J318" s="2">
        <v>0</v>
      </c>
      <c r="K318" s="6">
        <v>24.77</v>
      </c>
      <c r="L318" s="2">
        <v>0</v>
      </c>
      <c r="M318" s="2">
        <v>0</v>
      </c>
      <c r="N318" s="2">
        <v>0</v>
      </c>
      <c r="O318" s="2">
        <v>3.2201</v>
      </c>
      <c r="P318" s="2">
        <v>30.0001</v>
      </c>
      <c r="Q318" t="s">
        <v>465</v>
      </c>
      <c r="R318" t="s">
        <v>516</v>
      </c>
      <c r="S318" s="2">
        <v>0</v>
      </c>
      <c r="T318" s="2">
        <v>0</v>
      </c>
      <c r="U318" s="2"/>
    </row>
    <row r="319" spans="1:21" x14ac:dyDescent="0.25">
      <c r="A319" t="s">
        <v>480</v>
      </c>
      <c r="B319" t="s">
        <v>1207</v>
      </c>
      <c r="C319" t="s">
        <v>440</v>
      </c>
      <c r="D319" t="s">
        <v>0</v>
      </c>
      <c r="E319">
        <v>102836</v>
      </c>
      <c r="F319" t="s">
        <v>399</v>
      </c>
      <c r="G319" t="s">
        <v>400</v>
      </c>
      <c r="H319" s="2">
        <v>0</v>
      </c>
      <c r="I319" s="2">
        <v>0</v>
      </c>
      <c r="J319" s="2">
        <v>0</v>
      </c>
      <c r="K319" s="6">
        <v>99.79</v>
      </c>
      <c r="L319" s="2">
        <v>0</v>
      </c>
      <c r="M319" s="2">
        <v>0</v>
      </c>
      <c r="N319" s="2">
        <v>0</v>
      </c>
      <c r="O319" s="2">
        <v>12.972700000000001</v>
      </c>
      <c r="P319" s="2">
        <v>112.76270000000001</v>
      </c>
      <c r="Q319" t="s">
        <v>465</v>
      </c>
      <c r="R319" t="s">
        <v>516</v>
      </c>
      <c r="S319" s="2">
        <v>0</v>
      </c>
      <c r="T319" s="2">
        <v>0</v>
      </c>
      <c r="U319" s="2"/>
    </row>
    <row r="320" spans="1:21" x14ac:dyDescent="0.25">
      <c r="A320" t="s">
        <v>480</v>
      </c>
      <c r="B320" t="s">
        <v>1207</v>
      </c>
      <c r="C320" t="s">
        <v>440</v>
      </c>
      <c r="D320" t="s">
        <v>0</v>
      </c>
      <c r="E320">
        <v>210649</v>
      </c>
      <c r="F320" t="s">
        <v>256</v>
      </c>
      <c r="G320" t="s">
        <v>257</v>
      </c>
      <c r="H320" s="2">
        <v>0</v>
      </c>
      <c r="I320" s="2">
        <v>0</v>
      </c>
      <c r="J320" s="2">
        <v>0</v>
      </c>
      <c r="K320" s="6">
        <v>446.37</v>
      </c>
      <c r="L320" s="2">
        <v>0</v>
      </c>
      <c r="M320" s="2">
        <v>0</v>
      </c>
      <c r="N320" s="2">
        <v>0</v>
      </c>
      <c r="O320" s="2">
        <v>58.028100000000002</v>
      </c>
      <c r="P320" s="2">
        <v>504.3981</v>
      </c>
      <c r="Q320" t="s">
        <v>465</v>
      </c>
      <c r="R320" t="s">
        <v>516</v>
      </c>
      <c r="S320" s="2">
        <v>0</v>
      </c>
      <c r="T320" s="2">
        <v>0</v>
      </c>
      <c r="U320" s="2"/>
    </row>
    <row r="321" spans="1:21" x14ac:dyDescent="0.25">
      <c r="A321" t="s">
        <v>480</v>
      </c>
      <c r="B321" t="s">
        <v>1207</v>
      </c>
      <c r="C321" t="s">
        <v>440</v>
      </c>
      <c r="D321" t="s">
        <v>0</v>
      </c>
      <c r="E321">
        <v>8153</v>
      </c>
      <c r="F321" t="s">
        <v>364</v>
      </c>
      <c r="G321" t="s">
        <v>365</v>
      </c>
      <c r="H321" s="2">
        <v>0</v>
      </c>
      <c r="I321" s="2">
        <v>0</v>
      </c>
      <c r="J321" s="2">
        <v>0</v>
      </c>
      <c r="K321" s="6">
        <v>369.6</v>
      </c>
      <c r="L321" s="2">
        <v>0</v>
      </c>
      <c r="M321" s="2">
        <v>0</v>
      </c>
      <c r="N321" s="2">
        <v>0</v>
      </c>
      <c r="O321" s="2">
        <v>48.048000000000002</v>
      </c>
      <c r="P321" s="2">
        <v>417.64800000000002</v>
      </c>
      <c r="Q321" t="s">
        <v>465</v>
      </c>
      <c r="R321" t="s">
        <v>516</v>
      </c>
      <c r="S321" s="2" t="s">
        <v>1226</v>
      </c>
      <c r="T321" s="2">
        <v>3.7</v>
      </c>
      <c r="U321" s="2"/>
    </row>
    <row r="322" spans="1:21" x14ac:dyDescent="0.25">
      <c r="A322" t="s">
        <v>480</v>
      </c>
      <c r="B322" t="s">
        <v>1207</v>
      </c>
      <c r="C322" t="s">
        <v>440</v>
      </c>
      <c r="D322" t="s">
        <v>0</v>
      </c>
      <c r="E322">
        <v>3564</v>
      </c>
      <c r="F322" t="s">
        <v>143</v>
      </c>
      <c r="G322" t="s">
        <v>144</v>
      </c>
      <c r="H322" s="2">
        <v>0</v>
      </c>
      <c r="I322" s="2">
        <v>0</v>
      </c>
      <c r="J322" s="2">
        <v>0</v>
      </c>
      <c r="K322" s="6">
        <v>2652.4</v>
      </c>
      <c r="L322" s="2">
        <v>0</v>
      </c>
      <c r="M322" s="2">
        <v>0</v>
      </c>
      <c r="N322" s="2">
        <v>0</v>
      </c>
      <c r="O322" s="2">
        <v>344.81200000000001</v>
      </c>
      <c r="P322" s="2">
        <v>2997.212</v>
      </c>
      <c r="Q322" t="s">
        <v>465</v>
      </c>
      <c r="R322" t="s">
        <v>516</v>
      </c>
      <c r="S322" s="2" t="s">
        <v>520</v>
      </c>
      <c r="T322" s="2">
        <v>26.52</v>
      </c>
      <c r="U322" s="2"/>
    </row>
    <row r="323" spans="1:21" x14ac:dyDescent="0.25">
      <c r="A323" t="s">
        <v>480</v>
      </c>
      <c r="B323" t="s">
        <v>1207</v>
      </c>
      <c r="C323" t="s">
        <v>440</v>
      </c>
      <c r="D323" t="s">
        <v>0</v>
      </c>
      <c r="E323">
        <v>12824</v>
      </c>
      <c r="F323" t="s">
        <v>370</v>
      </c>
      <c r="G323" t="s">
        <v>371</v>
      </c>
      <c r="H323" s="2">
        <v>0</v>
      </c>
      <c r="I323" s="2">
        <v>0</v>
      </c>
      <c r="J323" s="2">
        <v>0</v>
      </c>
      <c r="K323" s="6">
        <v>52.8</v>
      </c>
      <c r="L323" s="2">
        <v>0</v>
      </c>
      <c r="M323" s="2">
        <v>0</v>
      </c>
      <c r="N323" s="2">
        <v>0</v>
      </c>
      <c r="O323" s="2">
        <v>6.8639999999999999</v>
      </c>
      <c r="P323" s="2">
        <v>59.663999999999994</v>
      </c>
      <c r="Q323" t="s">
        <v>465</v>
      </c>
      <c r="R323" t="s">
        <v>516</v>
      </c>
      <c r="S323" s="2">
        <v>0</v>
      </c>
      <c r="T323" s="2">
        <v>0</v>
      </c>
      <c r="U323" s="2"/>
    </row>
    <row r="324" spans="1:21" x14ac:dyDescent="0.25">
      <c r="A324" t="s">
        <v>480</v>
      </c>
      <c r="B324" t="s">
        <v>1208</v>
      </c>
      <c r="C324" t="s">
        <v>440</v>
      </c>
      <c r="D324" t="s">
        <v>0</v>
      </c>
      <c r="E324">
        <v>958</v>
      </c>
      <c r="F324" t="s">
        <v>158</v>
      </c>
      <c r="G324" t="s">
        <v>1231</v>
      </c>
      <c r="H324" s="2">
        <v>0</v>
      </c>
      <c r="I324" s="2">
        <v>0</v>
      </c>
      <c r="J324" s="2">
        <v>0</v>
      </c>
      <c r="K324" s="6">
        <v>35.25</v>
      </c>
      <c r="L324" s="2">
        <v>0</v>
      </c>
      <c r="M324" s="2">
        <v>0</v>
      </c>
      <c r="N324" s="2">
        <v>0</v>
      </c>
      <c r="O324" s="2">
        <v>4.5825000000000005</v>
      </c>
      <c r="P324" s="2">
        <v>39.832500000000003</v>
      </c>
      <c r="Q324" t="s">
        <v>465</v>
      </c>
      <c r="R324" t="s">
        <v>516</v>
      </c>
      <c r="S324" s="2">
        <v>0</v>
      </c>
      <c r="T324" s="2">
        <v>0</v>
      </c>
      <c r="U324" s="2"/>
    </row>
    <row r="325" spans="1:21" x14ac:dyDescent="0.25">
      <c r="A325" t="s">
        <v>480</v>
      </c>
      <c r="B325" t="s">
        <v>1208</v>
      </c>
      <c r="C325" t="s">
        <v>440</v>
      </c>
      <c r="D325" t="s">
        <v>0</v>
      </c>
      <c r="E325">
        <v>961</v>
      </c>
      <c r="F325" t="s">
        <v>158</v>
      </c>
      <c r="G325" t="s">
        <v>1231</v>
      </c>
      <c r="H325" s="2">
        <v>0</v>
      </c>
      <c r="I325" s="2">
        <v>0</v>
      </c>
      <c r="J325" s="2">
        <v>0</v>
      </c>
      <c r="K325" s="6">
        <v>35.25</v>
      </c>
      <c r="L325" s="2">
        <v>0</v>
      </c>
      <c r="M325" s="2">
        <v>0</v>
      </c>
      <c r="N325" s="2">
        <v>0</v>
      </c>
      <c r="O325" s="2">
        <v>4.5825000000000005</v>
      </c>
      <c r="P325" s="2">
        <v>39.832500000000003</v>
      </c>
      <c r="Q325" t="s">
        <v>465</v>
      </c>
      <c r="R325" t="s">
        <v>516</v>
      </c>
      <c r="S325" s="2">
        <v>0</v>
      </c>
      <c r="T325" s="2">
        <v>0</v>
      </c>
      <c r="U325" s="2"/>
    </row>
    <row r="326" spans="1:21" x14ac:dyDescent="0.25">
      <c r="A326" t="s">
        <v>480</v>
      </c>
      <c r="B326" t="s">
        <v>1208</v>
      </c>
      <c r="C326" t="s">
        <v>440</v>
      </c>
      <c r="D326" t="s">
        <v>0</v>
      </c>
      <c r="E326">
        <v>584099</v>
      </c>
      <c r="F326" t="s">
        <v>204</v>
      </c>
      <c r="G326" t="s">
        <v>205</v>
      </c>
      <c r="H326" s="2">
        <v>1.1000000000000001</v>
      </c>
      <c r="I326" s="2">
        <v>0</v>
      </c>
      <c r="J326" s="2">
        <v>0</v>
      </c>
      <c r="K326" s="6">
        <v>12.3</v>
      </c>
      <c r="L326" s="2">
        <v>0</v>
      </c>
      <c r="M326" s="2">
        <v>0</v>
      </c>
      <c r="N326" s="2">
        <v>0</v>
      </c>
      <c r="O326" s="2">
        <v>1.5990000000000002</v>
      </c>
      <c r="P326" s="2">
        <v>14.999000000000001</v>
      </c>
      <c r="Q326" t="s">
        <v>465</v>
      </c>
      <c r="R326" t="s">
        <v>516</v>
      </c>
      <c r="S326" s="2">
        <v>0</v>
      </c>
      <c r="T326" s="2">
        <v>0</v>
      </c>
      <c r="U326" s="2"/>
    </row>
    <row r="327" spans="1:21" x14ac:dyDescent="0.25">
      <c r="A327" t="s">
        <v>480</v>
      </c>
      <c r="B327" t="s">
        <v>1208</v>
      </c>
      <c r="C327" t="s">
        <v>440</v>
      </c>
      <c r="D327" t="s">
        <v>0</v>
      </c>
      <c r="E327">
        <v>17940</v>
      </c>
      <c r="F327" t="s">
        <v>260</v>
      </c>
      <c r="G327" t="s">
        <v>261</v>
      </c>
      <c r="H327" s="2">
        <v>1.92</v>
      </c>
      <c r="I327" s="2">
        <v>0</v>
      </c>
      <c r="J327" s="2">
        <v>0</v>
      </c>
      <c r="K327" s="6">
        <v>24.85</v>
      </c>
      <c r="L327" s="2">
        <v>0</v>
      </c>
      <c r="M327" s="2">
        <v>0</v>
      </c>
      <c r="N327" s="2">
        <v>0</v>
      </c>
      <c r="O327" s="2">
        <v>3.2305000000000001</v>
      </c>
      <c r="P327" s="2">
        <v>30.000500000000002</v>
      </c>
      <c r="Q327" t="s">
        <v>465</v>
      </c>
      <c r="R327" t="s">
        <v>516</v>
      </c>
      <c r="S327" s="2">
        <v>0</v>
      </c>
      <c r="T327" s="2">
        <v>0</v>
      </c>
      <c r="U327" s="2"/>
    </row>
    <row r="328" spans="1:21" x14ac:dyDescent="0.25">
      <c r="A328" t="s">
        <v>480</v>
      </c>
      <c r="B328" t="s">
        <v>1230</v>
      </c>
      <c r="C328" t="s">
        <v>440</v>
      </c>
      <c r="D328" t="s">
        <v>0</v>
      </c>
      <c r="E328">
        <v>22214</v>
      </c>
      <c r="F328" t="s">
        <v>317</v>
      </c>
      <c r="G328" t="s">
        <v>318</v>
      </c>
      <c r="H328" s="2">
        <v>0</v>
      </c>
      <c r="I328" s="2">
        <v>0</v>
      </c>
      <c r="J328" s="2">
        <v>0</v>
      </c>
      <c r="K328" s="6">
        <v>504.44</v>
      </c>
      <c r="L328" s="2">
        <v>0</v>
      </c>
      <c r="M328" s="2">
        <v>0</v>
      </c>
      <c r="N328" s="2">
        <v>0</v>
      </c>
      <c r="O328" s="2">
        <v>65.577200000000005</v>
      </c>
      <c r="P328" s="2">
        <v>570.0172</v>
      </c>
      <c r="Q328" t="s">
        <v>465</v>
      </c>
      <c r="R328" t="s">
        <v>516</v>
      </c>
      <c r="S328" s="2" t="s">
        <v>1223</v>
      </c>
      <c r="T328" s="2">
        <v>5.04</v>
      </c>
      <c r="U328" s="2"/>
    </row>
    <row r="329" spans="1:21" x14ac:dyDescent="0.25">
      <c r="A329" t="s">
        <v>480</v>
      </c>
      <c r="B329" t="s">
        <v>1230</v>
      </c>
      <c r="C329" t="s">
        <v>440</v>
      </c>
      <c r="D329" t="s">
        <v>0</v>
      </c>
      <c r="E329">
        <v>840</v>
      </c>
      <c r="F329" t="s">
        <v>185</v>
      </c>
      <c r="G329" t="s">
        <v>186</v>
      </c>
      <c r="H329" s="2">
        <v>0</v>
      </c>
      <c r="I329" s="2">
        <v>0</v>
      </c>
      <c r="J329" s="2">
        <v>0</v>
      </c>
      <c r="K329" s="6">
        <v>1535.4</v>
      </c>
      <c r="L329" s="2">
        <v>0</v>
      </c>
      <c r="M329" s="2">
        <v>0</v>
      </c>
      <c r="N329" s="2">
        <v>0</v>
      </c>
      <c r="O329" s="2">
        <v>199.60200000000003</v>
      </c>
      <c r="P329" s="2">
        <v>1735.0020000000002</v>
      </c>
      <c r="Q329" t="s">
        <v>465</v>
      </c>
      <c r="R329" t="s">
        <v>516</v>
      </c>
      <c r="S329" s="2" t="s">
        <v>1226</v>
      </c>
      <c r="T329" s="2">
        <v>15.35</v>
      </c>
      <c r="U329" s="2"/>
    </row>
    <row r="330" spans="1:21" x14ac:dyDescent="0.25">
      <c r="A330" t="s">
        <v>480</v>
      </c>
      <c r="B330" t="s">
        <v>1230</v>
      </c>
      <c r="C330" t="s">
        <v>440</v>
      </c>
      <c r="D330" t="s">
        <v>0</v>
      </c>
      <c r="E330">
        <v>2559</v>
      </c>
      <c r="F330" t="s">
        <v>1037</v>
      </c>
      <c r="G330" t="s">
        <v>1038</v>
      </c>
      <c r="H330" s="2">
        <v>0</v>
      </c>
      <c r="I330" s="2">
        <v>0</v>
      </c>
      <c r="J330" s="2">
        <v>0</v>
      </c>
      <c r="K330" s="6">
        <v>114.4</v>
      </c>
      <c r="L330" s="2">
        <v>0</v>
      </c>
      <c r="M330" s="2">
        <v>0</v>
      </c>
      <c r="N330" s="2">
        <v>0</v>
      </c>
      <c r="O330" s="2">
        <v>14.872000000000002</v>
      </c>
      <c r="P330" s="2">
        <v>129.27200000000002</v>
      </c>
      <c r="Q330" t="s">
        <v>465</v>
      </c>
      <c r="R330" t="s">
        <v>516</v>
      </c>
      <c r="S330" s="2">
        <v>0</v>
      </c>
      <c r="T330" s="2">
        <v>0</v>
      </c>
      <c r="U330" s="2"/>
    </row>
    <row r="331" spans="1:21" x14ac:dyDescent="0.25">
      <c r="A331" t="s">
        <v>480</v>
      </c>
      <c r="B331" t="s">
        <v>1229</v>
      </c>
      <c r="C331" t="s">
        <v>440</v>
      </c>
      <c r="D331" t="s">
        <v>0</v>
      </c>
      <c r="E331">
        <v>4470</v>
      </c>
      <c r="F331" t="s">
        <v>303</v>
      </c>
      <c r="G331" t="s">
        <v>304</v>
      </c>
      <c r="H331" s="2">
        <v>0</v>
      </c>
      <c r="I331" s="2">
        <v>0</v>
      </c>
      <c r="J331" s="2">
        <v>0</v>
      </c>
      <c r="K331" s="6">
        <v>25.61</v>
      </c>
      <c r="L331" s="2">
        <v>0</v>
      </c>
      <c r="M331" s="2">
        <v>0</v>
      </c>
      <c r="N331" s="2">
        <v>0</v>
      </c>
      <c r="O331" s="2">
        <v>3.3292999999999999</v>
      </c>
      <c r="P331" s="2">
        <v>28.939299999999999</v>
      </c>
      <c r="Q331" t="s">
        <v>465</v>
      </c>
      <c r="R331" t="s">
        <v>516</v>
      </c>
      <c r="S331" s="2">
        <v>0</v>
      </c>
      <c r="T331" s="2">
        <v>0</v>
      </c>
      <c r="U331" s="2"/>
    </row>
    <row r="332" spans="1:21" x14ac:dyDescent="0.25">
      <c r="A332" t="s">
        <v>480</v>
      </c>
      <c r="B332" t="s">
        <v>1229</v>
      </c>
      <c r="C332" t="s">
        <v>440</v>
      </c>
      <c r="D332" t="s">
        <v>0</v>
      </c>
      <c r="E332">
        <v>613</v>
      </c>
      <c r="F332" t="s">
        <v>327</v>
      </c>
      <c r="G332" t="s">
        <v>328</v>
      </c>
      <c r="H332" s="2">
        <v>2.79</v>
      </c>
      <c r="I332" s="2">
        <v>0</v>
      </c>
      <c r="J332" s="2">
        <v>0</v>
      </c>
      <c r="K332" s="6">
        <v>31.16</v>
      </c>
      <c r="L332" s="2">
        <v>0</v>
      </c>
      <c r="M332" s="2">
        <v>0</v>
      </c>
      <c r="N332" s="2">
        <v>0</v>
      </c>
      <c r="O332" s="2">
        <v>4.0507999999999997</v>
      </c>
      <c r="P332" s="2">
        <v>38.000800000000005</v>
      </c>
      <c r="Q332" t="s">
        <v>465</v>
      </c>
      <c r="R332" t="s">
        <v>516</v>
      </c>
      <c r="S332" s="2">
        <v>0</v>
      </c>
      <c r="T332" s="2">
        <v>0</v>
      </c>
      <c r="U332" s="2"/>
    </row>
    <row r="333" spans="1:21" x14ac:dyDescent="0.25">
      <c r="A333" t="s">
        <v>480</v>
      </c>
      <c r="B333" t="s">
        <v>1210</v>
      </c>
      <c r="C333" t="s">
        <v>440</v>
      </c>
      <c r="D333" t="s">
        <v>0</v>
      </c>
      <c r="E333">
        <v>98806108</v>
      </c>
      <c r="F333" t="s">
        <v>385</v>
      </c>
      <c r="G333" t="s">
        <v>386</v>
      </c>
      <c r="H333" s="2">
        <v>0</v>
      </c>
      <c r="I333" s="2">
        <v>0</v>
      </c>
      <c r="J333" s="2">
        <v>0</v>
      </c>
      <c r="K333" s="6">
        <v>69.81</v>
      </c>
      <c r="L333" s="2">
        <v>0</v>
      </c>
      <c r="M333" s="2">
        <v>0</v>
      </c>
      <c r="N333" s="2">
        <v>0</v>
      </c>
      <c r="O333" s="2">
        <v>9.0753000000000004</v>
      </c>
      <c r="P333" s="2">
        <v>78.885300000000001</v>
      </c>
      <c r="Q333" t="s">
        <v>465</v>
      </c>
      <c r="R333" t="s">
        <v>516</v>
      </c>
      <c r="S333" s="2">
        <v>0</v>
      </c>
      <c r="T333" s="2">
        <v>0</v>
      </c>
      <c r="U333" s="2"/>
    </row>
    <row r="334" spans="1:21" x14ac:dyDescent="0.25">
      <c r="A334" t="s">
        <v>480</v>
      </c>
      <c r="B334" t="s">
        <v>1210</v>
      </c>
      <c r="C334" t="s">
        <v>440</v>
      </c>
      <c r="D334" t="s">
        <v>0</v>
      </c>
      <c r="E334">
        <v>102792</v>
      </c>
      <c r="F334" t="s">
        <v>399</v>
      </c>
      <c r="G334" t="s">
        <v>400</v>
      </c>
      <c r="H334" s="2">
        <v>0</v>
      </c>
      <c r="I334" s="2">
        <v>0</v>
      </c>
      <c r="J334" s="2">
        <v>0</v>
      </c>
      <c r="K334" s="6">
        <v>226</v>
      </c>
      <c r="L334" s="2">
        <v>0</v>
      </c>
      <c r="M334" s="2">
        <v>0</v>
      </c>
      <c r="N334" s="2">
        <v>0</v>
      </c>
      <c r="O334" s="2">
        <v>29.380000000000003</v>
      </c>
      <c r="P334" s="2">
        <v>255.38</v>
      </c>
      <c r="Q334" t="s">
        <v>465</v>
      </c>
      <c r="R334" t="s">
        <v>516</v>
      </c>
      <c r="S334" s="2">
        <v>0</v>
      </c>
      <c r="T334" s="2">
        <v>0</v>
      </c>
      <c r="U334" s="2"/>
    </row>
    <row r="335" spans="1:21" x14ac:dyDescent="0.25">
      <c r="A335" t="s">
        <v>480</v>
      </c>
      <c r="B335" t="s">
        <v>1210</v>
      </c>
      <c r="C335" t="s">
        <v>440</v>
      </c>
      <c r="D335" t="s">
        <v>0</v>
      </c>
      <c r="E335">
        <v>210435</v>
      </c>
      <c r="F335" t="s">
        <v>256</v>
      </c>
      <c r="G335" t="s">
        <v>257</v>
      </c>
      <c r="H335" s="2">
        <v>0</v>
      </c>
      <c r="I335" s="2">
        <v>0</v>
      </c>
      <c r="J335" s="2">
        <v>0</v>
      </c>
      <c r="K335" s="6">
        <v>347.65</v>
      </c>
      <c r="L335" s="2">
        <v>0</v>
      </c>
      <c r="M335" s="2">
        <v>0</v>
      </c>
      <c r="N335" s="2">
        <v>0</v>
      </c>
      <c r="O335" s="2">
        <v>45.194499999999998</v>
      </c>
      <c r="P335" s="2">
        <v>392.84449999999998</v>
      </c>
      <c r="Q335" t="s">
        <v>465</v>
      </c>
      <c r="R335" t="s">
        <v>516</v>
      </c>
      <c r="S335" s="2" t="s">
        <v>518</v>
      </c>
      <c r="T335" s="2">
        <v>3.48</v>
      </c>
      <c r="U335" s="2"/>
    </row>
    <row r="336" spans="1:21" x14ac:dyDescent="0.25">
      <c r="A336" t="s">
        <v>480</v>
      </c>
      <c r="B336" t="s">
        <v>1211</v>
      </c>
      <c r="C336" t="s">
        <v>440</v>
      </c>
      <c r="D336" t="s">
        <v>0</v>
      </c>
      <c r="E336">
        <v>214</v>
      </c>
      <c r="F336" t="s">
        <v>1227</v>
      </c>
      <c r="G336" t="s">
        <v>1228</v>
      </c>
      <c r="H336" s="2">
        <v>0</v>
      </c>
      <c r="I336" s="2">
        <v>0</v>
      </c>
      <c r="J336" s="2">
        <v>0</v>
      </c>
      <c r="K336" s="6">
        <v>115.04</v>
      </c>
      <c r="L336" s="2">
        <v>0</v>
      </c>
      <c r="M336" s="2">
        <v>0</v>
      </c>
      <c r="N336" s="2">
        <v>0</v>
      </c>
      <c r="O336" s="2">
        <v>14.955200000000001</v>
      </c>
      <c r="P336" s="2">
        <v>129.99520000000001</v>
      </c>
      <c r="Q336" t="s">
        <v>465</v>
      </c>
      <c r="R336" t="s">
        <v>516</v>
      </c>
      <c r="S336" s="2">
        <v>0</v>
      </c>
      <c r="T336" s="2">
        <v>0</v>
      </c>
      <c r="U336" s="2"/>
    </row>
    <row r="337" spans="1:21" x14ac:dyDescent="0.25">
      <c r="A337" t="s">
        <v>480</v>
      </c>
      <c r="B337" t="s">
        <v>1211</v>
      </c>
      <c r="C337" t="s">
        <v>440</v>
      </c>
      <c r="D337" t="s">
        <v>0</v>
      </c>
      <c r="E337">
        <v>48066</v>
      </c>
      <c r="F337" t="s">
        <v>327</v>
      </c>
      <c r="G337" t="s">
        <v>328</v>
      </c>
      <c r="H337" s="2">
        <v>2.29</v>
      </c>
      <c r="I337" s="2">
        <v>0</v>
      </c>
      <c r="J337" s="2">
        <v>0</v>
      </c>
      <c r="K337" s="6">
        <v>24.51</v>
      </c>
      <c r="L337" s="2">
        <v>0</v>
      </c>
      <c r="M337" s="2">
        <v>0</v>
      </c>
      <c r="N337" s="2">
        <v>0</v>
      </c>
      <c r="O337" s="2">
        <v>3.1863000000000001</v>
      </c>
      <c r="P337" s="2">
        <v>29.9863</v>
      </c>
      <c r="Q337" t="s">
        <v>465</v>
      </c>
      <c r="R337" t="s">
        <v>516</v>
      </c>
      <c r="S337" s="2">
        <v>0</v>
      </c>
      <c r="T337" s="2">
        <v>0</v>
      </c>
      <c r="U337" s="2"/>
    </row>
    <row r="338" spans="1:21" x14ac:dyDescent="0.25">
      <c r="A338" t="s">
        <v>480</v>
      </c>
      <c r="B338" t="s">
        <v>1211</v>
      </c>
      <c r="C338" t="s">
        <v>440</v>
      </c>
      <c r="D338" t="s">
        <v>0</v>
      </c>
      <c r="E338">
        <v>511066</v>
      </c>
      <c r="F338" t="s">
        <v>204</v>
      </c>
      <c r="G338" t="s">
        <v>205</v>
      </c>
      <c r="H338" s="2">
        <v>4.8100000000000005</v>
      </c>
      <c r="I338" s="2">
        <v>0</v>
      </c>
      <c r="J338" s="2">
        <v>0</v>
      </c>
      <c r="K338" s="6">
        <v>62.12</v>
      </c>
      <c r="L338" s="2">
        <v>0</v>
      </c>
      <c r="M338" s="2">
        <v>0</v>
      </c>
      <c r="N338" s="2">
        <v>0</v>
      </c>
      <c r="O338" s="2">
        <v>8.0755999999999997</v>
      </c>
      <c r="P338" s="2">
        <v>75.005599999999987</v>
      </c>
      <c r="Q338" t="s">
        <v>465</v>
      </c>
      <c r="R338" t="s">
        <v>516</v>
      </c>
      <c r="S338" s="2">
        <v>0</v>
      </c>
      <c r="T338" s="2">
        <v>0</v>
      </c>
      <c r="U338" s="2"/>
    </row>
    <row r="339" spans="1:21" x14ac:dyDescent="0.25">
      <c r="A339" t="s">
        <v>480</v>
      </c>
      <c r="B339" t="s">
        <v>1211</v>
      </c>
      <c r="C339" t="s">
        <v>440</v>
      </c>
      <c r="D339" t="s">
        <v>0</v>
      </c>
      <c r="E339">
        <v>15516</v>
      </c>
      <c r="F339" t="s">
        <v>219</v>
      </c>
      <c r="G339" t="s">
        <v>220</v>
      </c>
      <c r="H339" s="2">
        <v>0</v>
      </c>
      <c r="I339" s="2">
        <v>0</v>
      </c>
      <c r="J339" s="2">
        <v>0</v>
      </c>
      <c r="K339" s="6">
        <v>641.59</v>
      </c>
      <c r="L339" s="2">
        <v>0</v>
      </c>
      <c r="M339" s="2">
        <v>0</v>
      </c>
      <c r="N339" s="2">
        <v>0</v>
      </c>
      <c r="O339" s="2">
        <v>83.406700000000001</v>
      </c>
      <c r="P339" s="2">
        <v>724.99670000000003</v>
      </c>
      <c r="Q339" t="s">
        <v>465</v>
      </c>
      <c r="R339" t="s">
        <v>516</v>
      </c>
      <c r="S339" s="2">
        <v>0</v>
      </c>
      <c r="T339" s="2">
        <v>0</v>
      </c>
      <c r="U339" s="2"/>
    </row>
    <row r="340" spans="1:21" x14ac:dyDescent="0.25">
      <c r="A340" t="s">
        <v>480</v>
      </c>
      <c r="B340" t="s">
        <v>1211</v>
      </c>
      <c r="C340" t="s">
        <v>440</v>
      </c>
      <c r="D340" t="s">
        <v>0</v>
      </c>
      <c r="E340">
        <v>322</v>
      </c>
      <c r="F340" t="s">
        <v>254</v>
      </c>
      <c r="G340" t="s">
        <v>255</v>
      </c>
      <c r="H340" s="2">
        <v>2.2199999999999998</v>
      </c>
      <c r="I340" s="2">
        <v>0</v>
      </c>
      <c r="J340" s="2">
        <v>0</v>
      </c>
      <c r="K340" s="6">
        <v>24.58</v>
      </c>
      <c r="L340" s="2">
        <v>0</v>
      </c>
      <c r="M340" s="2">
        <v>0</v>
      </c>
      <c r="N340" s="2">
        <v>0</v>
      </c>
      <c r="O340" s="2">
        <v>3.1953999999999998</v>
      </c>
      <c r="P340" s="2">
        <v>29.995399999999997</v>
      </c>
      <c r="Q340" t="s">
        <v>465</v>
      </c>
      <c r="R340" t="s">
        <v>516</v>
      </c>
      <c r="S340" s="2">
        <v>0</v>
      </c>
      <c r="T340" s="2">
        <v>0</v>
      </c>
      <c r="U340" s="2"/>
    </row>
    <row r="341" spans="1:21" x14ac:dyDescent="0.25">
      <c r="A341" t="s">
        <v>480</v>
      </c>
      <c r="B341" t="s">
        <v>1212</v>
      </c>
      <c r="C341" t="s">
        <v>440</v>
      </c>
      <c r="D341" t="s">
        <v>0</v>
      </c>
      <c r="E341">
        <v>6399</v>
      </c>
      <c r="F341" t="s">
        <v>60</v>
      </c>
      <c r="G341" t="s">
        <v>61</v>
      </c>
      <c r="H341" s="2">
        <v>0</v>
      </c>
      <c r="I341" s="2">
        <v>0</v>
      </c>
      <c r="J341" s="2">
        <v>0</v>
      </c>
      <c r="K341" s="6">
        <v>47.52</v>
      </c>
      <c r="L341" s="2">
        <v>0</v>
      </c>
      <c r="M341" s="2">
        <v>0</v>
      </c>
      <c r="N341" s="2">
        <v>0</v>
      </c>
      <c r="O341" s="2">
        <v>6.1776000000000009</v>
      </c>
      <c r="P341" s="2">
        <v>53.697600000000001</v>
      </c>
      <c r="Q341" t="s">
        <v>465</v>
      </c>
      <c r="R341" t="s">
        <v>516</v>
      </c>
      <c r="S341" s="2">
        <v>0</v>
      </c>
      <c r="T341" s="2">
        <v>0</v>
      </c>
      <c r="U341" s="2"/>
    </row>
    <row r="342" spans="1:21" x14ac:dyDescent="0.25">
      <c r="A342" t="s">
        <v>480</v>
      </c>
      <c r="B342" t="s">
        <v>1212</v>
      </c>
      <c r="C342" t="s">
        <v>440</v>
      </c>
      <c r="D342" t="s">
        <v>0</v>
      </c>
      <c r="E342">
        <v>3422</v>
      </c>
      <c r="F342" t="s">
        <v>143</v>
      </c>
      <c r="G342" t="s">
        <v>144</v>
      </c>
      <c r="H342" s="2">
        <v>0</v>
      </c>
      <c r="I342" s="2">
        <v>0</v>
      </c>
      <c r="J342" s="2">
        <v>0</v>
      </c>
      <c r="K342" s="6">
        <v>2745.3</v>
      </c>
      <c r="L342" s="2">
        <v>0</v>
      </c>
      <c r="M342" s="2">
        <v>0</v>
      </c>
      <c r="N342" s="2">
        <v>0</v>
      </c>
      <c r="O342" s="2">
        <v>356.88900000000001</v>
      </c>
      <c r="P342" s="2">
        <v>3102.1890000000003</v>
      </c>
      <c r="Q342" t="s">
        <v>465</v>
      </c>
      <c r="R342" t="s">
        <v>516</v>
      </c>
      <c r="S342" s="2" t="s">
        <v>520</v>
      </c>
      <c r="T342" s="2">
        <v>27.46</v>
      </c>
      <c r="U342" s="2"/>
    </row>
    <row r="343" spans="1:21" x14ac:dyDescent="0.25">
      <c r="A343" t="s">
        <v>480</v>
      </c>
      <c r="B343" t="s">
        <v>1212</v>
      </c>
      <c r="C343" t="s">
        <v>440</v>
      </c>
      <c r="D343" t="s">
        <v>0</v>
      </c>
      <c r="E343">
        <v>10018</v>
      </c>
      <c r="F343" t="s">
        <v>198</v>
      </c>
      <c r="G343" t="s">
        <v>199</v>
      </c>
      <c r="H343" s="2">
        <v>1.85</v>
      </c>
      <c r="I343" s="2">
        <v>0</v>
      </c>
      <c r="J343" s="2">
        <v>0</v>
      </c>
      <c r="K343" s="6">
        <v>20.49</v>
      </c>
      <c r="L343" s="2">
        <v>0</v>
      </c>
      <c r="M343" s="2">
        <v>0</v>
      </c>
      <c r="N343" s="2">
        <v>0</v>
      </c>
      <c r="O343" s="2">
        <v>2.6637</v>
      </c>
      <c r="P343" s="2">
        <v>25.003699999999998</v>
      </c>
      <c r="Q343" t="s">
        <v>465</v>
      </c>
      <c r="R343" t="s">
        <v>516</v>
      </c>
      <c r="S343" s="2">
        <v>0</v>
      </c>
      <c r="T343" s="2">
        <v>0</v>
      </c>
      <c r="U343" s="2"/>
    </row>
    <row r="344" spans="1:21" x14ac:dyDescent="0.25">
      <c r="A344" t="s">
        <v>480</v>
      </c>
      <c r="B344" t="s">
        <v>1213</v>
      </c>
      <c r="C344" t="s">
        <v>440</v>
      </c>
      <c r="D344" t="s">
        <v>0</v>
      </c>
      <c r="E344">
        <v>5772</v>
      </c>
      <c r="F344" t="s">
        <v>284</v>
      </c>
      <c r="G344" t="s">
        <v>285</v>
      </c>
      <c r="H344" s="2">
        <v>0</v>
      </c>
      <c r="I344" s="2">
        <v>0</v>
      </c>
      <c r="J344" s="2">
        <v>0</v>
      </c>
      <c r="K344" s="6">
        <v>1021.38</v>
      </c>
      <c r="L344" s="2">
        <v>0</v>
      </c>
      <c r="M344" s="2">
        <v>0</v>
      </c>
      <c r="N344" s="2">
        <v>0</v>
      </c>
      <c r="O344" s="2">
        <v>132.77940000000001</v>
      </c>
      <c r="P344" s="2">
        <v>1154.1594</v>
      </c>
      <c r="Q344" t="s">
        <v>465</v>
      </c>
      <c r="R344" t="s">
        <v>516</v>
      </c>
      <c r="S344" s="2">
        <v>0</v>
      </c>
      <c r="T344" s="2">
        <v>0</v>
      </c>
      <c r="U344" s="2"/>
    </row>
    <row r="345" spans="1:21" x14ac:dyDescent="0.25">
      <c r="A345" t="s">
        <v>480</v>
      </c>
      <c r="B345" t="s">
        <v>1214</v>
      </c>
      <c r="C345" t="s">
        <v>440</v>
      </c>
      <c r="D345" t="s">
        <v>0</v>
      </c>
      <c r="E345">
        <v>7594</v>
      </c>
      <c r="F345" t="s">
        <v>364</v>
      </c>
      <c r="G345" t="s">
        <v>365</v>
      </c>
      <c r="H345" s="2">
        <v>0</v>
      </c>
      <c r="I345" s="2">
        <v>0</v>
      </c>
      <c r="J345" s="2">
        <v>0</v>
      </c>
      <c r="K345" s="6">
        <v>590.45000000000005</v>
      </c>
      <c r="L345" s="2">
        <v>0</v>
      </c>
      <c r="M345" s="2">
        <v>0</v>
      </c>
      <c r="N345" s="2">
        <v>0</v>
      </c>
      <c r="O345" s="2">
        <v>76.758500000000012</v>
      </c>
      <c r="P345" s="2">
        <v>667.20850000000007</v>
      </c>
      <c r="Q345" t="s">
        <v>465</v>
      </c>
      <c r="R345" t="s">
        <v>516</v>
      </c>
      <c r="S345" s="2" t="s">
        <v>1226</v>
      </c>
      <c r="T345" s="2">
        <v>5.9</v>
      </c>
      <c r="U345" s="2"/>
    </row>
    <row r="346" spans="1:21" x14ac:dyDescent="0.25">
      <c r="A346" t="s">
        <v>480</v>
      </c>
      <c r="B346" t="s">
        <v>1214</v>
      </c>
      <c r="C346" t="s">
        <v>440</v>
      </c>
      <c r="D346" t="s">
        <v>0</v>
      </c>
      <c r="E346">
        <v>3362</v>
      </c>
      <c r="F346" t="s">
        <v>143</v>
      </c>
      <c r="G346" t="s">
        <v>144</v>
      </c>
      <c r="H346" s="2">
        <v>0</v>
      </c>
      <c r="I346" s="2">
        <v>0</v>
      </c>
      <c r="J346" s="2">
        <v>0</v>
      </c>
      <c r="K346" s="6">
        <v>1062.5</v>
      </c>
      <c r="L346" s="2">
        <v>0</v>
      </c>
      <c r="M346" s="2">
        <v>0</v>
      </c>
      <c r="N346" s="2">
        <v>0</v>
      </c>
      <c r="O346" s="2">
        <v>138.125</v>
      </c>
      <c r="P346" s="2">
        <v>1200.625</v>
      </c>
      <c r="Q346" t="s">
        <v>465</v>
      </c>
      <c r="R346" t="s">
        <v>516</v>
      </c>
      <c r="S346" s="2" t="s">
        <v>520</v>
      </c>
      <c r="T346" s="2">
        <v>10.63</v>
      </c>
      <c r="U346" s="2"/>
    </row>
    <row r="347" spans="1:21" x14ac:dyDescent="0.25">
      <c r="A347" t="s">
        <v>480</v>
      </c>
      <c r="B347" t="s">
        <v>1214</v>
      </c>
      <c r="C347" t="s">
        <v>440</v>
      </c>
      <c r="D347" t="s">
        <v>0</v>
      </c>
      <c r="E347">
        <v>99734</v>
      </c>
      <c r="F347" t="s">
        <v>389</v>
      </c>
      <c r="G347" t="s">
        <v>390</v>
      </c>
      <c r="H347" s="2">
        <v>0</v>
      </c>
      <c r="I347" s="2">
        <v>0</v>
      </c>
      <c r="J347" s="2">
        <v>0</v>
      </c>
      <c r="K347" s="6">
        <v>4.87</v>
      </c>
      <c r="L347" s="2">
        <v>0</v>
      </c>
      <c r="M347" s="2">
        <v>0</v>
      </c>
      <c r="N347" s="2">
        <v>0</v>
      </c>
      <c r="O347" s="2">
        <v>0.6331</v>
      </c>
      <c r="P347" s="2">
        <v>5.5030999999999999</v>
      </c>
      <c r="Q347" t="s">
        <v>465</v>
      </c>
      <c r="R347" t="s">
        <v>516</v>
      </c>
      <c r="S347" s="2">
        <v>0</v>
      </c>
      <c r="T347" s="2">
        <v>0</v>
      </c>
      <c r="U347" s="2"/>
    </row>
    <row r="348" spans="1:21" x14ac:dyDescent="0.25">
      <c r="A348" t="s">
        <v>480</v>
      </c>
      <c r="B348" t="s">
        <v>1214</v>
      </c>
      <c r="C348" t="s">
        <v>440</v>
      </c>
      <c r="D348" t="s">
        <v>0</v>
      </c>
      <c r="E348">
        <v>132</v>
      </c>
      <c r="F348" t="s">
        <v>1224</v>
      </c>
      <c r="G348" t="s">
        <v>1225</v>
      </c>
      <c r="H348" s="2">
        <v>0</v>
      </c>
      <c r="I348" s="2">
        <v>0</v>
      </c>
      <c r="J348" s="2">
        <v>0</v>
      </c>
      <c r="K348" s="6">
        <v>73</v>
      </c>
      <c r="L348" s="2">
        <v>0</v>
      </c>
      <c r="M348" s="2">
        <v>0</v>
      </c>
      <c r="N348" s="2">
        <v>0</v>
      </c>
      <c r="O348" s="2">
        <v>9.49</v>
      </c>
      <c r="P348" s="2">
        <v>82.49</v>
      </c>
      <c r="Q348" t="s">
        <v>465</v>
      </c>
      <c r="R348" t="s">
        <v>516</v>
      </c>
      <c r="S348" s="2">
        <v>0</v>
      </c>
      <c r="T348" s="2">
        <v>0</v>
      </c>
      <c r="U348" s="2"/>
    </row>
    <row r="349" spans="1:21" x14ac:dyDescent="0.25">
      <c r="A349" t="s">
        <v>480</v>
      </c>
      <c r="B349" t="s">
        <v>1214</v>
      </c>
      <c r="C349" t="s">
        <v>440</v>
      </c>
      <c r="D349" t="s">
        <v>0</v>
      </c>
      <c r="E349">
        <v>172140</v>
      </c>
      <c r="F349" t="s">
        <v>254</v>
      </c>
      <c r="G349" t="s">
        <v>255</v>
      </c>
      <c r="H349" s="2">
        <v>2.4899999999999998</v>
      </c>
      <c r="I349" s="2">
        <v>0</v>
      </c>
      <c r="J349" s="2">
        <v>0</v>
      </c>
      <c r="K349" s="6">
        <v>26.11</v>
      </c>
      <c r="L349" s="2">
        <v>0</v>
      </c>
      <c r="M349" s="2">
        <v>0</v>
      </c>
      <c r="N349" s="2">
        <v>0</v>
      </c>
      <c r="O349" s="2">
        <v>3.3942999999999999</v>
      </c>
      <c r="P349" s="2">
        <v>31.994299999999999</v>
      </c>
      <c r="Q349" t="s">
        <v>465</v>
      </c>
      <c r="R349" t="s">
        <v>516</v>
      </c>
      <c r="S349" s="2">
        <v>0</v>
      </c>
      <c r="T349" s="2">
        <v>0</v>
      </c>
      <c r="U349" s="2"/>
    </row>
    <row r="350" spans="1:21" x14ac:dyDescent="0.25">
      <c r="A350" t="s">
        <v>480</v>
      </c>
      <c r="B350" t="s">
        <v>1214</v>
      </c>
      <c r="C350" t="s">
        <v>440</v>
      </c>
      <c r="D350" t="s">
        <v>0</v>
      </c>
      <c r="E350">
        <v>596349</v>
      </c>
      <c r="F350" t="s">
        <v>325</v>
      </c>
      <c r="G350" t="s">
        <v>326</v>
      </c>
      <c r="H350" s="2">
        <v>0</v>
      </c>
      <c r="I350" s="2">
        <v>0</v>
      </c>
      <c r="J350" s="2">
        <v>0</v>
      </c>
      <c r="K350" s="6">
        <v>114.14</v>
      </c>
      <c r="L350" s="2">
        <v>0</v>
      </c>
      <c r="M350" s="2">
        <v>0</v>
      </c>
      <c r="N350" s="2">
        <v>0</v>
      </c>
      <c r="O350" s="2">
        <v>14.838200000000001</v>
      </c>
      <c r="P350" s="2">
        <v>128.97820000000002</v>
      </c>
      <c r="Q350" t="s">
        <v>465</v>
      </c>
      <c r="R350" t="s">
        <v>516</v>
      </c>
      <c r="S350" s="2">
        <v>0</v>
      </c>
      <c r="T350" s="2">
        <v>0</v>
      </c>
      <c r="U350" s="2"/>
    </row>
    <row r="351" spans="1:21" x14ac:dyDescent="0.25">
      <c r="A351" t="s">
        <v>480</v>
      </c>
      <c r="B351" t="s">
        <v>1214</v>
      </c>
      <c r="C351" t="s">
        <v>440</v>
      </c>
      <c r="D351" t="s">
        <v>0</v>
      </c>
      <c r="E351">
        <v>923</v>
      </c>
      <c r="F351" t="s">
        <v>158</v>
      </c>
      <c r="G351" t="s">
        <v>159</v>
      </c>
      <c r="H351" s="2">
        <v>0</v>
      </c>
      <c r="I351" s="2">
        <v>0</v>
      </c>
      <c r="J351" s="2">
        <v>0</v>
      </c>
      <c r="K351" s="6">
        <v>26.88</v>
      </c>
      <c r="L351" s="2">
        <v>0</v>
      </c>
      <c r="M351" s="2">
        <v>0</v>
      </c>
      <c r="N351" s="2">
        <v>0</v>
      </c>
      <c r="O351" s="2">
        <v>3.4944000000000002</v>
      </c>
      <c r="P351" s="2">
        <v>30.374399999999998</v>
      </c>
      <c r="Q351" t="s">
        <v>465</v>
      </c>
      <c r="R351" t="s">
        <v>516</v>
      </c>
      <c r="S351" s="2">
        <v>0</v>
      </c>
      <c r="T351" s="2">
        <v>0</v>
      </c>
      <c r="U351" s="2"/>
    </row>
    <row r="352" spans="1:21" x14ac:dyDescent="0.25">
      <c r="A352" t="s">
        <v>480</v>
      </c>
      <c r="B352" s="11" t="s">
        <v>948</v>
      </c>
      <c r="C352" t="s">
        <v>440</v>
      </c>
      <c r="D352" t="s">
        <v>0</v>
      </c>
      <c r="E352">
        <v>19924</v>
      </c>
      <c r="F352" t="s">
        <v>356</v>
      </c>
      <c r="G352" t="s">
        <v>357</v>
      </c>
      <c r="H352" s="2">
        <v>0</v>
      </c>
      <c r="I352" s="2">
        <v>0</v>
      </c>
      <c r="J352" s="2">
        <v>0</v>
      </c>
      <c r="K352" s="6">
        <v>100.66</v>
      </c>
      <c r="L352" s="2">
        <v>0</v>
      </c>
      <c r="M352" s="2">
        <v>0</v>
      </c>
      <c r="N352" s="2">
        <v>0</v>
      </c>
      <c r="O352" s="2">
        <v>13.085800000000001</v>
      </c>
      <c r="P352" s="2">
        <v>113.7458</v>
      </c>
      <c r="Q352" t="s">
        <v>465</v>
      </c>
      <c r="R352" t="s">
        <v>516</v>
      </c>
      <c r="S352" s="2" t="s">
        <v>518</v>
      </c>
      <c r="T352" s="2">
        <v>1.01</v>
      </c>
      <c r="U352" s="2"/>
    </row>
    <row r="353" spans="1:21" x14ac:dyDescent="0.25">
      <c r="A353" t="s">
        <v>480</v>
      </c>
      <c r="B353" s="11" t="s">
        <v>948</v>
      </c>
      <c r="C353" t="s">
        <v>440</v>
      </c>
      <c r="D353" t="s">
        <v>0</v>
      </c>
      <c r="E353">
        <v>63073</v>
      </c>
      <c r="F353" t="s">
        <v>187</v>
      </c>
      <c r="G353" t="s">
        <v>188</v>
      </c>
      <c r="H353" s="2">
        <v>1.17</v>
      </c>
      <c r="I353" s="2">
        <v>0</v>
      </c>
      <c r="J353" s="2">
        <v>0</v>
      </c>
      <c r="K353" s="6">
        <v>12.24</v>
      </c>
      <c r="L353" s="2">
        <v>0</v>
      </c>
      <c r="M353" s="2">
        <v>0</v>
      </c>
      <c r="N353" s="2">
        <v>0</v>
      </c>
      <c r="O353" s="2">
        <v>1.5912000000000002</v>
      </c>
      <c r="P353" s="2">
        <v>15.001200000000001</v>
      </c>
      <c r="Q353" t="s">
        <v>465</v>
      </c>
      <c r="R353" t="s">
        <v>516</v>
      </c>
      <c r="S353" s="2">
        <v>0</v>
      </c>
      <c r="T353" s="2">
        <v>0</v>
      </c>
      <c r="U353" s="2"/>
    </row>
    <row r="354" spans="1:21" x14ac:dyDescent="0.25">
      <c r="A354" t="s">
        <v>480</v>
      </c>
      <c r="B354" s="11" t="s">
        <v>948</v>
      </c>
      <c r="C354" t="s">
        <v>440</v>
      </c>
      <c r="D354" t="s">
        <v>0</v>
      </c>
      <c r="E354">
        <v>4331</v>
      </c>
      <c r="F354" t="s">
        <v>405</v>
      </c>
      <c r="G354" t="s">
        <v>406</v>
      </c>
      <c r="H354" s="2">
        <v>0</v>
      </c>
      <c r="I354" s="2">
        <v>0</v>
      </c>
      <c r="J354" s="2">
        <v>0</v>
      </c>
      <c r="K354" s="6">
        <v>176.99</v>
      </c>
      <c r="L354" s="2">
        <v>0</v>
      </c>
      <c r="M354" s="2">
        <v>0</v>
      </c>
      <c r="N354" s="2">
        <v>0</v>
      </c>
      <c r="O354" s="2">
        <v>23.008700000000001</v>
      </c>
      <c r="P354" s="2">
        <v>199.99870000000001</v>
      </c>
      <c r="Q354" t="s">
        <v>465</v>
      </c>
      <c r="R354" t="s">
        <v>516</v>
      </c>
      <c r="S354" s="2">
        <v>0</v>
      </c>
      <c r="T354" s="2">
        <v>0</v>
      </c>
      <c r="U354" s="2"/>
    </row>
    <row r="355" spans="1:21" x14ac:dyDescent="0.25">
      <c r="A355" t="s">
        <v>480</v>
      </c>
      <c r="B355" s="11" t="s">
        <v>948</v>
      </c>
      <c r="C355" t="s">
        <v>440</v>
      </c>
      <c r="D355" t="s">
        <v>0</v>
      </c>
      <c r="E355">
        <v>210230</v>
      </c>
      <c r="F355" t="s">
        <v>256</v>
      </c>
      <c r="G355" t="s">
        <v>257</v>
      </c>
      <c r="H355" s="2">
        <v>0</v>
      </c>
      <c r="I355" s="2">
        <v>0</v>
      </c>
      <c r="J355" s="2">
        <v>0</v>
      </c>
      <c r="K355" s="6">
        <v>219.84</v>
      </c>
      <c r="L355" s="2">
        <v>0</v>
      </c>
      <c r="M355" s="2">
        <v>0</v>
      </c>
      <c r="N355" s="2">
        <v>0</v>
      </c>
      <c r="O355" s="2">
        <v>28.5792</v>
      </c>
      <c r="P355" s="2">
        <v>248.41919999999999</v>
      </c>
      <c r="Q355" t="s">
        <v>465</v>
      </c>
      <c r="R355" t="s">
        <v>516</v>
      </c>
      <c r="S355" s="2" t="s">
        <v>518</v>
      </c>
      <c r="T355" s="2">
        <v>2.2000000000000002</v>
      </c>
      <c r="U355" s="2"/>
    </row>
    <row r="356" spans="1:21" x14ac:dyDescent="0.25">
      <c r="A356" t="s">
        <v>480</v>
      </c>
      <c r="B356" s="11" t="s">
        <v>948</v>
      </c>
      <c r="C356" t="s">
        <v>440</v>
      </c>
      <c r="D356" t="s">
        <v>0</v>
      </c>
      <c r="E356">
        <v>210242</v>
      </c>
      <c r="F356" t="s">
        <v>256</v>
      </c>
      <c r="G356" t="s">
        <v>257</v>
      </c>
      <c r="H356" s="2">
        <v>0</v>
      </c>
      <c r="I356" s="2">
        <v>0</v>
      </c>
      <c r="J356" s="2">
        <v>0</v>
      </c>
      <c r="K356" s="6">
        <v>52.17</v>
      </c>
      <c r="L356" s="2">
        <v>0</v>
      </c>
      <c r="M356" s="2">
        <v>0</v>
      </c>
      <c r="N356" s="2">
        <v>0</v>
      </c>
      <c r="O356" s="2">
        <v>6.7821000000000007</v>
      </c>
      <c r="P356" s="2">
        <v>58.952100000000002</v>
      </c>
      <c r="Q356" t="s">
        <v>465</v>
      </c>
      <c r="R356" t="s">
        <v>516</v>
      </c>
      <c r="S356" s="2">
        <v>0</v>
      </c>
      <c r="T356" s="2">
        <v>0</v>
      </c>
      <c r="U356" s="2"/>
    </row>
    <row r="357" spans="1:21" x14ac:dyDescent="0.25">
      <c r="A357" t="s">
        <v>480</v>
      </c>
      <c r="B357" s="11" t="s">
        <v>1188</v>
      </c>
      <c r="C357" t="s">
        <v>440</v>
      </c>
      <c r="D357" t="s">
        <v>0</v>
      </c>
      <c r="E357">
        <v>4813</v>
      </c>
      <c r="F357" t="s">
        <v>225</v>
      </c>
      <c r="G357" t="s">
        <v>226</v>
      </c>
      <c r="H357" s="2">
        <v>0</v>
      </c>
      <c r="I357" s="2">
        <v>0</v>
      </c>
      <c r="J357" s="2">
        <v>0</v>
      </c>
      <c r="K357" s="6">
        <v>210.4</v>
      </c>
      <c r="L357" s="2">
        <v>0</v>
      </c>
      <c r="M357" s="2">
        <v>0</v>
      </c>
      <c r="N357" s="2">
        <v>0</v>
      </c>
      <c r="O357" s="2">
        <v>27.352</v>
      </c>
      <c r="P357" s="2">
        <v>237.75200000000001</v>
      </c>
      <c r="Q357" t="s">
        <v>465</v>
      </c>
      <c r="R357" t="s">
        <v>516</v>
      </c>
      <c r="S357" s="2" t="s">
        <v>1223</v>
      </c>
      <c r="T357" s="2">
        <v>2.1</v>
      </c>
      <c r="U357" s="2"/>
    </row>
    <row r="358" spans="1:21" x14ac:dyDescent="0.25">
      <c r="A358" t="s">
        <v>480</v>
      </c>
      <c r="B358" s="11" t="s">
        <v>1188</v>
      </c>
      <c r="C358" t="s">
        <v>440</v>
      </c>
      <c r="D358" t="s">
        <v>0</v>
      </c>
      <c r="E358">
        <v>3342</v>
      </c>
      <c r="F358" t="s">
        <v>143</v>
      </c>
      <c r="G358" t="s">
        <v>144</v>
      </c>
      <c r="H358" s="2">
        <v>0</v>
      </c>
      <c r="I358" s="2">
        <v>0</v>
      </c>
      <c r="J358" s="2">
        <v>0</v>
      </c>
      <c r="K358" s="6">
        <v>450</v>
      </c>
      <c r="L358" s="2">
        <v>0</v>
      </c>
      <c r="M358" s="2">
        <v>0</v>
      </c>
      <c r="N358" s="2">
        <v>0</v>
      </c>
      <c r="O358" s="2">
        <v>58.5</v>
      </c>
      <c r="P358" s="2">
        <v>508.5</v>
      </c>
      <c r="Q358" t="s">
        <v>465</v>
      </c>
      <c r="R358" t="s">
        <v>516</v>
      </c>
      <c r="S358" s="2">
        <v>0</v>
      </c>
      <c r="T358" s="2">
        <v>0</v>
      </c>
      <c r="U358" s="2"/>
    </row>
    <row r="359" spans="1:21" x14ac:dyDescent="0.25">
      <c r="A359" t="s">
        <v>480</v>
      </c>
      <c r="B359" s="11" t="s">
        <v>1188</v>
      </c>
      <c r="C359" t="s">
        <v>440</v>
      </c>
      <c r="D359" t="s">
        <v>0</v>
      </c>
      <c r="E359">
        <v>28957</v>
      </c>
      <c r="F359" t="s">
        <v>650</v>
      </c>
      <c r="G359" t="s">
        <v>651</v>
      </c>
      <c r="H359" s="2">
        <v>2.4699999999999998</v>
      </c>
      <c r="I359" s="2">
        <v>0</v>
      </c>
      <c r="J359" s="2">
        <v>0</v>
      </c>
      <c r="K359" s="6">
        <v>26.13</v>
      </c>
      <c r="L359" s="2">
        <v>0</v>
      </c>
      <c r="M359" s="2">
        <v>0</v>
      </c>
      <c r="N359" s="2">
        <v>0</v>
      </c>
      <c r="O359" s="2">
        <v>3.3969</v>
      </c>
      <c r="P359" s="2">
        <v>31.996899999999997</v>
      </c>
      <c r="Q359" t="s">
        <v>465</v>
      </c>
      <c r="R359" t="s">
        <v>516</v>
      </c>
      <c r="S359" s="2">
        <v>0</v>
      </c>
      <c r="T359" s="2">
        <v>0</v>
      </c>
      <c r="U359" s="2"/>
    </row>
    <row r="360" spans="1:21" x14ac:dyDescent="0.25">
      <c r="A360" t="s">
        <v>480</v>
      </c>
      <c r="B360" s="11" t="s">
        <v>1190</v>
      </c>
      <c r="C360" t="s">
        <v>440</v>
      </c>
      <c r="D360" t="s">
        <v>0</v>
      </c>
      <c r="E360">
        <v>8261</v>
      </c>
      <c r="F360" t="s">
        <v>348</v>
      </c>
      <c r="G360" t="s">
        <v>349</v>
      </c>
      <c r="H360" s="2">
        <v>0</v>
      </c>
      <c r="I360" s="2">
        <v>0</v>
      </c>
      <c r="J360" s="2">
        <v>0</v>
      </c>
      <c r="K360" s="6">
        <v>77.88</v>
      </c>
      <c r="L360" s="2">
        <v>0</v>
      </c>
      <c r="M360" s="2">
        <v>0</v>
      </c>
      <c r="N360" s="2">
        <v>0</v>
      </c>
      <c r="O360" s="2">
        <v>10.1244</v>
      </c>
      <c r="P360" s="2">
        <v>88.00439999999999</v>
      </c>
      <c r="Q360" t="s">
        <v>465</v>
      </c>
      <c r="R360" t="s">
        <v>516</v>
      </c>
      <c r="S360" s="2">
        <v>0</v>
      </c>
      <c r="T360" s="2">
        <v>0</v>
      </c>
      <c r="U360" s="2"/>
    </row>
    <row r="361" spans="1:21" x14ac:dyDescent="0.25">
      <c r="A361" t="s">
        <v>480</v>
      </c>
      <c r="B361" s="11" t="s">
        <v>1190</v>
      </c>
      <c r="C361" t="s">
        <v>440</v>
      </c>
      <c r="D361" t="s">
        <v>0</v>
      </c>
      <c r="E361">
        <v>66834</v>
      </c>
      <c r="F361" t="s">
        <v>296</v>
      </c>
      <c r="G361" t="s">
        <v>297</v>
      </c>
      <c r="H361" s="2">
        <v>2.25</v>
      </c>
      <c r="I361" s="2">
        <v>0</v>
      </c>
      <c r="J361" s="2">
        <v>0</v>
      </c>
      <c r="K361" s="6">
        <v>24.55</v>
      </c>
      <c r="L361" s="2">
        <v>0</v>
      </c>
      <c r="M361" s="2">
        <v>0</v>
      </c>
      <c r="N361" s="2">
        <v>0</v>
      </c>
      <c r="O361" s="2">
        <v>3.1915</v>
      </c>
      <c r="P361" s="2">
        <v>29.991500000000002</v>
      </c>
      <c r="Q361" t="s">
        <v>465</v>
      </c>
      <c r="R361" t="s">
        <v>516</v>
      </c>
      <c r="S361" s="2">
        <v>0</v>
      </c>
      <c r="T361" s="2">
        <v>0</v>
      </c>
      <c r="U361" s="2"/>
    </row>
    <row r="362" spans="1:21" x14ac:dyDescent="0.25">
      <c r="A362" t="s">
        <v>480</v>
      </c>
      <c r="B362" s="11" t="s">
        <v>1215</v>
      </c>
      <c r="C362" t="s">
        <v>440</v>
      </c>
      <c r="D362" t="s">
        <v>0</v>
      </c>
      <c r="E362">
        <v>3267</v>
      </c>
      <c r="F362" t="s">
        <v>143</v>
      </c>
      <c r="G362" t="s">
        <v>144</v>
      </c>
      <c r="H362" s="2">
        <v>0</v>
      </c>
      <c r="I362" s="2">
        <v>0</v>
      </c>
      <c r="J362" s="2">
        <v>0</v>
      </c>
      <c r="K362" s="6">
        <v>4846</v>
      </c>
      <c r="L362" s="2">
        <v>0</v>
      </c>
      <c r="M362" s="2">
        <v>0</v>
      </c>
      <c r="N362" s="2">
        <v>0</v>
      </c>
      <c r="O362" s="2">
        <v>629.98</v>
      </c>
      <c r="P362" s="2">
        <v>5475.98</v>
      </c>
      <c r="Q362" t="s">
        <v>465</v>
      </c>
      <c r="R362" t="s">
        <v>516</v>
      </c>
      <c r="S362" s="2" t="s">
        <v>520</v>
      </c>
      <c r="T362" s="2">
        <v>48.46</v>
      </c>
      <c r="U362" s="2"/>
    </row>
    <row r="363" spans="1:21" x14ac:dyDescent="0.25">
      <c r="A363" t="s">
        <v>480</v>
      </c>
      <c r="B363" s="11" t="s">
        <v>1215</v>
      </c>
      <c r="C363" t="s">
        <v>440</v>
      </c>
      <c r="D363" t="s">
        <v>0</v>
      </c>
      <c r="E363">
        <v>593762</v>
      </c>
      <c r="F363" t="s">
        <v>325</v>
      </c>
      <c r="G363" t="s">
        <v>326</v>
      </c>
      <c r="H363" s="2">
        <v>0</v>
      </c>
      <c r="I363" s="2">
        <v>0</v>
      </c>
      <c r="J363" s="2">
        <v>0</v>
      </c>
      <c r="K363" s="6">
        <v>91.94</v>
      </c>
      <c r="L363" s="2">
        <v>0</v>
      </c>
      <c r="M363" s="2">
        <v>0</v>
      </c>
      <c r="N363" s="2">
        <v>0</v>
      </c>
      <c r="O363" s="2">
        <v>11.952199999999999</v>
      </c>
      <c r="P363" s="2">
        <v>103.8922</v>
      </c>
      <c r="Q363" t="s">
        <v>465</v>
      </c>
      <c r="R363" t="s">
        <v>516</v>
      </c>
      <c r="S363" s="2">
        <v>0</v>
      </c>
      <c r="T363" s="2">
        <v>0</v>
      </c>
      <c r="U363" s="2"/>
    </row>
    <row r="364" spans="1:21" x14ac:dyDescent="0.25">
      <c r="A364" t="s">
        <v>480</v>
      </c>
      <c r="B364" s="11" t="s">
        <v>1215</v>
      </c>
      <c r="C364" t="s">
        <v>440</v>
      </c>
      <c r="D364" t="s">
        <v>0</v>
      </c>
      <c r="E364">
        <v>1067118</v>
      </c>
      <c r="F364" t="s">
        <v>407</v>
      </c>
      <c r="G364" t="s">
        <v>408</v>
      </c>
      <c r="H364" s="2">
        <v>0</v>
      </c>
      <c r="I364" s="2">
        <v>0</v>
      </c>
      <c r="J364" s="2">
        <v>0</v>
      </c>
      <c r="K364" s="6">
        <v>15.43</v>
      </c>
      <c r="L364" s="2">
        <v>0</v>
      </c>
      <c r="M364" s="2">
        <v>0</v>
      </c>
      <c r="N364" s="2">
        <v>0</v>
      </c>
      <c r="O364" s="2">
        <v>2.0059</v>
      </c>
      <c r="P364" s="2">
        <v>17.4359</v>
      </c>
      <c r="Q364" t="s">
        <v>465</v>
      </c>
      <c r="R364" t="s">
        <v>516</v>
      </c>
      <c r="S364" s="2">
        <v>0</v>
      </c>
      <c r="T364" s="2">
        <v>0</v>
      </c>
      <c r="U364" s="2"/>
    </row>
    <row r="365" spans="1:21" x14ac:dyDescent="0.25">
      <c r="A365" t="s">
        <v>480</v>
      </c>
      <c r="B365" t="s">
        <v>1222</v>
      </c>
      <c r="C365" t="s">
        <v>440</v>
      </c>
      <c r="D365" t="s">
        <v>0</v>
      </c>
      <c r="E365">
        <v>3948323</v>
      </c>
      <c r="F365" t="s">
        <v>274</v>
      </c>
      <c r="G365" t="s">
        <v>275</v>
      </c>
      <c r="H365" s="2">
        <v>0</v>
      </c>
      <c r="I365" s="2">
        <v>0</v>
      </c>
      <c r="J365" s="2">
        <v>0</v>
      </c>
      <c r="K365" s="6">
        <v>36.090000000000003</v>
      </c>
      <c r="L365" s="2">
        <v>0</v>
      </c>
      <c r="M365" s="2">
        <v>0</v>
      </c>
      <c r="N365" s="2">
        <v>0</v>
      </c>
      <c r="O365" s="2">
        <v>4.6917000000000009</v>
      </c>
      <c r="P365" s="2">
        <v>40.781700000000001</v>
      </c>
      <c r="Q365" t="s">
        <v>465</v>
      </c>
      <c r="R365" t="s">
        <v>516</v>
      </c>
      <c r="S365" s="2">
        <v>0</v>
      </c>
      <c r="T365" s="2">
        <v>0</v>
      </c>
      <c r="U365" s="2"/>
    </row>
    <row r="366" spans="1:21" x14ac:dyDescent="0.25">
      <c r="A366" t="s">
        <v>480</v>
      </c>
      <c r="B366" t="s">
        <v>1222</v>
      </c>
      <c r="C366" t="s">
        <v>440</v>
      </c>
      <c r="D366" t="s">
        <v>0</v>
      </c>
      <c r="E366">
        <v>3948322</v>
      </c>
      <c r="F366" t="s">
        <v>274</v>
      </c>
      <c r="G366" t="s">
        <v>275</v>
      </c>
      <c r="H366" s="2">
        <v>0</v>
      </c>
      <c r="I366" s="2">
        <v>0</v>
      </c>
      <c r="J366" s="2">
        <v>0</v>
      </c>
      <c r="K366" s="6">
        <v>21.97</v>
      </c>
      <c r="L366" s="2">
        <v>0</v>
      </c>
      <c r="M366" s="2">
        <v>0</v>
      </c>
      <c r="N366" s="2">
        <v>0</v>
      </c>
      <c r="O366" s="2">
        <v>2.8561000000000001</v>
      </c>
      <c r="P366" s="2">
        <v>24.8261</v>
      </c>
      <c r="Q366" t="s">
        <v>465</v>
      </c>
      <c r="R366" t="s">
        <v>516</v>
      </c>
      <c r="S366" s="2">
        <v>0</v>
      </c>
      <c r="T366" s="2">
        <v>0</v>
      </c>
      <c r="U366" s="2"/>
    </row>
    <row r="367" spans="1:21" x14ac:dyDescent="0.25">
      <c r="A367" t="s">
        <v>480</v>
      </c>
      <c r="B367" t="s">
        <v>1222</v>
      </c>
      <c r="C367" t="s">
        <v>440</v>
      </c>
      <c r="D367" t="s">
        <v>0</v>
      </c>
      <c r="E367">
        <v>3948321</v>
      </c>
      <c r="F367" t="s">
        <v>274</v>
      </c>
      <c r="G367" t="s">
        <v>275</v>
      </c>
      <c r="H367" s="2">
        <v>0</v>
      </c>
      <c r="I367" s="2">
        <v>0</v>
      </c>
      <c r="J367" s="2">
        <v>0</v>
      </c>
      <c r="K367" s="6">
        <v>21.97</v>
      </c>
      <c r="L367" s="2">
        <v>0</v>
      </c>
      <c r="M367" s="2">
        <v>0</v>
      </c>
      <c r="N367" s="2">
        <v>0</v>
      </c>
      <c r="O367" s="2">
        <v>2.8561000000000001</v>
      </c>
      <c r="P367" s="2">
        <v>24.8261</v>
      </c>
      <c r="Q367" t="s">
        <v>465</v>
      </c>
      <c r="R367" t="s">
        <v>516</v>
      </c>
      <c r="S367" s="2">
        <v>0</v>
      </c>
      <c r="T367" s="2">
        <v>0</v>
      </c>
      <c r="U367" s="2"/>
    </row>
    <row r="368" spans="1:21" x14ac:dyDescent="0.25">
      <c r="A368" t="s">
        <v>480</v>
      </c>
      <c r="B368" t="s">
        <v>928</v>
      </c>
      <c r="C368" t="s">
        <v>440</v>
      </c>
      <c r="D368" t="s">
        <v>0</v>
      </c>
      <c r="E368">
        <v>62045</v>
      </c>
      <c r="F368" t="s">
        <v>187</v>
      </c>
      <c r="G368" t="s">
        <v>188</v>
      </c>
      <c r="H368" s="2">
        <v>4.76</v>
      </c>
      <c r="I368" s="2">
        <v>0</v>
      </c>
      <c r="J368" s="2">
        <v>0</v>
      </c>
      <c r="K368" s="6">
        <v>53.31</v>
      </c>
      <c r="L368" s="2">
        <v>0</v>
      </c>
      <c r="M368" s="2">
        <v>0</v>
      </c>
      <c r="N368" s="2">
        <v>0</v>
      </c>
      <c r="O368" s="2">
        <v>6.9303000000000008</v>
      </c>
      <c r="P368" s="2">
        <v>65.000299999999996</v>
      </c>
      <c r="Q368" t="s">
        <v>465</v>
      </c>
      <c r="R368" t="s">
        <v>516</v>
      </c>
      <c r="S368" s="2">
        <v>0</v>
      </c>
      <c r="T368" s="2">
        <v>0</v>
      </c>
      <c r="U368" s="2"/>
    </row>
    <row r="369" spans="1:21" x14ac:dyDescent="0.25">
      <c r="A369" t="s">
        <v>480</v>
      </c>
      <c r="B369" t="s">
        <v>919</v>
      </c>
      <c r="C369" t="s">
        <v>440</v>
      </c>
      <c r="D369" t="s">
        <v>0</v>
      </c>
      <c r="E369">
        <v>2273939</v>
      </c>
      <c r="F369" t="s">
        <v>173</v>
      </c>
      <c r="G369" t="s">
        <v>174</v>
      </c>
      <c r="H369" s="2">
        <v>4.8600000000000003</v>
      </c>
      <c r="I369" s="2">
        <v>0</v>
      </c>
      <c r="J369" s="2">
        <v>0</v>
      </c>
      <c r="K369" s="6">
        <v>55</v>
      </c>
      <c r="L369" s="2">
        <v>0</v>
      </c>
      <c r="M369" s="2">
        <v>0</v>
      </c>
      <c r="N369" s="2">
        <v>0</v>
      </c>
      <c r="O369" s="2">
        <v>7.15</v>
      </c>
      <c r="P369" s="2">
        <v>67.010000000000005</v>
      </c>
      <c r="Q369" t="s">
        <v>465</v>
      </c>
      <c r="R369" t="s">
        <v>516</v>
      </c>
      <c r="S369" s="2">
        <v>0</v>
      </c>
      <c r="T369" s="2">
        <v>0</v>
      </c>
      <c r="U369" s="2"/>
    </row>
    <row r="370" spans="1:21" x14ac:dyDescent="0.25">
      <c r="A370" t="s">
        <v>480</v>
      </c>
      <c r="B370" t="s">
        <v>919</v>
      </c>
      <c r="C370" t="s">
        <v>440</v>
      </c>
      <c r="D370" t="s">
        <v>0</v>
      </c>
      <c r="E370">
        <v>210141</v>
      </c>
      <c r="F370" t="s">
        <v>256</v>
      </c>
      <c r="G370" t="s">
        <v>257</v>
      </c>
      <c r="H370" s="2">
        <v>0</v>
      </c>
      <c r="I370" s="2">
        <v>0</v>
      </c>
      <c r="J370" s="2">
        <v>0</v>
      </c>
      <c r="K370" s="6">
        <v>26.78</v>
      </c>
      <c r="L370" s="2">
        <v>0</v>
      </c>
      <c r="M370" s="2">
        <v>0</v>
      </c>
      <c r="N370" s="2">
        <v>0</v>
      </c>
      <c r="O370" s="2">
        <v>3.4814000000000003</v>
      </c>
      <c r="P370" s="2">
        <v>30.261400000000002</v>
      </c>
      <c r="Q370" t="s">
        <v>465</v>
      </c>
      <c r="R370" t="s">
        <v>516</v>
      </c>
      <c r="S370" s="2">
        <v>0</v>
      </c>
      <c r="T370" s="2">
        <v>0</v>
      </c>
      <c r="U370" s="2"/>
    </row>
    <row r="371" spans="1:21" x14ac:dyDescent="0.25">
      <c r="A371" t="s">
        <v>480</v>
      </c>
      <c r="B371" t="s">
        <v>919</v>
      </c>
      <c r="C371" t="s">
        <v>440</v>
      </c>
      <c r="D371" t="s">
        <v>0</v>
      </c>
      <c r="E371">
        <v>1554335</v>
      </c>
      <c r="F371" t="s">
        <v>221</v>
      </c>
      <c r="G371" t="s">
        <v>222</v>
      </c>
      <c r="H371" s="2">
        <v>0</v>
      </c>
      <c r="I371" s="2">
        <v>0</v>
      </c>
      <c r="J371" s="2">
        <v>0</v>
      </c>
      <c r="K371" s="6">
        <v>200.75</v>
      </c>
      <c r="L371" s="2">
        <v>0</v>
      </c>
      <c r="M371" s="2">
        <v>0</v>
      </c>
      <c r="N371" s="2">
        <v>0</v>
      </c>
      <c r="O371" s="2">
        <v>26.0975</v>
      </c>
      <c r="P371" s="2">
        <v>226.8475</v>
      </c>
      <c r="Q371" t="s">
        <v>465</v>
      </c>
      <c r="R371" t="s">
        <v>516</v>
      </c>
      <c r="S371" s="2" t="s">
        <v>518</v>
      </c>
      <c r="T371" s="2">
        <v>2.0099999999999998</v>
      </c>
      <c r="U371" s="2"/>
    </row>
    <row r="372" spans="1:21" x14ac:dyDescent="0.25">
      <c r="A372" t="s">
        <v>480</v>
      </c>
      <c r="B372" t="s">
        <v>919</v>
      </c>
      <c r="C372" t="s">
        <v>440</v>
      </c>
      <c r="D372" t="s">
        <v>0</v>
      </c>
      <c r="E372">
        <v>1554342</v>
      </c>
      <c r="F372" t="s">
        <v>221</v>
      </c>
      <c r="G372" t="s">
        <v>222</v>
      </c>
      <c r="H372" s="2">
        <v>0</v>
      </c>
      <c r="I372" s="2">
        <v>0</v>
      </c>
      <c r="J372" s="2">
        <v>0</v>
      </c>
      <c r="K372" s="6">
        <v>1104</v>
      </c>
      <c r="L372" s="2">
        <v>0</v>
      </c>
      <c r="M372" s="2">
        <v>0</v>
      </c>
      <c r="N372" s="2">
        <v>0</v>
      </c>
      <c r="O372" s="2">
        <v>143.52000000000001</v>
      </c>
      <c r="P372" s="2">
        <v>1247.52</v>
      </c>
      <c r="Q372" t="s">
        <v>465</v>
      </c>
      <c r="R372" t="s">
        <v>516</v>
      </c>
      <c r="S372" s="2" t="s">
        <v>518</v>
      </c>
      <c r="T372" s="2">
        <v>11.04</v>
      </c>
      <c r="U372" s="2"/>
    </row>
    <row r="373" spans="1:21" x14ac:dyDescent="0.25">
      <c r="A373" t="s">
        <v>480</v>
      </c>
      <c r="B373" t="s">
        <v>919</v>
      </c>
      <c r="C373" t="s">
        <v>440</v>
      </c>
      <c r="D373" t="s">
        <v>0</v>
      </c>
      <c r="E373">
        <v>1554336</v>
      </c>
      <c r="F373" t="s">
        <v>221</v>
      </c>
      <c r="G373" t="s">
        <v>222</v>
      </c>
      <c r="H373" s="2">
        <v>0</v>
      </c>
      <c r="I373" s="2">
        <v>0</v>
      </c>
      <c r="J373" s="2">
        <v>0</v>
      </c>
      <c r="K373" s="6">
        <v>2334</v>
      </c>
      <c r="L373" s="2">
        <v>0</v>
      </c>
      <c r="M373" s="2">
        <v>0</v>
      </c>
      <c r="N373" s="2">
        <v>0</v>
      </c>
      <c r="O373" s="2">
        <v>303.42</v>
      </c>
      <c r="P373" s="2">
        <v>2637.42</v>
      </c>
      <c r="Q373" t="s">
        <v>465</v>
      </c>
      <c r="R373" t="s">
        <v>516</v>
      </c>
      <c r="S373" s="2" t="s">
        <v>518</v>
      </c>
      <c r="T373" s="2">
        <v>23.34</v>
      </c>
      <c r="U373" s="2"/>
    </row>
    <row r="374" spans="1:21" x14ac:dyDescent="0.25">
      <c r="A374" t="s">
        <v>480</v>
      </c>
      <c r="B374" t="s">
        <v>919</v>
      </c>
      <c r="C374" t="s">
        <v>440</v>
      </c>
      <c r="D374" t="s">
        <v>0</v>
      </c>
      <c r="E374">
        <v>1554339</v>
      </c>
      <c r="F374" t="s">
        <v>221</v>
      </c>
      <c r="G374" t="s">
        <v>222</v>
      </c>
      <c r="H374" s="2">
        <v>0</v>
      </c>
      <c r="I374" s="2">
        <v>0</v>
      </c>
      <c r="J374" s="2">
        <v>0</v>
      </c>
      <c r="K374" s="6">
        <v>1167</v>
      </c>
      <c r="L374" s="2">
        <v>0</v>
      </c>
      <c r="M374" s="2">
        <v>0</v>
      </c>
      <c r="N374" s="2">
        <v>0</v>
      </c>
      <c r="O374" s="2">
        <v>151.71</v>
      </c>
      <c r="P374" s="2">
        <v>1318.71</v>
      </c>
      <c r="Q374" t="s">
        <v>465</v>
      </c>
      <c r="R374" t="s">
        <v>516</v>
      </c>
      <c r="S374" s="2" t="s">
        <v>518</v>
      </c>
      <c r="T374" s="2">
        <v>11.67</v>
      </c>
      <c r="U374" s="2"/>
    </row>
    <row r="375" spans="1:21" x14ac:dyDescent="0.25">
      <c r="A375" t="s">
        <v>480</v>
      </c>
      <c r="B375" t="s">
        <v>914</v>
      </c>
      <c r="C375" t="s">
        <v>440</v>
      </c>
      <c r="D375" t="s">
        <v>0</v>
      </c>
      <c r="E375">
        <v>536420</v>
      </c>
      <c r="F375" t="s">
        <v>204</v>
      </c>
      <c r="G375" t="s">
        <v>205</v>
      </c>
      <c r="H375" s="2">
        <v>2.42</v>
      </c>
      <c r="I375" s="2">
        <v>0</v>
      </c>
      <c r="J375" s="2">
        <v>0</v>
      </c>
      <c r="K375" s="6">
        <v>28.83</v>
      </c>
      <c r="L375" s="2">
        <v>0</v>
      </c>
      <c r="M375" s="2">
        <v>0</v>
      </c>
      <c r="N375" s="2">
        <v>0</v>
      </c>
      <c r="O375" s="2">
        <v>3.7479</v>
      </c>
      <c r="P375" s="2">
        <v>34.997900000000001</v>
      </c>
      <c r="Q375" t="s">
        <v>465</v>
      </c>
      <c r="R375" t="s">
        <v>516</v>
      </c>
      <c r="S375" s="2">
        <v>0</v>
      </c>
      <c r="T375" s="2">
        <v>0</v>
      </c>
      <c r="U375" s="2"/>
    </row>
    <row r="376" spans="1:21" x14ac:dyDescent="0.25">
      <c r="A376" t="s">
        <v>480</v>
      </c>
      <c r="B376" t="s">
        <v>914</v>
      </c>
      <c r="C376" t="s">
        <v>440</v>
      </c>
      <c r="D376" t="s">
        <v>0</v>
      </c>
      <c r="E376">
        <v>585563</v>
      </c>
      <c r="F376" t="s">
        <v>325</v>
      </c>
      <c r="G376" t="s">
        <v>326</v>
      </c>
      <c r="H376" s="2">
        <v>0</v>
      </c>
      <c r="I376" s="2">
        <v>0</v>
      </c>
      <c r="J376" s="2">
        <v>0</v>
      </c>
      <c r="K376" s="6">
        <v>95.55</v>
      </c>
      <c r="L376" s="2">
        <v>0</v>
      </c>
      <c r="M376" s="2">
        <v>0</v>
      </c>
      <c r="N376" s="2">
        <v>0</v>
      </c>
      <c r="O376" s="2">
        <v>12.4215</v>
      </c>
      <c r="P376" s="2">
        <v>107.97149999999999</v>
      </c>
      <c r="Q376" t="s">
        <v>465</v>
      </c>
      <c r="R376" t="s">
        <v>516</v>
      </c>
      <c r="S376" s="2">
        <v>0</v>
      </c>
      <c r="T376" s="2">
        <v>0</v>
      </c>
      <c r="U376" s="2"/>
    </row>
    <row r="377" spans="1:21" x14ac:dyDescent="0.25">
      <c r="A377" t="s">
        <v>480</v>
      </c>
      <c r="B377" t="s">
        <v>894</v>
      </c>
      <c r="C377" t="s">
        <v>440</v>
      </c>
      <c r="D377" s="11" t="s">
        <v>1221</v>
      </c>
      <c r="E377">
        <v>1833</v>
      </c>
      <c r="F377" t="s">
        <v>1045</v>
      </c>
      <c r="G377" t="s">
        <v>1046</v>
      </c>
      <c r="H377" s="2">
        <v>0</v>
      </c>
      <c r="I377" s="2">
        <v>0</v>
      </c>
      <c r="J377" s="2">
        <v>0</v>
      </c>
      <c r="K377" s="6">
        <v>72.17</v>
      </c>
      <c r="L377" s="2">
        <v>0</v>
      </c>
      <c r="M377" s="2">
        <v>0</v>
      </c>
      <c r="N377" s="2">
        <v>0</v>
      </c>
      <c r="O377" s="2">
        <v>9.3821000000000012</v>
      </c>
      <c r="P377" s="2">
        <v>81.552099999999996</v>
      </c>
      <c r="Q377" t="s">
        <v>465</v>
      </c>
      <c r="R377" t="s">
        <v>516</v>
      </c>
      <c r="S377" s="2">
        <v>0</v>
      </c>
      <c r="T377" s="2">
        <v>0</v>
      </c>
      <c r="U377" s="2"/>
    </row>
    <row r="378" spans="1:21" x14ac:dyDescent="0.25">
      <c r="A378" t="s">
        <v>480</v>
      </c>
      <c r="B378" t="s">
        <v>894</v>
      </c>
      <c r="C378" t="s">
        <v>440</v>
      </c>
      <c r="D378" s="11" t="s">
        <v>1221</v>
      </c>
      <c r="E378">
        <v>1834</v>
      </c>
      <c r="F378" t="s">
        <v>1045</v>
      </c>
      <c r="G378" t="s">
        <v>1046</v>
      </c>
      <c r="H378" s="2">
        <v>0</v>
      </c>
      <c r="I378" s="2">
        <v>0</v>
      </c>
      <c r="J378" s="2">
        <v>0</v>
      </c>
      <c r="K378" s="6">
        <v>36.4</v>
      </c>
      <c r="L378" s="2">
        <v>0</v>
      </c>
      <c r="M378" s="2">
        <v>0</v>
      </c>
      <c r="N378" s="2">
        <v>0</v>
      </c>
      <c r="O378" s="2">
        <v>4.7320000000000002</v>
      </c>
      <c r="P378" s="2">
        <v>41.131999999999998</v>
      </c>
      <c r="Q378" t="s">
        <v>465</v>
      </c>
      <c r="R378" t="s">
        <v>516</v>
      </c>
      <c r="S378" s="2">
        <v>0</v>
      </c>
      <c r="T378" s="2">
        <v>0</v>
      </c>
      <c r="U378" s="2"/>
    </row>
    <row r="379" spans="1:21" x14ac:dyDescent="0.25">
      <c r="A379" t="s">
        <v>480</v>
      </c>
      <c r="B379" t="s">
        <v>891</v>
      </c>
      <c r="C379" t="s">
        <v>440</v>
      </c>
      <c r="D379" t="s">
        <v>0</v>
      </c>
      <c r="E379">
        <v>46220</v>
      </c>
      <c r="F379" t="s">
        <v>1122</v>
      </c>
      <c r="G379" t="s">
        <v>248</v>
      </c>
      <c r="H379" s="2">
        <v>2.94</v>
      </c>
      <c r="I379" s="2">
        <v>0</v>
      </c>
      <c r="J379" s="2">
        <v>0</v>
      </c>
      <c r="K379" s="6">
        <v>32.799999999999997</v>
      </c>
      <c r="L379" s="2">
        <v>0</v>
      </c>
      <c r="M379" s="2">
        <v>0</v>
      </c>
      <c r="N379" s="2">
        <v>0</v>
      </c>
      <c r="O379" s="2">
        <v>4.2639999999999993</v>
      </c>
      <c r="P379" s="2">
        <v>40.003999999999991</v>
      </c>
      <c r="Q379" t="s">
        <v>465</v>
      </c>
      <c r="R379" t="s">
        <v>516</v>
      </c>
      <c r="S379" s="2">
        <v>0</v>
      </c>
      <c r="T379" s="2">
        <v>0</v>
      </c>
      <c r="U379" s="2"/>
    </row>
    <row r="380" spans="1:21" x14ac:dyDescent="0.25">
      <c r="A380" t="s">
        <v>480</v>
      </c>
      <c r="B380" t="s">
        <v>890</v>
      </c>
      <c r="C380" t="s">
        <v>440</v>
      </c>
      <c r="D380" t="s">
        <v>0</v>
      </c>
      <c r="E380">
        <v>2203323</v>
      </c>
      <c r="F380" t="s">
        <v>173</v>
      </c>
      <c r="G380" t="s">
        <v>174</v>
      </c>
      <c r="H380" s="2">
        <v>1.92</v>
      </c>
      <c r="I380" s="2">
        <v>0</v>
      </c>
      <c r="J380" s="2">
        <v>0</v>
      </c>
      <c r="K380" s="6">
        <v>21.59</v>
      </c>
      <c r="L380" s="2">
        <v>0</v>
      </c>
      <c r="M380" s="2">
        <v>0</v>
      </c>
      <c r="N380" s="2">
        <v>0</v>
      </c>
      <c r="O380" s="2">
        <v>2.8067000000000002</v>
      </c>
      <c r="P380" s="2">
        <v>26.316699999999997</v>
      </c>
      <c r="Q380" t="s">
        <v>465</v>
      </c>
      <c r="R380" t="s">
        <v>516</v>
      </c>
      <c r="S380" s="2">
        <v>0</v>
      </c>
      <c r="T380" s="2">
        <v>0</v>
      </c>
      <c r="U380" s="2"/>
    </row>
    <row r="381" spans="1:21" x14ac:dyDescent="0.25">
      <c r="A381" t="s">
        <v>480</v>
      </c>
      <c r="B381" t="s">
        <v>876</v>
      </c>
      <c r="C381" t="s">
        <v>440</v>
      </c>
      <c r="D381" t="s">
        <v>0</v>
      </c>
      <c r="E381">
        <v>4030423</v>
      </c>
      <c r="F381" t="s">
        <v>167</v>
      </c>
      <c r="G381" t="s">
        <v>168</v>
      </c>
      <c r="H381" s="2">
        <v>0</v>
      </c>
      <c r="I381" s="2">
        <v>0</v>
      </c>
      <c r="J381" s="2">
        <v>0</v>
      </c>
      <c r="K381" s="6">
        <v>33.630000000000003</v>
      </c>
      <c r="L381" s="2">
        <v>0</v>
      </c>
      <c r="M381" s="2">
        <v>0</v>
      </c>
      <c r="N381" s="2">
        <v>0</v>
      </c>
      <c r="O381" s="2">
        <v>4.3719000000000001</v>
      </c>
      <c r="P381" s="2">
        <v>38.001900000000006</v>
      </c>
      <c r="Q381" t="s">
        <v>465</v>
      </c>
      <c r="R381" t="s">
        <v>516</v>
      </c>
      <c r="S381" s="2">
        <v>0</v>
      </c>
      <c r="T381" s="2">
        <v>0</v>
      </c>
      <c r="U381" s="2"/>
    </row>
    <row r="382" spans="1:21" x14ac:dyDescent="0.25">
      <c r="A382" t="s">
        <v>480</v>
      </c>
      <c r="B382" t="s">
        <v>877</v>
      </c>
      <c r="C382" t="s">
        <v>440</v>
      </c>
      <c r="D382" t="s">
        <v>0</v>
      </c>
      <c r="E382">
        <v>535396</v>
      </c>
      <c r="F382" t="s">
        <v>204</v>
      </c>
      <c r="G382" t="s">
        <v>205</v>
      </c>
      <c r="H382" s="2">
        <v>2.7600000000000002</v>
      </c>
      <c r="I382" s="2">
        <v>0</v>
      </c>
      <c r="J382" s="2">
        <v>0</v>
      </c>
      <c r="K382" s="6">
        <v>32.950000000000003</v>
      </c>
      <c r="L382" s="2">
        <v>0</v>
      </c>
      <c r="M382" s="2">
        <v>0</v>
      </c>
      <c r="N382" s="2">
        <v>0</v>
      </c>
      <c r="O382" s="2">
        <v>4.2835000000000001</v>
      </c>
      <c r="P382" s="2">
        <v>39.993499999999997</v>
      </c>
      <c r="Q382" t="s">
        <v>465</v>
      </c>
      <c r="R382" t="s">
        <v>516</v>
      </c>
      <c r="S382" s="2">
        <v>0</v>
      </c>
      <c r="T382" s="2">
        <v>0</v>
      </c>
      <c r="U382" s="2"/>
    </row>
    <row r="383" spans="1:21" x14ac:dyDescent="0.25">
      <c r="A383" t="s">
        <v>480</v>
      </c>
      <c r="B383" t="s">
        <v>1218</v>
      </c>
      <c r="C383" t="s">
        <v>440</v>
      </c>
      <c r="D383" t="s">
        <v>0</v>
      </c>
      <c r="E383">
        <v>33076</v>
      </c>
      <c r="F383" t="s">
        <v>1219</v>
      </c>
      <c r="G383" t="s">
        <v>1220</v>
      </c>
      <c r="H383" s="2">
        <v>2.9</v>
      </c>
      <c r="I383" s="2">
        <v>0</v>
      </c>
      <c r="J383" s="2">
        <v>0</v>
      </c>
      <c r="K383" s="6">
        <v>32.83</v>
      </c>
      <c r="L383" s="2">
        <v>0</v>
      </c>
      <c r="M383" s="2">
        <v>0</v>
      </c>
      <c r="N383" s="2">
        <v>0</v>
      </c>
      <c r="O383" s="2">
        <v>4.2679</v>
      </c>
      <c r="P383" s="2">
        <v>39.997899999999994</v>
      </c>
      <c r="Q383" t="s">
        <v>465</v>
      </c>
      <c r="R383" t="s">
        <v>516</v>
      </c>
      <c r="S383" s="2">
        <v>0</v>
      </c>
      <c r="T383" s="2">
        <v>0</v>
      </c>
      <c r="U383" s="2"/>
    </row>
    <row r="384" spans="1:21" x14ac:dyDescent="0.25">
      <c r="A384" t="s">
        <v>480</v>
      </c>
      <c r="B384" s="11" t="s">
        <v>880</v>
      </c>
      <c r="C384" t="s">
        <v>440</v>
      </c>
      <c r="D384" t="s">
        <v>0</v>
      </c>
      <c r="E384">
        <v>28718</v>
      </c>
      <c r="F384" t="s">
        <v>236</v>
      </c>
      <c r="G384" t="s">
        <v>237</v>
      </c>
      <c r="H384" s="2">
        <v>1.0899999999999999</v>
      </c>
      <c r="I384" s="2">
        <v>0</v>
      </c>
      <c r="J384" s="2">
        <v>0</v>
      </c>
      <c r="K384" s="6">
        <v>12.31</v>
      </c>
      <c r="L384" s="2">
        <v>0</v>
      </c>
      <c r="M384" s="2">
        <v>0</v>
      </c>
      <c r="N384" s="2">
        <v>0</v>
      </c>
      <c r="O384" s="2">
        <v>1.6003000000000001</v>
      </c>
      <c r="P384" s="2">
        <v>15.000300000000001</v>
      </c>
      <c r="Q384" t="s">
        <v>465</v>
      </c>
      <c r="R384" t="s">
        <v>516</v>
      </c>
      <c r="S384" s="2">
        <v>0</v>
      </c>
      <c r="T384" s="2">
        <v>0</v>
      </c>
      <c r="U384" s="2"/>
    </row>
    <row r="385" spans="1:21" x14ac:dyDescent="0.25">
      <c r="A385" t="s">
        <v>480</v>
      </c>
      <c r="B385" t="s">
        <v>881</v>
      </c>
      <c r="C385" t="s">
        <v>440</v>
      </c>
      <c r="D385" t="s">
        <v>0</v>
      </c>
      <c r="E385">
        <v>609772</v>
      </c>
      <c r="F385" t="s">
        <v>244</v>
      </c>
      <c r="G385" t="s">
        <v>245</v>
      </c>
      <c r="H385" s="2">
        <v>1.47</v>
      </c>
      <c r="I385" s="2">
        <v>0</v>
      </c>
      <c r="J385" s="2">
        <v>0</v>
      </c>
      <c r="K385" s="6">
        <v>16.399999999999999</v>
      </c>
      <c r="L385" s="2">
        <v>0</v>
      </c>
      <c r="M385" s="2">
        <v>0</v>
      </c>
      <c r="N385" s="2">
        <v>0</v>
      </c>
      <c r="O385" s="2">
        <v>2.1319999999999997</v>
      </c>
      <c r="P385" s="2">
        <v>20.001999999999995</v>
      </c>
      <c r="Q385" t="s">
        <v>465</v>
      </c>
      <c r="R385" t="s">
        <v>516</v>
      </c>
      <c r="S385" s="2">
        <v>0</v>
      </c>
      <c r="T385" s="2">
        <v>0</v>
      </c>
      <c r="U385" s="2"/>
    </row>
    <row r="386" spans="1:21" x14ac:dyDescent="0.25">
      <c r="A386" t="s">
        <v>480</v>
      </c>
      <c r="B386" t="s">
        <v>882</v>
      </c>
      <c r="C386" t="s">
        <v>440</v>
      </c>
      <c r="D386" t="s">
        <v>0</v>
      </c>
      <c r="E386">
        <v>715710</v>
      </c>
      <c r="F386" t="s">
        <v>244</v>
      </c>
      <c r="G386" t="s">
        <v>245</v>
      </c>
      <c r="H386" s="2">
        <v>2.91</v>
      </c>
      <c r="I386" s="2">
        <v>0</v>
      </c>
      <c r="J386" s="2">
        <v>0</v>
      </c>
      <c r="K386" s="6">
        <v>32.82</v>
      </c>
      <c r="L386" s="2">
        <v>0</v>
      </c>
      <c r="M386" s="2">
        <v>0</v>
      </c>
      <c r="N386" s="2">
        <v>0</v>
      </c>
      <c r="O386" s="2">
        <v>4.2666000000000004</v>
      </c>
      <c r="P386" s="2">
        <v>39.996600000000001</v>
      </c>
      <c r="Q386" t="s">
        <v>465</v>
      </c>
      <c r="R386" t="s">
        <v>516</v>
      </c>
      <c r="S386" s="2">
        <v>0</v>
      </c>
      <c r="T386" s="2">
        <v>0</v>
      </c>
      <c r="U386" s="2"/>
    </row>
    <row r="387" spans="1:21" x14ac:dyDescent="0.25">
      <c r="A387" t="s">
        <v>480</v>
      </c>
      <c r="B387" s="11" t="s">
        <v>883</v>
      </c>
      <c r="C387" t="s">
        <v>440</v>
      </c>
      <c r="D387" t="s">
        <v>0</v>
      </c>
      <c r="E387">
        <v>6220</v>
      </c>
      <c r="F387" t="s">
        <v>1216</v>
      </c>
      <c r="G387" t="s">
        <v>1217</v>
      </c>
      <c r="H387" s="2">
        <v>2.93</v>
      </c>
      <c r="I387" s="2">
        <v>0</v>
      </c>
      <c r="J387" s="2">
        <v>0</v>
      </c>
      <c r="K387" s="6">
        <v>32.81</v>
      </c>
      <c r="L387" s="2">
        <v>0</v>
      </c>
      <c r="M387" s="2">
        <v>0</v>
      </c>
      <c r="N387" s="2">
        <v>0</v>
      </c>
      <c r="O387" s="2">
        <v>4.2653000000000008</v>
      </c>
      <c r="P387" s="2">
        <v>40.005300000000005</v>
      </c>
      <c r="Q387" t="s">
        <v>465</v>
      </c>
      <c r="R387" t="s">
        <v>516</v>
      </c>
      <c r="S387" s="2">
        <v>0</v>
      </c>
      <c r="T387" s="2">
        <v>0</v>
      </c>
      <c r="U387" s="2"/>
    </row>
    <row r="388" spans="1:21" x14ac:dyDescent="0.25">
      <c r="A388" t="s">
        <v>480</v>
      </c>
      <c r="B388" t="s">
        <v>884</v>
      </c>
      <c r="C388" t="s">
        <v>440</v>
      </c>
      <c r="D388" t="s">
        <v>0</v>
      </c>
      <c r="E388">
        <v>502813</v>
      </c>
      <c r="F388" t="s">
        <v>204</v>
      </c>
      <c r="G388" t="s">
        <v>205</v>
      </c>
      <c r="H388" s="2">
        <v>2.7600000000000002</v>
      </c>
      <c r="I388" s="2">
        <v>0</v>
      </c>
      <c r="J388" s="2">
        <v>0</v>
      </c>
      <c r="K388" s="6">
        <v>32.950000000000003</v>
      </c>
      <c r="L388" s="2">
        <v>0</v>
      </c>
      <c r="M388" s="2">
        <v>0</v>
      </c>
      <c r="N388" s="2">
        <v>0</v>
      </c>
      <c r="O388" s="2">
        <v>4.2835000000000001</v>
      </c>
      <c r="P388" s="2">
        <v>39.993499999999997</v>
      </c>
      <c r="Q388" t="s">
        <v>465</v>
      </c>
      <c r="R388" t="s">
        <v>516</v>
      </c>
      <c r="S388" s="2">
        <v>0</v>
      </c>
      <c r="T388" s="2">
        <v>0</v>
      </c>
      <c r="U388" s="2"/>
    </row>
    <row r="389" spans="1:21" x14ac:dyDescent="0.25">
      <c r="A389" t="s">
        <v>480</v>
      </c>
      <c r="B389" t="s">
        <v>796</v>
      </c>
      <c r="C389" t="s">
        <v>440</v>
      </c>
      <c r="D389" t="s">
        <v>0</v>
      </c>
      <c r="E389">
        <v>1450690</v>
      </c>
      <c r="F389" t="s">
        <v>29</v>
      </c>
      <c r="G389" t="s">
        <v>233</v>
      </c>
      <c r="H389" s="2">
        <v>2.0999999999999996</v>
      </c>
      <c r="I389" s="2">
        <v>0</v>
      </c>
      <c r="J389" s="2">
        <v>0</v>
      </c>
      <c r="K389" s="6">
        <v>24.69</v>
      </c>
      <c r="L389" s="2">
        <v>0</v>
      </c>
      <c r="M389" s="2">
        <v>0</v>
      </c>
      <c r="N389" s="2">
        <v>0</v>
      </c>
      <c r="O389" s="2">
        <v>3.2097000000000002</v>
      </c>
      <c r="P389" s="2">
        <v>29.999700000000001</v>
      </c>
      <c r="Q389" t="s">
        <v>465</v>
      </c>
      <c r="R389" t="s">
        <v>516</v>
      </c>
      <c r="S389" s="2">
        <v>0</v>
      </c>
      <c r="T389" s="2">
        <v>0</v>
      </c>
      <c r="U389" s="2"/>
    </row>
    <row r="390" spans="1:21" ht="15.75" thickBot="1" x14ac:dyDescent="0.3">
      <c r="T390" s="2"/>
      <c r="U390" s="2"/>
    </row>
    <row r="391" spans="1:21" ht="15.75" thickBot="1" x14ac:dyDescent="0.3">
      <c r="A391" s="42" t="s">
        <v>46</v>
      </c>
      <c r="B391" s="43"/>
      <c r="C391" s="43"/>
      <c r="D391" s="43"/>
      <c r="E391" s="43"/>
      <c r="F391" s="43"/>
      <c r="G391" s="44"/>
      <c r="H391" s="3">
        <f>+SUBTOTAL(9,Tabla1[C. EXENTAS])</f>
        <v>261.37799999999987</v>
      </c>
      <c r="I391" s="3">
        <f>+SUBTOTAL(9,Tabla1[I. EXENTAS])</f>
        <v>0</v>
      </c>
      <c r="J391" s="3">
        <f>+SUBTOTAL(9,Tabla1[IMPOR EX])</f>
        <v>0</v>
      </c>
      <c r="K391" s="3">
        <f>+SUBTOTAL(9,Tabla1[C. GRAVADA])</f>
        <v>139771.07999999996</v>
      </c>
      <c r="L391" s="3">
        <f>+SUBTOTAL(9,Tabla1[INTER GRAVA])</f>
        <v>0</v>
      </c>
      <c r="M391" s="3">
        <f>+SUBTOTAL(9,Tabla1[IMPOR BIENES])</f>
        <v>0</v>
      </c>
      <c r="N391" s="3">
        <f>+SUBTOTAL(9,Tabla1[IMPOR SERV])</f>
        <v>0</v>
      </c>
      <c r="O391" s="3">
        <f>+SUBTOTAL(9,Tabla1[IVA])</f>
        <v>18170.240399999995</v>
      </c>
      <c r="P391" s="3">
        <f>+SUBTOTAL(9,Tabla1[TOTAL C.])</f>
        <v>158202.69840000011</v>
      </c>
      <c r="Q391" s="3"/>
      <c r="R391" s="3">
        <f>+SUBTOTAL(9,Tabla1[ANEXO 3])</f>
        <v>0</v>
      </c>
      <c r="S391" s="3"/>
      <c r="T391" s="3">
        <f>+SUBTOTAL(9,Tabla1[PERCEPCIONES])</f>
        <v>1055.9550000000004</v>
      </c>
      <c r="U391" s="2"/>
    </row>
    <row r="392" spans="1:21" x14ac:dyDescent="0.25">
      <c r="U392" s="2"/>
    </row>
    <row r="393" spans="1:21" x14ac:dyDescent="0.25">
      <c r="U393" s="2"/>
    </row>
    <row r="394" spans="1:21" x14ac:dyDescent="0.25">
      <c r="U394" s="2"/>
    </row>
    <row r="395" spans="1:21" x14ac:dyDescent="0.25">
      <c r="U395" s="2"/>
    </row>
    <row r="396" spans="1:21" x14ac:dyDescent="0.25">
      <c r="U396" s="2"/>
    </row>
    <row r="397" spans="1:21" x14ac:dyDescent="0.25">
      <c r="U397" s="2"/>
    </row>
    <row r="398" spans="1:21" x14ac:dyDescent="0.25">
      <c r="U398" s="2"/>
    </row>
    <row r="399" spans="1:21" x14ac:dyDescent="0.25">
      <c r="U399" s="2"/>
    </row>
    <row r="400" spans="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37"/>
    </row>
    <row r="543" spans="21:21" x14ac:dyDescent="0.25">
      <c r="U543" s="37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2"/>
    </row>
    <row r="1073" spans="21:21" x14ac:dyDescent="0.25">
      <c r="U1073" s="2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153" spans="21:21" x14ac:dyDescent="0.25">
      <c r="U1153" s="2"/>
    </row>
    <row r="1154" spans="21:21" x14ac:dyDescent="0.25">
      <c r="U1154" s="2"/>
    </row>
    <row r="1155" spans="21:21" x14ac:dyDescent="0.25">
      <c r="U1155" s="2"/>
    </row>
    <row r="1156" spans="21:21" x14ac:dyDescent="0.25">
      <c r="U1156" s="2"/>
    </row>
    <row r="1157" spans="21:21" x14ac:dyDescent="0.25">
      <c r="U1157" s="2"/>
    </row>
    <row r="1158" spans="21:21" x14ac:dyDescent="0.25">
      <c r="U1158" s="2"/>
    </row>
    <row r="1524" spans="1:20" s="21" customFormat="1" x14ac:dyDescent="0.25">
      <c r="A1524"/>
      <c r="B1524"/>
      <c r="C1524"/>
      <c r="D1524"/>
      <c r="E1524"/>
      <c r="F1524"/>
      <c r="G1524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/>
      <c r="S1524"/>
      <c r="T1524"/>
    </row>
  </sheetData>
  <dataConsolidate/>
  <mergeCells count="1">
    <mergeCell ref="A391:G391"/>
  </mergeCells>
  <phoneticPr fontId="5" type="noConversion"/>
  <pageMargins left="0.70866141732283472" right="0.70866141732283472" top="0.74803149606299213" bottom="0.74803149606299213" header="0.31496062992125984" footer="0.31496062992125984"/>
  <pageSetup scale="41" orientation="landscape" horizontalDpi="4294967294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B050"/>
  </sheetPr>
  <dimension ref="A2:U10956"/>
  <sheetViews>
    <sheetView topLeftCell="A2" zoomScale="85" zoomScaleNormal="85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5" t="s">
        <v>2</v>
      </c>
      <c r="C2" t="s">
        <v>3</v>
      </c>
      <c r="D2" t="s">
        <v>4</v>
      </c>
      <c r="E2" t="s">
        <v>1197</v>
      </c>
      <c r="F2" t="s">
        <v>27</v>
      </c>
      <c r="G2" t="s">
        <v>26</v>
      </c>
      <c r="H2" t="s">
        <v>25</v>
      </c>
      <c r="I2" s="1" t="s">
        <v>166</v>
      </c>
      <c r="J2" t="s">
        <v>47</v>
      </c>
      <c r="K2" s="2" t="s">
        <v>49</v>
      </c>
      <c r="L2" s="2" t="s">
        <v>48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50</v>
      </c>
      <c r="R2" s="2" t="s">
        <v>479</v>
      </c>
      <c r="S2" t="s">
        <v>18</v>
      </c>
    </row>
    <row r="3" spans="1:19" x14ac:dyDescent="0.25">
      <c r="A3" s="2" t="s">
        <v>554</v>
      </c>
      <c r="B3" s="20">
        <v>44986</v>
      </c>
      <c r="C3" s="2" t="s">
        <v>1</v>
      </c>
      <c r="D3" s="2" t="s">
        <v>1221</v>
      </c>
      <c r="E3" s="2" t="s">
        <v>1299</v>
      </c>
      <c r="F3" s="2" t="s">
        <v>1300</v>
      </c>
      <c r="G3" s="14">
        <v>353</v>
      </c>
      <c r="H3" s="18">
        <v>353</v>
      </c>
      <c r="I3" s="19" t="s">
        <v>98</v>
      </c>
      <c r="J3" s="13" t="s">
        <v>99</v>
      </c>
      <c r="K3" s="2">
        <v>0</v>
      </c>
      <c r="L3" s="2">
        <v>0</v>
      </c>
      <c r="M3" s="13">
        <v>191.59</v>
      </c>
      <c r="N3" s="2">
        <v>24.906700000000001</v>
      </c>
      <c r="O3" s="2">
        <v>0</v>
      </c>
      <c r="P3" s="2">
        <v>0</v>
      </c>
      <c r="Q3" s="13">
        <v>216.4967</v>
      </c>
      <c r="R3" s="2">
        <v>0</v>
      </c>
      <c r="S3" s="2" t="s">
        <v>1</v>
      </c>
    </row>
    <row r="4" spans="1:19" x14ac:dyDescent="0.25">
      <c r="A4" s="2" t="s">
        <v>554</v>
      </c>
      <c r="B4" s="20">
        <v>44986</v>
      </c>
      <c r="C4" s="2" t="s">
        <v>1</v>
      </c>
      <c r="D4" s="2" t="s">
        <v>1221</v>
      </c>
      <c r="E4" s="2" t="s">
        <v>1299</v>
      </c>
      <c r="F4" s="2" t="s">
        <v>1300</v>
      </c>
      <c r="G4" s="14">
        <v>352</v>
      </c>
      <c r="H4" s="18">
        <v>352</v>
      </c>
      <c r="I4" s="19" t="s">
        <v>98</v>
      </c>
      <c r="J4" s="13" t="s">
        <v>99</v>
      </c>
      <c r="K4" s="2">
        <v>0</v>
      </c>
      <c r="L4" s="2">
        <v>0</v>
      </c>
      <c r="M4" s="13">
        <v>38.32</v>
      </c>
      <c r="N4" s="2">
        <v>4.9816000000000003</v>
      </c>
      <c r="O4" s="2">
        <v>0</v>
      </c>
      <c r="P4" s="2">
        <v>0</v>
      </c>
      <c r="Q4" s="13">
        <v>43.301600000000001</v>
      </c>
      <c r="R4" s="2">
        <v>0</v>
      </c>
      <c r="S4" s="2" t="s">
        <v>1</v>
      </c>
    </row>
    <row r="5" spans="1:19" x14ac:dyDescent="0.25">
      <c r="A5" s="2" t="s">
        <v>554</v>
      </c>
      <c r="B5" s="20">
        <v>44986</v>
      </c>
      <c r="C5" s="2" t="s">
        <v>1</v>
      </c>
      <c r="D5" s="2" t="s">
        <v>1221</v>
      </c>
      <c r="E5" s="2" t="s">
        <v>1299</v>
      </c>
      <c r="F5" s="2" t="s">
        <v>1300</v>
      </c>
      <c r="G5" s="14">
        <v>351</v>
      </c>
      <c r="H5" s="18">
        <v>351</v>
      </c>
      <c r="I5" s="19" t="s">
        <v>435</v>
      </c>
      <c r="J5" s="13" t="s">
        <v>434</v>
      </c>
      <c r="K5" s="2">
        <v>0</v>
      </c>
      <c r="L5" s="2">
        <v>0</v>
      </c>
      <c r="M5" s="13">
        <v>0</v>
      </c>
      <c r="N5" s="2">
        <v>0</v>
      </c>
      <c r="O5" s="2">
        <v>0</v>
      </c>
      <c r="P5" s="2">
        <v>0</v>
      </c>
      <c r="Q5" s="13">
        <v>0</v>
      </c>
      <c r="R5" s="2">
        <v>0</v>
      </c>
      <c r="S5" s="2" t="s">
        <v>1</v>
      </c>
    </row>
    <row r="6" spans="1:19" x14ac:dyDescent="0.25">
      <c r="A6" s="2" t="s">
        <v>554</v>
      </c>
      <c r="B6" s="20">
        <v>44986</v>
      </c>
      <c r="C6" s="2" t="s">
        <v>1</v>
      </c>
      <c r="D6" s="2" t="s">
        <v>1221</v>
      </c>
      <c r="E6" s="2" t="s">
        <v>1299</v>
      </c>
      <c r="F6" s="2" t="s">
        <v>1300</v>
      </c>
      <c r="G6" s="14">
        <v>345</v>
      </c>
      <c r="H6" s="18">
        <v>345</v>
      </c>
      <c r="I6" s="19" t="s">
        <v>98</v>
      </c>
      <c r="J6" s="13" t="s">
        <v>99</v>
      </c>
      <c r="K6" s="2">
        <v>0</v>
      </c>
      <c r="L6" s="2">
        <v>0</v>
      </c>
      <c r="M6" s="13">
        <v>3</v>
      </c>
      <c r="N6" s="2">
        <v>0.39</v>
      </c>
      <c r="O6" s="2">
        <v>0</v>
      </c>
      <c r="P6" s="2">
        <v>0</v>
      </c>
      <c r="Q6" s="13">
        <v>3.39</v>
      </c>
      <c r="R6" s="2">
        <v>0</v>
      </c>
      <c r="S6" s="2" t="s">
        <v>1</v>
      </c>
    </row>
    <row r="7" spans="1:19" x14ac:dyDescent="0.25">
      <c r="A7" s="2" t="s">
        <v>554</v>
      </c>
      <c r="B7" s="20">
        <v>44986</v>
      </c>
      <c r="C7" s="2" t="s">
        <v>1</v>
      </c>
      <c r="D7" s="2" t="s">
        <v>0</v>
      </c>
      <c r="E7" s="2" t="s">
        <v>1168</v>
      </c>
      <c r="F7" s="2" t="s">
        <v>1169</v>
      </c>
      <c r="G7" s="14">
        <v>1293</v>
      </c>
      <c r="H7" s="18">
        <v>1293</v>
      </c>
      <c r="I7" s="19" t="s">
        <v>435</v>
      </c>
      <c r="J7" s="13" t="s">
        <v>434</v>
      </c>
      <c r="K7" s="2">
        <v>0</v>
      </c>
      <c r="L7" s="2">
        <v>0</v>
      </c>
      <c r="M7" s="13">
        <v>0</v>
      </c>
      <c r="N7" s="2">
        <v>0</v>
      </c>
      <c r="O7" s="2">
        <v>0</v>
      </c>
      <c r="P7" s="2">
        <v>0</v>
      </c>
      <c r="Q7" s="13">
        <v>0</v>
      </c>
      <c r="R7" s="2">
        <v>0</v>
      </c>
      <c r="S7" s="2" t="s">
        <v>1</v>
      </c>
    </row>
    <row r="8" spans="1:19" x14ac:dyDescent="0.25">
      <c r="A8" s="2" t="s">
        <v>554</v>
      </c>
      <c r="B8" s="20">
        <v>44986</v>
      </c>
      <c r="C8" s="2" t="s">
        <v>1</v>
      </c>
      <c r="D8" s="2" t="s">
        <v>0</v>
      </c>
      <c r="E8" s="2" t="s">
        <v>1168</v>
      </c>
      <c r="F8" s="2" t="s">
        <v>1169</v>
      </c>
      <c r="G8" s="14">
        <v>1294</v>
      </c>
      <c r="H8" s="18">
        <v>1294</v>
      </c>
      <c r="I8" s="19" t="s">
        <v>969</v>
      </c>
      <c r="J8" s="13" t="s">
        <v>970</v>
      </c>
      <c r="K8" s="2">
        <v>0</v>
      </c>
      <c r="L8" s="2">
        <v>0</v>
      </c>
      <c r="M8" s="13">
        <v>282.5</v>
      </c>
      <c r="N8" s="2">
        <v>36.725000000000001</v>
      </c>
      <c r="O8" s="2">
        <v>0</v>
      </c>
      <c r="P8" s="2">
        <v>0</v>
      </c>
      <c r="Q8" s="13">
        <v>319.22500000000002</v>
      </c>
      <c r="R8" s="2">
        <v>0</v>
      </c>
      <c r="S8" s="2" t="s">
        <v>1</v>
      </c>
    </row>
    <row r="9" spans="1:19" x14ac:dyDescent="0.25">
      <c r="A9" s="2" t="s">
        <v>554</v>
      </c>
      <c r="B9" s="20">
        <v>44986</v>
      </c>
      <c r="C9" s="2" t="s">
        <v>1</v>
      </c>
      <c r="D9" s="2" t="s">
        <v>0</v>
      </c>
      <c r="E9" s="2" t="s">
        <v>1168</v>
      </c>
      <c r="F9" s="2" t="s">
        <v>1169</v>
      </c>
      <c r="G9" s="14">
        <v>1295</v>
      </c>
      <c r="H9" s="18">
        <v>1295</v>
      </c>
      <c r="I9" s="19" t="s">
        <v>1055</v>
      </c>
      <c r="J9" s="13" t="s">
        <v>1056</v>
      </c>
      <c r="K9" s="2">
        <v>0</v>
      </c>
      <c r="L9" s="2">
        <v>0</v>
      </c>
      <c r="M9" s="13">
        <v>117.36</v>
      </c>
      <c r="N9" s="2">
        <v>15.2568</v>
      </c>
      <c r="O9" s="2">
        <v>0</v>
      </c>
      <c r="P9" s="2">
        <v>0</v>
      </c>
      <c r="Q9" s="13">
        <v>132.61680000000001</v>
      </c>
      <c r="R9" s="2">
        <v>0</v>
      </c>
      <c r="S9" s="2" t="s">
        <v>1</v>
      </c>
    </row>
    <row r="10" spans="1:19" x14ac:dyDescent="0.25">
      <c r="A10" s="2" t="s">
        <v>554</v>
      </c>
      <c r="B10" s="20">
        <v>44986</v>
      </c>
      <c r="C10" s="2" t="s">
        <v>1</v>
      </c>
      <c r="D10" s="2" t="s">
        <v>0</v>
      </c>
      <c r="E10" s="2" t="s">
        <v>1168</v>
      </c>
      <c r="F10" s="2" t="s">
        <v>1169</v>
      </c>
      <c r="G10" s="14">
        <v>1296</v>
      </c>
      <c r="H10" s="18">
        <v>1296</v>
      </c>
      <c r="I10" s="19" t="s">
        <v>1297</v>
      </c>
      <c r="J10" s="13" t="s">
        <v>1298</v>
      </c>
      <c r="K10" s="2">
        <v>0</v>
      </c>
      <c r="L10" s="2">
        <v>0</v>
      </c>
      <c r="M10" s="13">
        <v>19.010000000000002</v>
      </c>
      <c r="N10" s="2">
        <v>2.4713000000000003</v>
      </c>
      <c r="O10" s="2">
        <v>0</v>
      </c>
      <c r="P10" s="2">
        <v>0</v>
      </c>
      <c r="Q10" s="13">
        <v>21.481300000000001</v>
      </c>
      <c r="R10" s="2">
        <v>0</v>
      </c>
      <c r="S10" s="2" t="s">
        <v>1</v>
      </c>
    </row>
    <row r="11" spans="1:19" x14ac:dyDescent="0.25">
      <c r="A11" s="2" t="s">
        <v>554</v>
      </c>
      <c r="B11" s="20">
        <v>44986</v>
      </c>
      <c r="C11" s="2" t="s">
        <v>1</v>
      </c>
      <c r="D11" s="2" t="s">
        <v>0</v>
      </c>
      <c r="E11" s="2" t="s">
        <v>1168</v>
      </c>
      <c r="F11" s="2" t="s">
        <v>1169</v>
      </c>
      <c r="G11" s="14">
        <v>1297</v>
      </c>
      <c r="H11" s="18">
        <v>1297</v>
      </c>
      <c r="I11" s="19" t="s">
        <v>1033</v>
      </c>
      <c r="J11" s="13" t="s">
        <v>1034</v>
      </c>
      <c r="K11" s="2">
        <v>0</v>
      </c>
      <c r="L11" s="2">
        <v>0</v>
      </c>
      <c r="M11" s="13">
        <v>23.89</v>
      </c>
      <c r="N11" s="2">
        <v>3.1057000000000001</v>
      </c>
      <c r="O11" s="2">
        <v>0</v>
      </c>
      <c r="P11" s="2">
        <v>0</v>
      </c>
      <c r="Q11" s="13">
        <v>26.995699999999999</v>
      </c>
      <c r="R11" s="2">
        <v>0</v>
      </c>
      <c r="S11" s="2" t="s">
        <v>1</v>
      </c>
    </row>
    <row r="12" spans="1:19" x14ac:dyDescent="0.25">
      <c r="A12" s="2" t="s">
        <v>554</v>
      </c>
      <c r="B12" s="20">
        <v>44986</v>
      </c>
      <c r="C12" s="2" t="s">
        <v>1</v>
      </c>
      <c r="D12" s="2" t="s">
        <v>0</v>
      </c>
      <c r="E12" s="2" t="s">
        <v>1168</v>
      </c>
      <c r="F12" s="2" t="s">
        <v>1169</v>
      </c>
      <c r="G12" s="14">
        <v>1298</v>
      </c>
      <c r="H12" s="18">
        <v>1298</v>
      </c>
      <c r="I12" s="19" t="s">
        <v>1141</v>
      </c>
      <c r="J12" s="13" t="s">
        <v>997</v>
      </c>
      <c r="K12" s="2">
        <v>0</v>
      </c>
      <c r="L12" s="2">
        <v>0</v>
      </c>
      <c r="M12" s="13">
        <v>166.56</v>
      </c>
      <c r="N12" s="2">
        <v>21.652800000000003</v>
      </c>
      <c r="O12" s="2">
        <v>0</v>
      </c>
      <c r="P12" s="2">
        <v>0</v>
      </c>
      <c r="Q12" s="13">
        <v>188.21280000000002</v>
      </c>
      <c r="R12" s="2">
        <v>0</v>
      </c>
      <c r="S12" s="2" t="s">
        <v>1</v>
      </c>
    </row>
    <row r="13" spans="1:19" x14ac:dyDescent="0.25">
      <c r="A13" s="2" t="s">
        <v>554</v>
      </c>
      <c r="B13" s="20">
        <v>44986</v>
      </c>
      <c r="C13" s="2" t="s">
        <v>1</v>
      </c>
      <c r="D13" s="2" t="s">
        <v>0</v>
      </c>
      <c r="E13" s="2" t="s">
        <v>1168</v>
      </c>
      <c r="F13" s="2" t="s">
        <v>1169</v>
      </c>
      <c r="G13" s="14">
        <v>1299</v>
      </c>
      <c r="H13" s="18">
        <v>1299</v>
      </c>
      <c r="I13" s="19" t="s">
        <v>1059</v>
      </c>
      <c r="J13" s="13" t="s">
        <v>1060</v>
      </c>
      <c r="K13" s="2">
        <v>0</v>
      </c>
      <c r="L13" s="2">
        <v>0</v>
      </c>
      <c r="M13" s="13">
        <v>1069.52</v>
      </c>
      <c r="N13" s="2">
        <v>139.0376</v>
      </c>
      <c r="O13" s="2">
        <v>0</v>
      </c>
      <c r="P13" s="2">
        <v>0</v>
      </c>
      <c r="Q13" s="13">
        <v>1208.5576000000001</v>
      </c>
      <c r="R13" s="2">
        <v>0</v>
      </c>
      <c r="S13" s="2" t="s">
        <v>1</v>
      </c>
    </row>
    <row r="14" spans="1:19" x14ac:dyDescent="0.25">
      <c r="A14" s="2" t="s">
        <v>554</v>
      </c>
      <c r="B14" s="20">
        <v>44986</v>
      </c>
      <c r="C14" s="2" t="s">
        <v>1</v>
      </c>
      <c r="D14" s="2" t="s">
        <v>0</v>
      </c>
      <c r="E14" s="2" t="s">
        <v>1168</v>
      </c>
      <c r="F14" s="2" t="s">
        <v>1169</v>
      </c>
      <c r="G14" s="14">
        <v>1300</v>
      </c>
      <c r="H14" s="18">
        <v>1300</v>
      </c>
      <c r="I14" s="19" t="s">
        <v>74</v>
      </c>
      <c r="J14" s="13" t="s">
        <v>75</v>
      </c>
      <c r="K14" s="2">
        <v>0</v>
      </c>
      <c r="L14" s="2">
        <v>0</v>
      </c>
      <c r="M14" s="13">
        <v>611.70000000000005</v>
      </c>
      <c r="N14" s="2">
        <v>79.521000000000015</v>
      </c>
      <c r="O14" s="2">
        <v>0</v>
      </c>
      <c r="P14" s="2">
        <v>0</v>
      </c>
      <c r="Q14" s="13">
        <v>691.221</v>
      </c>
      <c r="R14" s="2">
        <v>0</v>
      </c>
      <c r="S14" s="2" t="s">
        <v>1</v>
      </c>
    </row>
    <row r="15" spans="1:19" x14ac:dyDescent="0.25">
      <c r="A15" s="2" t="s">
        <v>554</v>
      </c>
      <c r="B15" s="20">
        <v>44986</v>
      </c>
      <c r="C15" s="2" t="s">
        <v>1</v>
      </c>
      <c r="D15" s="2" t="s">
        <v>0</v>
      </c>
      <c r="E15" s="2" t="s">
        <v>1168</v>
      </c>
      <c r="F15" s="2" t="s">
        <v>1169</v>
      </c>
      <c r="G15" s="14">
        <v>1301</v>
      </c>
      <c r="H15" s="18">
        <v>1301</v>
      </c>
      <c r="I15" s="19" t="s">
        <v>1115</v>
      </c>
      <c r="J15" s="13" t="s">
        <v>1116</v>
      </c>
      <c r="K15" s="2">
        <v>0</v>
      </c>
      <c r="L15" s="2">
        <v>0</v>
      </c>
      <c r="M15" s="13">
        <v>156.5</v>
      </c>
      <c r="N15" s="2">
        <v>20.345000000000002</v>
      </c>
      <c r="O15" s="2">
        <v>0</v>
      </c>
      <c r="P15" s="2">
        <v>0</v>
      </c>
      <c r="Q15" s="13">
        <v>176.845</v>
      </c>
      <c r="R15" s="2">
        <v>0</v>
      </c>
      <c r="S15" s="2" t="s">
        <v>1</v>
      </c>
    </row>
    <row r="16" spans="1:19" x14ac:dyDescent="0.25">
      <c r="A16" s="2" t="s">
        <v>554</v>
      </c>
      <c r="B16" s="20">
        <v>44987</v>
      </c>
      <c r="C16" s="2" t="s">
        <v>1</v>
      </c>
      <c r="D16" s="2" t="s">
        <v>0</v>
      </c>
      <c r="E16" s="2" t="s">
        <v>1168</v>
      </c>
      <c r="F16" s="2" t="s">
        <v>1169</v>
      </c>
      <c r="G16" s="14">
        <v>1302</v>
      </c>
      <c r="H16" s="18">
        <v>1302</v>
      </c>
      <c r="I16" s="19" t="s">
        <v>435</v>
      </c>
      <c r="J16" s="13" t="s">
        <v>434</v>
      </c>
      <c r="K16" s="2">
        <v>0</v>
      </c>
      <c r="L16" s="2">
        <v>0</v>
      </c>
      <c r="M16" s="13">
        <v>0</v>
      </c>
      <c r="N16" s="2">
        <v>0</v>
      </c>
      <c r="O16" s="2">
        <v>0</v>
      </c>
      <c r="P16" s="2">
        <v>0</v>
      </c>
      <c r="Q16" s="13">
        <v>0</v>
      </c>
      <c r="R16" s="2">
        <v>0</v>
      </c>
      <c r="S16" s="2" t="s">
        <v>1</v>
      </c>
    </row>
    <row r="17" spans="1:19" x14ac:dyDescent="0.25">
      <c r="A17" s="2" t="s">
        <v>554</v>
      </c>
      <c r="B17" s="20">
        <v>44987</v>
      </c>
      <c r="C17" s="2" t="s">
        <v>1</v>
      </c>
      <c r="D17" s="2" t="s">
        <v>0</v>
      </c>
      <c r="E17" s="2" t="s">
        <v>1168</v>
      </c>
      <c r="F17" s="2" t="s">
        <v>1169</v>
      </c>
      <c r="G17" s="14">
        <v>1303</v>
      </c>
      <c r="H17" s="18">
        <v>1303</v>
      </c>
      <c r="I17" s="19" t="s">
        <v>1131</v>
      </c>
      <c r="J17" s="13" t="s">
        <v>1132</v>
      </c>
      <c r="K17" s="2">
        <v>0</v>
      </c>
      <c r="L17" s="2">
        <v>0</v>
      </c>
      <c r="M17" s="13">
        <v>76.8</v>
      </c>
      <c r="N17" s="2">
        <v>9.984</v>
      </c>
      <c r="O17" s="2">
        <v>0</v>
      </c>
      <c r="P17" s="2">
        <v>0</v>
      </c>
      <c r="Q17" s="13">
        <v>86.783999999999992</v>
      </c>
      <c r="R17" s="2">
        <v>0</v>
      </c>
      <c r="S17" s="2" t="s">
        <v>1</v>
      </c>
    </row>
    <row r="18" spans="1:19" x14ac:dyDescent="0.25">
      <c r="A18" s="2" t="s">
        <v>554</v>
      </c>
      <c r="B18" s="20">
        <v>44987</v>
      </c>
      <c r="C18" s="2" t="s">
        <v>1</v>
      </c>
      <c r="D18" s="2" t="s">
        <v>0</v>
      </c>
      <c r="E18" s="2" t="s">
        <v>1168</v>
      </c>
      <c r="F18" s="2" t="s">
        <v>1169</v>
      </c>
      <c r="G18" s="14">
        <v>1304</v>
      </c>
      <c r="H18" s="18">
        <v>1304</v>
      </c>
      <c r="I18" s="19" t="s">
        <v>136</v>
      </c>
      <c r="J18" s="13" t="s">
        <v>137</v>
      </c>
      <c r="K18" s="2">
        <v>0</v>
      </c>
      <c r="L18" s="2">
        <v>0</v>
      </c>
      <c r="M18" s="13">
        <v>248.88</v>
      </c>
      <c r="N18" s="2">
        <v>32.354399999999998</v>
      </c>
      <c r="O18" s="2">
        <v>0</v>
      </c>
      <c r="P18" s="2">
        <v>0</v>
      </c>
      <c r="Q18" s="13">
        <v>281.23439999999999</v>
      </c>
      <c r="R18" s="2">
        <v>0</v>
      </c>
      <c r="S18" s="2" t="s">
        <v>1</v>
      </c>
    </row>
    <row r="19" spans="1:19" x14ac:dyDescent="0.25">
      <c r="A19" s="2" t="s">
        <v>554</v>
      </c>
      <c r="B19" s="20">
        <v>44987</v>
      </c>
      <c r="C19" s="2" t="s">
        <v>1</v>
      </c>
      <c r="D19" s="2" t="s">
        <v>0</v>
      </c>
      <c r="E19" s="2" t="s">
        <v>1168</v>
      </c>
      <c r="F19" s="2" t="s">
        <v>1169</v>
      </c>
      <c r="G19" s="14">
        <v>1305</v>
      </c>
      <c r="H19" s="18">
        <v>1305</v>
      </c>
      <c r="I19" s="19" t="s">
        <v>1097</v>
      </c>
      <c r="J19" s="13" t="s">
        <v>1098</v>
      </c>
      <c r="K19" s="2">
        <v>0</v>
      </c>
      <c r="L19" s="2">
        <v>0</v>
      </c>
      <c r="M19" s="13">
        <v>89.12</v>
      </c>
      <c r="N19" s="2">
        <v>11.585600000000001</v>
      </c>
      <c r="O19" s="2">
        <v>0</v>
      </c>
      <c r="P19" s="2">
        <v>0</v>
      </c>
      <c r="Q19" s="13">
        <v>100.7056</v>
      </c>
      <c r="R19" s="2">
        <v>0</v>
      </c>
      <c r="S19" s="2" t="s">
        <v>1</v>
      </c>
    </row>
    <row r="20" spans="1:19" x14ac:dyDescent="0.25">
      <c r="A20" s="2" t="s">
        <v>554</v>
      </c>
      <c r="B20" s="20">
        <v>44988</v>
      </c>
      <c r="C20" s="2" t="s">
        <v>1</v>
      </c>
      <c r="D20" s="2" t="s">
        <v>0</v>
      </c>
      <c r="E20" s="2" t="s">
        <v>1168</v>
      </c>
      <c r="F20" s="2" t="s">
        <v>1169</v>
      </c>
      <c r="G20" s="14">
        <v>1306</v>
      </c>
      <c r="H20" s="18">
        <v>1306</v>
      </c>
      <c r="I20" s="19" t="s">
        <v>963</v>
      </c>
      <c r="J20" s="13" t="s">
        <v>964</v>
      </c>
      <c r="K20" s="2">
        <v>0</v>
      </c>
      <c r="L20" s="2">
        <v>0</v>
      </c>
      <c r="M20" s="13">
        <v>182.55</v>
      </c>
      <c r="N20" s="2">
        <v>23.731500000000004</v>
      </c>
      <c r="O20" s="2">
        <v>0</v>
      </c>
      <c r="P20" s="2">
        <v>0</v>
      </c>
      <c r="Q20" s="13">
        <v>206.28150000000002</v>
      </c>
      <c r="R20" s="2">
        <v>0</v>
      </c>
      <c r="S20" s="2" t="s">
        <v>1</v>
      </c>
    </row>
    <row r="21" spans="1:19" x14ac:dyDescent="0.25">
      <c r="A21" s="2" t="s">
        <v>554</v>
      </c>
      <c r="B21" s="20">
        <v>44988</v>
      </c>
      <c r="C21" s="2" t="s">
        <v>1</v>
      </c>
      <c r="D21" s="2" t="s">
        <v>0</v>
      </c>
      <c r="E21" s="2" t="s">
        <v>1168</v>
      </c>
      <c r="F21" s="2" t="s">
        <v>1169</v>
      </c>
      <c r="G21" s="14">
        <v>1307</v>
      </c>
      <c r="H21" s="18">
        <v>1307</v>
      </c>
      <c r="I21" s="19" t="s">
        <v>1162</v>
      </c>
      <c r="J21" s="13" t="s">
        <v>151</v>
      </c>
      <c r="K21" s="2">
        <v>0</v>
      </c>
      <c r="L21" s="2">
        <v>0</v>
      </c>
      <c r="M21" s="13">
        <v>254.02</v>
      </c>
      <c r="N21" s="2">
        <v>33.022600000000004</v>
      </c>
      <c r="O21" s="2">
        <v>0</v>
      </c>
      <c r="P21" s="2">
        <v>0</v>
      </c>
      <c r="Q21" s="13">
        <v>287.04259999999999</v>
      </c>
      <c r="R21" s="2">
        <v>0</v>
      </c>
      <c r="S21" s="2" t="s">
        <v>1</v>
      </c>
    </row>
    <row r="22" spans="1:19" x14ac:dyDescent="0.25">
      <c r="A22" s="2" t="s">
        <v>554</v>
      </c>
      <c r="B22" s="20">
        <v>44988</v>
      </c>
      <c r="C22" s="2" t="s">
        <v>1</v>
      </c>
      <c r="D22" s="2" t="s">
        <v>0</v>
      </c>
      <c r="E22" s="2" t="s">
        <v>1168</v>
      </c>
      <c r="F22" s="2" t="s">
        <v>1169</v>
      </c>
      <c r="G22" s="14">
        <v>1308</v>
      </c>
      <c r="H22" s="18">
        <v>1308</v>
      </c>
      <c r="I22" s="19" t="s">
        <v>991</v>
      </c>
      <c r="J22" s="13" t="s">
        <v>992</v>
      </c>
      <c r="K22" s="2">
        <v>0</v>
      </c>
      <c r="L22" s="2">
        <v>0</v>
      </c>
      <c r="M22" s="13">
        <v>202.02</v>
      </c>
      <c r="N22" s="2">
        <v>26.262600000000003</v>
      </c>
      <c r="O22" s="2">
        <v>0</v>
      </c>
      <c r="P22" s="2">
        <v>0</v>
      </c>
      <c r="Q22" s="13">
        <v>228.2826</v>
      </c>
      <c r="R22" s="2">
        <v>0</v>
      </c>
      <c r="S22" s="2" t="s">
        <v>1</v>
      </c>
    </row>
    <row r="23" spans="1:19" x14ac:dyDescent="0.25">
      <c r="A23" s="2" t="s">
        <v>554</v>
      </c>
      <c r="B23" s="20">
        <v>44988</v>
      </c>
      <c r="C23" s="2" t="s">
        <v>1</v>
      </c>
      <c r="D23" s="2" t="s">
        <v>0</v>
      </c>
      <c r="E23" s="2" t="s">
        <v>1168</v>
      </c>
      <c r="F23" s="2" t="s">
        <v>1169</v>
      </c>
      <c r="G23" s="14">
        <v>1309</v>
      </c>
      <c r="H23" s="18">
        <v>1309</v>
      </c>
      <c r="I23" s="19" t="s">
        <v>1295</v>
      </c>
      <c r="J23" s="13" t="s">
        <v>1296</v>
      </c>
      <c r="K23" s="2">
        <v>0</v>
      </c>
      <c r="L23" s="2">
        <v>0</v>
      </c>
      <c r="M23" s="13">
        <v>11.02</v>
      </c>
      <c r="N23" s="2">
        <v>1.4326000000000001</v>
      </c>
      <c r="O23" s="2">
        <v>0</v>
      </c>
      <c r="P23" s="2">
        <v>0</v>
      </c>
      <c r="Q23" s="13">
        <v>12.4526</v>
      </c>
      <c r="R23" s="2">
        <v>0</v>
      </c>
      <c r="S23" s="2" t="s">
        <v>1</v>
      </c>
    </row>
    <row r="24" spans="1:19" x14ac:dyDescent="0.25">
      <c r="A24" s="2" t="s">
        <v>554</v>
      </c>
      <c r="B24" s="20">
        <v>44989</v>
      </c>
      <c r="C24" s="2" t="s">
        <v>1</v>
      </c>
      <c r="D24" s="2" t="s">
        <v>0</v>
      </c>
      <c r="E24" s="2" t="s">
        <v>1168</v>
      </c>
      <c r="F24" s="2" t="s">
        <v>1169</v>
      </c>
      <c r="G24" s="14">
        <v>1310</v>
      </c>
      <c r="H24" s="18">
        <v>1310</v>
      </c>
      <c r="I24" s="19" t="s">
        <v>74</v>
      </c>
      <c r="J24" s="13" t="s">
        <v>75</v>
      </c>
      <c r="K24" s="2">
        <v>0</v>
      </c>
      <c r="L24" s="2">
        <v>0</v>
      </c>
      <c r="M24" s="13">
        <v>116.5</v>
      </c>
      <c r="N24" s="2">
        <v>15.145000000000001</v>
      </c>
      <c r="O24" s="2">
        <v>0</v>
      </c>
      <c r="P24" s="2">
        <v>0</v>
      </c>
      <c r="Q24" s="13">
        <v>131.64500000000001</v>
      </c>
      <c r="R24" s="2">
        <v>0</v>
      </c>
      <c r="S24" s="2" t="s">
        <v>1</v>
      </c>
    </row>
    <row r="25" spans="1:19" x14ac:dyDescent="0.25">
      <c r="A25" s="2" t="s">
        <v>554</v>
      </c>
      <c r="B25" s="20">
        <v>44989</v>
      </c>
      <c r="C25" s="2" t="s">
        <v>1</v>
      </c>
      <c r="D25" s="2" t="s">
        <v>0</v>
      </c>
      <c r="E25" s="2" t="s">
        <v>1168</v>
      </c>
      <c r="F25" s="2" t="s">
        <v>1169</v>
      </c>
      <c r="G25" s="14">
        <v>1311</v>
      </c>
      <c r="H25" s="18">
        <v>1311</v>
      </c>
      <c r="I25" s="19" t="s">
        <v>98</v>
      </c>
      <c r="J25" s="13" t="s">
        <v>99</v>
      </c>
      <c r="K25" s="2">
        <v>0</v>
      </c>
      <c r="L25" s="2">
        <v>0</v>
      </c>
      <c r="M25" s="13">
        <v>72.209999999999994</v>
      </c>
      <c r="N25" s="2">
        <v>9.3872999999999998</v>
      </c>
      <c r="O25" s="2">
        <v>0</v>
      </c>
      <c r="P25" s="2">
        <v>0</v>
      </c>
      <c r="Q25" s="13">
        <v>81.59729999999999</v>
      </c>
      <c r="R25" s="2">
        <v>0</v>
      </c>
      <c r="S25" s="2" t="s">
        <v>1</v>
      </c>
    </row>
    <row r="26" spans="1:19" x14ac:dyDescent="0.25">
      <c r="A26" s="2" t="s">
        <v>554</v>
      </c>
      <c r="B26" s="20">
        <v>44989</v>
      </c>
      <c r="C26" s="2" t="s">
        <v>1</v>
      </c>
      <c r="D26" s="2" t="s">
        <v>0</v>
      </c>
      <c r="E26" s="2" t="s">
        <v>1168</v>
      </c>
      <c r="F26" s="2" t="s">
        <v>1169</v>
      </c>
      <c r="G26" s="14">
        <v>1312</v>
      </c>
      <c r="H26" s="18">
        <v>1312</v>
      </c>
      <c r="I26" s="19" t="s">
        <v>81</v>
      </c>
      <c r="J26" s="13" t="s">
        <v>82</v>
      </c>
      <c r="K26" s="2">
        <v>0</v>
      </c>
      <c r="L26" s="2">
        <v>0</v>
      </c>
      <c r="M26" s="13">
        <v>76.62</v>
      </c>
      <c r="N26" s="2">
        <v>9.9606000000000012</v>
      </c>
      <c r="O26" s="2">
        <v>0</v>
      </c>
      <c r="P26" s="2">
        <v>0</v>
      </c>
      <c r="Q26" s="13">
        <v>86.580600000000004</v>
      </c>
      <c r="R26" s="2">
        <v>0</v>
      </c>
      <c r="S26" s="2" t="s">
        <v>1</v>
      </c>
    </row>
    <row r="27" spans="1:19" x14ac:dyDescent="0.25">
      <c r="A27" s="2" t="s">
        <v>554</v>
      </c>
      <c r="B27" s="20">
        <v>44989</v>
      </c>
      <c r="C27" s="2" t="s">
        <v>1</v>
      </c>
      <c r="D27" s="2" t="s">
        <v>0</v>
      </c>
      <c r="E27" s="2" t="s">
        <v>1168</v>
      </c>
      <c r="F27" s="2" t="s">
        <v>1169</v>
      </c>
      <c r="G27" s="14">
        <v>1313</v>
      </c>
      <c r="H27" s="18">
        <v>1313</v>
      </c>
      <c r="I27" s="19"/>
      <c r="J27" s="13" t="s">
        <v>1005</v>
      </c>
      <c r="K27" s="2">
        <v>0</v>
      </c>
      <c r="L27" s="2">
        <v>0</v>
      </c>
      <c r="M27" s="13">
        <v>43.33</v>
      </c>
      <c r="N27" s="2">
        <v>5.6329000000000002</v>
      </c>
      <c r="O27" s="2">
        <v>0</v>
      </c>
      <c r="P27" s="2">
        <v>0</v>
      </c>
      <c r="Q27" s="13">
        <v>48.962899999999998</v>
      </c>
      <c r="R27" s="41" t="s">
        <v>1004</v>
      </c>
      <c r="S27" s="2" t="s">
        <v>1</v>
      </c>
    </row>
    <row r="28" spans="1:19" x14ac:dyDescent="0.25">
      <c r="A28" s="2" t="s">
        <v>554</v>
      </c>
      <c r="B28" s="20">
        <v>44989</v>
      </c>
      <c r="C28" s="2" t="s">
        <v>1</v>
      </c>
      <c r="D28" s="2" t="s">
        <v>0</v>
      </c>
      <c r="E28" s="2" t="s">
        <v>1168</v>
      </c>
      <c r="F28" s="2" t="s">
        <v>1169</v>
      </c>
      <c r="G28" s="14">
        <v>1314</v>
      </c>
      <c r="H28" s="18">
        <v>1314</v>
      </c>
      <c r="I28" s="19"/>
      <c r="J28" s="13" t="s">
        <v>1005</v>
      </c>
      <c r="K28" s="2">
        <v>0</v>
      </c>
      <c r="L28" s="2">
        <v>0</v>
      </c>
      <c r="M28" s="13">
        <v>4.26</v>
      </c>
      <c r="N28" s="2">
        <v>0.55379999999999996</v>
      </c>
      <c r="O28" s="2">
        <v>0</v>
      </c>
      <c r="P28" s="2">
        <v>0</v>
      </c>
      <c r="Q28" s="13">
        <v>4.8137999999999996</v>
      </c>
      <c r="R28" s="41" t="s">
        <v>1004</v>
      </c>
      <c r="S28" s="2" t="s">
        <v>1</v>
      </c>
    </row>
    <row r="29" spans="1:19" x14ac:dyDescent="0.25">
      <c r="A29" s="2" t="s">
        <v>554</v>
      </c>
      <c r="B29" s="20">
        <v>44989</v>
      </c>
      <c r="C29" s="2" t="s">
        <v>1</v>
      </c>
      <c r="D29" s="2" t="s">
        <v>0</v>
      </c>
      <c r="E29" s="2" t="s">
        <v>1168</v>
      </c>
      <c r="F29" s="2" t="s">
        <v>1169</v>
      </c>
      <c r="G29" s="14">
        <v>1315</v>
      </c>
      <c r="H29" s="18">
        <v>1315</v>
      </c>
      <c r="I29" s="19"/>
      <c r="J29" s="13" t="s">
        <v>986</v>
      </c>
      <c r="K29" s="2">
        <v>0</v>
      </c>
      <c r="L29" s="2">
        <v>0</v>
      </c>
      <c r="M29" s="13">
        <v>201.78</v>
      </c>
      <c r="N29" s="2">
        <v>26.231400000000001</v>
      </c>
      <c r="O29" s="2">
        <v>0</v>
      </c>
      <c r="P29" s="2">
        <v>0</v>
      </c>
      <c r="Q29" s="13">
        <v>228.01140000000001</v>
      </c>
      <c r="R29" s="41" t="s">
        <v>985</v>
      </c>
      <c r="S29" s="2" t="s">
        <v>1</v>
      </c>
    </row>
    <row r="30" spans="1:19" x14ac:dyDescent="0.25">
      <c r="A30" s="2" t="s">
        <v>554</v>
      </c>
      <c r="B30" s="20">
        <v>44991</v>
      </c>
      <c r="C30" s="2" t="s">
        <v>1</v>
      </c>
      <c r="D30" s="2" t="s">
        <v>0</v>
      </c>
      <c r="E30" s="2" t="s">
        <v>1168</v>
      </c>
      <c r="F30" s="2" t="s">
        <v>1169</v>
      </c>
      <c r="G30" s="14">
        <v>1316</v>
      </c>
      <c r="H30" s="18">
        <v>1316</v>
      </c>
      <c r="I30" s="19" t="s">
        <v>146</v>
      </c>
      <c r="J30" s="13" t="s">
        <v>147</v>
      </c>
      <c r="K30" s="2">
        <v>0</v>
      </c>
      <c r="L30" s="2">
        <v>0</v>
      </c>
      <c r="M30" s="13">
        <v>20</v>
      </c>
      <c r="N30" s="2">
        <v>2.6</v>
      </c>
      <c r="O30" s="2">
        <v>0</v>
      </c>
      <c r="P30" s="2">
        <v>0</v>
      </c>
      <c r="Q30" s="13">
        <v>22.6</v>
      </c>
      <c r="R30" s="2">
        <v>0</v>
      </c>
      <c r="S30" s="2" t="s">
        <v>1</v>
      </c>
    </row>
    <row r="31" spans="1:19" x14ac:dyDescent="0.25">
      <c r="A31" s="2" t="s">
        <v>554</v>
      </c>
      <c r="B31" s="20">
        <v>44991</v>
      </c>
      <c r="C31" s="2" t="s">
        <v>1</v>
      </c>
      <c r="D31" s="2" t="s">
        <v>0</v>
      </c>
      <c r="E31" s="2" t="s">
        <v>1168</v>
      </c>
      <c r="F31" s="2" t="s">
        <v>1169</v>
      </c>
      <c r="G31" s="14">
        <v>1317</v>
      </c>
      <c r="H31" s="18">
        <v>1317</v>
      </c>
      <c r="I31" s="19" t="s">
        <v>74</v>
      </c>
      <c r="J31" s="13" t="s">
        <v>75</v>
      </c>
      <c r="K31" s="2">
        <v>0</v>
      </c>
      <c r="L31" s="2">
        <v>0</v>
      </c>
      <c r="M31" s="13">
        <v>77.05</v>
      </c>
      <c r="N31" s="2">
        <v>10.016500000000001</v>
      </c>
      <c r="O31" s="2">
        <v>0</v>
      </c>
      <c r="P31" s="2">
        <v>0</v>
      </c>
      <c r="Q31" s="13">
        <v>87.066499999999991</v>
      </c>
      <c r="R31" s="2">
        <v>0</v>
      </c>
      <c r="S31" s="2" t="s">
        <v>1</v>
      </c>
    </row>
    <row r="32" spans="1:19" x14ac:dyDescent="0.25">
      <c r="A32" s="2" t="s">
        <v>554</v>
      </c>
      <c r="B32" s="20">
        <v>44991</v>
      </c>
      <c r="C32" s="2" t="s">
        <v>1</v>
      </c>
      <c r="D32" s="2" t="s">
        <v>0</v>
      </c>
      <c r="E32" s="2" t="s">
        <v>1168</v>
      </c>
      <c r="F32" s="2" t="s">
        <v>1169</v>
      </c>
      <c r="G32" s="14">
        <v>1318</v>
      </c>
      <c r="H32" s="18">
        <v>1318</v>
      </c>
      <c r="I32" s="19"/>
      <c r="J32" s="13" t="s">
        <v>986</v>
      </c>
      <c r="K32" s="2">
        <v>0</v>
      </c>
      <c r="L32" s="2">
        <v>0</v>
      </c>
      <c r="M32" s="13">
        <v>227.93</v>
      </c>
      <c r="N32" s="2">
        <v>29.6309</v>
      </c>
      <c r="O32" s="2">
        <v>0</v>
      </c>
      <c r="P32" s="2">
        <v>0</v>
      </c>
      <c r="Q32" s="13">
        <v>257.5609</v>
      </c>
      <c r="R32" s="41" t="s">
        <v>985</v>
      </c>
      <c r="S32" s="2" t="s">
        <v>1</v>
      </c>
    </row>
    <row r="33" spans="1:19" x14ac:dyDescent="0.25">
      <c r="A33" s="2" t="s">
        <v>554</v>
      </c>
      <c r="B33" s="20">
        <v>44991</v>
      </c>
      <c r="C33" s="2" t="s">
        <v>1</v>
      </c>
      <c r="D33" s="2" t="s">
        <v>0</v>
      </c>
      <c r="E33" s="2" t="s">
        <v>1168</v>
      </c>
      <c r="F33" s="2" t="s">
        <v>1169</v>
      </c>
      <c r="G33" s="14">
        <v>1319</v>
      </c>
      <c r="H33" s="18">
        <v>1319</v>
      </c>
      <c r="I33" s="19" t="s">
        <v>989</v>
      </c>
      <c r="J33" s="13" t="s">
        <v>990</v>
      </c>
      <c r="K33" s="2">
        <v>0</v>
      </c>
      <c r="L33" s="2">
        <v>0</v>
      </c>
      <c r="M33" s="13">
        <v>260.24</v>
      </c>
      <c r="N33" s="2">
        <v>33.831200000000003</v>
      </c>
      <c r="O33" s="2">
        <v>0</v>
      </c>
      <c r="P33" s="2">
        <v>0</v>
      </c>
      <c r="Q33" s="13">
        <v>294.07120000000003</v>
      </c>
      <c r="R33" s="2">
        <v>0</v>
      </c>
      <c r="S33" s="2" t="s">
        <v>1</v>
      </c>
    </row>
    <row r="34" spans="1:19" x14ac:dyDescent="0.25">
      <c r="A34" s="2" t="s">
        <v>554</v>
      </c>
      <c r="B34" s="20">
        <v>44991</v>
      </c>
      <c r="C34" s="2" t="s">
        <v>1</v>
      </c>
      <c r="D34" s="2" t="s">
        <v>0</v>
      </c>
      <c r="E34" s="2" t="s">
        <v>1168</v>
      </c>
      <c r="F34" s="2" t="s">
        <v>1169</v>
      </c>
      <c r="G34" s="14">
        <v>1320</v>
      </c>
      <c r="H34" s="18">
        <v>1320</v>
      </c>
      <c r="I34" s="19" t="s">
        <v>1176</v>
      </c>
      <c r="J34" s="13" t="s">
        <v>1177</v>
      </c>
      <c r="K34" s="2">
        <v>0</v>
      </c>
      <c r="L34" s="2">
        <v>0</v>
      </c>
      <c r="M34" s="13">
        <v>143.49</v>
      </c>
      <c r="N34" s="2">
        <v>18.653700000000001</v>
      </c>
      <c r="O34" s="2">
        <v>0</v>
      </c>
      <c r="P34" s="2">
        <v>0</v>
      </c>
      <c r="Q34" s="13">
        <v>162.14370000000002</v>
      </c>
      <c r="R34" s="2">
        <v>0</v>
      </c>
      <c r="S34" s="2" t="s">
        <v>1</v>
      </c>
    </row>
    <row r="35" spans="1:19" x14ac:dyDescent="0.25">
      <c r="A35" s="2" t="s">
        <v>554</v>
      </c>
      <c r="B35" s="20">
        <v>44991</v>
      </c>
      <c r="C35" s="2" t="s">
        <v>1</v>
      </c>
      <c r="D35" s="2" t="s">
        <v>0</v>
      </c>
      <c r="E35" s="2" t="s">
        <v>1168</v>
      </c>
      <c r="F35" s="2" t="s">
        <v>1169</v>
      </c>
      <c r="G35" s="14">
        <v>1321</v>
      </c>
      <c r="H35" s="18">
        <v>1321</v>
      </c>
      <c r="I35" s="19" t="s">
        <v>1176</v>
      </c>
      <c r="J35" s="13" t="s">
        <v>1177</v>
      </c>
      <c r="K35" s="2">
        <v>0</v>
      </c>
      <c r="L35" s="2">
        <v>0</v>
      </c>
      <c r="M35" s="13">
        <v>51.77</v>
      </c>
      <c r="N35" s="2">
        <v>6.7301000000000002</v>
      </c>
      <c r="O35" s="2">
        <v>0</v>
      </c>
      <c r="P35" s="2">
        <v>0</v>
      </c>
      <c r="Q35" s="13">
        <v>58.500100000000003</v>
      </c>
      <c r="R35" s="2">
        <v>0</v>
      </c>
      <c r="S35" s="2" t="s">
        <v>1</v>
      </c>
    </row>
    <row r="36" spans="1:19" x14ac:dyDescent="0.25">
      <c r="A36" s="2" t="s">
        <v>554</v>
      </c>
      <c r="B36" s="20">
        <v>44991</v>
      </c>
      <c r="C36" s="2" t="s">
        <v>1</v>
      </c>
      <c r="D36" s="2" t="s">
        <v>0</v>
      </c>
      <c r="E36" s="2" t="s">
        <v>1168</v>
      </c>
      <c r="F36" s="2" t="s">
        <v>1169</v>
      </c>
      <c r="G36" s="14">
        <v>1322</v>
      </c>
      <c r="H36" s="18">
        <v>1322</v>
      </c>
      <c r="I36" s="19" t="s">
        <v>1176</v>
      </c>
      <c r="J36" s="13" t="s">
        <v>1177</v>
      </c>
      <c r="K36" s="2">
        <v>0</v>
      </c>
      <c r="L36" s="2">
        <v>0</v>
      </c>
      <c r="M36" s="13">
        <v>42.68</v>
      </c>
      <c r="N36" s="2">
        <v>5.5484</v>
      </c>
      <c r="O36" s="2">
        <v>0</v>
      </c>
      <c r="P36" s="2">
        <v>0</v>
      </c>
      <c r="Q36" s="13">
        <v>48.228400000000001</v>
      </c>
      <c r="R36" s="2">
        <v>0</v>
      </c>
      <c r="S36" s="2" t="s">
        <v>1</v>
      </c>
    </row>
    <row r="37" spans="1:19" x14ac:dyDescent="0.25">
      <c r="A37" s="2" t="s">
        <v>554</v>
      </c>
      <c r="B37" s="20">
        <v>44992</v>
      </c>
      <c r="C37" s="2" t="s">
        <v>1</v>
      </c>
      <c r="D37" s="2" t="s">
        <v>0</v>
      </c>
      <c r="E37" s="2" t="s">
        <v>1168</v>
      </c>
      <c r="F37" s="2" t="s">
        <v>1169</v>
      </c>
      <c r="G37" s="14">
        <v>1323</v>
      </c>
      <c r="H37" s="18">
        <v>1323</v>
      </c>
      <c r="I37" s="19" t="s">
        <v>156</v>
      </c>
      <c r="J37" s="13" t="s">
        <v>157</v>
      </c>
      <c r="K37" s="2">
        <v>0</v>
      </c>
      <c r="L37" s="2">
        <v>0</v>
      </c>
      <c r="M37" s="13">
        <v>132.5</v>
      </c>
      <c r="N37" s="2">
        <v>17.225000000000001</v>
      </c>
      <c r="O37" s="2">
        <v>0</v>
      </c>
      <c r="P37" s="2">
        <v>0</v>
      </c>
      <c r="Q37" s="13">
        <v>149.72499999999999</v>
      </c>
      <c r="R37" s="2">
        <v>0</v>
      </c>
      <c r="S37" s="2" t="s">
        <v>1</v>
      </c>
    </row>
    <row r="38" spans="1:19" x14ac:dyDescent="0.25">
      <c r="A38" s="2" t="s">
        <v>554</v>
      </c>
      <c r="B38" s="20">
        <v>44992</v>
      </c>
      <c r="C38" s="2" t="s">
        <v>1</v>
      </c>
      <c r="D38" s="2" t="s">
        <v>0</v>
      </c>
      <c r="E38" s="2" t="s">
        <v>1168</v>
      </c>
      <c r="F38" s="2" t="s">
        <v>1169</v>
      </c>
      <c r="G38" s="14">
        <v>1324</v>
      </c>
      <c r="H38" s="18">
        <v>1324</v>
      </c>
      <c r="I38" s="19" t="s">
        <v>74</v>
      </c>
      <c r="J38" s="13" t="s">
        <v>75</v>
      </c>
      <c r="K38" s="2">
        <v>0</v>
      </c>
      <c r="L38" s="2">
        <v>0</v>
      </c>
      <c r="M38" s="13">
        <v>528.04999999999995</v>
      </c>
      <c r="N38" s="2">
        <v>68.646500000000003</v>
      </c>
      <c r="O38" s="2">
        <v>0</v>
      </c>
      <c r="P38" s="2">
        <v>0</v>
      </c>
      <c r="Q38" s="13">
        <v>596.69650000000001</v>
      </c>
      <c r="R38" s="2">
        <v>0</v>
      </c>
      <c r="S38" s="2" t="s">
        <v>1</v>
      </c>
    </row>
    <row r="39" spans="1:19" x14ac:dyDescent="0.25">
      <c r="A39" s="2" t="s">
        <v>554</v>
      </c>
      <c r="B39" s="20">
        <v>44992</v>
      </c>
      <c r="C39" s="2" t="s">
        <v>1</v>
      </c>
      <c r="D39" s="2" t="s">
        <v>0</v>
      </c>
      <c r="E39" s="2" t="s">
        <v>1168</v>
      </c>
      <c r="F39" s="2" t="s">
        <v>1169</v>
      </c>
      <c r="G39" s="14">
        <v>1325</v>
      </c>
      <c r="H39" s="18">
        <v>1325</v>
      </c>
      <c r="I39" s="19"/>
      <c r="J39" s="13" t="s">
        <v>986</v>
      </c>
      <c r="K39" s="2">
        <v>0</v>
      </c>
      <c r="L39" s="2">
        <v>0</v>
      </c>
      <c r="M39" s="13">
        <v>293</v>
      </c>
      <c r="N39" s="2">
        <v>38.090000000000003</v>
      </c>
      <c r="O39" s="2">
        <v>0</v>
      </c>
      <c r="P39" s="2">
        <v>0</v>
      </c>
      <c r="Q39" s="13">
        <v>331.09000000000003</v>
      </c>
      <c r="R39" s="2">
        <v>0</v>
      </c>
      <c r="S39" s="2" t="s">
        <v>1</v>
      </c>
    </row>
    <row r="40" spans="1:19" x14ac:dyDescent="0.25">
      <c r="A40" s="2" t="s">
        <v>554</v>
      </c>
      <c r="B40" s="20">
        <v>44992</v>
      </c>
      <c r="C40" s="2" t="s">
        <v>1</v>
      </c>
      <c r="D40" s="2" t="s">
        <v>0</v>
      </c>
      <c r="E40" s="2" t="s">
        <v>1168</v>
      </c>
      <c r="F40" s="2" t="s">
        <v>1169</v>
      </c>
      <c r="G40" s="14">
        <v>1326</v>
      </c>
      <c r="H40" s="18">
        <v>1326</v>
      </c>
      <c r="I40" s="19" t="s">
        <v>1088</v>
      </c>
      <c r="J40" s="13" t="s">
        <v>140</v>
      </c>
      <c r="K40" s="2">
        <v>0</v>
      </c>
      <c r="L40" s="2">
        <v>0</v>
      </c>
      <c r="M40" s="13">
        <v>83.36</v>
      </c>
      <c r="N40" s="2">
        <v>10.8368</v>
      </c>
      <c r="O40" s="2">
        <v>0</v>
      </c>
      <c r="P40" s="2">
        <v>0</v>
      </c>
      <c r="Q40" s="13">
        <v>94.196799999999996</v>
      </c>
      <c r="R40" s="2">
        <v>0</v>
      </c>
      <c r="S40" s="2" t="s">
        <v>1</v>
      </c>
    </row>
    <row r="41" spans="1:19" x14ac:dyDescent="0.25">
      <c r="A41" s="2" t="s">
        <v>554</v>
      </c>
      <c r="B41" s="20">
        <v>44992</v>
      </c>
      <c r="C41" s="2" t="s">
        <v>1</v>
      </c>
      <c r="D41" s="2" t="s">
        <v>0</v>
      </c>
      <c r="E41" s="2" t="s">
        <v>1168</v>
      </c>
      <c r="F41" s="2" t="s">
        <v>1169</v>
      </c>
      <c r="G41" s="14">
        <v>1327</v>
      </c>
      <c r="H41" s="18">
        <v>1327</v>
      </c>
      <c r="I41" s="19"/>
      <c r="J41" s="13" t="s">
        <v>624</v>
      </c>
      <c r="K41" s="2">
        <v>0</v>
      </c>
      <c r="L41" s="2">
        <v>0</v>
      </c>
      <c r="M41" s="13">
        <v>225.57</v>
      </c>
      <c r="N41" s="2">
        <v>29.324100000000001</v>
      </c>
      <c r="O41" s="2">
        <v>0</v>
      </c>
      <c r="P41" s="2">
        <v>0</v>
      </c>
      <c r="Q41" s="13">
        <v>254.89409999999998</v>
      </c>
      <c r="R41" s="2">
        <v>0</v>
      </c>
      <c r="S41" s="2" t="s">
        <v>1</v>
      </c>
    </row>
    <row r="42" spans="1:19" x14ac:dyDescent="0.25">
      <c r="A42" s="2" t="s">
        <v>554</v>
      </c>
      <c r="B42" s="20">
        <v>44992</v>
      </c>
      <c r="C42" s="2" t="s">
        <v>1</v>
      </c>
      <c r="D42" s="2" t="s">
        <v>0</v>
      </c>
      <c r="E42" s="2" t="s">
        <v>1168</v>
      </c>
      <c r="F42" s="2" t="s">
        <v>1169</v>
      </c>
      <c r="G42" s="14">
        <v>1328</v>
      </c>
      <c r="H42" s="18">
        <v>1328</v>
      </c>
      <c r="I42" s="19" t="s">
        <v>969</v>
      </c>
      <c r="J42" s="13" t="s">
        <v>970</v>
      </c>
      <c r="K42" s="2">
        <v>0</v>
      </c>
      <c r="L42" s="2">
        <v>0</v>
      </c>
      <c r="M42" s="13">
        <v>101.76</v>
      </c>
      <c r="N42" s="2">
        <v>13.228800000000001</v>
      </c>
      <c r="O42" s="2">
        <v>0</v>
      </c>
      <c r="P42" s="2">
        <v>0</v>
      </c>
      <c r="Q42" s="13">
        <v>114.98880000000001</v>
      </c>
      <c r="R42" s="2">
        <v>0</v>
      </c>
      <c r="S42" s="2" t="s">
        <v>1</v>
      </c>
    </row>
    <row r="43" spans="1:19" x14ac:dyDescent="0.25">
      <c r="A43" s="2" t="s">
        <v>554</v>
      </c>
      <c r="B43" s="20">
        <v>44992</v>
      </c>
      <c r="C43" s="2" t="s">
        <v>1</v>
      </c>
      <c r="D43" s="2" t="s">
        <v>0</v>
      </c>
      <c r="E43" s="2" t="s">
        <v>1168</v>
      </c>
      <c r="F43" s="2" t="s">
        <v>1169</v>
      </c>
      <c r="G43" s="14">
        <v>1329</v>
      </c>
      <c r="H43" s="18">
        <v>1329</v>
      </c>
      <c r="I43" s="19" t="s">
        <v>995</v>
      </c>
      <c r="J43" s="13" t="s">
        <v>996</v>
      </c>
      <c r="K43" s="2">
        <v>0</v>
      </c>
      <c r="L43" s="2">
        <v>0</v>
      </c>
      <c r="M43" s="13">
        <v>202.3</v>
      </c>
      <c r="N43" s="2">
        <v>26.299000000000003</v>
      </c>
      <c r="O43" s="2">
        <v>0</v>
      </c>
      <c r="P43" s="2">
        <v>0</v>
      </c>
      <c r="Q43" s="13">
        <v>228.59900000000002</v>
      </c>
      <c r="R43" s="2">
        <v>0</v>
      </c>
      <c r="S43" s="2" t="s">
        <v>1</v>
      </c>
    </row>
    <row r="44" spans="1:19" x14ac:dyDescent="0.25">
      <c r="A44" s="2" t="s">
        <v>554</v>
      </c>
      <c r="B44" s="20">
        <v>44993</v>
      </c>
      <c r="C44" s="2" t="s">
        <v>1</v>
      </c>
      <c r="D44" s="2" t="s">
        <v>0</v>
      </c>
      <c r="E44" s="2" t="s">
        <v>1168</v>
      </c>
      <c r="F44" s="2" t="s">
        <v>1169</v>
      </c>
      <c r="G44" s="14">
        <v>1330</v>
      </c>
      <c r="H44" s="18">
        <v>1330</v>
      </c>
      <c r="I44" s="19" t="s">
        <v>1293</v>
      </c>
      <c r="J44" s="13" t="s">
        <v>1294</v>
      </c>
      <c r="K44" s="2">
        <v>0</v>
      </c>
      <c r="L44" s="2">
        <v>0</v>
      </c>
      <c r="M44" s="13">
        <v>194</v>
      </c>
      <c r="N44" s="2">
        <v>25.220000000000002</v>
      </c>
      <c r="O44" s="2">
        <v>0</v>
      </c>
      <c r="P44" s="2">
        <v>0</v>
      </c>
      <c r="Q44" s="13">
        <v>219.22</v>
      </c>
      <c r="R44" s="2">
        <v>0</v>
      </c>
      <c r="S44" s="2" t="s">
        <v>1</v>
      </c>
    </row>
    <row r="45" spans="1:19" x14ac:dyDescent="0.25">
      <c r="A45" s="2" t="s">
        <v>554</v>
      </c>
      <c r="B45" s="20">
        <v>44993</v>
      </c>
      <c r="C45" s="2" t="s">
        <v>1</v>
      </c>
      <c r="D45" s="2" t="s">
        <v>0</v>
      </c>
      <c r="E45" s="2" t="s">
        <v>1168</v>
      </c>
      <c r="F45" s="2" t="s">
        <v>1169</v>
      </c>
      <c r="G45" s="14">
        <v>1331</v>
      </c>
      <c r="H45" s="18">
        <v>1331</v>
      </c>
      <c r="I45" s="19" t="s">
        <v>56</v>
      </c>
      <c r="J45" s="13" t="s">
        <v>57</v>
      </c>
      <c r="K45" s="2">
        <v>0</v>
      </c>
      <c r="L45" s="2">
        <v>0</v>
      </c>
      <c r="M45" s="13">
        <v>971.77</v>
      </c>
      <c r="N45" s="2">
        <v>126.3301</v>
      </c>
      <c r="O45" s="2">
        <v>0</v>
      </c>
      <c r="P45" s="2">
        <v>0</v>
      </c>
      <c r="Q45" s="13">
        <v>1098.1000999999999</v>
      </c>
      <c r="R45" s="2">
        <v>0</v>
      </c>
      <c r="S45" s="2" t="s">
        <v>1</v>
      </c>
    </row>
    <row r="46" spans="1:19" x14ac:dyDescent="0.25">
      <c r="A46" s="2" t="s">
        <v>554</v>
      </c>
      <c r="B46" s="20">
        <v>44993</v>
      </c>
      <c r="C46" s="2" t="s">
        <v>1</v>
      </c>
      <c r="D46" s="2" t="s">
        <v>0</v>
      </c>
      <c r="E46" s="2" t="s">
        <v>1168</v>
      </c>
      <c r="F46" s="2" t="s">
        <v>1169</v>
      </c>
      <c r="G46" s="14">
        <v>1332</v>
      </c>
      <c r="H46" s="18">
        <v>1332</v>
      </c>
      <c r="I46" s="19" t="s">
        <v>68</v>
      </c>
      <c r="J46" s="13" t="s">
        <v>69</v>
      </c>
      <c r="K46" s="2">
        <v>0</v>
      </c>
      <c r="L46" s="2">
        <v>0</v>
      </c>
      <c r="M46" s="13">
        <v>29.2</v>
      </c>
      <c r="N46" s="2">
        <v>3.7959999999999998</v>
      </c>
      <c r="O46" s="2">
        <v>0</v>
      </c>
      <c r="P46" s="2">
        <v>0</v>
      </c>
      <c r="Q46" s="13">
        <v>32.996000000000002</v>
      </c>
      <c r="R46" s="2">
        <v>0</v>
      </c>
      <c r="S46" s="2" t="s">
        <v>1</v>
      </c>
    </row>
    <row r="47" spans="1:19" x14ac:dyDescent="0.25">
      <c r="A47" s="2" t="s">
        <v>554</v>
      </c>
      <c r="B47" s="20">
        <v>44993</v>
      </c>
      <c r="C47" s="2" t="s">
        <v>1</v>
      </c>
      <c r="D47" s="2" t="s">
        <v>0</v>
      </c>
      <c r="E47" s="2" t="s">
        <v>1168</v>
      </c>
      <c r="F47" s="2" t="s">
        <v>1169</v>
      </c>
      <c r="G47" s="14">
        <v>1333</v>
      </c>
      <c r="H47" s="18">
        <v>1333</v>
      </c>
      <c r="I47" s="19" t="s">
        <v>435</v>
      </c>
      <c r="J47" s="13" t="s">
        <v>434</v>
      </c>
      <c r="K47" s="2">
        <v>0</v>
      </c>
      <c r="L47" s="2">
        <v>0</v>
      </c>
      <c r="M47" s="13">
        <v>0</v>
      </c>
      <c r="N47" s="2">
        <v>0</v>
      </c>
      <c r="O47" s="2">
        <v>0</v>
      </c>
      <c r="P47" s="2">
        <v>0</v>
      </c>
      <c r="Q47" s="13">
        <v>0</v>
      </c>
      <c r="R47" s="2">
        <v>0</v>
      </c>
      <c r="S47" s="2" t="s">
        <v>1</v>
      </c>
    </row>
    <row r="48" spans="1:19" x14ac:dyDescent="0.25">
      <c r="A48" s="2" t="s">
        <v>554</v>
      </c>
      <c r="B48" s="20">
        <v>44993</v>
      </c>
      <c r="C48" s="2" t="s">
        <v>1</v>
      </c>
      <c r="D48" s="2" t="s">
        <v>0</v>
      </c>
      <c r="E48" s="2" t="s">
        <v>1168</v>
      </c>
      <c r="F48" s="2" t="s">
        <v>1169</v>
      </c>
      <c r="G48" s="14">
        <v>1334</v>
      </c>
      <c r="H48" s="18">
        <v>1334</v>
      </c>
      <c r="I48" s="19" t="s">
        <v>85</v>
      </c>
      <c r="J48" s="13" t="s">
        <v>86</v>
      </c>
      <c r="K48" s="2">
        <v>0</v>
      </c>
      <c r="L48" s="2">
        <v>0</v>
      </c>
      <c r="M48" s="13">
        <v>310.41000000000003</v>
      </c>
      <c r="N48" s="2">
        <v>40.353300000000004</v>
      </c>
      <c r="O48" s="2">
        <v>0</v>
      </c>
      <c r="P48" s="2">
        <v>0</v>
      </c>
      <c r="Q48" s="13">
        <v>350.76330000000002</v>
      </c>
      <c r="R48" s="2">
        <v>0</v>
      </c>
      <c r="S48" s="2" t="s">
        <v>1</v>
      </c>
    </row>
    <row r="49" spans="1:19" x14ac:dyDescent="0.25">
      <c r="A49" s="2" t="s">
        <v>554</v>
      </c>
      <c r="B49" s="20">
        <v>44993</v>
      </c>
      <c r="C49" s="2" t="s">
        <v>1</v>
      </c>
      <c r="D49" s="2" t="s">
        <v>0</v>
      </c>
      <c r="E49" s="2" t="s">
        <v>1168</v>
      </c>
      <c r="F49" s="2" t="s">
        <v>1169</v>
      </c>
      <c r="G49" s="14">
        <v>1335</v>
      </c>
      <c r="H49" s="18">
        <v>1335</v>
      </c>
      <c r="I49" s="19" t="s">
        <v>81</v>
      </c>
      <c r="J49" s="13" t="s">
        <v>82</v>
      </c>
      <c r="K49" s="2">
        <v>0</v>
      </c>
      <c r="L49" s="2">
        <v>0</v>
      </c>
      <c r="M49" s="13">
        <v>314.26</v>
      </c>
      <c r="N49" s="2">
        <v>40.8538</v>
      </c>
      <c r="O49" s="2">
        <v>0</v>
      </c>
      <c r="P49" s="2">
        <v>0</v>
      </c>
      <c r="Q49" s="13">
        <v>355.11379999999997</v>
      </c>
      <c r="R49" s="2">
        <v>0</v>
      </c>
      <c r="S49" s="2" t="s">
        <v>1</v>
      </c>
    </row>
    <row r="50" spans="1:19" x14ac:dyDescent="0.25">
      <c r="A50" s="2" t="s">
        <v>554</v>
      </c>
      <c r="B50" s="20">
        <v>44993</v>
      </c>
      <c r="C50" s="2" t="s">
        <v>1</v>
      </c>
      <c r="D50" s="2" t="s">
        <v>0</v>
      </c>
      <c r="E50" s="2" t="s">
        <v>1168</v>
      </c>
      <c r="F50" s="2" t="s">
        <v>1169</v>
      </c>
      <c r="G50" s="14">
        <v>1336</v>
      </c>
      <c r="H50" s="18">
        <v>1336</v>
      </c>
      <c r="I50" s="19" t="s">
        <v>993</v>
      </c>
      <c r="J50" s="13" t="s">
        <v>994</v>
      </c>
      <c r="K50" s="2">
        <v>0</v>
      </c>
      <c r="L50" s="2">
        <v>0</v>
      </c>
      <c r="M50" s="13">
        <v>166</v>
      </c>
      <c r="N50" s="2">
        <v>21.580000000000002</v>
      </c>
      <c r="O50" s="2">
        <v>0</v>
      </c>
      <c r="P50" s="2">
        <v>0</v>
      </c>
      <c r="Q50" s="13">
        <v>187.58</v>
      </c>
      <c r="R50" s="2">
        <v>0</v>
      </c>
      <c r="S50" s="2" t="s">
        <v>1</v>
      </c>
    </row>
    <row r="51" spans="1:19" x14ac:dyDescent="0.25">
      <c r="A51" s="2" t="s">
        <v>554</v>
      </c>
      <c r="B51" s="20">
        <v>44993</v>
      </c>
      <c r="C51" s="2" t="s">
        <v>1</v>
      </c>
      <c r="D51" s="2" t="s">
        <v>0</v>
      </c>
      <c r="E51" s="2" t="s">
        <v>1168</v>
      </c>
      <c r="F51" s="2" t="s">
        <v>1169</v>
      </c>
      <c r="G51" s="14">
        <v>1337</v>
      </c>
      <c r="H51" s="18">
        <v>1337</v>
      </c>
      <c r="I51" s="19" t="s">
        <v>1095</v>
      </c>
      <c r="J51" s="13" t="s">
        <v>1096</v>
      </c>
      <c r="K51" s="2">
        <v>0</v>
      </c>
      <c r="L51" s="2">
        <v>0</v>
      </c>
      <c r="M51" s="13">
        <v>173.45</v>
      </c>
      <c r="N51" s="2">
        <v>22.548500000000001</v>
      </c>
      <c r="O51" s="2">
        <v>0</v>
      </c>
      <c r="P51" s="2">
        <v>0</v>
      </c>
      <c r="Q51" s="13">
        <v>195.99849999999998</v>
      </c>
      <c r="R51" s="2">
        <v>0</v>
      </c>
      <c r="S51" s="2" t="s">
        <v>1</v>
      </c>
    </row>
    <row r="52" spans="1:19" x14ac:dyDescent="0.25">
      <c r="A52" s="2" t="s">
        <v>554</v>
      </c>
      <c r="B52" s="20">
        <v>44993</v>
      </c>
      <c r="C52" s="2" t="s">
        <v>1</v>
      </c>
      <c r="D52" s="2" t="s">
        <v>0</v>
      </c>
      <c r="E52" s="2" t="s">
        <v>1168</v>
      </c>
      <c r="F52" s="2" t="s">
        <v>1169</v>
      </c>
      <c r="G52" s="14">
        <v>1338</v>
      </c>
      <c r="H52" s="18">
        <v>1338</v>
      </c>
      <c r="I52" s="19" t="s">
        <v>1095</v>
      </c>
      <c r="J52" s="13" t="s">
        <v>1096</v>
      </c>
      <c r="K52" s="2">
        <v>0</v>
      </c>
      <c r="L52" s="2">
        <v>0</v>
      </c>
      <c r="M52" s="13">
        <v>123</v>
      </c>
      <c r="N52" s="2">
        <v>15.99</v>
      </c>
      <c r="O52" s="2">
        <v>0</v>
      </c>
      <c r="P52" s="2">
        <v>0</v>
      </c>
      <c r="Q52" s="13">
        <v>138.99</v>
      </c>
      <c r="R52" s="2">
        <v>0</v>
      </c>
      <c r="S52" s="2" t="s">
        <v>1</v>
      </c>
    </row>
    <row r="53" spans="1:19" x14ac:dyDescent="0.25">
      <c r="A53" s="2" t="s">
        <v>554</v>
      </c>
      <c r="B53" s="20">
        <v>44993</v>
      </c>
      <c r="C53" s="2" t="s">
        <v>1</v>
      </c>
      <c r="D53" s="2" t="s">
        <v>0</v>
      </c>
      <c r="E53" s="2" t="s">
        <v>1168</v>
      </c>
      <c r="F53" s="2" t="s">
        <v>1169</v>
      </c>
      <c r="G53" s="14">
        <v>1339</v>
      </c>
      <c r="H53" s="18">
        <v>1339</v>
      </c>
      <c r="I53" s="19" t="s">
        <v>1006</v>
      </c>
      <c r="J53" s="13" t="s">
        <v>1007</v>
      </c>
      <c r="K53" s="2">
        <v>0</v>
      </c>
      <c r="L53" s="2">
        <v>0</v>
      </c>
      <c r="M53" s="13">
        <v>53.88</v>
      </c>
      <c r="N53" s="2">
        <v>7.0044000000000004</v>
      </c>
      <c r="O53" s="2">
        <v>0</v>
      </c>
      <c r="P53" s="2">
        <v>0</v>
      </c>
      <c r="Q53" s="13">
        <v>60.884399999999999</v>
      </c>
      <c r="R53" s="2">
        <v>0</v>
      </c>
      <c r="S53" s="2" t="s">
        <v>1</v>
      </c>
    </row>
    <row r="54" spans="1:19" x14ac:dyDescent="0.25">
      <c r="A54" s="2" t="s">
        <v>554</v>
      </c>
      <c r="B54" s="20">
        <v>44993</v>
      </c>
      <c r="C54" s="2" t="s">
        <v>1</v>
      </c>
      <c r="D54" s="2" t="s">
        <v>0</v>
      </c>
      <c r="E54" s="2" t="s">
        <v>1168</v>
      </c>
      <c r="F54" s="2" t="s">
        <v>1169</v>
      </c>
      <c r="G54" s="14">
        <v>1340</v>
      </c>
      <c r="H54" s="18">
        <v>1340</v>
      </c>
      <c r="I54" s="19" t="s">
        <v>1006</v>
      </c>
      <c r="J54" s="13" t="s">
        <v>1007</v>
      </c>
      <c r="K54" s="2">
        <v>0</v>
      </c>
      <c r="L54" s="2">
        <v>0</v>
      </c>
      <c r="M54" s="13">
        <v>15.3</v>
      </c>
      <c r="N54" s="2">
        <v>1.9890000000000001</v>
      </c>
      <c r="O54" s="2">
        <v>0</v>
      </c>
      <c r="P54" s="2">
        <v>0</v>
      </c>
      <c r="Q54" s="13">
        <v>17.289000000000001</v>
      </c>
      <c r="R54" s="2">
        <v>0</v>
      </c>
      <c r="S54" s="2" t="s">
        <v>1</v>
      </c>
    </row>
    <row r="55" spans="1:19" x14ac:dyDescent="0.25">
      <c r="A55" s="2" t="s">
        <v>554</v>
      </c>
      <c r="B55" s="20">
        <v>44993</v>
      </c>
      <c r="C55" s="2" t="s">
        <v>1</v>
      </c>
      <c r="D55" s="2" t="s">
        <v>0</v>
      </c>
      <c r="E55" s="2" t="s">
        <v>1168</v>
      </c>
      <c r="F55" s="2" t="s">
        <v>1169</v>
      </c>
      <c r="G55" s="14">
        <v>1341</v>
      </c>
      <c r="H55" s="18">
        <v>1341</v>
      </c>
      <c r="I55" s="19" t="s">
        <v>435</v>
      </c>
      <c r="J55" s="13" t="s">
        <v>434</v>
      </c>
      <c r="K55" s="2">
        <v>0</v>
      </c>
      <c r="L55" s="2">
        <v>0</v>
      </c>
      <c r="M55" s="13">
        <v>0</v>
      </c>
      <c r="N55" s="2">
        <v>0</v>
      </c>
      <c r="O55" s="2">
        <v>0</v>
      </c>
      <c r="P55" s="2">
        <v>0</v>
      </c>
      <c r="Q55" s="13">
        <v>0</v>
      </c>
      <c r="R55" s="2">
        <v>0</v>
      </c>
      <c r="S55" s="2" t="s">
        <v>1</v>
      </c>
    </row>
    <row r="56" spans="1:19" x14ac:dyDescent="0.25">
      <c r="A56" s="2" t="s">
        <v>554</v>
      </c>
      <c r="B56" s="20">
        <v>44993</v>
      </c>
      <c r="C56" s="2" t="s">
        <v>1</v>
      </c>
      <c r="D56" s="2" t="s">
        <v>0</v>
      </c>
      <c r="E56" s="2" t="s">
        <v>1168</v>
      </c>
      <c r="F56" s="2" t="s">
        <v>1169</v>
      </c>
      <c r="G56" s="14">
        <v>1342</v>
      </c>
      <c r="H56" s="18">
        <v>1342</v>
      </c>
      <c r="I56" s="19" t="s">
        <v>1089</v>
      </c>
      <c r="J56" s="13" t="s">
        <v>1090</v>
      </c>
      <c r="K56" s="2">
        <v>0</v>
      </c>
      <c r="L56" s="2">
        <v>0</v>
      </c>
      <c r="M56" s="13">
        <v>130.69999999999999</v>
      </c>
      <c r="N56" s="2">
        <v>16.991</v>
      </c>
      <c r="O56" s="2">
        <v>0</v>
      </c>
      <c r="P56" s="2">
        <v>0</v>
      </c>
      <c r="Q56" s="13">
        <v>147.69099999999997</v>
      </c>
      <c r="R56" s="2">
        <v>0</v>
      </c>
      <c r="S56" s="2" t="s">
        <v>1</v>
      </c>
    </row>
    <row r="57" spans="1:19" x14ac:dyDescent="0.25">
      <c r="A57" s="2" t="s">
        <v>554</v>
      </c>
      <c r="B57" s="20">
        <v>44993</v>
      </c>
      <c r="C57" s="2" t="s">
        <v>1</v>
      </c>
      <c r="D57" s="2" t="s">
        <v>0</v>
      </c>
      <c r="E57" s="2" t="s">
        <v>1168</v>
      </c>
      <c r="F57" s="2" t="s">
        <v>1169</v>
      </c>
      <c r="G57" s="14">
        <v>1343</v>
      </c>
      <c r="H57" s="18">
        <v>1343</v>
      </c>
      <c r="I57" s="19" t="s">
        <v>1016</v>
      </c>
      <c r="J57" s="13" t="s">
        <v>1017</v>
      </c>
      <c r="K57" s="2">
        <v>0</v>
      </c>
      <c r="L57" s="2">
        <v>0</v>
      </c>
      <c r="M57" s="13">
        <v>106.65</v>
      </c>
      <c r="N57" s="2">
        <v>13.864500000000001</v>
      </c>
      <c r="O57" s="2">
        <v>0</v>
      </c>
      <c r="P57" s="2">
        <v>0</v>
      </c>
      <c r="Q57" s="13">
        <v>120.51450000000001</v>
      </c>
      <c r="R57" s="2">
        <v>0</v>
      </c>
      <c r="S57" s="2" t="s">
        <v>1</v>
      </c>
    </row>
    <row r="58" spans="1:19" x14ac:dyDescent="0.25">
      <c r="A58" s="2" t="s">
        <v>554</v>
      </c>
      <c r="B58" s="20">
        <v>44993</v>
      </c>
      <c r="C58" s="2" t="s">
        <v>1</v>
      </c>
      <c r="D58" s="2" t="s">
        <v>0</v>
      </c>
      <c r="E58" s="2" t="s">
        <v>1168</v>
      </c>
      <c r="F58" s="2" t="s">
        <v>1169</v>
      </c>
      <c r="G58" s="14">
        <v>1344</v>
      </c>
      <c r="H58" s="18">
        <v>1344</v>
      </c>
      <c r="I58" s="19" t="s">
        <v>1152</v>
      </c>
      <c r="J58" s="13" t="s">
        <v>1153</v>
      </c>
      <c r="K58" s="2">
        <v>0</v>
      </c>
      <c r="L58" s="2">
        <v>0</v>
      </c>
      <c r="M58" s="13">
        <v>61.77</v>
      </c>
      <c r="N58" s="2">
        <v>8.0301000000000009</v>
      </c>
      <c r="O58" s="2">
        <v>0</v>
      </c>
      <c r="P58" s="2">
        <v>0</v>
      </c>
      <c r="Q58" s="13">
        <v>69.8001</v>
      </c>
      <c r="R58" s="2">
        <v>0</v>
      </c>
      <c r="S58" s="2" t="s">
        <v>1</v>
      </c>
    </row>
    <row r="59" spans="1:19" x14ac:dyDescent="0.25">
      <c r="A59" s="2" t="s">
        <v>554</v>
      </c>
      <c r="B59" s="20">
        <v>44993</v>
      </c>
      <c r="C59" s="2" t="s">
        <v>1</v>
      </c>
      <c r="D59" s="2" t="s">
        <v>0</v>
      </c>
      <c r="E59" s="2" t="s">
        <v>1168</v>
      </c>
      <c r="F59" s="2" t="s">
        <v>1169</v>
      </c>
      <c r="G59" s="14">
        <v>1345</v>
      </c>
      <c r="H59" s="18">
        <v>1345</v>
      </c>
      <c r="I59" s="19" t="s">
        <v>1020</v>
      </c>
      <c r="J59" s="13" t="s">
        <v>1021</v>
      </c>
      <c r="K59" s="2">
        <v>0</v>
      </c>
      <c r="L59" s="2">
        <v>0</v>
      </c>
      <c r="M59" s="13">
        <v>588.15</v>
      </c>
      <c r="N59" s="2">
        <v>76.459500000000006</v>
      </c>
      <c r="O59" s="2">
        <v>0</v>
      </c>
      <c r="P59" s="2">
        <v>0</v>
      </c>
      <c r="Q59" s="13">
        <v>664.60950000000003</v>
      </c>
      <c r="R59" s="2">
        <v>0</v>
      </c>
      <c r="S59" s="2" t="s">
        <v>1</v>
      </c>
    </row>
    <row r="60" spans="1:19" x14ac:dyDescent="0.25">
      <c r="A60" s="2" t="s">
        <v>554</v>
      </c>
      <c r="B60" s="20">
        <v>44994</v>
      </c>
      <c r="C60" s="2" t="s">
        <v>1</v>
      </c>
      <c r="D60" s="2" t="s">
        <v>0</v>
      </c>
      <c r="E60" s="2" t="s">
        <v>1168</v>
      </c>
      <c r="F60" s="2" t="s">
        <v>1169</v>
      </c>
      <c r="G60" s="14">
        <v>1346</v>
      </c>
      <c r="H60" s="18">
        <v>1346</v>
      </c>
      <c r="I60" s="19" t="s">
        <v>969</v>
      </c>
      <c r="J60" s="13" t="s">
        <v>970</v>
      </c>
      <c r="K60" s="2">
        <v>0</v>
      </c>
      <c r="L60" s="2">
        <v>0</v>
      </c>
      <c r="M60" s="13">
        <v>66.7</v>
      </c>
      <c r="N60" s="2">
        <v>8.6710000000000012</v>
      </c>
      <c r="O60" s="2">
        <v>0</v>
      </c>
      <c r="P60" s="2">
        <v>0</v>
      </c>
      <c r="Q60" s="13">
        <v>75.371000000000009</v>
      </c>
      <c r="R60" s="2">
        <v>0</v>
      </c>
      <c r="S60" s="2" t="s">
        <v>1</v>
      </c>
    </row>
    <row r="61" spans="1:19" x14ac:dyDescent="0.25">
      <c r="A61" s="2" t="s">
        <v>554</v>
      </c>
      <c r="B61" s="20">
        <v>44995</v>
      </c>
      <c r="C61" s="2" t="s">
        <v>1</v>
      </c>
      <c r="D61" s="2" t="s">
        <v>0</v>
      </c>
      <c r="E61" s="2" t="s">
        <v>1168</v>
      </c>
      <c r="F61" s="2" t="s">
        <v>1169</v>
      </c>
      <c r="G61" s="14">
        <v>1347</v>
      </c>
      <c r="H61" s="18">
        <v>1347</v>
      </c>
      <c r="I61" s="19" t="s">
        <v>1141</v>
      </c>
      <c r="J61" s="13" t="s">
        <v>997</v>
      </c>
      <c r="K61" s="2">
        <v>0</v>
      </c>
      <c r="L61" s="2">
        <v>0</v>
      </c>
      <c r="M61" s="13">
        <v>102.12</v>
      </c>
      <c r="N61" s="2">
        <v>13.275600000000001</v>
      </c>
      <c r="O61" s="2">
        <v>0</v>
      </c>
      <c r="P61" s="2">
        <v>0</v>
      </c>
      <c r="Q61" s="13">
        <v>115.3956</v>
      </c>
      <c r="R61" s="2">
        <v>0</v>
      </c>
      <c r="S61" s="2" t="s">
        <v>1</v>
      </c>
    </row>
    <row r="62" spans="1:19" x14ac:dyDescent="0.25">
      <c r="A62" s="2" t="s">
        <v>554</v>
      </c>
      <c r="B62" s="20">
        <v>44995</v>
      </c>
      <c r="C62" s="2" t="s">
        <v>1</v>
      </c>
      <c r="D62" s="2" t="s">
        <v>0</v>
      </c>
      <c r="E62" s="2" t="s">
        <v>1168</v>
      </c>
      <c r="F62" s="2" t="s">
        <v>1169</v>
      </c>
      <c r="G62" s="14">
        <v>1348</v>
      </c>
      <c r="H62" s="18">
        <v>1348</v>
      </c>
      <c r="I62" s="19" t="s">
        <v>1129</v>
      </c>
      <c r="J62" s="13" t="s">
        <v>1130</v>
      </c>
      <c r="K62" s="2">
        <v>0</v>
      </c>
      <c r="L62" s="2">
        <v>0</v>
      </c>
      <c r="M62" s="13">
        <v>96.1</v>
      </c>
      <c r="N62" s="2">
        <v>12.493</v>
      </c>
      <c r="O62" s="2">
        <v>0</v>
      </c>
      <c r="P62" s="2">
        <v>0</v>
      </c>
      <c r="Q62" s="13">
        <v>108.59299999999999</v>
      </c>
      <c r="R62" s="2">
        <v>0</v>
      </c>
      <c r="S62" s="2" t="s">
        <v>1</v>
      </c>
    </row>
    <row r="63" spans="1:19" x14ac:dyDescent="0.25">
      <c r="A63" s="2" t="s">
        <v>554</v>
      </c>
      <c r="B63" s="20">
        <v>44995</v>
      </c>
      <c r="C63" s="2" t="s">
        <v>1</v>
      </c>
      <c r="D63" s="2" t="s">
        <v>0</v>
      </c>
      <c r="E63" s="2" t="s">
        <v>1168</v>
      </c>
      <c r="F63" s="2" t="s">
        <v>1169</v>
      </c>
      <c r="G63" s="14">
        <v>1349</v>
      </c>
      <c r="H63" s="18">
        <v>1349</v>
      </c>
      <c r="I63" s="19" t="s">
        <v>1141</v>
      </c>
      <c r="J63" s="13" t="s">
        <v>997</v>
      </c>
      <c r="K63" s="2">
        <v>0</v>
      </c>
      <c r="L63" s="2">
        <v>0</v>
      </c>
      <c r="M63" s="13">
        <v>88.5</v>
      </c>
      <c r="N63" s="2">
        <v>11.505000000000001</v>
      </c>
      <c r="O63" s="2">
        <v>0</v>
      </c>
      <c r="P63" s="2">
        <v>0</v>
      </c>
      <c r="Q63" s="13">
        <v>100.005</v>
      </c>
      <c r="R63" s="2">
        <v>0</v>
      </c>
      <c r="S63" s="2" t="s">
        <v>1</v>
      </c>
    </row>
    <row r="64" spans="1:19" x14ac:dyDescent="0.25">
      <c r="A64" s="2" t="s">
        <v>554</v>
      </c>
      <c r="B64" s="20">
        <v>44995</v>
      </c>
      <c r="C64" s="2" t="s">
        <v>1</v>
      </c>
      <c r="D64" s="2" t="s">
        <v>0</v>
      </c>
      <c r="E64" s="2" t="s">
        <v>1168</v>
      </c>
      <c r="F64" s="2" t="s">
        <v>1169</v>
      </c>
      <c r="G64" s="14">
        <v>1350</v>
      </c>
      <c r="H64" s="18">
        <v>1350</v>
      </c>
      <c r="I64" s="19" t="s">
        <v>435</v>
      </c>
      <c r="J64" s="13" t="s">
        <v>434</v>
      </c>
      <c r="K64" s="2">
        <v>0</v>
      </c>
      <c r="L64" s="2">
        <v>0</v>
      </c>
      <c r="M64" s="13">
        <v>0</v>
      </c>
      <c r="N64" s="2">
        <v>0</v>
      </c>
      <c r="O64" s="2">
        <v>0</v>
      </c>
      <c r="P64" s="2">
        <v>0</v>
      </c>
      <c r="Q64" s="13">
        <v>0</v>
      </c>
      <c r="R64" s="2">
        <v>0</v>
      </c>
      <c r="S64" s="2" t="s">
        <v>1</v>
      </c>
    </row>
    <row r="65" spans="1:19" x14ac:dyDescent="0.25">
      <c r="A65" s="2" t="s">
        <v>554</v>
      </c>
      <c r="B65" s="20">
        <v>44995</v>
      </c>
      <c r="C65" s="2" t="s">
        <v>1</v>
      </c>
      <c r="D65" s="2" t="s">
        <v>0</v>
      </c>
      <c r="E65" s="2" t="s">
        <v>1168</v>
      </c>
      <c r="F65" s="2" t="s">
        <v>1169</v>
      </c>
      <c r="G65" s="14">
        <v>1351</v>
      </c>
      <c r="H65" s="18">
        <v>1351</v>
      </c>
      <c r="I65" s="19" t="s">
        <v>360</v>
      </c>
      <c r="J65" s="13" t="s">
        <v>361</v>
      </c>
      <c r="K65" s="2">
        <v>0</v>
      </c>
      <c r="L65" s="2">
        <v>0</v>
      </c>
      <c r="M65" s="13">
        <v>7.78</v>
      </c>
      <c r="N65" s="2">
        <v>1.0114000000000001</v>
      </c>
      <c r="O65" s="2">
        <v>0</v>
      </c>
      <c r="P65" s="2">
        <v>0</v>
      </c>
      <c r="Q65" s="13">
        <v>8.7913999999999994</v>
      </c>
      <c r="R65" s="2">
        <v>0</v>
      </c>
      <c r="S65" s="2" t="s">
        <v>1</v>
      </c>
    </row>
    <row r="66" spans="1:19" x14ac:dyDescent="0.25">
      <c r="A66" s="2" t="s">
        <v>554</v>
      </c>
      <c r="B66" s="20">
        <v>44995</v>
      </c>
      <c r="C66" s="2" t="s">
        <v>1</v>
      </c>
      <c r="D66" s="2" t="s">
        <v>0</v>
      </c>
      <c r="E66" s="2" t="s">
        <v>1168</v>
      </c>
      <c r="F66" s="2" t="s">
        <v>1169</v>
      </c>
      <c r="G66" s="14">
        <v>1352</v>
      </c>
      <c r="H66" s="18">
        <v>1352</v>
      </c>
      <c r="I66" s="19" t="s">
        <v>566</v>
      </c>
      <c r="J66" s="13" t="s">
        <v>567</v>
      </c>
      <c r="K66" s="2">
        <v>0</v>
      </c>
      <c r="L66" s="2">
        <v>0</v>
      </c>
      <c r="M66" s="13">
        <v>20</v>
      </c>
      <c r="N66" s="2">
        <v>2.6</v>
      </c>
      <c r="O66" s="2">
        <v>0</v>
      </c>
      <c r="P66" s="2">
        <v>0</v>
      </c>
      <c r="Q66" s="13">
        <v>22.6</v>
      </c>
      <c r="R66" s="2">
        <v>0</v>
      </c>
      <c r="S66" s="2" t="s">
        <v>1</v>
      </c>
    </row>
    <row r="67" spans="1:19" x14ac:dyDescent="0.25">
      <c r="A67" s="2" t="s">
        <v>554</v>
      </c>
      <c r="B67" s="20">
        <v>44995</v>
      </c>
      <c r="C67" s="2" t="s">
        <v>1</v>
      </c>
      <c r="D67" s="2" t="s">
        <v>0</v>
      </c>
      <c r="E67" s="2" t="s">
        <v>1168</v>
      </c>
      <c r="F67" s="2" t="s">
        <v>1169</v>
      </c>
      <c r="G67" s="14">
        <v>1353</v>
      </c>
      <c r="H67" s="18">
        <v>1353</v>
      </c>
      <c r="I67" s="19" t="s">
        <v>566</v>
      </c>
      <c r="J67" s="13" t="s">
        <v>567</v>
      </c>
      <c r="K67" s="2">
        <v>0</v>
      </c>
      <c r="L67" s="2">
        <v>0</v>
      </c>
      <c r="M67" s="13">
        <v>486.84</v>
      </c>
      <c r="N67" s="2">
        <v>63.289200000000001</v>
      </c>
      <c r="O67" s="2">
        <v>0</v>
      </c>
      <c r="P67" s="2">
        <v>0</v>
      </c>
      <c r="Q67" s="13">
        <v>550.12919999999997</v>
      </c>
      <c r="R67" s="2">
        <v>0</v>
      </c>
      <c r="S67" s="2" t="s">
        <v>1</v>
      </c>
    </row>
    <row r="68" spans="1:19" x14ac:dyDescent="0.25">
      <c r="A68" s="2" t="s">
        <v>554</v>
      </c>
      <c r="B68" s="20">
        <v>44995</v>
      </c>
      <c r="C68" s="2" t="s">
        <v>1</v>
      </c>
      <c r="D68" s="2" t="s">
        <v>0</v>
      </c>
      <c r="E68" s="2" t="s">
        <v>1168</v>
      </c>
      <c r="F68" s="2" t="s">
        <v>1169</v>
      </c>
      <c r="G68" s="14">
        <v>1354</v>
      </c>
      <c r="H68" s="18">
        <v>1354</v>
      </c>
      <c r="I68" s="19" t="s">
        <v>566</v>
      </c>
      <c r="J68" s="13" t="s">
        <v>567</v>
      </c>
      <c r="K68" s="2">
        <v>0</v>
      </c>
      <c r="L68" s="2">
        <v>0</v>
      </c>
      <c r="M68" s="13">
        <v>41.41</v>
      </c>
      <c r="N68" s="2">
        <v>5.3832999999999993</v>
      </c>
      <c r="O68" s="2">
        <v>0</v>
      </c>
      <c r="P68" s="2">
        <v>0</v>
      </c>
      <c r="Q68" s="13">
        <v>46.793299999999995</v>
      </c>
      <c r="R68" s="2">
        <v>0</v>
      </c>
      <c r="S68" s="2" t="s">
        <v>1</v>
      </c>
    </row>
    <row r="69" spans="1:19" x14ac:dyDescent="0.25">
      <c r="A69" s="2" t="s">
        <v>554</v>
      </c>
      <c r="B69" s="20">
        <v>44998</v>
      </c>
      <c r="C69" s="2" t="s">
        <v>1</v>
      </c>
      <c r="D69" s="2" t="s">
        <v>0</v>
      </c>
      <c r="E69" s="2" t="s">
        <v>1168</v>
      </c>
      <c r="F69" s="2" t="s">
        <v>1169</v>
      </c>
      <c r="G69" s="14">
        <v>1355</v>
      </c>
      <c r="H69" s="18">
        <v>1355</v>
      </c>
      <c r="I69" s="19" t="s">
        <v>81</v>
      </c>
      <c r="J69" s="13" t="s">
        <v>82</v>
      </c>
      <c r="K69" s="2">
        <v>0</v>
      </c>
      <c r="L69" s="2">
        <v>0</v>
      </c>
      <c r="M69" s="13">
        <v>122.68</v>
      </c>
      <c r="N69" s="2">
        <v>15.948400000000001</v>
      </c>
      <c r="O69" s="2">
        <v>0</v>
      </c>
      <c r="P69" s="2">
        <v>0</v>
      </c>
      <c r="Q69" s="13">
        <v>138.6284</v>
      </c>
      <c r="R69" s="2">
        <v>0</v>
      </c>
      <c r="S69" s="2" t="s">
        <v>1</v>
      </c>
    </row>
    <row r="70" spans="1:19" x14ac:dyDescent="0.25">
      <c r="A70" s="2" t="s">
        <v>554</v>
      </c>
      <c r="B70" s="20">
        <v>44998</v>
      </c>
      <c r="C70" s="2" t="s">
        <v>1</v>
      </c>
      <c r="D70" s="2" t="s">
        <v>0</v>
      </c>
      <c r="E70" s="2" t="s">
        <v>1168</v>
      </c>
      <c r="F70" s="2" t="s">
        <v>1169</v>
      </c>
      <c r="G70" s="14">
        <v>1356</v>
      </c>
      <c r="H70" s="18">
        <v>1356</v>
      </c>
      <c r="I70" s="19" t="s">
        <v>134</v>
      </c>
      <c r="J70" s="13" t="s">
        <v>135</v>
      </c>
      <c r="K70" s="2">
        <v>0</v>
      </c>
      <c r="L70" s="2">
        <v>0</v>
      </c>
      <c r="M70" s="13">
        <v>26.3</v>
      </c>
      <c r="N70" s="2">
        <v>3.419</v>
      </c>
      <c r="O70" s="2">
        <v>0</v>
      </c>
      <c r="P70" s="2">
        <v>0</v>
      </c>
      <c r="Q70" s="13">
        <v>29.719000000000001</v>
      </c>
      <c r="R70" s="2">
        <v>0</v>
      </c>
      <c r="S70" s="2" t="s">
        <v>1</v>
      </c>
    </row>
    <row r="71" spans="1:19" x14ac:dyDescent="0.25">
      <c r="A71" s="2" t="s">
        <v>554</v>
      </c>
      <c r="B71" s="20">
        <v>44998</v>
      </c>
      <c r="C71" s="2" t="s">
        <v>1</v>
      </c>
      <c r="D71" s="2" t="s">
        <v>0</v>
      </c>
      <c r="E71" s="2" t="s">
        <v>1168</v>
      </c>
      <c r="F71" s="2" t="s">
        <v>1169</v>
      </c>
      <c r="G71" s="14">
        <v>1357</v>
      </c>
      <c r="H71" s="18">
        <v>1357</v>
      </c>
      <c r="I71" s="19" t="s">
        <v>1141</v>
      </c>
      <c r="J71" s="13" t="s">
        <v>997</v>
      </c>
      <c r="K71" s="2">
        <v>0</v>
      </c>
      <c r="L71" s="2">
        <v>0</v>
      </c>
      <c r="M71" s="13">
        <v>206.85</v>
      </c>
      <c r="N71" s="2">
        <v>26.890499999999999</v>
      </c>
      <c r="O71" s="2">
        <v>0</v>
      </c>
      <c r="P71" s="2">
        <v>0</v>
      </c>
      <c r="Q71" s="13">
        <v>233.7405</v>
      </c>
      <c r="R71" s="2">
        <v>0</v>
      </c>
      <c r="S71" s="2" t="s">
        <v>1</v>
      </c>
    </row>
    <row r="72" spans="1:19" x14ac:dyDescent="0.25">
      <c r="A72" s="2" t="s">
        <v>554</v>
      </c>
      <c r="B72" s="20">
        <v>44998</v>
      </c>
      <c r="C72" s="2" t="s">
        <v>1</v>
      </c>
      <c r="D72" s="2" t="s">
        <v>0</v>
      </c>
      <c r="E72" s="2" t="s">
        <v>1168</v>
      </c>
      <c r="F72" s="2" t="s">
        <v>1169</v>
      </c>
      <c r="G72" s="14">
        <v>1358</v>
      </c>
      <c r="H72" s="18">
        <v>1358</v>
      </c>
      <c r="I72" s="19"/>
      <c r="J72" s="13" t="s">
        <v>1072</v>
      </c>
      <c r="K72" s="2">
        <v>0</v>
      </c>
      <c r="L72" s="2">
        <v>0</v>
      </c>
      <c r="M72" s="13">
        <v>51.69</v>
      </c>
      <c r="N72" s="2">
        <v>6.7196999999999996</v>
      </c>
      <c r="O72" s="2">
        <v>0</v>
      </c>
      <c r="P72" s="2">
        <v>0</v>
      </c>
      <c r="Q72" s="13">
        <v>58.409700000000001</v>
      </c>
      <c r="R72" s="2">
        <v>0</v>
      </c>
      <c r="S72" s="2" t="s">
        <v>1</v>
      </c>
    </row>
    <row r="73" spans="1:19" x14ac:dyDescent="0.25">
      <c r="A73" s="2" t="s">
        <v>554</v>
      </c>
      <c r="B73" s="20">
        <v>44998</v>
      </c>
      <c r="C73" s="2" t="s">
        <v>1</v>
      </c>
      <c r="D73" s="2" t="s">
        <v>0</v>
      </c>
      <c r="E73" s="2" t="s">
        <v>1168</v>
      </c>
      <c r="F73" s="2" t="s">
        <v>1169</v>
      </c>
      <c r="G73" s="14">
        <v>1359</v>
      </c>
      <c r="H73" s="18">
        <v>1359</v>
      </c>
      <c r="I73" s="19"/>
      <c r="J73" s="13" t="s">
        <v>982</v>
      </c>
      <c r="K73" s="2">
        <v>0</v>
      </c>
      <c r="L73" s="2">
        <v>0</v>
      </c>
      <c r="M73" s="13">
        <v>78</v>
      </c>
      <c r="N73" s="2">
        <v>10.14</v>
      </c>
      <c r="O73" s="2">
        <v>0</v>
      </c>
      <c r="P73" s="2">
        <v>0</v>
      </c>
      <c r="Q73" s="13">
        <v>88.14</v>
      </c>
      <c r="R73" s="2">
        <v>0</v>
      </c>
      <c r="S73" s="2" t="s">
        <v>1</v>
      </c>
    </row>
    <row r="74" spans="1:19" x14ac:dyDescent="0.25">
      <c r="A74" s="2" t="s">
        <v>554</v>
      </c>
      <c r="B74" s="20">
        <v>44998</v>
      </c>
      <c r="C74" s="2" t="s">
        <v>1</v>
      </c>
      <c r="D74" s="2" t="s">
        <v>0</v>
      </c>
      <c r="E74" s="2" t="s">
        <v>1168</v>
      </c>
      <c r="F74" s="2" t="s">
        <v>1169</v>
      </c>
      <c r="G74" s="14">
        <v>1360</v>
      </c>
      <c r="H74" s="18">
        <v>1360</v>
      </c>
      <c r="I74" s="19" t="s">
        <v>969</v>
      </c>
      <c r="J74" s="13" t="s">
        <v>970</v>
      </c>
      <c r="K74" s="2">
        <v>0</v>
      </c>
      <c r="L74" s="2">
        <v>0</v>
      </c>
      <c r="M74" s="13">
        <v>139.91999999999999</v>
      </c>
      <c r="N74" s="2">
        <v>18.189599999999999</v>
      </c>
      <c r="O74" s="2">
        <v>0</v>
      </c>
      <c r="P74" s="2">
        <v>0</v>
      </c>
      <c r="Q74" s="13">
        <v>158.1096</v>
      </c>
      <c r="R74" s="2">
        <v>0</v>
      </c>
      <c r="S74" s="2" t="s">
        <v>1</v>
      </c>
    </row>
    <row r="75" spans="1:19" x14ac:dyDescent="0.25">
      <c r="A75" s="2" t="s">
        <v>554</v>
      </c>
      <c r="B75" s="20">
        <v>44998</v>
      </c>
      <c r="C75" s="2" t="s">
        <v>1</v>
      </c>
      <c r="D75" s="2" t="s">
        <v>0</v>
      </c>
      <c r="E75" s="2" t="s">
        <v>1168</v>
      </c>
      <c r="F75" s="2" t="s">
        <v>1169</v>
      </c>
      <c r="G75" s="14">
        <v>1361</v>
      </c>
      <c r="H75" s="18">
        <v>1361</v>
      </c>
      <c r="I75" s="19" t="s">
        <v>68</v>
      </c>
      <c r="J75" s="13" t="s">
        <v>69</v>
      </c>
      <c r="K75" s="2">
        <v>0</v>
      </c>
      <c r="L75" s="2">
        <v>0</v>
      </c>
      <c r="M75" s="13">
        <v>54</v>
      </c>
      <c r="N75" s="2">
        <v>7.0200000000000005</v>
      </c>
      <c r="O75" s="2">
        <v>0</v>
      </c>
      <c r="P75" s="2">
        <v>0</v>
      </c>
      <c r="Q75" s="13">
        <v>61.02</v>
      </c>
      <c r="R75" s="2">
        <v>0</v>
      </c>
      <c r="S75" s="2" t="s">
        <v>1</v>
      </c>
    </row>
    <row r="76" spans="1:19" x14ac:dyDescent="0.25">
      <c r="A76" s="2" t="s">
        <v>554</v>
      </c>
      <c r="B76" s="20">
        <v>44998</v>
      </c>
      <c r="C76" s="2" t="s">
        <v>1</v>
      </c>
      <c r="D76" s="2" t="s">
        <v>0</v>
      </c>
      <c r="E76" s="2" t="s">
        <v>1168</v>
      </c>
      <c r="F76" s="2" t="s">
        <v>1169</v>
      </c>
      <c r="G76" s="14">
        <v>1362</v>
      </c>
      <c r="H76" s="18">
        <v>1362</v>
      </c>
      <c r="I76" s="19"/>
      <c r="J76" s="13" t="s">
        <v>982</v>
      </c>
      <c r="K76" s="2">
        <v>0</v>
      </c>
      <c r="L76" s="2">
        <v>0</v>
      </c>
      <c r="M76" s="13">
        <v>111.2</v>
      </c>
      <c r="N76" s="2">
        <v>14.456000000000001</v>
      </c>
      <c r="O76" s="2">
        <v>0</v>
      </c>
      <c r="P76" s="2">
        <v>0</v>
      </c>
      <c r="Q76" s="13">
        <v>125.65600000000001</v>
      </c>
      <c r="R76" s="2">
        <v>0</v>
      </c>
      <c r="S76" s="2" t="s">
        <v>1</v>
      </c>
    </row>
    <row r="77" spans="1:19" x14ac:dyDescent="0.25">
      <c r="A77" s="2" t="s">
        <v>554</v>
      </c>
      <c r="B77" s="20">
        <v>44998</v>
      </c>
      <c r="C77" s="2" t="s">
        <v>1</v>
      </c>
      <c r="D77" s="2" t="s">
        <v>0</v>
      </c>
      <c r="E77" s="2" t="s">
        <v>1168</v>
      </c>
      <c r="F77" s="2" t="s">
        <v>1169</v>
      </c>
      <c r="G77" s="14">
        <v>1363</v>
      </c>
      <c r="H77" s="18">
        <v>1363</v>
      </c>
      <c r="I77" s="19" t="s">
        <v>1165</v>
      </c>
      <c r="J77" s="13" t="s">
        <v>1166</v>
      </c>
      <c r="K77" s="2">
        <v>0</v>
      </c>
      <c r="L77" s="2">
        <v>0</v>
      </c>
      <c r="M77" s="13">
        <v>223.04</v>
      </c>
      <c r="N77" s="2">
        <v>28.995200000000001</v>
      </c>
      <c r="O77" s="2">
        <v>0</v>
      </c>
      <c r="P77" s="2">
        <v>0</v>
      </c>
      <c r="Q77" s="13">
        <v>252.0352</v>
      </c>
      <c r="R77" s="2">
        <v>0</v>
      </c>
      <c r="S77" s="2" t="s">
        <v>1</v>
      </c>
    </row>
    <row r="78" spans="1:19" x14ac:dyDescent="0.25">
      <c r="A78" s="2" t="s">
        <v>554</v>
      </c>
      <c r="B78" s="20">
        <v>44998</v>
      </c>
      <c r="C78" s="2" t="s">
        <v>1</v>
      </c>
      <c r="D78" s="2" t="s">
        <v>0</v>
      </c>
      <c r="E78" s="2" t="s">
        <v>1168</v>
      </c>
      <c r="F78" s="2" t="s">
        <v>1169</v>
      </c>
      <c r="G78" s="14">
        <v>1364</v>
      </c>
      <c r="H78" s="18">
        <v>1364</v>
      </c>
      <c r="I78" s="19"/>
      <c r="J78" s="13" t="s">
        <v>1179</v>
      </c>
      <c r="K78" s="2">
        <v>0</v>
      </c>
      <c r="L78" s="2">
        <v>0</v>
      </c>
      <c r="M78" s="13">
        <v>108.24</v>
      </c>
      <c r="N78" s="2">
        <v>14.071199999999999</v>
      </c>
      <c r="O78" s="2">
        <v>0</v>
      </c>
      <c r="P78" s="2">
        <v>0</v>
      </c>
      <c r="Q78" s="13">
        <v>122.3112</v>
      </c>
      <c r="R78" s="2">
        <v>0</v>
      </c>
      <c r="S78" s="2" t="s">
        <v>1</v>
      </c>
    </row>
    <row r="79" spans="1:19" x14ac:dyDescent="0.25">
      <c r="A79" s="2" t="s">
        <v>554</v>
      </c>
      <c r="B79" s="20">
        <v>44998</v>
      </c>
      <c r="C79" s="2" t="s">
        <v>1</v>
      </c>
      <c r="D79" s="2" t="s">
        <v>0</v>
      </c>
      <c r="E79" s="2" t="s">
        <v>1168</v>
      </c>
      <c r="F79" s="2" t="s">
        <v>1169</v>
      </c>
      <c r="G79" s="14">
        <v>1365</v>
      </c>
      <c r="H79" s="18">
        <v>1365</v>
      </c>
      <c r="I79" s="19" t="s">
        <v>1165</v>
      </c>
      <c r="J79" s="13" t="s">
        <v>1166</v>
      </c>
      <c r="K79" s="2">
        <v>0</v>
      </c>
      <c r="L79" s="2">
        <v>0</v>
      </c>
      <c r="M79" s="13">
        <v>167.3</v>
      </c>
      <c r="N79" s="2">
        <v>21.749000000000002</v>
      </c>
      <c r="O79" s="2">
        <v>0</v>
      </c>
      <c r="P79" s="2">
        <v>0</v>
      </c>
      <c r="Q79" s="13">
        <v>189.04900000000001</v>
      </c>
      <c r="R79" s="2">
        <v>0</v>
      </c>
      <c r="S79" s="2" t="s">
        <v>1</v>
      </c>
    </row>
    <row r="80" spans="1:19" x14ac:dyDescent="0.25">
      <c r="A80" s="2" t="s">
        <v>554</v>
      </c>
      <c r="B80" s="20">
        <v>44999</v>
      </c>
      <c r="C80" s="2" t="s">
        <v>1</v>
      </c>
      <c r="D80" s="2" t="s">
        <v>0</v>
      </c>
      <c r="E80" s="2" t="s">
        <v>1168</v>
      </c>
      <c r="F80" s="2" t="s">
        <v>1169</v>
      </c>
      <c r="G80" s="14">
        <v>1366</v>
      </c>
      <c r="H80" s="18">
        <v>1366</v>
      </c>
      <c r="I80" s="19" t="s">
        <v>1127</v>
      </c>
      <c r="J80" s="13" t="s">
        <v>1128</v>
      </c>
      <c r="K80" s="2">
        <v>0</v>
      </c>
      <c r="L80" s="2">
        <v>0</v>
      </c>
      <c r="M80" s="13">
        <v>106.19</v>
      </c>
      <c r="N80" s="2">
        <v>13.8047</v>
      </c>
      <c r="O80" s="2">
        <v>0</v>
      </c>
      <c r="P80" s="2">
        <v>0</v>
      </c>
      <c r="Q80" s="13">
        <v>119.99469999999999</v>
      </c>
      <c r="R80" s="2">
        <v>0</v>
      </c>
      <c r="S80" s="2" t="s">
        <v>1</v>
      </c>
    </row>
    <row r="81" spans="1:19" x14ac:dyDescent="0.25">
      <c r="A81" s="2" t="s">
        <v>554</v>
      </c>
      <c r="B81" s="20">
        <v>44999</v>
      </c>
      <c r="C81" s="2" t="s">
        <v>1</v>
      </c>
      <c r="D81" s="2" t="s">
        <v>0</v>
      </c>
      <c r="E81" s="2" t="s">
        <v>1168</v>
      </c>
      <c r="F81" s="2" t="s">
        <v>1169</v>
      </c>
      <c r="G81" s="14">
        <v>1367</v>
      </c>
      <c r="H81" s="18">
        <v>1367</v>
      </c>
      <c r="I81" s="19"/>
      <c r="J81" s="13" t="s">
        <v>624</v>
      </c>
      <c r="K81" s="2">
        <v>0</v>
      </c>
      <c r="L81" s="2">
        <v>0</v>
      </c>
      <c r="M81" s="13">
        <v>40</v>
      </c>
      <c r="N81" s="2">
        <v>5.2</v>
      </c>
      <c r="O81" s="2">
        <v>0</v>
      </c>
      <c r="P81" s="2">
        <v>0</v>
      </c>
      <c r="Q81" s="13">
        <v>45.2</v>
      </c>
      <c r="R81" s="2">
        <v>0</v>
      </c>
      <c r="S81" s="2" t="s">
        <v>1</v>
      </c>
    </row>
    <row r="82" spans="1:19" x14ac:dyDescent="0.25">
      <c r="A82" s="2" t="s">
        <v>554</v>
      </c>
      <c r="B82" s="20">
        <v>44999</v>
      </c>
      <c r="C82" s="2" t="s">
        <v>1</v>
      </c>
      <c r="D82" s="2" t="s">
        <v>0</v>
      </c>
      <c r="E82" s="2" t="s">
        <v>1168</v>
      </c>
      <c r="F82" s="2" t="s">
        <v>1169</v>
      </c>
      <c r="G82" s="14">
        <v>1368</v>
      </c>
      <c r="H82" s="18">
        <v>1368</v>
      </c>
      <c r="I82" s="19"/>
      <c r="J82" s="13" t="s">
        <v>982</v>
      </c>
      <c r="K82" s="2">
        <v>0</v>
      </c>
      <c r="L82" s="2">
        <v>0</v>
      </c>
      <c r="M82" s="13">
        <v>144</v>
      </c>
      <c r="N82" s="2">
        <v>18.72</v>
      </c>
      <c r="O82" s="2">
        <v>0</v>
      </c>
      <c r="P82" s="2">
        <v>0</v>
      </c>
      <c r="Q82" s="13">
        <v>162.72</v>
      </c>
      <c r="R82" s="2">
        <v>0</v>
      </c>
      <c r="S82" s="2" t="s">
        <v>1</v>
      </c>
    </row>
    <row r="83" spans="1:19" x14ac:dyDescent="0.25">
      <c r="A83" s="2" t="s">
        <v>554</v>
      </c>
      <c r="B83" s="20">
        <v>44999</v>
      </c>
      <c r="C83" s="2" t="s">
        <v>1</v>
      </c>
      <c r="D83" s="2" t="s">
        <v>0</v>
      </c>
      <c r="E83" s="2" t="s">
        <v>1168</v>
      </c>
      <c r="F83" s="2" t="s">
        <v>1169</v>
      </c>
      <c r="G83" s="14">
        <v>1369</v>
      </c>
      <c r="H83" s="18">
        <v>1369</v>
      </c>
      <c r="I83" s="19" t="s">
        <v>993</v>
      </c>
      <c r="J83" s="13" t="s">
        <v>994</v>
      </c>
      <c r="K83" s="2">
        <v>0</v>
      </c>
      <c r="L83" s="2">
        <v>0</v>
      </c>
      <c r="M83" s="13">
        <v>25.59</v>
      </c>
      <c r="N83" s="2">
        <v>3.3267000000000002</v>
      </c>
      <c r="O83" s="2">
        <v>0</v>
      </c>
      <c r="P83" s="2">
        <v>0</v>
      </c>
      <c r="Q83" s="13">
        <v>28.916699999999999</v>
      </c>
      <c r="R83" s="2">
        <v>0</v>
      </c>
      <c r="S83" s="2" t="s">
        <v>1</v>
      </c>
    </row>
    <row r="84" spans="1:19" x14ac:dyDescent="0.25">
      <c r="A84" s="2" t="s">
        <v>554</v>
      </c>
      <c r="B84" s="20">
        <v>44999</v>
      </c>
      <c r="C84" s="2" t="s">
        <v>1</v>
      </c>
      <c r="D84" s="2" t="s">
        <v>0</v>
      </c>
      <c r="E84" s="2" t="s">
        <v>1168</v>
      </c>
      <c r="F84" s="2" t="s">
        <v>1169</v>
      </c>
      <c r="G84" s="14">
        <v>1370</v>
      </c>
      <c r="H84" s="18">
        <v>1370</v>
      </c>
      <c r="I84" s="19" t="s">
        <v>993</v>
      </c>
      <c r="J84" s="13" t="s">
        <v>994</v>
      </c>
      <c r="K84" s="2">
        <v>0</v>
      </c>
      <c r="L84" s="2">
        <v>0</v>
      </c>
      <c r="M84" s="13">
        <v>59.58</v>
      </c>
      <c r="N84" s="2">
        <v>7.7454000000000001</v>
      </c>
      <c r="O84" s="2">
        <v>0</v>
      </c>
      <c r="P84" s="2">
        <v>0</v>
      </c>
      <c r="Q84" s="13">
        <v>67.325400000000002</v>
      </c>
      <c r="R84" s="2">
        <v>0</v>
      </c>
      <c r="S84" s="2" t="s">
        <v>1</v>
      </c>
    </row>
    <row r="85" spans="1:19" x14ac:dyDescent="0.25">
      <c r="A85" s="2" t="s">
        <v>554</v>
      </c>
      <c r="B85" s="20">
        <v>44999</v>
      </c>
      <c r="C85" s="2" t="s">
        <v>1</v>
      </c>
      <c r="D85" s="2" t="s">
        <v>0</v>
      </c>
      <c r="E85" s="2" t="s">
        <v>1168</v>
      </c>
      <c r="F85" s="2" t="s">
        <v>1169</v>
      </c>
      <c r="G85" s="14">
        <v>1371</v>
      </c>
      <c r="H85" s="18">
        <v>1371</v>
      </c>
      <c r="I85" s="19" t="s">
        <v>81</v>
      </c>
      <c r="J85" s="13" t="s">
        <v>82</v>
      </c>
      <c r="K85" s="2">
        <v>0</v>
      </c>
      <c r="L85" s="2">
        <v>0</v>
      </c>
      <c r="M85" s="13">
        <v>132.19999999999999</v>
      </c>
      <c r="N85" s="2">
        <v>17.186</v>
      </c>
      <c r="O85" s="2">
        <v>0</v>
      </c>
      <c r="P85" s="2">
        <v>0</v>
      </c>
      <c r="Q85" s="13">
        <v>149.386</v>
      </c>
      <c r="R85" s="2">
        <v>0</v>
      </c>
      <c r="S85" s="2" t="s">
        <v>1</v>
      </c>
    </row>
    <row r="86" spans="1:19" x14ac:dyDescent="0.25">
      <c r="A86" s="2" t="s">
        <v>554</v>
      </c>
      <c r="B86" s="20">
        <v>44999</v>
      </c>
      <c r="C86" s="2" t="s">
        <v>1</v>
      </c>
      <c r="D86" s="2" t="s">
        <v>0</v>
      </c>
      <c r="E86" s="2" t="s">
        <v>1168</v>
      </c>
      <c r="F86" s="2" t="s">
        <v>1169</v>
      </c>
      <c r="G86" s="14">
        <v>1372</v>
      </c>
      <c r="H86" s="18">
        <v>1372</v>
      </c>
      <c r="I86" s="19" t="s">
        <v>1148</v>
      </c>
      <c r="J86" s="13" t="s">
        <v>1149</v>
      </c>
      <c r="K86" s="2">
        <v>0</v>
      </c>
      <c r="L86" s="2">
        <v>0</v>
      </c>
      <c r="M86" s="13">
        <v>10.9</v>
      </c>
      <c r="N86" s="2">
        <v>1.417</v>
      </c>
      <c r="O86" s="2">
        <v>0</v>
      </c>
      <c r="P86" s="2">
        <v>0</v>
      </c>
      <c r="Q86" s="13">
        <v>12.317</v>
      </c>
      <c r="R86" s="2">
        <v>0</v>
      </c>
      <c r="S86" s="2" t="s">
        <v>1</v>
      </c>
    </row>
    <row r="87" spans="1:19" x14ac:dyDescent="0.25">
      <c r="A87" s="2" t="s">
        <v>554</v>
      </c>
      <c r="B87" s="20">
        <v>44999</v>
      </c>
      <c r="C87" s="2" t="s">
        <v>1</v>
      </c>
      <c r="D87" s="2" t="s">
        <v>0</v>
      </c>
      <c r="E87" s="2" t="s">
        <v>1168</v>
      </c>
      <c r="F87" s="2" t="s">
        <v>1169</v>
      </c>
      <c r="G87" s="14">
        <v>1373</v>
      </c>
      <c r="H87" s="18">
        <v>1373</v>
      </c>
      <c r="I87" s="19" t="s">
        <v>1148</v>
      </c>
      <c r="J87" s="13" t="s">
        <v>1149</v>
      </c>
      <c r="K87" s="2">
        <v>0</v>
      </c>
      <c r="L87" s="2">
        <v>0</v>
      </c>
      <c r="M87" s="13">
        <v>8.3800000000000008</v>
      </c>
      <c r="N87" s="2">
        <v>1.0894000000000001</v>
      </c>
      <c r="O87" s="2">
        <v>0</v>
      </c>
      <c r="P87" s="2">
        <v>0</v>
      </c>
      <c r="Q87" s="13">
        <v>9.4694000000000003</v>
      </c>
      <c r="R87" s="2">
        <v>0</v>
      </c>
      <c r="S87" s="2" t="s">
        <v>1</v>
      </c>
    </row>
    <row r="88" spans="1:19" x14ac:dyDescent="0.25">
      <c r="A88" s="2" t="s">
        <v>554</v>
      </c>
      <c r="B88" s="20">
        <v>44999</v>
      </c>
      <c r="C88" s="2" t="s">
        <v>1</v>
      </c>
      <c r="D88" s="2" t="s">
        <v>0</v>
      </c>
      <c r="E88" s="2" t="s">
        <v>1168</v>
      </c>
      <c r="F88" s="2" t="s">
        <v>1169</v>
      </c>
      <c r="G88" s="14">
        <v>1374</v>
      </c>
      <c r="H88" s="18">
        <v>1374</v>
      </c>
      <c r="I88" s="19" t="s">
        <v>74</v>
      </c>
      <c r="J88" s="13" t="s">
        <v>75</v>
      </c>
      <c r="K88" s="2">
        <v>0</v>
      </c>
      <c r="L88" s="2">
        <v>0</v>
      </c>
      <c r="M88" s="13">
        <v>182.68</v>
      </c>
      <c r="N88" s="2">
        <v>23.7484</v>
      </c>
      <c r="O88" s="2">
        <v>0</v>
      </c>
      <c r="P88" s="2">
        <v>0</v>
      </c>
      <c r="Q88" s="13">
        <v>206.42840000000001</v>
      </c>
      <c r="R88" s="2">
        <v>0</v>
      </c>
      <c r="S88" s="2" t="s">
        <v>1</v>
      </c>
    </row>
    <row r="89" spans="1:19" x14ac:dyDescent="0.25">
      <c r="A89" s="2" t="s">
        <v>554</v>
      </c>
      <c r="B89" s="20">
        <v>44999</v>
      </c>
      <c r="C89" s="2" t="s">
        <v>1</v>
      </c>
      <c r="D89" s="2" t="s">
        <v>0</v>
      </c>
      <c r="E89" s="2" t="s">
        <v>1168</v>
      </c>
      <c r="F89" s="2" t="s">
        <v>1169</v>
      </c>
      <c r="G89" s="14">
        <v>1375</v>
      </c>
      <c r="H89" s="18">
        <v>1375</v>
      </c>
      <c r="I89" s="19" t="s">
        <v>74</v>
      </c>
      <c r="J89" s="13" t="s">
        <v>75</v>
      </c>
      <c r="K89" s="2">
        <v>0</v>
      </c>
      <c r="L89" s="2">
        <v>0</v>
      </c>
      <c r="M89" s="13">
        <v>118.14</v>
      </c>
      <c r="N89" s="2">
        <v>15.3582</v>
      </c>
      <c r="O89" s="2">
        <v>0</v>
      </c>
      <c r="P89" s="2">
        <v>0</v>
      </c>
      <c r="Q89" s="13">
        <v>133.4982</v>
      </c>
      <c r="R89" s="2">
        <v>0</v>
      </c>
      <c r="S89" s="2" t="s">
        <v>1</v>
      </c>
    </row>
    <row r="90" spans="1:19" x14ac:dyDescent="0.25">
      <c r="A90" s="2" t="s">
        <v>554</v>
      </c>
      <c r="B90" s="20">
        <v>45000</v>
      </c>
      <c r="C90" s="2" t="s">
        <v>1</v>
      </c>
      <c r="D90" s="2" t="s">
        <v>0</v>
      </c>
      <c r="E90" s="2" t="s">
        <v>1168</v>
      </c>
      <c r="F90" s="2" t="s">
        <v>1169</v>
      </c>
      <c r="G90" s="14">
        <v>1376</v>
      </c>
      <c r="H90" s="18">
        <v>1376</v>
      </c>
      <c r="I90" s="19"/>
      <c r="J90" s="13" t="s">
        <v>976</v>
      </c>
      <c r="K90" s="2">
        <v>0</v>
      </c>
      <c r="L90" s="2">
        <v>0</v>
      </c>
      <c r="M90" s="13">
        <v>20.58</v>
      </c>
      <c r="N90" s="2">
        <v>2.6753999999999998</v>
      </c>
      <c r="O90" s="2">
        <v>0</v>
      </c>
      <c r="P90" s="2">
        <v>0</v>
      </c>
      <c r="Q90" s="13">
        <v>23.255399999999998</v>
      </c>
      <c r="R90" s="2">
        <v>0</v>
      </c>
      <c r="S90" s="2" t="s">
        <v>1</v>
      </c>
    </row>
    <row r="91" spans="1:19" x14ac:dyDescent="0.25">
      <c r="A91" s="2" t="s">
        <v>554</v>
      </c>
      <c r="B91" s="20">
        <v>45000</v>
      </c>
      <c r="C91" s="2" t="s">
        <v>1</v>
      </c>
      <c r="D91" s="2" t="s">
        <v>0</v>
      </c>
      <c r="E91" s="2" t="s">
        <v>1168</v>
      </c>
      <c r="F91" s="2" t="s">
        <v>1169</v>
      </c>
      <c r="G91" s="14">
        <v>1377</v>
      </c>
      <c r="H91" s="18">
        <v>1377</v>
      </c>
      <c r="I91" s="19"/>
      <c r="J91" s="13" t="s">
        <v>976</v>
      </c>
      <c r="K91" s="2">
        <v>0</v>
      </c>
      <c r="L91" s="2">
        <v>0</v>
      </c>
      <c r="M91" s="13">
        <v>65</v>
      </c>
      <c r="N91" s="2">
        <v>8.4500000000000011</v>
      </c>
      <c r="O91" s="2">
        <v>0</v>
      </c>
      <c r="P91" s="2">
        <v>0</v>
      </c>
      <c r="Q91" s="13">
        <v>73.45</v>
      </c>
      <c r="R91" s="2">
        <v>0</v>
      </c>
      <c r="S91" s="2" t="s">
        <v>1</v>
      </c>
    </row>
    <row r="92" spans="1:19" x14ac:dyDescent="0.25">
      <c r="A92" s="2" t="s">
        <v>554</v>
      </c>
      <c r="B92" s="20">
        <v>45000</v>
      </c>
      <c r="C92" s="2" t="s">
        <v>1</v>
      </c>
      <c r="D92" s="2" t="s">
        <v>0</v>
      </c>
      <c r="E92" s="2" t="s">
        <v>1168</v>
      </c>
      <c r="F92" s="2" t="s">
        <v>1169</v>
      </c>
      <c r="G92" s="14">
        <v>1378</v>
      </c>
      <c r="H92" s="18">
        <v>1378</v>
      </c>
      <c r="I92" s="19" t="s">
        <v>552</v>
      </c>
      <c r="J92" s="13" t="s">
        <v>553</v>
      </c>
      <c r="K92" s="2">
        <v>0</v>
      </c>
      <c r="L92" s="2">
        <v>0</v>
      </c>
      <c r="M92" s="13">
        <v>70.790000000000006</v>
      </c>
      <c r="N92" s="2">
        <v>9.2027000000000019</v>
      </c>
      <c r="O92" s="2">
        <v>0</v>
      </c>
      <c r="P92" s="2">
        <v>0</v>
      </c>
      <c r="Q92" s="13">
        <v>79.992700000000013</v>
      </c>
      <c r="R92" s="2">
        <v>0</v>
      </c>
      <c r="S92" s="2" t="s">
        <v>1</v>
      </c>
    </row>
    <row r="93" spans="1:19" x14ac:dyDescent="0.25">
      <c r="A93" s="2" t="s">
        <v>554</v>
      </c>
      <c r="B93" s="20">
        <v>45000</v>
      </c>
      <c r="C93" s="2" t="s">
        <v>1</v>
      </c>
      <c r="D93" s="2" t="s">
        <v>0</v>
      </c>
      <c r="E93" s="2" t="s">
        <v>1168</v>
      </c>
      <c r="F93" s="2" t="s">
        <v>1169</v>
      </c>
      <c r="G93" s="14">
        <v>1379</v>
      </c>
      <c r="H93" s="18">
        <v>1379</v>
      </c>
      <c r="I93" s="19" t="s">
        <v>1006</v>
      </c>
      <c r="J93" s="13" t="s">
        <v>1007</v>
      </c>
      <c r="K93" s="2">
        <v>0</v>
      </c>
      <c r="L93" s="2">
        <v>0</v>
      </c>
      <c r="M93" s="13">
        <v>40.65</v>
      </c>
      <c r="N93" s="2">
        <v>5.2845000000000004</v>
      </c>
      <c r="O93" s="2">
        <v>0</v>
      </c>
      <c r="P93" s="2">
        <v>0</v>
      </c>
      <c r="Q93" s="13">
        <v>45.9345</v>
      </c>
      <c r="R93" s="2">
        <v>0</v>
      </c>
      <c r="S93" s="2" t="s">
        <v>1</v>
      </c>
    </row>
    <row r="94" spans="1:19" x14ac:dyDescent="0.25">
      <c r="A94" s="2" t="s">
        <v>554</v>
      </c>
      <c r="B94" s="20">
        <v>45000</v>
      </c>
      <c r="C94" s="2" t="s">
        <v>1</v>
      </c>
      <c r="D94" s="2" t="s">
        <v>0</v>
      </c>
      <c r="E94" s="2" t="s">
        <v>1168</v>
      </c>
      <c r="F94" s="2" t="s">
        <v>1169</v>
      </c>
      <c r="G94" s="14">
        <v>1380</v>
      </c>
      <c r="H94" s="18">
        <v>1380</v>
      </c>
      <c r="I94" s="19" t="s">
        <v>1022</v>
      </c>
      <c r="J94" s="13" t="s">
        <v>1023</v>
      </c>
      <c r="K94" s="2">
        <v>0</v>
      </c>
      <c r="L94" s="2">
        <v>0</v>
      </c>
      <c r="M94" s="13">
        <v>775</v>
      </c>
      <c r="N94" s="2">
        <v>100.75</v>
      </c>
      <c r="O94" s="2">
        <v>0</v>
      </c>
      <c r="P94" s="2">
        <v>0</v>
      </c>
      <c r="Q94" s="13">
        <v>875.75</v>
      </c>
      <c r="R94" s="2">
        <v>0</v>
      </c>
      <c r="S94" s="2" t="s">
        <v>1</v>
      </c>
    </row>
    <row r="95" spans="1:19" x14ac:dyDescent="0.25">
      <c r="A95" s="2" t="s">
        <v>554</v>
      </c>
      <c r="B95" s="20">
        <v>45001</v>
      </c>
      <c r="C95" s="2" t="s">
        <v>1</v>
      </c>
      <c r="D95" s="2" t="s">
        <v>0</v>
      </c>
      <c r="E95" s="2" t="s">
        <v>1168</v>
      </c>
      <c r="F95" s="2" t="s">
        <v>1169</v>
      </c>
      <c r="G95" s="14">
        <v>1381</v>
      </c>
      <c r="H95" s="18">
        <v>1381</v>
      </c>
      <c r="I95" s="19" t="s">
        <v>435</v>
      </c>
      <c r="J95" s="13" t="s">
        <v>434</v>
      </c>
      <c r="K95" s="2">
        <v>0</v>
      </c>
      <c r="L95" s="2">
        <v>0</v>
      </c>
      <c r="M95" s="13">
        <v>0</v>
      </c>
      <c r="N95" s="2">
        <v>0</v>
      </c>
      <c r="O95" s="2">
        <v>0</v>
      </c>
      <c r="P95" s="2">
        <v>0</v>
      </c>
      <c r="Q95" s="13">
        <v>0</v>
      </c>
      <c r="R95" s="2">
        <v>0</v>
      </c>
      <c r="S95" s="2" t="s">
        <v>1</v>
      </c>
    </row>
    <row r="96" spans="1:19" x14ac:dyDescent="0.25">
      <c r="A96" s="2" t="s">
        <v>554</v>
      </c>
      <c r="B96" s="20">
        <v>45001</v>
      </c>
      <c r="C96" s="2" t="s">
        <v>1</v>
      </c>
      <c r="D96" s="2" t="s">
        <v>0</v>
      </c>
      <c r="E96" s="2" t="s">
        <v>1168</v>
      </c>
      <c r="F96" s="2" t="s">
        <v>1169</v>
      </c>
      <c r="G96" s="14">
        <v>1382</v>
      </c>
      <c r="H96" s="18">
        <v>1382</v>
      </c>
      <c r="I96" s="19" t="s">
        <v>1141</v>
      </c>
      <c r="J96" s="13" t="s">
        <v>997</v>
      </c>
      <c r="K96" s="2">
        <v>0</v>
      </c>
      <c r="L96" s="2">
        <v>0</v>
      </c>
      <c r="M96" s="13">
        <v>114.6</v>
      </c>
      <c r="N96" s="2">
        <v>14.898</v>
      </c>
      <c r="O96" s="2">
        <v>0</v>
      </c>
      <c r="P96" s="2">
        <v>0</v>
      </c>
      <c r="Q96" s="13">
        <v>129.49799999999999</v>
      </c>
      <c r="R96" s="2">
        <v>0</v>
      </c>
      <c r="S96" s="2" t="s">
        <v>1</v>
      </c>
    </row>
    <row r="97" spans="1:19" x14ac:dyDescent="0.25">
      <c r="A97" s="2" t="s">
        <v>554</v>
      </c>
      <c r="B97" s="20">
        <v>45001</v>
      </c>
      <c r="C97" s="2" t="s">
        <v>1</v>
      </c>
      <c r="D97" s="2" t="s">
        <v>0</v>
      </c>
      <c r="E97" s="2" t="s">
        <v>1168</v>
      </c>
      <c r="F97" s="2" t="s">
        <v>1169</v>
      </c>
      <c r="G97" s="14">
        <v>1383</v>
      </c>
      <c r="H97" s="18">
        <v>1383</v>
      </c>
      <c r="I97" s="19" t="s">
        <v>134</v>
      </c>
      <c r="J97" s="13" t="s">
        <v>135</v>
      </c>
      <c r="K97" s="2">
        <v>0</v>
      </c>
      <c r="L97" s="2">
        <v>0</v>
      </c>
      <c r="M97" s="13">
        <v>8.32</v>
      </c>
      <c r="N97" s="2">
        <v>1.0816000000000001</v>
      </c>
      <c r="O97" s="2">
        <v>0</v>
      </c>
      <c r="P97" s="2">
        <v>0</v>
      </c>
      <c r="Q97" s="13">
        <v>9.4016000000000002</v>
      </c>
      <c r="R97" s="2">
        <v>0</v>
      </c>
      <c r="S97" s="2" t="s">
        <v>1</v>
      </c>
    </row>
    <row r="98" spans="1:19" x14ac:dyDescent="0.25">
      <c r="A98" s="2" t="s">
        <v>554</v>
      </c>
      <c r="B98" s="20">
        <v>45001</v>
      </c>
      <c r="C98" s="2" t="s">
        <v>1</v>
      </c>
      <c r="D98" s="2" t="s">
        <v>0</v>
      </c>
      <c r="E98" s="2" t="s">
        <v>1168</v>
      </c>
      <c r="F98" s="2" t="s">
        <v>1169</v>
      </c>
      <c r="G98" s="14">
        <v>1384</v>
      </c>
      <c r="H98" s="18">
        <v>1384</v>
      </c>
      <c r="I98" s="19" t="s">
        <v>435</v>
      </c>
      <c r="J98" s="13" t="s">
        <v>434</v>
      </c>
      <c r="K98" s="2">
        <v>0</v>
      </c>
      <c r="L98" s="2">
        <v>0</v>
      </c>
      <c r="M98" s="13">
        <v>0</v>
      </c>
      <c r="N98" s="2">
        <v>0</v>
      </c>
      <c r="O98" s="2">
        <v>0</v>
      </c>
      <c r="P98" s="2">
        <v>0</v>
      </c>
      <c r="Q98" s="13">
        <v>0</v>
      </c>
      <c r="R98" s="2">
        <v>0</v>
      </c>
      <c r="S98" s="2" t="s">
        <v>1</v>
      </c>
    </row>
    <row r="99" spans="1:19" x14ac:dyDescent="0.25">
      <c r="A99" s="2" t="s">
        <v>554</v>
      </c>
      <c r="B99" s="20">
        <v>45001</v>
      </c>
      <c r="C99" s="2" t="s">
        <v>1</v>
      </c>
      <c r="D99" s="2" t="s">
        <v>0</v>
      </c>
      <c r="E99" s="2" t="s">
        <v>1168</v>
      </c>
      <c r="F99" s="2" t="s">
        <v>1169</v>
      </c>
      <c r="G99" s="14">
        <v>1385</v>
      </c>
      <c r="H99" s="18">
        <v>1385</v>
      </c>
      <c r="I99" s="19" t="s">
        <v>89</v>
      </c>
      <c r="J99" s="13" t="s">
        <v>90</v>
      </c>
      <c r="K99" s="2">
        <v>0</v>
      </c>
      <c r="L99" s="2">
        <v>0</v>
      </c>
      <c r="M99" s="13">
        <v>391.09</v>
      </c>
      <c r="N99" s="2">
        <v>50.841699999999996</v>
      </c>
      <c r="O99" s="2">
        <v>0</v>
      </c>
      <c r="P99" s="2">
        <v>0</v>
      </c>
      <c r="Q99" s="13">
        <v>441.93169999999998</v>
      </c>
      <c r="R99" s="2">
        <v>0</v>
      </c>
      <c r="S99" s="2" t="s">
        <v>1</v>
      </c>
    </row>
    <row r="100" spans="1:19" x14ac:dyDescent="0.25">
      <c r="A100" s="2" t="s">
        <v>554</v>
      </c>
      <c r="B100" s="20">
        <v>45001</v>
      </c>
      <c r="C100" s="2" t="s">
        <v>1</v>
      </c>
      <c r="D100" s="2" t="s">
        <v>0</v>
      </c>
      <c r="E100" s="2" t="s">
        <v>1168</v>
      </c>
      <c r="F100" s="2" t="s">
        <v>1169</v>
      </c>
      <c r="G100" s="14">
        <v>1386</v>
      </c>
      <c r="H100" s="18">
        <v>1386</v>
      </c>
      <c r="I100" s="19" t="s">
        <v>154</v>
      </c>
      <c r="J100" s="13" t="s">
        <v>155</v>
      </c>
      <c r="K100" s="2">
        <v>0</v>
      </c>
      <c r="L100" s="2">
        <v>0</v>
      </c>
      <c r="M100" s="13">
        <v>198.06</v>
      </c>
      <c r="N100" s="2">
        <v>25.747800000000002</v>
      </c>
      <c r="O100" s="2">
        <v>0</v>
      </c>
      <c r="P100" s="2">
        <v>0</v>
      </c>
      <c r="Q100" s="13">
        <v>223.80780000000001</v>
      </c>
      <c r="R100" s="2">
        <v>0</v>
      </c>
      <c r="S100" s="2" t="s">
        <v>1</v>
      </c>
    </row>
    <row r="101" spans="1:19" x14ac:dyDescent="0.25">
      <c r="A101" s="2" t="s">
        <v>554</v>
      </c>
      <c r="B101" s="20">
        <v>45001</v>
      </c>
      <c r="C101" s="2" t="s">
        <v>1</v>
      </c>
      <c r="D101" s="2" t="s">
        <v>0</v>
      </c>
      <c r="E101" s="2" t="s">
        <v>1168</v>
      </c>
      <c r="F101" s="2" t="s">
        <v>1169</v>
      </c>
      <c r="G101" s="14">
        <v>1387</v>
      </c>
      <c r="H101" s="18">
        <v>1387</v>
      </c>
      <c r="I101" s="19"/>
      <c r="J101" s="13" t="s">
        <v>982</v>
      </c>
      <c r="K101" s="2">
        <v>0</v>
      </c>
      <c r="L101" s="2">
        <v>0</v>
      </c>
      <c r="M101" s="13">
        <v>48.3</v>
      </c>
      <c r="N101" s="2">
        <v>6.2789999999999999</v>
      </c>
      <c r="O101" s="2">
        <v>0</v>
      </c>
      <c r="P101" s="2">
        <v>0</v>
      </c>
      <c r="Q101" s="13">
        <v>54.578999999999994</v>
      </c>
      <c r="R101" s="2">
        <v>0</v>
      </c>
      <c r="S101" s="2" t="s">
        <v>1</v>
      </c>
    </row>
    <row r="102" spans="1:19" x14ac:dyDescent="0.25">
      <c r="A102" s="2" t="s">
        <v>554</v>
      </c>
      <c r="B102" s="20">
        <v>45001</v>
      </c>
      <c r="C102" s="2" t="s">
        <v>1</v>
      </c>
      <c r="D102" s="2" t="s">
        <v>0</v>
      </c>
      <c r="E102" s="2" t="s">
        <v>1168</v>
      </c>
      <c r="F102" s="2" t="s">
        <v>1169</v>
      </c>
      <c r="G102" s="14">
        <v>1388</v>
      </c>
      <c r="H102" s="18">
        <v>1388</v>
      </c>
      <c r="I102" s="19" t="s">
        <v>435</v>
      </c>
      <c r="J102" s="13" t="s">
        <v>434</v>
      </c>
      <c r="K102" s="2">
        <v>0</v>
      </c>
      <c r="L102" s="2">
        <v>0</v>
      </c>
      <c r="M102" s="13">
        <v>0</v>
      </c>
      <c r="N102" s="2">
        <v>0</v>
      </c>
      <c r="O102" s="2">
        <v>0</v>
      </c>
      <c r="P102" s="2">
        <v>0</v>
      </c>
      <c r="Q102" s="13">
        <v>0</v>
      </c>
      <c r="R102" s="2">
        <v>0</v>
      </c>
      <c r="S102" s="2" t="s">
        <v>1</v>
      </c>
    </row>
    <row r="103" spans="1:19" x14ac:dyDescent="0.25">
      <c r="A103" s="2" t="s">
        <v>554</v>
      </c>
      <c r="B103" s="20">
        <v>45001</v>
      </c>
      <c r="C103" s="2" t="s">
        <v>1</v>
      </c>
      <c r="D103" s="2" t="s">
        <v>0</v>
      </c>
      <c r="E103" s="2" t="s">
        <v>1168</v>
      </c>
      <c r="F103" s="2" t="s">
        <v>1169</v>
      </c>
      <c r="G103" s="14">
        <v>1389</v>
      </c>
      <c r="H103" s="18">
        <v>1389</v>
      </c>
      <c r="I103" s="19" t="s">
        <v>74</v>
      </c>
      <c r="J103" s="13" t="s">
        <v>75</v>
      </c>
      <c r="K103" s="2">
        <v>0</v>
      </c>
      <c r="L103" s="2">
        <v>0</v>
      </c>
      <c r="M103" s="13">
        <v>243.58</v>
      </c>
      <c r="N103" s="2">
        <v>31.665400000000002</v>
      </c>
      <c r="O103" s="2">
        <v>0</v>
      </c>
      <c r="P103" s="2">
        <v>0</v>
      </c>
      <c r="Q103" s="13">
        <v>275.24540000000002</v>
      </c>
      <c r="R103" s="2">
        <v>0</v>
      </c>
      <c r="S103" s="2" t="s">
        <v>1</v>
      </c>
    </row>
    <row r="104" spans="1:19" x14ac:dyDescent="0.25">
      <c r="A104" s="2" t="s">
        <v>554</v>
      </c>
      <c r="B104" s="20">
        <v>45002</v>
      </c>
      <c r="C104" s="2" t="s">
        <v>1</v>
      </c>
      <c r="D104" s="2" t="s">
        <v>0</v>
      </c>
      <c r="E104" s="2" t="s">
        <v>1168</v>
      </c>
      <c r="F104" s="2" t="s">
        <v>1169</v>
      </c>
      <c r="G104" s="14">
        <v>1390</v>
      </c>
      <c r="H104" s="18">
        <v>1390</v>
      </c>
      <c r="I104" s="19" t="s">
        <v>435</v>
      </c>
      <c r="J104" s="13" t="s">
        <v>434</v>
      </c>
      <c r="K104" s="2">
        <v>0</v>
      </c>
      <c r="L104" s="2">
        <v>0</v>
      </c>
      <c r="M104" s="13">
        <v>0</v>
      </c>
      <c r="N104" s="2">
        <v>0</v>
      </c>
      <c r="O104" s="2">
        <v>0</v>
      </c>
      <c r="P104" s="2">
        <v>0</v>
      </c>
      <c r="Q104" s="13">
        <v>0</v>
      </c>
      <c r="R104" s="2">
        <v>0</v>
      </c>
      <c r="S104" s="2" t="s">
        <v>1</v>
      </c>
    </row>
    <row r="105" spans="1:19" x14ac:dyDescent="0.25">
      <c r="A105" s="2" t="s">
        <v>554</v>
      </c>
      <c r="B105" s="20">
        <v>45002</v>
      </c>
      <c r="C105" s="2" t="s">
        <v>1</v>
      </c>
      <c r="D105" s="2" t="s">
        <v>0</v>
      </c>
      <c r="E105" s="2" t="s">
        <v>1168</v>
      </c>
      <c r="F105" s="2" t="s">
        <v>1169</v>
      </c>
      <c r="G105" s="14">
        <v>1391</v>
      </c>
      <c r="H105" s="18">
        <v>1391</v>
      </c>
      <c r="I105" s="19" t="s">
        <v>435</v>
      </c>
      <c r="J105" s="13" t="s">
        <v>434</v>
      </c>
      <c r="K105" s="2">
        <v>0</v>
      </c>
      <c r="L105" s="2">
        <v>0</v>
      </c>
      <c r="M105" s="13">
        <v>0</v>
      </c>
      <c r="N105" s="2">
        <v>0</v>
      </c>
      <c r="O105" s="2">
        <v>0</v>
      </c>
      <c r="P105" s="2">
        <v>0</v>
      </c>
      <c r="Q105" s="13">
        <v>0</v>
      </c>
      <c r="R105" s="2">
        <v>0</v>
      </c>
      <c r="S105" s="2" t="s">
        <v>1</v>
      </c>
    </row>
    <row r="106" spans="1:19" x14ac:dyDescent="0.25">
      <c r="A106" s="2" t="s">
        <v>554</v>
      </c>
      <c r="B106" s="20">
        <v>45002</v>
      </c>
      <c r="C106" s="2" t="s">
        <v>1</v>
      </c>
      <c r="D106" s="2" t="s">
        <v>0</v>
      </c>
      <c r="E106" s="2" t="s">
        <v>1168</v>
      </c>
      <c r="F106" s="2" t="s">
        <v>1169</v>
      </c>
      <c r="G106" s="14">
        <v>1392</v>
      </c>
      <c r="H106" s="18">
        <v>1392</v>
      </c>
      <c r="I106" s="19" t="s">
        <v>1025</v>
      </c>
      <c r="J106" s="13" t="s">
        <v>1026</v>
      </c>
      <c r="K106" s="2">
        <v>0</v>
      </c>
      <c r="L106" s="2">
        <v>0</v>
      </c>
      <c r="M106" s="13">
        <v>31.2</v>
      </c>
      <c r="N106" s="2">
        <v>4.056</v>
      </c>
      <c r="O106" s="2">
        <v>0</v>
      </c>
      <c r="P106" s="2">
        <v>0</v>
      </c>
      <c r="Q106" s="13">
        <v>35.256</v>
      </c>
      <c r="R106" s="2">
        <v>0</v>
      </c>
      <c r="S106" s="2" t="s">
        <v>1</v>
      </c>
    </row>
    <row r="107" spans="1:19" x14ac:dyDescent="0.25">
      <c r="A107" s="2" t="s">
        <v>554</v>
      </c>
      <c r="B107" s="20">
        <v>45002</v>
      </c>
      <c r="C107" s="2" t="s">
        <v>1</v>
      </c>
      <c r="D107" s="2" t="s">
        <v>0</v>
      </c>
      <c r="E107" s="2" t="s">
        <v>1168</v>
      </c>
      <c r="F107" s="2" t="s">
        <v>1169</v>
      </c>
      <c r="G107" s="14">
        <v>1393</v>
      </c>
      <c r="H107" s="18">
        <v>1393</v>
      </c>
      <c r="I107" s="19" t="s">
        <v>955</v>
      </c>
      <c r="J107" s="13" t="s">
        <v>956</v>
      </c>
      <c r="K107" s="2">
        <v>0</v>
      </c>
      <c r="L107" s="2">
        <v>0</v>
      </c>
      <c r="M107" s="13">
        <v>15.9</v>
      </c>
      <c r="N107" s="2">
        <v>2.0670000000000002</v>
      </c>
      <c r="O107" s="2">
        <v>0</v>
      </c>
      <c r="P107" s="2">
        <v>0</v>
      </c>
      <c r="Q107" s="13">
        <v>17.966999999999999</v>
      </c>
      <c r="R107" s="2">
        <v>0</v>
      </c>
      <c r="S107" s="2" t="s">
        <v>1</v>
      </c>
    </row>
    <row r="108" spans="1:19" x14ac:dyDescent="0.25">
      <c r="A108" s="2" t="s">
        <v>554</v>
      </c>
      <c r="B108" s="20">
        <v>45002</v>
      </c>
      <c r="C108" s="2" t="s">
        <v>1</v>
      </c>
      <c r="D108" s="2" t="s">
        <v>0</v>
      </c>
      <c r="E108" s="2" t="s">
        <v>1168</v>
      </c>
      <c r="F108" s="2" t="s">
        <v>1169</v>
      </c>
      <c r="G108" s="14">
        <v>1394</v>
      </c>
      <c r="H108" s="18">
        <v>1394</v>
      </c>
      <c r="I108" s="19" t="s">
        <v>973</v>
      </c>
      <c r="J108" s="13" t="s">
        <v>974</v>
      </c>
      <c r="K108" s="2">
        <v>0</v>
      </c>
      <c r="L108" s="2">
        <v>0</v>
      </c>
      <c r="M108" s="13">
        <v>119.55</v>
      </c>
      <c r="N108" s="2">
        <v>15.541500000000001</v>
      </c>
      <c r="O108" s="2">
        <v>0</v>
      </c>
      <c r="P108" s="2">
        <v>0</v>
      </c>
      <c r="Q108" s="13">
        <v>135.0915</v>
      </c>
      <c r="R108" s="2">
        <v>0</v>
      </c>
      <c r="S108" s="2" t="s">
        <v>1</v>
      </c>
    </row>
    <row r="109" spans="1:19" x14ac:dyDescent="0.25">
      <c r="A109" s="2" t="s">
        <v>554</v>
      </c>
      <c r="B109" s="20">
        <v>45002</v>
      </c>
      <c r="C109" s="2" t="s">
        <v>1</v>
      </c>
      <c r="D109" s="2" t="s">
        <v>0</v>
      </c>
      <c r="E109" s="2" t="s">
        <v>1168</v>
      </c>
      <c r="F109" s="2" t="s">
        <v>1169</v>
      </c>
      <c r="G109" s="14">
        <v>1395</v>
      </c>
      <c r="H109" s="18">
        <v>1395</v>
      </c>
      <c r="I109" s="19" t="s">
        <v>148</v>
      </c>
      <c r="J109" s="13" t="s">
        <v>149</v>
      </c>
      <c r="K109" s="2">
        <v>0</v>
      </c>
      <c r="L109" s="2">
        <v>0</v>
      </c>
      <c r="M109" s="13">
        <v>166.32</v>
      </c>
      <c r="N109" s="2">
        <v>21.621600000000001</v>
      </c>
      <c r="O109" s="2">
        <v>0</v>
      </c>
      <c r="P109" s="2">
        <v>0</v>
      </c>
      <c r="Q109" s="13">
        <v>187.94159999999999</v>
      </c>
      <c r="R109" s="2">
        <v>0</v>
      </c>
      <c r="S109" s="2" t="s">
        <v>1</v>
      </c>
    </row>
    <row r="110" spans="1:19" x14ac:dyDescent="0.25">
      <c r="A110" s="2" t="s">
        <v>554</v>
      </c>
      <c r="B110" s="20">
        <v>45005</v>
      </c>
      <c r="C110" s="2" t="s">
        <v>1</v>
      </c>
      <c r="D110" s="2" t="s">
        <v>0</v>
      </c>
      <c r="E110" s="2" t="s">
        <v>1168</v>
      </c>
      <c r="F110" s="2" t="s">
        <v>1169</v>
      </c>
      <c r="G110" s="14">
        <v>1396</v>
      </c>
      <c r="H110" s="18">
        <v>1396</v>
      </c>
      <c r="I110" s="19" t="s">
        <v>156</v>
      </c>
      <c r="J110" s="13" t="s">
        <v>157</v>
      </c>
      <c r="K110" s="2">
        <v>0</v>
      </c>
      <c r="L110" s="2">
        <v>0</v>
      </c>
      <c r="M110" s="13">
        <v>110.88</v>
      </c>
      <c r="N110" s="2">
        <v>14.414400000000001</v>
      </c>
      <c r="O110" s="2">
        <v>0</v>
      </c>
      <c r="P110" s="2">
        <v>0</v>
      </c>
      <c r="Q110" s="13">
        <v>125.2944</v>
      </c>
      <c r="R110" s="2">
        <v>0</v>
      </c>
      <c r="S110" s="2" t="s">
        <v>1</v>
      </c>
    </row>
    <row r="111" spans="1:19" x14ac:dyDescent="0.25">
      <c r="A111" s="2" t="s">
        <v>554</v>
      </c>
      <c r="B111" s="20">
        <v>45005</v>
      </c>
      <c r="C111" s="2" t="s">
        <v>1</v>
      </c>
      <c r="D111" s="2" t="s">
        <v>0</v>
      </c>
      <c r="E111" s="2" t="s">
        <v>1168</v>
      </c>
      <c r="F111" s="2" t="s">
        <v>1169</v>
      </c>
      <c r="G111" s="14">
        <v>1397</v>
      </c>
      <c r="H111" s="18">
        <v>1397</v>
      </c>
      <c r="I111" s="19" t="s">
        <v>136</v>
      </c>
      <c r="J111" s="13" t="s">
        <v>137</v>
      </c>
      <c r="K111" s="2">
        <v>0</v>
      </c>
      <c r="L111" s="2">
        <v>0</v>
      </c>
      <c r="M111" s="13">
        <v>1617.2</v>
      </c>
      <c r="N111" s="2">
        <v>210.23600000000002</v>
      </c>
      <c r="O111" s="2">
        <v>0</v>
      </c>
      <c r="P111" s="2">
        <v>0</v>
      </c>
      <c r="Q111" s="13">
        <v>1827.4360000000001</v>
      </c>
      <c r="R111" s="2">
        <v>0</v>
      </c>
      <c r="S111" s="2" t="s">
        <v>1</v>
      </c>
    </row>
    <row r="112" spans="1:19" x14ac:dyDescent="0.25">
      <c r="A112" s="2" t="s">
        <v>554</v>
      </c>
      <c r="B112" s="20">
        <v>45005</v>
      </c>
      <c r="C112" s="2" t="s">
        <v>1</v>
      </c>
      <c r="D112" s="2" t="s">
        <v>0</v>
      </c>
      <c r="E112" s="2" t="s">
        <v>1168</v>
      </c>
      <c r="F112" s="2" t="s">
        <v>1169</v>
      </c>
      <c r="G112" s="14">
        <v>1398</v>
      </c>
      <c r="H112" s="18">
        <v>1398</v>
      </c>
      <c r="I112" s="19" t="s">
        <v>81</v>
      </c>
      <c r="J112" s="13" t="s">
        <v>82</v>
      </c>
      <c r="K112" s="2">
        <v>0</v>
      </c>
      <c r="L112" s="2">
        <v>0</v>
      </c>
      <c r="M112" s="13">
        <v>149.88</v>
      </c>
      <c r="N112" s="2">
        <v>19.484400000000001</v>
      </c>
      <c r="O112" s="2">
        <v>0</v>
      </c>
      <c r="P112" s="2">
        <v>0</v>
      </c>
      <c r="Q112" s="13">
        <v>169.36439999999999</v>
      </c>
      <c r="R112" s="2">
        <v>0</v>
      </c>
      <c r="S112" s="2" t="s">
        <v>1</v>
      </c>
    </row>
    <row r="113" spans="1:19" x14ac:dyDescent="0.25">
      <c r="A113" s="2" t="s">
        <v>554</v>
      </c>
      <c r="B113" s="20">
        <v>45005</v>
      </c>
      <c r="C113" s="2" t="s">
        <v>1</v>
      </c>
      <c r="D113" s="2" t="s">
        <v>0</v>
      </c>
      <c r="E113" s="2" t="s">
        <v>1168</v>
      </c>
      <c r="F113" s="2" t="s">
        <v>1169</v>
      </c>
      <c r="G113" s="14">
        <v>1399</v>
      </c>
      <c r="H113" s="18">
        <v>1399</v>
      </c>
      <c r="I113" s="19" t="s">
        <v>1029</v>
      </c>
      <c r="J113" s="13" t="s">
        <v>1030</v>
      </c>
      <c r="K113" s="2">
        <v>0</v>
      </c>
      <c r="L113" s="2">
        <v>0</v>
      </c>
      <c r="M113" s="13">
        <v>11.06</v>
      </c>
      <c r="N113" s="2">
        <v>1.4378000000000002</v>
      </c>
      <c r="O113" s="2">
        <v>0</v>
      </c>
      <c r="P113" s="2">
        <v>0</v>
      </c>
      <c r="Q113" s="13">
        <v>12.497800000000002</v>
      </c>
      <c r="R113" s="2">
        <v>0</v>
      </c>
      <c r="S113" s="2" t="s">
        <v>1</v>
      </c>
    </row>
    <row r="114" spans="1:19" x14ac:dyDescent="0.25">
      <c r="A114" s="2" t="s">
        <v>554</v>
      </c>
      <c r="B114" s="20">
        <v>45005</v>
      </c>
      <c r="C114" s="2" t="s">
        <v>1</v>
      </c>
      <c r="D114" s="2" t="s">
        <v>0</v>
      </c>
      <c r="E114" s="2" t="s">
        <v>1168</v>
      </c>
      <c r="F114" s="2" t="s">
        <v>1169</v>
      </c>
      <c r="G114" s="14">
        <v>1400</v>
      </c>
      <c r="H114" s="18">
        <v>1400</v>
      </c>
      <c r="I114" s="19"/>
      <c r="J114" s="13" t="s">
        <v>624</v>
      </c>
      <c r="K114" s="2">
        <v>0</v>
      </c>
      <c r="L114" s="2">
        <v>0</v>
      </c>
      <c r="M114" s="13">
        <v>47.25</v>
      </c>
      <c r="N114" s="2">
        <v>6.1425000000000001</v>
      </c>
      <c r="O114" s="2">
        <v>0</v>
      </c>
      <c r="P114" s="2">
        <v>0</v>
      </c>
      <c r="Q114" s="13">
        <v>53.392499999999998</v>
      </c>
      <c r="R114" s="2">
        <v>0</v>
      </c>
      <c r="S114" s="2" t="s">
        <v>1</v>
      </c>
    </row>
    <row r="115" spans="1:19" x14ac:dyDescent="0.25">
      <c r="A115" s="2" t="s">
        <v>554</v>
      </c>
      <c r="B115" s="20">
        <v>45005</v>
      </c>
      <c r="C115" s="2" t="s">
        <v>1</v>
      </c>
      <c r="D115" s="2" t="s">
        <v>0</v>
      </c>
      <c r="E115" s="2" t="s">
        <v>1168</v>
      </c>
      <c r="F115" s="2" t="s">
        <v>1169</v>
      </c>
      <c r="G115" s="14">
        <v>1401</v>
      </c>
      <c r="H115" s="18">
        <v>1401</v>
      </c>
      <c r="I115" s="19" t="s">
        <v>969</v>
      </c>
      <c r="J115" s="13" t="s">
        <v>970</v>
      </c>
      <c r="K115" s="2">
        <v>0</v>
      </c>
      <c r="L115" s="2">
        <v>0</v>
      </c>
      <c r="M115" s="13">
        <v>3000</v>
      </c>
      <c r="N115" s="2">
        <v>390</v>
      </c>
      <c r="O115" s="2">
        <v>0</v>
      </c>
      <c r="P115" s="2">
        <v>0</v>
      </c>
      <c r="Q115" s="13">
        <v>3390</v>
      </c>
      <c r="R115" s="2">
        <v>0</v>
      </c>
      <c r="S115" s="2" t="s">
        <v>1</v>
      </c>
    </row>
    <row r="116" spans="1:19" x14ac:dyDescent="0.25">
      <c r="A116" s="2" t="s">
        <v>554</v>
      </c>
      <c r="B116" s="20">
        <v>45005</v>
      </c>
      <c r="C116" s="2" t="s">
        <v>1</v>
      </c>
      <c r="D116" s="2" t="s">
        <v>0</v>
      </c>
      <c r="E116" s="2" t="s">
        <v>1168</v>
      </c>
      <c r="F116" s="2" t="s">
        <v>1169</v>
      </c>
      <c r="G116" s="14">
        <v>1402</v>
      </c>
      <c r="H116" s="18">
        <v>1402</v>
      </c>
      <c r="I116" s="19" t="s">
        <v>989</v>
      </c>
      <c r="J116" s="13" t="s">
        <v>990</v>
      </c>
      <c r="K116" s="2">
        <v>0</v>
      </c>
      <c r="L116" s="2">
        <v>0</v>
      </c>
      <c r="M116" s="13">
        <v>48.05</v>
      </c>
      <c r="N116" s="2">
        <v>6.2465000000000002</v>
      </c>
      <c r="O116" s="2">
        <v>0</v>
      </c>
      <c r="P116" s="2">
        <v>0</v>
      </c>
      <c r="Q116" s="13">
        <v>54.296499999999995</v>
      </c>
      <c r="R116" s="2">
        <v>0</v>
      </c>
      <c r="S116" s="2" t="s">
        <v>1</v>
      </c>
    </row>
    <row r="117" spans="1:19" x14ac:dyDescent="0.25">
      <c r="A117" s="2" t="s">
        <v>554</v>
      </c>
      <c r="B117" s="20">
        <v>45005</v>
      </c>
      <c r="C117" s="2" t="s">
        <v>1</v>
      </c>
      <c r="D117" s="2" t="s">
        <v>0</v>
      </c>
      <c r="E117" s="2" t="s">
        <v>1168</v>
      </c>
      <c r="F117" s="2" t="s">
        <v>1169</v>
      </c>
      <c r="G117" s="14">
        <v>1403</v>
      </c>
      <c r="H117" s="18">
        <v>1403</v>
      </c>
      <c r="I117" s="19" t="s">
        <v>1127</v>
      </c>
      <c r="J117" s="13" t="s">
        <v>1128</v>
      </c>
      <c r="K117" s="2">
        <v>0</v>
      </c>
      <c r="L117" s="2">
        <v>0</v>
      </c>
      <c r="M117" s="13">
        <v>46</v>
      </c>
      <c r="N117" s="2">
        <v>5.98</v>
      </c>
      <c r="O117" s="2">
        <v>0</v>
      </c>
      <c r="P117" s="2">
        <v>0</v>
      </c>
      <c r="Q117" s="13">
        <v>51.980000000000004</v>
      </c>
      <c r="R117" s="2">
        <v>0</v>
      </c>
      <c r="S117" s="2" t="s">
        <v>1</v>
      </c>
    </row>
    <row r="118" spans="1:19" x14ac:dyDescent="0.25">
      <c r="A118" s="2" t="s">
        <v>554</v>
      </c>
      <c r="B118" s="20">
        <v>45005</v>
      </c>
      <c r="C118" s="2" t="s">
        <v>1</v>
      </c>
      <c r="D118" s="2" t="s">
        <v>0</v>
      </c>
      <c r="E118" s="2" t="s">
        <v>1168</v>
      </c>
      <c r="F118" s="2" t="s">
        <v>1169</v>
      </c>
      <c r="G118" s="14">
        <v>1404</v>
      </c>
      <c r="H118" s="18">
        <v>1404</v>
      </c>
      <c r="I118" s="19" t="s">
        <v>989</v>
      </c>
      <c r="J118" s="13" t="s">
        <v>990</v>
      </c>
      <c r="K118" s="2">
        <v>0</v>
      </c>
      <c r="L118" s="2">
        <v>0</v>
      </c>
      <c r="M118" s="13">
        <v>198.24</v>
      </c>
      <c r="N118" s="2">
        <v>25.7712</v>
      </c>
      <c r="O118" s="2">
        <v>0</v>
      </c>
      <c r="P118" s="2">
        <v>0</v>
      </c>
      <c r="Q118" s="13">
        <v>224.0112</v>
      </c>
      <c r="R118" s="2">
        <v>0</v>
      </c>
      <c r="S118" s="2" t="s">
        <v>1</v>
      </c>
    </row>
    <row r="119" spans="1:19" x14ac:dyDescent="0.25">
      <c r="A119" s="2" t="s">
        <v>554</v>
      </c>
      <c r="B119" s="20">
        <v>45005</v>
      </c>
      <c r="C119" s="2" t="s">
        <v>1</v>
      </c>
      <c r="D119" s="2" t="s">
        <v>0</v>
      </c>
      <c r="E119" s="2" t="s">
        <v>1168</v>
      </c>
      <c r="F119" s="2" t="s">
        <v>1169</v>
      </c>
      <c r="G119" s="14">
        <v>1405</v>
      </c>
      <c r="H119" s="18">
        <v>1405</v>
      </c>
      <c r="I119" s="19" t="s">
        <v>1146</v>
      </c>
      <c r="J119" s="13" t="s">
        <v>1147</v>
      </c>
      <c r="K119" s="2">
        <v>0</v>
      </c>
      <c r="L119" s="2">
        <v>0</v>
      </c>
      <c r="M119" s="13">
        <v>10</v>
      </c>
      <c r="N119" s="2">
        <v>1.3</v>
      </c>
      <c r="O119" s="2">
        <v>0</v>
      </c>
      <c r="P119" s="2">
        <v>0</v>
      </c>
      <c r="Q119" s="13">
        <v>11.3</v>
      </c>
      <c r="R119" s="2">
        <v>0</v>
      </c>
      <c r="S119" s="2" t="s">
        <v>1</v>
      </c>
    </row>
    <row r="120" spans="1:19" x14ac:dyDescent="0.25">
      <c r="A120" s="2" t="s">
        <v>554</v>
      </c>
      <c r="B120" s="20">
        <v>45005</v>
      </c>
      <c r="C120" s="2" t="s">
        <v>1</v>
      </c>
      <c r="D120" s="2" t="s">
        <v>0</v>
      </c>
      <c r="E120" s="2" t="s">
        <v>1168</v>
      </c>
      <c r="F120" s="2" t="s">
        <v>1169</v>
      </c>
      <c r="G120" s="14">
        <v>1406</v>
      </c>
      <c r="H120" s="18">
        <v>1406</v>
      </c>
      <c r="I120" s="19" t="s">
        <v>991</v>
      </c>
      <c r="J120" s="13" t="s">
        <v>992</v>
      </c>
      <c r="K120" s="2">
        <v>0</v>
      </c>
      <c r="L120" s="2">
        <v>0</v>
      </c>
      <c r="M120" s="13">
        <v>202.02</v>
      </c>
      <c r="N120" s="2">
        <v>26.262600000000003</v>
      </c>
      <c r="O120" s="2">
        <v>0</v>
      </c>
      <c r="P120" s="2">
        <v>0</v>
      </c>
      <c r="Q120" s="13">
        <v>228.2826</v>
      </c>
      <c r="R120" s="2">
        <v>0</v>
      </c>
      <c r="S120" s="2" t="s">
        <v>1</v>
      </c>
    </row>
    <row r="121" spans="1:19" x14ac:dyDescent="0.25">
      <c r="A121" s="2" t="s">
        <v>554</v>
      </c>
      <c r="B121" s="20">
        <v>45005</v>
      </c>
      <c r="C121" s="2" t="s">
        <v>1</v>
      </c>
      <c r="D121" s="2" t="s">
        <v>0</v>
      </c>
      <c r="E121" s="2" t="s">
        <v>1168</v>
      </c>
      <c r="F121" s="2" t="s">
        <v>1169</v>
      </c>
      <c r="G121" s="14">
        <v>1407</v>
      </c>
      <c r="H121" s="18">
        <v>1407</v>
      </c>
      <c r="I121" s="19" t="s">
        <v>1146</v>
      </c>
      <c r="J121" s="13" t="s">
        <v>1147</v>
      </c>
      <c r="K121" s="2">
        <v>0</v>
      </c>
      <c r="L121" s="2">
        <v>0</v>
      </c>
      <c r="M121" s="13">
        <v>40</v>
      </c>
      <c r="N121" s="2">
        <v>5.2</v>
      </c>
      <c r="O121" s="2">
        <v>0</v>
      </c>
      <c r="P121" s="2">
        <v>0</v>
      </c>
      <c r="Q121" s="13">
        <v>45.2</v>
      </c>
      <c r="R121" s="2">
        <v>0</v>
      </c>
      <c r="S121" s="2" t="s">
        <v>1</v>
      </c>
    </row>
    <row r="122" spans="1:19" x14ac:dyDescent="0.25">
      <c r="A122" s="2" t="s">
        <v>554</v>
      </c>
      <c r="B122" s="20">
        <v>45005</v>
      </c>
      <c r="C122" s="2" t="s">
        <v>1</v>
      </c>
      <c r="D122" s="2" t="s">
        <v>0</v>
      </c>
      <c r="E122" s="2" t="s">
        <v>1168</v>
      </c>
      <c r="F122" s="2" t="s">
        <v>1169</v>
      </c>
      <c r="G122" s="14">
        <v>1408</v>
      </c>
      <c r="H122" s="18">
        <v>1408</v>
      </c>
      <c r="I122" s="19"/>
      <c r="J122" s="13" t="s">
        <v>1292</v>
      </c>
      <c r="K122" s="2">
        <v>0</v>
      </c>
      <c r="L122" s="2">
        <v>0</v>
      </c>
      <c r="M122" s="13">
        <v>12.62</v>
      </c>
      <c r="N122" s="2">
        <v>1.6406000000000001</v>
      </c>
      <c r="O122" s="2">
        <v>0</v>
      </c>
      <c r="P122" s="2">
        <v>0</v>
      </c>
      <c r="Q122" s="13">
        <v>14.2606</v>
      </c>
      <c r="R122" s="2">
        <v>0</v>
      </c>
      <c r="S122" s="2" t="s">
        <v>1</v>
      </c>
    </row>
    <row r="123" spans="1:19" x14ac:dyDescent="0.25">
      <c r="A123" s="2" t="s">
        <v>554</v>
      </c>
      <c r="B123" s="20">
        <v>45005</v>
      </c>
      <c r="C123" s="2" t="s">
        <v>1</v>
      </c>
      <c r="D123" s="2" t="s">
        <v>0</v>
      </c>
      <c r="E123" s="2" t="s">
        <v>1168</v>
      </c>
      <c r="F123" s="2" t="s">
        <v>1169</v>
      </c>
      <c r="G123" s="14">
        <v>1409</v>
      </c>
      <c r="H123" s="18">
        <v>1409</v>
      </c>
      <c r="I123" s="19" t="s">
        <v>64</v>
      </c>
      <c r="J123" s="13" t="s">
        <v>65</v>
      </c>
      <c r="K123" s="2">
        <v>0</v>
      </c>
      <c r="L123" s="2">
        <v>0</v>
      </c>
      <c r="M123" s="13">
        <v>144.96</v>
      </c>
      <c r="N123" s="2">
        <v>18.844800000000003</v>
      </c>
      <c r="O123" s="2">
        <v>0</v>
      </c>
      <c r="P123" s="2">
        <v>0</v>
      </c>
      <c r="Q123" s="13">
        <v>163.8048</v>
      </c>
      <c r="R123" s="2">
        <v>0</v>
      </c>
      <c r="S123" s="2" t="s">
        <v>1</v>
      </c>
    </row>
    <row r="124" spans="1:19" x14ac:dyDescent="0.25">
      <c r="A124" s="2" t="s">
        <v>554</v>
      </c>
      <c r="B124" s="20">
        <v>45006</v>
      </c>
      <c r="C124" s="2" t="s">
        <v>1</v>
      </c>
      <c r="D124" s="2" t="s">
        <v>0</v>
      </c>
      <c r="E124" s="2" t="s">
        <v>1168</v>
      </c>
      <c r="F124" s="2" t="s">
        <v>1169</v>
      </c>
      <c r="G124" s="14">
        <v>1410</v>
      </c>
      <c r="H124" s="18">
        <v>1410</v>
      </c>
      <c r="I124" s="19" t="s">
        <v>435</v>
      </c>
      <c r="J124" s="13" t="s">
        <v>434</v>
      </c>
      <c r="K124" s="2">
        <v>0</v>
      </c>
      <c r="L124" s="2">
        <v>0</v>
      </c>
      <c r="M124" s="13">
        <v>0</v>
      </c>
      <c r="N124" s="2">
        <v>0</v>
      </c>
      <c r="O124" s="2">
        <v>0</v>
      </c>
      <c r="P124" s="2">
        <v>0</v>
      </c>
      <c r="Q124" s="13">
        <v>0</v>
      </c>
      <c r="R124" s="2">
        <v>0</v>
      </c>
      <c r="S124" s="2" t="s">
        <v>1</v>
      </c>
    </row>
    <row r="125" spans="1:19" x14ac:dyDescent="0.25">
      <c r="A125" s="2" t="s">
        <v>554</v>
      </c>
      <c r="B125" s="20">
        <v>45006</v>
      </c>
      <c r="C125" s="2" t="s">
        <v>1</v>
      </c>
      <c r="D125" s="2" t="s">
        <v>0</v>
      </c>
      <c r="E125" s="2" t="s">
        <v>1168</v>
      </c>
      <c r="F125" s="2" t="s">
        <v>1169</v>
      </c>
      <c r="G125" s="14">
        <v>1411</v>
      </c>
      <c r="H125" s="18">
        <v>1411</v>
      </c>
      <c r="I125" s="19"/>
      <c r="J125" s="13" t="s">
        <v>982</v>
      </c>
      <c r="K125" s="2">
        <v>0</v>
      </c>
      <c r="L125" s="2">
        <v>0</v>
      </c>
      <c r="M125" s="13">
        <v>211.6</v>
      </c>
      <c r="N125" s="2">
        <v>27.507999999999999</v>
      </c>
      <c r="O125" s="2">
        <v>0</v>
      </c>
      <c r="P125" s="2">
        <v>0</v>
      </c>
      <c r="Q125" s="13">
        <v>239.108</v>
      </c>
      <c r="R125" s="2">
        <v>0</v>
      </c>
      <c r="S125" s="2" t="s">
        <v>1</v>
      </c>
    </row>
    <row r="126" spans="1:19" x14ac:dyDescent="0.25">
      <c r="A126" s="2" t="s">
        <v>554</v>
      </c>
      <c r="B126" s="20">
        <v>45006</v>
      </c>
      <c r="C126" s="2" t="s">
        <v>1</v>
      </c>
      <c r="D126" s="2" t="s">
        <v>0</v>
      </c>
      <c r="E126" s="2" t="s">
        <v>1168</v>
      </c>
      <c r="F126" s="2" t="s">
        <v>1169</v>
      </c>
      <c r="G126" s="14">
        <v>1412</v>
      </c>
      <c r="H126" s="18">
        <v>1412</v>
      </c>
      <c r="I126" s="19"/>
      <c r="J126" s="13" t="s">
        <v>982</v>
      </c>
      <c r="K126" s="2">
        <v>0</v>
      </c>
      <c r="L126" s="2">
        <v>0</v>
      </c>
      <c r="M126" s="13">
        <v>15</v>
      </c>
      <c r="N126" s="2">
        <v>1.9500000000000002</v>
      </c>
      <c r="O126" s="2">
        <v>0</v>
      </c>
      <c r="P126" s="2">
        <v>0</v>
      </c>
      <c r="Q126" s="13">
        <v>16.95</v>
      </c>
      <c r="R126" s="2">
        <v>0</v>
      </c>
      <c r="S126" s="2" t="s">
        <v>1</v>
      </c>
    </row>
    <row r="127" spans="1:19" x14ac:dyDescent="0.25">
      <c r="A127" s="2" t="s">
        <v>554</v>
      </c>
      <c r="B127" s="20">
        <v>45006</v>
      </c>
      <c r="C127" s="2" t="s">
        <v>1</v>
      </c>
      <c r="D127" s="2" t="s">
        <v>0</v>
      </c>
      <c r="E127" s="2" t="s">
        <v>1168</v>
      </c>
      <c r="F127" s="2" t="s">
        <v>1169</v>
      </c>
      <c r="G127" s="14">
        <v>1413</v>
      </c>
      <c r="H127" s="18">
        <v>1413</v>
      </c>
      <c r="I127" s="19" t="s">
        <v>1014</v>
      </c>
      <c r="J127" s="13" t="s">
        <v>1015</v>
      </c>
      <c r="K127" s="2">
        <v>0</v>
      </c>
      <c r="L127" s="2">
        <v>0</v>
      </c>
      <c r="M127" s="13">
        <v>15.05</v>
      </c>
      <c r="N127" s="2">
        <v>1.9565000000000001</v>
      </c>
      <c r="O127" s="2">
        <v>0</v>
      </c>
      <c r="P127" s="2">
        <v>0</v>
      </c>
      <c r="Q127" s="13">
        <v>17.006500000000003</v>
      </c>
      <c r="R127" s="2">
        <v>0</v>
      </c>
      <c r="S127" s="2" t="s">
        <v>1</v>
      </c>
    </row>
    <row r="128" spans="1:19" x14ac:dyDescent="0.25">
      <c r="A128" s="2" t="s">
        <v>554</v>
      </c>
      <c r="B128" s="20">
        <v>45006</v>
      </c>
      <c r="C128" s="2" t="s">
        <v>1</v>
      </c>
      <c r="D128" s="2" t="s">
        <v>0</v>
      </c>
      <c r="E128" s="2" t="s">
        <v>1168</v>
      </c>
      <c r="F128" s="2" t="s">
        <v>1169</v>
      </c>
      <c r="G128" s="14">
        <v>1414</v>
      </c>
      <c r="H128" s="18">
        <v>1414</v>
      </c>
      <c r="I128" s="19" t="s">
        <v>1035</v>
      </c>
      <c r="J128" s="13" t="s">
        <v>1036</v>
      </c>
      <c r="K128" s="2">
        <v>0</v>
      </c>
      <c r="L128" s="2">
        <v>0</v>
      </c>
      <c r="M128" s="13">
        <v>70.13</v>
      </c>
      <c r="N128" s="2">
        <v>9.1168999999999993</v>
      </c>
      <c r="O128" s="2">
        <v>0</v>
      </c>
      <c r="P128" s="2">
        <v>0</v>
      </c>
      <c r="Q128" s="13">
        <v>79.246899999999997</v>
      </c>
      <c r="R128" s="2">
        <v>0</v>
      </c>
      <c r="S128" s="2" t="s">
        <v>1</v>
      </c>
    </row>
    <row r="129" spans="1:19" x14ac:dyDescent="0.25">
      <c r="A129" s="2" t="s">
        <v>554</v>
      </c>
      <c r="B129" s="20">
        <v>45006</v>
      </c>
      <c r="C129" s="2" t="s">
        <v>1</v>
      </c>
      <c r="D129" s="2" t="s">
        <v>0</v>
      </c>
      <c r="E129" s="2" t="s">
        <v>1168</v>
      </c>
      <c r="F129" s="2" t="s">
        <v>1169</v>
      </c>
      <c r="G129" s="14">
        <v>1415</v>
      </c>
      <c r="H129" s="18">
        <v>1415</v>
      </c>
      <c r="I129" s="19" t="s">
        <v>1035</v>
      </c>
      <c r="J129" s="13" t="s">
        <v>1036</v>
      </c>
      <c r="K129" s="2">
        <v>0</v>
      </c>
      <c r="L129" s="2">
        <v>0</v>
      </c>
      <c r="M129" s="13">
        <v>62.16</v>
      </c>
      <c r="N129" s="2">
        <v>8.0808</v>
      </c>
      <c r="O129" s="2">
        <v>0</v>
      </c>
      <c r="P129" s="2">
        <v>0</v>
      </c>
      <c r="Q129" s="13">
        <v>70.240799999999993</v>
      </c>
      <c r="R129" s="2">
        <v>0</v>
      </c>
      <c r="S129" s="2" t="s">
        <v>1</v>
      </c>
    </row>
    <row r="130" spans="1:19" x14ac:dyDescent="0.25">
      <c r="A130" s="2" t="s">
        <v>554</v>
      </c>
      <c r="B130" s="20">
        <v>45006</v>
      </c>
      <c r="C130" s="2" t="s">
        <v>1</v>
      </c>
      <c r="D130" s="2" t="s">
        <v>0</v>
      </c>
      <c r="E130" s="2" t="s">
        <v>1168</v>
      </c>
      <c r="F130" s="2" t="s">
        <v>1169</v>
      </c>
      <c r="G130" s="14">
        <v>1416</v>
      </c>
      <c r="H130" s="18">
        <v>1416</v>
      </c>
      <c r="I130" s="19"/>
      <c r="J130" s="13" t="s">
        <v>986</v>
      </c>
      <c r="K130" s="2">
        <v>0</v>
      </c>
      <c r="L130" s="2">
        <v>0</v>
      </c>
      <c r="M130" s="13">
        <v>189.77</v>
      </c>
      <c r="N130" s="2">
        <v>24.670100000000001</v>
      </c>
      <c r="O130" s="2">
        <v>0</v>
      </c>
      <c r="P130" s="2">
        <v>0</v>
      </c>
      <c r="Q130" s="13">
        <v>214.4401</v>
      </c>
      <c r="R130" s="2">
        <v>0</v>
      </c>
      <c r="S130" s="2" t="s">
        <v>1</v>
      </c>
    </row>
    <row r="131" spans="1:19" x14ac:dyDescent="0.25">
      <c r="A131" s="2" t="s">
        <v>554</v>
      </c>
      <c r="B131" s="20">
        <v>45006</v>
      </c>
      <c r="C131" s="2" t="s">
        <v>1</v>
      </c>
      <c r="D131" s="2" t="s">
        <v>0</v>
      </c>
      <c r="E131" s="2" t="s">
        <v>1168</v>
      </c>
      <c r="F131" s="2" t="s">
        <v>1169</v>
      </c>
      <c r="G131" s="14">
        <v>1417</v>
      </c>
      <c r="H131" s="18">
        <v>1417</v>
      </c>
      <c r="I131" s="19"/>
      <c r="J131" s="13" t="s">
        <v>986</v>
      </c>
      <c r="K131" s="2">
        <v>0</v>
      </c>
      <c r="L131" s="2">
        <v>0</v>
      </c>
      <c r="M131" s="13">
        <v>10.26</v>
      </c>
      <c r="N131" s="2">
        <v>1.3338000000000001</v>
      </c>
      <c r="O131" s="2">
        <v>0</v>
      </c>
      <c r="P131" s="2">
        <v>0</v>
      </c>
      <c r="Q131" s="13">
        <v>11.5938</v>
      </c>
      <c r="R131" s="2">
        <v>0</v>
      </c>
      <c r="S131" s="2" t="s">
        <v>1</v>
      </c>
    </row>
    <row r="132" spans="1:19" x14ac:dyDescent="0.25">
      <c r="A132" s="2" t="s">
        <v>554</v>
      </c>
      <c r="B132" s="20">
        <v>45006</v>
      </c>
      <c r="C132" s="2" t="s">
        <v>1</v>
      </c>
      <c r="D132" s="2" t="s">
        <v>0</v>
      </c>
      <c r="E132" s="2" t="s">
        <v>1168</v>
      </c>
      <c r="F132" s="2" t="s">
        <v>1169</v>
      </c>
      <c r="G132" s="14">
        <v>1418</v>
      </c>
      <c r="H132" s="18">
        <v>1418</v>
      </c>
      <c r="I132" s="19" t="s">
        <v>1141</v>
      </c>
      <c r="J132" s="13" t="s">
        <v>997</v>
      </c>
      <c r="K132" s="2">
        <v>0</v>
      </c>
      <c r="L132" s="2">
        <v>0</v>
      </c>
      <c r="M132" s="13">
        <v>257.10000000000002</v>
      </c>
      <c r="N132" s="2">
        <v>33.423000000000002</v>
      </c>
      <c r="O132" s="2">
        <v>0</v>
      </c>
      <c r="P132" s="2">
        <v>0</v>
      </c>
      <c r="Q132" s="13">
        <v>290.52300000000002</v>
      </c>
      <c r="R132" s="2">
        <v>0</v>
      </c>
      <c r="S132" s="2" t="s">
        <v>1</v>
      </c>
    </row>
    <row r="133" spans="1:19" x14ac:dyDescent="0.25">
      <c r="A133" s="2" t="s">
        <v>554</v>
      </c>
      <c r="B133" s="20">
        <v>45006</v>
      </c>
      <c r="C133" s="2" t="s">
        <v>1</v>
      </c>
      <c r="D133" s="2" t="s">
        <v>0</v>
      </c>
      <c r="E133" s="2" t="s">
        <v>1168</v>
      </c>
      <c r="F133" s="2" t="s">
        <v>1169</v>
      </c>
      <c r="G133" s="14">
        <v>1419</v>
      </c>
      <c r="H133" s="18">
        <v>1419</v>
      </c>
      <c r="I133" s="19" t="s">
        <v>435</v>
      </c>
      <c r="J133" s="13" t="s">
        <v>434</v>
      </c>
      <c r="K133" s="2">
        <v>0</v>
      </c>
      <c r="L133" s="2">
        <v>0</v>
      </c>
      <c r="M133" s="13">
        <v>0</v>
      </c>
      <c r="N133" s="2">
        <v>0</v>
      </c>
      <c r="O133" s="2">
        <v>0</v>
      </c>
      <c r="P133" s="2">
        <v>0</v>
      </c>
      <c r="Q133" s="13">
        <v>0</v>
      </c>
      <c r="R133" s="2">
        <v>0</v>
      </c>
      <c r="S133" s="2" t="s">
        <v>1</v>
      </c>
    </row>
    <row r="134" spans="1:19" x14ac:dyDescent="0.25">
      <c r="A134" s="2" t="s">
        <v>554</v>
      </c>
      <c r="B134" s="20">
        <v>45006</v>
      </c>
      <c r="C134" s="2" t="s">
        <v>1</v>
      </c>
      <c r="D134" s="2" t="s">
        <v>0</v>
      </c>
      <c r="E134" s="2" t="s">
        <v>1168</v>
      </c>
      <c r="F134" s="2" t="s">
        <v>1169</v>
      </c>
      <c r="G134" s="14">
        <v>1420</v>
      </c>
      <c r="H134" s="18">
        <v>1420</v>
      </c>
      <c r="I134" s="19" t="s">
        <v>1033</v>
      </c>
      <c r="J134" s="13" t="s">
        <v>1034</v>
      </c>
      <c r="K134" s="2">
        <v>0</v>
      </c>
      <c r="L134" s="2">
        <v>0</v>
      </c>
      <c r="M134" s="13">
        <v>23.89</v>
      </c>
      <c r="N134" s="2">
        <v>3.1057000000000001</v>
      </c>
      <c r="O134" s="2">
        <v>0</v>
      </c>
      <c r="P134" s="2">
        <v>0</v>
      </c>
      <c r="Q134" s="13">
        <v>26.995699999999999</v>
      </c>
      <c r="R134" s="2">
        <v>0</v>
      </c>
      <c r="S134" s="2" t="s">
        <v>1</v>
      </c>
    </row>
    <row r="135" spans="1:19" x14ac:dyDescent="0.25">
      <c r="A135" s="2" t="s">
        <v>554</v>
      </c>
      <c r="B135" s="20">
        <v>45006</v>
      </c>
      <c r="C135" s="2" t="s">
        <v>1</v>
      </c>
      <c r="D135" s="2" t="s">
        <v>0</v>
      </c>
      <c r="E135" s="2" t="s">
        <v>1168</v>
      </c>
      <c r="F135" s="2" t="s">
        <v>1169</v>
      </c>
      <c r="G135" s="14">
        <v>1421</v>
      </c>
      <c r="H135" s="18">
        <v>1421</v>
      </c>
      <c r="I135" s="19" t="s">
        <v>81</v>
      </c>
      <c r="J135" s="13" t="s">
        <v>82</v>
      </c>
      <c r="K135" s="2">
        <v>0</v>
      </c>
      <c r="L135" s="2">
        <v>0</v>
      </c>
      <c r="M135" s="13">
        <v>156.62</v>
      </c>
      <c r="N135" s="2">
        <v>20.360600000000002</v>
      </c>
      <c r="O135" s="2">
        <v>0</v>
      </c>
      <c r="P135" s="2">
        <v>0</v>
      </c>
      <c r="Q135" s="13">
        <v>176.98060000000001</v>
      </c>
      <c r="R135" s="2">
        <v>0</v>
      </c>
      <c r="S135" s="2" t="s">
        <v>1</v>
      </c>
    </row>
    <row r="136" spans="1:19" x14ac:dyDescent="0.25">
      <c r="A136" s="2" t="s">
        <v>554</v>
      </c>
      <c r="B136" s="20">
        <v>45006</v>
      </c>
      <c r="C136" s="2" t="s">
        <v>1</v>
      </c>
      <c r="D136" s="2" t="s">
        <v>0</v>
      </c>
      <c r="E136" s="2" t="s">
        <v>1168</v>
      </c>
      <c r="F136" s="2" t="s">
        <v>1169</v>
      </c>
      <c r="G136" s="14">
        <v>1422</v>
      </c>
      <c r="H136" s="18">
        <v>1422</v>
      </c>
      <c r="I136" s="19" t="s">
        <v>81</v>
      </c>
      <c r="J136" s="13" t="s">
        <v>82</v>
      </c>
      <c r="K136" s="2">
        <v>0</v>
      </c>
      <c r="L136" s="2">
        <v>0</v>
      </c>
      <c r="M136" s="13">
        <v>10</v>
      </c>
      <c r="N136" s="2">
        <v>1.3</v>
      </c>
      <c r="O136" s="2">
        <v>0</v>
      </c>
      <c r="P136" s="2">
        <v>0</v>
      </c>
      <c r="Q136" s="13">
        <v>11.3</v>
      </c>
      <c r="R136" s="2">
        <v>0</v>
      </c>
      <c r="S136" s="2" t="s">
        <v>1</v>
      </c>
    </row>
    <row r="137" spans="1:19" x14ac:dyDescent="0.25">
      <c r="A137" s="2" t="s">
        <v>554</v>
      </c>
      <c r="B137" s="20">
        <v>45006</v>
      </c>
      <c r="C137" s="2" t="s">
        <v>1</v>
      </c>
      <c r="D137" s="2" t="s">
        <v>0</v>
      </c>
      <c r="E137" s="2" t="s">
        <v>1168</v>
      </c>
      <c r="F137" s="2" t="s">
        <v>1169</v>
      </c>
      <c r="G137" s="14">
        <v>1423</v>
      </c>
      <c r="H137" s="18">
        <v>1423</v>
      </c>
      <c r="I137" s="19" t="s">
        <v>1144</v>
      </c>
      <c r="J137" s="13" t="s">
        <v>1145</v>
      </c>
      <c r="K137" s="2">
        <v>0</v>
      </c>
      <c r="L137" s="2">
        <v>0</v>
      </c>
      <c r="M137" s="13">
        <v>480</v>
      </c>
      <c r="N137" s="2">
        <v>62.400000000000006</v>
      </c>
      <c r="O137" s="2">
        <v>0</v>
      </c>
      <c r="P137" s="2">
        <v>0</v>
      </c>
      <c r="Q137" s="13">
        <v>542.4</v>
      </c>
      <c r="R137" s="2">
        <v>0</v>
      </c>
      <c r="S137" s="2" t="s">
        <v>1</v>
      </c>
    </row>
    <row r="138" spans="1:19" x14ac:dyDescent="0.25">
      <c r="A138" s="2" t="s">
        <v>554</v>
      </c>
      <c r="B138" s="20">
        <v>45006</v>
      </c>
      <c r="C138" s="2" t="s">
        <v>1</v>
      </c>
      <c r="D138" s="2" t="s">
        <v>0</v>
      </c>
      <c r="E138" s="2" t="s">
        <v>1168</v>
      </c>
      <c r="F138" s="2" t="s">
        <v>1169</v>
      </c>
      <c r="G138" s="14">
        <v>1424</v>
      </c>
      <c r="H138" s="18">
        <v>1424</v>
      </c>
      <c r="I138" s="19" t="s">
        <v>74</v>
      </c>
      <c r="J138" s="13" t="s">
        <v>75</v>
      </c>
      <c r="K138" s="2">
        <v>0</v>
      </c>
      <c r="L138" s="2">
        <v>0</v>
      </c>
      <c r="M138" s="13">
        <v>304.47000000000003</v>
      </c>
      <c r="N138" s="2">
        <v>39.581100000000006</v>
      </c>
      <c r="O138" s="2">
        <v>0</v>
      </c>
      <c r="P138" s="2">
        <v>0</v>
      </c>
      <c r="Q138" s="13">
        <v>344.05110000000002</v>
      </c>
      <c r="R138" s="2">
        <v>0</v>
      </c>
      <c r="S138" s="2" t="s">
        <v>1</v>
      </c>
    </row>
    <row r="139" spans="1:19" x14ac:dyDescent="0.25">
      <c r="A139" s="2" t="s">
        <v>554</v>
      </c>
      <c r="B139" s="20">
        <v>45007</v>
      </c>
      <c r="C139" s="2" t="s">
        <v>1</v>
      </c>
      <c r="D139" s="2" t="s">
        <v>0</v>
      </c>
      <c r="E139" s="2" t="s">
        <v>1168</v>
      </c>
      <c r="F139" s="2" t="s">
        <v>1169</v>
      </c>
      <c r="G139" s="14">
        <v>1425</v>
      </c>
      <c r="H139" s="18">
        <v>1425</v>
      </c>
      <c r="I139" s="19" t="s">
        <v>993</v>
      </c>
      <c r="J139" s="13" t="s">
        <v>994</v>
      </c>
      <c r="K139" s="2">
        <v>0</v>
      </c>
      <c r="L139" s="2">
        <v>0</v>
      </c>
      <c r="M139" s="13">
        <v>218.2</v>
      </c>
      <c r="N139" s="2">
        <v>28.366</v>
      </c>
      <c r="O139" s="2">
        <v>0</v>
      </c>
      <c r="P139" s="2">
        <v>0</v>
      </c>
      <c r="Q139" s="13">
        <v>246.56599999999997</v>
      </c>
      <c r="R139" s="2">
        <v>0</v>
      </c>
      <c r="S139" s="2" t="s">
        <v>1</v>
      </c>
    </row>
    <row r="140" spans="1:19" x14ac:dyDescent="0.25">
      <c r="A140" s="2" t="s">
        <v>554</v>
      </c>
      <c r="B140" s="20">
        <v>45007</v>
      </c>
      <c r="C140" s="2" t="s">
        <v>1</v>
      </c>
      <c r="D140" s="2" t="s">
        <v>0</v>
      </c>
      <c r="E140" s="2" t="s">
        <v>1168</v>
      </c>
      <c r="F140" s="2" t="s">
        <v>1169</v>
      </c>
      <c r="G140" s="14">
        <v>1426</v>
      </c>
      <c r="H140" s="18">
        <v>1426</v>
      </c>
      <c r="I140" s="19" t="s">
        <v>993</v>
      </c>
      <c r="J140" s="13" t="s">
        <v>994</v>
      </c>
      <c r="K140" s="2">
        <v>0</v>
      </c>
      <c r="L140" s="2">
        <v>0</v>
      </c>
      <c r="M140" s="13">
        <v>13.62</v>
      </c>
      <c r="N140" s="2">
        <v>1.7706</v>
      </c>
      <c r="O140" s="2">
        <v>0</v>
      </c>
      <c r="P140" s="2">
        <v>0</v>
      </c>
      <c r="Q140" s="13">
        <v>15.390599999999999</v>
      </c>
      <c r="R140" s="2">
        <v>0</v>
      </c>
      <c r="S140" s="2" t="s">
        <v>1</v>
      </c>
    </row>
    <row r="141" spans="1:19" x14ac:dyDescent="0.25">
      <c r="A141" s="2" t="s">
        <v>554</v>
      </c>
      <c r="B141" s="20">
        <v>45007</v>
      </c>
      <c r="C141" s="2" t="s">
        <v>1</v>
      </c>
      <c r="D141" s="2" t="s">
        <v>0</v>
      </c>
      <c r="E141" s="2" t="s">
        <v>1168</v>
      </c>
      <c r="F141" s="2" t="s">
        <v>1169</v>
      </c>
      <c r="G141" s="14">
        <v>1427</v>
      </c>
      <c r="H141" s="18">
        <v>1427</v>
      </c>
      <c r="I141" s="19" t="s">
        <v>1025</v>
      </c>
      <c r="J141" s="13" t="s">
        <v>1026</v>
      </c>
      <c r="K141" s="2">
        <v>0</v>
      </c>
      <c r="L141" s="2">
        <v>0</v>
      </c>
      <c r="M141" s="13">
        <v>67.95</v>
      </c>
      <c r="N141" s="2">
        <v>8.8335000000000008</v>
      </c>
      <c r="O141" s="2">
        <v>0</v>
      </c>
      <c r="P141" s="2">
        <v>0</v>
      </c>
      <c r="Q141" s="13">
        <v>76.783500000000004</v>
      </c>
      <c r="R141" s="2">
        <v>0</v>
      </c>
      <c r="S141" s="2" t="s">
        <v>1</v>
      </c>
    </row>
    <row r="142" spans="1:19" x14ac:dyDescent="0.25">
      <c r="A142" s="2" t="s">
        <v>554</v>
      </c>
      <c r="B142" s="20">
        <v>45007</v>
      </c>
      <c r="C142" s="2" t="s">
        <v>1</v>
      </c>
      <c r="D142" s="2" t="s">
        <v>0</v>
      </c>
      <c r="E142" s="2" t="s">
        <v>1168</v>
      </c>
      <c r="F142" s="2" t="s">
        <v>1169</v>
      </c>
      <c r="G142" s="14">
        <v>1428</v>
      </c>
      <c r="H142" s="18">
        <v>1428</v>
      </c>
      <c r="I142" s="19" t="s">
        <v>70</v>
      </c>
      <c r="J142" s="13" t="s">
        <v>71</v>
      </c>
      <c r="K142" s="2">
        <v>0</v>
      </c>
      <c r="L142" s="2">
        <v>0</v>
      </c>
      <c r="M142" s="13">
        <v>189.67</v>
      </c>
      <c r="N142" s="2">
        <v>24.6571</v>
      </c>
      <c r="O142" s="2">
        <v>0</v>
      </c>
      <c r="P142" s="2">
        <v>0</v>
      </c>
      <c r="Q142" s="13">
        <v>214.32709999999997</v>
      </c>
      <c r="R142" s="2">
        <v>0</v>
      </c>
      <c r="S142" s="2" t="s">
        <v>1</v>
      </c>
    </row>
    <row r="143" spans="1:19" x14ac:dyDescent="0.25">
      <c r="A143" s="2" t="s">
        <v>554</v>
      </c>
      <c r="B143" s="20">
        <v>45007</v>
      </c>
      <c r="C143" s="2" t="s">
        <v>1</v>
      </c>
      <c r="D143" s="2" t="s">
        <v>0</v>
      </c>
      <c r="E143" s="2" t="s">
        <v>1168</v>
      </c>
      <c r="F143" s="2" t="s">
        <v>1169</v>
      </c>
      <c r="G143" s="14">
        <v>1430</v>
      </c>
      <c r="H143" s="18">
        <v>1430</v>
      </c>
      <c r="I143" s="19" t="s">
        <v>129</v>
      </c>
      <c r="J143" s="13" t="s">
        <v>130</v>
      </c>
      <c r="K143" s="2">
        <v>0</v>
      </c>
      <c r="L143" s="2">
        <v>0</v>
      </c>
      <c r="M143" s="13">
        <v>31.32</v>
      </c>
      <c r="N143" s="2">
        <v>4.0716000000000001</v>
      </c>
      <c r="O143" s="2">
        <v>0</v>
      </c>
      <c r="P143" s="2">
        <v>0</v>
      </c>
      <c r="Q143" s="13">
        <v>35.391599999999997</v>
      </c>
      <c r="R143" s="2">
        <v>0</v>
      </c>
      <c r="S143" s="2" t="s">
        <v>1</v>
      </c>
    </row>
    <row r="144" spans="1:19" x14ac:dyDescent="0.25">
      <c r="A144" s="2" t="s">
        <v>554</v>
      </c>
      <c r="B144" s="20">
        <v>45007</v>
      </c>
      <c r="C144" s="2" t="s">
        <v>1</v>
      </c>
      <c r="D144" s="2" t="s">
        <v>0</v>
      </c>
      <c r="E144" s="2" t="s">
        <v>1168</v>
      </c>
      <c r="F144" s="2" t="s">
        <v>1169</v>
      </c>
      <c r="G144" s="14">
        <v>1431</v>
      </c>
      <c r="H144" s="18">
        <v>1431</v>
      </c>
      <c r="I144" s="19" t="s">
        <v>955</v>
      </c>
      <c r="J144" s="13" t="s">
        <v>956</v>
      </c>
      <c r="K144" s="2">
        <v>0</v>
      </c>
      <c r="L144" s="2">
        <v>0</v>
      </c>
      <c r="M144" s="13">
        <v>108.49</v>
      </c>
      <c r="N144" s="2">
        <v>14.1037</v>
      </c>
      <c r="O144" s="2">
        <v>0</v>
      </c>
      <c r="P144" s="2">
        <v>0</v>
      </c>
      <c r="Q144" s="13">
        <v>122.5937</v>
      </c>
      <c r="R144" s="2">
        <v>0</v>
      </c>
      <c r="S144" s="2" t="s">
        <v>1</v>
      </c>
    </row>
    <row r="145" spans="1:19" x14ac:dyDescent="0.25">
      <c r="A145" s="2" t="s">
        <v>554</v>
      </c>
      <c r="B145" s="20">
        <v>45008</v>
      </c>
      <c r="C145" s="2" t="s">
        <v>1</v>
      </c>
      <c r="D145" s="2" t="s">
        <v>0</v>
      </c>
      <c r="E145" s="2" t="s">
        <v>1168</v>
      </c>
      <c r="F145" s="2" t="s">
        <v>1169</v>
      </c>
      <c r="G145" s="14">
        <v>1432</v>
      </c>
      <c r="H145" s="18">
        <v>1432</v>
      </c>
      <c r="I145" s="19" t="s">
        <v>124</v>
      </c>
      <c r="J145" s="13" t="s">
        <v>125</v>
      </c>
      <c r="K145" s="2">
        <v>0</v>
      </c>
      <c r="L145" s="2">
        <v>0</v>
      </c>
      <c r="M145" s="13">
        <v>560</v>
      </c>
      <c r="N145" s="2">
        <v>72.8</v>
      </c>
      <c r="O145" s="2">
        <v>0</v>
      </c>
      <c r="P145" s="2">
        <v>0</v>
      </c>
      <c r="Q145" s="13">
        <v>632.79999999999995</v>
      </c>
      <c r="R145" s="2">
        <v>0</v>
      </c>
      <c r="S145" s="2" t="s">
        <v>1</v>
      </c>
    </row>
    <row r="146" spans="1:19" x14ac:dyDescent="0.25">
      <c r="A146" s="2" t="s">
        <v>554</v>
      </c>
      <c r="B146" s="20">
        <v>45008</v>
      </c>
      <c r="C146" s="2" t="s">
        <v>1</v>
      </c>
      <c r="D146" s="2" t="s">
        <v>0</v>
      </c>
      <c r="E146" s="2" t="s">
        <v>1168</v>
      </c>
      <c r="F146" s="2" t="s">
        <v>1169</v>
      </c>
      <c r="G146" s="14">
        <v>1433</v>
      </c>
      <c r="H146" s="18">
        <v>1433</v>
      </c>
      <c r="I146" s="19"/>
      <c r="J146" s="13" t="s">
        <v>793</v>
      </c>
      <c r="K146" s="2">
        <v>0</v>
      </c>
      <c r="L146" s="2">
        <v>0</v>
      </c>
      <c r="M146" s="13">
        <v>68.41</v>
      </c>
      <c r="N146" s="2">
        <v>8.8933</v>
      </c>
      <c r="O146" s="2">
        <v>0</v>
      </c>
      <c r="P146" s="2">
        <v>0</v>
      </c>
      <c r="Q146" s="13">
        <v>77.303299999999993</v>
      </c>
      <c r="R146" s="2">
        <v>0</v>
      </c>
      <c r="S146" s="2" t="s">
        <v>1</v>
      </c>
    </row>
    <row r="147" spans="1:19" x14ac:dyDescent="0.25">
      <c r="A147" s="2" t="s">
        <v>554</v>
      </c>
      <c r="B147" s="20">
        <v>45007</v>
      </c>
      <c r="C147" s="2" t="s">
        <v>1</v>
      </c>
      <c r="D147" s="2" t="s">
        <v>0</v>
      </c>
      <c r="E147" s="2" t="s">
        <v>1168</v>
      </c>
      <c r="F147" s="2" t="s">
        <v>1169</v>
      </c>
      <c r="G147" s="14">
        <v>1434</v>
      </c>
      <c r="H147" s="18">
        <v>1434</v>
      </c>
      <c r="I147" s="19" t="s">
        <v>77</v>
      </c>
      <c r="J147" s="13" t="s">
        <v>78</v>
      </c>
      <c r="K147" s="2">
        <v>0</v>
      </c>
      <c r="L147" s="2">
        <v>0</v>
      </c>
      <c r="M147" s="13">
        <v>249.64</v>
      </c>
      <c r="N147" s="2">
        <v>32.453200000000002</v>
      </c>
      <c r="O147" s="2">
        <v>0</v>
      </c>
      <c r="P147" s="2">
        <v>0</v>
      </c>
      <c r="Q147" s="13">
        <v>282.09319999999997</v>
      </c>
      <c r="R147" s="2">
        <v>0</v>
      </c>
      <c r="S147" s="2" t="s">
        <v>1</v>
      </c>
    </row>
    <row r="148" spans="1:19" x14ac:dyDescent="0.25">
      <c r="A148" s="2" t="s">
        <v>554</v>
      </c>
      <c r="B148" s="20">
        <v>45008</v>
      </c>
      <c r="C148" s="2" t="s">
        <v>1</v>
      </c>
      <c r="D148" s="2" t="s">
        <v>0</v>
      </c>
      <c r="E148" s="2" t="s">
        <v>1168</v>
      </c>
      <c r="F148" s="2" t="s">
        <v>1169</v>
      </c>
      <c r="G148" s="14">
        <v>1435</v>
      </c>
      <c r="H148" s="18">
        <v>1435</v>
      </c>
      <c r="I148" s="19" t="s">
        <v>77</v>
      </c>
      <c r="J148" s="13" t="s">
        <v>78</v>
      </c>
      <c r="K148" s="2">
        <v>0</v>
      </c>
      <c r="L148" s="2">
        <v>0</v>
      </c>
      <c r="M148" s="13">
        <v>155.80000000000001</v>
      </c>
      <c r="N148" s="2">
        <v>20.254000000000001</v>
      </c>
      <c r="O148" s="2">
        <v>0</v>
      </c>
      <c r="P148" s="2">
        <v>0</v>
      </c>
      <c r="Q148" s="13">
        <v>176.054</v>
      </c>
      <c r="R148" s="2">
        <v>0</v>
      </c>
      <c r="S148" s="2" t="s">
        <v>1</v>
      </c>
    </row>
    <row r="149" spans="1:19" x14ac:dyDescent="0.25">
      <c r="A149" s="2" t="s">
        <v>554</v>
      </c>
      <c r="B149" s="20">
        <v>45008</v>
      </c>
      <c r="C149" s="2" t="s">
        <v>1</v>
      </c>
      <c r="D149" s="2" t="s">
        <v>0</v>
      </c>
      <c r="E149" s="2" t="s">
        <v>1168</v>
      </c>
      <c r="F149" s="2" t="s">
        <v>1169</v>
      </c>
      <c r="G149" s="14">
        <v>1436</v>
      </c>
      <c r="H149" s="18">
        <v>1436</v>
      </c>
      <c r="I149" s="19" t="s">
        <v>1069</v>
      </c>
      <c r="J149" s="13" t="s">
        <v>1070</v>
      </c>
      <c r="K149" s="2">
        <v>0</v>
      </c>
      <c r="L149" s="2">
        <v>0</v>
      </c>
      <c r="M149" s="13">
        <v>10.26</v>
      </c>
      <c r="N149" s="2">
        <v>1.3338000000000001</v>
      </c>
      <c r="O149" s="2">
        <v>0</v>
      </c>
      <c r="P149" s="2">
        <v>0</v>
      </c>
      <c r="Q149" s="13">
        <v>11.5938</v>
      </c>
      <c r="R149" s="2">
        <v>0</v>
      </c>
      <c r="S149" s="2" t="s">
        <v>1</v>
      </c>
    </row>
    <row r="150" spans="1:19" x14ac:dyDescent="0.25">
      <c r="A150" s="2" t="s">
        <v>554</v>
      </c>
      <c r="B150" s="20">
        <v>45008</v>
      </c>
      <c r="C150" s="2" t="s">
        <v>1</v>
      </c>
      <c r="D150" s="2" t="s">
        <v>0</v>
      </c>
      <c r="E150" s="2" t="s">
        <v>1168</v>
      </c>
      <c r="F150" s="2" t="s">
        <v>1169</v>
      </c>
      <c r="G150" s="14">
        <v>1437</v>
      </c>
      <c r="H150" s="18">
        <v>1437</v>
      </c>
      <c r="I150" s="19" t="s">
        <v>951</v>
      </c>
      <c r="J150" s="13" t="s">
        <v>952</v>
      </c>
      <c r="K150" s="2">
        <v>0</v>
      </c>
      <c r="L150" s="2">
        <v>0</v>
      </c>
      <c r="M150" s="13">
        <v>11.95</v>
      </c>
      <c r="N150" s="2">
        <v>1.5534999999999999</v>
      </c>
      <c r="O150" s="2">
        <v>0</v>
      </c>
      <c r="P150" s="2">
        <v>0</v>
      </c>
      <c r="Q150" s="13">
        <v>13.503499999999999</v>
      </c>
      <c r="R150" s="2">
        <v>0</v>
      </c>
      <c r="S150" s="2" t="s">
        <v>1</v>
      </c>
    </row>
    <row r="151" spans="1:19" x14ac:dyDescent="0.25">
      <c r="A151" s="2" t="s">
        <v>554</v>
      </c>
      <c r="B151" s="20">
        <v>45008</v>
      </c>
      <c r="C151" s="2" t="s">
        <v>1</v>
      </c>
      <c r="D151" s="2" t="s">
        <v>0</v>
      </c>
      <c r="E151" s="2" t="s">
        <v>1168</v>
      </c>
      <c r="F151" s="2" t="s">
        <v>1169</v>
      </c>
      <c r="G151" s="14">
        <v>1438</v>
      </c>
      <c r="H151" s="18">
        <v>1438</v>
      </c>
      <c r="I151" s="19" t="s">
        <v>951</v>
      </c>
      <c r="J151" s="13" t="s">
        <v>952</v>
      </c>
      <c r="K151" s="2">
        <v>0</v>
      </c>
      <c r="L151" s="2">
        <v>0</v>
      </c>
      <c r="M151" s="13">
        <v>49</v>
      </c>
      <c r="N151" s="2">
        <v>6.37</v>
      </c>
      <c r="O151" s="2">
        <v>0</v>
      </c>
      <c r="P151" s="2">
        <v>0</v>
      </c>
      <c r="Q151" s="13">
        <v>55.37</v>
      </c>
      <c r="R151" s="2">
        <v>0</v>
      </c>
      <c r="S151" s="2" t="s">
        <v>1</v>
      </c>
    </row>
    <row r="152" spans="1:19" x14ac:dyDescent="0.25">
      <c r="A152" s="2" t="s">
        <v>554</v>
      </c>
      <c r="B152" s="20">
        <v>45008</v>
      </c>
      <c r="C152" s="2" t="s">
        <v>1</v>
      </c>
      <c r="D152" s="2" t="s">
        <v>0</v>
      </c>
      <c r="E152" s="2" t="s">
        <v>1168</v>
      </c>
      <c r="F152" s="2" t="s">
        <v>1169</v>
      </c>
      <c r="G152" s="14">
        <v>1439</v>
      </c>
      <c r="H152" s="18">
        <v>1439</v>
      </c>
      <c r="I152" s="19" t="s">
        <v>552</v>
      </c>
      <c r="J152" s="13" t="s">
        <v>553</v>
      </c>
      <c r="K152" s="2">
        <v>0</v>
      </c>
      <c r="L152" s="2">
        <v>0</v>
      </c>
      <c r="M152" s="13">
        <v>3.5</v>
      </c>
      <c r="N152" s="2">
        <v>0.45500000000000002</v>
      </c>
      <c r="O152" s="2">
        <v>0</v>
      </c>
      <c r="P152" s="2">
        <v>0</v>
      </c>
      <c r="Q152" s="13">
        <v>3.9550000000000001</v>
      </c>
      <c r="R152" s="2">
        <v>0</v>
      </c>
      <c r="S152" s="2" t="s">
        <v>1</v>
      </c>
    </row>
    <row r="153" spans="1:19" x14ac:dyDescent="0.25">
      <c r="A153" s="2" t="s">
        <v>554</v>
      </c>
      <c r="B153" s="20">
        <v>45008</v>
      </c>
      <c r="C153" s="2" t="s">
        <v>1</v>
      </c>
      <c r="D153" s="2" t="s">
        <v>0</v>
      </c>
      <c r="E153" s="2" t="s">
        <v>1168</v>
      </c>
      <c r="F153" s="2" t="s">
        <v>1169</v>
      </c>
      <c r="G153" s="14">
        <v>1440</v>
      </c>
      <c r="H153" s="18">
        <v>1440</v>
      </c>
      <c r="I153" s="19" t="s">
        <v>435</v>
      </c>
      <c r="J153" s="13" t="s">
        <v>434</v>
      </c>
      <c r="K153" s="2">
        <v>0</v>
      </c>
      <c r="L153" s="2">
        <v>0</v>
      </c>
      <c r="M153" s="13">
        <v>0</v>
      </c>
      <c r="N153" s="2">
        <v>0</v>
      </c>
      <c r="O153" s="2">
        <v>0</v>
      </c>
      <c r="P153" s="2">
        <v>0</v>
      </c>
      <c r="Q153" s="13">
        <v>0</v>
      </c>
      <c r="R153" s="2">
        <v>0</v>
      </c>
      <c r="S153" s="2" t="s">
        <v>1</v>
      </c>
    </row>
    <row r="154" spans="1:19" x14ac:dyDescent="0.25">
      <c r="A154" s="2" t="s">
        <v>554</v>
      </c>
      <c r="B154" s="20">
        <v>45008</v>
      </c>
      <c r="C154" s="2" t="s">
        <v>1</v>
      </c>
      <c r="D154" s="2" t="s">
        <v>0</v>
      </c>
      <c r="E154" s="2" t="s">
        <v>1168</v>
      </c>
      <c r="F154" s="2" t="s">
        <v>1169</v>
      </c>
      <c r="G154" s="14">
        <v>1441</v>
      </c>
      <c r="H154" s="18">
        <v>1441</v>
      </c>
      <c r="I154" s="19" t="s">
        <v>112</v>
      </c>
      <c r="J154" s="13" t="s">
        <v>113</v>
      </c>
      <c r="K154" s="2">
        <v>0</v>
      </c>
      <c r="L154" s="2">
        <v>0</v>
      </c>
      <c r="M154" s="13">
        <v>14.8</v>
      </c>
      <c r="N154" s="2">
        <v>1.9240000000000002</v>
      </c>
      <c r="O154" s="2">
        <v>0</v>
      </c>
      <c r="P154" s="2">
        <v>0</v>
      </c>
      <c r="Q154" s="13">
        <v>16.724</v>
      </c>
      <c r="R154" s="2">
        <v>0</v>
      </c>
      <c r="S154" s="2" t="s">
        <v>1</v>
      </c>
    </row>
    <row r="155" spans="1:19" x14ac:dyDescent="0.25">
      <c r="A155" s="2" t="s">
        <v>554</v>
      </c>
      <c r="B155" s="20">
        <v>45008</v>
      </c>
      <c r="C155" s="2" t="s">
        <v>1</v>
      </c>
      <c r="D155" s="2" t="s">
        <v>0</v>
      </c>
      <c r="E155" s="2" t="s">
        <v>1168</v>
      </c>
      <c r="F155" s="2" t="s">
        <v>1169</v>
      </c>
      <c r="G155" s="14">
        <v>1442</v>
      </c>
      <c r="H155" s="18">
        <v>1442</v>
      </c>
      <c r="I155" s="19" t="s">
        <v>1029</v>
      </c>
      <c r="J155" s="13" t="s">
        <v>1030</v>
      </c>
      <c r="K155" s="2">
        <v>0</v>
      </c>
      <c r="L155" s="2">
        <v>0</v>
      </c>
      <c r="M155" s="13">
        <v>20.98</v>
      </c>
      <c r="N155" s="2">
        <v>2.7274000000000003</v>
      </c>
      <c r="O155" s="2">
        <v>0</v>
      </c>
      <c r="P155" s="2">
        <v>0</v>
      </c>
      <c r="Q155" s="13">
        <v>23.7074</v>
      </c>
      <c r="R155" s="2">
        <v>0</v>
      </c>
      <c r="S155" s="2" t="s">
        <v>1</v>
      </c>
    </row>
    <row r="156" spans="1:19" x14ac:dyDescent="0.25">
      <c r="A156" s="2" t="s">
        <v>554</v>
      </c>
      <c r="B156" s="20">
        <v>45008</v>
      </c>
      <c r="C156" s="2" t="s">
        <v>1</v>
      </c>
      <c r="D156" s="2" t="s">
        <v>0</v>
      </c>
      <c r="E156" s="2" t="s">
        <v>1168</v>
      </c>
      <c r="F156" s="2" t="s">
        <v>1169</v>
      </c>
      <c r="G156" s="14">
        <v>1443</v>
      </c>
      <c r="H156" s="18">
        <v>1443</v>
      </c>
      <c r="I156" s="19" t="s">
        <v>969</v>
      </c>
      <c r="J156" s="13" t="s">
        <v>970</v>
      </c>
      <c r="K156" s="2">
        <v>0</v>
      </c>
      <c r="L156" s="2">
        <v>0</v>
      </c>
      <c r="M156" s="13">
        <v>776.96</v>
      </c>
      <c r="N156" s="2">
        <v>101.0048</v>
      </c>
      <c r="O156" s="2">
        <v>0</v>
      </c>
      <c r="P156" s="2">
        <v>0</v>
      </c>
      <c r="Q156" s="13">
        <v>877.96480000000008</v>
      </c>
      <c r="R156" s="2">
        <v>0</v>
      </c>
      <c r="S156" s="2" t="s">
        <v>1</v>
      </c>
    </row>
    <row r="157" spans="1:19" x14ac:dyDescent="0.25">
      <c r="A157" s="2" t="s">
        <v>554</v>
      </c>
      <c r="B157" s="20">
        <v>45008</v>
      </c>
      <c r="C157" s="2" t="s">
        <v>1</v>
      </c>
      <c r="D157" s="2" t="s">
        <v>0</v>
      </c>
      <c r="E157" s="2" t="s">
        <v>1168</v>
      </c>
      <c r="F157" s="2" t="s">
        <v>1169</v>
      </c>
      <c r="G157" s="14">
        <v>1444</v>
      </c>
      <c r="H157" s="18">
        <v>1444</v>
      </c>
      <c r="I157" s="19"/>
      <c r="J157" s="13" t="s">
        <v>982</v>
      </c>
      <c r="K157" s="2">
        <v>0</v>
      </c>
      <c r="L157" s="2">
        <v>0</v>
      </c>
      <c r="M157" s="13">
        <v>208.04</v>
      </c>
      <c r="N157" s="2">
        <v>27.045200000000001</v>
      </c>
      <c r="O157" s="2">
        <v>0</v>
      </c>
      <c r="P157" s="2">
        <v>0</v>
      </c>
      <c r="Q157" s="13">
        <v>235.08519999999999</v>
      </c>
      <c r="R157" s="2">
        <v>0</v>
      </c>
      <c r="S157" s="2" t="s">
        <v>1</v>
      </c>
    </row>
    <row r="158" spans="1:19" x14ac:dyDescent="0.25">
      <c r="A158" s="2" t="s">
        <v>554</v>
      </c>
      <c r="B158" s="20">
        <v>45008</v>
      </c>
      <c r="C158" s="2" t="s">
        <v>1</v>
      </c>
      <c r="D158" s="2" t="s">
        <v>0</v>
      </c>
      <c r="E158" s="2" t="s">
        <v>1168</v>
      </c>
      <c r="F158" s="2" t="s">
        <v>1169</v>
      </c>
      <c r="G158" s="14">
        <v>1445</v>
      </c>
      <c r="H158" s="18">
        <v>1445</v>
      </c>
      <c r="I158" s="19" t="s">
        <v>991</v>
      </c>
      <c r="J158" s="13" t="s">
        <v>992</v>
      </c>
      <c r="K158" s="2">
        <v>0</v>
      </c>
      <c r="L158" s="2">
        <v>0</v>
      </c>
      <c r="M158" s="13">
        <v>45.25</v>
      </c>
      <c r="N158" s="2">
        <v>5.8825000000000003</v>
      </c>
      <c r="O158" s="2">
        <v>0</v>
      </c>
      <c r="P158" s="2">
        <v>0</v>
      </c>
      <c r="Q158" s="13">
        <v>51.1325</v>
      </c>
      <c r="R158" s="2">
        <v>0</v>
      </c>
      <c r="S158" s="2" t="s">
        <v>1</v>
      </c>
    </row>
    <row r="159" spans="1:19" x14ac:dyDescent="0.25">
      <c r="A159" s="2" t="s">
        <v>554</v>
      </c>
      <c r="B159" s="20">
        <v>45009</v>
      </c>
      <c r="C159" s="2" t="s">
        <v>1</v>
      </c>
      <c r="D159" s="2" t="s">
        <v>0</v>
      </c>
      <c r="E159" s="2" t="s">
        <v>1168</v>
      </c>
      <c r="F159" s="2" t="s">
        <v>1169</v>
      </c>
      <c r="G159" s="14">
        <v>1446</v>
      </c>
      <c r="H159" s="18">
        <v>1446</v>
      </c>
      <c r="I159" s="19" t="s">
        <v>991</v>
      </c>
      <c r="J159" s="13" t="s">
        <v>992</v>
      </c>
      <c r="K159" s="2">
        <v>0</v>
      </c>
      <c r="L159" s="2">
        <v>0</v>
      </c>
      <c r="M159" s="13">
        <v>82.96</v>
      </c>
      <c r="N159" s="2">
        <v>10.784799999999999</v>
      </c>
      <c r="O159" s="2">
        <v>0</v>
      </c>
      <c r="P159" s="2">
        <v>0</v>
      </c>
      <c r="Q159" s="13">
        <v>93.744799999999998</v>
      </c>
      <c r="R159" s="2">
        <v>0</v>
      </c>
      <c r="S159" s="2" t="s">
        <v>1</v>
      </c>
    </row>
    <row r="160" spans="1:19" x14ac:dyDescent="0.25">
      <c r="A160" s="2" t="s">
        <v>554</v>
      </c>
      <c r="B160" s="20">
        <v>45009</v>
      </c>
      <c r="C160" s="2" t="s">
        <v>1</v>
      </c>
      <c r="D160" s="2" t="s">
        <v>0</v>
      </c>
      <c r="E160" s="2" t="s">
        <v>1168</v>
      </c>
      <c r="F160" s="2" t="s">
        <v>1169</v>
      </c>
      <c r="G160" s="14">
        <v>1447</v>
      </c>
      <c r="H160" s="18">
        <v>1447</v>
      </c>
      <c r="I160" s="19" t="s">
        <v>991</v>
      </c>
      <c r="J160" s="13" t="s">
        <v>992</v>
      </c>
      <c r="K160" s="2">
        <v>0</v>
      </c>
      <c r="L160" s="2">
        <v>0</v>
      </c>
      <c r="M160" s="13">
        <v>5.95</v>
      </c>
      <c r="N160" s="2">
        <v>0.77350000000000008</v>
      </c>
      <c r="O160" s="2">
        <v>0</v>
      </c>
      <c r="P160" s="2">
        <v>0</v>
      </c>
      <c r="Q160" s="13">
        <v>6.7235000000000005</v>
      </c>
      <c r="R160" s="2">
        <v>0</v>
      </c>
      <c r="S160" s="2" t="s">
        <v>1</v>
      </c>
    </row>
    <row r="161" spans="1:19" x14ac:dyDescent="0.25">
      <c r="A161" s="2" t="s">
        <v>554</v>
      </c>
      <c r="B161" s="20">
        <v>45009</v>
      </c>
      <c r="C161" s="2" t="s">
        <v>1</v>
      </c>
      <c r="D161" s="2" t="s">
        <v>0</v>
      </c>
      <c r="E161" s="2" t="s">
        <v>1168</v>
      </c>
      <c r="F161" s="2" t="s">
        <v>1169</v>
      </c>
      <c r="G161" s="14">
        <v>1448</v>
      </c>
      <c r="H161" s="18">
        <v>1448</v>
      </c>
      <c r="I161" s="19" t="s">
        <v>983</v>
      </c>
      <c r="J161" s="13" t="s">
        <v>984</v>
      </c>
      <c r="K161" s="2">
        <v>0</v>
      </c>
      <c r="L161" s="2">
        <v>0</v>
      </c>
      <c r="M161" s="13">
        <v>6.2</v>
      </c>
      <c r="N161" s="2">
        <v>0.80600000000000005</v>
      </c>
      <c r="O161" s="2">
        <v>0</v>
      </c>
      <c r="P161" s="2">
        <v>0</v>
      </c>
      <c r="Q161" s="13">
        <v>7.0060000000000002</v>
      </c>
      <c r="R161" s="2">
        <v>0</v>
      </c>
      <c r="S161" s="2" t="s">
        <v>1</v>
      </c>
    </row>
    <row r="162" spans="1:19" x14ac:dyDescent="0.25">
      <c r="A162" s="2" t="s">
        <v>554</v>
      </c>
      <c r="B162" s="20">
        <v>45009</v>
      </c>
      <c r="C162" s="2" t="s">
        <v>1</v>
      </c>
      <c r="D162" s="2" t="s">
        <v>0</v>
      </c>
      <c r="E162" s="2" t="s">
        <v>1168</v>
      </c>
      <c r="F162" s="2" t="s">
        <v>1169</v>
      </c>
      <c r="G162" s="14">
        <v>1449</v>
      </c>
      <c r="H162" s="18">
        <v>1449</v>
      </c>
      <c r="I162" s="19" t="s">
        <v>150</v>
      </c>
      <c r="J162" s="13" t="s">
        <v>151</v>
      </c>
      <c r="K162" s="2">
        <v>0</v>
      </c>
      <c r="L162" s="2">
        <v>0</v>
      </c>
      <c r="M162" s="13">
        <v>273.56</v>
      </c>
      <c r="N162" s="2">
        <v>35.562800000000003</v>
      </c>
      <c r="O162" s="2">
        <v>0</v>
      </c>
      <c r="P162" s="2">
        <v>0</v>
      </c>
      <c r="Q162" s="13">
        <v>309.12279999999998</v>
      </c>
      <c r="R162" s="2">
        <v>0</v>
      </c>
      <c r="S162" s="2" t="s">
        <v>1</v>
      </c>
    </row>
    <row r="163" spans="1:19" x14ac:dyDescent="0.25">
      <c r="A163" s="2" t="s">
        <v>554</v>
      </c>
      <c r="B163" s="20">
        <v>45009</v>
      </c>
      <c r="C163" s="2" t="s">
        <v>1</v>
      </c>
      <c r="D163" s="2" t="s">
        <v>0</v>
      </c>
      <c r="E163" s="2" t="s">
        <v>1168</v>
      </c>
      <c r="F163" s="2" t="s">
        <v>1169</v>
      </c>
      <c r="G163" s="14">
        <v>1450</v>
      </c>
      <c r="H163" s="18">
        <v>1450</v>
      </c>
      <c r="I163" s="19"/>
      <c r="J163" s="13" t="s">
        <v>982</v>
      </c>
      <c r="K163" s="2">
        <v>0</v>
      </c>
      <c r="L163" s="2">
        <v>0</v>
      </c>
      <c r="M163" s="13">
        <v>136.22</v>
      </c>
      <c r="N163" s="2">
        <v>17.708600000000001</v>
      </c>
      <c r="O163" s="2">
        <v>0</v>
      </c>
      <c r="P163" s="2">
        <v>0</v>
      </c>
      <c r="Q163" s="13">
        <v>153.92859999999999</v>
      </c>
      <c r="R163" s="2">
        <v>0</v>
      </c>
      <c r="S163" s="2" t="s">
        <v>1</v>
      </c>
    </row>
    <row r="164" spans="1:19" x14ac:dyDescent="0.25">
      <c r="A164" s="2" t="s">
        <v>554</v>
      </c>
      <c r="B164" s="20">
        <v>45009</v>
      </c>
      <c r="C164" s="2" t="s">
        <v>1</v>
      </c>
      <c r="D164" s="2" t="s">
        <v>0</v>
      </c>
      <c r="E164" s="2" t="s">
        <v>1168</v>
      </c>
      <c r="F164" s="2" t="s">
        <v>1169</v>
      </c>
      <c r="G164" s="14">
        <v>1451</v>
      </c>
      <c r="H164" s="18">
        <v>1451</v>
      </c>
      <c r="I164" s="19" t="s">
        <v>1000</v>
      </c>
      <c r="J164" s="13" t="s">
        <v>1001</v>
      </c>
      <c r="K164" s="2">
        <v>0</v>
      </c>
      <c r="L164" s="2">
        <v>0</v>
      </c>
      <c r="M164" s="13">
        <v>53.18</v>
      </c>
      <c r="N164" s="2">
        <v>6.9134000000000002</v>
      </c>
      <c r="O164" s="2">
        <v>0</v>
      </c>
      <c r="P164" s="2">
        <v>0</v>
      </c>
      <c r="Q164" s="13">
        <v>60.093400000000003</v>
      </c>
      <c r="R164" s="2">
        <v>0</v>
      </c>
      <c r="S164" s="2" t="s">
        <v>1</v>
      </c>
    </row>
    <row r="165" spans="1:19" x14ac:dyDescent="0.25">
      <c r="A165" s="2" t="s">
        <v>554</v>
      </c>
      <c r="B165" s="20">
        <v>45009</v>
      </c>
      <c r="C165" s="2" t="s">
        <v>1</v>
      </c>
      <c r="D165" s="2" t="s">
        <v>0</v>
      </c>
      <c r="E165" s="2" t="s">
        <v>1168</v>
      </c>
      <c r="F165" s="2" t="s">
        <v>1169</v>
      </c>
      <c r="G165" s="14">
        <v>1452</v>
      </c>
      <c r="H165" s="18">
        <v>1452</v>
      </c>
      <c r="I165" s="19" t="s">
        <v>1006</v>
      </c>
      <c r="J165" s="13" t="s">
        <v>1007</v>
      </c>
      <c r="K165" s="2">
        <v>0</v>
      </c>
      <c r="L165" s="2">
        <v>0</v>
      </c>
      <c r="M165" s="13">
        <v>22.95</v>
      </c>
      <c r="N165" s="2">
        <v>2.9834999999999998</v>
      </c>
      <c r="O165" s="2">
        <v>0</v>
      </c>
      <c r="P165" s="2">
        <v>0</v>
      </c>
      <c r="Q165" s="13">
        <v>25.933499999999999</v>
      </c>
      <c r="R165" s="2">
        <v>0</v>
      </c>
      <c r="S165" s="2" t="s">
        <v>1</v>
      </c>
    </row>
    <row r="166" spans="1:19" x14ac:dyDescent="0.25">
      <c r="A166" s="2" t="s">
        <v>554</v>
      </c>
      <c r="B166" s="20">
        <v>45009</v>
      </c>
      <c r="C166" s="2" t="s">
        <v>1</v>
      </c>
      <c r="D166" s="2" t="s">
        <v>0</v>
      </c>
      <c r="E166" s="2" t="s">
        <v>1168</v>
      </c>
      <c r="F166" s="2" t="s">
        <v>1169</v>
      </c>
      <c r="G166" s="14">
        <v>1453</v>
      </c>
      <c r="H166" s="18">
        <v>1453</v>
      </c>
      <c r="I166" s="19" t="s">
        <v>957</v>
      </c>
      <c r="J166" s="13" t="s">
        <v>958</v>
      </c>
      <c r="K166" s="2">
        <v>0</v>
      </c>
      <c r="L166" s="2">
        <v>0</v>
      </c>
      <c r="M166" s="13">
        <v>30.8</v>
      </c>
      <c r="N166" s="2">
        <v>4.0040000000000004</v>
      </c>
      <c r="O166" s="2">
        <v>0</v>
      </c>
      <c r="P166" s="2">
        <v>0</v>
      </c>
      <c r="Q166" s="13">
        <v>34.804000000000002</v>
      </c>
      <c r="R166" s="2">
        <v>0</v>
      </c>
      <c r="S166" s="2" t="s">
        <v>1</v>
      </c>
    </row>
    <row r="167" spans="1:19" x14ac:dyDescent="0.25">
      <c r="A167" s="2" t="s">
        <v>554</v>
      </c>
      <c r="B167" s="20">
        <v>45009</v>
      </c>
      <c r="C167" s="2" t="s">
        <v>1</v>
      </c>
      <c r="D167" s="2" t="s">
        <v>0</v>
      </c>
      <c r="E167" s="2" t="s">
        <v>1168</v>
      </c>
      <c r="F167" s="2" t="s">
        <v>1169</v>
      </c>
      <c r="G167" s="14">
        <v>1454</v>
      </c>
      <c r="H167" s="18">
        <v>1454</v>
      </c>
      <c r="I167" s="19" t="s">
        <v>435</v>
      </c>
      <c r="J167" s="13" t="s">
        <v>434</v>
      </c>
      <c r="K167" s="2">
        <v>0</v>
      </c>
      <c r="L167" s="2">
        <v>0</v>
      </c>
      <c r="M167" s="13">
        <v>0</v>
      </c>
      <c r="N167" s="2">
        <v>0</v>
      </c>
      <c r="O167" s="2">
        <v>0</v>
      </c>
      <c r="P167" s="2">
        <v>0</v>
      </c>
      <c r="Q167" s="13">
        <v>0</v>
      </c>
      <c r="R167" s="2">
        <v>0</v>
      </c>
      <c r="S167" s="2" t="s">
        <v>1</v>
      </c>
    </row>
    <row r="168" spans="1:19" x14ac:dyDescent="0.25">
      <c r="A168" s="2" t="s">
        <v>554</v>
      </c>
      <c r="B168" s="20">
        <v>45009</v>
      </c>
      <c r="C168" s="2" t="s">
        <v>1</v>
      </c>
      <c r="D168" s="2" t="s">
        <v>0</v>
      </c>
      <c r="E168" s="2" t="s">
        <v>1168</v>
      </c>
      <c r="F168" s="2" t="s">
        <v>1169</v>
      </c>
      <c r="G168" s="14">
        <v>1455</v>
      </c>
      <c r="H168" s="18">
        <v>1455</v>
      </c>
      <c r="I168" s="19" t="s">
        <v>81</v>
      </c>
      <c r="J168" s="13" t="s">
        <v>82</v>
      </c>
      <c r="K168" s="2">
        <v>0</v>
      </c>
      <c r="L168" s="2">
        <v>0</v>
      </c>
      <c r="M168" s="13">
        <v>159.33000000000001</v>
      </c>
      <c r="N168" s="2">
        <v>20.712900000000001</v>
      </c>
      <c r="O168" s="2">
        <v>0</v>
      </c>
      <c r="P168" s="2">
        <v>0</v>
      </c>
      <c r="Q168" s="13">
        <v>180.0429</v>
      </c>
      <c r="R168" s="2">
        <v>0</v>
      </c>
      <c r="S168" s="2" t="s">
        <v>1</v>
      </c>
    </row>
    <row r="169" spans="1:19" x14ac:dyDescent="0.25">
      <c r="A169" s="2" t="s">
        <v>554</v>
      </c>
      <c r="B169" s="20">
        <v>45009</v>
      </c>
      <c r="C169" s="2" t="s">
        <v>1</v>
      </c>
      <c r="D169" s="2" t="s">
        <v>0</v>
      </c>
      <c r="E169" s="2" t="s">
        <v>1168</v>
      </c>
      <c r="F169" s="2" t="s">
        <v>1169</v>
      </c>
      <c r="G169" s="14">
        <v>1456</v>
      </c>
      <c r="H169" s="18">
        <v>1456</v>
      </c>
      <c r="I169" s="19"/>
      <c r="J169" s="13" t="s">
        <v>982</v>
      </c>
      <c r="K169" s="2">
        <v>0</v>
      </c>
      <c r="L169" s="2">
        <v>0</v>
      </c>
      <c r="M169" s="13">
        <v>266.56</v>
      </c>
      <c r="N169" s="2">
        <v>34.652799999999999</v>
      </c>
      <c r="O169" s="2">
        <v>0</v>
      </c>
      <c r="P169" s="2">
        <v>0</v>
      </c>
      <c r="Q169" s="13">
        <v>301.21280000000002</v>
      </c>
      <c r="R169" s="41" t="s">
        <v>981</v>
      </c>
      <c r="S169" s="2" t="s">
        <v>1</v>
      </c>
    </row>
    <row r="170" spans="1:19" x14ac:dyDescent="0.25">
      <c r="A170" s="2" t="s">
        <v>554</v>
      </c>
      <c r="B170" s="20">
        <v>45012</v>
      </c>
      <c r="C170" s="2" t="s">
        <v>1</v>
      </c>
      <c r="D170" s="2" t="s">
        <v>0</v>
      </c>
      <c r="E170" s="2" t="s">
        <v>1168</v>
      </c>
      <c r="F170" s="2" t="s">
        <v>1169</v>
      </c>
      <c r="G170" s="14">
        <v>1457</v>
      </c>
      <c r="H170" s="18">
        <v>1457</v>
      </c>
      <c r="I170" s="19" t="s">
        <v>1025</v>
      </c>
      <c r="J170" s="13" t="s">
        <v>1026</v>
      </c>
      <c r="K170" s="2">
        <v>0</v>
      </c>
      <c r="L170" s="2">
        <v>0</v>
      </c>
      <c r="M170" s="13">
        <v>502.34</v>
      </c>
      <c r="N170" s="2">
        <v>65.304199999999994</v>
      </c>
      <c r="O170" s="2">
        <v>0</v>
      </c>
      <c r="P170" s="2">
        <v>0</v>
      </c>
      <c r="Q170" s="13">
        <v>567.64419999999996</v>
      </c>
      <c r="R170" s="2">
        <v>0</v>
      </c>
      <c r="S170" s="2" t="s">
        <v>1</v>
      </c>
    </row>
    <row r="171" spans="1:19" x14ac:dyDescent="0.25">
      <c r="A171" s="2" t="s">
        <v>554</v>
      </c>
      <c r="B171" s="20">
        <v>45012</v>
      </c>
      <c r="C171" s="2" t="s">
        <v>1</v>
      </c>
      <c r="D171" s="2" t="s">
        <v>0</v>
      </c>
      <c r="E171" s="2" t="s">
        <v>1168</v>
      </c>
      <c r="F171" s="2" t="s">
        <v>1169</v>
      </c>
      <c r="G171" s="14">
        <v>1458</v>
      </c>
      <c r="H171" s="18">
        <v>1458</v>
      </c>
      <c r="I171" s="19" t="s">
        <v>1006</v>
      </c>
      <c r="J171" s="13" t="s">
        <v>1007</v>
      </c>
      <c r="K171" s="2">
        <v>0</v>
      </c>
      <c r="L171" s="2">
        <v>0</v>
      </c>
      <c r="M171" s="13">
        <v>20.76</v>
      </c>
      <c r="N171" s="2">
        <v>2.6988000000000003</v>
      </c>
      <c r="O171" s="2">
        <v>0</v>
      </c>
      <c r="P171" s="2">
        <v>0</v>
      </c>
      <c r="Q171" s="13">
        <v>23.458800000000004</v>
      </c>
      <c r="R171" s="2">
        <v>0</v>
      </c>
      <c r="S171" s="2" t="s">
        <v>1</v>
      </c>
    </row>
    <row r="172" spans="1:19" x14ac:dyDescent="0.25">
      <c r="A172" s="2" t="s">
        <v>554</v>
      </c>
      <c r="B172" s="20">
        <v>45012</v>
      </c>
      <c r="C172" s="2" t="s">
        <v>1</v>
      </c>
      <c r="D172" s="2" t="s">
        <v>0</v>
      </c>
      <c r="E172" s="2" t="s">
        <v>1168</v>
      </c>
      <c r="F172" s="2" t="s">
        <v>1169</v>
      </c>
      <c r="G172" s="14">
        <v>1459</v>
      </c>
      <c r="H172" s="18">
        <v>1459</v>
      </c>
      <c r="I172" s="19" t="s">
        <v>1006</v>
      </c>
      <c r="J172" s="13" t="s">
        <v>1007</v>
      </c>
      <c r="K172" s="2">
        <v>0</v>
      </c>
      <c r="L172" s="2">
        <v>0</v>
      </c>
      <c r="M172" s="13">
        <v>8</v>
      </c>
      <c r="N172" s="2">
        <v>1.04</v>
      </c>
      <c r="O172" s="2">
        <v>0</v>
      </c>
      <c r="P172" s="2">
        <v>0</v>
      </c>
      <c r="Q172" s="13">
        <v>9.0399999999999991</v>
      </c>
      <c r="R172" s="2">
        <v>0</v>
      </c>
      <c r="S172" s="2" t="s">
        <v>1</v>
      </c>
    </row>
    <row r="173" spans="1:19" x14ac:dyDescent="0.25">
      <c r="A173" s="2" t="s">
        <v>554</v>
      </c>
      <c r="B173" s="20">
        <v>45012</v>
      </c>
      <c r="C173" s="2" t="s">
        <v>1</v>
      </c>
      <c r="D173" s="2" t="s">
        <v>0</v>
      </c>
      <c r="E173" s="2" t="s">
        <v>1168</v>
      </c>
      <c r="F173" s="2" t="s">
        <v>1169</v>
      </c>
      <c r="G173" s="14">
        <v>1460</v>
      </c>
      <c r="H173" s="18">
        <v>1460</v>
      </c>
      <c r="I173" s="19"/>
      <c r="J173" s="13" t="s">
        <v>1179</v>
      </c>
      <c r="K173" s="2">
        <v>0</v>
      </c>
      <c r="L173" s="2">
        <v>0</v>
      </c>
      <c r="M173" s="13">
        <v>99.67</v>
      </c>
      <c r="N173" s="2">
        <v>12.957100000000001</v>
      </c>
      <c r="O173" s="2">
        <v>0</v>
      </c>
      <c r="P173" s="2">
        <v>0</v>
      </c>
      <c r="Q173" s="13">
        <v>112.6271</v>
      </c>
      <c r="R173" s="2">
        <v>0</v>
      </c>
      <c r="S173" s="2" t="s">
        <v>1</v>
      </c>
    </row>
    <row r="174" spans="1:19" x14ac:dyDescent="0.25">
      <c r="A174" s="2" t="s">
        <v>554</v>
      </c>
      <c r="B174" s="20">
        <v>45012</v>
      </c>
      <c r="C174" s="2" t="s">
        <v>1</v>
      </c>
      <c r="D174" s="2" t="s">
        <v>0</v>
      </c>
      <c r="E174" s="2" t="s">
        <v>1168</v>
      </c>
      <c r="F174" s="2" t="s">
        <v>1169</v>
      </c>
      <c r="G174" s="14">
        <v>1461</v>
      </c>
      <c r="H174" s="18">
        <v>1461</v>
      </c>
      <c r="I174" s="19" t="s">
        <v>552</v>
      </c>
      <c r="J174" s="13" t="s">
        <v>553</v>
      </c>
      <c r="K174" s="2">
        <v>0</v>
      </c>
      <c r="L174" s="2">
        <v>0</v>
      </c>
      <c r="M174" s="13">
        <v>21.36</v>
      </c>
      <c r="N174" s="2">
        <v>2.7768000000000002</v>
      </c>
      <c r="O174" s="2">
        <v>0</v>
      </c>
      <c r="P174" s="2">
        <v>0</v>
      </c>
      <c r="Q174" s="13">
        <v>24.136800000000001</v>
      </c>
      <c r="R174" s="2">
        <v>0</v>
      </c>
      <c r="S174" s="2" t="s">
        <v>1</v>
      </c>
    </row>
    <row r="175" spans="1:19" x14ac:dyDescent="0.25">
      <c r="A175" s="2" t="s">
        <v>554</v>
      </c>
      <c r="B175" s="20">
        <v>45012</v>
      </c>
      <c r="C175" s="2" t="s">
        <v>1</v>
      </c>
      <c r="D175" s="2" t="s">
        <v>0</v>
      </c>
      <c r="E175" s="2" t="s">
        <v>1168</v>
      </c>
      <c r="F175" s="2" t="s">
        <v>1169</v>
      </c>
      <c r="G175" s="14">
        <v>1462</v>
      </c>
      <c r="H175" s="18">
        <v>1462</v>
      </c>
      <c r="I175" s="19" t="s">
        <v>951</v>
      </c>
      <c r="J175" s="13" t="s">
        <v>952</v>
      </c>
      <c r="K175" s="2">
        <v>0</v>
      </c>
      <c r="L175" s="2">
        <v>0</v>
      </c>
      <c r="M175" s="13">
        <v>62.4</v>
      </c>
      <c r="N175" s="2">
        <v>8.1120000000000001</v>
      </c>
      <c r="O175" s="2">
        <v>0</v>
      </c>
      <c r="P175" s="2">
        <v>0</v>
      </c>
      <c r="Q175" s="13">
        <v>70.512</v>
      </c>
      <c r="R175" s="2">
        <v>0</v>
      </c>
      <c r="S175" s="2" t="s">
        <v>1</v>
      </c>
    </row>
    <row r="176" spans="1:19" x14ac:dyDescent="0.25">
      <c r="A176" s="2" t="s">
        <v>554</v>
      </c>
      <c r="B176" s="20">
        <v>45012</v>
      </c>
      <c r="C176" s="2" t="s">
        <v>1</v>
      </c>
      <c r="D176" s="2" t="s">
        <v>0</v>
      </c>
      <c r="E176" s="2" t="s">
        <v>1168</v>
      </c>
      <c r="F176" s="2" t="s">
        <v>1169</v>
      </c>
      <c r="G176" s="14">
        <v>1463</v>
      </c>
      <c r="H176" s="18">
        <v>1463</v>
      </c>
      <c r="I176" s="19" t="s">
        <v>951</v>
      </c>
      <c r="J176" s="13" t="s">
        <v>952</v>
      </c>
      <c r="K176" s="2">
        <v>0</v>
      </c>
      <c r="L176" s="2">
        <v>0</v>
      </c>
      <c r="M176" s="13">
        <v>84.32</v>
      </c>
      <c r="N176" s="2">
        <v>10.961599999999999</v>
      </c>
      <c r="O176" s="2">
        <v>0</v>
      </c>
      <c r="P176" s="2">
        <v>0</v>
      </c>
      <c r="Q176" s="13">
        <v>95.281599999999997</v>
      </c>
      <c r="R176" s="2">
        <v>0</v>
      </c>
      <c r="S176" s="2" t="s">
        <v>1</v>
      </c>
    </row>
    <row r="177" spans="1:19" x14ac:dyDescent="0.25">
      <c r="A177" s="2" t="s">
        <v>554</v>
      </c>
      <c r="B177" s="20">
        <v>45012</v>
      </c>
      <c r="C177" s="2" t="s">
        <v>1</v>
      </c>
      <c r="D177" s="2" t="s">
        <v>0</v>
      </c>
      <c r="E177" s="2" t="s">
        <v>1168</v>
      </c>
      <c r="F177" s="2" t="s">
        <v>1169</v>
      </c>
      <c r="G177" s="14">
        <v>1464</v>
      </c>
      <c r="H177" s="18">
        <v>1464</v>
      </c>
      <c r="I177" s="19" t="s">
        <v>1163</v>
      </c>
      <c r="J177" s="13" t="s">
        <v>1164</v>
      </c>
      <c r="K177" s="2">
        <v>0</v>
      </c>
      <c r="L177" s="2">
        <v>0</v>
      </c>
      <c r="M177" s="13">
        <v>4156.16</v>
      </c>
      <c r="N177" s="2">
        <v>540.30079999999998</v>
      </c>
      <c r="O177" s="2">
        <v>0</v>
      </c>
      <c r="P177" s="2">
        <v>0</v>
      </c>
      <c r="Q177" s="13">
        <v>4696.4607999999998</v>
      </c>
      <c r="R177" s="2">
        <v>0</v>
      </c>
      <c r="S177" s="2" t="s">
        <v>1</v>
      </c>
    </row>
    <row r="178" spans="1:19" x14ac:dyDescent="0.25">
      <c r="A178" s="2" t="s">
        <v>554</v>
      </c>
      <c r="B178" s="20">
        <v>45012</v>
      </c>
      <c r="C178" s="2" t="s">
        <v>1</v>
      </c>
      <c r="D178" s="2" t="s">
        <v>0</v>
      </c>
      <c r="E178" s="2" t="s">
        <v>1168</v>
      </c>
      <c r="F178" s="2" t="s">
        <v>1169</v>
      </c>
      <c r="G178" s="14">
        <v>1465</v>
      </c>
      <c r="H178" s="18">
        <v>1465</v>
      </c>
      <c r="I178" s="19" t="s">
        <v>1025</v>
      </c>
      <c r="J178" s="13" t="s">
        <v>1026</v>
      </c>
      <c r="K178" s="2">
        <v>0</v>
      </c>
      <c r="L178" s="2">
        <v>0</v>
      </c>
      <c r="M178" s="13">
        <v>442.95</v>
      </c>
      <c r="N178" s="2">
        <v>57.583500000000001</v>
      </c>
      <c r="O178" s="2">
        <v>0</v>
      </c>
      <c r="P178" s="2">
        <v>0</v>
      </c>
      <c r="Q178" s="13">
        <v>500.5335</v>
      </c>
      <c r="R178" s="2">
        <v>0</v>
      </c>
      <c r="S178" s="2" t="s">
        <v>1</v>
      </c>
    </row>
    <row r="179" spans="1:19" x14ac:dyDescent="0.25">
      <c r="A179" s="2" t="s">
        <v>554</v>
      </c>
      <c r="B179" s="20">
        <v>45012</v>
      </c>
      <c r="C179" s="2" t="s">
        <v>1</v>
      </c>
      <c r="D179" s="2" t="s">
        <v>0</v>
      </c>
      <c r="E179" s="2" t="s">
        <v>1168</v>
      </c>
      <c r="F179" s="2" t="s">
        <v>1169</v>
      </c>
      <c r="G179" s="14">
        <v>1466</v>
      </c>
      <c r="H179" s="18">
        <v>1466</v>
      </c>
      <c r="I179" s="19"/>
      <c r="J179" s="13" t="s">
        <v>982</v>
      </c>
      <c r="K179" s="2">
        <v>0</v>
      </c>
      <c r="L179" s="2">
        <v>0</v>
      </c>
      <c r="M179" s="13">
        <v>377.97</v>
      </c>
      <c r="N179" s="2">
        <v>49.136100000000006</v>
      </c>
      <c r="O179" s="2">
        <v>0</v>
      </c>
      <c r="P179" s="2">
        <v>0</v>
      </c>
      <c r="Q179" s="13">
        <v>427.10610000000003</v>
      </c>
      <c r="R179" s="2">
        <v>0</v>
      </c>
      <c r="S179" s="2" t="s">
        <v>1</v>
      </c>
    </row>
    <row r="180" spans="1:19" x14ac:dyDescent="0.25">
      <c r="A180" s="2" t="s">
        <v>554</v>
      </c>
      <c r="B180" s="20">
        <v>45013</v>
      </c>
      <c r="C180" s="2" t="s">
        <v>1</v>
      </c>
      <c r="D180" s="2" t="s">
        <v>0</v>
      </c>
      <c r="E180" s="2" t="s">
        <v>1168</v>
      </c>
      <c r="F180" s="2" t="s">
        <v>1169</v>
      </c>
      <c r="G180" s="14">
        <v>1467</v>
      </c>
      <c r="H180" s="18">
        <v>1467</v>
      </c>
      <c r="I180" s="19" t="s">
        <v>74</v>
      </c>
      <c r="J180" s="13" t="s">
        <v>75</v>
      </c>
      <c r="K180" s="2">
        <v>0</v>
      </c>
      <c r="L180" s="2">
        <v>0</v>
      </c>
      <c r="M180" s="13">
        <v>121.79</v>
      </c>
      <c r="N180" s="2">
        <v>15.832700000000001</v>
      </c>
      <c r="O180" s="2">
        <v>0</v>
      </c>
      <c r="P180" s="2">
        <v>0</v>
      </c>
      <c r="Q180" s="13">
        <v>137.62270000000001</v>
      </c>
      <c r="R180" s="2">
        <v>0</v>
      </c>
      <c r="S180" s="2" t="s">
        <v>1</v>
      </c>
    </row>
    <row r="181" spans="1:19" x14ac:dyDescent="0.25">
      <c r="A181" s="2" t="s">
        <v>554</v>
      </c>
      <c r="B181" s="20">
        <v>45013</v>
      </c>
      <c r="C181" s="2" t="s">
        <v>1</v>
      </c>
      <c r="D181" s="2" t="s">
        <v>0</v>
      </c>
      <c r="E181" s="2" t="s">
        <v>1168</v>
      </c>
      <c r="F181" s="2" t="s">
        <v>1169</v>
      </c>
      <c r="G181" s="14">
        <v>1468</v>
      </c>
      <c r="H181" s="18">
        <v>1468</v>
      </c>
      <c r="I181" s="19" t="s">
        <v>100</v>
      </c>
      <c r="J181" s="13" t="s">
        <v>101</v>
      </c>
      <c r="K181" s="2">
        <v>0</v>
      </c>
      <c r="L181" s="2">
        <v>0</v>
      </c>
      <c r="M181" s="13">
        <v>84.9</v>
      </c>
      <c r="N181" s="2">
        <v>11.037000000000001</v>
      </c>
      <c r="O181" s="2">
        <v>0</v>
      </c>
      <c r="P181" s="2">
        <v>0</v>
      </c>
      <c r="Q181" s="13">
        <v>95.937000000000012</v>
      </c>
      <c r="R181" s="2">
        <v>0</v>
      </c>
      <c r="S181" s="2" t="s">
        <v>1</v>
      </c>
    </row>
    <row r="182" spans="1:19" x14ac:dyDescent="0.25">
      <c r="A182" s="2" t="s">
        <v>554</v>
      </c>
      <c r="B182" s="20">
        <v>45013</v>
      </c>
      <c r="C182" s="2" t="s">
        <v>1</v>
      </c>
      <c r="D182" s="2" t="s">
        <v>0</v>
      </c>
      <c r="E182" s="2" t="s">
        <v>1168</v>
      </c>
      <c r="F182" s="2" t="s">
        <v>1169</v>
      </c>
      <c r="G182" s="14">
        <v>1469</v>
      </c>
      <c r="H182" s="18">
        <v>1469</v>
      </c>
      <c r="I182" s="19" t="s">
        <v>146</v>
      </c>
      <c r="J182" s="13" t="s">
        <v>147</v>
      </c>
      <c r="K182" s="2">
        <v>0</v>
      </c>
      <c r="L182" s="2">
        <v>0</v>
      </c>
      <c r="M182" s="13">
        <v>20</v>
      </c>
      <c r="N182" s="2">
        <v>2.6</v>
      </c>
      <c r="O182" s="2">
        <v>0</v>
      </c>
      <c r="P182" s="2">
        <v>0</v>
      </c>
      <c r="Q182" s="13">
        <v>22.6</v>
      </c>
      <c r="R182" s="2">
        <v>0</v>
      </c>
      <c r="S182" s="2" t="s">
        <v>1</v>
      </c>
    </row>
    <row r="183" spans="1:19" x14ac:dyDescent="0.25">
      <c r="A183" s="2" t="s">
        <v>554</v>
      </c>
      <c r="B183" s="20">
        <v>45013</v>
      </c>
      <c r="C183" s="2" t="s">
        <v>1</v>
      </c>
      <c r="D183" s="2" t="s">
        <v>0</v>
      </c>
      <c r="E183" s="2" t="s">
        <v>1168</v>
      </c>
      <c r="F183" s="2" t="s">
        <v>1169</v>
      </c>
      <c r="G183" s="14">
        <v>1470</v>
      </c>
      <c r="H183" s="18">
        <v>1470</v>
      </c>
      <c r="I183" s="19" t="s">
        <v>969</v>
      </c>
      <c r="J183" s="13" t="s">
        <v>970</v>
      </c>
      <c r="K183" s="2">
        <v>0</v>
      </c>
      <c r="L183" s="2">
        <v>0</v>
      </c>
      <c r="M183" s="13">
        <v>62.5</v>
      </c>
      <c r="N183" s="2">
        <v>8.125</v>
      </c>
      <c r="O183" s="2">
        <v>0</v>
      </c>
      <c r="P183" s="2">
        <v>0</v>
      </c>
      <c r="Q183" s="13">
        <v>70.625</v>
      </c>
      <c r="R183" s="2">
        <v>0</v>
      </c>
      <c r="S183" s="2" t="s">
        <v>1</v>
      </c>
    </row>
    <row r="184" spans="1:19" x14ac:dyDescent="0.25">
      <c r="A184" s="2" t="s">
        <v>554</v>
      </c>
      <c r="B184" s="20">
        <v>45013</v>
      </c>
      <c r="C184" s="2" t="s">
        <v>1</v>
      </c>
      <c r="D184" s="2" t="s">
        <v>0</v>
      </c>
      <c r="E184" s="2" t="s">
        <v>1168</v>
      </c>
      <c r="F184" s="2" t="s">
        <v>1169</v>
      </c>
      <c r="G184" s="14">
        <v>1471</v>
      </c>
      <c r="H184" s="18">
        <v>1471</v>
      </c>
      <c r="I184" s="19" t="s">
        <v>969</v>
      </c>
      <c r="J184" s="13" t="s">
        <v>970</v>
      </c>
      <c r="K184" s="2">
        <v>0</v>
      </c>
      <c r="L184" s="2">
        <v>0</v>
      </c>
      <c r="M184" s="13">
        <v>168.55</v>
      </c>
      <c r="N184" s="2">
        <v>21.911500000000004</v>
      </c>
      <c r="O184" s="2">
        <v>0</v>
      </c>
      <c r="P184" s="2">
        <v>0</v>
      </c>
      <c r="Q184" s="13">
        <v>190.4615</v>
      </c>
      <c r="R184" s="2">
        <v>0</v>
      </c>
      <c r="S184" s="2" t="s">
        <v>1</v>
      </c>
    </row>
    <row r="185" spans="1:19" x14ac:dyDescent="0.25">
      <c r="A185" s="2" t="s">
        <v>554</v>
      </c>
      <c r="B185" s="20">
        <v>45013</v>
      </c>
      <c r="C185" s="2" t="s">
        <v>1</v>
      </c>
      <c r="D185" s="2" t="s">
        <v>0</v>
      </c>
      <c r="E185" s="2" t="s">
        <v>1168</v>
      </c>
      <c r="F185" s="2" t="s">
        <v>1169</v>
      </c>
      <c r="G185" s="14">
        <v>1472</v>
      </c>
      <c r="H185" s="18">
        <v>1472</v>
      </c>
      <c r="I185" s="19" t="s">
        <v>1059</v>
      </c>
      <c r="J185" s="13" t="s">
        <v>1060</v>
      </c>
      <c r="K185" s="2">
        <v>0</v>
      </c>
      <c r="L185" s="2">
        <v>0</v>
      </c>
      <c r="M185" s="13">
        <v>120</v>
      </c>
      <c r="N185" s="2">
        <v>15.600000000000001</v>
      </c>
      <c r="O185" s="2">
        <v>0</v>
      </c>
      <c r="P185" s="2">
        <v>0</v>
      </c>
      <c r="Q185" s="13">
        <v>135.6</v>
      </c>
      <c r="R185" s="2">
        <v>0</v>
      </c>
      <c r="S185" s="2" t="s">
        <v>1</v>
      </c>
    </row>
    <row r="186" spans="1:19" x14ac:dyDescent="0.25">
      <c r="A186" s="2" t="s">
        <v>554</v>
      </c>
      <c r="B186" s="20">
        <v>45013</v>
      </c>
      <c r="C186" s="2" t="s">
        <v>1</v>
      </c>
      <c r="D186" s="2" t="s">
        <v>0</v>
      </c>
      <c r="E186" s="2" t="s">
        <v>1168</v>
      </c>
      <c r="F186" s="2" t="s">
        <v>1169</v>
      </c>
      <c r="G186" s="14">
        <v>1473</v>
      </c>
      <c r="H186" s="18">
        <v>1473</v>
      </c>
      <c r="I186" s="19" t="s">
        <v>77</v>
      </c>
      <c r="J186" s="13" t="s">
        <v>78</v>
      </c>
      <c r="K186" s="2">
        <v>0</v>
      </c>
      <c r="L186" s="2">
        <v>0</v>
      </c>
      <c r="M186" s="13">
        <v>65.349999999999994</v>
      </c>
      <c r="N186" s="2">
        <v>8.4954999999999998</v>
      </c>
      <c r="O186" s="2">
        <v>0</v>
      </c>
      <c r="P186" s="2">
        <v>0</v>
      </c>
      <c r="Q186" s="13">
        <v>73.845499999999987</v>
      </c>
      <c r="R186" s="2">
        <v>0</v>
      </c>
      <c r="S186" s="2" t="s">
        <v>1</v>
      </c>
    </row>
    <row r="187" spans="1:19" x14ac:dyDescent="0.25">
      <c r="A187" s="2" t="s">
        <v>554</v>
      </c>
      <c r="B187" s="20">
        <v>45013</v>
      </c>
      <c r="C187" s="2" t="s">
        <v>1</v>
      </c>
      <c r="D187" s="2" t="s">
        <v>0</v>
      </c>
      <c r="E187" s="2" t="s">
        <v>1168</v>
      </c>
      <c r="F187" s="2" t="s">
        <v>1169</v>
      </c>
      <c r="G187" s="14">
        <v>1474</v>
      </c>
      <c r="H187" s="18">
        <v>1474</v>
      </c>
      <c r="I187" s="19" t="s">
        <v>77</v>
      </c>
      <c r="J187" s="13" t="s">
        <v>78</v>
      </c>
      <c r="K187" s="2">
        <v>0</v>
      </c>
      <c r="L187" s="2">
        <v>0</v>
      </c>
      <c r="M187" s="13">
        <v>1033.77</v>
      </c>
      <c r="N187" s="2">
        <v>134.39009999999999</v>
      </c>
      <c r="O187" s="2">
        <v>0</v>
      </c>
      <c r="P187" s="2">
        <v>0</v>
      </c>
      <c r="Q187" s="13">
        <v>1168.1601000000001</v>
      </c>
      <c r="R187" s="2">
        <v>0</v>
      </c>
      <c r="S187" s="2" t="s">
        <v>1</v>
      </c>
    </row>
    <row r="188" spans="1:19" x14ac:dyDescent="0.25">
      <c r="A188" s="2" t="s">
        <v>554</v>
      </c>
      <c r="B188" s="20">
        <v>45013</v>
      </c>
      <c r="C188" s="2" t="s">
        <v>1</v>
      </c>
      <c r="D188" s="2" t="s">
        <v>0</v>
      </c>
      <c r="E188" s="2" t="s">
        <v>1168</v>
      </c>
      <c r="F188" s="2" t="s">
        <v>1169</v>
      </c>
      <c r="G188" s="14">
        <v>1475</v>
      </c>
      <c r="H188" s="18">
        <v>1475</v>
      </c>
      <c r="I188" s="19" t="s">
        <v>955</v>
      </c>
      <c r="J188" s="13" t="s">
        <v>956</v>
      </c>
      <c r="K188" s="2">
        <v>0</v>
      </c>
      <c r="L188" s="2">
        <v>0</v>
      </c>
      <c r="M188" s="13">
        <v>53.4</v>
      </c>
      <c r="N188" s="2">
        <v>6.9420000000000002</v>
      </c>
      <c r="O188" s="2">
        <v>0</v>
      </c>
      <c r="P188" s="2">
        <v>0</v>
      </c>
      <c r="Q188" s="13">
        <v>60.341999999999999</v>
      </c>
      <c r="R188" s="2">
        <v>0</v>
      </c>
      <c r="S188" s="2" t="s">
        <v>1</v>
      </c>
    </row>
    <row r="189" spans="1:19" x14ac:dyDescent="0.25">
      <c r="A189" s="2" t="s">
        <v>554</v>
      </c>
      <c r="B189" s="20">
        <v>45013</v>
      </c>
      <c r="C189" s="2" t="s">
        <v>1</v>
      </c>
      <c r="D189" s="2" t="s">
        <v>0</v>
      </c>
      <c r="E189" s="2" t="s">
        <v>1168</v>
      </c>
      <c r="F189" s="2" t="s">
        <v>1169</v>
      </c>
      <c r="G189" s="14">
        <v>1476</v>
      </c>
      <c r="H189" s="18">
        <v>1476</v>
      </c>
      <c r="I189" s="19" t="s">
        <v>81</v>
      </c>
      <c r="J189" s="13" t="s">
        <v>82</v>
      </c>
      <c r="K189" s="2">
        <v>0</v>
      </c>
      <c r="L189" s="2">
        <v>0</v>
      </c>
      <c r="M189" s="13">
        <v>192.3</v>
      </c>
      <c r="N189" s="2">
        <v>24.999000000000002</v>
      </c>
      <c r="O189" s="2">
        <v>0</v>
      </c>
      <c r="P189" s="2">
        <v>0</v>
      </c>
      <c r="Q189" s="13">
        <v>217.29900000000001</v>
      </c>
      <c r="R189" s="2">
        <v>0</v>
      </c>
      <c r="S189" s="2" t="s">
        <v>1</v>
      </c>
    </row>
    <row r="190" spans="1:19" x14ac:dyDescent="0.25">
      <c r="A190" s="2" t="s">
        <v>554</v>
      </c>
      <c r="B190" s="20">
        <v>45013</v>
      </c>
      <c r="C190" s="2" t="s">
        <v>1</v>
      </c>
      <c r="D190" s="2" t="s">
        <v>0</v>
      </c>
      <c r="E190" s="2" t="s">
        <v>1168</v>
      </c>
      <c r="F190" s="2" t="s">
        <v>1169</v>
      </c>
      <c r="G190" s="14">
        <v>1477</v>
      </c>
      <c r="H190" s="18">
        <v>1477</v>
      </c>
      <c r="I190" s="19" t="s">
        <v>632</v>
      </c>
      <c r="J190" s="13" t="s">
        <v>145</v>
      </c>
      <c r="K190" s="2">
        <v>0</v>
      </c>
      <c r="L190" s="2">
        <v>0</v>
      </c>
      <c r="M190" s="13">
        <v>59.5</v>
      </c>
      <c r="N190" s="2">
        <v>7.7350000000000003</v>
      </c>
      <c r="O190" s="2">
        <v>0</v>
      </c>
      <c r="P190" s="2">
        <v>0</v>
      </c>
      <c r="Q190" s="13">
        <v>67.234999999999999</v>
      </c>
      <c r="R190" s="2">
        <v>0</v>
      </c>
      <c r="S190" s="2" t="s">
        <v>1</v>
      </c>
    </row>
    <row r="191" spans="1:19" x14ac:dyDescent="0.25">
      <c r="A191" s="2" t="s">
        <v>554</v>
      </c>
      <c r="B191" s="20">
        <v>45013</v>
      </c>
      <c r="C191" s="2" t="s">
        <v>1</v>
      </c>
      <c r="D191" s="2" t="s">
        <v>0</v>
      </c>
      <c r="E191" s="2" t="s">
        <v>1168</v>
      </c>
      <c r="F191" s="2" t="s">
        <v>1169</v>
      </c>
      <c r="G191" s="14">
        <v>1478</v>
      </c>
      <c r="H191" s="18">
        <v>1478</v>
      </c>
      <c r="I191" s="19"/>
      <c r="J191" s="13" t="s">
        <v>954</v>
      </c>
      <c r="K191" s="2">
        <v>0</v>
      </c>
      <c r="L191" s="2">
        <v>0</v>
      </c>
      <c r="M191" s="13">
        <v>33.75</v>
      </c>
      <c r="N191" s="2">
        <v>4.3875000000000002</v>
      </c>
      <c r="O191" s="2">
        <v>0</v>
      </c>
      <c r="P191" s="2">
        <v>0</v>
      </c>
      <c r="Q191" s="13">
        <v>38.137500000000003</v>
      </c>
      <c r="R191" s="2">
        <v>0</v>
      </c>
      <c r="S191" s="2" t="s">
        <v>1</v>
      </c>
    </row>
    <row r="192" spans="1:19" x14ac:dyDescent="0.25">
      <c r="A192" s="2" t="s">
        <v>554</v>
      </c>
      <c r="B192" s="20">
        <v>45013</v>
      </c>
      <c r="C192" s="2" t="s">
        <v>1</v>
      </c>
      <c r="D192" s="2" t="s">
        <v>0</v>
      </c>
      <c r="E192" s="2" t="s">
        <v>1168</v>
      </c>
      <c r="F192" s="2" t="s">
        <v>1169</v>
      </c>
      <c r="G192" s="14">
        <v>1479</v>
      </c>
      <c r="H192" s="18">
        <v>1479</v>
      </c>
      <c r="I192" s="19" t="s">
        <v>566</v>
      </c>
      <c r="J192" s="13" t="s">
        <v>567</v>
      </c>
      <c r="K192" s="2">
        <v>0</v>
      </c>
      <c r="L192" s="2">
        <v>0</v>
      </c>
      <c r="M192" s="13">
        <v>373.98</v>
      </c>
      <c r="N192" s="2">
        <v>48.617400000000004</v>
      </c>
      <c r="O192" s="2">
        <v>0</v>
      </c>
      <c r="P192" s="2">
        <v>0</v>
      </c>
      <c r="Q192" s="13">
        <v>422.59739999999999</v>
      </c>
      <c r="R192" s="2">
        <v>0</v>
      </c>
      <c r="S192" s="2" t="s">
        <v>1</v>
      </c>
    </row>
    <row r="193" spans="1:19" x14ac:dyDescent="0.25">
      <c r="A193" s="2" t="s">
        <v>554</v>
      </c>
      <c r="B193" s="20">
        <v>45014</v>
      </c>
      <c r="C193" s="2" t="s">
        <v>1</v>
      </c>
      <c r="D193" s="2" t="s">
        <v>0</v>
      </c>
      <c r="E193" s="2" t="s">
        <v>1168</v>
      </c>
      <c r="F193" s="2" t="s">
        <v>1169</v>
      </c>
      <c r="G193" s="14">
        <v>1480</v>
      </c>
      <c r="H193" s="18">
        <v>1480</v>
      </c>
      <c r="I193" s="19"/>
      <c r="J193" s="13" t="s">
        <v>1009</v>
      </c>
      <c r="K193" s="2">
        <v>0</v>
      </c>
      <c r="L193" s="2">
        <v>0</v>
      </c>
      <c r="M193" s="13">
        <v>73.86</v>
      </c>
      <c r="N193" s="2">
        <v>9.6018000000000008</v>
      </c>
      <c r="O193" s="2">
        <v>0</v>
      </c>
      <c r="P193" s="2">
        <v>0</v>
      </c>
      <c r="Q193" s="13">
        <v>83.461799999999997</v>
      </c>
      <c r="R193" s="2">
        <v>0</v>
      </c>
      <c r="S193" s="2" t="s">
        <v>1</v>
      </c>
    </row>
    <row r="194" spans="1:19" x14ac:dyDescent="0.25">
      <c r="A194" s="2" t="s">
        <v>554</v>
      </c>
      <c r="B194" s="20">
        <v>45014</v>
      </c>
      <c r="C194" s="2" t="s">
        <v>1</v>
      </c>
      <c r="D194" s="2" t="s">
        <v>0</v>
      </c>
      <c r="E194" s="2" t="s">
        <v>1168</v>
      </c>
      <c r="F194" s="2" t="s">
        <v>1169</v>
      </c>
      <c r="G194" s="14">
        <v>1481</v>
      </c>
      <c r="H194" s="18">
        <v>1481</v>
      </c>
      <c r="I194" s="19"/>
      <c r="J194" s="13" t="s">
        <v>982</v>
      </c>
      <c r="K194" s="2">
        <v>0</v>
      </c>
      <c r="L194" s="2">
        <v>0</v>
      </c>
      <c r="M194" s="13">
        <v>305.02</v>
      </c>
      <c r="N194" s="2">
        <v>39.6526</v>
      </c>
      <c r="O194" s="2">
        <v>0</v>
      </c>
      <c r="P194" s="2">
        <v>0</v>
      </c>
      <c r="Q194" s="13">
        <v>344.67259999999999</v>
      </c>
      <c r="R194" s="2">
        <v>0</v>
      </c>
      <c r="S194" s="2" t="s">
        <v>1</v>
      </c>
    </row>
    <row r="195" spans="1:19" x14ac:dyDescent="0.25">
      <c r="A195" s="2" t="s">
        <v>554</v>
      </c>
      <c r="B195" s="20">
        <v>45014</v>
      </c>
      <c r="C195" s="2" t="s">
        <v>1</v>
      </c>
      <c r="D195" s="2" t="s">
        <v>0</v>
      </c>
      <c r="E195" s="2" t="s">
        <v>1168</v>
      </c>
      <c r="F195" s="2" t="s">
        <v>1169</v>
      </c>
      <c r="G195" s="14">
        <v>1482</v>
      </c>
      <c r="H195" s="18">
        <v>1482</v>
      </c>
      <c r="I195" s="19" t="s">
        <v>1081</v>
      </c>
      <c r="J195" s="13" t="s">
        <v>128</v>
      </c>
      <c r="K195" s="2">
        <v>0</v>
      </c>
      <c r="L195" s="2">
        <v>0</v>
      </c>
      <c r="M195" s="13">
        <v>25</v>
      </c>
      <c r="N195" s="2">
        <v>3.25</v>
      </c>
      <c r="O195" s="2">
        <v>0</v>
      </c>
      <c r="P195" s="2">
        <v>0</v>
      </c>
      <c r="Q195" s="13">
        <v>28.25</v>
      </c>
      <c r="R195" s="2">
        <v>0</v>
      </c>
      <c r="S195" s="2" t="s">
        <v>1</v>
      </c>
    </row>
    <row r="196" spans="1:19" x14ac:dyDescent="0.25">
      <c r="A196" s="2" t="s">
        <v>554</v>
      </c>
      <c r="B196" s="20">
        <v>45014</v>
      </c>
      <c r="C196" s="2" t="s">
        <v>1</v>
      </c>
      <c r="D196" s="2" t="s">
        <v>0</v>
      </c>
      <c r="E196" s="2" t="s">
        <v>1168</v>
      </c>
      <c r="F196" s="2" t="s">
        <v>1169</v>
      </c>
      <c r="G196" s="14">
        <v>1483</v>
      </c>
      <c r="H196" s="18">
        <v>1483</v>
      </c>
      <c r="I196" s="19" t="s">
        <v>79</v>
      </c>
      <c r="J196" s="13" t="s">
        <v>80</v>
      </c>
      <c r="K196" s="2">
        <v>0</v>
      </c>
      <c r="L196" s="2">
        <v>0</v>
      </c>
      <c r="M196" s="13">
        <v>34.5</v>
      </c>
      <c r="N196" s="2">
        <v>4.4850000000000003</v>
      </c>
      <c r="O196" s="2">
        <v>0</v>
      </c>
      <c r="P196" s="2">
        <v>0</v>
      </c>
      <c r="Q196" s="13">
        <v>38.984999999999999</v>
      </c>
      <c r="R196" s="2">
        <v>0</v>
      </c>
      <c r="S196" s="2" t="s">
        <v>1</v>
      </c>
    </row>
    <row r="197" spans="1:19" x14ac:dyDescent="0.25">
      <c r="A197" s="2" t="s">
        <v>554</v>
      </c>
      <c r="B197" s="20">
        <v>45014</v>
      </c>
      <c r="C197" s="2" t="s">
        <v>1</v>
      </c>
      <c r="D197" s="2" t="s">
        <v>0</v>
      </c>
      <c r="E197" s="2" t="s">
        <v>1168</v>
      </c>
      <c r="F197" s="2" t="s">
        <v>1169</v>
      </c>
      <c r="G197" s="14">
        <v>1484</v>
      </c>
      <c r="H197" s="18">
        <v>1484</v>
      </c>
      <c r="I197" s="19" t="s">
        <v>1025</v>
      </c>
      <c r="J197" s="13" t="s">
        <v>1026</v>
      </c>
      <c r="K197" s="2">
        <v>0</v>
      </c>
      <c r="L197" s="2">
        <v>0</v>
      </c>
      <c r="M197" s="13">
        <v>756.79</v>
      </c>
      <c r="N197" s="2">
        <v>98.3827</v>
      </c>
      <c r="O197" s="2">
        <v>0</v>
      </c>
      <c r="P197" s="2">
        <v>0</v>
      </c>
      <c r="Q197" s="13">
        <v>855.17269999999996</v>
      </c>
      <c r="R197" s="2">
        <v>0</v>
      </c>
      <c r="S197" s="2" t="s">
        <v>1</v>
      </c>
    </row>
    <row r="198" spans="1:19" x14ac:dyDescent="0.25">
      <c r="A198" s="2" t="s">
        <v>554</v>
      </c>
      <c r="B198" s="20">
        <v>45014</v>
      </c>
      <c r="C198" s="2" t="s">
        <v>1</v>
      </c>
      <c r="D198" s="2" t="s">
        <v>0</v>
      </c>
      <c r="E198" s="2" t="s">
        <v>1168</v>
      </c>
      <c r="F198" s="2" t="s">
        <v>1169</v>
      </c>
      <c r="G198" s="14">
        <v>1485</v>
      </c>
      <c r="H198" s="18">
        <v>1485</v>
      </c>
      <c r="I198" s="19" t="s">
        <v>993</v>
      </c>
      <c r="J198" s="13" t="s">
        <v>994</v>
      </c>
      <c r="K198" s="2">
        <v>0</v>
      </c>
      <c r="L198" s="2">
        <v>0</v>
      </c>
      <c r="M198" s="13">
        <v>17.850000000000001</v>
      </c>
      <c r="N198" s="2">
        <v>2.3205000000000005</v>
      </c>
      <c r="O198" s="2">
        <v>0</v>
      </c>
      <c r="P198" s="2">
        <v>0</v>
      </c>
      <c r="Q198" s="13">
        <v>20.170500000000001</v>
      </c>
      <c r="R198" s="2">
        <v>0</v>
      </c>
      <c r="S198" s="2" t="s">
        <v>1</v>
      </c>
    </row>
    <row r="199" spans="1:19" x14ac:dyDescent="0.25">
      <c r="A199" s="2" t="s">
        <v>554</v>
      </c>
      <c r="B199" s="20">
        <v>45014</v>
      </c>
      <c r="C199" s="2" t="s">
        <v>1</v>
      </c>
      <c r="D199" s="2" t="s">
        <v>0</v>
      </c>
      <c r="E199" s="2" t="s">
        <v>1168</v>
      </c>
      <c r="F199" s="2" t="s">
        <v>1169</v>
      </c>
      <c r="G199" s="14">
        <v>1486</v>
      </c>
      <c r="H199" s="18">
        <v>1486</v>
      </c>
      <c r="I199" s="19" t="s">
        <v>949</v>
      </c>
      <c r="J199" s="13" t="s">
        <v>950</v>
      </c>
      <c r="K199" s="2">
        <v>0</v>
      </c>
      <c r="L199" s="2">
        <v>0</v>
      </c>
      <c r="M199" s="13">
        <v>30.6</v>
      </c>
      <c r="N199" s="2">
        <v>3.9780000000000002</v>
      </c>
      <c r="O199" s="2">
        <v>0</v>
      </c>
      <c r="P199" s="2">
        <v>0</v>
      </c>
      <c r="Q199" s="13">
        <v>34.578000000000003</v>
      </c>
      <c r="R199" s="2">
        <v>0</v>
      </c>
      <c r="S199" s="2" t="s">
        <v>1</v>
      </c>
    </row>
    <row r="200" spans="1:19" x14ac:dyDescent="0.25">
      <c r="A200" s="2" t="s">
        <v>554</v>
      </c>
      <c r="B200" s="20">
        <v>45014</v>
      </c>
      <c r="C200" s="2" t="s">
        <v>1</v>
      </c>
      <c r="D200" s="2" t="s">
        <v>0</v>
      </c>
      <c r="E200" s="2" t="s">
        <v>1168</v>
      </c>
      <c r="F200" s="2" t="s">
        <v>1169</v>
      </c>
      <c r="G200" s="14">
        <v>1487</v>
      </c>
      <c r="H200" s="18">
        <v>1487</v>
      </c>
      <c r="I200" s="19" t="s">
        <v>949</v>
      </c>
      <c r="J200" s="13" t="s">
        <v>950</v>
      </c>
      <c r="K200" s="2">
        <v>0</v>
      </c>
      <c r="L200" s="2">
        <v>0</v>
      </c>
      <c r="M200" s="13">
        <v>15.9</v>
      </c>
      <c r="N200" s="2">
        <v>2.0670000000000002</v>
      </c>
      <c r="O200" s="2">
        <v>0</v>
      </c>
      <c r="P200" s="2">
        <v>0</v>
      </c>
      <c r="Q200" s="13">
        <v>17.966999999999999</v>
      </c>
      <c r="R200" s="2">
        <v>0</v>
      </c>
      <c r="S200" s="2" t="s">
        <v>1</v>
      </c>
    </row>
    <row r="201" spans="1:19" x14ac:dyDescent="0.25">
      <c r="A201" s="2" t="s">
        <v>554</v>
      </c>
      <c r="B201" s="20">
        <v>45014</v>
      </c>
      <c r="C201" s="2" t="s">
        <v>1</v>
      </c>
      <c r="D201" s="2" t="s">
        <v>0</v>
      </c>
      <c r="E201" s="2" t="s">
        <v>1168</v>
      </c>
      <c r="F201" s="2" t="s">
        <v>1169</v>
      </c>
      <c r="G201" s="14">
        <v>1488</v>
      </c>
      <c r="H201" s="18">
        <v>1488</v>
      </c>
      <c r="I201" s="19" t="s">
        <v>435</v>
      </c>
      <c r="J201" s="13" t="s">
        <v>434</v>
      </c>
      <c r="K201" s="2">
        <v>0</v>
      </c>
      <c r="L201" s="2">
        <v>0</v>
      </c>
      <c r="M201" s="13">
        <v>0</v>
      </c>
      <c r="N201" s="2">
        <v>0</v>
      </c>
      <c r="O201" s="2">
        <v>0</v>
      </c>
      <c r="P201" s="2">
        <v>0</v>
      </c>
      <c r="Q201" s="13">
        <v>0</v>
      </c>
      <c r="R201" s="2">
        <v>0</v>
      </c>
      <c r="S201" s="2" t="s">
        <v>1</v>
      </c>
    </row>
    <row r="202" spans="1:19" x14ac:dyDescent="0.25">
      <c r="A202" s="2" t="s">
        <v>554</v>
      </c>
      <c r="B202" s="20">
        <v>45014</v>
      </c>
      <c r="C202" s="2" t="s">
        <v>1</v>
      </c>
      <c r="D202" s="2" t="s">
        <v>0</v>
      </c>
      <c r="E202" s="2" t="s">
        <v>1168</v>
      </c>
      <c r="F202" s="2" t="s">
        <v>1169</v>
      </c>
      <c r="G202" s="14">
        <v>1489</v>
      </c>
      <c r="H202" s="18">
        <v>1489</v>
      </c>
      <c r="I202" s="19" t="s">
        <v>435</v>
      </c>
      <c r="J202" s="13" t="s">
        <v>434</v>
      </c>
      <c r="K202" s="2">
        <v>0</v>
      </c>
      <c r="L202" s="2">
        <v>0</v>
      </c>
      <c r="M202" s="13">
        <v>0</v>
      </c>
      <c r="N202" s="2">
        <v>0</v>
      </c>
      <c r="O202" s="2">
        <v>0</v>
      </c>
      <c r="P202" s="2">
        <v>0</v>
      </c>
      <c r="Q202" s="13">
        <v>0</v>
      </c>
      <c r="R202" s="2">
        <v>0</v>
      </c>
      <c r="S202" s="2" t="s">
        <v>1</v>
      </c>
    </row>
    <row r="203" spans="1:19" x14ac:dyDescent="0.25">
      <c r="A203" s="2" t="s">
        <v>554</v>
      </c>
      <c r="B203" s="20">
        <v>45015</v>
      </c>
      <c r="C203" s="2" t="s">
        <v>1</v>
      </c>
      <c r="D203" s="2" t="s">
        <v>0</v>
      </c>
      <c r="E203" s="2" t="s">
        <v>1168</v>
      </c>
      <c r="F203" s="2" t="s">
        <v>1169</v>
      </c>
      <c r="G203" s="14">
        <v>1490</v>
      </c>
      <c r="H203" s="18">
        <v>1490</v>
      </c>
      <c r="I203" s="19" t="s">
        <v>969</v>
      </c>
      <c r="J203" s="13" t="s">
        <v>970</v>
      </c>
      <c r="K203" s="2">
        <v>0</v>
      </c>
      <c r="L203" s="2">
        <v>0</v>
      </c>
      <c r="M203" s="13">
        <v>172.36</v>
      </c>
      <c r="N203" s="2">
        <v>22.406800000000004</v>
      </c>
      <c r="O203" s="2">
        <v>0</v>
      </c>
      <c r="P203" s="2">
        <v>0</v>
      </c>
      <c r="Q203" s="13">
        <v>194.76680000000002</v>
      </c>
      <c r="R203" s="2">
        <v>0</v>
      </c>
      <c r="S203" s="2" t="s">
        <v>1</v>
      </c>
    </row>
    <row r="204" spans="1:19" x14ac:dyDescent="0.25">
      <c r="A204" s="2" t="s">
        <v>554</v>
      </c>
      <c r="B204" s="20">
        <v>45015</v>
      </c>
      <c r="C204" s="2" t="s">
        <v>1</v>
      </c>
      <c r="D204" s="2" t="s">
        <v>0</v>
      </c>
      <c r="E204" s="2" t="s">
        <v>1168</v>
      </c>
      <c r="F204" s="2" t="s">
        <v>1169</v>
      </c>
      <c r="G204" s="14">
        <v>1491</v>
      </c>
      <c r="H204" s="18">
        <v>1491</v>
      </c>
      <c r="I204" s="19" t="s">
        <v>977</v>
      </c>
      <c r="J204" s="13" t="s">
        <v>978</v>
      </c>
      <c r="K204" s="2">
        <v>0</v>
      </c>
      <c r="L204" s="2">
        <v>0</v>
      </c>
      <c r="M204" s="13">
        <v>125</v>
      </c>
      <c r="N204" s="2">
        <v>16.25</v>
      </c>
      <c r="O204" s="2">
        <v>0</v>
      </c>
      <c r="P204" s="2">
        <v>0</v>
      </c>
      <c r="Q204" s="13">
        <v>141.25</v>
      </c>
      <c r="R204" s="2">
        <v>0</v>
      </c>
      <c r="S204" s="2" t="s">
        <v>1</v>
      </c>
    </row>
    <row r="205" spans="1:19" x14ac:dyDescent="0.25">
      <c r="A205" s="2" t="s">
        <v>554</v>
      </c>
      <c r="B205" s="20">
        <v>45015</v>
      </c>
      <c r="C205" s="2" t="s">
        <v>1</v>
      </c>
      <c r="D205" s="2" t="s">
        <v>0</v>
      </c>
      <c r="E205" s="2" t="s">
        <v>1168</v>
      </c>
      <c r="F205" s="2" t="s">
        <v>1169</v>
      </c>
      <c r="G205" s="14">
        <v>1492</v>
      </c>
      <c r="H205" s="18">
        <v>1492</v>
      </c>
      <c r="I205" s="19" t="s">
        <v>1025</v>
      </c>
      <c r="J205" s="13" t="s">
        <v>1026</v>
      </c>
      <c r="K205" s="2">
        <v>0</v>
      </c>
      <c r="L205" s="2">
        <v>0</v>
      </c>
      <c r="M205" s="13">
        <v>201.97</v>
      </c>
      <c r="N205" s="2">
        <v>26.2561</v>
      </c>
      <c r="O205" s="2">
        <v>0</v>
      </c>
      <c r="P205" s="2">
        <v>0</v>
      </c>
      <c r="Q205" s="13">
        <v>228.2261</v>
      </c>
      <c r="R205" s="2">
        <v>0</v>
      </c>
      <c r="S205" s="2" t="s">
        <v>1</v>
      </c>
    </row>
    <row r="206" spans="1:19" x14ac:dyDescent="0.25">
      <c r="A206" s="2" t="s">
        <v>554</v>
      </c>
      <c r="B206" s="20">
        <v>45015</v>
      </c>
      <c r="C206" s="2" t="s">
        <v>1</v>
      </c>
      <c r="D206" s="2" t="s">
        <v>0</v>
      </c>
      <c r="E206" s="2" t="s">
        <v>1168</v>
      </c>
      <c r="F206" s="2" t="s">
        <v>1169</v>
      </c>
      <c r="G206" s="14">
        <v>1493</v>
      </c>
      <c r="H206" s="18">
        <v>1493</v>
      </c>
      <c r="I206" s="19" t="s">
        <v>1063</v>
      </c>
      <c r="J206" s="13" t="s">
        <v>1064</v>
      </c>
      <c r="K206" s="2">
        <v>0</v>
      </c>
      <c r="L206" s="2">
        <v>0</v>
      </c>
      <c r="M206" s="13">
        <v>56.88</v>
      </c>
      <c r="N206" s="2">
        <v>7.394400000000001</v>
      </c>
      <c r="O206" s="2">
        <v>0</v>
      </c>
      <c r="P206" s="2">
        <v>0</v>
      </c>
      <c r="Q206" s="13">
        <v>64.2744</v>
      </c>
      <c r="R206" s="2">
        <v>0</v>
      </c>
      <c r="S206" s="2" t="s">
        <v>1</v>
      </c>
    </row>
    <row r="207" spans="1:19" x14ac:dyDescent="0.25">
      <c r="A207" s="2" t="s">
        <v>554</v>
      </c>
      <c r="B207" s="20">
        <v>45015</v>
      </c>
      <c r="C207" s="2" t="s">
        <v>1</v>
      </c>
      <c r="D207" s="2" t="s">
        <v>0</v>
      </c>
      <c r="E207" s="2" t="s">
        <v>1168</v>
      </c>
      <c r="F207" s="2" t="s">
        <v>1169</v>
      </c>
      <c r="G207" s="14">
        <v>1494</v>
      </c>
      <c r="H207" s="18">
        <v>1494</v>
      </c>
      <c r="I207" s="19" t="s">
        <v>969</v>
      </c>
      <c r="J207" s="13" t="s">
        <v>970</v>
      </c>
      <c r="K207" s="2">
        <v>0</v>
      </c>
      <c r="L207" s="2">
        <v>0</v>
      </c>
      <c r="M207" s="13">
        <v>1249.44</v>
      </c>
      <c r="N207" s="2">
        <v>162.4272</v>
      </c>
      <c r="O207" s="2">
        <v>0</v>
      </c>
      <c r="P207" s="2">
        <v>0</v>
      </c>
      <c r="Q207" s="13">
        <v>1411.8672000000001</v>
      </c>
      <c r="R207" s="2">
        <v>0</v>
      </c>
      <c r="S207" s="2" t="s">
        <v>1</v>
      </c>
    </row>
    <row r="208" spans="1:19" x14ac:dyDescent="0.25">
      <c r="A208" s="2" t="s">
        <v>554</v>
      </c>
      <c r="B208" s="20">
        <v>45015</v>
      </c>
      <c r="C208" s="2" t="s">
        <v>1</v>
      </c>
      <c r="D208" s="2" t="s">
        <v>0</v>
      </c>
      <c r="E208" s="2" t="s">
        <v>1168</v>
      </c>
      <c r="F208" s="2" t="s">
        <v>1169</v>
      </c>
      <c r="G208" s="14">
        <v>1495</v>
      </c>
      <c r="H208" s="18">
        <v>1495</v>
      </c>
      <c r="I208" s="19" t="s">
        <v>74</v>
      </c>
      <c r="J208" s="13" t="s">
        <v>75</v>
      </c>
      <c r="K208" s="2">
        <v>0</v>
      </c>
      <c r="L208" s="2">
        <v>0</v>
      </c>
      <c r="M208" s="13">
        <v>304.47000000000003</v>
      </c>
      <c r="N208" s="2">
        <v>39.581100000000006</v>
      </c>
      <c r="O208" s="2">
        <v>0</v>
      </c>
      <c r="P208" s="2">
        <v>0</v>
      </c>
      <c r="Q208" s="13">
        <v>344.05110000000002</v>
      </c>
      <c r="R208" s="2">
        <v>0</v>
      </c>
      <c r="S208" s="2" t="s">
        <v>1</v>
      </c>
    </row>
    <row r="209" spans="1:19" x14ac:dyDescent="0.25">
      <c r="A209" s="2" t="s">
        <v>554</v>
      </c>
      <c r="B209" s="20">
        <v>45015</v>
      </c>
      <c r="C209" s="2" t="s">
        <v>1</v>
      </c>
      <c r="D209" s="2" t="s">
        <v>0</v>
      </c>
      <c r="E209" s="2" t="s">
        <v>1168</v>
      </c>
      <c r="F209" s="2" t="s">
        <v>1169</v>
      </c>
      <c r="G209" s="14">
        <v>1496</v>
      </c>
      <c r="H209" s="18">
        <v>1496</v>
      </c>
      <c r="I209" s="19"/>
      <c r="J209" s="13" t="s">
        <v>986</v>
      </c>
      <c r="K209" s="2">
        <v>0</v>
      </c>
      <c r="L209" s="2">
        <v>0</v>
      </c>
      <c r="M209" s="13">
        <v>771.71</v>
      </c>
      <c r="N209" s="2">
        <v>100.32230000000001</v>
      </c>
      <c r="O209" s="2">
        <v>0</v>
      </c>
      <c r="P209" s="2">
        <v>0</v>
      </c>
      <c r="Q209" s="13">
        <v>872.03230000000008</v>
      </c>
      <c r="R209" s="2">
        <v>0</v>
      </c>
      <c r="S209" s="2" t="s">
        <v>1</v>
      </c>
    </row>
    <row r="210" spans="1:19" x14ac:dyDescent="0.25">
      <c r="A210" s="2" t="s">
        <v>554</v>
      </c>
      <c r="B210" s="20">
        <v>45015</v>
      </c>
      <c r="C210" s="2" t="s">
        <v>1</v>
      </c>
      <c r="D210" s="2" t="s">
        <v>0</v>
      </c>
      <c r="E210" s="2" t="s">
        <v>1168</v>
      </c>
      <c r="F210" s="2" t="s">
        <v>1169</v>
      </c>
      <c r="G210" s="14">
        <v>1497</v>
      </c>
      <c r="H210" s="18">
        <v>1497</v>
      </c>
      <c r="I210" s="19" t="s">
        <v>77</v>
      </c>
      <c r="J210" s="13" t="s">
        <v>78</v>
      </c>
      <c r="K210" s="2">
        <v>0</v>
      </c>
      <c r="L210" s="2">
        <v>0</v>
      </c>
      <c r="M210" s="13">
        <v>219.3</v>
      </c>
      <c r="N210" s="2">
        <v>28.509000000000004</v>
      </c>
      <c r="O210" s="2">
        <v>0</v>
      </c>
      <c r="P210" s="2">
        <v>0</v>
      </c>
      <c r="Q210" s="13">
        <v>247.80900000000003</v>
      </c>
      <c r="R210" s="2">
        <v>0</v>
      </c>
      <c r="S210" s="2" t="s">
        <v>1</v>
      </c>
    </row>
    <row r="211" spans="1:19" x14ac:dyDescent="0.25">
      <c r="A211" s="2" t="s">
        <v>554</v>
      </c>
      <c r="B211" s="20">
        <v>45015</v>
      </c>
      <c r="C211" s="2" t="s">
        <v>1</v>
      </c>
      <c r="D211" s="2" t="s">
        <v>0</v>
      </c>
      <c r="E211" s="2" t="s">
        <v>1168</v>
      </c>
      <c r="F211" s="2" t="s">
        <v>1169</v>
      </c>
      <c r="G211" s="14">
        <v>1498</v>
      </c>
      <c r="H211" s="18">
        <v>1498</v>
      </c>
      <c r="I211" s="19" t="s">
        <v>1093</v>
      </c>
      <c r="J211" s="13" t="s">
        <v>1094</v>
      </c>
      <c r="K211" s="2">
        <v>0</v>
      </c>
      <c r="L211" s="2">
        <v>0</v>
      </c>
      <c r="M211" s="13">
        <v>56.96</v>
      </c>
      <c r="N211" s="2">
        <v>7.4048000000000007</v>
      </c>
      <c r="O211" s="2">
        <v>0</v>
      </c>
      <c r="P211" s="2">
        <v>0</v>
      </c>
      <c r="Q211" s="13">
        <v>64.364800000000002</v>
      </c>
      <c r="R211" s="2">
        <v>0</v>
      </c>
      <c r="S211" s="2" t="s">
        <v>1</v>
      </c>
    </row>
    <row r="212" spans="1:19" x14ac:dyDescent="0.25">
      <c r="A212" s="2" t="s">
        <v>554</v>
      </c>
      <c r="B212" s="20">
        <v>45015</v>
      </c>
      <c r="C212" s="2" t="s">
        <v>1</v>
      </c>
      <c r="D212" s="2" t="s">
        <v>0</v>
      </c>
      <c r="E212" s="2" t="s">
        <v>1168</v>
      </c>
      <c r="F212" s="2" t="s">
        <v>1169</v>
      </c>
      <c r="G212" s="14">
        <v>1499</v>
      </c>
      <c r="H212" s="18">
        <v>1499</v>
      </c>
      <c r="I212" s="19" t="s">
        <v>1141</v>
      </c>
      <c r="J212" s="13" t="s">
        <v>997</v>
      </c>
      <c r="K212" s="2">
        <v>0</v>
      </c>
      <c r="L212" s="2">
        <v>0</v>
      </c>
      <c r="M212" s="13">
        <v>64.98</v>
      </c>
      <c r="N212" s="2">
        <v>8.4474</v>
      </c>
      <c r="O212" s="2">
        <v>0</v>
      </c>
      <c r="P212" s="2">
        <v>0</v>
      </c>
      <c r="Q212" s="13">
        <v>73.427400000000006</v>
      </c>
      <c r="R212" s="2">
        <v>0</v>
      </c>
      <c r="S212" s="2" t="s">
        <v>1</v>
      </c>
    </row>
    <row r="213" spans="1:19" x14ac:dyDescent="0.25">
      <c r="A213" s="2" t="s">
        <v>554</v>
      </c>
      <c r="B213" s="20">
        <v>45016</v>
      </c>
      <c r="C213" s="2" t="s">
        <v>1</v>
      </c>
      <c r="D213" s="2" t="s">
        <v>0</v>
      </c>
      <c r="E213" s="2" t="s">
        <v>1168</v>
      </c>
      <c r="F213" s="2" t="s">
        <v>1169</v>
      </c>
      <c r="G213" s="14">
        <v>1500</v>
      </c>
      <c r="H213" s="18">
        <v>1500</v>
      </c>
      <c r="I213" s="19" t="s">
        <v>435</v>
      </c>
      <c r="J213" s="13" t="s">
        <v>434</v>
      </c>
      <c r="K213" s="2">
        <v>0</v>
      </c>
      <c r="L213" s="2">
        <v>0</v>
      </c>
      <c r="M213" s="13">
        <v>0</v>
      </c>
      <c r="N213" s="2">
        <v>0</v>
      </c>
      <c r="O213" s="2">
        <v>0</v>
      </c>
      <c r="P213" s="2">
        <v>0</v>
      </c>
      <c r="Q213" s="13">
        <v>0</v>
      </c>
      <c r="R213" s="2">
        <v>0</v>
      </c>
      <c r="S213" s="2" t="s">
        <v>1</v>
      </c>
    </row>
    <row r="214" spans="1:19" x14ac:dyDescent="0.25">
      <c r="A214" s="2" t="s">
        <v>554</v>
      </c>
      <c r="B214" s="20">
        <v>45016</v>
      </c>
      <c r="C214" s="2" t="s">
        <v>1</v>
      </c>
      <c r="D214" s="2" t="s">
        <v>0</v>
      </c>
      <c r="E214" s="2" t="s">
        <v>1168</v>
      </c>
      <c r="F214" s="2" t="s">
        <v>1169</v>
      </c>
      <c r="G214" s="14">
        <v>1501</v>
      </c>
      <c r="H214" s="18">
        <v>1501</v>
      </c>
      <c r="I214" s="19" t="s">
        <v>1165</v>
      </c>
      <c r="J214" s="13" t="s">
        <v>1166</v>
      </c>
      <c r="K214" s="2">
        <v>0</v>
      </c>
      <c r="L214" s="2">
        <v>0</v>
      </c>
      <c r="M214" s="13">
        <v>130.07</v>
      </c>
      <c r="N214" s="2">
        <v>16.909099999999999</v>
      </c>
      <c r="O214" s="2">
        <v>0</v>
      </c>
      <c r="P214" s="2">
        <v>0</v>
      </c>
      <c r="Q214" s="13">
        <v>146.97909999999999</v>
      </c>
      <c r="R214" s="2">
        <v>0</v>
      </c>
      <c r="S214" s="2" t="s">
        <v>1</v>
      </c>
    </row>
    <row r="215" spans="1:19" x14ac:dyDescent="0.25">
      <c r="A215" s="2" t="s">
        <v>554</v>
      </c>
      <c r="B215" s="20">
        <v>45016</v>
      </c>
      <c r="C215" s="2" t="s">
        <v>1</v>
      </c>
      <c r="D215" s="2" t="s">
        <v>0</v>
      </c>
      <c r="E215" s="2" t="s">
        <v>1168</v>
      </c>
      <c r="F215" s="2" t="s">
        <v>1169</v>
      </c>
      <c r="G215" s="14">
        <v>1502</v>
      </c>
      <c r="H215" s="18">
        <v>1502</v>
      </c>
      <c r="I215" s="19" t="s">
        <v>1165</v>
      </c>
      <c r="J215" s="13" t="s">
        <v>1166</v>
      </c>
      <c r="K215" s="2">
        <v>0</v>
      </c>
      <c r="L215" s="2">
        <v>0</v>
      </c>
      <c r="M215" s="13">
        <v>167.22</v>
      </c>
      <c r="N215" s="2">
        <v>21.738600000000002</v>
      </c>
      <c r="O215" s="2">
        <v>0</v>
      </c>
      <c r="P215" s="2">
        <v>0</v>
      </c>
      <c r="Q215" s="13">
        <v>188.95859999999999</v>
      </c>
      <c r="R215" s="2">
        <v>0</v>
      </c>
      <c r="S215" s="2" t="s">
        <v>1</v>
      </c>
    </row>
    <row r="216" spans="1:19" x14ac:dyDescent="0.25">
      <c r="A216" s="2" t="s">
        <v>554</v>
      </c>
      <c r="B216" s="20">
        <v>45016</v>
      </c>
      <c r="C216" s="2" t="s">
        <v>1</v>
      </c>
      <c r="D216" s="2" t="s">
        <v>0</v>
      </c>
      <c r="E216" s="2" t="s">
        <v>1168</v>
      </c>
      <c r="F216" s="2" t="s">
        <v>1169</v>
      </c>
      <c r="G216" s="14">
        <v>1503</v>
      </c>
      <c r="H216" s="18">
        <v>1503</v>
      </c>
      <c r="I216" s="19" t="s">
        <v>1165</v>
      </c>
      <c r="J216" s="13" t="s">
        <v>1166</v>
      </c>
      <c r="K216" s="2">
        <v>0</v>
      </c>
      <c r="L216" s="2">
        <v>0</v>
      </c>
      <c r="M216" s="13">
        <v>55.74</v>
      </c>
      <c r="N216" s="2">
        <v>7.2462000000000009</v>
      </c>
      <c r="O216" s="2">
        <v>0</v>
      </c>
      <c r="P216" s="2">
        <v>0</v>
      </c>
      <c r="Q216" s="13">
        <v>62.986200000000004</v>
      </c>
      <c r="R216" s="2">
        <v>0</v>
      </c>
      <c r="S216" s="2" t="s">
        <v>1</v>
      </c>
    </row>
    <row r="217" spans="1:19" x14ac:dyDescent="0.25">
      <c r="A217" s="2" t="s">
        <v>554</v>
      </c>
      <c r="B217" s="20">
        <v>45016</v>
      </c>
      <c r="C217" s="2" t="s">
        <v>1</v>
      </c>
      <c r="D217" s="2" t="s">
        <v>0</v>
      </c>
      <c r="E217" s="2" t="s">
        <v>1168</v>
      </c>
      <c r="F217" s="2" t="s">
        <v>1169</v>
      </c>
      <c r="G217" s="14">
        <v>1504</v>
      </c>
      <c r="H217" s="18">
        <v>1504</v>
      </c>
      <c r="I217" s="19" t="s">
        <v>951</v>
      </c>
      <c r="J217" s="13" t="s">
        <v>952</v>
      </c>
      <c r="K217" s="2">
        <v>0</v>
      </c>
      <c r="L217" s="2">
        <v>0</v>
      </c>
      <c r="M217" s="13">
        <v>60</v>
      </c>
      <c r="N217" s="2">
        <v>7.8000000000000007</v>
      </c>
      <c r="O217" s="2">
        <v>0</v>
      </c>
      <c r="P217" s="2">
        <v>0</v>
      </c>
      <c r="Q217" s="13">
        <v>67.8</v>
      </c>
      <c r="R217" s="2">
        <v>0</v>
      </c>
      <c r="S217" s="2" t="s">
        <v>1</v>
      </c>
    </row>
    <row r="218" spans="1:19" x14ac:dyDescent="0.25">
      <c r="A218" s="2" t="s">
        <v>554</v>
      </c>
      <c r="B218" s="20">
        <v>45016</v>
      </c>
      <c r="C218" s="2" t="s">
        <v>1</v>
      </c>
      <c r="D218" s="2" t="s">
        <v>0</v>
      </c>
      <c r="E218" s="2" t="s">
        <v>1168</v>
      </c>
      <c r="F218" s="2" t="s">
        <v>1169</v>
      </c>
      <c r="G218" s="14">
        <v>1505</v>
      </c>
      <c r="H218" s="18">
        <v>1505</v>
      </c>
      <c r="I218" s="19" t="s">
        <v>150</v>
      </c>
      <c r="J218" s="13" t="s">
        <v>151</v>
      </c>
      <c r="K218" s="2">
        <v>0</v>
      </c>
      <c r="L218" s="2">
        <v>0</v>
      </c>
      <c r="M218" s="13">
        <v>508.04</v>
      </c>
      <c r="N218" s="2">
        <v>66.045200000000008</v>
      </c>
      <c r="O218" s="2">
        <v>0</v>
      </c>
      <c r="P218" s="2">
        <v>0</v>
      </c>
      <c r="Q218" s="13">
        <v>574.08519999999999</v>
      </c>
      <c r="R218" s="2">
        <v>0</v>
      </c>
      <c r="S218" s="2" t="s">
        <v>1</v>
      </c>
    </row>
    <row r="219" spans="1:19" x14ac:dyDescent="0.25">
      <c r="A219" s="2" t="s">
        <v>554</v>
      </c>
      <c r="B219" s="20">
        <v>45016</v>
      </c>
      <c r="C219" s="2" t="s">
        <v>1</v>
      </c>
      <c r="D219" s="2" t="s">
        <v>0</v>
      </c>
      <c r="E219" s="2" t="s">
        <v>1168</v>
      </c>
      <c r="F219" s="2" t="s">
        <v>1169</v>
      </c>
      <c r="G219" s="14">
        <v>1506</v>
      </c>
      <c r="H219" s="18">
        <v>1506</v>
      </c>
      <c r="I219" s="19" t="s">
        <v>967</v>
      </c>
      <c r="J219" s="13" t="s">
        <v>968</v>
      </c>
      <c r="K219" s="2">
        <v>0</v>
      </c>
      <c r="L219" s="2">
        <v>0</v>
      </c>
      <c r="M219" s="13">
        <v>119.16</v>
      </c>
      <c r="N219" s="2">
        <v>15.4908</v>
      </c>
      <c r="O219" s="2">
        <v>0</v>
      </c>
      <c r="P219" s="2">
        <v>0</v>
      </c>
      <c r="Q219" s="13">
        <v>134.6508</v>
      </c>
      <c r="R219" s="2">
        <v>0</v>
      </c>
      <c r="S219" s="2" t="s">
        <v>1</v>
      </c>
    </row>
    <row r="220" spans="1:19" x14ac:dyDescent="0.25">
      <c r="A220" s="2" t="s">
        <v>554</v>
      </c>
      <c r="B220" s="20">
        <v>45016</v>
      </c>
      <c r="C220" s="2" t="s">
        <v>1</v>
      </c>
      <c r="D220" s="2" t="s">
        <v>0</v>
      </c>
      <c r="E220" s="2" t="s">
        <v>1168</v>
      </c>
      <c r="F220" s="2" t="s">
        <v>1169</v>
      </c>
      <c r="G220" s="14">
        <v>1507</v>
      </c>
      <c r="H220" s="18">
        <v>1507</v>
      </c>
      <c r="I220" s="19" t="s">
        <v>955</v>
      </c>
      <c r="J220" s="13" t="s">
        <v>956</v>
      </c>
      <c r="K220" s="2">
        <v>0</v>
      </c>
      <c r="L220" s="2">
        <v>0</v>
      </c>
      <c r="M220" s="13">
        <v>69.75</v>
      </c>
      <c r="N220" s="2">
        <v>9.0675000000000008</v>
      </c>
      <c r="O220" s="2">
        <v>0</v>
      </c>
      <c r="P220" s="2">
        <v>0</v>
      </c>
      <c r="Q220" s="13">
        <v>78.817499999999995</v>
      </c>
      <c r="R220" s="2">
        <v>0</v>
      </c>
      <c r="S220" s="2" t="s">
        <v>1</v>
      </c>
    </row>
    <row r="221" spans="1:19" x14ac:dyDescent="0.25">
      <c r="A221" s="2" t="s">
        <v>554</v>
      </c>
      <c r="B221" s="20">
        <v>45016</v>
      </c>
      <c r="C221" s="2" t="s">
        <v>1</v>
      </c>
      <c r="D221" s="2" t="s">
        <v>0</v>
      </c>
      <c r="E221" s="2" t="s">
        <v>1168</v>
      </c>
      <c r="F221" s="2" t="s">
        <v>1169</v>
      </c>
      <c r="G221" s="14">
        <v>1508</v>
      </c>
      <c r="H221" s="18">
        <v>1508</v>
      </c>
      <c r="I221" s="19"/>
      <c r="J221" s="13" t="s">
        <v>986</v>
      </c>
      <c r="K221" s="2">
        <v>0</v>
      </c>
      <c r="L221" s="2">
        <v>0</v>
      </c>
      <c r="M221" s="13">
        <v>371.27</v>
      </c>
      <c r="N221" s="2">
        <v>48.265099999999997</v>
      </c>
      <c r="O221" s="2">
        <v>0</v>
      </c>
      <c r="P221" s="2">
        <v>0</v>
      </c>
      <c r="Q221" s="13">
        <v>419.5351</v>
      </c>
      <c r="R221" s="2">
        <v>0</v>
      </c>
      <c r="S221" s="2" t="s">
        <v>1</v>
      </c>
    </row>
    <row r="222" spans="1:19" x14ac:dyDescent="0.25">
      <c r="A222" s="2" t="s">
        <v>554</v>
      </c>
      <c r="B222" s="20">
        <v>45016</v>
      </c>
      <c r="C222" s="2" t="s">
        <v>1</v>
      </c>
      <c r="D222" s="2" t="s">
        <v>0</v>
      </c>
      <c r="E222" s="2" t="s">
        <v>1168</v>
      </c>
      <c r="F222" s="2" t="s">
        <v>1169</v>
      </c>
      <c r="G222" s="14">
        <v>1509</v>
      </c>
      <c r="H222" s="18">
        <v>1509</v>
      </c>
      <c r="I222" s="19" t="s">
        <v>1077</v>
      </c>
      <c r="J222" s="13" t="s">
        <v>1078</v>
      </c>
      <c r="K222" s="2">
        <v>0</v>
      </c>
      <c r="L222" s="2">
        <v>0</v>
      </c>
      <c r="M222" s="13">
        <v>44.5</v>
      </c>
      <c r="N222" s="2">
        <v>5.7850000000000001</v>
      </c>
      <c r="O222" s="2">
        <v>0</v>
      </c>
      <c r="P222" s="2">
        <v>0</v>
      </c>
      <c r="Q222" s="13">
        <v>50.284999999999997</v>
      </c>
      <c r="R222" s="2">
        <v>0</v>
      </c>
      <c r="S222" s="2" t="s">
        <v>1</v>
      </c>
    </row>
    <row r="223" spans="1:19" x14ac:dyDescent="0.25">
      <c r="A223" s="2" t="s">
        <v>554</v>
      </c>
      <c r="B223" s="20">
        <v>45016</v>
      </c>
      <c r="C223" s="2" t="s">
        <v>1</v>
      </c>
      <c r="D223" s="2" t="s">
        <v>0</v>
      </c>
      <c r="E223" s="2" t="s">
        <v>1168</v>
      </c>
      <c r="F223" s="2" t="s">
        <v>1169</v>
      </c>
      <c r="G223" s="14">
        <v>1510</v>
      </c>
      <c r="H223" s="18">
        <v>1510</v>
      </c>
      <c r="I223" s="19" t="s">
        <v>1059</v>
      </c>
      <c r="J223" s="13" t="s">
        <v>1060</v>
      </c>
      <c r="K223" s="2">
        <v>0</v>
      </c>
      <c r="L223" s="2">
        <v>0</v>
      </c>
      <c r="M223" s="13">
        <v>102.8</v>
      </c>
      <c r="N223" s="2">
        <v>13.364000000000001</v>
      </c>
      <c r="O223" s="2">
        <v>0</v>
      </c>
      <c r="P223" s="2">
        <v>0</v>
      </c>
      <c r="Q223" s="13">
        <v>116.164</v>
      </c>
      <c r="R223" s="2">
        <v>0</v>
      </c>
      <c r="S223" s="2" t="s">
        <v>1</v>
      </c>
    </row>
    <row r="224" spans="1:19" x14ac:dyDescent="0.25">
      <c r="A224" s="2" t="s">
        <v>508</v>
      </c>
      <c r="B224" s="20">
        <v>44959</v>
      </c>
      <c r="C224" s="2" t="s">
        <v>1</v>
      </c>
      <c r="D224" s="2" t="s">
        <v>0</v>
      </c>
      <c r="E224" s="2" t="s">
        <v>1168</v>
      </c>
      <c r="F224" s="2" t="s">
        <v>1169</v>
      </c>
      <c r="G224" s="14">
        <v>1142</v>
      </c>
      <c r="H224" s="18">
        <v>1142</v>
      </c>
      <c r="I224" s="19" t="s">
        <v>987</v>
      </c>
      <c r="J224" s="13" t="s">
        <v>988</v>
      </c>
      <c r="K224" s="2">
        <v>0</v>
      </c>
      <c r="L224" s="2">
        <v>0</v>
      </c>
      <c r="M224" s="13">
        <v>126.09</v>
      </c>
      <c r="N224" s="2">
        <v>16.3917</v>
      </c>
      <c r="O224" s="2">
        <v>0</v>
      </c>
      <c r="P224" s="2">
        <v>0</v>
      </c>
      <c r="Q224" s="13">
        <v>142.48169999999999</v>
      </c>
      <c r="R224" s="2">
        <v>0</v>
      </c>
      <c r="S224" s="2" t="s">
        <v>1</v>
      </c>
    </row>
    <row r="225" spans="1:19" x14ac:dyDescent="0.25">
      <c r="A225" s="2" t="s">
        <v>508</v>
      </c>
      <c r="B225" s="20">
        <v>44959</v>
      </c>
      <c r="C225" s="2" t="s">
        <v>1</v>
      </c>
      <c r="D225" s="2" t="s">
        <v>0</v>
      </c>
      <c r="E225" s="2" t="s">
        <v>1168</v>
      </c>
      <c r="F225" s="2" t="s">
        <v>1169</v>
      </c>
      <c r="G225" s="14">
        <v>1143</v>
      </c>
      <c r="H225" s="18">
        <v>1143</v>
      </c>
      <c r="I225" s="19" t="s">
        <v>134</v>
      </c>
      <c r="J225" s="13" t="s">
        <v>135</v>
      </c>
      <c r="K225" s="2">
        <v>0</v>
      </c>
      <c r="L225" s="2">
        <v>0</v>
      </c>
      <c r="M225" s="13">
        <v>6.24</v>
      </c>
      <c r="N225" s="2">
        <v>0.81120000000000003</v>
      </c>
      <c r="O225" s="2">
        <v>0</v>
      </c>
      <c r="P225" s="2">
        <v>0</v>
      </c>
      <c r="Q225" s="13">
        <v>7.0512000000000006</v>
      </c>
      <c r="R225" s="2">
        <v>0</v>
      </c>
      <c r="S225" s="2" t="s">
        <v>1</v>
      </c>
    </row>
    <row r="226" spans="1:19" x14ac:dyDescent="0.25">
      <c r="A226" s="2" t="s">
        <v>508</v>
      </c>
      <c r="B226" s="20">
        <v>44960</v>
      </c>
      <c r="C226" s="2" t="s">
        <v>1</v>
      </c>
      <c r="D226" s="2" t="s">
        <v>0</v>
      </c>
      <c r="E226" s="2" t="s">
        <v>1168</v>
      </c>
      <c r="F226" s="2" t="s">
        <v>1169</v>
      </c>
      <c r="G226" s="14">
        <v>1144</v>
      </c>
      <c r="H226" s="18">
        <v>1144</v>
      </c>
      <c r="I226" s="19" t="s">
        <v>150</v>
      </c>
      <c r="J226" s="13" t="s">
        <v>151</v>
      </c>
      <c r="K226" s="2">
        <v>0</v>
      </c>
      <c r="L226" s="2">
        <v>0</v>
      </c>
      <c r="M226" s="13">
        <v>254.02</v>
      </c>
      <c r="N226" s="2">
        <v>33.022600000000004</v>
      </c>
      <c r="O226" s="2">
        <v>0</v>
      </c>
      <c r="P226" s="2">
        <v>0</v>
      </c>
      <c r="Q226" s="13">
        <v>287.04259999999999</v>
      </c>
      <c r="R226" s="2">
        <v>0</v>
      </c>
      <c r="S226" s="2" t="s">
        <v>1</v>
      </c>
    </row>
    <row r="227" spans="1:19" x14ac:dyDescent="0.25">
      <c r="A227" s="2" t="s">
        <v>508</v>
      </c>
      <c r="B227" s="20">
        <v>44960</v>
      </c>
      <c r="C227" s="2" t="s">
        <v>1</v>
      </c>
      <c r="D227" s="2" t="s">
        <v>0</v>
      </c>
      <c r="E227" s="2" t="s">
        <v>1168</v>
      </c>
      <c r="F227" s="2" t="s">
        <v>1169</v>
      </c>
      <c r="G227" s="14">
        <v>1145</v>
      </c>
      <c r="H227" s="18">
        <v>1145</v>
      </c>
      <c r="I227" s="19" t="s">
        <v>150</v>
      </c>
      <c r="J227" s="13" t="s">
        <v>151</v>
      </c>
      <c r="K227" s="2">
        <v>0</v>
      </c>
      <c r="L227" s="2">
        <v>0</v>
      </c>
      <c r="M227" s="13">
        <v>37.17</v>
      </c>
      <c r="N227" s="2">
        <v>4.8321000000000005</v>
      </c>
      <c r="O227" s="2">
        <v>0</v>
      </c>
      <c r="P227" s="2">
        <v>0</v>
      </c>
      <c r="Q227" s="13">
        <v>42.002099999999999</v>
      </c>
      <c r="R227" s="2">
        <v>0</v>
      </c>
      <c r="S227" s="2" t="s">
        <v>1</v>
      </c>
    </row>
    <row r="228" spans="1:19" x14ac:dyDescent="0.25">
      <c r="A228" s="2" t="s">
        <v>508</v>
      </c>
      <c r="B228" s="20">
        <v>44960</v>
      </c>
      <c r="C228" s="2" t="s">
        <v>1</v>
      </c>
      <c r="D228" s="2" t="s">
        <v>0</v>
      </c>
      <c r="E228" s="2" t="s">
        <v>1168</v>
      </c>
      <c r="F228" s="2" t="s">
        <v>1169</v>
      </c>
      <c r="G228" s="14">
        <v>1146</v>
      </c>
      <c r="H228" s="18">
        <v>1146</v>
      </c>
      <c r="J228" s="13" t="s">
        <v>536</v>
      </c>
      <c r="K228" s="2">
        <v>0</v>
      </c>
      <c r="L228" s="2">
        <v>0</v>
      </c>
      <c r="M228" s="13">
        <v>74.92</v>
      </c>
      <c r="N228" s="2">
        <v>9.7396000000000011</v>
      </c>
      <c r="O228" s="2">
        <v>0</v>
      </c>
      <c r="P228" s="2">
        <v>0</v>
      </c>
      <c r="Q228" s="13">
        <v>84.659599999999998</v>
      </c>
      <c r="R228" s="19" t="s">
        <v>1117</v>
      </c>
      <c r="S228" s="2" t="s">
        <v>1</v>
      </c>
    </row>
    <row r="229" spans="1:19" x14ac:dyDescent="0.25">
      <c r="A229" s="2" t="s">
        <v>508</v>
      </c>
      <c r="B229" s="20">
        <v>44960</v>
      </c>
      <c r="C229" s="2" t="s">
        <v>1</v>
      </c>
      <c r="D229" s="2" t="s">
        <v>0</v>
      </c>
      <c r="E229" s="2" t="s">
        <v>1168</v>
      </c>
      <c r="F229" s="2" t="s">
        <v>1169</v>
      </c>
      <c r="G229" s="14">
        <v>1147</v>
      </c>
      <c r="H229" s="18">
        <v>1147</v>
      </c>
      <c r="I229" s="19" t="s">
        <v>435</v>
      </c>
      <c r="J229" s="13" t="s">
        <v>434</v>
      </c>
      <c r="K229" s="2">
        <v>0</v>
      </c>
      <c r="L229" s="2">
        <v>0</v>
      </c>
      <c r="M229" s="13">
        <v>0</v>
      </c>
      <c r="N229" s="2">
        <v>0</v>
      </c>
      <c r="O229" s="2">
        <v>0</v>
      </c>
      <c r="P229" s="2">
        <v>0</v>
      </c>
      <c r="Q229" s="13">
        <v>0</v>
      </c>
      <c r="R229" s="2">
        <v>0</v>
      </c>
      <c r="S229" s="2" t="s">
        <v>1</v>
      </c>
    </row>
    <row r="230" spans="1:19" x14ac:dyDescent="0.25">
      <c r="A230" s="2" t="s">
        <v>508</v>
      </c>
      <c r="B230" s="20">
        <v>44960</v>
      </c>
      <c r="C230" s="2" t="s">
        <v>1</v>
      </c>
      <c r="D230" s="2" t="s">
        <v>0</v>
      </c>
      <c r="E230" s="2" t="s">
        <v>1168</v>
      </c>
      <c r="F230" s="2" t="s">
        <v>1169</v>
      </c>
      <c r="G230" s="14">
        <v>1148</v>
      </c>
      <c r="H230" s="18">
        <v>1148</v>
      </c>
      <c r="I230" s="19" t="s">
        <v>1141</v>
      </c>
      <c r="J230" s="13" t="s">
        <v>997</v>
      </c>
      <c r="K230" s="2">
        <v>0</v>
      </c>
      <c r="L230" s="2">
        <v>0</v>
      </c>
      <c r="M230" s="13">
        <v>164.82</v>
      </c>
      <c r="N230" s="2">
        <v>21.426600000000001</v>
      </c>
      <c r="O230" s="2">
        <v>0</v>
      </c>
      <c r="P230" s="2">
        <v>0</v>
      </c>
      <c r="Q230" s="13">
        <v>186.2466</v>
      </c>
      <c r="R230" s="2">
        <v>0</v>
      </c>
      <c r="S230" s="2" t="s">
        <v>1</v>
      </c>
    </row>
    <row r="231" spans="1:19" x14ac:dyDescent="0.25">
      <c r="A231" s="2" t="s">
        <v>508</v>
      </c>
      <c r="B231" s="20">
        <v>44960</v>
      </c>
      <c r="C231" s="2" t="s">
        <v>1</v>
      </c>
      <c r="D231" s="2" t="s">
        <v>0</v>
      </c>
      <c r="E231" s="2" t="s">
        <v>1168</v>
      </c>
      <c r="F231" s="2" t="s">
        <v>1169</v>
      </c>
      <c r="G231" s="14">
        <v>1149</v>
      </c>
      <c r="H231" s="18">
        <v>1149</v>
      </c>
      <c r="I231" s="19" t="s">
        <v>1065</v>
      </c>
      <c r="J231" s="13" t="s">
        <v>1066</v>
      </c>
      <c r="K231" s="2">
        <v>0</v>
      </c>
      <c r="L231" s="2">
        <v>0</v>
      </c>
      <c r="M231" s="13">
        <v>25.39</v>
      </c>
      <c r="N231" s="2">
        <v>3.3007</v>
      </c>
      <c r="O231" s="2">
        <v>0</v>
      </c>
      <c r="P231" s="2">
        <v>0</v>
      </c>
      <c r="Q231" s="13">
        <v>28.6907</v>
      </c>
      <c r="R231" s="2">
        <v>0</v>
      </c>
      <c r="S231" s="2" t="s">
        <v>1</v>
      </c>
    </row>
    <row r="232" spans="1:19" x14ac:dyDescent="0.25">
      <c r="A232" s="2" t="s">
        <v>508</v>
      </c>
      <c r="B232" s="20">
        <v>44960</v>
      </c>
      <c r="C232" s="2" t="s">
        <v>1</v>
      </c>
      <c r="D232" s="2" t="s">
        <v>0</v>
      </c>
      <c r="E232" s="2" t="s">
        <v>1168</v>
      </c>
      <c r="F232" s="2" t="s">
        <v>1169</v>
      </c>
      <c r="G232" s="14">
        <v>1150</v>
      </c>
      <c r="H232" s="18">
        <v>1150</v>
      </c>
      <c r="I232" s="19" t="s">
        <v>1006</v>
      </c>
      <c r="J232" s="13" t="s">
        <v>1007</v>
      </c>
      <c r="K232" s="2">
        <v>0</v>
      </c>
      <c r="L232" s="2">
        <v>0</v>
      </c>
      <c r="M232" s="13">
        <v>12.39</v>
      </c>
      <c r="N232" s="2">
        <v>1.6107</v>
      </c>
      <c r="O232" s="2">
        <v>0</v>
      </c>
      <c r="P232" s="2">
        <v>0</v>
      </c>
      <c r="Q232" s="13">
        <v>14.0007</v>
      </c>
      <c r="R232" s="2">
        <v>0</v>
      </c>
      <c r="S232" s="2" t="s">
        <v>1</v>
      </c>
    </row>
    <row r="233" spans="1:19" x14ac:dyDescent="0.25">
      <c r="A233" s="2" t="s">
        <v>508</v>
      </c>
      <c r="B233" s="20">
        <v>44960</v>
      </c>
      <c r="C233" s="2" t="s">
        <v>1</v>
      </c>
      <c r="D233" s="2" t="s">
        <v>0</v>
      </c>
      <c r="E233" s="2" t="s">
        <v>1168</v>
      </c>
      <c r="F233" s="2" t="s">
        <v>1169</v>
      </c>
      <c r="G233" s="14">
        <v>1151</v>
      </c>
      <c r="H233" s="18">
        <v>1151</v>
      </c>
      <c r="I233" s="19" t="s">
        <v>1027</v>
      </c>
      <c r="J233" s="13" t="s">
        <v>1028</v>
      </c>
      <c r="K233" s="2">
        <v>0</v>
      </c>
      <c r="L233" s="2">
        <v>0</v>
      </c>
      <c r="M233" s="13">
        <v>154.5</v>
      </c>
      <c r="N233" s="2">
        <v>20.085000000000001</v>
      </c>
      <c r="O233" s="2">
        <v>0</v>
      </c>
      <c r="P233" s="2">
        <v>0</v>
      </c>
      <c r="Q233" s="13">
        <v>174.58500000000001</v>
      </c>
      <c r="R233" s="2">
        <v>0</v>
      </c>
      <c r="S233" s="2" t="s">
        <v>1</v>
      </c>
    </row>
    <row r="234" spans="1:19" x14ac:dyDescent="0.25">
      <c r="A234" s="2" t="s">
        <v>508</v>
      </c>
      <c r="B234" s="20">
        <v>44960</v>
      </c>
      <c r="C234" s="2" t="s">
        <v>1</v>
      </c>
      <c r="D234" s="2" t="s">
        <v>0</v>
      </c>
      <c r="E234" s="2" t="s">
        <v>1168</v>
      </c>
      <c r="F234" s="2" t="s">
        <v>1169</v>
      </c>
      <c r="G234" s="14">
        <v>1152</v>
      </c>
      <c r="H234" s="18">
        <v>1152</v>
      </c>
      <c r="I234" s="19" t="s">
        <v>1073</v>
      </c>
      <c r="J234" s="13" t="s">
        <v>1074</v>
      </c>
      <c r="K234" s="2">
        <v>0</v>
      </c>
      <c r="L234" s="2">
        <v>0</v>
      </c>
      <c r="M234" s="13">
        <v>184.52</v>
      </c>
      <c r="N234" s="2">
        <v>23.9876</v>
      </c>
      <c r="O234" s="2">
        <v>0</v>
      </c>
      <c r="P234" s="2">
        <v>0</v>
      </c>
      <c r="Q234" s="13">
        <v>208.50760000000002</v>
      </c>
      <c r="R234" s="2">
        <v>0</v>
      </c>
      <c r="S234" s="2" t="s">
        <v>1</v>
      </c>
    </row>
    <row r="235" spans="1:19" x14ac:dyDescent="0.25">
      <c r="A235" s="2" t="s">
        <v>508</v>
      </c>
      <c r="B235" s="20">
        <v>44960</v>
      </c>
      <c r="C235" s="2" t="s">
        <v>1</v>
      </c>
      <c r="D235" s="2" t="s">
        <v>0</v>
      </c>
      <c r="E235" s="2" t="s">
        <v>1168</v>
      </c>
      <c r="F235" s="2" t="s">
        <v>1169</v>
      </c>
      <c r="G235" s="14">
        <v>1153</v>
      </c>
      <c r="H235" s="18">
        <v>1153</v>
      </c>
      <c r="I235" s="19" t="s">
        <v>1025</v>
      </c>
      <c r="J235" s="13" t="s">
        <v>1026</v>
      </c>
      <c r="K235" s="2">
        <v>0</v>
      </c>
      <c r="L235" s="2">
        <v>0</v>
      </c>
      <c r="M235" s="13">
        <v>569.41</v>
      </c>
      <c r="N235" s="2">
        <v>74.023299999999992</v>
      </c>
      <c r="O235" s="2">
        <v>0</v>
      </c>
      <c r="P235" s="2">
        <v>0</v>
      </c>
      <c r="Q235" s="13">
        <v>643.43329999999992</v>
      </c>
      <c r="R235" s="2">
        <v>0</v>
      </c>
      <c r="S235" s="2" t="s">
        <v>1</v>
      </c>
    </row>
    <row r="236" spans="1:19" x14ac:dyDescent="0.25">
      <c r="A236" s="2" t="s">
        <v>508</v>
      </c>
      <c r="B236" s="20">
        <v>44960</v>
      </c>
      <c r="C236" s="2" t="s">
        <v>1</v>
      </c>
      <c r="D236" s="2" t="s">
        <v>0</v>
      </c>
      <c r="E236" s="2" t="s">
        <v>1168</v>
      </c>
      <c r="F236" s="2" t="s">
        <v>1169</v>
      </c>
      <c r="G236" s="14">
        <v>1154</v>
      </c>
      <c r="H236" s="18">
        <v>1154</v>
      </c>
      <c r="I236" s="19" t="s">
        <v>435</v>
      </c>
      <c r="J236" s="13" t="s">
        <v>434</v>
      </c>
      <c r="K236" s="2">
        <v>0</v>
      </c>
      <c r="L236" s="2">
        <v>0</v>
      </c>
      <c r="M236" s="13">
        <v>0</v>
      </c>
      <c r="N236" s="2">
        <v>0</v>
      </c>
      <c r="O236" s="2">
        <v>0</v>
      </c>
      <c r="P236" s="2">
        <v>0</v>
      </c>
      <c r="Q236" s="13">
        <v>0</v>
      </c>
      <c r="R236" s="2">
        <v>0</v>
      </c>
      <c r="S236" s="2" t="s">
        <v>1</v>
      </c>
    </row>
    <row r="237" spans="1:19" x14ac:dyDescent="0.25">
      <c r="A237" s="2" t="s">
        <v>508</v>
      </c>
      <c r="B237" s="20">
        <v>44960</v>
      </c>
      <c r="C237" s="2" t="s">
        <v>1</v>
      </c>
      <c r="D237" s="2" t="s">
        <v>0</v>
      </c>
      <c r="E237" s="2" t="s">
        <v>1168</v>
      </c>
      <c r="F237" s="2" t="s">
        <v>1169</v>
      </c>
      <c r="G237" s="14">
        <v>1155</v>
      </c>
      <c r="H237" s="18">
        <v>1155</v>
      </c>
      <c r="J237" s="13" t="s">
        <v>793</v>
      </c>
      <c r="K237" s="2">
        <v>0</v>
      </c>
      <c r="L237" s="2">
        <v>0</v>
      </c>
      <c r="M237" s="13">
        <v>83</v>
      </c>
      <c r="N237" s="2">
        <v>10.790000000000001</v>
      </c>
      <c r="O237" s="2">
        <v>0</v>
      </c>
      <c r="P237" s="2">
        <v>0</v>
      </c>
      <c r="Q237" s="13">
        <v>93.79</v>
      </c>
      <c r="R237" s="19" t="s">
        <v>792</v>
      </c>
      <c r="S237" s="2" t="s">
        <v>1</v>
      </c>
    </row>
    <row r="238" spans="1:19" x14ac:dyDescent="0.25">
      <c r="A238" s="2" t="s">
        <v>508</v>
      </c>
      <c r="B238" s="20">
        <v>44960</v>
      </c>
      <c r="C238" s="2" t="s">
        <v>1</v>
      </c>
      <c r="D238" s="2" t="s">
        <v>0</v>
      </c>
      <c r="E238" s="2" t="s">
        <v>1168</v>
      </c>
      <c r="F238" s="2" t="s">
        <v>1169</v>
      </c>
      <c r="G238" s="14">
        <v>1156</v>
      </c>
      <c r="H238" s="18">
        <v>1156</v>
      </c>
      <c r="I238" s="19" t="s">
        <v>965</v>
      </c>
      <c r="J238" s="13" t="s">
        <v>966</v>
      </c>
      <c r="K238" s="2">
        <v>0</v>
      </c>
      <c r="L238" s="2">
        <v>0</v>
      </c>
      <c r="M238" s="13">
        <v>59.58</v>
      </c>
      <c r="N238" s="2">
        <v>7.7454000000000001</v>
      </c>
      <c r="O238" s="2">
        <v>0</v>
      </c>
      <c r="P238" s="2">
        <v>0</v>
      </c>
      <c r="Q238" s="13">
        <v>67.325400000000002</v>
      </c>
      <c r="R238" s="2">
        <v>0</v>
      </c>
      <c r="S238" s="2" t="s">
        <v>1</v>
      </c>
    </row>
    <row r="239" spans="1:19" x14ac:dyDescent="0.25">
      <c r="A239" s="2" t="s">
        <v>508</v>
      </c>
      <c r="B239" s="20">
        <v>44960</v>
      </c>
      <c r="C239" s="2" t="s">
        <v>1</v>
      </c>
      <c r="D239" s="2" t="s">
        <v>0</v>
      </c>
      <c r="E239" s="2" t="s">
        <v>1168</v>
      </c>
      <c r="F239" s="2" t="s">
        <v>1169</v>
      </c>
      <c r="G239" s="14">
        <v>1157</v>
      </c>
      <c r="H239" s="18">
        <v>1157</v>
      </c>
      <c r="I239" s="19" t="s">
        <v>435</v>
      </c>
      <c r="J239" s="13" t="s">
        <v>434</v>
      </c>
      <c r="K239" s="2">
        <v>0</v>
      </c>
      <c r="L239" s="2">
        <v>0</v>
      </c>
      <c r="M239" s="13">
        <v>0</v>
      </c>
      <c r="N239" s="2">
        <v>0</v>
      </c>
      <c r="O239" s="2">
        <v>0</v>
      </c>
      <c r="P239" s="2">
        <v>0</v>
      </c>
      <c r="Q239" s="13">
        <v>0</v>
      </c>
      <c r="R239" s="2">
        <v>0</v>
      </c>
      <c r="S239" s="2" t="s">
        <v>1</v>
      </c>
    </row>
    <row r="240" spans="1:19" x14ac:dyDescent="0.25">
      <c r="A240" s="2" t="s">
        <v>508</v>
      </c>
      <c r="B240" s="20">
        <v>44963</v>
      </c>
      <c r="C240" s="2" t="s">
        <v>1</v>
      </c>
      <c r="D240" s="2" t="s">
        <v>0</v>
      </c>
      <c r="E240" s="2" t="s">
        <v>1168</v>
      </c>
      <c r="F240" s="2" t="s">
        <v>1169</v>
      </c>
      <c r="G240" s="14">
        <v>1158</v>
      </c>
      <c r="H240" s="18">
        <v>1158</v>
      </c>
      <c r="J240" s="13" t="s">
        <v>1179</v>
      </c>
      <c r="K240" s="2">
        <v>0</v>
      </c>
      <c r="L240" s="2">
        <v>0</v>
      </c>
      <c r="M240" s="13">
        <v>337.82</v>
      </c>
      <c r="N240" s="2">
        <v>43.916600000000003</v>
      </c>
      <c r="O240" s="2">
        <v>0</v>
      </c>
      <c r="P240" s="2">
        <v>0</v>
      </c>
      <c r="Q240" s="13">
        <v>381.73660000000001</v>
      </c>
      <c r="R240" s="19" t="s">
        <v>1178</v>
      </c>
      <c r="S240" s="2" t="s">
        <v>1</v>
      </c>
    </row>
    <row r="241" spans="1:19" x14ac:dyDescent="0.25">
      <c r="A241" s="2" t="s">
        <v>508</v>
      </c>
      <c r="B241" s="20">
        <v>44963</v>
      </c>
      <c r="C241" s="2" t="s">
        <v>1</v>
      </c>
      <c r="D241" s="2" t="s">
        <v>0</v>
      </c>
      <c r="E241" s="2" t="s">
        <v>1168</v>
      </c>
      <c r="F241" s="2" t="s">
        <v>1169</v>
      </c>
      <c r="G241" s="14">
        <v>1159</v>
      </c>
      <c r="H241" s="18">
        <v>1159</v>
      </c>
      <c r="I241" s="19" t="s">
        <v>1105</v>
      </c>
      <c r="J241" s="13" t="s">
        <v>1106</v>
      </c>
      <c r="K241" s="2">
        <v>0</v>
      </c>
      <c r="L241" s="2">
        <v>0</v>
      </c>
      <c r="M241" s="13">
        <v>153.76</v>
      </c>
      <c r="N241" s="2">
        <v>19.988800000000001</v>
      </c>
      <c r="O241" s="2">
        <v>0</v>
      </c>
      <c r="P241" s="2">
        <v>0</v>
      </c>
      <c r="Q241" s="13">
        <v>173.74879999999999</v>
      </c>
      <c r="R241" s="2">
        <v>0</v>
      </c>
      <c r="S241" s="2" t="s">
        <v>1</v>
      </c>
    </row>
    <row r="242" spans="1:19" x14ac:dyDescent="0.25">
      <c r="A242" s="2" t="s">
        <v>508</v>
      </c>
      <c r="B242" s="20">
        <v>44963</v>
      </c>
      <c r="C242" s="2" t="s">
        <v>1</v>
      </c>
      <c r="D242" s="2" t="s">
        <v>0</v>
      </c>
      <c r="E242" s="2" t="s">
        <v>1168</v>
      </c>
      <c r="F242" s="2" t="s">
        <v>1169</v>
      </c>
      <c r="G242" s="14">
        <v>1160</v>
      </c>
      <c r="H242" s="18">
        <v>1160</v>
      </c>
      <c r="I242" s="19" t="s">
        <v>156</v>
      </c>
      <c r="J242" s="13" t="s">
        <v>157</v>
      </c>
      <c r="K242" s="2">
        <v>0</v>
      </c>
      <c r="L242" s="2">
        <v>0</v>
      </c>
      <c r="M242" s="13">
        <v>76.650000000000006</v>
      </c>
      <c r="N242" s="2">
        <v>9.964500000000001</v>
      </c>
      <c r="O242" s="2">
        <v>0</v>
      </c>
      <c r="P242" s="2">
        <v>0</v>
      </c>
      <c r="Q242" s="13">
        <v>86.614500000000007</v>
      </c>
      <c r="R242" s="2">
        <v>0</v>
      </c>
      <c r="S242" s="2" t="s">
        <v>1</v>
      </c>
    </row>
    <row r="243" spans="1:19" x14ac:dyDescent="0.25">
      <c r="A243" s="2" t="s">
        <v>508</v>
      </c>
      <c r="B243" s="20" t="s">
        <v>1263</v>
      </c>
      <c r="C243" s="2" t="s">
        <v>1</v>
      </c>
      <c r="D243" s="2" t="s">
        <v>0</v>
      </c>
      <c r="E243" s="2" t="s">
        <v>1168</v>
      </c>
      <c r="F243" s="2" t="s">
        <v>1169</v>
      </c>
      <c r="G243" s="14">
        <v>1161</v>
      </c>
      <c r="H243" s="18">
        <v>1161</v>
      </c>
      <c r="I243" s="19" t="s">
        <v>993</v>
      </c>
      <c r="J243" s="13" t="s">
        <v>994</v>
      </c>
      <c r="K243" s="2">
        <v>0</v>
      </c>
      <c r="L243" s="2">
        <v>0</v>
      </c>
      <c r="M243" s="13">
        <v>49.8</v>
      </c>
      <c r="N243" s="2">
        <v>6.4740000000000002</v>
      </c>
      <c r="O243" s="2">
        <v>0</v>
      </c>
      <c r="P243" s="2">
        <v>0</v>
      </c>
      <c r="Q243" s="13">
        <v>56.274000000000001</v>
      </c>
      <c r="R243" s="2">
        <v>0</v>
      </c>
      <c r="S243" s="2" t="s">
        <v>1</v>
      </c>
    </row>
    <row r="244" spans="1:19" x14ac:dyDescent="0.25">
      <c r="A244" s="2" t="s">
        <v>508</v>
      </c>
      <c r="B244" s="20" t="s">
        <v>1263</v>
      </c>
      <c r="C244" s="2" t="s">
        <v>1</v>
      </c>
      <c r="D244" s="2" t="s">
        <v>0</v>
      </c>
      <c r="E244" s="2" t="s">
        <v>1168</v>
      </c>
      <c r="F244" s="2" t="s">
        <v>1169</v>
      </c>
      <c r="G244" s="14">
        <v>1162</v>
      </c>
      <c r="H244" s="18">
        <v>1162</v>
      </c>
      <c r="I244" s="19" t="s">
        <v>1107</v>
      </c>
      <c r="J244" s="13" t="s">
        <v>1108</v>
      </c>
      <c r="K244" s="2">
        <v>0</v>
      </c>
      <c r="L244" s="2">
        <v>0</v>
      </c>
      <c r="M244" s="13">
        <v>22.16</v>
      </c>
      <c r="N244" s="2">
        <v>2.8808000000000002</v>
      </c>
      <c r="O244" s="2">
        <v>0</v>
      </c>
      <c r="P244" s="2">
        <v>0</v>
      </c>
      <c r="Q244" s="13">
        <v>25.040800000000001</v>
      </c>
      <c r="R244" s="2">
        <v>0</v>
      </c>
      <c r="S244" s="2" t="s">
        <v>1</v>
      </c>
    </row>
    <row r="245" spans="1:19" x14ac:dyDescent="0.25">
      <c r="A245" s="2" t="s">
        <v>508</v>
      </c>
      <c r="B245" s="20" t="s">
        <v>1263</v>
      </c>
      <c r="C245" s="2" t="s">
        <v>1</v>
      </c>
      <c r="D245" s="2" t="s">
        <v>0</v>
      </c>
      <c r="E245" s="2" t="s">
        <v>1168</v>
      </c>
      <c r="F245" s="2" t="s">
        <v>1169</v>
      </c>
      <c r="G245" s="14">
        <v>1163</v>
      </c>
      <c r="H245" s="18">
        <v>1163</v>
      </c>
      <c r="I245" s="19" t="s">
        <v>1053</v>
      </c>
      <c r="J245" s="13" t="s">
        <v>1054</v>
      </c>
      <c r="K245" s="2">
        <v>0</v>
      </c>
      <c r="L245" s="2">
        <v>0</v>
      </c>
      <c r="M245" s="13">
        <v>123.95</v>
      </c>
      <c r="N245" s="2">
        <v>16.113500000000002</v>
      </c>
      <c r="O245" s="2">
        <v>0</v>
      </c>
      <c r="P245" s="2">
        <v>0</v>
      </c>
      <c r="Q245" s="13">
        <v>140.0635</v>
      </c>
      <c r="R245" s="2">
        <v>0</v>
      </c>
      <c r="S245" s="2" t="s">
        <v>1</v>
      </c>
    </row>
    <row r="246" spans="1:19" x14ac:dyDescent="0.25">
      <c r="A246" s="2" t="s">
        <v>508</v>
      </c>
      <c r="B246" s="20" t="s">
        <v>1263</v>
      </c>
      <c r="C246" s="2" t="s">
        <v>1</v>
      </c>
      <c r="D246" s="2" t="s">
        <v>0</v>
      </c>
      <c r="E246" s="2" t="s">
        <v>1168</v>
      </c>
      <c r="F246" s="2" t="s">
        <v>1169</v>
      </c>
      <c r="G246" s="14">
        <v>1164</v>
      </c>
      <c r="H246" s="18">
        <v>1164</v>
      </c>
      <c r="I246" s="19" t="s">
        <v>1091</v>
      </c>
      <c r="J246" s="13" t="s">
        <v>1092</v>
      </c>
      <c r="K246" s="2">
        <v>0</v>
      </c>
      <c r="L246" s="2">
        <v>0</v>
      </c>
      <c r="M246" s="13">
        <v>36.9</v>
      </c>
      <c r="N246" s="2">
        <v>4.7969999999999997</v>
      </c>
      <c r="O246" s="2">
        <v>0</v>
      </c>
      <c r="P246" s="2">
        <v>0</v>
      </c>
      <c r="Q246" s="13">
        <v>41.696999999999996</v>
      </c>
      <c r="R246" s="2">
        <v>0</v>
      </c>
      <c r="S246" s="2" t="s">
        <v>1</v>
      </c>
    </row>
    <row r="247" spans="1:19" x14ac:dyDescent="0.25">
      <c r="A247" s="2" t="s">
        <v>508</v>
      </c>
      <c r="B247" s="20" t="s">
        <v>1263</v>
      </c>
      <c r="C247" s="2" t="s">
        <v>1</v>
      </c>
      <c r="D247" s="2" t="s">
        <v>0</v>
      </c>
      <c r="E247" s="2" t="s">
        <v>1168</v>
      </c>
      <c r="F247" s="2" t="s">
        <v>1169</v>
      </c>
      <c r="G247" s="14">
        <v>1165</v>
      </c>
      <c r="H247" s="18">
        <v>1165</v>
      </c>
      <c r="I247" s="19" t="s">
        <v>1264</v>
      </c>
      <c r="J247" s="13" t="s">
        <v>1265</v>
      </c>
      <c r="K247" s="2">
        <v>0</v>
      </c>
      <c r="L247" s="2">
        <v>0</v>
      </c>
      <c r="M247" s="13">
        <v>61.5</v>
      </c>
      <c r="N247" s="2">
        <v>7.9950000000000001</v>
      </c>
      <c r="O247" s="2">
        <v>0</v>
      </c>
      <c r="P247" s="2">
        <v>0</v>
      </c>
      <c r="Q247" s="13">
        <v>69.495000000000005</v>
      </c>
      <c r="R247" s="2">
        <v>0</v>
      </c>
      <c r="S247" s="2" t="s">
        <v>1</v>
      </c>
    </row>
    <row r="248" spans="1:19" x14ac:dyDescent="0.25">
      <c r="A248" s="2" t="s">
        <v>508</v>
      </c>
      <c r="B248" s="20" t="s">
        <v>1263</v>
      </c>
      <c r="C248" s="2" t="s">
        <v>1</v>
      </c>
      <c r="D248" s="2" t="s">
        <v>0</v>
      </c>
      <c r="E248" s="2" t="s">
        <v>1168</v>
      </c>
      <c r="F248" s="2" t="s">
        <v>1169</v>
      </c>
      <c r="G248" s="14">
        <v>1166</v>
      </c>
      <c r="H248" s="18">
        <v>1166</v>
      </c>
      <c r="I248" s="19" t="s">
        <v>81</v>
      </c>
      <c r="J248" s="13" t="s">
        <v>82</v>
      </c>
      <c r="K248" s="2">
        <v>0</v>
      </c>
      <c r="L248" s="2">
        <v>0</v>
      </c>
      <c r="M248" s="13">
        <v>99.56</v>
      </c>
      <c r="N248" s="2">
        <v>12.9428</v>
      </c>
      <c r="O248" s="2">
        <v>0</v>
      </c>
      <c r="P248" s="2">
        <v>0</v>
      </c>
      <c r="Q248" s="13">
        <v>112.50280000000001</v>
      </c>
      <c r="R248" s="2">
        <v>0</v>
      </c>
      <c r="S248" s="2" t="s">
        <v>1</v>
      </c>
    </row>
    <row r="249" spans="1:19" x14ac:dyDescent="0.25">
      <c r="A249" s="2" t="s">
        <v>508</v>
      </c>
      <c r="B249" s="20" t="s">
        <v>1263</v>
      </c>
      <c r="C249" s="2" t="s">
        <v>1</v>
      </c>
      <c r="D249" s="2" t="s">
        <v>0</v>
      </c>
      <c r="E249" s="2" t="s">
        <v>1168</v>
      </c>
      <c r="F249" s="2" t="s">
        <v>1169</v>
      </c>
      <c r="G249" s="14">
        <v>1167</v>
      </c>
      <c r="H249" s="18">
        <v>1167</v>
      </c>
      <c r="I249" s="19" t="s">
        <v>81</v>
      </c>
      <c r="J249" s="13" t="s">
        <v>82</v>
      </c>
      <c r="K249" s="2">
        <v>0</v>
      </c>
      <c r="L249" s="2">
        <v>0</v>
      </c>
      <c r="M249" s="13">
        <v>128.71</v>
      </c>
      <c r="N249" s="2">
        <v>16.732300000000002</v>
      </c>
      <c r="O249" s="2">
        <v>0</v>
      </c>
      <c r="P249" s="2">
        <v>0</v>
      </c>
      <c r="Q249" s="13">
        <v>145.44230000000002</v>
      </c>
      <c r="R249" s="2">
        <v>0</v>
      </c>
      <c r="S249" s="2" t="s">
        <v>1</v>
      </c>
    </row>
    <row r="250" spans="1:19" x14ac:dyDescent="0.25">
      <c r="A250" s="2" t="s">
        <v>508</v>
      </c>
      <c r="B250" s="20" t="s">
        <v>1263</v>
      </c>
      <c r="C250" s="2" t="s">
        <v>1</v>
      </c>
      <c r="D250" s="2" t="s">
        <v>0</v>
      </c>
      <c r="E250" s="2" t="s">
        <v>1168</v>
      </c>
      <c r="F250" s="2" t="s">
        <v>1169</v>
      </c>
      <c r="G250" s="14">
        <v>1168</v>
      </c>
      <c r="H250" s="18">
        <v>1168</v>
      </c>
      <c r="I250" s="19" t="s">
        <v>969</v>
      </c>
      <c r="J250" s="13" t="s">
        <v>970</v>
      </c>
      <c r="K250" s="2">
        <v>0</v>
      </c>
      <c r="L250" s="2">
        <v>0</v>
      </c>
      <c r="M250" s="13">
        <v>193.7</v>
      </c>
      <c r="N250" s="2">
        <v>25.181000000000001</v>
      </c>
      <c r="O250" s="2">
        <v>0</v>
      </c>
      <c r="P250" s="2">
        <v>0</v>
      </c>
      <c r="Q250" s="13">
        <v>218.881</v>
      </c>
      <c r="R250" s="2">
        <v>0</v>
      </c>
      <c r="S250" s="2" t="s">
        <v>1</v>
      </c>
    </row>
    <row r="251" spans="1:19" x14ac:dyDescent="0.25">
      <c r="A251" s="2" t="s">
        <v>508</v>
      </c>
      <c r="B251" s="20" t="s">
        <v>1263</v>
      </c>
      <c r="C251" s="2" t="s">
        <v>1</v>
      </c>
      <c r="D251" s="2" t="s">
        <v>0</v>
      </c>
      <c r="E251" s="2" t="s">
        <v>1168</v>
      </c>
      <c r="F251" s="2" t="s">
        <v>1169</v>
      </c>
      <c r="G251" s="14">
        <v>1169</v>
      </c>
      <c r="H251" s="18">
        <v>1169</v>
      </c>
      <c r="I251" s="19" t="s">
        <v>1141</v>
      </c>
      <c r="J251" s="13" t="s">
        <v>997</v>
      </c>
      <c r="K251" s="2">
        <v>0</v>
      </c>
      <c r="L251" s="2">
        <v>0</v>
      </c>
      <c r="M251" s="13">
        <v>194.24</v>
      </c>
      <c r="N251" s="2">
        <v>25.251200000000001</v>
      </c>
      <c r="O251" s="2">
        <v>0</v>
      </c>
      <c r="P251" s="2">
        <v>0</v>
      </c>
      <c r="Q251" s="13">
        <v>219.49120000000002</v>
      </c>
      <c r="R251" s="2">
        <v>0</v>
      </c>
      <c r="S251" s="2" t="s">
        <v>1</v>
      </c>
    </row>
    <row r="252" spans="1:19" x14ac:dyDescent="0.25">
      <c r="A252" s="2" t="s">
        <v>508</v>
      </c>
      <c r="B252" s="20" t="s">
        <v>1263</v>
      </c>
      <c r="C252" s="2" t="s">
        <v>1</v>
      </c>
      <c r="D252" s="2" t="s">
        <v>0</v>
      </c>
      <c r="E252" s="2" t="s">
        <v>1168</v>
      </c>
      <c r="F252" s="2" t="s">
        <v>1169</v>
      </c>
      <c r="G252" s="14">
        <v>1170</v>
      </c>
      <c r="H252" s="18">
        <v>1170</v>
      </c>
      <c r="I252" s="19" t="s">
        <v>1180</v>
      </c>
      <c r="J252" s="13" t="s">
        <v>1181</v>
      </c>
      <c r="K252" s="2">
        <v>0</v>
      </c>
      <c r="L252" s="2">
        <v>0</v>
      </c>
      <c r="M252" s="13">
        <v>33.35</v>
      </c>
      <c r="N252" s="2">
        <v>4.3355000000000006</v>
      </c>
      <c r="O252" s="2">
        <v>0</v>
      </c>
      <c r="P252" s="2">
        <v>0</v>
      </c>
      <c r="Q252" s="13">
        <v>37.685500000000005</v>
      </c>
      <c r="R252" s="2">
        <v>0</v>
      </c>
      <c r="S252" s="2" t="s">
        <v>1</v>
      </c>
    </row>
    <row r="253" spans="1:19" x14ac:dyDescent="0.25">
      <c r="A253" s="2" t="s">
        <v>508</v>
      </c>
      <c r="B253" s="20">
        <v>44965</v>
      </c>
      <c r="C253" s="2" t="s">
        <v>1</v>
      </c>
      <c r="D253" s="2" t="s">
        <v>0</v>
      </c>
      <c r="E253" s="2" t="s">
        <v>1168</v>
      </c>
      <c r="F253" s="2" t="s">
        <v>1169</v>
      </c>
      <c r="G253" s="14">
        <v>1171</v>
      </c>
      <c r="H253" s="18">
        <v>1171</v>
      </c>
      <c r="I253" s="19" t="s">
        <v>1141</v>
      </c>
      <c r="J253" s="13" t="s">
        <v>997</v>
      </c>
      <c r="K253" s="2">
        <v>0</v>
      </c>
      <c r="L253" s="2">
        <v>0</v>
      </c>
      <c r="M253" s="13">
        <v>298.66000000000003</v>
      </c>
      <c r="N253" s="2">
        <v>38.825800000000008</v>
      </c>
      <c r="O253" s="2">
        <v>0</v>
      </c>
      <c r="P253" s="2">
        <v>0</v>
      </c>
      <c r="Q253" s="13">
        <v>337.48580000000004</v>
      </c>
      <c r="R253" s="2">
        <v>0</v>
      </c>
      <c r="S253" s="2" t="s">
        <v>1</v>
      </c>
    </row>
    <row r="254" spans="1:19" x14ac:dyDescent="0.25">
      <c r="A254" s="2" t="s">
        <v>508</v>
      </c>
      <c r="B254" s="20">
        <v>44965</v>
      </c>
      <c r="C254" s="2" t="s">
        <v>1</v>
      </c>
      <c r="D254" s="2" t="s">
        <v>0</v>
      </c>
      <c r="E254" s="2" t="s">
        <v>1168</v>
      </c>
      <c r="F254" s="2" t="s">
        <v>1169</v>
      </c>
      <c r="G254" s="14">
        <v>1172</v>
      </c>
      <c r="H254" s="18">
        <v>1172</v>
      </c>
      <c r="I254" s="19" t="s">
        <v>1125</v>
      </c>
      <c r="J254" s="13" t="s">
        <v>1126</v>
      </c>
      <c r="K254" s="2">
        <v>0</v>
      </c>
      <c r="L254" s="2">
        <v>0</v>
      </c>
      <c r="M254" s="13">
        <v>307.5</v>
      </c>
      <c r="N254" s="2">
        <v>39.975000000000001</v>
      </c>
      <c r="O254" s="2">
        <v>0</v>
      </c>
      <c r="P254" s="2">
        <v>0</v>
      </c>
      <c r="Q254" s="13">
        <v>347.47500000000002</v>
      </c>
      <c r="R254" s="2">
        <v>0</v>
      </c>
      <c r="S254" s="2" t="s">
        <v>1</v>
      </c>
    </row>
    <row r="255" spans="1:19" x14ac:dyDescent="0.25">
      <c r="A255" s="2" t="s">
        <v>508</v>
      </c>
      <c r="B255" s="20">
        <v>44965</v>
      </c>
      <c r="C255" s="2" t="s">
        <v>1</v>
      </c>
      <c r="D255" s="2" t="s">
        <v>0</v>
      </c>
      <c r="E255" s="2" t="s">
        <v>1168</v>
      </c>
      <c r="F255" s="2" t="s">
        <v>1169</v>
      </c>
      <c r="G255" s="14">
        <v>1173</v>
      </c>
      <c r="H255" s="18">
        <v>1173</v>
      </c>
      <c r="I255" s="19" t="s">
        <v>1018</v>
      </c>
      <c r="J255" s="13" t="s">
        <v>1019</v>
      </c>
      <c r="K255" s="2">
        <v>0</v>
      </c>
      <c r="L255" s="2">
        <v>0</v>
      </c>
      <c r="M255" s="13">
        <v>326.77</v>
      </c>
      <c r="N255" s="2">
        <v>42.4801</v>
      </c>
      <c r="O255" s="2">
        <v>0</v>
      </c>
      <c r="P255" s="2">
        <v>0</v>
      </c>
      <c r="Q255" s="13">
        <v>369.25009999999997</v>
      </c>
      <c r="R255" s="2">
        <v>0</v>
      </c>
      <c r="S255" s="2" t="s">
        <v>1</v>
      </c>
    </row>
    <row r="256" spans="1:19" x14ac:dyDescent="0.25">
      <c r="A256" s="2" t="s">
        <v>508</v>
      </c>
      <c r="B256" s="20">
        <v>44965</v>
      </c>
      <c r="C256" s="2" t="s">
        <v>1</v>
      </c>
      <c r="D256" s="2" t="s">
        <v>0</v>
      </c>
      <c r="E256" s="2" t="s">
        <v>1168</v>
      </c>
      <c r="F256" s="2" t="s">
        <v>1169</v>
      </c>
      <c r="G256" s="14">
        <v>1174</v>
      </c>
      <c r="H256" s="18">
        <v>1174</v>
      </c>
      <c r="I256" s="19" t="s">
        <v>1165</v>
      </c>
      <c r="J256" s="13" t="s">
        <v>1166</v>
      </c>
      <c r="K256" s="2">
        <v>0</v>
      </c>
      <c r="L256" s="2">
        <v>0</v>
      </c>
      <c r="M256" s="13">
        <v>353.16</v>
      </c>
      <c r="N256" s="2">
        <v>45.910800000000002</v>
      </c>
      <c r="O256" s="2">
        <v>0</v>
      </c>
      <c r="P256" s="2">
        <v>0</v>
      </c>
      <c r="Q256" s="13">
        <v>399.07080000000002</v>
      </c>
      <c r="R256" s="2">
        <v>0</v>
      </c>
      <c r="S256" s="2" t="s">
        <v>1</v>
      </c>
    </row>
    <row r="257" spans="1:19" x14ac:dyDescent="0.25">
      <c r="A257" s="2" t="s">
        <v>508</v>
      </c>
      <c r="B257" s="20">
        <v>44965</v>
      </c>
      <c r="C257" s="2" t="s">
        <v>1</v>
      </c>
      <c r="D257" s="2" t="s">
        <v>0</v>
      </c>
      <c r="E257" s="2" t="s">
        <v>1168</v>
      </c>
      <c r="F257" s="2" t="s">
        <v>1169</v>
      </c>
      <c r="G257" s="14">
        <v>1175</v>
      </c>
      <c r="H257" s="18">
        <v>1175</v>
      </c>
      <c r="I257" s="19" t="s">
        <v>957</v>
      </c>
      <c r="J257" s="13" t="s">
        <v>958</v>
      </c>
      <c r="K257" s="2">
        <v>0</v>
      </c>
      <c r="L257" s="2">
        <v>0</v>
      </c>
      <c r="M257" s="13">
        <v>30.8</v>
      </c>
      <c r="N257" s="2">
        <v>4.0040000000000004</v>
      </c>
      <c r="O257" s="2">
        <v>0</v>
      </c>
      <c r="P257" s="2">
        <v>0</v>
      </c>
      <c r="Q257" s="13">
        <v>34.804000000000002</v>
      </c>
      <c r="R257" s="2">
        <v>0</v>
      </c>
      <c r="S257" s="2" t="s">
        <v>1</v>
      </c>
    </row>
    <row r="258" spans="1:19" x14ac:dyDescent="0.25">
      <c r="A258" s="2" t="s">
        <v>508</v>
      </c>
      <c r="B258" s="20">
        <v>44965</v>
      </c>
      <c r="C258" s="2" t="s">
        <v>1</v>
      </c>
      <c r="D258" s="2" t="s">
        <v>0</v>
      </c>
      <c r="E258" s="2" t="s">
        <v>1168</v>
      </c>
      <c r="F258" s="2" t="s">
        <v>1169</v>
      </c>
      <c r="G258" s="14">
        <v>1176</v>
      </c>
      <c r="H258" s="18">
        <v>1176</v>
      </c>
      <c r="I258" s="19" t="s">
        <v>435</v>
      </c>
      <c r="J258" s="13" t="s">
        <v>434</v>
      </c>
      <c r="K258" s="2">
        <v>0</v>
      </c>
      <c r="L258" s="2">
        <v>0</v>
      </c>
      <c r="M258" s="13">
        <v>0</v>
      </c>
      <c r="N258" s="2">
        <v>0</v>
      </c>
      <c r="O258" s="2">
        <v>0</v>
      </c>
      <c r="P258" s="2">
        <v>0</v>
      </c>
      <c r="Q258" s="13">
        <v>0</v>
      </c>
      <c r="R258" s="2">
        <v>0</v>
      </c>
      <c r="S258" s="2" t="s">
        <v>1</v>
      </c>
    </row>
    <row r="259" spans="1:19" x14ac:dyDescent="0.25">
      <c r="A259" s="2" t="s">
        <v>508</v>
      </c>
      <c r="B259" s="20">
        <v>44965</v>
      </c>
      <c r="C259" s="2" t="s">
        <v>1</v>
      </c>
      <c r="D259" s="2" t="s">
        <v>0</v>
      </c>
      <c r="E259" s="2" t="s">
        <v>1168</v>
      </c>
      <c r="F259" s="2" t="s">
        <v>1169</v>
      </c>
      <c r="G259" s="14">
        <v>1177</v>
      </c>
      <c r="H259" s="18">
        <v>1177</v>
      </c>
      <c r="I259" s="19" t="s">
        <v>87</v>
      </c>
      <c r="J259" s="13" t="s">
        <v>88</v>
      </c>
      <c r="K259" s="2">
        <v>0</v>
      </c>
      <c r="L259" s="2">
        <v>0</v>
      </c>
      <c r="M259" s="13">
        <v>639.16999999999996</v>
      </c>
      <c r="N259" s="2">
        <v>83.092100000000002</v>
      </c>
      <c r="O259" s="2">
        <v>0</v>
      </c>
      <c r="P259" s="2">
        <v>0</v>
      </c>
      <c r="Q259" s="13">
        <v>722.26209999999992</v>
      </c>
      <c r="R259" s="2">
        <v>0</v>
      </c>
      <c r="S259" s="2" t="s">
        <v>1</v>
      </c>
    </row>
    <row r="260" spans="1:19" x14ac:dyDescent="0.25">
      <c r="A260" s="2" t="s">
        <v>508</v>
      </c>
      <c r="B260" s="20">
        <v>44966</v>
      </c>
      <c r="C260" s="2" t="s">
        <v>1</v>
      </c>
      <c r="D260" s="2" t="s">
        <v>0</v>
      </c>
      <c r="E260" s="2" t="s">
        <v>1168</v>
      </c>
      <c r="F260" s="2" t="s">
        <v>1169</v>
      </c>
      <c r="G260" s="14">
        <v>1178</v>
      </c>
      <c r="H260" s="18">
        <v>1178</v>
      </c>
      <c r="I260" s="19" t="s">
        <v>136</v>
      </c>
      <c r="J260" s="13" t="s">
        <v>137</v>
      </c>
      <c r="K260" s="2">
        <v>0</v>
      </c>
      <c r="L260" s="2">
        <v>0</v>
      </c>
      <c r="M260" s="13">
        <v>289.56</v>
      </c>
      <c r="N260" s="2">
        <v>37.642800000000001</v>
      </c>
      <c r="O260" s="2">
        <v>0</v>
      </c>
      <c r="P260" s="2">
        <v>0</v>
      </c>
      <c r="Q260" s="13">
        <v>327.20280000000002</v>
      </c>
      <c r="R260" s="2">
        <v>0</v>
      </c>
      <c r="S260" s="2" t="s">
        <v>1</v>
      </c>
    </row>
    <row r="261" spans="1:19" x14ac:dyDescent="0.25">
      <c r="A261" s="2" t="s">
        <v>508</v>
      </c>
      <c r="B261" s="20">
        <v>44966</v>
      </c>
      <c r="C261" s="2" t="s">
        <v>1</v>
      </c>
      <c r="D261" s="2" t="s">
        <v>0</v>
      </c>
      <c r="E261" s="2" t="s">
        <v>1168</v>
      </c>
      <c r="F261" s="2" t="s">
        <v>1169</v>
      </c>
      <c r="G261" s="14">
        <v>1179</v>
      </c>
      <c r="H261" s="18">
        <v>1179</v>
      </c>
      <c r="J261" s="13" t="s">
        <v>986</v>
      </c>
      <c r="K261" s="2">
        <v>0</v>
      </c>
      <c r="L261" s="2">
        <v>0</v>
      </c>
      <c r="M261" s="13">
        <v>474.14</v>
      </c>
      <c r="N261" s="2">
        <v>61.638199999999998</v>
      </c>
      <c r="O261" s="2">
        <v>0</v>
      </c>
      <c r="P261" s="2">
        <v>0</v>
      </c>
      <c r="Q261" s="13">
        <v>535.77819999999997</v>
      </c>
      <c r="R261" s="19" t="s">
        <v>985</v>
      </c>
      <c r="S261" s="2" t="s">
        <v>1</v>
      </c>
    </row>
    <row r="262" spans="1:19" x14ac:dyDescent="0.25">
      <c r="A262" s="2" t="s">
        <v>508</v>
      </c>
      <c r="B262" s="20">
        <v>44966</v>
      </c>
      <c r="C262" s="2" t="s">
        <v>1</v>
      </c>
      <c r="D262" s="2" t="s">
        <v>0</v>
      </c>
      <c r="E262" s="2" t="s">
        <v>1168</v>
      </c>
      <c r="F262" s="2" t="s">
        <v>1169</v>
      </c>
      <c r="G262" s="14">
        <v>1180</v>
      </c>
      <c r="H262" s="18">
        <v>1180</v>
      </c>
      <c r="I262" s="19" t="s">
        <v>131</v>
      </c>
      <c r="J262" s="13" t="s">
        <v>132</v>
      </c>
      <c r="K262" s="2">
        <v>0</v>
      </c>
      <c r="L262" s="2">
        <v>0</v>
      </c>
      <c r="M262" s="13">
        <v>326.75</v>
      </c>
      <c r="N262" s="2">
        <v>42.477499999999999</v>
      </c>
      <c r="O262" s="2">
        <v>0</v>
      </c>
      <c r="P262" s="2">
        <v>0</v>
      </c>
      <c r="Q262" s="13">
        <v>369.22750000000002</v>
      </c>
      <c r="R262" s="2">
        <v>0</v>
      </c>
      <c r="S262" s="2" t="s">
        <v>1</v>
      </c>
    </row>
    <row r="263" spans="1:19" x14ac:dyDescent="0.25">
      <c r="A263" s="2" t="s">
        <v>508</v>
      </c>
      <c r="B263" s="20">
        <v>44966</v>
      </c>
      <c r="C263" s="2" t="s">
        <v>1</v>
      </c>
      <c r="D263" s="2" t="s">
        <v>0</v>
      </c>
      <c r="E263" s="2" t="s">
        <v>1168</v>
      </c>
      <c r="F263" s="2" t="s">
        <v>1169</v>
      </c>
      <c r="G263" s="14">
        <v>1181</v>
      </c>
      <c r="H263" s="18">
        <v>1181</v>
      </c>
      <c r="I263" s="19" t="s">
        <v>969</v>
      </c>
      <c r="J263" s="13" t="s">
        <v>970</v>
      </c>
      <c r="K263" s="2">
        <v>0</v>
      </c>
      <c r="L263" s="2">
        <v>0</v>
      </c>
      <c r="M263" s="13">
        <v>298</v>
      </c>
      <c r="N263" s="2">
        <v>38.74</v>
      </c>
      <c r="O263" s="2">
        <v>0</v>
      </c>
      <c r="P263" s="2">
        <v>0</v>
      </c>
      <c r="Q263" s="13">
        <v>336.74</v>
      </c>
      <c r="R263" s="2">
        <v>0</v>
      </c>
      <c r="S263" s="2" t="s">
        <v>1</v>
      </c>
    </row>
    <row r="264" spans="1:19" x14ac:dyDescent="0.25">
      <c r="A264" s="2" t="s">
        <v>508</v>
      </c>
      <c r="B264" s="20">
        <v>44966</v>
      </c>
      <c r="C264" s="2" t="s">
        <v>1</v>
      </c>
      <c r="D264" s="2" t="s">
        <v>0</v>
      </c>
      <c r="E264" s="2" t="s">
        <v>1168</v>
      </c>
      <c r="F264" s="2" t="s">
        <v>1169</v>
      </c>
      <c r="G264" s="14">
        <v>1182</v>
      </c>
      <c r="H264" s="18">
        <v>1182</v>
      </c>
      <c r="I264" s="19" t="s">
        <v>64</v>
      </c>
      <c r="J264" s="13" t="s">
        <v>65</v>
      </c>
      <c r="K264" s="2">
        <v>0</v>
      </c>
      <c r="L264" s="2">
        <v>0</v>
      </c>
      <c r="M264" s="13">
        <v>164.28</v>
      </c>
      <c r="N264" s="2">
        <v>21.356400000000001</v>
      </c>
      <c r="O264" s="2">
        <v>0</v>
      </c>
      <c r="P264" s="2">
        <v>0</v>
      </c>
      <c r="Q264" s="13">
        <v>185.63640000000001</v>
      </c>
      <c r="R264" s="2">
        <v>0</v>
      </c>
      <c r="S264" s="2" t="s">
        <v>1</v>
      </c>
    </row>
    <row r="265" spans="1:19" x14ac:dyDescent="0.25">
      <c r="A265" s="2" t="s">
        <v>508</v>
      </c>
      <c r="B265" s="20">
        <v>44966</v>
      </c>
      <c r="C265" s="2" t="s">
        <v>1</v>
      </c>
      <c r="D265" s="2" t="s">
        <v>0</v>
      </c>
      <c r="E265" s="2" t="s">
        <v>1168</v>
      </c>
      <c r="F265" s="2" t="s">
        <v>1169</v>
      </c>
      <c r="G265" s="14">
        <v>1183</v>
      </c>
      <c r="H265" s="18">
        <v>1183</v>
      </c>
      <c r="I265" s="19" t="s">
        <v>435</v>
      </c>
      <c r="J265" s="13" t="s">
        <v>434</v>
      </c>
      <c r="K265" s="2">
        <v>0</v>
      </c>
      <c r="L265" s="2">
        <v>0</v>
      </c>
      <c r="M265" s="13">
        <v>0</v>
      </c>
      <c r="N265" s="2">
        <v>0</v>
      </c>
      <c r="O265" s="2">
        <v>0</v>
      </c>
      <c r="P265" s="2">
        <v>0</v>
      </c>
      <c r="Q265" s="13">
        <v>0</v>
      </c>
      <c r="R265" s="2">
        <v>0</v>
      </c>
      <c r="S265" s="2" t="s">
        <v>1</v>
      </c>
    </row>
    <row r="266" spans="1:19" x14ac:dyDescent="0.25">
      <c r="A266" s="2" t="s">
        <v>508</v>
      </c>
      <c r="B266" s="20">
        <v>44966</v>
      </c>
      <c r="C266" s="2" t="s">
        <v>1</v>
      </c>
      <c r="D266" s="2" t="s">
        <v>0</v>
      </c>
      <c r="E266" s="2" t="s">
        <v>1168</v>
      </c>
      <c r="F266" s="2" t="s">
        <v>1169</v>
      </c>
      <c r="G266" s="14">
        <v>1184</v>
      </c>
      <c r="H266" s="18">
        <v>1184</v>
      </c>
      <c r="I266" s="19" t="s">
        <v>129</v>
      </c>
      <c r="J266" s="13" t="s">
        <v>130</v>
      </c>
      <c r="K266" s="2">
        <v>0</v>
      </c>
      <c r="L266" s="2">
        <v>0</v>
      </c>
      <c r="M266" s="13">
        <v>61.5</v>
      </c>
      <c r="N266" s="2">
        <v>7.9950000000000001</v>
      </c>
      <c r="O266" s="2">
        <v>0</v>
      </c>
      <c r="P266" s="2">
        <v>0</v>
      </c>
      <c r="Q266" s="13">
        <v>69.495000000000005</v>
      </c>
      <c r="R266" s="2">
        <v>0</v>
      </c>
      <c r="S266" s="2" t="s">
        <v>1</v>
      </c>
    </row>
    <row r="267" spans="1:19" x14ac:dyDescent="0.25">
      <c r="A267" s="2" t="s">
        <v>508</v>
      </c>
      <c r="B267" s="20">
        <v>44966</v>
      </c>
      <c r="C267" s="2" t="s">
        <v>1</v>
      </c>
      <c r="D267" s="2" t="s">
        <v>0</v>
      </c>
      <c r="E267" s="2" t="s">
        <v>1168</v>
      </c>
      <c r="F267" s="2" t="s">
        <v>1169</v>
      </c>
      <c r="G267" s="14">
        <v>1185</v>
      </c>
      <c r="H267" s="18">
        <v>1185</v>
      </c>
      <c r="J267" s="13" t="s">
        <v>624</v>
      </c>
      <c r="K267" s="2">
        <v>0</v>
      </c>
      <c r="L267" s="2">
        <v>0</v>
      </c>
      <c r="M267" s="13">
        <v>250.64</v>
      </c>
      <c r="N267" s="2">
        <v>32.583199999999998</v>
      </c>
      <c r="O267" s="2">
        <v>0</v>
      </c>
      <c r="P267" s="2">
        <v>0</v>
      </c>
      <c r="Q267" s="13">
        <v>283.22319999999996</v>
      </c>
      <c r="R267" s="19" t="s">
        <v>623</v>
      </c>
      <c r="S267" s="2" t="s">
        <v>1</v>
      </c>
    </row>
    <row r="268" spans="1:19" x14ac:dyDescent="0.25">
      <c r="A268" s="2" t="s">
        <v>508</v>
      </c>
      <c r="B268" s="20">
        <v>44966</v>
      </c>
      <c r="C268" s="2" t="s">
        <v>1</v>
      </c>
      <c r="D268" s="2" t="s">
        <v>0</v>
      </c>
      <c r="E268" s="2" t="s">
        <v>1168</v>
      </c>
      <c r="F268" s="2" t="s">
        <v>1169</v>
      </c>
      <c r="G268" s="14">
        <v>1186</v>
      </c>
      <c r="H268" s="18">
        <v>1186</v>
      </c>
      <c r="J268" s="13" t="s">
        <v>624</v>
      </c>
      <c r="K268" s="2">
        <v>0</v>
      </c>
      <c r="L268" s="2">
        <v>0</v>
      </c>
      <c r="M268" s="13">
        <v>30.97</v>
      </c>
      <c r="N268" s="2">
        <v>4.0260999999999996</v>
      </c>
      <c r="O268" s="2">
        <v>0</v>
      </c>
      <c r="P268" s="2">
        <v>0</v>
      </c>
      <c r="Q268" s="13">
        <v>34.996099999999998</v>
      </c>
      <c r="R268" s="19" t="s">
        <v>623</v>
      </c>
      <c r="S268" s="2" t="s">
        <v>1</v>
      </c>
    </row>
    <row r="269" spans="1:19" x14ac:dyDescent="0.25">
      <c r="A269" s="2" t="s">
        <v>508</v>
      </c>
      <c r="B269" s="20">
        <v>44966</v>
      </c>
      <c r="C269" s="2" t="s">
        <v>1</v>
      </c>
      <c r="D269" s="2" t="s">
        <v>0</v>
      </c>
      <c r="E269" s="2" t="s">
        <v>1168</v>
      </c>
      <c r="F269" s="2" t="s">
        <v>1169</v>
      </c>
      <c r="G269" s="14">
        <v>1187</v>
      </c>
      <c r="H269" s="18">
        <v>1187</v>
      </c>
      <c r="I269" s="19" t="s">
        <v>969</v>
      </c>
      <c r="J269" s="13" t="s">
        <v>970</v>
      </c>
      <c r="K269" s="2">
        <v>0</v>
      </c>
      <c r="L269" s="2">
        <v>0</v>
      </c>
      <c r="M269" s="13">
        <v>232.88</v>
      </c>
      <c r="N269" s="2">
        <v>30.2744</v>
      </c>
      <c r="O269" s="2">
        <v>0</v>
      </c>
      <c r="P269" s="2">
        <v>0</v>
      </c>
      <c r="Q269" s="13">
        <v>263.15440000000001</v>
      </c>
      <c r="R269" s="2">
        <v>0</v>
      </c>
      <c r="S269" s="2" t="s">
        <v>1</v>
      </c>
    </row>
    <row r="270" spans="1:19" x14ac:dyDescent="0.25">
      <c r="A270" s="2" t="s">
        <v>508</v>
      </c>
      <c r="B270" s="20">
        <v>44966</v>
      </c>
      <c r="C270" s="2" t="s">
        <v>1</v>
      </c>
      <c r="D270" s="2" t="s">
        <v>0</v>
      </c>
      <c r="E270" s="2" t="s">
        <v>1168</v>
      </c>
      <c r="F270" s="2" t="s">
        <v>1169</v>
      </c>
      <c r="G270" s="14">
        <v>1188</v>
      </c>
      <c r="H270" s="18">
        <v>1188</v>
      </c>
      <c r="I270" s="19" t="s">
        <v>58</v>
      </c>
      <c r="J270" s="13" t="s">
        <v>59</v>
      </c>
      <c r="K270" s="2">
        <v>0</v>
      </c>
      <c r="L270" s="2">
        <v>0</v>
      </c>
      <c r="M270" s="13">
        <v>147.6</v>
      </c>
      <c r="N270" s="2">
        <v>19.187999999999999</v>
      </c>
      <c r="O270" s="2">
        <v>0</v>
      </c>
      <c r="P270" s="2">
        <v>0</v>
      </c>
      <c r="Q270" s="13">
        <v>166.78799999999998</v>
      </c>
      <c r="R270" s="2">
        <v>0</v>
      </c>
      <c r="S270" s="2" t="s">
        <v>1</v>
      </c>
    </row>
    <row r="271" spans="1:19" x14ac:dyDescent="0.25">
      <c r="A271" s="2" t="s">
        <v>508</v>
      </c>
      <c r="B271" s="20">
        <v>44966</v>
      </c>
      <c r="C271" s="2" t="s">
        <v>1</v>
      </c>
      <c r="D271" s="2" t="s">
        <v>0</v>
      </c>
      <c r="E271" s="2" t="s">
        <v>1168</v>
      </c>
      <c r="F271" s="2" t="s">
        <v>1169</v>
      </c>
      <c r="G271" s="14">
        <v>1189</v>
      </c>
      <c r="H271" s="18">
        <v>1189</v>
      </c>
      <c r="I271" s="19" t="s">
        <v>969</v>
      </c>
      <c r="J271" s="13" t="s">
        <v>970</v>
      </c>
      <c r="K271" s="2">
        <v>0</v>
      </c>
      <c r="L271" s="2">
        <v>0</v>
      </c>
      <c r="M271" s="13">
        <v>50</v>
      </c>
      <c r="N271" s="2">
        <v>6.5</v>
      </c>
      <c r="O271" s="2">
        <v>0</v>
      </c>
      <c r="P271" s="2">
        <v>0</v>
      </c>
      <c r="Q271" s="13">
        <v>56.5</v>
      </c>
      <c r="R271" s="2">
        <v>0</v>
      </c>
      <c r="S271" s="2" t="s">
        <v>1</v>
      </c>
    </row>
    <row r="272" spans="1:19" x14ac:dyDescent="0.25">
      <c r="A272" s="2" t="s">
        <v>508</v>
      </c>
      <c r="B272" s="20">
        <v>44966</v>
      </c>
      <c r="C272" s="2" t="s">
        <v>1</v>
      </c>
      <c r="D272" s="2" t="s">
        <v>0</v>
      </c>
      <c r="E272" s="2" t="s">
        <v>1168</v>
      </c>
      <c r="F272" s="2" t="s">
        <v>1169</v>
      </c>
      <c r="G272" s="14">
        <v>1190</v>
      </c>
      <c r="H272" s="18">
        <v>1190</v>
      </c>
      <c r="I272" s="19" t="s">
        <v>76</v>
      </c>
      <c r="J272" s="13" t="s">
        <v>1262</v>
      </c>
      <c r="K272" s="2">
        <v>0</v>
      </c>
      <c r="L272" s="2">
        <v>0</v>
      </c>
      <c r="M272" s="13">
        <v>216.5</v>
      </c>
      <c r="N272" s="2">
        <v>28.145</v>
      </c>
      <c r="O272" s="2">
        <v>0</v>
      </c>
      <c r="P272" s="2">
        <v>0</v>
      </c>
      <c r="Q272" s="13">
        <v>244.64500000000001</v>
      </c>
      <c r="R272" s="2">
        <v>0</v>
      </c>
      <c r="S272" s="2" t="s">
        <v>1</v>
      </c>
    </row>
    <row r="273" spans="1:19" x14ac:dyDescent="0.25">
      <c r="A273" s="2" t="s">
        <v>508</v>
      </c>
      <c r="B273" s="20">
        <v>44967</v>
      </c>
      <c r="C273" s="2" t="s">
        <v>1</v>
      </c>
      <c r="D273" s="2" t="s">
        <v>0</v>
      </c>
      <c r="E273" s="2" t="s">
        <v>1168</v>
      </c>
      <c r="F273" s="2" t="s">
        <v>1169</v>
      </c>
      <c r="G273" s="14">
        <v>1191</v>
      </c>
      <c r="H273" s="18">
        <v>1191</v>
      </c>
      <c r="I273" s="19" t="s">
        <v>1146</v>
      </c>
      <c r="J273" s="13" t="s">
        <v>1147</v>
      </c>
      <c r="K273" s="2">
        <v>0</v>
      </c>
      <c r="L273" s="2">
        <v>0</v>
      </c>
      <c r="M273" s="13">
        <v>100</v>
      </c>
      <c r="N273" s="2">
        <v>13</v>
      </c>
      <c r="O273" s="2">
        <v>0</v>
      </c>
      <c r="P273" s="2">
        <v>0</v>
      </c>
      <c r="Q273" s="13">
        <v>113</v>
      </c>
      <c r="R273" s="2">
        <v>0</v>
      </c>
      <c r="S273" s="2" t="s">
        <v>1</v>
      </c>
    </row>
    <row r="274" spans="1:19" x14ac:dyDescent="0.25">
      <c r="A274" s="2" t="s">
        <v>508</v>
      </c>
      <c r="B274" s="20">
        <v>44967</v>
      </c>
      <c r="C274" s="2" t="s">
        <v>1</v>
      </c>
      <c r="D274" s="2" t="s">
        <v>0</v>
      </c>
      <c r="E274" s="2" t="s">
        <v>1168</v>
      </c>
      <c r="F274" s="2" t="s">
        <v>1169</v>
      </c>
      <c r="G274" s="14">
        <v>1192</v>
      </c>
      <c r="H274" s="18">
        <v>1192</v>
      </c>
      <c r="I274" s="19" t="s">
        <v>1057</v>
      </c>
      <c r="J274" s="13" t="s">
        <v>1058</v>
      </c>
      <c r="K274" s="2">
        <v>0</v>
      </c>
      <c r="L274" s="2">
        <v>0</v>
      </c>
      <c r="M274" s="13">
        <v>10.87</v>
      </c>
      <c r="N274" s="2">
        <v>1.4131</v>
      </c>
      <c r="O274" s="2">
        <v>0</v>
      </c>
      <c r="P274" s="2">
        <v>0</v>
      </c>
      <c r="Q274" s="13">
        <v>12.283099999999999</v>
      </c>
      <c r="R274" s="2">
        <v>0</v>
      </c>
      <c r="S274" s="2" t="s">
        <v>1</v>
      </c>
    </row>
    <row r="275" spans="1:19" x14ac:dyDescent="0.25">
      <c r="A275" s="2" t="s">
        <v>508</v>
      </c>
      <c r="B275" s="20">
        <v>44967</v>
      </c>
      <c r="C275" s="2" t="s">
        <v>1</v>
      </c>
      <c r="D275" s="2" t="s">
        <v>0</v>
      </c>
      <c r="E275" s="2" t="s">
        <v>1168</v>
      </c>
      <c r="F275" s="2" t="s">
        <v>1169</v>
      </c>
      <c r="G275" s="14">
        <v>1193</v>
      </c>
      <c r="H275" s="18">
        <v>1193</v>
      </c>
      <c r="I275" s="19" t="s">
        <v>81</v>
      </c>
      <c r="J275" s="13" t="s">
        <v>82</v>
      </c>
      <c r="K275" s="2">
        <v>0</v>
      </c>
      <c r="L275" s="2">
        <v>0</v>
      </c>
      <c r="M275" s="13">
        <v>172.99</v>
      </c>
      <c r="N275" s="2">
        <v>22.488700000000001</v>
      </c>
      <c r="O275" s="2">
        <v>0</v>
      </c>
      <c r="P275" s="2">
        <v>0</v>
      </c>
      <c r="Q275" s="13">
        <v>195.4787</v>
      </c>
      <c r="R275" s="2">
        <v>0</v>
      </c>
      <c r="S275" s="2" t="s">
        <v>1</v>
      </c>
    </row>
    <row r="276" spans="1:19" x14ac:dyDescent="0.25">
      <c r="A276" s="2" t="s">
        <v>508</v>
      </c>
      <c r="B276" s="20">
        <v>44967</v>
      </c>
      <c r="C276" s="2" t="s">
        <v>1</v>
      </c>
      <c r="D276" s="2" t="s">
        <v>0</v>
      </c>
      <c r="E276" s="2" t="s">
        <v>1168</v>
      </c>
      <c r="F276" s="2" t="s">
        <v>1169</v>
      </c>
      <c r="G276" s="14">
        <v>1194</v>
      </c>
      <c r="H276" s="18">
        <v>1194</v>
      </c>
      <c r="I276" s="19" t="s">
        <v>435</v>
      </c>
      <c r="J276" s="13" t="s">
        <v>434</v>
      </c>
      <c r="K276" s="2">
        <v>0</v>
      </c>
      <c r="L276" s="2">
        <v>0</v>
      </c>
      <c r="M276" s="13">
        <v>0</v>
      </c>
      <c r="N276" s="2">
        <v>0</v>
      </c>
      <c r="O276" s="2">
        <v>0</v>
      </c>
      <c r="P276" s="2">
        <v>0</v>
      </c>
      <c r="Q276" s="13">
        <v>0</v>
      </c>
      <c r="R276" s="2">
        <v>0</v>
      </c>
      <c r="S276" s="2" t="s">
        <v>1</v>
      </c>
    </row>
    <row r="277" spans="1:19" x14ac:dyDescent="0.25">
      <c r="A277" s="2" t="s">
        <v>508</v>
      </c>
      <c r="B277" s="20">
        <v>44970</v>
      </c>
      <c r="C277" s="2" t="s">
        <v>1</v>
      </c>
      <c r="D277" s="2" t="s">
        <v>0</v>
      </c>
      <c r="E277" s="2" t="s">
        <v>1168</v>
      </c>
      <c r="F277" s="2" t="s">
        <v>1169</v>
      </c>
      <c r="G277" s="14">
        <v>1195</v>
      </c>
      <c r="H277" s="18">
        <v>1195</v>
      </c>
      <c r="J277" s="13" t="s">
        <v>954</v>
      </c>
      <c r="K277" s="2">
        <v>0</v>
      </c>
      <c r="L277" s="2">
        <v>0</v>
      </c>
      <c r="M277" s="13">
        <v>162.09</v>
      </c>
      <c r="N277" s="2">
        <v>21.0717</v>
      </c>
      <c r="O277" s="2">
        <v>0</v>
      </c>
      <c r="P277" s="2">
        <v>0</v>
      </c>
      <c r="Q277" s="13">
        <v>183.1617</v>
      </c>
      <c r="R277" s="19" t="s">
        <v>953</v>
      </c>
      <c r="S277" s="2" t="s">
        <v>1</v>
      </c>
    </row>
    <row r="278" spans="1:19" x14ac:dyDescent="0.25">
      <c r="A278" s="2" t="s">
        <v>508</v>
      </c>
      <c r="B278" s="20">
        <v>44970</v>
      </c>
      <c r="C278" s="2" t="s">
        <v>1</v>
      </c>
      <c r="D278" s="2" t="s">
        <v>0</v>
      </c>
      <c r="E278" s="2" t="s">
        <v>1168</v>
      </c>
      <c r="F278" s="2" t="s">
        <v>1169</v>
      </c>
      <c r="G278" s="14">
        <v>1196</v>
      </c>
      <c r="H278" s="18">
        <v>1196</v>
      </c>
      <c r="I278" s="19" t="s">
        <v>435</v>
      </c>
      <c r="J278" s="13" t="s">
        <v>434</v>
      </c>
      <c r="K278" s="2">
        <v>0</v>
      </c>
      <c r="L278" s="2">
        <v>0</v>
      </c>
      <c r="M278" s="13">
        <v>0</v>
      </c>
      <c r="N278" s="2">
        <v>0</v>
      </c>
      <c r="O278" s="2">
        <v>0</v>
      </c>
      <c r="P278" s="2">
        <v>0</v>
      </c>
      <c r="Q278" s="13">
        <v>0</v>
      </c>
      <c r="R278" s="2">
        <v>0</v>
      </c>
      <c r="S278" s="2" t="s">
        <v>1</v>
      </c>
    </row>
    <row r="279" spans="1:19" x14ac:dyDescent="0.25">
      <c r="A279" s="2" t="s">
        <v>508</v>
      </c>
      <c r="B279" s="20">
        <v>44970</v>
      </c>
      <c r="C279" s="2" t="s">
        <v>1</v>
      </c>
      <c r="D279" s="2" t="s">
        <v>0</v>
      </c>
      <c r="E279" s="2" t="s">
        <v>1168</v>
      </c>
      <c r="F279" s="2" t="s">
        <v>1169</v>
      </c>
      <c r="G279" s="14">
        <v>1197</v>
      </c>
      <c r="H279" s="18">
        <v>1197</v>
      </c>
      <c r="I279" s="19" t="s">
        <v>955</v>
      </c>
      <c r="J279" s="13" t="s">
        <v>956</v>
      </c>
      <c r="K279" s="2">
        <v>0</v>
      </c>
      <c r="L279" s="2">
        <v>0</v>
      </c>
      <c r="M279" s="13">
        <v>49.56</v>
      </c>
      <c r="N279" s="2">
        <v>6.4428000000000001</v>
      </c>
      <c r="O279" s="2">
        <v>0</v>
      </c>
      <c r="P279" s="2">
        <v>0</v>
      </c>
      <c r="Q279" s="13">
        <v>56.002800000000001</v>
      </c>
      <c r="R279" s="2">
        <v>0</v>
      </c>
      <c r="S279" s="2" t="s">
        <v>1</v>
      </c>
    </row>
    <row r="280" spans="1:19" x14ac:dyDescent="0.25">
      <c r="A280" s="2" t="s">
        <v>508</v>
      </c>
      <c r="B280" s="20">
        <v>44970</v>
      </c>
      <c r="C280" s="2" t="s">
        <v>1</v>
      </c>
      <c r="D280" s="2" t="s">
        <v>0</v>
      </c>
      <c r="E280" s="2" t="s">
        <v>1168</v>
      </c>
      <c r="F280" s="2" t="s">
        <v>1169</v>
      </c>
      <c r="G280" s="14">
        <v>1198</v>
      </c>
      <c r="H280" s="18">
        <v>1198</v>
      </c>
      <c r="I280" s="19" t="s">
        <v>1061</v>
      </c>
      <c r="J280" s="13" t="s">
        <v>1062</v>
      </c>
      <c r="K280" s="2">
        <v>0</v>
      </c>
      <c r="L280" s="2">
        <v>0</v>
      </c>
      <c r="M280" s="13">
        <v>257.55</v>
      </c>
      <c r="N280" s="2">
        <v>33.481500000000004</v>
      </c>
      <c r="O280" s="2">
        <v>0</v>
      </c>
      <c r="P280" s="2">
        <v>0</v>
      </c>
      <c r="Q280" s="13">
        <v>291.03149999999999</v>
      </c>
      <c r="R280" s="2">
        <v>0</v>
      </c>
      <c r="S280" s="2" t="s">
        <v>1</v>
      </c>
    </row>
    <row r="281" spans="1:19" x14ac:dyDescent="0.25">
      <c r="A281" s="2" t="s">
        <v>508</v>
      </c>
      <c r="B281" s="20">
        <v>44970</v>
      </c>
      <c r="C281" s="2" t="s">
        <v>1</v>
      </c>
      <c r="D281" s="2" t="s">
        <v>0</v>
      </c>
      <c r="E281" s="2" t="s">
        <v>1168</v>
      </c>
      <c r="F281" s="2" t="s">
        <v>1169</v>
      </c>
      <c r="G281" s="14">
        <v>1199</v>
      </c>
      <c r="H281" s="18">
        <v>1199</v>
      </c>
      <c r="I281" s="19" t="s">
        <v>472</v>
      </c>
      <c r="J281" s="13" t="s">
        <v>473</v>
      </c>
      <c r="K281" s="2">
        <v>0</v>
      </c>
      <c r="L281" s="2">
        <v>0</v>
      </c>
      <c r="M281" s="13">
        <v>11.42</v>
      </c>
      <c r="N281" s="2">
        <v>1.4846000000000001</v>
      </c>
      <c r="O281" s="2">
        <v>0</v>
      </c>
      <c r="P281" s="2">
        <v>0</v>
      </c>
      <c r="Q281" s="13">
        <v>12.9046</v>
      </c>
      <c r="R281" s="2">
        <v>0</v>
      </c>
      <c r="S281" s="2" t="s">
        <v>1</v>
      </c>
    </row>
    <row r="282" spans="1:19" x14ac:dyDescent="0.25">
      <c r="A282" s="2" t="s">
        <v>508</v>
      </c>
      <c r="B282" s="20">
        <v>44970</v>
      </c>
      <c r="C282" s="2" t="s">
        <v>1</v>
      </c>
      <c r="D282" s="2" t="s">
        <v>0</v>
      </c>
      <c r="E282" s="2" t="s">
        <v>1168</v>
      </c>
      <c r="F282" s="2" t="s">
        <v>1169</v>
      </c>
      <c r="G282" s="14">
        <v>1200</v>
      </c>
      <c r="H282" s="18">
        <v>1200</v>
      </c>
      <c r="I282" s="19" t="s">
        <v>435</v>
      </c>
      <c r="J282" s="13" t="s">
        <v>434</v>
      </c>
      <c r="K282" s="2">
        <v>0</v>
      </c>
      <c r="L282" s="2">
        <v>0</v>
      </c>
      <c r="M282" s="13">
        <v>0</v>
      </c>
      <c r="N282" s="2">
        <v>0</v>
      </c>
      <c r="O282" s="2">
        <v>0</v>
      </c>
      <c r="P282" s="2">
        <v>0</v>
      </c>
      <c r="Q282" s="13">
        <v>0</v>
      </c>
      <c r="R282" s="2">
        <v>0</v>
      </c>
      <c r="S282" s="2" t="s">
        <v>1</v>
      </c>
    </row>
    <row r="283" spans="1:19" x14ac:dyDescent="0.25">
      <c r="A283" s="2" t="s">
        <v>508</v>
      </c>
      <c r="B283" s="20">
        <v>44970</v>
      </c>
      <c r="C283" s="2" t="s">
        <v>1</v>
      </c>
      <c r="D283" s="2" t="s">
        <v>0</v>
      </c>
      <c r="E283" s="2" t="s">
        <v>1168</v>
      </c>
      <c r="F283" s="2" t="s">
        <v>1169</v>
      </c>
      <c r="G283" s="14">
        <v>1201</v>
      </c>
      <c r="H283" s="18">
        <v>1201</v>
      </c>
      <c r="I283" s="19" t="s">
        <v>76</v>
      </c>
      <c r="J283" s="13" t="s">
        <v>1262</v>
      </c>
      <c r="K283" s="2">
        <v>0</v>
      </c>
      <c r="L283" s="2">
        <v>0</v>
      </c>
      <c r="M283" s="13">
        <v>101.8</v>
      </c>
      <c r="N283" s="2">
        <v>13.234</v>
      </c>
      <c r="O283" s="2">
        <v>0</v>
      </c>
      <c r="P283" s="2">
        <v>0</v>
      </c>
      <c r="Q283" s="13">
        <v>115.03399999999999</v>
      </c>
      <c r="R283" s="2">
        <v>0</v>
      </c>
      <c r="S283" s="2" t="s">
        <v>1</v>
      </c>
    </row>
    <row r="284" spans="1:19" x14ac:dyDescent="0.25">
      <c r="A284" s="2" t="s">
        <v>508</v>
      </c>
      <c r="B284" s="20">
        <v>44970</v>
      </c>
      <c r="C284" s="2" t="s">
        <v>1</v>
      </c>
      <c r="D284" s="2" t="s">
        <v>0</v>
      </c>
      <c r="E284" s="2" t="s">
        <v>1168</v>
      </c>
      <c r="F284" s="2" t="s">
        <v>1169</v>
      </c>
      <c r="G284" s="14">
        <v>1202</v>
      </c>
      <c r="H284" s="18">
        <v>1202</v>
      </c>
      <c r="I284" s="19" t="s">
        <v>1260</v>
      </c>
      <c r="J284" s="13" t="s">
        <v>1261</v>
      </c>
      <c r="K284" s="2">
        <v>0</v>
      </c>
      <c r="L284" s="2">
        <v>0</v>
      </c>
      <c r="M284" s="13">
        <v>34.799999999999997</v>
      </c>
      <c r="N284" s="2">
        <v>4.524</v>
      </c>
      <c r="O284" s="2">
        <v>0</v>
      </c>
      <c r="P284" s="2">
        <v>0</v>
      </c>
      <c r="Q284" s="13">
        <v>39.323999999999998</v>
      </c>
      <c r="R284" s="2">
        <v>0</v>
      </c>
      <c r="S284" s="2" t="s">
        <v>1</v>
      </c>
    </row>
    <row r="285" spans="1:19" x14ac:dyDescent="0.25">
      <c r="A285" s="2" t="s">
        <v>508</v>
      </c>
      <c r="B285" s="20">
        <v>44971</v>
      </c>
      <c r="C285" s="2" t="s">
        <v>1</v>
      </c>
      <c r="D285" s="2" t="s">
        <v>0</v>
      </c>
      <c r="E285" s="2" t="s">
        <v>1168</v>
      </c>
      <c r="F285" s="2" t="s">
        <v>1169</v>
      </c>
      <c r="G285" s="14">
        <v>1203</v>
      </c>
      <c r="H285" s="18">
        <v>1203</v>
      </c>
      <c r="I285" s="19" t="s">
        <v>1051</v>
      </c>
      <c r="J285" s="13" t="s">
        <v>1052</v>
      </c>
      <c r="K285" s="2">
        <v>0</v>
      </c>
      <c r="L285" s="2">
        <v>0</v>
      </c>
      <c r="M285" s="13">
        <v>67.2</v>
      </c>
      <c r="N285" s="2">
        <v>8.7360000000000007</v>
      </c>
      <c r="O285" s="2">
        <v>0</v>
      </c>
      <c r="P285" s="2">
        <v>0</v>
      </c>
      <c r="Q285" s="13">
        <v>75.936000000000007</v>
      </c>
      <c r="R285" s="2">
        <v>0</v>
      </c>
      <c r="S285" s="2" t="s">
        <v>1</v>
      </c>
    </row>
    <row r="286" spans="1:19" x14ac:dyDescent="0.25">
      <c r="A286" s="2" t="s">
        <v>508</v>
      </c>
      <c r="B286" s="20">
        <v>44971</v>
      </c>
      <c r="C286" s="2" t="s">
        <v>1</v>
      </c>
      <c r="D286" s="2" t="s">
        <v>0</v>
      </c>
      <c r="E286" s="2" t="s">
        <v>1168</v>
      </c>
      <c r="F286" s="2" t="s">
        <v>1169</v>
      </c>
      <c r="G286" s="14">
        <v>1204</v>
      </c>
      <c r="H286" s="18">
        <v>1204</v>
      </c>
      <c r="I286" s="19" t="s">
        <v>991</v>
      </c>
      <c r="J286" s="13" t="s">
        <v>992</v>
      </c>
      <c r="K286" s="2">
        <v>0</v>
      </c>
      <c r="L286" s="2">
        <v>0</v>
      </c>
      <c r="M286" s="13">
        <v>202.02</v>
      </c>
      <c r="N286" s="2">
        <v>26.262600000000003</v>
      </c>
      <c r="O286" s="2">
        <v>0</v>
      </c>
      <c r="P286" s="2">
        <v>0</v>
      </c>
      <c r="Q286" s="13">
        <v>228.2826</v>
      </c>
      <c r="R286" s="2">
        <v>0</v>
      </c>
      <c r="S286" s="2" t="s">
        <v>1</v>
      </c>
    </row>
    <row r="287" spans="1:19" x14ac:dyDescent="0.25">
      <c r="A287" s="2" t="s">
        <v>508</v>
      </c>
      <c r="B287" s="20">
        <v>44971</v>
      </c>
      <c r="C287" s="2" t="s">
        <v>1</v>
      </c>
      <c r="D287" s="2" t="s">
        <v>0</v>
      </c>
      <c r="E287" s="2" t="s">
        <v>1168</v>
      </c>
      <c r="F287" s="2" t="s">
        <v>1169</v>
      </c>
      <c r="G287" s="14">
        <v>1205</v>
      </c>
      <c r="H287" s="18">
        <v>1205</v>
      </c>
      <c r="I287" s="19" t="s">
        <v>435</v>
      </c>
      <c r="J287" s="13" t="s">
        <v>434</v>
      </c>
      <c r="K287" s="2">
        <v>0</v>
      </c>
      <c r="L287" s="2">
        <v>0</v>
      </c>
      <c r="M287" s="13">
        <v>0</v>
      </c>
      <c r="N287" s="2">
        <v>0</v>
      </c>
      <c r="O287" s="2">
        <v>0</v>
      </c>
      <c r="P287" s="2">
        <v>0</v>
      </c>
      <c r="Q287" s="13">
        <v>0</v>
      </c>
      <c r="R287" s="2">
        <v>0</v>
      </c>
      <c r="S287" s="2" t="s">
        <v>1</v>
      </c>
    </row>
    <row r="288" spans="1:19" x14ac:dyDescent="0.25">
      <c r="A288" s="2" t="s">
        <v>508</v>
      </c>
      <c r="B288" s="20">
        <v>44971</v>
      </c>
      <c r="C288" s="2" t="s">
        <v>1</v>
      </c>
      <c r="D288" s="2" t="s">
        <v>0</v>
      </c>
      <c r="E288" s="2" t="s">
        <v>1168</v>
      </c>
      <c r="F288" s="2" t="s">
        <v>1169</v>
      </c>
      <c r="G288" s="14">
        <v>1206</v>
      </c>
      <c r="H288" s="18">
        <v>1206</v>
      </c>
      <c r="I288" s="19" t="s">
        <v>85</v>
      </c>
      <c r="J288" s="13" t="s">
        <v>86</v>
      </c>
      <c r="K288" s="2">
        <v>0</v>
      </c>
      <c r="L288" s="2">
        <v>0</v>
      </c>
      <c r="M288" s="13">
        <v>351.8</v>
      </c>
      <c r="N288" s="2">
        <v>45.734000000000002</v>
      </c>
      <c r="O288" s="2">
        <v>0</v>
      </c>
      <c r="P288" s="2">
        <v>0</v>
      </c>
      <c r="Q288" s="13">
        <v>397.53399999999999</v>
      </c>
      <c r="R288" s="2">
        <v>0</v>
      </c>
      <c r="S288" s="2" t="s">
        <v>1</v>
      </c>
    </row>
    <row r="289" spans="1:19" x14ac:dyDescent="0.25">
      <c r="A289" s="2" t="s">
        <v>508</v>
      </c>
      <c r="B289" s="20">
        <v>44971</v>
      </c>
      <c r="C289" s="2" t="s">
        <v>1</v>
      </c>
      <c r="D289" s="2" t="s">
        <v>0</v>
      </c>
      <c r="E289" s="2" t="s">
        <v>1168</v>
      </c>
      <c r="F289" s="2" t="s">
        <v>1169</v>
      </c>
      <c r="G289" s="14">
        <v>1207</v>
      </c>
      <c r="H289" s="18">
        <v>1207</v>
      </c>
      <c r="I289" s="19" t="s">
        <v>81</v>
      </c>
      <c r="J289" s="13" t="s">
        <v>82</v>
      </c>
      <c r="K289" s="2">
        <v>0</v>
      </c>
      <c r="L289" s="2">
        <v>0</v>
      </c>
      <c r="M289" s="13">
        <v>30.28</v>
      </c>
      <c r="N289" s="2">
        <v>3.9364000000000003</v>
      </c>
      <c r="O289" s="2">
        <v>0</v>
      </c>
      <c r="P289" s="2">
        <v>0</v>
      </c>
      <c r="Q289" s="13">
        <v>34.2164</v>
      </c>
      <c r="R289" s="2">
        <v>0</v>
      </c>
      <c r="S289" s="2" t="s">
        <v>1</v>
      </c>
    </row>
    <row r="290" spans="1:19" x14ac:dyDescent="0.25">
      <c r="A290" s="2" t="s">
        <v>508</v>
      </c>
      <c r="B290" s="20">
        <v>44971</v>
      </c>
      <c r="C290" s="2" t="s">
        <v>1</v>
      </c>
      <c r="D290" s="2" t="s">
        <v>0</v>
      </c>
      <c r="E290" s="2" t="s">
        <v>1168</v>
      </c>
      <c r="F290" s="2" t="s">
        <v>1169</v>
      </c>
      <c r="G290" s="14">
        <v>1208</v>
      </c>
      <c r="H290" s="18">
        <v>1208</v>
      </c>
      <c r="I290" s="19" t="s">
        <v>81</v>
      </c>
      <c r="J290" s="13" t="s">
        <v>82</v>
      </c>
      <c r="K290" s="2">
        <v>0</v>
      </c>
      <c r="L290" s="2">
        <v>0</v>
      </c>
      <c r="M290" s="13">
        <v>86.38</v>
      </c>
      <c r="N290" s="2">
        <v>11.2294</v>
      </c>
      <c r="O290" s="2">
        <v>0</v>
      </c>
      <c r="P290" s="2">
        <v>0</v>
      </c>
      <c r="Q290" s="13">
        <v>97.609399999999994</v>
      </c>
      <c r="R290" s="2">
        <v>0</v>
      </c>
      <c r="S290" s="2" t="s">
        <v>1</v>
      </c>
    </row>
    <row r="291" spans="1:19" x14ac:dyDescent="0.25">
      <c r="A291" s="2" t="s">
        <v>508</v>
      </c>
      <c r="B291" s="20">
        <v>44971</v>
      </c>
      <c r="C291" s="2" t="s">
        <v>1</v>
      </c>
      <c r="D291" s="2" t="s">
        <v>0</v>
      </c>
      <c r="E291" s="2" t="s">
        <v>1168</v>
      </c>
      <c r="F291" s="2" t="s">
        <v>1169</v>
      </c>
      <c r="G291" s="14">
        <v>1209</v>
      </c>
      <c r="H291" s="18">
        <v>1209</v>
      </c>
      <c r="I291" s="19" t="s">
        <v>81</v>
      </c>
      <c r="J291" s="13" t="s">
        <v>82</v>
      </c>
      <c r="K291" s="2">
        <v>0</v>
      </c>
      <c r="L291" s="2">
        <v>0</v>
      </c>
      <c r="M291" s="13">
        <v>5.13</v>
      </c>
      <c r="N291" s="2">
        <v>0.66690000000000005</v>
      </c>
      <c r="O291" s="2">
        <v>0</v>
      </c>
      <c r="P291" s="2">
        <v>0</v>
      </c>
      <c r="Q291" s="13">
        <v>5.7968999999999999</v>
      </c>
      <c r="R291" s="2">
        <v>0</v>
      </c>
      <c r="S291" s="2" t="s">
        <v>1</v>
      </c>
    </row>
    <row r="292" spans="1:19" x14ac:dyDescent="0.25">
      <c r="A292" s="2" t="s">
        <v>508</v>
      </c>
      <c r="B292" s="20">
        <v>44971</v>
      </c>
      <c r="C292" s="2" t="s">
        <v>1</v>
      </c>
      <c r="D292" s="2" t="s">
        <v>0</v>
      </c>
      <c r="E292" s="2" t="s">
        <v>1168</v>
      </c>
      <c r="F292" s="2" t="s">
        <v>1169</v>
      </c>
      <c r="G292" s="14">
        <v>1210</v>
      </c>
      <c r="H292" s="18">
        <v>1210</v>
      </c>
      <c r="I292" s="19" t="s">
        <v>435</v>
      </c>
      <c r="J292" s="13" t="s">
        <v>434</v>
      </c>
      <c r="K292" s="2">
        <v>0</v>
      </c>
      <c r="L292" s="2">
        <v>0</v>
      </c>
      <c r="M292" s="13">
        <v>0</v>
      </c>
      <c r="N292" s="2">
        <v>0</v>
      </c>
      <c r="O292" s="2">
        <v>0</v>
      </c>
      <c r="P292" s="2">
        <v>0</v>
      </c>
      <c r="Q292" s="13">
        <v>0</v>
      </c>
      <c r="R292" s="2">
        <v>0</v>
      </c>
      <c r="S292" s="2" t="s">
        <v>1</v>
      </c>
    </row>
    <row r="293" spans="1:19" x14ac:dyDescent="0.25">
      <c r="A293" s="2" t="s">
        <v>508</v>
      </c>
      <c r="B293" s="20">
        <v>44972</v>
      </c>
      <c r="C293" s="2" t="s">
        <v>1</v>
      </c>
      <c r="D293" s="2" t="s">
        <v>0</v>
      </c>
      <c r="E293" s="2" t="s">
        <v>1168</v>
      </c>
      <c r="F293" s="2" t="s">
        <v>1169</v>
      </c>
      <c r="G293" s="14">
        <v>1211</v>
      </c>
      <c r="H293" s="18">
        <v>1211</v>
      </c>
      <c r="I293" s="19" t="s">
        <v>1006</v>
      </c>
      <c r="J293" s="13" t="s">
        <v>1007</v>
      </c>
      <c r="K293" s="2">
        <v>0</v>
      </c>
      <c r="L293" s="2">
        <v>0</v>
      </c>
      <c r="M293" s="13">
        <v>41.82</v>
      </c>
      <c r="N293" s="2">
        <v>5.4366000000000003</v>
      </c>
      <c r="O293" s="2">
        <v>0</v>
      </c>
      <c r="P293" s="2">
        <v>0</v>
      </c>
      <c r="Q293" s="13">
        <v>47.256599999999999</v>
      </c>
      <c r="R293" s="2">
        <v>0</v>
      </c>
      <c r="S293" s="2" t="s">
        <v>1</v>
      </c>
    </row>
    <row r="294" spans="1:19" x14ac:dyDescent="0.25">
      <c r="A294" s="2" t="s">
        <v>508</v>
      </c>
      <c r="B294" s="20">
        <v>44972</v>
      </c>
      <c r="C294" s="2" t="s">
        <v>1</v>
      </c>
      <c r="D294" s="2" t="s">
        <v>0</v>
      </c>
      <c r="E294" s="2" t="s">
        <v>1168</v>
      </c>
      <c r="F294" s="2" t="s">
        <v>1169</v>
      </c>
      <c r="G294" s="14">
        <v>1212</v>
      </c>
      <c r="H294" s="18">
        <v>1212</v>
      </c>
      <c r="I294" s="19" t="s">
        <v>1107</v>
      </c>
      <c r="J294" s="13" t="s">
        <v>1108</v>
      </c>
      <c r="K294" s="2">
        <v>0</v>
      </c>
      <c r="L294" s="2">
        <v>0</v>
      </c>
      <c r="M294" s="13">
        <v>67</v>
      </c>
      <c r="N294" s="2">
        <v>8.7100000000000009</v>
      </c>
      <c r="O294" s="2">
        <v>0</v>
      </c>
      <c r="P294" s="2">
        <v>0</v>
      </c>
      <c r="Q294" s="13">
        <v>75.710000000000008</v>
      </c>
      <c r="R294" s="2">
        <v>0</v>
      </c>
      <c r="S294" s="2" t="s">
        <v>1</v>
      </c>
    </row>
    <row r="295" spans="1:19" x14ac:dyDescent="0.25">
      <c r="A295" s="2" t="s">
        <v>508</v>
      </c>
      <c r="B295" s="20">
        <v>44972</v>
      </c>
      <c r="C295" s="2" t="s">
        <v>1</v>
      </c>
      <c r="D295" s="2" t="s">
        <v>0</v>
      </c>
      <c r="E295" s="2" t="s">
        <v>1168</v>
      </c>
      <c r="F295" s="2" t="s">
        <v>1169</v>
      </c>
      <c r="G295" s="14">
        <v>1213</v>
      </c>
      <c r="H295" s="18">
        <v>1213</v>
      </c>
      <c r="I295" s="19" t="s">
        <v>98</v>
      </c>
      <c r="J295" s="13" t="s">
        <v>99</v>
      </c>
      <c r="K295" s="2">
        <v>0</v>
      </c>
      <c r="L295" s="2">
        <v>0</v>
      </c>
      <c r="M295" s="13">
        <v>134.56</v>
      </c>
      <c r="N295" s="2">
        <v>17.492800000000003</v>
      </c>
      <c r="O295" s="2">
        <v>0</v>
      </c>
      <c r="P295" s="2">
        <v>0</v>
      </c>
      <c r="Q295" s="13">
        <v>152.05279999999999</v>
      </c>
      <c r="R295" s="2">
        <v>0</v>
      </c>
      <c r="S295" s="2" t="s">
        <v>1</v>
      </c>
    </row>
    <row r="296" spans="1:19" x14ac:dyDescent="0.25">
      <c r="A296" s="2" t="s">
        <v>508</v>
      </c>
      <c r="B296" s="20">
        <v>44972</v>
      </c>
      <c r="C296" s="2" t="s">
        <v>1</v>
      </c>
      <c r="D296" s="2" t="s">
        <v>0</v>
      </c>
      <c r="E296" s="2" t="s">
        <v>1168</v>
      </c>
      <c r="F296" s="2" t="s">
        <v>1169</v>
      </c>
      <c r="G296" s="14">
        <v>1214</v>
      </c>
      <c r="H296" s="18">
        <v>1214</v>
      </c>
      <c r="I296" s="19" t="s">
        <v>1067</v>
      </c>
      <c r="J296" s="13" t="s">
        <v>1068</v>
      </c>
      <c r="K296" s="2">
        <v>0</v>
      </c>
      <c r="L296" s="2">
        <v>0</v>
      </c>
      <c r="M296" s="13">
        <v>20.149999999999999</v>
      </c>
      <c r="N296" s="2">
        <v>2.6194999999999999</v>
      </c>
      <c r="O296" s="2">
        <v>0</v>
      </c>
      <c r="P296" s="2">
        <v>0</v>
      </c>
      <c r="Q296" s="13">
        <v>22.769499999999997</v>
      </c>
      <c r="R296" s="2">
        <v>0</v>
      </c>
      <c r="S296" s="2" t="s">
        <v>1</v>
      </c>
    </row>
    <row r="297" spans="1:19" x14ac:dyDescent="0.25">
      <c r="A297" s="2" t="s">
        <v>508</v>
      </c>
      <c r="B297" s="20">
        <v>44972</v>
      </c>
      <c r="C297" s="2" t="s">
        <v>1</v>
      </c>
      <c r="D297" s="2" t="s">
        <v>0</v>
      </c>
      <c r="E297" s="2" t="s">
        <v>1168</v>
      </c>
      <c r="F297" s="2" t="s">
        <v>1169</v>
      </c>
      <c r="G297" s="14">
        <v>1215</v>
      </c>
      <c r="H297" s="18">
        <v>1215</v>
      </c>
      <c r="I297" s="19" t="s">
        <v>1022</v>
      </c>
      <c r="J297" s="13" t="s">
        <v>1023</v>
      </c>
      <c r="K297" s="2">
        <v>0</v>
      </c>
      <c r="L297" s="2">
        <v>0</v>
      </c>
      <c r="M297" s="13">
        <v>500</v>
      </c>
      <c r="N297" s="2">
        <v>65</v>
      </c>
      <c r="O297" s="2">
        <v>0</v>
      </c>
      <c r="P297" s="2">
        <v>0</v>
      </c>
      <c r="Q297" s="13">
        <v>565</v>
      </c>
      <c r="R297" s="2">
        <v>0</v>
      </c>
      <c r="S297" s="2" t="s">
        <v>1</v>
      </c>
    </row>
    <row r="298" spans="1:19" x14ac:dyDescent="0.25">
      <c r="A298" s="2" t="s">
        <v>508</v>
      </c>
      <c r="B298" s="20">
        <v>44972</v>
      </c>
      <c r="C298" s="2" t="s">
        <v>1</v>
      </c>
      <c r="D298" s="2" t="s">
        <v>0</v>
      </c>
      <c r="E298" s="2" t="s">
        <v>1168</v>
      </c>
      <c r="F298" s="2" t="s">
        <v>1169</v>
      </c>
      <c r="G298" s="14">
        <v>1216</v>
      </c>
      <c r="H298" s="18">
        <v>1216</v>
      </c>
      <c r="I298" s="19" t="s">
        <v>134</v>
      </c>
      <c r="J298" s="13" t="s">
        <v>135</v>
      </c>
      <c r="K298" s="2">
        <v>0</v>
      </c>
      <c r="L298" s="2">
        <v>0</v>
      </c>
      <c r="M298" s="13">
        <v>188.64</v>
      </c>
      <c r="N298" s="2">
        <v>24.523199999999999</v>
      </c>
      <c r="O298" s="2">
        <v>0</v>
      </c>
      <c r="P298" s="2">
        <v>0</v>
      </c>
      <c r="Q298" s="13">
        <v>213.16319999999999</v>
      </c>
      <c r="R298" s="2">
        <v>0</v>
      </c>
      <c r="S298" s="2" t="s">
        <v>1</v>
      </c>
    </row>
    <row r="299" spans="1:19" x14ac:dyDescent="0.25">
      <c r="A299" s="2" t="s">
        <v>508</v>
      </c>
      <c r="B299" s="20">
        <v>44973</v>
      </c>
      <c r="C299" s="2" t="s">
        <v>1</v>
      </c>
      <c r="D299" s="2" t="s">
        <v>0</v>
      </c>
      <c r="E299" s="2" t="s">
        <v>1168</v>
      </c>
      <c r="F299" s="2" t="s">
        <v>1169</v>
      </c>
      <c r="G299" s="14">
        <v>1217</v>
      </c>
      <c r="H299" s="18">
        <v>1217</v>
      </c>
      <c r="I299" s="19" t="s">
        <v>435</v>
      </c>
      <c r="J299" s="13" t="s">
        <v>434</v>
      </c>
      <c r="K299" s="2">
        <v>0</v>
      </c>
      <c r="L299" s="2">
        <v>0</v>
      </c>
      <c r="M299" s="13">
        <v>0</v>
      </c>
      <c r="N299" s="2">
        <v>0</v>
      </c>
      <c r="O299" s="2">
        <v>0</v>
      </c>
      <c r="P299" s="2">
        <v>0</v>
      </c>
      <c r="Q299" s="13">
        <v>0</v>
      </c>
      <c r="R299" s="2">
        <v>0</v>
      </c>
      <c r="S299" s="2" t="s">
        <v>1</v>
      </c>
    </row>
    <row r="300" spans="1:19" x14ac:dyDescent="0.25">
      <c r="A300" s="2" t="s">
        <v>508</v>
      </c>
      <c r="B300" s="20">
        <v>44973</v>
      </c>
      <c r="C300" s="2" t="s">
        <v>1</v>
      </c>
      <c r="D300" s="2" t="s">
        <v>0</v>
      </c>
      <c r="E300" s="2" t="s">
        <v>1168</v>
      </c>
      <c r="F300" s="2" t="s">
        <v>1169</v>
      </c>
      <c r="G300" s="14">
        <v>1218</v>
      </c>
      <c r="H300" s="18">
        <v>1218</v>
      </c>
      <c r="I300" s="19" t="s">
        <v>397</v>
      </c>
      <c r="J300" s="13" t="s">
        <v>398</v>
      </c>
      <c r="K300" s="2">
        <v>0</v>
      </c>
      <c r="L300" s="2">
        <v>0</v>
      </c>
      <c r="M300" s="13">
        <v>67.8</v>
      </c>
      <c r="N300" s="2">
        <v>8.8140000000000001</v>
      </c>
      <c r="O300" s="2">
        <v>0</v>
      </c>
      <c r="P300" s="2">
        <v>0</v>
      </c>
      <c r="Q300" s="13">
        <v>76.614000000000004</v>
      </c>
      <c r="R300" s="2">
        <v>0</v>
      </c>
      <c r="S300" s="2" t="s">
        <v>1</v>
      </c>
    </row>
    <row r="301" spans="1:19" x14ac:dyDescent="0.25">
      <c r="A301" s="2" t="s">
        <v>508</v>
      </c>
      <c r="B301" s="20">
        <v>44973</v>
      </c>
      <c r="C301" s="2" t="s">
        <v>1</v>
      </c>
      <c r="D301" s="2" t="s">
        <v>0</v>
      </c>
      <c r="E301" s="2" t="s">
        <v>1168</v>
      </c>
      <c r="F301" s="2" t="s">
        <v>1169</v>
      </c>
      <c r="G301" s="14">
        <v>1219</v>
      </c>
      <c r="H301" s="18">
        <v>1219</v>
      </c>
      <c r="I301" s="19" t="s">
        <v>1014</v>
      </c>
      <c r="J301" s="13" t="s">
        <v>1015</v>
      </c>
      <c r="K301" s="2">
        <v>0</v>
      </c>
      <c r="L301" s="2">
        <v>0</v>
      </c>
      <c r="M301" s="13">
        <v>249.02</v>
      </c>
      <c r="N301" s="2">
        <v>32.372600000000006</v>
      </c>
      <c r="O301" s="2">
        <v>0</v>
      </c>
      <c r="P301" s="2">
        <v>0</v>
      </c>
      <c r="Q301" s="13">
        <v>281.39260000000002</v>
      </c>
      <c r="R301" s="2">
        <v>0</v>
      </c>
      <c r="S301" s="2" t="s">
        <v>1</v>
      </c>
    </row>
    <row r="302" spans="1:19" x14ac:dyDescent="0.25">
      <c r="A302" s="2" t="s">
        <v>508</v>
      </c>
      <c r="B302" s="20">
        <v>44973</v>
      </c>
      <c r="C302" s="2" t="s">
        <v>1</v>
      </c>
      <c r="D302" s="2" t="s">
        <v>0</v>
      </c>
      <c r="E302" s="2" t="s">
        <v>1168</v>
      </c>
      <c r="F302" s="2" t="s">
        <v>1169</v>
      </c>
      <c r="G302" s="14">
        <v>1220</v>
      </c>
      <c r="H302" s="18">
        <v>1220</v>
      </c>
      <c r="I302" s="19" t="s">
        <v>969</v>
      </c>
      <c r="J302" s="13" t="s">
        <v>970</v>
      </c>
      <c r="K302" s="2">
        <v>0</v>
      </c>
      <c r="L302" s="2">
        <v>0</v>
      </c>
      <c r="M302" s="13">
        <v>72.62</v>
      </c>
      <c r="N302" s="2">
        <v>9.4406000000000017</v>
      </c>
      <c r="O302" s="2">
        <v>0</v>
      </c>
      <c r="P302" s="2">
        <v>0</v>
      </c>
      <c r="Q302" s="13">
        <v>82.060600000000008</v>
      </c>
      <c r="R302" s="2">
        <v>0</v>
      </c>
      <c r="S302" s="2" t="s">
        <v>1</v>
      </c>
    </row>
    <row r="303" spans="1:19" x14ac:dyDescent="0.25">
      <c r="A303" s="2" t="s">
        <v>508</v>
      </c>
      <c r="B303" s="20">
        <v>44973</v>
      </c>
      <c r="C303" s="2" t="s">
        <v>1</v>
      </c>
      <c r="D303" s="2" t="s">
        <v>0</v>
      </c>
      <c r="E303" s="2" t="s">
        <v>1168</v>
      </c>
      <c r="F303" s="2" t="s">
        <v>1169</v>
      </c>
      <c r="G303" s="14">
        <v>1221</v>
      </c>
      <c r="H303" s="18">
        <v>1221</v>
      </c>
      <c r="I303" s="19" t="s">
        <v>969</v>
      </c>
      <c r="J303" s="13" t="s">
        <v>970</v>
      </c>
      <c r="K303" s="2">
        <v>0</v>
      </c>
      <c r="L303" s="2">
        <v>0</v>
      </c>
      <c r="M303" s="13">
        <v>967.6</v>
      </c>
      <c r="N303" s="2">
        <v>125.78800000000001</v>
      </c>
      <c r="O303" s="2">
        <v>0</v>
      </c>
      <c r="P303" s="2">
        <v>0</v>
      </c>
      <c r="Q303" s="13">
        <v>1093.3879999999999</v>
      </c>
      <c r="R303" s="2">
        <v>0</v>
      </c>
      <c r="S303" s="2" t="s">
        <v>1</v>
      </c>
    </row>
    <row r="304" spans="1:19" x14ac:dyDescent="0.25">
      <c r="A304" s="2" t="s">
        <v>508</v>
      </c>
      <c r="B304" s="20">
        <v>44973</v>
      </c>
      <c r="C304" s="2" t="s">
        <v>1</v>
      </c>
      <c r="D304" s="2" t="s">
        <v>0</v>
      </c>
      <c r="E304" s="2" t="s">
        <v>1168</v>
      </c>
      <c r="F304" s="2" t="s">
        <v>1169</v>
      </c>
      <c r="G304" s="14">
        <v>1222</v>
      </c>
      <c r="H304" s="18">
        <v>1222</v>
      </c>
      <c r="I304" s="19" t="s">
        <v>1141</v>
      </c>
      <c r="J304" s="13" t="s">
        <v>997</v>
      </c>
      <c r="K304" s="2">
        <v>0</v>
      </c>
      <c r="L304" s="2">
        <v>0</v>
      </c>
      <c r="M304" s="13">
        <v>237.29</v>
      </c>
      <c r="N304" s="2">
        <v>30.8477</v>
      </c>
      <c r="O304" s="2">
        <v>0</v>
      </c>
      <c r="P304" s="2">
        <v>0</v>
      </c>
      <c r="Q304" s="13">
        <v>268.1377</v>
      </c>
      <c r="R304" s="2">
        <v>0</v>
      </c>
      <c r="S304" s="2" t="s">
        <v>1</v>
      </c>
    </row>
    <row r="305" spans="1:19" x14ac:dyDescent="0.25">
      <c r="A305" s="2" t="s">
        <v>508</v>
      </c>
      <c r="B305" s="20">
        <v>44973</v>
      </c>
      <c r="C305" s="2" t="s">
        <v>1</v>
      </c>
      <c r="D305" s="2" t="s">
        <v>0</v>
      </c>
      <c r="E305" s="2" t="s">
        <v>1168</v>
      </c>
      <c r="F305" s="2" t="s">
        <v>1169</v>
      </c>
      <c r="G305" s="14">
        <v>1223</v>
      </c>
      <c r="H305" s="18">
        <v>1223</v>
      </c>
      <c r="I305" s="19" t="s">
        <v>435</v>
      </c>
      <c r="J305" s="13" t="s">
        <v>434</v>
      </c>
      <c r="K305" s="2">
        <v>0</v>
      </c>
      <c r="L305" s="2">
        <v>0</v>
      </c>
      <c r="M305" s="13">
        <v>0</v>
      </c>
      <c r="N305" s="2">
        <v>0</v>
      </c>
      <c r="O305" s="2">
        <v>0</v>
      </c>
      <c r="P305" s="2">
        <v>0</v>
      </c>
      <c r="Q305" s="13">
        <v>0</v>
      </c>
      <c r="R305" s="2">
        <v>0</v>
      </c>
      <c r="S305" s="2" t="s">
        <v>1</v>
      </c>
    </row>
    <row r="306" spans="1:19" x14ac:dyDescent="0.25">
      <c r="A306" s="2" t="s">
        <v>508</v>
      </c>
      <c r="B306" s="20">
        <v>44973</v>
      </c>
      <c r="C306" s="2" t="s">
        <v>1</v>
      </c>
      <c r="D306" s="2" t="s">
        <v>0</v>
      </c>
      <c r="E306" s="2" t="s">
        <v>1168</v>
      </c>
      <c r="F306" s="2" t="s">
        <v>1169</v>
      </c>
      <c r="G306" s="14">
        <v>1224</v>
      </c>
      <c r="H306" s="18">
        <v>1224</v>
      </c>
      <c r="I306" s="19" t="s">
        <v>951</v>
      </c>
      <c r="J306" s="13" t="s">
        <v>952</v>
      </c>
      <c r="K306" s="2">
        <v>0</v>
      </c>
      <c r="L306" s="2">
        <v>0</v>
      </c>
      <c r="M306" s="13">
        <v>20</v>
      </c>
      <c r="N306" s="2">
        <v>2.6</v>
      </c>
      <c r="O306" s="2">
        <v>0</v>
      </c>
      <c r="P306" s="2">
        <v>0</v>
      </c>
      <c r="Q306" s="13">
        <v>22.6</v>
      </c>
      <c r="R306" s="2">
        <v>0</v>
      </c>
      <c r="S306" s="2" t="s">
        <v>1</v>
      </c>
    </row>
    <row r="307" spans="1:19" x14ac:dyDescent="0.25">
      <c r="A307" s="2" t="s">
        <v>508</v>
      </c>
      <c r="B307" s="20">
        <v>44974</v>
      </c>
      <c r="C307" s="2" t="s">
        <v>1</v>
      </c>
      <c r="D307" s="2" t="s">
        <v>0</v>
      </c>
      <c r="E307" s="2" t="s">
        <v>1168</v>
      </c>
      <c r="F307" s="2" t="s">
        <v>1169</v>
      </c>
      <c r="G307" s="14">
        <v>1225</v>
      </c>
      <c r="H307" s="18">
        <v>1225</v>
      </c>
      <c r="I307" s="19" t="s">
        <v>393</v>
      </c>
      <c r="J307" s="13" t="s">
        <v>394</v>
      </c>
      <c r="K307" s="2">
        <v>0</v>
      </c>
      <c r="L307" s="2">
        <v>0</v>
      </c>
      <c r="M307" s="13">
        <v>44.5</v>
      </c>
      <c r="N307" s="2">
        <v>5.7850000000000001</v>
      </c>
      <c r="O307" s="2">
        <v>0</v>
      </c>
      <c r="P307" s="2">
        <v>0</v>
      </c>
      <c r="Q307" s="13">
        <v>50.284999999999997</v>
      </c>
      <c r="R307" s="2">
        <v>0</v>
      </c>
      <c r="S307" s="2" t="s">
        <v>1</v>
      </c>
    </row>
    <row r="308" spans="1:19" x14ac:dyDescent="0.25">
      <c r="A308" s="2" t="s">
        <v>508</v>
      </c>
      <c r="B308" s="20">
        <v>44974</v>
      </c>
      <c r="C308" s="2" t="s">
        <v>1</v>
      </c>
      <c r="D308" s="2" t="s">
        <v>0</v>
      </c>
      <c r="E308" s="2" t="s">
        <v>1168</v>
      </c>
      <c r="F308" s="2" t="s">
        <v>1169</v>
      </c>
      <c r="G308" s="14">
        <v>1226</v>
      </c>
      <c r="H308" s="18">
        <v>1226</v>
      </c>
      <c r="I308" s="19" t="s">
        <v>393</v>
      </c>
      <c r="J308" s="13" t="s">
        <v>394</v>
      </c>
      <c r="K308" s="2">
        <v>0</v>
      </c>
      <c r="L308" s="2">
        <v>0</v>
      </c>
      <c r="M308" s="13">
        <v>20</v>
      </c>
      <c r="N308" s="2">
        <v>2.6</v>
      </c>
      <c r="O308" s="2">
        <v>0</v>
      </c>
      <c r="P308" s="2">
        <v>0</v>
      </c>
      <c r="Q308" s="13">
        <v>22.6</v>
      </c>
      <c r="R308" s="2">
        <v>0</v>
      </c>
      <c r="S308" s="2" t="s">
        <v>1</v>
      </c>
    </row>
    <row r="309" spans="1:19" x14ac:dyDescent="0.25">
      <c r="A309" s="2" t="s">
        <v>508</v>
      </c>
      <c r="B309" s="20">
        <v>44974</v>
      </c>
      <c r="C309" s="2" t="s">
        <v>1</v>
      </c>
      <c r="D309" s="2" t="s">
        <v>0</v>
      </c>
      <c r="E309" s="2" t="s">
        <v>1168</v>
      </c>
      <c r="F309" s="2" t="s">
        <v>1169</v>
      </c>
      <c r="G309" s="14">
        <v>1227</v>
      </c>
      <c r="H309" s="18">
        <v>1227</v>
      </c>
      <c r="I309" s="19" t="s">
        <v>393</v>
      </c>
      <c r="J309" s="13" t="s">
        <v>394</v>
      </c>
      <c r="K309" s="2">
        <v>0</v>
      </c>
      <c r="L309" s="2">
        <v>0</v>
      </c>
      <c r="M309" s="13">
        <v>367.5</v>
      </c>
      <c r="N309" s="2">
        <v>47.774999999999999</v>
      </c>
      <c r="O309" s="2">
        <v>0</v>
      </c>
      <c r="P309" s="2">
        <v>0</v>
      </c>
      <c r="Q309" s="13">
        <v>415.27499999999998</v>
      </c>
      <c r="R309" s="2">
        <v>0</v>
      </c>
      <c r="S309" s="2" t="s">
        <v>1</v>
      </c>
    </row>
    <row r="310" spans="1:19" x14ac:dyDescent="0.25">
      <c r="A310" s="2" t="s">
        <v>508</v>
      </c>
      <c r="B310" s="20">
        <v>44974</v>
      </c>
      <c r="C310" s="2" t="s">
        <v>1</v>
      </c>
      <c r="D310" s="2" t="s">
        <v>0</v>
      </c>
      <c r="E310" s="2" t="s">
        <v>1168</v>
      </c>
      <c r="F310" s="2" t="s">
        <v>1169</v>
      </c>
      <c r="G310" s="14">
        <v>1228</v>
      </c>
      <c r="H310" s="18">
        <v>1228</v>
      </c>
      <c r="I310" s="19" t="s">
        <v>81</v>
      </c>
      <c r="J310" s="13" t="s">
        <v>82</v>
      </c>
      <c r="K310" s="2">
        <v>0</v>
      </c>
      <c r="L310" s="2">
        <v>0</v>
      </c>
      <c r="M310" s="13">
        <v>235.78</v>
      </c>
      <c r="N310" s="2">
        <v>30.651400000000002</v>
      </c>
      <c r="O310" s="2">
        <v>0</v>
      </c>
      <c r="P310" s="2">
        <v>0</v>
      </c>
      <c r="Q310" s="13">
        <v>266.4314</v>
      </c>
      <c r="R310" s="2">
        <v>0</v>
      </c>
      <c r="S310" s="2" t="s">
        <v>1</v>
      </c>
    </row>
    <row r="311" spans="1:19" x14ac:dyDescent="0.25">
      <c r="A311" s="2" t="s">
        <v>508</v>
      </c>
      <c r="B311" s="20">
        <v>44977</v>
      </c>
      <c r="C311" s="2" t="s">
        <v>1</v>
      </c>
      <c r="D311" s="2" t="s">
        <v>0</v>
      </c>
      <c r="E311" s="2" t="s">
        <v>1168</v>
      </c>
      <c r="F311" s="2" t="s">
        <v>1169</v>
      </c>
      <c r="G311" s="14">
        <v>1229</v>
      </c>
      <c r="H311" s="18">
        <v>1229</v>
      </c>
      <c r="I311" s="19" t="s">
        <v>995</v>
      </c>
      <c r="J311" s="13" t="s">
        <v>996</v>
      </c>
      <c r="K311" s="2">
        <v>0</v>
      </c>
      <c r="L311" s="2">
        <v>0</v>
      </c>
      <c r="M311" s="13">
        <v>73.400000000000006</v>
      </c>
      <c r="N311" s="2">
        <v>9.5420000000000016</v>
      </c>
      <c r="O311" s="2">
        <v>0</v>
      </c>
      <c r="P311" s="2">
        <v>0</v>
      </c>
      <c r="Q311" s="13">
        <v>82.942000000000007</v>
      </c>
      <c r="R311" s="2">
        <v>0</v>
      </c>
      <c r="S311" s="2" t="s">
        <v>1</v>
      </c>
    </row>
    <row r="312" spans="1:19" x14ac:dyDescent="0.25">
      <c r="A312" s="2" t="s">
        <v>508</v>
      </c>
      <c r="B312" s="20">
        <v>44977</v>
      </c>
      <c r="C312" s="2" t="s">
        <v>1</v>
      </c>
      <c r="D312" s="2" t="s">
        <v>0</v>
      </c>
      <c r="E312" s="2" t="s">
        <v>1168</v>
      </c>
      <c r="F312" s="2" t="s">
        <v>1169</v>
      </c>
      <c r="G312" s="14">
        <v>1230</v>
      </c>
      <c r="H312" s="18">
        <v>1230</v>
      </c>
      <c r="I312" s="19" t="s">
        <v>995</v>
      </c>
      <c r="J312" s="13" t="s">
        <v>996</v>
      </c>
      <c r="K312" s="2">
        <v>0</v>
      </c>
      <c r="L312" s="2">
        <v>0</v>
      </c>
      <c r="M312" s="13">
        <v>13.3</v>
      </c>
      <c r="N312" s="2">
        <v>1.7290000000000001</v>
      </c>
      <c r="O312" s="2">
        <v>0</v>
      </c>
      <c r="P312" s="2">
        <v>0</v>
      </c>
      <c r="Q312" s="13">
        <v>15.029</v>
      </c>
      <c r="R312" s="2">
        <v>0</v>
      </c>
      <c r="S312" s="2" t="s">
        <v>1</v>
      </c>
    </row>
    <row r="313" spans="1:19" x14ac:dyDescent="0.25">
      <c r="A313" s="2" t="s">
        <v>508</v>
      </c>
      <c r="B313" s="20">
        <v>44977</v>
      </c>
      <c r="C313" s="2" t="s">
        <v>1</v>
      </c>
      <c r="D313" s="2" t="s">
        <v>0</v>
      </c>
      <c r="E313" s="2" t="s">
        <v>1168</v>
      </c>
      <c r="F313" s="2" t="s">
        <v>1169</v>
      </c>
      <c r="G313" s="14">
        <v>1231</v>
      </c>
      <c r="H313" s="18">
        <v>1231</v>
      </c>
      <c r="I313" s="19" t="s">
        <v>1067</v>
      </c>
      <c r="J313" s="13" t="s">
        <v>1068</v>
      </c>
      <c r="K313" s="2">
        <v>0</v>
      </c>
      <c r="L313" s="2">
        <v>0</v>
      </c>
      <c r="M313" s="13">
        <v>6.65</v>
      </c>
      <c r="N313" s="2">
        <v>0.86450000000000005</v>
      </c>
      <c r="O313" s="2">
        <v>0</v>
      </c>
      <c r="P313" s="2">
        <v>0</v>
      </c>
      <c r="Q313" s="13">
        <v>7.5145</v>
      </c>
      <c r="R313" s="2">
        <v>0</v>
      </c>
      <c r="S313" s="2" t="s">
        <v>1</v>
      </c>
    </row>
    <row r="314" spans="1:19" x14ac:dyDescent="0.25">
      <c r="A314" s="2" t="s">
        <v>508</v>
      </c>
      <c r="B314" s="20">
        <v>44977</v>
      </c>
      <c r="C314" s="2" t="s">
        <v>1</v>
      </c>
      <c r="D314" s="2" t="s">
        <v>0</v>
      </c>
      <c r="E314" s="2" t="s">
        <v>1168</v>
      </c>
      <c r="F314" s="2" t="s">
        <v>1169</v>
      </c>
      <c r="G314" s="14">
        <v>1232</v>
      </c>
      <c r="H314" s="18">
        <v>1232</v>
      </c>
      <c r="I314" s="19" t="s">
        <v>102</v>
      </c>
      <c r="J314" s="13" t="s">
        <v>103</v>
      </c>
      <c r="K314" s="2">
        <v>0</v>
      </c>
      <c r="L314" s="2">
        <v>0</v>
      </c>
      <c r="M314" s="13">
        <v>32</v>
      </c>
      <c r="N314" s="2">
        <v>4.16</v>
      </c>
      <c r="O314" s="2">
        <v>0</v>
      </c>
      <c r="P314" s="2">
        <v>0</v>
      </c>
      <c r="Q314" s="13">
        <v>36.159999999999997</v>
      </c>
      <c r="R314" s="2">
        <v>0</v>
      </c>
      <c r="S314" s="2" t="s">
        <v>1</v>
      </c>
    </row>
    <row r="315" spans="1:19" x14ac:dyDescent="0.25">
      <c r="A315" s="2" t="s">
        <v>508</v>
      </c>
      <c r="B315" s="20">
        <v>44977</v>
      </c>
      <c r="C315" s="2" t="s">
        <v>1</v>
      </c>
      <c r="D315" s="2" t="s">
        <v>0</v>
      </c>
      <c r="E315" s="2" t="s">
        <v>1168</v>
      </c>
      <c r="F315" s="2" t="s">
        <v>1169</v>
      </c>
      <c r="G315" s="14">
        <v>1233</v>
      </c>
      <c r="H315" s="18">
        <v>1233</v>
      </c>
      <c r="I315" s="19" t="s">
        <v>102</v>
      </c>
      <c r="J315" s="13" t="s">
        <v>103</v>
      </c>
      <c r="K315" s="2">
        <v>0</v>
      </c>
      <c r="L315" s="2">
        <v>0</v>
      </c>
      <c r="M315" s="13">
        <v>17.7</v>
      </c>
      <c r="N315" s="2">
        <v>2.3010000000000002</v>
      </c>
      <c r="O315" s="2">
        <v>0</v>
      </c>
      <c r="P315" s="2">
        <v>0</v>
      </c>
      <c r="Q315" s="13">
        <v>20.000999999999998</v>
      </c>
      <c r="R315" s="2">
        <v>0</v>
      </c>
      <c r="S315" s="2" t="s">
        <v>1</v>
      </c>
    </row>
    <row r="316" spans="1:19" x14ac:dyDescent="0.25">
      <c r="A316" s="2" t="s">
        <v>508</v>
      </c>
      <c r="B316" s="20">
        <v>44977</v>
      </c>
      <c r="C316" s="2" t="s">
        <v>1</v>
      </c>
      <c r="D316" s="2" t="s">
        <v>0</v>
      </c>
      <c r="E316" s="2" t="s">
        <v>1168</v>
      </c>
      <c r="F316" s="2" t="s">
        <v>1169</v>
      </c>
      <c r="G316" s="14">
        <v>1234</v>
      </c>
      <c r="H316" s="18">
        <v>1234</v>
      </c>
      <c r="I316" s="19" t="s">
        <v>1258</v>
      </c>
      <c r="J316" s="13" t="s">
        <v>1259</v>
      </c>
      <c r="K316" s="2">
        <v>0</v>
      </c>
      <c r="L316" s="2">
        <v>0</v>
      </c>
      <c r="M316" s="13">
        <v>36.950000000000003</v>
      </c>
      <c r="N316" s="2">
        <v>4.8035000000000005</v>
      </c>
      <c r="O316" s="2">
        <v>0</v>
      </c>
      <c r="P316" s="2">
        <v>0</v>
      </c>
      <c r="Q316" s="13">
        <v>41.753500000000003</v>
      </c>
      <c r="R316" s="2">
        <v>0</v>
      </c>
      <c r="S316" s="2" t="s">
        <v>1</v>
      </c>
    </row>
    <row r="317" spans="1:19" x14ac:dyDescent="0.25">
      <c r="A317" s="2" t="s">
        <v>508</v>
      </c>
      <c r="B317" s="20">
        <v>44977</v>
      </c>
      <c r="C317" s="2" t="s">
        <v>1</v>
      </c>
      <c r="D317" s="2" t="s">
        <v>0</v>
      </c>
      <c r="E317" s="2" t="s">
        <v>1168</v>
      </c>
      <c r="F317" s="2" t="s">
        <v>1169</v>
      </c>
      <c r="G317" s="14">
        <v>1235</v>
      </c>
      <c r="H317" s="18">
        <v>1235</v>
      </c>
      <c r="J317" s="13" t="s">
        <v>1179</v>
      </c>
      <c r="K317" s="2">
        <v>0</v>
      </c>
      <c r="L317" s="2">
        <v>0</v>
      </c>
      <c r="M317" s="13">
        <v>191.77</v>
      </c>
      <c r="N317" s="2">
        <v>24.930100000000003</v>
      </c>
      <c r="O317" s="2">
        <v>0</v>
      </c>
      <c r="P317" s="2">
        <v>0</v>
      </c>
      <c r="Q317" s="13">
        <v>216.70010000000002</v>
      </c>
      <c r="R317" s="19" t="s">
        <v>1178</v>
      </c>
      <c r="S317" s="2" t="s">
        <v>1</v>
      </c>
    </row>
    <row r="318" spans="1:19" x14ac:dyDescent="0.25">
      <c r="A318" s="2" t="s">
        <v>508</v>
      </c>
      <c r="B318" s="20">
        <v>44977</v>
      </c>
      <c r="C318" s="2" t="s">
        <v>1</v>
      </c>
      <c r="D318" s="2" t="s">
        <v>0</v>
      </c>
      <c r="E318" s="2" t="s">
        <v>1168</v>
      </c>
      <c r="F318" s="2" t="s">
        <v>1169</v>
      </c>
      <c r="G318" s="14">
        <v>1236</v>
      </c>
      <c r="H318" s="18">
        <v>1236</v>
      </c>
      <c r="I318" s="19" t="s">
        <v>77</v>
      </c>
      <c r="J318" s="13" t="s">
        <v>78</v>
      </c>
      <c r="K318" s="2">
        <v>0</v>
      </c>
      <c r="L318" s="2">
        <v>0</v>
      </c>
      <c r="M318" s="13">
        <v>903.37</v>
      </c>
      <c r="N318" s="2">
        <v>117.43810000000001</v>
      </c>
      <c r="O318" s="2">
        <v>0</v>
      </c>
      <c r="P318" s="2">
        <v>0</v>
      </c>
      <c r="Q318" s="13">
        <v>1020.8081</v>
      </c>
      <c r="R318" s="2">
        <v>0</v>
      </c>
      <c r="S318" s="2" t="s">
        <v>1</v>
      </c>
    </row>
    <row r="319" spans="1:19" x14ac:dyDescent="0.25">
      <c r="A319" s="2" t="s">
        <v>508</v>
      </c>
      <c r="B319" s="20">
        <v>44977</v>
      </c>
      <c r="C319" s="2" t="s">
        <v>1</v>
      </c>
      <c r="D319" s="2" t="s">
        <v>0</v>
      </c>
      <c r="E319" s="2" t="s">
        <v>1168</v>
      </c>
      <c r="F319" s="2" t="s">
        <v>1169</v>
      </c>
      <c r="G319" s="14">
        <v>1237</v>
      </c>
      <c r="H319" s="18">
        <v>1237</v>
      </c>
      <c r="I319" s="19" t="s">
        <v>1057</v>
      </c>
      <c r="J319" s="13" t="s">
        <v>1058</v>
      </c>
      <c r="K319" s="2">
        <v>0</v>
      </c>
      <c r="L319" s="2">
        <v>0</v>
      </c>
      <c r="M319" s="13">
        <v>11.92</v>
      </c>
      <c r="N319" s="2">
        <v>1.5496000000000001</v>
      </c>
      <c r="O319" s="2">
        <v>0</v>
      </c>
      <c r="P319" s="2">
        <v>0</v>
      </c>
      <c r="Q319" s="13">
        <v>13.4696</v>
      </c>
      <c r="R319" s="2">
        <v>0</v>
      </c>
      <c r="S319" s="2" t="s">
        <v>1</v>
      </c>
    </row>
    <row r="320" spans="1:19" x14ac:dyDescent="0.25">
      <c r="A320" s="2" t="s">
        <v>508</v>
      </c>
      <c r="B320" s="20">
        <v>44979</v>
      </c>
      <c r="C320" s="2" t="s">
        <v>1</v>
      </c>
      <c r="D320" s="2" t="s">
        <v>0</v>
      </c>
      <c r="E320" s="2" t="s">
        <v>1168</v>
      </c>
      <c r="F320" s="2" t="s">
        <v>1169</v>
      </c>
      <c r="G320" s="14">
        <v>1238</v>
      </c>
      <c r="H320" s="18">
        <v>1238</v>
      </c>
      <c r="I320" s="19" t="s">
        <v>969</v>
      </c>
      <c r="J320" s="13" t="s">
        <v>970</v>
      </c>
      <c r="K320" s="2">
        <v>0</v>
      </c>
      <c r="L320" s="2">
        <v>0</v>
      </c>
      <c r="M320" s="13">
        <v>100</v>
      </c>
      <c r="N320" s="2">
        <v>13</v>
      </c>
      <c r="O320" s="2">
        <v>0</v>
      </c>
      <c r="P320" s="2">
        <v>0</v>
      </c>
      <c r="Q320" s="13">
        <v>113</v>
      </c>
      <c r="R320" s="2">
        <v>0</v>
      </c>
      <c r="S320" s="2" t="s">
        <v>1</v>
      </c>
    </row>
    <row r="321" spans="1:19" x14ac:dyDescent="0.25">
      <c r="A321" s="2" t="s">
        <v>508</v>
      </c>
      <c r="B321" s="20">
        <v>44979</v>
      </c>
      <c r="C321" s="2" t="s">
        <v>1</v>
      </c>
      <c r="D321" s="2" t="s">
        <v>0</v>
      </c>
      <c r="E321" s="2" t="s">
        <v>1168</v>
      </c>
      <c r="F321" s="2" t="s">
        <v>1169</v>
      </c>
      <c r="G321" s="14">
        <v>1239</v>
      </c>
      <c r="H321" s="18">
        <v>1239</v>
      </c>
      <c r="I321" s="19" t="s">
        <v>77</v>
      </c>
      <c r="J321" s="13" t="s">
        <v>78</v>
      </c>
      <c r="K321" s="2">
        <v>0</v>
      </c>
      <c r="L321" s="2">
        <v>0</v>
      </c>
      <c r="M321" s="13">
        <v>693.6</v>
      </c>
      <c r="N321" s="2">
        <v>90.168000000000006</v>
      </c>
      <c r="O321" s="2">
        <v>0</v>
      </c>
      <c r="P321" s="2">
        <v>0</v>
      </c>
      <c r="Q321" s="13">
        <v>783.76800000000003</v>
      </c>
      <c r="R321" s="2">
        <v>0</v>
      </c>
      <c r="S321" s="2" t="s">
        <v>1</v>
      </c>
    </row>
    <row r="322" spans="1:19" x14ac:dyDescent="0.25">
      <c r="A322" s="2" t="s">
        <v>508</v>
      </c>
      <c r="B322" s="20">
        <v>44979</v>
      </c>
      <c r="C322" s="2" t="s">
        <v>1</v>
      </c>
      <c r="D322" s="2" t="s">
        <v>0</v>
      </c>
      <c r="E322" s="2" t="s">
        <v>1168</v>
      </c>
      <c r="F322" s="2" t="s">
        <v>1169</v>
      </c>
      <c r="G322" s="14">
        <v>1240</v>
      </c>
      <c r="H322" s="18">
        <v>1240</v>
      </c>
      <c r="I322" s="19" t="s">
        <v>81</v>
      </c>
      <c r="J322" s="13" t="s">
        <v>82</v>
      </c>
      <c r="K322" s="2">
        <v>0</v>
      </c>
      <c r="L322" s="2">
        <v>0</v>
      </c>
      <c r="M322" s="13">
        <v>184</v>
      </c>
      <c r="N322" s="2">
        <v>23.92</v>
      </c>
      <c r="O322" s="2">
        <v>0</v>
      </c>
      <c r="P322" s="2">
        <v>0</v>
      </c>
      <c r="Q322" s="13">
        <v>207.92000000000002</v>
      </c>
      <c r="R322" s="2">
        <v>0</v>
      </c>
      <c r="S322" s="2" t="s">
        <v>1</v>
      </c>
    </row>
    <row r="323" spans="1:19" x14ac:dyDescent="0.25">
      <c r="A323" s="2" t="s">
        <v>508</v>
      </c>
      <c r="B323" s="20">
        <v>44979</v>
      </c>
      <c r="C323" s="2" t="s">
        <v>1</v>
      </c>
      <c r="D323" s="2" t="s">
        <v>0</v>
      </c>
      <c r="E323" s="2" t="s">
        <v>1168</v>
      </c>
      <c r="F323" s="2" t="s">
        <v>1169</v>
      </c>
      <c r="G323" s="14">
        <v>1241</v>
      </c>
      <c r="H323" s="18">
        <v>1241</v>
      </c>
      <c r="I323" s="19" t="s">
        <v>1133</v>
      </c>
      <c r="J323" s="13" t="s">
        <v>1134</v>
      </c>
      <c r="K323" s="2">
        <v>0</v>
      </c>
      <c r="L323" s="2">
        <v>0</v>
      </c>
      <c r="M323" s="13">
        <v>192.2</v>
      </c>
      <c r="N323" s="2">
        <v>24.986000000000001</v>
      </c>
      <c r="O323" s="2">
        <v>0</v>
      </c>
      <c r="P323" s="2">
        <v>0</v>
      </c>
      <c r="Q323" s="13">
        <v>217.18599999999998</v>
      </c>
      <c r="R323" s="2">
        <v>0</v>
      </c>
      <c r="S323" s="2" t="s">
        <v>1</v>
      </c>
    </row>
    <row r="324" spans="1:19" x14ac:dyDescent="0.25">
      <c r="A324" s="2" t="s">
        <v>508</v>
      </c>
      <c r="B324" s="20">
        <v>44979</v>
      </c>
      <c r="C324" s="2" t="s">
        <v>1</v>
      </c>
      <c r="D324" s="2" t="s">
        <v>0</v>
      </c>
      <c r="E324" s="2" t="s">
        <v>1168</v>
      </c>
      <c r="F324" s="2" t="s">
        <v>1169</v>
      </c>
      <c r="G324" s="14">
        <v>1242</v>
      </c>
      <c r="H324" s="18">
        <v>1242</v>
      </c>
      <c r="I324" s="19" t="s">
        <v>146</v>
      </c>
      <c r="J324" s="13" t="s">
        <v>147</v>
      </c>
      <c r="K324" s="2">
        <v>0</v>
      </c>
      <c r="L324" s="2">
        <v>0</v>
      </c>
      <c r="M324" s="13">
        <v>20</v>
      </c>
      <c r="N324" s="2">
        <v>2.6</v>
      </c>
      <c r="O324" s="2">
        <v>0</v>
      </c>
      <c r="P324" s="2">
        <v>0</v>
      </c>
      <c r="Q324" s="13">
        <v>22.6</v>
      </c>
      <c r="R324" s="2">
        <v>0</v>
      </c>
      <c r="S324" s="2" t="s">
        <v>1</v>
      </c>
    </row>
    <row r="325" spans="1:19" x14ac:dyDescent="0.25">
      <c r="A325" s="2" t="s">
        <v>508</v>
      </c>
      <c r="B325" s="20">
        <v>44979</v>
      </c>
      <c r="C325" s="2" t="s">
        <v>1</v>
      </c>
      <c r="D325" s="2" t="s">
        <v>0</v>
      </c>
      <c r="E325" s="2" t="s">
        <v>1168</v>
      </c>
      <c r="F325" s="2" t="s">
        <v>1169</v>
      </c>
      <c r="G325" s="14">
        <v>1243</v>
      </c>
      <c r="H325" s="18">
        <v>1243</v>
      </c>
      <c r="J325" s="13" t="s">
        <v>793</v>
      </c>
      <c r="K325" s="2">
        <v>0</v>
      </c>
      <c r="L325" s="2">
        <v>0</v>
      </c>
      <c r="M325" s="13">
        <v>6.64</v>
      </c>
      <c r="N325" s="2">
        <v>0.86319999999999997</v>
      </c>
      <c r="O325" s="2">
        <v>0</v>
      </c>
      <c r="P325" s="2">
        <v>0</v>
      </c>
      <c r="Q325" s="13">
        <v>7.5031999999999996</v>
      </c>
      <c r="R325" s="19" t="s">
        <v>792</v>
      </c>
      <c r="S325" s="2" t="s">
        <v>1</v>
      </c>
    </row>
    <row r="326" spans="1:19" x14ac:dyDescent="0.25">
      <c r="A326" s="2" t="s">
        <v>508</v>
      </c>
      <c r="B326" s="20">
        <v>44979</v>
      </c>
      <c r="C326" s="2" t="s">
        <v>1</v>
      </c>
      <c r="D326" s="2" t="s">
        <v>0</v>
      </c>
      <c r="E326" s="2" t="s">
        <v>1168</v>
      </c>
      <c r="F326" s="2" t="s">
        <v>1169</v>
      </c>
      <c r="G326" s="14">
        <v>1244</v>
      </c>
      <c r="H326" s="18">
        <v>1244</v>
      </c>
      <c r="I326" s="19" t="s">
        <v>1002</v>
      </c>
      <c r="J326" s="13" t="s">
        <v>1003</v>
      </c>
      <c r="K326" s="2">
        <v>0</v>
      </c>
      <c r="L326" s="2">
        <v>0</v>
      </c>
      <c r="M326" s="13">
        <v>23.23</v>
      </c>
      <c r="N326" s="2">
        <v>3.0199000000000003</v>
      </c>
      <c r="O326" s="2">
        <v>0</v>
      </c>
      <c r="P326" s="2">
        <v>0</v>
      </c>
      <c r="Q326" s="13">
        <v>26.2499</v>
      </c>
      <c r="R326" s="2">
        <v>0</v>
      </c>
      <c r="S326" s="2" t="s">
        <v>1</v>
      </c>
    </row>
    <row r="327" spans="1:19" x14ac:dyDescent="0.25">
      <c r="A327" s="2" t="s">
        <v>508</v>
      </c>
      <c r="B327" s="20">
        <v>44979</v>
      </c>
      <c r="C327" s="2" t="s">
        <v>1</v>
      </c>
      <c r="D327" s="2" t="s">
        <v>0</v>
      </c>
      <c r="E327" s="2" t="s">
        <v>1168</v>
      </c>
      <c r="F327" s="2" t="s">
        <v>1169</v>
      </c>
      <c r="G327" s="14">
        <v>1245</v>
      </c>
      <c r="H327" s="18">
        <v>1245</v>
      </c>
      <c r="I327" s="19" t="s">
        <v>1158</v>
      </c>
      <c r="J327" s="13" t="s">
        <v>1159</v>
      </c>
      <c r="K327" s="2">
        <v>0</v>
      </c>
      <c r="L327" s="2">
        <v>0</v>
      </c>
      <c r="M327" s="13">
        <v>158.74</v>
      </c>
      <c r="N327" s="2">
        <v>20.636200000000002</v>
      </c>
      <c r="O327" s="2">
        <v>0</v>
      </c>
      <c r="P327" s="2">
        <v>0</v>
      </c>
      <c r="Q327" s="13">
        <v>179.37620000000001</v>
      </c>
      <c r="R327" s="2">
        <v>0</v>
      </c>
      <c r="S327" s="2" t="s">
        <v>1</v>
      </c>
    </row>
    <row r="328" spans="1:19" x14ac:dyDescent="0.25">
      <c r="A328" s="2" t="s">
        <v>508</v>
      </c>
      <c r="B328" s="20">
        <v>44979</v>
      </c>
      <c r="C328" s="2" t="s">
        <v>1</v>
      </c>
      <c r="D328" s="2" t="s">
        <v>0</v>
      </c>
      <c r="E328" s="2" t="s">
        <v>1168</v>
      </c>
      <c r="F328" s="2" t="s">
        <v>1169</v>
      </c>
      <c r="G328" s="14">
        <v>1246</v>
      </c>
      <c r="H328" s="18">
        <v>1246</v>
      </c>
      <c r="I328" s="19" t="s">
        <v>1256</v>
      </c>
      <c r="J328" s="13" t="s">
        <v>1257</v>
      </c>
      <c r="K328" s="2">
        <v>0</v>
      </c>
      <c r="L328" s="2">
        <v>0</v>
      </c>
      <c r="M328" s="13">
        <v>15.78</v>
      </c>
      <c r="N328" s="2">
        <v>2.0514000000000001</v>
      </c>
      <c r="O328" s="2">
        <v>0</v>
      </c>
      <c r="P328" s="2">
        <v>0</v>
      </c>
      <c r="Q328" s="13">
        <v>17.831399999999999</v>
      </c>
      <c r="R328" s="2">
        <v>0</v>
      </c>
      <c r="S328" s="2" t="s">
        <v>1</v>
      </c>
    </row>
    <row r="329" spans="1:19" x14ac:dyDescent="0.25">
      <c r="A329" s="2" t="s">
        <v>508</v>
      </c>
      <c r="B329" s="20">
        <v>44979</v>
      </c>
      <c r="C329" s="2" t="s">
        <v>1</v>
      </c>
      <c r="D329" s="2" t="s">
        <v>0</v>
      </c>
      <c r="E329" s="2" t="s">
        <v>1168</v>
      </c>
      <c r="F329" s="2" t="s">
        <v>1169</v>
      </c>
      <c r="G329" s="14">
        <v>1247</v>
      </c>
      <c r="H329" s="18">
        <v>1247</v>
      </c>
      <c r="I329" s="19" t="s">
        <v>1256</v>
      </c>
      <c r="J329" s="13" t="s">
        <v>1257</v>
      </c>
      <c r="K329" s="2">
        <v>0</v>
      </c>
      <c r="L329" s="2">
        <v>0</v>
      </c>
      <c r="M329" s="13">
        <v>15.6</v>
      </c>
      <c r="N329" s="2">
        <v>2.028</v>
      </c>
      <c r="O329" s="2">
        <v>0</v>
      </c>
      <c r="P329" s="2">
        <v>0</v>
      </c>
      <c r="Q329" s="13">
        <v>17.628</v>
      </c>
      <c r="R329" s="2">
        <v>0</v>
      </c>
      <c r="S329" s="2" t="s">
        <v>1</v>
      </c>
    </row>
    <row r="330" spans="1:19" x14ac:dyDescent="0.25">
      <c r="A330" s="2" t="s">
        <v>508</v>
      </c>
      <c r="B330" s="20">
        <v>44979</v>
      </c>
      <c r="C330" s="2" t="s">
        <v>1</v>
      </c>
      <c r="D330" s="2" t="s">
        <v>0</v>
      </c>
      <c r="E330" s="2" t="s">
        <v>1168</v>
      </c>
      <c r="F330" s="2" t="s">
        <v>1169</v>
      </c>
      <c r="G330" s="14">
        <v>1248</v>
      </c>
      <c r="H330" s="18">
        <v>1248</v>
      </c>
      <c r="I330" s="19" t="s">
        <v>1018</v>
      </c>
      <c r="J330" s="13" t="s">
        <v>1019</v>
      </c>
      <c r="K330" s="2">
        <v>0</v>
      </c>
      <c r="L330" s="2">
        <v>0</v>
      </c>
      <c r="M330" s="13">
        <v>326.77</v>
      </c>
      <c r="N330" s="2">
        <v>42.4801</v>
      </c>
      <c r="O330" s="2">
        <v>0</v>
      </c>
      <c r="P330" s="2">
        <v>0</v>
      </c>
      <c r="Q330" s="13">
        <v>369.25009999999997</v>
      </c>
      <c r="R330" s="2">
        <v>0</v>
      </c>
      <c r="S330" s="2" t="s">
        <v>1</v>
      </c>
    </row>
    <row r="331" spans="1:19" x14ac:dyDescent="0.25">
      <c r="A331" s="2" t="s">
        <v>508</v>
      </c>
      <c r="B331" s="20">
        <v>44979</v>
      </c>
      <c r="C331" s="2" t="s">
        <v>1</v>
      </c>
      <c r="D331" s="2" t="s">
        <v>0</v>
      </c>
      <c r="E331" s="2" t="s">
        <v>1168</v>
      </c>
      <c r="F331" s="2" t="s">
        <v>1169</v>
      </c>
      <c r="G331" s="14">
        <v>1249</v>
      </c>
      <c r="H331" s="18">
        <v>1249</v>
      </c>
      <c r="I331" s="19" t="s">
        <v>915</v>
      </c>
      <c r="J331" s="13" t="s">
        <v>916</v>
      </c>
      <c r="K331" s="2">
        <v>0</v>
      </c>
      <c r="L331" s="2">
        <v>0</v>
      </c>
      <c r="M331" s="13">
        <v>256.12</v>
      </c>
      <c r="N331" s="2">
        <v>33.2956</v>
      </c>
      <c r="O331" s="2">
        <v>0</v>
      </c>
      <c r="P331" s="2">
        <v>0</v>
      </c>
      <c r="Q331" s="13">
        <v>289.41559999999998</v>
      </c>
      <c r="R331" s="2">
        <v>0</v>
      </c>
      <c r="S331" s="2" t="s">
        <v>1</v>
      </c>
    </row>
    <row r="332" spans="1:19" x14ac:dyDescent="0.25">
      <c r="A332" s="2" t="s">
        <v>508</v>
      </c>
      <c r="B332" s="20">
        <v>44980</v>
      </c>
      <c r="C332" s="2" t="s">
        <v>1</v>
      </c>
      <c r="D332" s="2" t="s">
        <v>0</v>
      </c>
      <c r="E332" s="2" t="s">
        <v>1168</v>
      </c>
      <c r="F332" s="2" t="s">
        <v>1169</v>
      </c>
      <c r="G332" s="14">
        <v>1250</v>
      </c>
      <c r="H332" s="18">
        <v>1250</v>
      </c>
      <c r="I332" s="19" t="s">
        <v>1176</v>
      </c>
      <c r="J332" s="13" t="s">
        <v>1177</v>
      </c>
      <c r="K332" s="2">
        <v>0</v>
      </c>
      <c r="L332" s="2">
        <v>0</v>
      </c>
      <c r="M332" s="13">
        <v>207.19</v>
      </c>
      <c r="N332" s="2">
        <v>26.934699999999999</v>
      </c>
      <c r="O332" s="2">
        <v>0</v>
      </c>
      <c r="P332" s="2">
        <v>0</v>
      </c>
      <c r="Q332" s="13">
        <v>234.12469999999999</v>
      </c>
      <c r="R332" s="2">
        <v>0</v>
      </c>
      <c r="S332" s="2" t="s">
        <v>1</v>
      </c>
    </row>
    <row r="333" spans="1:19" x14ac:dyDescent="0.25">
      <c r="A333" s="2" t="s">
        <v>508</v>
      </c>
      <c r="B333" s="20">
        <v>44980</v>
      </c>
      <c r="C333" s="2" t="s">
        <v>1</v>
      </c>
      <c r="D333" s="2" t="s">
        <v>0</v>
      </c>
      <c r="E333" s="2" t="s">
        <v>1168</v>
      </c>
      <c r="F333" s="2" t="s">
        <v>1169</v>
      </c>
      <c r="G333" s="14">
        <v>1251</v>
      </c>
      <c r="H333" s="18">
        <v>1251</v>
      </c>
      <c r="I333" s="19" t="s">
        <v>955</v>
      </c>
      <c r="J333" s="13" t="s">
        <v>956</v>
      </c>
      <c r="K333" s="2">
        <v>0</v>
      </c>
      <c r="L333" s="2">
        <v>0</v>
      </c>
      <c r="M333" s="13">
        <v>73.599999999999994</v>
      </c>
      <c r="N333" s="2">
        <v>9.5679999999999996</v>
      </c>
      <c r="O333" s="2">
        <v>0</v>
      </c>
      <c r="P333" s="2">
        <v>0</v>
      </c>
      <c r="Q333" s="13">
        <v>83.167999999999992</v>
      </c>
      <c r="R333" s="2">
        <v>0</v>
      </c>
      <c r="S333" s="2" t="s">
        <v>1</v>
      </c>
    </row>
    <row r="334" spans="1:19" x14ac:dyDescent="0.25">
      <c r="A334" s="2" t="s">
        <v>508</v>
      </c>
      <c r="B334" s="20">
        <v>44980</v>
      </c>
      <c r="C334" s="2" t="s">
        <v>1</v>
      </c>
      <c r="D334" s="2" t="s">
        <v>0</v>
      </c>
      <c r="E334" s="2" t="s">
        <v>1168</v>
      </c>
      <c r="F334" s="2" t="s">
        <v>1169</v>
      </c>
      <c r="G334" s="14">
        <v>1252</v>
      </c>
      <c r="H334" s="18">
        <v>1252</v>
      </c>
      <c r="I334" s="19" t="s">
        <v>313</v>
      </c>
      <c r="J334" s="13" t="s">
        <v>314</v>
      </c>
      <c r="K334" s="2">
        <v>0</v>
      </c>
      <c r="L334" s="2">
        <v>0</v>
      </c>
      <c r="M334" s="13">
        <v>3324.12</v>
      </c>
      <c r="N334" s="2">
        <v>432.13560000000001</v>
      </c>
      <c r="O334" s="2">
        <v>0</v>
      </c>
      <c r="P334" s="2">
        <v>0</v>
      </c>
      <c r="Q334" s="13">
        <v>3756.2556</v>
      </c>
      <c r="R334" s="2">
        <v>0</v>
      </c>
      <c r="S334" s="2" t="s">
        <v>1</v>
      </c>
    </row>
    <row r="335" spans="1:19" x14ac:dyDescent="0.25">
      <c r="A335" s="2" t="s">
        <v>508</v>
      </c>
      <c r="B335" s="20">
        <v>44980</v>
      </c>
      <c r="C335" s="2" t="s">
        <v>1</v>
      </c>
      <c r="D335" s="2" t="s">
        <v>0</v>
      </c>
      <c r="E335" s="2" t="s">
        <v>1168</v>
      </c>
      <c r="F335" s="2" t="s">
        <v>1169</v>
      </c>
      <c r="G335" s="14">
        <v>1254</v>
      </c>
      <c r="H335" s="18">
        <v>1254</v>
      </c>
      <c r="I335" s="19" t="s">
        <v>1029</v>
      </c>
      <c r="J335" s="13" t="s">
        <v>1030</v>
      </c>
      <c r="K335" s="2">
        <v>0</v>
      </c>
      <c r="L335" s="2">
        <v>0</v>
      </c>
      <c r="M335" s="13">
        <v>15.37</v>
      </c>
      <c r="N335" s="2">
        <v>1.9981</v>
      </c>
      <c r="O335" s="2">
        <v>0</v>
      </c>
      <c r="P335" s="2">
        <v>0</v>
      </c>
      <c r="Q335" s="13">
        <v>17.368099999999998</v>
      </c>
      <c r="R335" s="2">
        <v>0</v>
      </c>
      <c r="S335" s="2" t="s">
        <v>1</v>
      </c>
    </row>
    <row r="336" spans="1:19" x14ac:dyDescent="0.25">
      <c r="A336" s="2" t="s">
        <v>508</v>
      </c>
      <c r="B336" s="20">
        <v>44980</v>
      </c>
      <c r="C336" s="2" t="s">
        <v>1</v>
      </c>
      <c r="D336" s="2" t="s">
        <v>0</v>
      </c>
      <c r="E336" s="2" t="s">
        <v>1168</v>
      </c>
      <c r="F336" s="2" t="s">
        <v>1169</v>
      </c>
      <c r="G336" s="14">
        <v>1255</v>
      </c>
      <c r="H336" s="18">
        <v>1255</v>
      </c>
      <c r="I336" s="19" t="s">
        <v>85</v>
      </c>
      <c r="J336" s="13" t="s">
        <v>86</v>
      </c>
      <c r="K336" s="2">
        <v>0</v>
      </c>
      <c r="L336" s="2">
        <v>0</v>
      </c>
      <c r="M336" s="13">
        <v>120.15</v>
      </c>
      <c r="N336" s="2">
        <v>15.619500000000002</v>
      </c>
      <c r="O336" s="2">
        <v>0</v>
      </c>
      <c r="P336" s="2">
        <v>0</v>
      </c>
      <c r="Q336" s="13">
        <v>135.76949999999999</v>
      </c>
      <c r="R336" s="2">
        <v>0</v>
      </c>
      <c r="S336" s="2" t="s">
        <v>1</v>
      </c>
    </row>
    <row r="337" spans="1:19" x14ac:dyDescent="0.25">
      <c r="A337" s="2" t="s">
        <v>508</v>
      </c>
      <c r="B337" s="20">
        <v>44980</v>
      </c>
      <c r="C337" s="2" t="s">
        <v>1</v>
      </c>
      <c r="D337" s="2" t="s">
        <v>0</v>
      </c>
      <c r="E337" s="2" t="s">
        <v>1168</v>
      </c>
      <c r="F337" s="2" t="s">
        <v>1169</v>
      </c>
      <c r="G337" s="14">
        <v>1256</v>
      </c>
      <c r="H337" s="18">
        <v>1256</v>
      </c>
      <c r="I337" s="19" t="s">
        <v>435</v>
      </c>
      <c r="J337" s="13" t="s">
        <v>434</v>
      </c>
      <c r="K337" s="2">
        <v>0</v>
      </c>
      <c r="L337" s="2">
        <v>0</v>
      </c>
      <c r="M337" s="13">
        <v>0</v>
      </c>
      <c r="N337" s="2">
        <v>0</v>
      </c>
      <c r="O337" s="2">
        <v>0</v>
      </c>
      <c r="P337" s="2">
        <v>0</v>
      </c>
      <c r="Q337" s="13">
        <v>0</v>
      </c>
      <c r="R337" s="2">
        <v>0</v>
      </c>
      <c r="S337" s="2" t="s">
        <v>1</v>
      </c>
    </row>
    <row r="338" spans="1:19" x14ac:dyDescent="0.25">
      <c r="A338" s="2" t="s">
        <v>508</v>
      </c>
      <c r="B338" s="20">
        <v>44980</v>
      </c>
      <c r="C338" s="2" t="s">
        <v>1</v>
      </c>
      <c r="D338" s="2" t="s">
        <v>0</v>
      </c>
      <c r="E338" s="2" t="s">
        <v>1168</v>
      </c>
      <c r="F338" s="2" t="s">
        <v>1169</v>
      </c>
      <c r="G338" s="14">
        <v>1257</v>
      </c>
      <c r="H338" s="18">
        <v>1257</v>
      </c>
      <c r="J338" s="13" t="s">
        <v>954</v>
      </c>
      <c r="K338" s="2">
        <v>0</v>
      </c>
      <c r="L338" s="2">
        <v>0</v>
      </c>
      <c r="M338" s="13">
        <v>187.29</v>
      </c>
      <c r="N338" s="2">
        <v>24.3477</v>
      </c>
      <c r="O338" s="2">
        <v>0</v>
      </c>
      <c r="P338" s="2">
        <v>0</v>
      </c>
      <c r="Q338" s="13">
        <v>211.6377</v>
      </c>
      <c r="R338" s="19" t="s">
        <v>953</v>
      </c>
      <c r="S338" s="2" t="s">
        <v>1</v>
      </c>
    </row>
    <row r="339" spans="1:19" x14ac:dyDescent="0.25">
      <c r="A339" s="2" t="s">
        <v>508</v>
      </c>
      <c r="B339" s="20">
        <v>44980</v>
      </c>
      <c r="C339" s="2" t="s">
        <v>1</v>
      </c>
      <c r="D339" s="2" t="s">
        <v>0</v>
      </c>
      <c r="E339" s="2" t="s">
        <v>1168</v>
      </c>
      <c r="F339" s="2" t="s">
        <v>1169</v>
      </c>
      <c r="G339" s="14">
        <v>1258</v>
      </c>
      <c r="H339" s="18">
        <v>1258</v>
      </c>
      <c r="I339" s="19" t="s">
        <v>85</v>
      </c>
      <c r="J339" s="13" t="s">
        <v>86</v>
      </c>
      <c r="K339" s="2">
        <v>0</v>
      </c>
      <c r="L339" s="2">
        <v>0</v>
      </c>
      <c r="M339" s="13">
        <v>9</v>
      </c>
      <c r="N339" s="2">
        <v>1.17</v>
      </c>
      <c r="O339" s="2">
        <v>0</v>
      </c>
      <c r="P339" s="2">
        <v>0</v>
      </c>
      <c r="Q339" s="13">
        <v>10.17</v>
      </c>
      <c r="R339" s="2">
        <v>0</v>
      </c>
      <c r="S339" s="2" t="s">
        <v>1</v>
      </c>
    </row>
    <row r="340" spans="1:19" x14ac:dyDescent="0.25">
      <c r="A340" s="2" t="s">
        <v>508</v>
      </c>
      <c r="B340" s="20">
        <v>44980</v>
      </c>
      <c r="C340" s="2" t="s">
        <v>1</v>
      </c>
      <c r="D340" s="2" t="s">
        <v>0</v>
      </c>
      <c r="E340" s="2" t="s">
        <v>1168</v>
      </c>
      <c r="F340" s="2" t="s">
        <v>1169</v>
      </c>
      <c r="G340" s="14">
        <v>1259</v>
      </c>
      <c r="H340" s="18">
        <v>1259</v>
      </c>
      <c r="I340" s="19" t="s">
        <v>1029</v>
      </c>
      <c r="J340" s="13" t="s">
        <v>1030</v>
      </c>
      <c r="K340" s="2">
        <v>0</v>
      </c>
      <c r="L340" s="2">
        <v>0</v>
      </c>
      <c r="M340" s="13">
        <v>1.31</v>
      </c>
      <c r="N340" s="2">
        <v>0.17030000000000001</v>
      </c>
      <c r="O340" s="2">
        <v>0</v>
      </c>
      <c r="P340" s="2">
        <v>0</v>
      </c>
      <c r="Q340" s="13">
        <v>1.4803000000000002</v>
      </c>
      <c r="R340" s="2">
        <v>0</v>
      </c>
      <c r="S340" s="2" t="s">
        <v>1</v>
      </c>
    </row>
    <row r="341" spans="1:19" x14ac:dyDescent="0.25">
      <c r="A341" s="2" t="s">
        <v>508</v>
      </c>
      <c r="B341" s="20">
        <v>44981</v>
      </c>
      <c r="C341" s="2" t="s">
        <v>1</v>
      </c>
      <c r="D341" s="2" t="s">
        <v>0</v>
      </c>
      <c r="E341" s="2" t="s">
        <v>1168</v>
      </c>
      <c r="F341" s="2" t="s">
        <v>1169</v>
      </c>
      <c r="G341" s="14">
        <v>1260</v>
      </c>
      <c r="H341" s="18">
        <v>1260</v>
      </c>
      <c r="I341" s="19" t="s">
        <v>435</v>
      </c>
      <c r="J341" s="13" t="s">
        <v>434</v>
      </c>
      <c r="K341" s="2">
        <v>0</v>
      </c>
      <c r="L341" s="2">
        <v>0</v>
      </c>
      <c r="M341" s="13">
        <v>0</v>
      </c>
      <c r="N341" s="2">
        <v>0</v>
      </c>
      <c r="O341" s="2">
        <v>0</v>
      </c>
      <c r="P341" s="2">
        <v>0</v>
      </c>
      <c r="Q341" s="13">
        <v>0</v>
      </c>
      <c r="R341" s="2">
        <v>0</v>
      </c>
      <c r="S341" s="2" t="s">
        <v>1</v>
      </c>
    </row>
    <row r="342" spans="1:19" x14ac:dyDescent="0.25">
      <c r="A342" s="2" t="s">
        <v>508</v>
      </c>
      <c r="B342" s="20">
        <v>44981</v>
      </c>
      <c r="C342" s="2" t="s">
        <v>1</v>
      </c>
      <c r="D342" s="2" t="s">
        <v>0</v>
      </c>
      <c r="E342" s="2" t="s">
        <v>1168</v>
      </c>
      <c r="F342" s="2" t="s">
        <v>1169</v>
      </c>
      <c r="G342" s="14">
        <v>1261</v>
      </c>
      <c r="H342" s="18">
        <v>1261</v>
      </c>
      <c r="I342" s="19" t="s">
        <v>150</v>
      </c>
      <c r="J342" s="13" t="s">
        <v>151</v>
      </c>
      <c r="K342" s="2">
        <v>0</v>
      </c>
      <c r="L342" s="2">
        <v>0</v>
      </c>
      <c r="M342" s="13">
        <v>254.02</v>
      </c>
      <c r="N342" s="2">
        <v>33.022600000000004</v>
      </c>
      <c r="O342" s="2">
        <v>0</v>
      </c>
      <c r="P342" s="2">
        <v>0</v>
      </c>
      <c r="Q342" s="13">
        <v>287.04259999999999</v>
      </c>
      <c r="R342" s="2">
        <v>0</v>
      </c>
      <c r="S342" s="2" t="s">
        <v>1</v>
      </c>
    </row>
    <row r="343" spans="1:19" x14ac:dyDescent="0.25">
      <c r="A343" s="2" t="s">
        <v>508</v>
      </c>
      <c r="B343" s="20">
        <v>44981</v>
      </c>
      <c r="C343" s="2" t="s">
        <v>1</v>
      </c>
      <c r="D343" s="2" t="s">
        <v>0</v>
      </c>
      <c r="E343" s="2" t="s">
        <v>1168</v>
      </c>
      <c r="F343" s="2" t="s">
        <v>1169</v>
      </c>
      <c r="G343" s="14">
        <v>1262</v>
      </c>
      <c r="H343" s="18">
        <v>1262</v>
      </c>
      <c r="I343" s="19" t="s">
        <v>378</v>
      </c>
      <c r="J343" s="13" t="s">
        <v>379</v>
      </c>
      <c r="K343" s="2">
        <v>0</v>
      </c>
      <c r="L343" s="2">
        <v>0</v>
      </c>
      <c r="M343" s="13">
        <v>146.9</v>
      </c>
      <c r="N343" s="2">
        <v>19.097000000000001</v>
      </c>
      <c r="O343" s="2">
        <v>0</v>
      </c>
      <c r="P343" s="2">
        <v>0</v>
      </c>
      <c r="Q343" s="13">
        <v>165.99700000000001</v>
      </c>
      <c r="R343" s="2">
        <v>0</v>
      </c>
      <c r="S343" s="2" t="s">
        <v>1</v>
      </c>
    </row>
    <row r="344" spans="1:19" x14ac:dyDescent="0.25">
      <c r="A344" s="2" t="s">
        <v>508</v>
      </c>
      <c r="B344" s="20">
        <v>44981</v>
      </c>
      <c r="C344" s="2" t="s">
        <v>1</v>
      </c>
      <c r="D344" s="2" t="s">
        <v>0</v>
      </c>
      <c r="E344" s="2" t="s">
        <v>1168</v>
      </c>
      <c r="F344" s="2" t="s">
        <v>1169</v>
      </c>
      <c r="G344" s="14">
        <v>1263</v>
      </c>
      <c r="H344" s="18">
        <v>1263</v>
      </c>
      <c r="I344" s="19" t="s">
        <v>438</v>
      </c>
      <c r="J344" s="13" t="s">
        <v>439</v>
      </c>
      <c r="K344" s="2">
        <v>0</v>
      </c>
      <c r="L344" s="2">
        <v>0</v>
      </c>
      <c r="M344" s="13">
        <v>86.1</v>
      </c>
      <c r="N344" s="2">
        <v>11.193</v>
      </c>
      <c r="O344" s="2">
        <v>0</v>
      </c>
      <c r="P344" s="2">
        <v>0</v>
      </c>
      <c r="Q344" s="13">
        <v>97.292999999999992</v>
      </c>
      <c r="R344" s="2">
        <v>0</v>
      </c>
      <c r="S344" s="2" t="s">
        <v>1</v>
      </c>
    </row>
    <row r="345" spans="1:19" x14ac:dyDescent="0.25">
      <c r="A345" s="2" t="s">
        <v>508</v>
      </c>
      <c r="B345" s="20">
        <v>44981</v>
      </c>
      <c r="C345" s="2" t="s">
        <v>1</v>
      </c>
      <c r="D345" s="2" t="s">
        <v>0</v>
      </c>
      <c r="E345" s="2" t="s">
        <v>1168</v>
      </c>
      <c r="F345" s="2" t="s">
        <v>1169</v>
      </c>
      <c r="G345" s="14">
        <v>1264</v>
      </c>
      <c r="H345" s="18">
        <v>1264</v>
      </c>
      <c r="I345" s="19" t="s">
        <v>435</v>
      </c>
      <c r="J345" s="13" t="s">
        <v>434</v>
      </c>
      <c r="K345" s="2">
        <v>0</v>
      </c>
      <c r="L345" s="2">
        <v>0</v>
      </c>
      <c r="M345" s="13">
        <v>0</v>
      </c>
      <c r="N345" s="2">
        <v>0</v>
      </c>
      <c r="O345" s="2">
        <v>0</v>
      </c>
      <c r="P345" s="2">
        <v>0</v>
      </c>
      <c r="Q345" s="13">
        <v>0</v>
      </c>
      <c r="R345" s="2">
        <v>0</v>
      </c>
      <c r="S345" s="2" t="s">
        <v>1</v>
      </c>
    </row>
    <row r="346" spans="1:19" x14ac:dyDescent="0.25">
      <c r="A346" s="2" t="s">
        <v>508</v>
      </c>
      <c r="B346" s="20">
        <v>44981</v>
      </c>
      <c r="C346" s="2" t="s">
        <v>1</v>
      </c>
      <c r="D346" s="2" t="s">
        <v>0</v>
      </c>
      <c r="E346" s="2" t="s">
        <v>1168</v>
      </c>
      <c r="F346" s="2" t="s">
        <v>1169</v>
      </c>
      <c r="G346" s="14">
        <v>1265</v>
      </c>
      <c r="H346" s="18">
        <v>1265</v>
      </c>
      <c r="I346" s="19" t="s">
        <v>305</v>
      </c>
      <c r="J346" s="13" t="s">
        <v>306</v>
      </c>
      <c r="K346" s="2">
        <v>0</v>
      </c>
      <c r="L346" s="2">
        <v>0</v>
      </c>
      <c r="M346" s="13">
        <v>1891.91</v>
      </c>
      <c r="N346" s="2">
        <v>245.94830000000002</v>
      </c>
      <c r="O346" s="2">
        <v>0</v>
      </c>
      <c r="P346" s="2">
        <v>0</v>
      </c>
      <c r="Q346" s="13">
        <v>2137.8582999999999</v>
      </c>
      <c r="R346" s="2">
        <v>0</v>
      </c>
      <c r="S346" s="2" t="s">
        <v>1</v>
      </c>
    </row>
    <row r="347" spans="1:19" x14ac:dyDescent="0.25">
      <c r="A347" s="2" t="s">
        <v>508</v>
      </c>
      <c r="B347" s="20">
        <v>44981</v>
      </c>
      <c r="C347" s="2" t="s">
        <v>1</v>
      </c>
      <c r="D347" s="2" t="s">
        <v>0</v>
      </c>
      <c r="E347" s="2" t="s">
        <v>1168</v>
      </c>
      <c r="F347" s="2" t="s">
        <v>1169</v>
      </c>
      <c r="G347" s="14">
        <v>1266</v>
      </c>
      <c r="H347" s="18">
        <v>1266</v>
      </c>
      <c r="I347" s="19" t="s">
        <v>305</v>
      </c>
      <c r="J347" s="13" t="s">
        <v>306</v>
      </c>
      <c r="K347" s="2">
        <v>0</v>
      </c>
      <c r="L347" s="2">
        <v>0</v>
      </c>
      <c r="M347" s="13">
        <v>35.03</v>
      </c>
      <c r="N347" s="2">
        <v>4.5539000000000005</v>
      </c>
      <c r="O347" s="2">
        <v>0</v>
      </c>
      <c r="P347" s="2">
        <v>0</v>
      </c>
      <c r="Q347" s="13">
        <v>39.5839</v>
      </c>
      <c r="R347" s="2">
        <v>0</v>
      </c>
      <c r="S347" s="2" t="s">
        <v>1</v>
      </c>
    </row>
    <row r="348" spans="1:19" x14ac:dyDescent="0.25">
      <c r="A348" s="2" t="s">
        <v>508</v>
      </c>
      <c r="B348" s="20">
        <v>44981</v>
      </c>
      <c r="C348" s="2" t="s">
        <v>1</v>
      </c>
      <c r="D348" s="2" t="s">
        <v>0</v>
      </c>
      <c r="E348" s="2" t="s">
        <v>1168</v>
      </c>
      <c r="F348" s="2" t="s">
        <v>1169</v>
      </c>
      <c r="G348" s="14">
        <v>1267</v>
      </c>
      <c r="H348" s="18">
        <v>1267</v>
      </c>
      <c r="I348" s="19" t="s">
        <v>81</v>
      </c>
      <c r="J348" s="13" t="s">
        <v>82</v>
      </c>
      <c r="K348" s="2">
        <v>0</v>
      </c>
      <c r="L348" s="2">
        <v>0</v>
      </c>
      <c r="M348" s="13">
        <v>82.09</v>
      </c>
      <c r="N348" s="2">
        <v>10.671700000000001</v>
      </c>
      <c r="O348" s="2">
        <v>0</v>
      </c>
      <c r="P348" s="2">
        <v>0</v>
      </c>
      <c r="Q348" s="13">
        <v>92.761700000000005</v>
      </c>
      <c r="R348" s="2">
        <v>0</v>
      </c>
      <c r="S348" s="2" t="s">
        <v>1</v>
      </c>
    </row>
    <row r="349" spans="1:19" x14ac:dyDescent="0.25">
      <c r="A349" s="2" t="s">
        <v>508</v>
      </c>
      <c r="B349" s="20">
        <v>44981</v>
      </c>
      <c r="C349" s="2" t="s">
        <v>1</v>
      </c>
      <c r="D349" s="2" t="s">
        <v>0</v>
      </c>
      <c r="E349" s="2" t="s">
        <v>1168</v>
      </c>
      <c r="F349" s="2" t="s">
        <v>1169</v>
      </c>
      <c r="G349" s="14">
        <v>1268</v>
      </c>
      <c r="H349" s="18">
        <v>1268</v>
      </c>
      <c r="J349" s="13" t="s">
        <v>986</v>
      </c>
      <c r="K349" s="2">
        <v>0</v>
      </c>
      <c r="L349" s="2">
        <v>0</v>
      </c>
      <c r="M349" s="13">
        <v>115.73</v>
      </c>
      <c r="N349" s="2">
        <v>15.0449</v>
      </c>
      <c r="O349" s="2">
        <v>0</v>
      </c>
      <c r="P349" s="2">
        <v>0</v>
      </c>
      <c r="Q349" s="13">
        <v>130.7749</v>
      </c>
      <c r="R349" s="19" t="s">
        <v>985</v>
      </c>
      <c r="S349" s="2" t="s">
        <v>1</v>
      </c>
    </row>
    <row r="350" spans="1:19" x14ac:dyDescent="0.25">
      <c r="A350" s="2" t="s">
        <v>508</v>
      </c>
      <c r="B350" s="20">
        <v>44984</v>
      </c>
      <c r="C350" s="2" t="s">
        <v>1</v>
      </c>
      <c r="D350" s="2" t="s">
        <v>0</v>
      </c>
      <c r="E350" s="2" t="s">
        <v>1168</v>
      </c>
      <c r="F350" s="2" t="s">
        <v>1169</v>
      </c>
      <c r="G350" s="14">
        <v>1269</v>
      </c>
      <c r="H350" s="18">
        <v>1269</v>
      </c>
      <c r="I350" s="19" t="s">
        <v>1141</v>
      </c>
      <c r="J350" s="13" t="s">
        <v>997</v>
      </c>
      <c r="K350" s="2">
        <v>0</v>
      </c>
      <c r="L350" s="2">
        <v>0</v>
      </c>
      <c r="M350" s="13">
        <v>127.02</v>
      </c>
      <c r="N350" s="2">
        <v>16.512599999999999</v>
      </c>
      <c r="O350" s="2">
        <v>0</v>
      </c>
      <c r="P350" s="2">
        <v>0</v>
      </c>
      <c r="Q350" s="13">
        <v>143.5326</v>
      </c>
      <c r="R350" s="2">
        <v>0</v>
      </c>
      <c r="S350" s="2" t="s">
        <v>1</v>
      </c>
    </row>
    <row r="351" spans="1:19" x14ac:dyDescent="0.25">
      <c r="A351" s="2" t="s">
        <v>508</v>
      </c>
      <c r="B351" s="20">
        <v>44984</v>
      </c>
      <c r="C351" s="2" t="s">
        <v>1</v>
      </c>
      <c r="D351" s="2" t="s">
        <v>0</v>
      </c>
      <c r="E351" s="2" t="s">
        <v>1168</v>
      </c>
      <c r="F351" s="2" t="s">
        <v>1169</v>
      </c>
      <c r="G351" s="14">
        <v>1270</v>
      </c>
      <c r="H351" s="18">
        <v>1270</v>
      </c>
      <c r="I351" s="19" t="s">
        <v>951</v>
      </c>
      <c r="J351" s="13" t="s">
        <v>952</v>
      </c>
      <c r="K351" s="2">
        <v>0</v>
      </c>
      <c r="L351" s="2">
        <v>0</v>
      </c>
      <c r="M351" s="13">
        <v>119</v>
      </c>
      <c r="N351" s="2">
        <v>15.47</v>
      </c>
      <c r="O351" s="2">
        <v>0</v>
      </c>
      <c r="P351" s="2">
        <v>0</v>
      </c>
      <c r="Q351" s="13">
        <v>134.47</v>
      </c>
      <c r="R351" s="2">
        <v>0</v>
      </c>
      <c r="S351" s="2" t="s">
        <v>1</v>
      </c>
    </row>
    <row r="352" spans="1:19" x14ac:dyDescent="0.25">
      <c r="A352" s="2" t="s">
        <v>508</v>
      </c>
      <c r="B352" s="20">
        <v>44984</v>
      </c>
      <c r="C352" s="2" t="s">
        <v>1</v>
      </c>
      <c r="D352" s="2" t="s">
        <v>0</v>
      </c>
      <c r="E352" s="2" t="s">
        <v>1168</v>
      </c>
      <c r="F352" s="2" t="s">
        <v>1169</v>
      </c>
      <c r="G352" s="14">
        <v>1271</v>
      </c>
      <c r="H352" s="18">
        <v>1271</v>
      </c>
      <c r="I352" s="19" t="s">
        <v>77</v>
      </c>
      <c r="J352" s="13" t="s">
        <v>78</v>
      </c>
      <c r="K352" s="2">
        <v>0</v>
      </c>
      <c r="L352" s="2">
        <v>0</v>
      </c>
      <c r="M352" s="13">
        <v>91.89</v>
      </c>
      <c r="N352" s="2">
        <v>11.9457</v>
      </c>
      <c r="O352" s="2">
        <v>0</v>
      </c>
      <c r="P352" s="2">
        <v>0</v>
      </c>
      <c r="Q352" s="13">
        <v>103.8357</v>
      </c>
      <c r="R352" s="2">
        <v>0</v>
      </c>
      <c r="S352" s="2" t="s">
        <v>1</v>
      </c>
    </row>
    <row r="353" spans="1:19" x14ac:dyDescent="0.25">
      <c r="A353" s="2" t="s">
        <v>508</v>
      </c>
      <c r="B353" s="20">
        <v>44984</v>
      </c>
      <c r="C353" s="2" t="s">
        <v>1</v>
      </c>
      <c r="D353" s="2" t="s">
        <v>0</v>
      </c>
      <c r="E353" s="2" t="s">
        <v>1168</v>
      </c>
      <c r="F353" s="2" t="s">
        <v>1169</v>
      </c>
      <c r="G353" s="14">
        <v>1272</v>
      </c>
      <c r="H353" s="18">
        <v>1272</v>
      </c>
      <c r="I353" s="19" t="s">
        <v>435</v>
      </c>
      <c r="J353" s="13" t="s">
        <v>434</v>
      </c>
      <c r="K353" s="2">
        <v>0</v>
      </c>
      <c r="L353" s="2">
        <v>0</v>
      </c>
      <c r="M353" s="13">
        <v>0</v>
      </c>
      <c r="N353" s="2">
        <v>0</v>
      </c>
      <c r="O353" s="2">
        <v>0</v>
      </c>
      <c r="P353" s="2">
        <v>0</v>
      </c>
      <c r="Q353" s="13">
        <v>0</v>
      </c>
      <c r="R353" s="2">
        <v>0</v>
      </c>
      <c r="S353" s="2" t="s">
        <v>1</v>
      </c>
    </row>
    <row r="354" spans="1:19" x14ac:dyDescent="0.25">
      <c r="A354" s="2" t="s">
        <v>508</v>
      </c>
      <c r="B354" s="20">
        <v>44984</v>
      </c>
      <c r="C354" s="2" t="s">
        <v>1</v>
      </c>
      <c r="D354" s="2" t="s">
        <v>0</v>
      </c>
      <c r="E354" s="2" t="s">
        <v>1168</v>
      </c>
      <c r="F354" s="2" t="s">
        <v>1169</v>
      </c>
      <c r="G354" s="14">
        <v>1273</v>
      </c>
      <c r="H354" s="18">
        <v>1273</v>
      </c>
      <c r="J354" s="13" t="s">
        <v>986</v>
      </c>
      <c r="K354" s="2">
        <v>0</v>
      </c>
      <c r="L354" s="2">
        <v>0</v>
      </c>
      <c r="M354" s="13">
        <v>358.5</v>
      </c>
      <c r="N354" s="2">
        <v>46.605000000000004</v>
      </c>
      <c r="O354" s="2">
        <v>0</v>
      </c>
      <c r="P354" s="2">
        <v>0</v>
      </c>
      <c r="Q354" s="13">
        <v>405.10500000000002</v>
      </c>
      <c r="R354" s="19" t="s">
        <v>985</v>
      </c>
      <c r="S354" s="2" t="s">
        <v>1</v>
      </c>
    </row>
    <row r="355" spans="1:19" x14ac:dyDescent="0.25">
      <c r="A355" s="2" t="s">
        <v>508</v>
      </c>
      <c r="B355" s="20">
        <v>44984</v>
      </c>
      <c r="C355" s="2" t="s">
        <v>1</v>
      </c>
      <c r="D355" s="2" t="s">
        <v>0</v>
      </c>
      <c r="E355" s="2" t="s">
        <v>1168</v>
      </c>
      <c r="F355" s="2" t="s">
        <v>1169</v>
      </c>
      <c r="G355" s="14">
        <v>1274</v>
      </c>
      <c r="H355" s="18">
        <v>1274</v>
      </c>
      <c r="I355" s="19" t="s">
        <v>961</v>
      </c>
      <c r="J355" s="13" t="s">
        <v>962</v>
      </c>
      <c r="K355" s="2">
        <v>0</v>
      </c>
      <c r="L355" s="2">
        <v>0</v>
      </c>
      <c r="M355" s="13">
        <v>42.48</v>
      </c>
      <c r="N355" s="2">
        <v>5.5224000000000002</v>
      </c>
      <c r="O355" s="2">
        <v>0</v>
      </c>
      <c r="P355" s="2">
        <v>0</v>
      </c>
      <c r="Q355" s="13">
        <v>48.002399999999994</v>
      </c>
      <c r="R355" s="2">
        <v>0</v>
      </c>
      <c r="S355" s="2" t="s">
        <v>1</v>
      </c>
    </row>
    <row r="356" spans="1:19" x14ac:dyDescent="0.25">
      <c r="A356" s="2" t="s">
        <v>508</v>
      </c>
      <c r="B356" s="20">
        <v>44984</v>
      </c>
      <c r="C356" s="2" t="s">
        <v>1</v>
      </c>
      <c r="D356" s="2" t="s">
        <v>0</v>
      </c>
      <c r="E356" s="2" t="s">
        <v>1168</v>
      </c>
      <c r="F356" s="2" t="s">
        <v>1169</v>
      </c>
      <c r="G356" s="14">
        <v>1275</v>
      </c>
      <c r="H356" s="18">
        <v>1275</v>
      </c>
      <c r="I356" s="19" t="s">
        <v>979</v>
      </c>
      <c r="J356" s="13" t="s">
        <v>980</v>
      </c>
      <c r="K356" s="2">
        <v>0</v>
      </c>
      <c r="L356" s="2">
        <v>0</v>
      </c>
      <c r="M356" s="13">
        <v>128.69999999999999</v>
      </c>
      <c r="N356" s="2">
        <v>16.730999999999998</v>
      </c>
      <c r="O356" s="2">
        <v>0</v>
      </c>
      <c r="P356" s="2">
        <v>0</v>
      </c>
      <c r="Q356" s="13">
        <v>145.43099999999998</v>
      </c>
      <c r="R356" s="2">
        <v>0</v>
      </c>
      <c r="S356" s="2" t="s">
        <v>1</v>
      </c>
    </row>
    <row r="357" spans="1:19" x14ac:dyDescent="0.25">
      <c r="A357" s="2" t="s">
        <v>508</v>
      </c>
      <c r="B357" s="20">
        <v>44984</v>
      </c>
      <c r="C357" s="2" t="s">
        <v>1</v>
      </c>
      <c r="D357" s="2" t="s">
        <v>0</v>
      </c>
      <c r="E357" s="2" t="s">
        <v>1168</v>
      </c>
      <c r="F357" s="2" t="s">
        <v>1169</v>
      </c>
      <c r="G357" s="14">
        <v>1276</v>
      </c>
      <c r="H357" s="18">
        <v>1276</v>
      </c>
      <c r="I357" s="19" t="s">
        <v>993</v>
      </c>
      <c r="J357" s="13" t="s">
        <v>994</v>
      </c>
      <c r="K357" s="2">
        <v>0</v>
      </c>
      <c r="L357" s="2">
        <v>0</v>
      </c>
      <c r="M357" s="13">
        <v>140.08000000000001</v>
      </c>
      <c r="N357" s="2">
        <v>18.210400000000003</v>
      </c>
      <c r="O357" s="2">
        <v>0</v>
      </c>
      <c r="P357" s="2">
        <v>0</v>
      </c>
      <c r="Q357" s="13">
        <v>158.29040000000001</v>
      </c>
      <c r="R357" s="2">
        <v>0</v>
      </c>
      <c r="S357" s="2" t="s">
        <v>1</v>
      </c>
    </row>
    <row r="358" spans="1:19" x14ac:dyDescent="0.25">
      <c r="A358" s="2" t="s">
        <v>508</v>
      </c>
      <c r="B358" s="20">
        <v>44984</v>
      </c>
      <c r="C358" s="2" t="s">
        <v>1</v>
      </c>
      <c r="D358" s="2" t="s">
        <v>0</v>
      </c>
      <c r="E358" s="2" t="s">
        <v>1168</v>
      </c>
      <c r="F358" s="2" t="s">
        <v>1169</v>
      </c>
      <c r="G358" s="14">
        <v>1277</v>
      </c>
      <c r="H358" s="18">
        <v>1277</v>
      </c>
      <c r="I358" s="19" t="s">
        <v>435</v>
      </c>
      <c r="J358" s="13" t="s">
        <v>434</v>
      </c>
      <c r="K358" s="2">
        <v>0</v>
      </c>
      <c r="L358" s="2">
        <v>0</v>
      </c>
      <c r="M358" s="13">
        <v>0</v>
      </c>
      <c r="N358" s="2">
        <v>0</v>
      </c>
      <c r="O358" s="2">
        <v>0</v>
      </c>
      <c r="P358" s="2">
        <v>0</v>
      </c>
      <c r="Q358" s="13">
        <v>0</v>
      </c>
      <c r="R358" s="2">
        <v>0</v>
      </c>
      <c r="S358" s="2" t="s">
        <v>1</v>
      </c>
    </row>
    <row r="359" spans="1:19" x14ac:dyDescent="0.25">
      <c r="A359" s="2" t="s">
        <v>508</v>
      </c>
      <c r="B359" s="20">
        <v>44984</v>
      </c>
      <c r="C359" s="2" t="s">
        <v>1</v>
      </c>
      <c r="D359" s="2" t="s">
        <v>0</v>
      </c>
      <c r="E359" s="2" t="s">
        <v>1168</v>
      </c>
      <c r="F359" s="2" t="s">
        <v>1169</v>
      </c>
      <c r="G359" s="14">
        <v>1278</v>
      </c>
      <c r="H359" s="18">
        <v>1278</v>
      </c>
      <c r="I359" s="19" t="s">
        <v>969</v>
      </c>
      <c r="J359" s="13" t="s">
        <v>970</v>
      </c>
      <c r="K359" s="2">
        <v>0</v>
      </c>
      <c r="L359" s="2">
        <v>0</v>
      </c>
      <c r="M359" s="13">
        <v>422.23</v>
      </c>
      <c r="N359" s="2">
        <v>54.889900000000004</v>
      </c>
      <c r="O359" s="2">
        <v>0</v>
      </c>
      <c r="P359" s="2">
        <v>0</v>
      </c>
      <c r="Q359" s="13">
        <v>477.11990000000003</v>
      </c>
      <c r="R359" s="2">
        <v>0</v>
      </c>
      <c r="S359" s="2" t="s">
        <v>1</v>
      </c>
    </row>
    <row r="360" spans="1:19" x14ac:dyDescent="0.25">
      <c r="A360" s="2" t="s">
        <v>508</v>
      </c>
      <c r="B360" s="20">
        <v>44984</v>
      </c>
      <c r="C360" s="2" t="s">
        <v>1</v>
      </c>
      <c r="D360" s="2" t="s">
        <v>0</v>
      </c>
      <c r="E360" s="2" t="s">
        <v>1168</v>
      </c>
      <c r="F360" s="2" t="s">
        <v>1169</v>
      </c>
      <c r="G360" s="14">
        <v>1279</v>
      </c>
      <c r="H360" s="18">
        <v>1279</v>
      </c>
      <c r="J360" s="13" t="s">
        <v>976</v>
      </c>
      <c r="K360" s="2">
        <v>0</v>
      </c>
      <c r="L360" s="2">
        <v>0</v>
      </c>
      <c r="M360" s="13">
        <v>28.8</v>
      </c>
      <c r="N360" s="2">
        <v>3.7440000000000002</v>
      </c>
      <c r="O360" s="2">
        <v>0</v>
      </c>
      <c r="P360" s="2">
        <v>0</v>
      </c>
      <c r="Q360" s="13">
        <v>32.544000000000004</v>
      </c>
      <c r="R360" s="19" t="s">
        <v>975</v>
      </c>
      <c r="S360" s="2" t="s">
        <v>1</v>
      </c>
    </row>
    <row r="361" spans="1:19" x14ac:dyDescent="0.25">
      <c r="A361" s="2" t="s">
        <v>508</v>
      </c>
      <c r="B361" s="20">
        <v>44984</v>
      </c>
      <c r="C361" s="2" t="s">
        <v>1</v>
      </c>
      <c r="D361" s="2" t="s">
        <v>0</v>
      </c>
      <c r="E361" s="2" t="s">
        <v>1168</v>
      </c>
      <c r="F361" s="2" t="s">
        <v>1169</v>
      </c>
      <c r="G361" s="14">
        <v>1280</v>
      </c>
      <c r="H361" s="18">
        <v>1280</v>
      </c>
      <c r="I361" s="19" t="s">
        <v>1012</v>
      </c>
      <c r="J361" s="13" t="s">
        <v>1013</v>
      </c>
      <c r="K361" s="2">
        <v>0</v>
      </c>
      <c r="L361" s="2">
        <v>0</v>
      </c>
      <c r="M361" s="13">
        <v>670</v>
      </c>
      <c r="N361" s="2">
        <v>87.100000000000009</v>
      </c>
      <c r="O361" s="2">
        <v>0</v>
      </c>
      <c r="P361" s="2">
        <v>0</v>
      </c>
      <c r="Q361" s="13">
        <v>757.1</v>
      </c>
      <c r="R361" s="2">
        <v>0</v>
      </c>
      <c r="S361" s="2" t="s">
        <v>1</v>
      </c>
    </row>
    <row r="362" spans="1:19" x14ac:dyDescent="0.25">
      <c r="A362" s="2" t="s">
        <v>508</v>
      </c>
      <c r="B362" s="20">
        <v>44985</v>
      </c>
      <c r="C362" s="2" t="s">
        <v>1</v>
      </c>
      <c r="D362" s="2" t="s">
        <v>0</v>
      </c>
      <c r="E362" s="2" t="s">
        <v>1168</v>
      </c>
      <c r="F362" s="2" t="s">
        <v>1169</v>
      </c>
      <c r="G362" s="14">
        <v>1281</v>
      </c>
      <c r="H362" s="18">
        <v>1281</v>
      </c>
      <c r="I362" s="19" t="s">
        <v>955</v>
      </c>
      <c r="J362" s="13" t="s">
        <v>956</v>
      </c>
      <c r="K362" s="2">
        <v>0</v>
      </c>
      <c r="L362" s="2">
        <v>0</v>
      </c>
      <c r="M362" s="13">
        <v>15.9</v>
      </c>
      <c r="N362" s="2">
        <v>2.0670000000000002</v>
      </c>
      <c r="O362" s="2">
        <v>0</v>
      </c>
      <c r="P362" s="2">
        <v>0</v>
      </c>
      <c r="Q362" s="13">
        <v>17.966999999999999</v>
      </c>
      <c r="R362" s="2">
        <v>0</v>
      </c>
      <c r="S362" s="2" t="s">
        <v>1</v>
      </c>
    </row>
    <row r="363" spans="1:19" x14ac:dyDescent="0.25">
      <c r="A363" s="2" t="s">
        <v>508</v>
      </c>
      <c r="B363" s="20">
        <v>44985</v>
      </c>
      <c r="C363" s="2" t="s">
        <v>1</v>
      </c>
      <c r="D363" s="2" t="s">
        <v>0</v>
      </c>
      <c r="E363" s="2" t="s">
        <v>1168</v>
      </c>
      <c r="F363" s="2" t="s">
        <v>1169</v>
      </c>
      <c r="G363" s="14">
        <v>1283</v>
      </c>
      <c r="H363" s="18">
        <v>1283</v>
      </c>
      <c r="I363" s="19" t="s">
        <v>989</v>
      </c>
      <c r="J363" s="13" t="s">
        <v>990</v>
      </c>
      <c r="K363" s="2">
        <v>0</v>
      </c>
      <c r="L363" s="2">
        <v>0</v>
      </c>
      <c r="M363" s="13">
        <v>288.06</v>
      </c>
      <c r="N363" s="2">
        <v>37.447800000000001</v>
      </c>
      <c r="O363" s="2">
        <v>0</v>
      </c>
      <c r="P363" s="2">
        <v>0</v>
      </c>
      <c r="Q363" s="13">
        <v>325.50779999999997</v>
      </c>
      <c r="R363" s="2">
        <v>0</v>
      </c>
      <c r="S363" s="2" t="s">
        <v>1</v>
      </c>
    </row>
    <row r="364" spans="1:19" x14ac:dyDescent="0.25">
      <c r="A364" s="2" t="s">
        <v>508</v>
      </c>
      <c r="B364" s="20">
        <v>44985</v>
      </c>
      <c r="C364" s="2" t="s">
        <v>1</v>
      </c>
      <c r="D364" s="2" t="s">
        <v>0</v>
      </c>
      <c r="E364" s="2" t="s">
        <v>1168</v>
      </c>
      <c r="F364" s="2" t="s">
        <v>1169</v>
      </c>
      <c r="G364" s="14">
        <v>1284</v>
      </c>
      <c r="H364" s="18">
        <v>1284</v>
      </c>
      <c r="I364" s="19" t="s">
        <v>512</v>
      </c>
      <c r="J364" s="13" t="s">
        <v>513</v>
      </c>
      <c r="K364" s="2">
        <v>0</v>
      </c>
      <c r="L364" s="2">
        <v>0</v>
      </c>
      <c r="M364" s="13">
        <v>233.75</v>
      </c>
      <c r="N364" s="2">
        <v>30.387499999999999</v>
      </c>
      <c r="O364" s="2">
        <v>0</v>
      </c>
      <c r="P364" s="2">
        <v>0</v>
      </c>
      <c r="Q364" s="13">
        <v>264.13749999999999</v>
      </c>
      <c r="R364" s="2">
        <v>0</v>
      </c>
      <c r="S364" s="2" t="s">
        <v>1</v>
      </c>
    </row>
    <row r="365" spans="1:19" x14ac:dyDescent="0.25">
      <c r="A365" s="2" t="s">
        <v>508</v>
      </c>
      <c r="B365" s="20">
        <v>44985</v>
      </c>
      <c r="C365" s="2" t="s">
        <v>1</v>
      </c>
      <c r="D365" s="2" t="s">
        <v>0</v>
      </c>
      <c r="E365" s="2" t="s">
        <v>1168</v>
      </c>
      <c r="F365" s="2" t="s">
        <v>1169</v>
      </c>
      <c r="G365" s="14">
        <v>1285</v>
      </c>
      <c r="H365" s="18">
        <v>1285</v>
      </c>
      <c r="I365" s="19" t="s">
        <v>1024</v>
      </c>
      <c r="J365" s="13" t="s">
        <v>133</v>
      </c>
      <c r="K365" s="2">
        <v>0</v>
      </c>
      <c r="L365" s="2">
        <v>0</v>
      </c>
      <c r="M365" s="13">
        <v>275</v>
      </c>
      <c r="N365" s="2">
        <v>35.75</v>
      </c>
      <c r="O365" s="2">
        <v>0</v>
      </c>
      <c r="P365" s="2">
        <v>0</v>
      </c>
      <c r="Q365" s="13">
        <v>310.75</v>
      </c>
      <c r="R365" s="2">
        <v>0</v>
      </c>
      <c r="S365" s="2" t="s">
        <v>1</v>
      </c>
    </row>
    <row r="366" spans="1:19" x14ac:dyDescent="0.25">
      <c r="A366" s="2" t="s">
        <v>508</v>
      </c>
      <c r="B366" s="20">
        <v>44985</v>
      </c>
      <c r="C366" s="2" t="s">
        <v>1</v>
      </c>
      <c r="D366" s="2" t="s">
        <v>0</v>
      </c>
      <c r="E366" s="2" t="s">
        <v>1168</v>
      </c>
      <c r="F366" s="2" t="s">
        <v>1169</v>
      </c>
      <c r="G366" s="14">
        <v>1286</v>
      </c>
      <c r="H366" s="18">
        <v>1286</v>
      </c>
      <c r="I366" s="19" t="s">
        <v>1135</v>
      </c>
      <c r="J366" s="13" t="s">
        <v>1136</v>
      </c>
      <c r="K366" s="2">
        <v>0</v>
      </c>
      <c r="L366" s="2">
        <v>0</v>
      </c>
      <c r="M366" s="13">
        <v>94.45</v>
      </c>
      <c r="N366" s="2">
        <v>12.278500000000001</v>
      </c>
      <c r="O366" s="2">
        <v>0</v>
      </c>
      <c r="P366" s="2">
        <v>0</v>
      </c>
      <c r="Q366" s="13">
        <v>106.7285</v>
      </c>
      <c r="R366" s="2">
        <v>0</v>
      </c>
      <c r="S366" s="2" t="s">
        <v>1</v>
      </c>
    </row>
    <row r="367" spans="1:19" x14ac:dyDescent="0.25">
      <c r="A367" s="2" t="s">
        <v>508</v>
      </c>
      <c r="B367" s="20">
        <v>44985</v>
      </c>
      <c r="C367" s="2" t="s">
        <v>1</v>
      </c>
      <c r="D367" s="2" t="s">
        <v>0</v>
      </c>
      <c r="E367" s="2" t="s">
        <v>1168</v>
      </c>
      <c r="F367" s="2" t="s">
        <v>1169</v>
      </c>
      <c r="G367" s="14">
        <v>1287</v>
      </c>
      <c r="H367" s="18">
        <v>1287</v>
      </c>
      <c r="I367" s="19" t="s">
        <v>1012</v>
      </c>
      <c r="J367" s="13" t="s">
        <v>1013</v>
      </c>
      <c r="K367" s="2">
        <v>0</v>
      </c>
      <c r="L367" s="2">
        <v>0</v>
      </c>
      <c r="M367" s="13">
        <v>344.6</v>
      </c>
      <c r="N367" s="2">
        <v>44.798000000000002</v>
      </c>
      <c r="O367" s="2">
        <v>0</v>
      </c>
      <c r="P367" s="2">
        <v>0</v>
      </c>
      <c r="Q367" s="13">
        <v>389.39800000000002</v>
      </c>
      <c r="R367" s="2">
        <v>0</v>
      </c>
      <c r="S367" s="2" t="s">
        <v>1</v>
      </c>
    </row>
    <row r="368" spans="1:19" x14ac:dyDescent="0.25">
      <c r="A368" s="2" t="s">
        <v>508</v>
      </c>
      <c r="B368" s="20">
        <v>44985</v>
      </c>
      <c r="C368" s="2" t="s">
        <v>1</v>
      </c>
      <c r="D368" s="2" t="s">
        <v>0</v>
      </c>
      <c r="E368" s="2" t="s">
        <v>1168</v>
      </c>
      <c r="F368" s="2" t="s">
        <v>1169</v>
      </c>
      <c r="G368" s="14">
        <v>1288</v>
      </c>
      <c r="H368" s="18">
        <v>1288</v>
      </c>
      <c r="J368" s="13" t="s">
        <v>986</v>
      </c>
      <c r="K368" s="2">
        <v>0</v>
      </c>
      <c r="L368" s="2">
        <v>0</v>
      </c>
      <c r="M368" s="13">
        <v>105.66</v>
      </c>
      <c r="N368" s="2">
        <v>13.735799999999999</v>
      </c>
      <c r="O368" s="2">
        <v>0</v>
      </c>
      <c r="P368" s="2">
        <v>0</v>
      </c>
      <c r="Q368" s="13">
        <v>119.39579999999999</v>
      </c>
      <c r="R368" s="19" t="s">
        <v>985</v>
      </c>
      <c r="S368" s="2" t="s">
        <v>1</v>
      </c>
    </row>
    <row r="369" spans="1:19" x14ac:dyDescent="0.25">
      <c r="A369" s="2" t="s">
        <v>508</v>
      </c>
      <c r="B369" s="20">
        <v>44985</v>
      </c>
      <c r="C369" s="2" t="s">
        <v>1</v>
      </c>
      <c r="D369" s="2" t="s">
        <v>0</v>
      </c>
      <c r="E369" s="2" t="s">
        <v>1168</v>
      </c>
      <c r="F369" s="2" t="s">
        <v>1169</v>
      </c>
      <c r="G369" s="14">
        <v>1289</v>
      </c>
      <c r="H369" s="18">
        <v>1289</v>
      </c>
      <c r="I369" s="19" t="s">
        <v>81</v>
      </c>
      <c r="J369" s="13" t="s">
        <v>82</v>
      </c>
      <c r="K369" s="2">
        <v>0</v>
      </c>
      <c r="L369" s="2">
        <v>0</v>
      </c>
      <c r="M369" s="13">
        <v>259.69</v>
      </c>
      <c r="N369" s="2">
        <v>33.759700000000002</v>
      </c>
      <c r="O369" s="2">
        <v>0</v>
      </c>
      <c r="P369" s="2">
        <v>0</v>
      </c>
      <c r="Q369" s="13">
        <v>293.44970000000001</v>
      </c>
      <c r="R369" s="2">
        <v>0</v>
      </c>
      <c r="S369" s="2" t="s">
        <v>1</v>
      </c>
    </row>
    <row r="370" spans="1:19" x14ac:dyDescent="0.25">
      <c r="A370" s="2" t="s">
        <v>508</v>
      </c>
      <c r="B370" s="20">
        <v>44985</v>
      </c>
      <c r="C370" s="2" t="s">
        <v>1</v>
      </c>
      <c r="D370" s="2" t="s">
        <v>0</v>
      </c>
      <c r="E370" s="2" t="s">
        <v>1168</v>
      </c>
      <c r="F370" s="2" t="s">
        <v>1169</v>
      </c>
      <c r="G370" s="14">
        <v>1290</v>
      </c>
      <c r="H370" s="18">
        <v>1290</v>
      </c>
      <c r="I370" s="19" t="s">
        <v>969</v>
      </c>
      <c r="J370" s="13" t="s">
        <v>970</v>
      </c>
      <c r="K370" s="2">
        <v>0</v>
      </c>
      <c r="L370" s="2">
        <v>0</v>
      </c>
      <c r="M370" s="13">
        <v>1056.96</v>
      </c>
      <c r="N370" s="2">
        <v>137.40480000000002</v>
      </c>
      <c r="O370" s="2">
        <v>0</v>
      </c>
      <c r="P370" s="2">
        <v>0</v>
      </c>
      <c r="Q370" s="13">
        <v>1194.3648000000001</v>
      </c>
      <c r="R370" s="2">
        <v>0</v>
      </c>
      <c r="S370" s="2" t="s">
        <v>1</v>
      </c>
    </row>
    <row r="371" spans="1:19" x14ac:dyDescent="0.25">
      <c r="A371" s="2" t="s">
        <v>508</v>
      </c>
      <c r="B371" s="20">
        <v>44985</v>
      </c>
      <c r="C371" s="2" t="s">
        <v>1</v>
      </c>
      <c r="D371" s="2" t="s">
        <v>0</v>
      </c>
      <c r="E371" s="2" t="s">
        <v>1168</v>
      </c>
      <c r="F371" s="2" t="s">
        <v>1169</v>
      </c>
      <c r="G371" s="14">
        <v>1291</v>
      </c>
      <c r="H371" s="18">
        <v>1291</v>
      </c>
      <c r="I371" s="19" t="s">
        <v>993</v>
      </c>
      <c r="J371" s="13" t="s">
        <v>994</v>
      </c>
      <c r="K371" s="2">
        <v>0</v>
      </c>
      <c r="L371" s="2">
        <v>0</v>
      </c>
      <c r="M371" s="13">
        <v>41.82</v>
      </c>
      <c r="N371" s="2">
        <v>5.4366000000000003</v>
      </c>
      <c r="O371" s="2">
        <v>0</v>
      </c>
      <c r="P371" s="2">
        <v>0</v>
      </c>
      <c r="Q371" s="13">
        <v>47.256599999999999</v>
      </c>
      <c r="R371" s="2">
        <v>0</v>
      </c>
      <c r="S371" s="2" t="s">
        <v>1</v>
      </c>
    </row>
    <row r="372" spans="1:19" x14ac:dyDescent="0.25">
      <c r="A372" s="2" t="s">
        <v>508</v>
      </c>
      <c r="B372" s="20">
        <v>44985</v>
      </c>
      <c r="C372" s="2" t="s">
        <v>1</v>
      </c>
      <c r="D372" s="2" t="s">
        <v>0</v>
      </c>
      <c r="E372" s="2" t="s">
        <v>1168</v>
      </c>
      <c r="F372" s="2" t="s">
        <v>1169</v>
      </c>
      <c r="G372" s="14">
        <v>1292</v>
      </c>
      <c r="H372" s="18">
        <v>1292</v>
      </c>
      <c r="I372" s="19" t="s">
        <v>435</v>
      </c>
      <c r="J372" s="13" t="s">
        <v>434</v>
      </c>
      <c r="K372" s="2">
        <v>0</v>
      </c>
      <c r="L372" s="2">
        <v>0</v>
      </c>
      <c r="M372" s="13">
        <v>0</v>
      </c>
      <c r="N372" s="2">
        <v>0</v>
      </c>
      <c r="O372" s="2">
        <v>0</v>
      </c>
      <c r="P372" s="2">
        <v>0</v>
      </c>
      <c r="Q372" s="13">
        <v>0</v>
      </c>
      <c r="R372" s="2">
        <v>0</v>
      </c>
      <c r="S372" s="2" t="s">
        <v>1</v>
      </c>
    </row>
    <row r="373" spans="1:19" x14ac:dyDescent="0.25">
      <c r="A373" s="2" t="s">
        <v>508</v>
      </c>
      <c r="B373" s="20">
        <v>44981</v>
      </c>
      <c r="C373" s="2" t="s">
        <v>1</v>
      </c>
      <c r="D373" s="2" t="s">
        <v>0</v>
      </c>
      <c r="E373" s="2" t="s">
        <v>1197</v>
      </c>
      <c r="F373" s="2" t="s">
        <v>1196</v>
      </c>
      <c r="G373" s="14">
        <v>188</v>
      </c>
      <c r="H373" s="18">
        <v>188</v>
      </c>
      <c r="I373" s="19" t="s">
        <v>141</v>
      </c>
      <c r="J373" s="13" t="s">
        <v>142</v>
      </c>
      <c r="K373" s="2">
        <v>0</v>
      </c>
      <c r="L373" s="2">
        <v>0</v>
      </c>
      <c r="M373" s="13">
        <v>213</v>
      </c>
      <c r="N373" s="2">
        <v>27.69</v>
      </c>
      <c r="O373" s="2">
        <v>0</v>
      </c>
      <c r="P373" s="2">
        <v>0</v>
      </c>
      <c r="Q373" s="13">
        <v>240.69</v>
      </c>
      <c r="R373" s="2">
        <v>0</v>
      </c>
      <c r="S373" s="2" t="s">
        <v>1</v>
      </c>
    </row>
    <row r="374" spans="1:19" x14ac:dyDescent="0.25">
      <c r="A374" s="2" t="s">
        <v>508</v>
      </c>
      <c r="B374" s="20">
        <v>44981</v>
      </c>
      <c r="C374" s="2" t="s">
        <v>1</v>
      </c>
      <c r="D374" s="2" t="s">
        <v>0</v>
      </c>
      <c r="E374" s="2" t="s">
        <v>1197</v>
      </c>
      <c r="F374" s="2" t="s">
        <v>1196</v>
      </c>
      <c r="G374" s="14">
        <v>185</v>
      </c>
      <c r="H374" s="18">
        <v>185</v>
      </c>
      <c r="I374" s="19" t="s">
        <v>284</v>
      </c>
      <c r="J374" s="13" t="s">
        <v>285</v>
      </c>
      <c r="K374" s="2">
        <v>0</v>
      </c>
      <c r="L374" s="2">
        <v>0</v>
      </c>
      <c r="M374" s="13">
        <v>5.52</v>
      </c>
      <c r="N374" s="2">
        <v>0.71760000000000002</v>
      </c>
      <c r="O374" s="2">
        <v>0</v>
      </c>
      <c r="P374" s="2">
        <v>0</v>
      </c>
      <c r="Q374" s="13">
        <v>6.2375999999999996</v>
      </c>
      <c r="R374" s="2">
        <v>0</v>
      </c>
      <c r="S374" s="2" t="s">
        <v>1</v>
      </c>
    </row>
    <row r="375" spans="1:19" x14ac:dyDescent="0.25">
      <c r="A375" s="2" t="s">
        <v>480</v>
      </c>
      <c r="B375" s="20">
        <v>44931</v>
      </c>
      <c r="C375" s="2" t="s">
        <v>1</v>
      </c>
      <c r="D375" s="2" t="s">
        <v>0</v>
      </c>
      <c r="E375" s="2" t="s">
        <v>1197</v>
      </c>
      <c r="F375" s="2" t="s">
        <v>1196</v>
      </c>
      <c r="G375" s="14">
        <v>184</v>
      </c>
      <c r="H375" s="18">
        <v>184</v>
      </c>
      <c r="I375" s="19" t="s">
        <v>435</v>
      </c>
      <c r="J375" s="13" t="s">
        <v>434</v>
      </c>
      <c r="K375" s="2">
        <v>0</v>
      </c>
      <c r="L375" s="2">
        <v>0</v>
      </c>
      <c r="M375" s="13">
        <v>0</v>
      </c>
      <c r="N375" s="2">
        <v>0</v>
      </c>
      <c r="O375" s="2">
        <v>0</v>
      </c>
      <c r="P375" s="2">
        <v>0</v>
      </c>
      <c r="Q375" s="13">
        <v>0</v>
      </c>
      <c r="R375" s="2">
        <v>0</v>
      </c>
      <c r="S375" s="2" t="s">
        <v>1</v>
      </c>
    </row>
    <row r="376" spans="1:19" x14ac:dyDescent="0.25">
      <c r="A376" s="2" t="s">
        <v>480</v>
      </c>
      <c r="B376" s="20">
        <v>44931</v>
      </c>
      <c r="C376" s="2" t="s">
        <v>1</v>
      </c>
      <c r="D376" s="2" t="s">
        <v>0</v>
      </c>
      <c r="E376" s="2" t="s">
        <v>1197</v>
      </c>
      <c r="F376" s="2" t="s">
        <v>1196</v>
      </c>
      <c r="G376" s="14">
        <v>182</v>
      </c>
      <c r="H376" s="18">
        <v>182</v>
      </c>
      <c r="I376" s="19" t="s">
        <v>150</v>
      </c>
      <c r="J376" s="13" t="s">
        <v>151</v>
      </c>
      <c r="K376" s="2">
        <v>0</v>
      </c>
      <c r="L376" s="2">
        <v>0</v>
      </c>
      <c r="M376" s="13">
        <v>390.27</v>
      </c>
      <c r="N376" s="2">
        <v>50.735100000000003</v>
      </c>
      <c r="O376" s="2">
        <v>0</v>
      </c>
      <c r="P376" s="2">
        <v>0</v>
      </c>
      <c r="Q376" s="13">
        <v>441.00509999999997</v>
      </c>
      <c r="R376" s="2">
        <v>0</v>
      </c>
      <c r="S376" s="2" t="s">
        <v>1</v>
      </c>
    </row>
    <row r="377" spans="1:19" x14ac:dyDescent="0.25">
      <c r="A377" s="2" t="s">
        <v>480</v>
      </c>
      <c r="B377" s="20">
        <v>44931</v>
      </c>
      <c r="C377" s="2" t="s">
        <v>1</v>
      </c>
      <c r="D377" s="2" t="s">
        <v>0</v>
      </c>
      <c r="E377" s="2" t="s">
        <v>1197</v>
      </c>
      <c r="F377" s="2" t="s">
        <v>1196</v>
      </c>
      <c r="G377" s="14">
        <v>181</v>
      </c>
      <c r="H377" s="18">
        <v>181</v>
      </c>
      <c r="I377" s="19" t="s">
        <v>963</v>
      </c>
      <c r="J377" s="13" t="s">
        <v>964</v>
      </c>
      <c r="K377" s="2">
        <v>0</v>
      </c>
      <c r="L377" s="2">
        <v>0</v>
      </c>
      <c r="M377" s="13">
        <v>407.08</v>
      </c>
      <c r="N377" s="2">
        <v>52.920400000000001</v>
      </c>
      <c r="O377" s="2">
        <v>0</v>
      </c>
      <c r="P377" s="2">
        <v>0</v>
      </c>
      <c r="Q377" s="13">
        <v>460.00040000000001</v>
      </c>
      <c r="R377" s="2">
        <v>0</v>
      </c>
      <c r="S377" s="2" t="s">
        <v>1</v>
      </c>
    </row>
    <row r="378" spans="1:19" x14ac:dyDescent="0.25">
      <c r="A378" s="2" t="s">
        <v>480</v>
      </c>
      <c r="B378" s="20">
        <v>44931</v>
      </c>
      <c r="C378" s="2" t="s">
        <v>1</v>
      </c>
      <c r="D378" s="2" t="s">
        <v>0</v>
      </c>
      <c r="E378" s="2" t="s">
        <v>1197</v>
      </c>
      <c r="F378" s="2" t="s">
        <v>1196</v>
      </c>
      <c r="G378" s="14">
        <v>178</v>
      </c>
      <c r="H378" s="18">
        <v>178</v>
      </c>
      <c r="I378" s="19" t="s">
        <v>156</v>
      </c>
      <c r="J378" s="13" t="s">
        <v>157</v>
      </c>
      <c r="K378" s="2">
        <v>0</v>
      </c>
      <c r="L378" s="2">
        <v>0</v>
      </c>
      <c r="M378" s="13">
        <v>15.99</v>
      </c>
      <c r="N378" s="2">
        <v>2.0787</v>
      </c>
      <c r="O378" s="2">
        <v>0</v>
      </c>
      <c r="P378" s="2">
        <v>0</v>
      </c>
      <c r="Q378" s="13">
        <v>18.0687</v>
      </c>
      <c r="R378" s="2">
        <v>0</v>
      </c>
      <c r="S378" s="2" t="s">
        <v>1</v>
      </c>
    </row>
    <row r="379" spans="1:19" x14ac:dyDescent="0.25">
      <c r="A379" s="2" t="s">
        <v>480</v>
      </c>
      <c r="B379" s="20">
        <v>44931</v>
      </c>
      <c r="C379" s="2" t="s">
        <v>1</v>
      </c>
      <c r="D379" s="2" t="s">
        <v>0</v>
      </c>
      <c r="E379" s="2" t="s">
        <v>1197</v>
      </c>
      <c r="F379" s="2" t="s">
        <v>1196</v>
      </c>
      <c r="G379" s="14">
        <v>177</v>
      </c>
      <c r="H379" s="18">
        <v>177</v>
      </c>
      <c r="I379" s="19" t="s">
        <v>989</v>
      </c>
      <c r="J379" s="13" t="s">
        <v>990</v>
      </c>
      <c r="K379" s="2">
        <v>0</v>
      </c>
      <c r="L379" s="2">
        <v>0</v>
      </c>
      <c r="M379" s="13">
        <v>3</v>
      </c>
      <c r="N379" s="2">
        <v>0.39</v>
      </c>
      <c r="O379" s="2">
        <v>0</v>
      </c>
      <c r="P379" s="2">
        <v>0</v>
      </c>
      <c r="Q379" s="13">
        <v>3.39</v>
      </c>
      <c r="R379" s="2">
        <v>0</v>
      </c>
      <c r="S379" s="2" t="s">
        <v>1</v>
      </c>
    </row>
    <row r="380" spans="1:19" x14ac:dyDescent="0.25">
      <c r="A380" s="2" t="s">
        <v>480</v>
      </c>
      <c r="B380" s="20">
        <v>44931</v>
      </c>
      <c r="C380" s="2" t="s">
        <v>1</v>
      </c>
      <c r="D380" s="2" t="s">
        <v>0</v>
      </c>
      <c r="E380" s="2" t="s">
        <v>1197</v>
      </c>
      <c r="F380" s="2" t="s">
        <v>1196</v>
      </c>
      <c r="G380" s="14">
        <v>176</v>
      </c>
      <c r="H380" s="18">
        <v>176</v>
      </c>
      <c r="I380" s="19" t="s">
        <v>150</v>
      </c>
      <c r="J380" s="13" t="s">
        <v>151</v>
      </c>
      <c r="K380" s="2">
        <v>0</v>
      </c>
      <c r="L380" s="2">
        <v>0</v>
      </c>
      <c r="M380" s="13">
        <v>37.159999999999997</v>
      </c>
      <c r="N380" s="2">
        <v>4.8308</v>
      </c>
      <c r="O380" s="2">
        <v>0</v>
      </c>
      <c r="P380" s="2">
        <v>0</v>
      </c>
      <c r="Q380" s="13">
        <v>41.990799999999993</v>
      </c>
      <c r="R380" s="2">
        <v>0</v>
      </c>
      <c r="S380" s="2" t="s">
        <v>1</v>
      </c>
    </row>
    <row r="381" spans="1:19" x14ac:dyDescent="0.25">
      <c r="A381" s="2" t="s">
        <v>480</v>
      </c>
      <c r="B381" s="20">
        <v>44931</v>
      </c>
      <c r="C381" s="2" t="s">
        <v>1</v>
      </c>
      <c r="D381" s="2" t="s">
        <v>0</v>
      </c>
      <c r="E381" s="2" t="s">
        <v>1197</v>
      </c>
      <c r="F381" s="2" t="s">
        <v>1196</v>
      </c>
      <c r="G381" s="14">
        <v>174</v>
      </c>
      <c r="H381" s="18">
        <v>174</v>
      </c>
      <c r="I381" s="19" t="s">
        <v>150</v>
      </c>
      <c r="J381" s="13" t="s">
        <v>151</v>
      </c>
      <c r="K381" s="2">
        <v>0</v>
      </c>
      <c r="L381" s="2">
        <v>0</v>
      </c>
      <c r="M381" s="13">
        <v>501.78</v>
      </c>
      <c r="N381" s="2">
        <v>65.231399999999994</v>
      </c>
      <c r="O381" s="2">
        <v>0</v>
      </c>
      <c r="P381" s="2">
        <v>0</v>
      </c>
      <c r="Q381" s="13">
        <v>567.01139999999998</v>
      </c>
      <c r="R381" s="2">
        <v>0</v>
      </c>
      <c r="S381" s="2" t="s">
        <v>1</v>
      </c>
    </row>
    <row r="382" spans="1:19" x14ac:dyDescent="0.25">
      <c r="A382" s="2" t="s">
        <v>480</v>
      </c>
      <c r="B382" s="20">
        <v>44931</v>
      </c>
      <c r="C382" s="2" t="s">
        <v>1</v>
      </c>
      <c r="D382" s="2" t="s">
        <v>0</v>
      </c>
      <c r="E382" s="2" t="s">
        <v>1197</v>
      </c>
      <c r="F382" s="2" t="s">
        <v>1196</v>
      </c>
      <c r="G382" s="14">
        <v>173</v>
      </c>
      <c r="H382" s="18">
        <v>173</v>
      </c>
      <c r="I382" s="19" t="s">
        <v>1006</v>
      </c>
      <c r="J382" s="13" t="s">
        <v>1007</v>
      </c>
      <c r="K382" s="2">
        <v>0</v>
      </c>
      <c r="L382" s="2">
        <v>0</v>
      </c>
      <c r="M382" s="13">
        <v>30</v>
      </c>
      <c r="N382" s="2">
        <v>3.9000000000000004</v>
      </c>
      <c r="O382" s="2">
        <v>0</v>
      </c>
      <c r="P382" s="2">
        <v>0</v>
      </c>
      <c r="Q382" s="13">
        <v>33.9</v>
      </c>
      <c r="R382" s="2">
        <v>0</v>
      </c>
      <c r="S382" s="2" t="s">
        <v>1</v>
      </c>
    </row>
    <row r="383" spans="1:19" x14ac:dyDescent="0.25">
      <c r="A383" s="2" t="s">
        <v>480</v>
      </c>
      <c r="B383" s="20">
        <v>44935</v>
      </c>
      <c r="C383" s="2" t="s">
        <v>1</v>
      </c>
      <c r="D383" s="2" t="s">
        <v>0</v>
      </c>
      <c r="E383" s="2" t="s">
        <v>1197</v>
      </c>
      <c r="F383" s="2" t="s">
        <v>1196</v>
      </c>
      <c r="G383" s="14">
        <v>179</v>
      </c>
      <c r="H383" s="18">
        <v>179</v>
      </c>
      <c r="I383" s="19" t="s">
        <v>1027</v>
      </c>
      <c r="J383" s="13" t="s">
        <v>1028</v>
      </c>
      <c r="K383" s="2">
        <v>0</v>
      </c>
      <c r="L383" s="2">
        <v>0</v>
      </c>
      <c r="M383" s="13">
        <v>27</v>
      </c>
      <c r="N383" s="2">
        <v>3.5100000000000002</v>
      </c>
      <c r="O383" s="2">
        <v>0</v>
      </c>
      <c r="P383" s="2">
        <v>0</v>
      </c>
      <c r="Q383" s="13">
        <v>30.51</v>
      </c>
      <c r="R383" s="2">
        <v>0</v>
      </c>
      <c r="S383" s="2" t="s">
        <v>1</v>
      </c>
    </row>
    <row r="384" spans="1:19" x14ac:dyDescent="0.25">
      <c r="A384" s="2" t="s">
        <v>480</v>
      </c>
      <c r="B384" s="20">
        <v>44936</v>
      </c>
      <c r="C384" s="2" t="s">
        <v>1</v>
      </c>
      <c r="D384" s="2" t="s">
        <v>0</v>
      </c>
      <c r="E384" s="2" t="s">
        <v>1197</v>
      </c>
      <c r="F384" s="2" t="s">
        <v>1196</v>
      </c>
      <c r="G384" s="14">
        <v>180</v>
      </c>
      <c r="H384" s="18">
        <v>180</v>
      </c>
      <c r="I384" s="19">
        <v>0</v>
      </c>
      <c r="J384" s="13" t="s">
        <v>1195</v>
      </c>
      <c r="K384" s="2">
        <v>0</v>
      </c>
      <c r="L384" s="2">
        <v>0</v>
      </c>
      <c r="M384" s="13">
        <v>184.89</v>
      </c>
      <c r="N384" s="2">
        <v>24.035699999999999</v>
      </c>
      <c r="O384" s="2">
        <v>0</v>
      </c>
      <c r="P384" s="2">
        <v>0</v>
      </c>
      <c r="Q384" s="13">
        <v>208.92569999999998</v>
      </c>
      <c r="R384" s="2" t="s">
        <v>1194</v>
      </c>
      <c r="S384" s="2" t="s">
        <v>1</v>
      </c>
    </row>
    <row r="385" spans="1:19" x14ac:dyDescent="0.25">
      <c r="A385" s="2" t="s">
        <v>480</v>
      </c>
      <c r="B385" s="20">
        <v>44929</v>
      </c>
      <c r="C385" s="2" t="s">
        <v>1</v>
      </c>
      <c r="D385" s="2" t="s">
        <v>0</v>
      </c>
      <c r="E385" s="2" t="s">
        <v>1168</v>
      </c>
      <c r="F385" s="2" t="s">
        <v>1169</v>
      </c>
      <c r="G385" s="14">
        <v>886</v>
      </c>
      <c r="H385" s="18">
        <v>886</v>
      </c>
      <c r="I385" s="19" t="s">
        <v>95</v>
      </c>
      <c r="J385" s="13" t="s">
        <v>96</v>
      </c>
      <c r="K385" s="2">
        <v>0</v>
      </c>
      <c r="L385" s="2">
        <v>0</v>
      </c>
      <c r="M385" s="13">
        <v>32.6</v>
      </c>
      <c r="N385" s="2">
        <v>4.2380000000000004</v>
      </c>
      <c r="O385" s="2">
        <v>0</v>
      </c>
      <c r="P385" s="2">
        <v>0</v>
      </c>
      <c r="Q385" s="13">
        <v>36.838000000000001</v>
      </c>
      <c r="R385" s="2">
        <v>0</v>
      </c>
      <c r="S385" s="2" t="s">
        <v>1</v>
      </c>
    </row>
    <row r="386" spans="1:19" x14ac:dyDescent="0.25">
      <c r="A386" s="2" t="s">
        <v>480</v>
      </c>
      <c r="B386" s="20">
        <v>44929</v>
      </c>
      <c r="C386" s="2" t="s">
        <v>1</v>
      </c>
      <c r="D386" s="2" t="s">
        <v>0</v>
      </c>
      <c r="E386" s="2" t="s">
        <v>1168</v>
      </c>
      <c r="F386" s="2" t="s">
        <v>1169</v>
      </c>
      <c r="G386" s="14">
        <v>887</v>
      </c>
      <c r="H386" s="18">
        <v>887</v>
      </c>
      <c r="I386" s="19" t="s">
        <v>989</v>
      </c>
      <c r="J386" s="13" t="s">
        <v>990</v>
      </c>
      <c r="K386" s="2">
        <v>0</v>
      </c>
      <c r="L386" s="2">
        <v>0</v>
      </c>
      <c r="M386" s="13">
        <v>276.04000000000002</v>
      </c>
      <c r="N386" s="2">
        <v>35.885200000000005</v>
      </c>
      <c r="O386" s="2">
        <v>0</v>
      </c>
      <c r="P386" s="2">
        <v>0</v>
      </c>
      <c r="Q386" s="13">
        <v>311.92520000000002</v>
      </c>
      <c r="R386" s="2">
        <v>0</v>
      </c>
      <c r="S386" s="2" t="s">
        <v>1</v>
      </c>
    </row>
    <row r="387" spans="1:19" x14ac:dyDescent="0.25">
      <c r="A387" s="2" t="s">
        <v>480</v>
      </c>
      <c r="B387" s="20">
        <v>44929</v>
      </c>
      <c r="C387" s="2" t="s">
        <v>1</v>
      </c>
      <c r="D387" s="2" t="s">
        <v>0</v>
      </c>
      <c r="E387" s="2" t="s">
        <v>1168</v>
      </c>
      <c r="F387" s="2" t="s">
        <v>1169</v>
      </c>
      <c r="G387" s="14">
        <v>888</v>
      </c>
      <c r="H387" s="18">
        <v>888</v>
      </c>
      <c r="I387" s="19" t="s">
        <v>1105</v>
      </c>
      <c r="J387" s="13" t="s">
        <v>1106</v>
      </c>
      <c r="K387" s="2">
        <v>0</v>
      </c>
      <c r="L387" s="2">
        <v>0</v>
      </c>
      <c r="M387" s="13">
        <v>153.76</v>
      </c>
      <c r="N387" s="2">
        <v>19.988800000000001</v>
      </c>
      <c r="O387" s="2">
        <v>0</v>
      </c>
      <c r="P387" s="2">
        <v>0</v>
      </c>
      <c r="Q387" s="13">
        <v>173.74879999999999</v>
      </c>
      <c r="R387" s="2">
        <v>0</v>
      </c>
      <c r="S387" s="2" t="s">
        <v>1</v>
      </c>
    </row>
    <row r="388" spans="1:19" x14ac:dyDescent="0.25">
      <c r="A388" s="2" t="s">
        <v>480</v>
      </c>
      <c r="B388" s="20">
        <v>44929</v>
      </c>
      <c r="C388" s="2" t="s">
        <v>1</v>
      </c>
      <c r="D388" s="2" t="s">
        <v>0</v>
      </c>
      <c r="E388" s="2" t="s">
        <v>1168</v>
      </c>
      <c r="F388" s="2" t="s">
        <v>1169</v>
      </c>
      <c r="G388" s="14">
        <v>889</v>
      </c>
      <c r="H388" s="18">
        <v>889</v>
      </c>
      <c r="I388" s="19" t="s">
        <v>971</v>
      </c>
      <c r="J388" s="13" t="s">
        <v>972</v>
      </c>
      <c r="K388" s="2">
        <v>0</v>
      </c>
      <c r="L388" s="2">
        <v>0</v>
      </c>
      <c r="M388" s="13">
        <v>649.12</v>
      </c>
      <c r="N388" s="2">
        <v>84.385599999999997</v>
      </c>
      <c r="O388" s="2">
        <v>0</v>
      </c>
      <c r="P388" s="2">
        <v>0</v>
      </c>
      <c r="Q388" s="13">
        <v>733.50559999999996</v>
      </c>
      <c r="R388" s="2">
        <v>0</v>
      </c>
      <c r="S388" s="2" t="s">
        <v>1</v>
      </c>
    </row>
    <row r="389" spans="1:19" x14ac:dyDescent="0.25">
      <c r="A389" s="2" t="s">
        <v>480</v>
      </c>
      <c r="B389" s="20">
        <v>44929</v>
      </c>
      <c r="C389" s="2" t="s">
        <v>1</v>
      </c>
      <c r="D389" s="2" t="s">
        <v>0</v>
      </c>
      <c r="E389" s="2" t="s">
        <v>1168</v>
      </c>
      <c r="F389" s="2" t="s">
        <v>1169</v>
      </c>
      <c r="G389" s="14">
        <v>890</v>
      </c>
      <c r="H389" s="18">
        <v>890</v>
      </c>
      <c r="I389" s="19" t="s">
        <v>983</v>
      </c>
      <c r="J389" s="13" t="s">
        <v>984</v>
      </c>
      <c r="K389" s="2">
        <v>0</v>
      </c>
      <c r="L389" s="2">
        <v>0</v>
      </c>
      <c r="M389" s="13">
        <v>60</v>
      </c>
      <c r="N389" s="2">
        <v>7.8000000000000007</v>
      </c>
      <c r="O389" s="2">
        <v>0</v>
      </c>
      <c r="P389" s="2">
        <v>0</v>
      </c>
      <c r="Q389" s="13">
        <v>67.8</v>
      </c>
      <c r="R389" s="2">
        <v>0</v>
      </c>
      <c r="S389" s="2" t="s">
        <v>1</v>
      </c>
    </row>
    <row r="390" spans="1:19" x14ac:dyDescent="0.25">
      <c r="A390" s="2" t="s">
        <v>480</v>
      </c>
      <c r="B390" s="20">
        <v>44929</v>
      </c>
      <c r="C390" s="2" t="s">
        <v>1</v>
      </c>
      <c r="D390" s="2" t="s">
        <v>0</v>
      </c>
      <c r="E390" s="2" t="s">
        <v>1168</v>
      </c>
      <c r="F390" s="2" t="s">
        <v>1169</v>
      </c>
      <c r="G390" s="14">
        <v>891</v>
      </c>
      <c r="H390" s="18">
        <v>891</v>
      </c>
      <c r="I390" s="19" t="s">
        <v>969</v>
      </c>
      <c r="J390" s="13" t="s">
        <v>970</v>
      </c>
      <c r="K390" s="2">
        <v>0</v>
      </c>
      <c r="L390" s="2">
        <v>0</v>
      </c>
      <c r="M390" s="13">
        <v>139.91999999999999</v>
      </c>
      <c r="N390" s="2">
        <v>18.189599999999999</v>
      </c>
      <c r="O390" s="2">
        <v>0</v>
      </c>
      <c r="P390" s="2">
        <v>0</v>
      </c>
      <c r="Q390" s="13">
        <v>158.1096</v>
      </c>
      <c r="R390" s="2">
        <v>0</v>
      </c>
      <c r="S390" s="2" t="s">
        <v>1</v>
      </c>
    </row>
    <row r="391" spans="1:19" x14ac:dyDescent="0.25">
      <c r="A391" s="2" t="s">
        <v>480</v>
      </c>
      <c r="B391" s="20">
        <v>44929</v>
      </c>
      <c r="C391" s="2" t="s">
        <v>1</v>
      </c>
      <c r="D391" s="2" t="s">
        <v>0</v>
      </c>
      <c r="E391" s="2" t="s">
        <v>1168</v>
      </c>
      <c r="F391" s="2" t="s">
        <v>1169</v>
      </c>
      <c r="G391" s="14">
        <v>892</v>
      </c>
      <c r="H391" s="18">
        <v>892</v>
      </c>
      <c r="I391" s="19">
        <v>0</v>
      </c>
      <c r="J391" s="13" t="s">
        <v>1072</v>
      </c>
      <c r="K391" s="2">
        <v>0</v>
      </c>
      <c r="L391" s="2">
        <v>0</v>
      </c>
      <c r="M391" s="13">
        <v>33.630000000000003</v>
      </c>
      <c r="N391" s="2">
        <v>4.3719000000000001</v>
      </c>
      <c r="O391" s="2">
        <v>0</v>
      </c>
      <c r="P391" s="2">
        <v>0</v>
      </c>
      <c r="Q391" s="13">
        <v>38.001900000000006</v>
      </c>
      <c r="R391" s="2" t="s">
        <v>1071</v>
      </c>
      <c r="S391" s="2" t="s">
        <v>1</v>
      </c>
    </row>
    <row r="392" spans="1:19" x14ac:dyDescent="0.25">
      <c r="A392" s="2" t="s">
        <v>480</v>
      </c>
      <c r="B392" s="20">
        <v>44929</v>
      </c>
      <c r="C392" s="2" t="s">
        <v>1</v>
      </c>
      <c r="D392" s="2" t="s">
        <v>0</v>
      </c>
      <c r="E392" s="2" t="s">
        <v>1168</v>
      </c>
      <c r="F392" s="2" t="s">
        <v>1169</v>
      </c>
      <c r="G392" s="14">
        <v>893</v>
      </c>
      <c r="H392" s="18">
        <v>893</v>
      </c>
      <c r="I392" s="19" t="s">
        <v>979</v>
      </c>
      <c r="J392" s="13" t="s">
        <v>980</v>
      </c>
      <c r="K392" s="2">
        <v>0</v>
      </c>
      <c r="L392" s="2">
        <v>0</v>
      </c>
      <c r="M392" s="13">
        <v>295.2</v>
      </c>
      <c r="N392" s="2">
        <v>38.375999999999998</v>
      </c>
      <c r="O392" s="2">
        <v>0</v>
      </c>
      <c r="P392" s="2">
        <v>0</v>
      </c>
      <c r="Q392" s="13">
        <v>333.57599999999996</v>
      </c>
      <c r="R392" s="2">
        <v>0</v>
      </c>
      <c r="S392" s="2" t="s">
        <v>1</v>
      </c>
    </row>
    <row r="393" spans="1:19" x14ac:dyDescent="0.25">
      <c r="A393" s="2" t="s">
        <v>480</v>
      </c>
      <c r="B393" s="20">
        <v>44929</v>
      </c>
      <c r="C393" s="2" t="s">
        <v>1</v>
      </c>
      <c r="D393" s="2" t="s">
        <v>0</v>
      </c>
      <c r="E393" s="2" t="s">
        <v>1168</v>
      </c>
      <c r="F393" s="2" t="s">
        <v>1169</v>
      </c>
      <c r="G393" s="14">
        <v>894</v>
      </c>
      <c r="H393" s="18">
        <v>894</v>
      </c>
      <c r="I393" s="19" t="s">
        <v>915</v>
      </c>
      <c r="J393" s="13" t="s">
        <v>916</v>
      </c>
      <c r="K393" s="2">
        <v>0</v>
      </c>
      <c r="L393" s="2">
        <v>0</v>
      </c>
      <c r="M393" s="13">
        <v>260.26</v>
      </c>
      <c r="N393" s="2">
        <v>33.833799999999997</v>
      </c>
      <c r="O393" s="2">
        <v>0</v>
      </c>
      <c r="P393" s="2">
        <v>0</v>
      </c>
      <c r="Q393" s="13">
        <v>294.09379999999999</v>
      </c>
      <c r="R393" s="2">
        <v>0</v>
      </c>
      <c r="S393" s="2" t="s">
        <v>1</v>
      </c>
    </row>
    <row r="394" spans="1:19" x14ac:dyDescent="0.25">
      <c r="A394" s="2" t="s">
        <v>480</v>
      </c>
      <c r="B394" s="20">
        <v>44929</v>
      </c>
      <c r="C394" s="2" t="s">
        <v>1</v>
      </c>
      <c r="D394" s="2" t="s">
        <v>0</v>
      </c>
      <c r="E394" s="2" t="s">
        <v>1168</v>
      </c>
      <c r="F394" s="2" t="s">
        <v>1169</v>
      </c>
      <c r="G394" s="14">
        <v>895</v>
      </c>
      <c r="H394" s="18">
        <v>895</v>
      </c>
      <c r="I394" s="19" t="s">
        <v>973</v>
      </c>
      <c r="J394" s="13" t="s">
        <v>974</v>
      </c>
      <c r="K394" s="2">
        <v>0</v>
      </c>
      <c r="L394" s="2">
        <v>0</v>
      </c>
      <c r="M394" s="13">
        <v>119.55</v>
      </c>
      <c r="N394" s="2">
        <v>15.541500000000001</v>
      </c>
      <c r="O394" s="2">
        <v>0</v>
      </c>
      <c r="P394" s="2">
        <v>0</v>
      </c>
      <c r="Q394" s="13">
        <v>135.0915</v>
      </c>
      <c r="R394" s="2">
        <v>0</v>
      </c>
      <c r="S394" s="2" t="s">
        <v>1</v>
      </c>
    </row>
    <row r="395" spans="1:19" x14ac:dyDescent="0.25">
      <c r="A395" s="2" t="s">
        <v>480</v>
      </c>
      <c r="B395" s="20">
        <v>44929</v>
      </c>
      <c r="C395" s="2" t="s">
        <v>1</v>
      </c>
      <c r="D395" s="2" t="s">
        <v>0</v>
      </c>
      <c r="E395" s="2" t="s">
        <v>1168</v>
      </c>
      <c r="F395" s="2" t="s">
        <v>1169</v>
      </c>
      <c r="G395" s="14">
        <v>896</v>
      </c>
      <c r="H395" s="18">
        <v>896</v>
      </c>
      <c r="I395" s="19" t="s">
        <v>1020</v>
      </c>
      <c r="J395" s="13" t="s">
        <v>1021</v>
      </c>
      <c r="K395" s="2">
        <v>0</v>
      </c>
      <c r="L395" s="2">
        <v>0</v>
      </c>
      <c r="M395" s="13">
        <v>522.79999999999995</v>
      </c>
      <c r="N395" s="2">
        <v>67.963999999999999</v>
      </c>
      <c r="O395" s="2">
        <v>0</v>
      </c>
      <c r="P395" s="2">
        <v>0</v>
      </c>
      <c r="Q395" s="13">
        <v>590.7639999999999</v>
      </c>
      <c r="R395" s="2">
        <v>0</v>
      </c>
      <c r="S395" s="2" t="s">
        <v>1</v>
      </c>
    </row>
    <row r="396" spans="1:19" x14ac:dyDescent="0.25">
      <c r="A396" s="2" t="s">
        <v>480</v>
      </c>
      <c r="B396" s="20">
        <v>44930</v>
      </c>
      <c r="C396" s="2" t="s">
        <v>1</v>
      </c>
      <c r="D396" s="2" t="s">
        <v>0</v>
      </c>
      <c r="E396" s="2" t="s">
        <v>1168</v>
      </c>
      <c r="F396" s="2" t="s">
        <v>1169</v>
      </c>
      <c r="G396" s="14">
        <v>897</v>
      </c>
      <c r="H396" s="18">
        <v>897</v>
      </c>
      <c r="I396" s="19" t="s">
        <v>81</v>
      </c>
      <c r="J396" s="13" t="s">
        <v>82</v>
      </c>
      <c r="K396" s="2">
        <v>0</v>
      </c>
      <c r="L396" s="2">
        <v>0</v>
      </c>
      <c r="M396" s="13">
        <v>384.3</v>
      </c>
      <c r="N396" s="2">
        <v>49.959000000000003</v>
      </c>
      <c r="O396" s="2">
        <v>0</v>
      </c>
      <c r="P396" s="2">
        <v>0</v>
      </c>
      <c r="Q396" s="13">
        <v>434.25900000000001</v>
      </c>
      <c r="R396" s="2">
        <v>0</v>
      </c>
      <c r="S396" s="2" t="s">
        <v>1</v>
      </c>
    </row>
    <row r="397" spans="1:19" x14ac:dyDescent="0.25">
      <c r="A397" s="2" t="s">
        <v>480</v>
      </c>
      <c r="B397" s="20">
        <v>44931</v>
      </c>
      <c r="C397" s="2" t="s">
        <v>1</v>
      </c>
      <c r="D397" s="2" t="s">
        <v>0</v>
      </c>
      <c r="E397" s="2" t="s">
        <v>1168</v>
      </c>
      <c r="F397" s="2" t="s">
        <v>1169</v>
      </c>
      <c r="G397" s="14">
        <v>898</v>
      </c>
      <c r="H397" s="18">
        <v>898</v>
      </c>
      <c r="I397" s="19" t="s">
        <v>435</v>
      </c>
      <c r="J397" s="13" t="s">
        <v>434</v>
      </c>
      <c r="K397" s="2">
        <v>0</v>
      </c>
      <c r="L397" s="2">
        <v>0</v>
      </c>
      <c r="M397" s="13">
        <v>0</v>
      </c>
      <c r="N397" s="2">
        <v>0</v>
      </c>
      <c r="O397" s="2">
        <v>0</v>
      </c>
      <c r="P397" s="2">
        <v>0</v>
      </c>
      <c r="Q397" s="13">
        <v>0</v>
      </c>
      <c r="R397" s="2">
        <v>0</v>
      </c>
      <c r="S397" s="2" t="s">
        <v>1</v>
      </c>
    </row>
    <row r="398" spans="1:19" x14ac:dyDescent="0.25">
      <c r="A398" s="2" t="s">
        <v>480</v>
      </c>
      <c r="B398" s="20">
        <v>44931</v>
      </c>
      <c r="C398" s="2" t="s">
        <v>1</v>
      </c>
      <c r="D398" s="2" t="s">
        <v>0</v>
      </c>
      <c r="E398" s="2" t="s">
        <v>1168</v>
      </c>
      <c r="F398" s="2" t="s">
        <v>1169</v>
      </c>
      <c r="G398" s="14">
        <v>899</v>
      </c>
      <c r="H398" s="18">
        <v>899</v>
      </c>
      <c r="I398" s="19">
        <v>0</v>
      </c>
      <c r="J398" s="13" t="s">
        <v>986</v>
      </c>
      <c r="K398" s="2">
        <v>0</v>
      </c>
      <c r="L398" s="2">
        <v>0</v>
      </c>
      <c r="M398" s="13">
        <v>179.36</v>
      </c>
      <c r="N398" s="2">
        <v>23.316800000000004</v>
      </c>
      <c r="O398" s="2">
        <v>0</v>
      </c>
      <c r="P398" s="2">
        <v>0</v>
      </c>
      <c r="Q398" s="13">
        <v>202.67680000000001</v>
      </c>
      <c r="R398" s="2" t="s">
        <v>985</v>
      </c>
      <c r="S398" s="2" t="s">
        <v>1</v>
      </c>
    </row>
    <row r="399" spans="1:19" x14ac:dyDescent="0.25">
      <c r="A399" s="2" t="s">
        <v>480</v>
      </c>
      <c r="B399" s="20">
        <v>44931</v>
      </c>
      <c r="C399" s="2" t="s">
        <v>1</v>
      </c>
      <c r="D399" s="2" t="s">
        <v>0</v>
      </c>
      <c r="E399" s="2" t="s">
        <v>1168</v>
      </c>
      <c r="F399" s="2" t="s">
        <v>1169</v>
      </c>
      <c r="G399" s="14">
        <v>900</v>
      </c>
      <c r="H399" s="18">
        <v>900</v>
      </c>
      <c r="I399" s="19">
        <v>0</v>
      </c>
      <c r="J399" s="13" t="s">
        <v>976</v>
      </c>
      <c r="K399" s="2">
        <v>0</v>
      </c>
      <c r="L399" s="2">
        <v>0</v>
      </c>
      <c r="M399" s="13">
        <v>47.12</v>
      </c>
      <c r="N399" s="2">
        <v>6.1255999999999995</v>
      </c>
      <c r="O399" s="2">
        <v>0</v>
      </c>
      <c r="P399" s="2">
        <v>0</v>
      </c>
      <c r="Q399" s="13">
        <v>53.245599999999996</v>
      </c>
      <c r="R399" s="2" t="s">
        <v>975</v>
      </c>
      <c r="S399" s="2" t="s">
        <v>1</v>
      </c>
    </row>
    <row r="400" spans="1:19" x14ac:dyDescent="0.25">
      <c r="A400" s="2" t="s">
        <v>480</v>
      </c>
      <c r="B400" s="20">
        <v>44931</v>
      </c>
      <c r="C400" s="2" t="s">
        <v>1</v>
      </c>
      <c r="D400" s="2" t="s">
        <v>0</v>
      </c>
      <c r="E400" s="2" t="s">
        <v>1168</v>
      </c>
      <c r="F400" s="2" t="s">
        <v>1169</v>
      </c>
      <c r="G400" s="14">
        <v>901</v>
      </c>
      <c r="H400" s="18">
        <v>901</v>
      </c>
      <c r="I400" s="19">
        <v>0</v>
      </c>
      <c r="J400" s="13" t="s">
        <v>624</v>
      </c>
      <c r="K400" s="2">
        <v>0</v>
      </c>
      <c r="L400" s="2">
        <v>0</v>
      </c>
      <c r="M400" s="13">
        <v>288.89</v>
      </c>
      <c r="N400" s="2">
        <v>37.555700000000002</v>
      </c>
      <c r="O400" s="2">
        <v>0</v>
      </c>
      <c r="P400" s="2">
        <v>0</v>
      </c>
      <c r="Q400" s="13">
        <v>326.44569999999999</v>
      </c>
      <c r="R400" s="2" t="s">
        <v>623</v>
      </c>
      <c r="S400" s="2" t="s">
        <v>1</v>
      </c>
    </row>
    <row r="401" spans="1:19" x14ac:dyDescent="0.25">
      <c r="A401" s="2" t="s">
        <v>480</v>
      </c>
      <c r="B401" s="20">
        <v>44931</v>
      </c>
      <c r="C401" s="2" t="s">
        <v>1</v>
      </c>
      <c r="D401" s="2" t="s">
        <v>0</v>
      </c>
      <c r="E401" s="2" t="s">
        <v>1168</v>
      </c>
      <c r="F401" s="2" t="s">
        <v>1169</v>
      </c>
      <c r="G401" s="14">
        <v>903</v>
      </c>
      <c r="H401" s="18">
        <v>903</v>
      </c>
      <c r="I401" s="19" t="s">
        <v>1031</v>
      </c>
      <c r="J401" s="13" t="s">
        <v>1032</v>
      </c>
      <c r="K401" s="2">
        <v>0</v>
      </c>
      <c r="L401" s="2">
        <v>0</v>
      </c>
      <c r="M401" s="13">
        <v>77.430000000000007</v>
      </c>
      <c r="N401" s="2">
        <v>10.065900000000001</v>
      </c>
      <c r="O401" s="2">
        <v>0</v>
      </c>
      <c r="P401" s="2">
        <v>0</v>
      </c>
      <c r="Q401" s="13">
        <v>87.495900000000006</v>
      </c>
      <c r="R401" s="2">
        <v>0</v>
      </c>
      <c r="S401" s="2" t="s">
        <v>1</v>
      </c>
    </row>
    <row r="402" spans="1:19" x14ac:dyDescent="0.25">
      <c r="A402" s="2" t="s">
        <v>480</v>
      </c>
      <c r="B402" s="20">
        <v>44931</v>
      </c>
      <c r="C402" s="2" t="s">
        <v>1</v>
      </c>
      <c r="D402" s="2" t="s">
        <v>0</v>
      </c>
      <c r="E402" s="2" t="s">
        <v>1168</v>
      </c>
      <c r="F402" s="2" t="s">
        <v>1169</v>
      </c>
      <c r="G402" s="14">
        <v>904</v>
      </c>
      <c r="H402" s="18">
        <v>904</v>
      </c>
      <c r="I402" s="19" t="s">
        <v>1101</v>
      </c>
      <c r="J402" s="13" t="s">
        <v>1102</v>
      </c>
      <c r="K402" s="2">
        <v>0</v>
      </c>
      <c r="L402" s="2">
        <v>0</v>
      </c>
      <c r="M402" s="13">
        <v>130.69999999999999</v>
      </c>
      <c r="N402" s="2">
        <v>16.991</v>
      </c>
      <c r="O402" s="2">
        <v>0</v>
      </c>
      <c r="P402" s="2">
        <v>0</v>
      </c>
      <c r="Q402" s="13">
        <v>147.69099999999997</v>
      </c>
      <c r="R402" s="2">
        <v>0</v>
      </c>
      <c r="S402" s="2" t="s">
        <v>1</v>
      </c>
    </row>
    <row r="403" spans="1:19" x14ac:dyDescent="0.25">
      <c r="A403" s="2" t="s">
        <v>480</v>
      </c>
      <c r="B403" s="20">
        <v>44931</v>
      </c>
      <c r="C403" s="2" t="s">
        <v>1</v>
      </c>
      <c r="D403" s="2" t="s">
        <v>0</v>
      </c>
      <c r="E403" s="2" t="s">
        <v>1168</v>
      </c>
      <c r="F403" s="2" t="s">
        <v>1169</v>
      </c>
      <c r="G403" s="14">
        <v>905</v>
      </c>
      <c r="H403" s="18">
        <v>905</v>
      </c>
      <c r="I403" s="19" t="s">
        <v>98</v>
      </c>
      <c r="J403" s="13" t="s">
        <v>99</v>
      </c>
      <c r="K403" s="2">
        <v>0</v>
      </c>
      <c r="L403" s="2">
        <v>0</v>
      </c>
      <c r="M403" s="13">
        <v>51.54</v>
      </c>
      <c r="N403" s="2">
        <v>6.7001999999999997</v>
      </c>
      <c r="O403" s="2">
        <v>0</v>
      </c>
      <c r="P403" s="2">
        <v>0</v>
      </c>
      <c r="Q403" s="13">
        <v>58.240200000000002</v>
      </c>
      <c r="R403" s="2">
        <v>0</v>
      </c>
      <c r="S403" s="2" t="s">
        <v>1</v>
      </c>
    </row>
    <row r="404" spans="1:19" x14ac:dyDescent="0.25">
      <c r="A404" s="2" t="s">
        <v>480</v>
      </c>
      <c r="B404" s="20">
        <v>44931</v>
      </c>
      <c r="C404" s="2" t="s">
        <v>1</v>
      </c>
      <c r="D404" s="2" t="s">
        <v>0</v>
      </c>
      <c r="E404" s="2" t="s">
        <v>1168</v>
      </c>
      <c r="F404" s="2" t="s">
        <v>1169</v>
      </c>
      <c r="G404" s="14">
        <v>906</v>
      </c>
      <c r="H404" s="18">
        <v>906</v>
      </c>
      <c r="I404" s="19" t="s">
        <v>98</v>
      </c>
      <c r="J404" s="13" t="s">
        <v>99</v>
      </c>
      <c r="K404" s="2">
        <v>0</v>
      </c>
      <c r="L404" s="2">
        <v>0</v>
      </c>
      <c r="M404" s="13">
        <v>155.16</v>
      </c>
      <c r="N404" s="2">
        <v>20.1708</v>
      </c>
      <c r="O404" s="2">
        <v>0</v>
      </c>
      <c r="P404" s="2">
        <v>0</v>
      </c>
      <c r="Q404" s="13">
        <v>175.33080000000001</v>
      </c>
      <c r="R404" s="2">
        <v>0</v>
      </c>
      <c r="S404" s="2" t="s">
        <v>1</v>
      </c>
    </row>
    <row r="405" spans="1:19" x14ac:dyDescent="0.25">
      <c r="A405" s="2" t="s">
        <v>480</v>
      </c>
      <c r="B405" s="20">
        <v>44931</v>
      </c>
      <c r="C405" s="2" t="s">
        <v>1</v>
      </c>
      <c r="D405" s="2" t="s">
        <v>0</v>
      </c>
      <c r="E405" s="2" t="s">
        <v>1168</v>
      </c>
      <c r="F405" s="2" t="s">
        <v>1169</v>
      </c>
      <c r="G405" s="14">
        <v>907</v>
      </c>
      <c r="H405" s="18">
        <v>907</v>
      </c>
      <c r="I405" s="19" t="s">
        <v>136</v>
      </c>
      <c r="J405" s="13" t="s">
        <v>137</v>
      </c>
      <c r="K405" s="2">
        <v>0</v>
      </c>
      <c r="L405" s="2">
        <v>0</v>
      </c>
      <c r="M405" s="13">
        <v>107.5</v>
      </c>
      <c r="N405" s="2">
        <v>13.975</v>
      </c>
      <c r="O405" s="2">
        <v>0</v>
      </c>
      <c r="P405" s="2">
        <v>0</v>
      </c>
      <c r="Q405" s="13">
        <v>121.47499999999999</v>
      </c>
      <c r="R405" s="2">
        <v>0</v>
      </c>
      <c r="S405" s="2" t="s">
        <v>1</v>
      </c>
    </row>
    <row r="406" spans="1:19" x14ac:dyDescent="0.25">
      <c r="A406" s="2" t="s">
        <v>480</v>
      </c>
      <c r="B406" s="20">
        <v>44931</v>
      </c>
      <c r="C406" s="2" t="s">
        <v>1</v>
      </c>
      <c r="D406" s="2" t="s">
        <v>0</v>
      </c>
      <c r="E406" s="2" t="s">
        <v>1168</v>
      </c>
      <c r="F406" s="2" t="s">
        <v>1169</v>
      </c>
      <c r="G406" s="14">
        <v>908</v>
      </c>
      <c r="H406" s="18">
        <v>908</v>
      </c>
      <c r="I406" s="19" t="s">
        <v>969</v>
      </c>
      <c r="J406" s="13" t="s">
        <v>970</v>
      </c>
      <c r="K406" s="2">
        <v>0</v>
      </c>
      <c r="L406" s="2">
        <v>0</v>
      </c>
      <c r="M406" s="13">
        <v>1391</v>
      </c>
      <c r="N406" s="2">
        <v>180.83</v>
      </c>
      <c r="O406" s="2">
        <v>0</v>
      </c>
      <c r="P406" s="2">
        <v>0</v>
      </c>
      <c r="Q406" s="13">
        <v>1571.83</v>
      </c>
      <c r="R406" s="2">
        <v>0</v>
      </c>
      <c r="S406" s="2" t="s">
        <v>1</v>
      </c>
    </row>
    <row r="407" spans="1:19" x14ac:dyDescent="0.25">
      <c r="A407" s="2" t="s">
        <v>480</v>
      </c>
      <c r="B407" s="20">
        <v>44931</v>
      </c>
      <c r="C407" s="2" t="s">
        <v>1</v>
      </c>
      <c r="D407" s="2" t="s">
        <v>0</v>
      </c>
      <c r="E407" s="2" t="s">
        <v>1168</v>
      </c>
      <c r="F407" s="2" t="s">
        <v>1169</v>
      </c>
      <c r="G407" s="14">
        <v>909</v>
      </c>
      <c r="H407" s="18">
        <v>909</v>
      </c>
      <c r="I407" s="19" t="s">
        <v>951</v>
      </c>
      <c r="J407" s="13" t="s">
        <v>952</v>
      </c>
      <c r="K407" s="2">
        <v>0</v>
      </c>
      <c r="L407" s="2">
        <v>0</v>
      </c>
      <c r="M407" s="13">
        <v>57</v>
      </c>
      <c r="N407" s="2">
        <v>7.41</v>
      </c>
      <c r="O407" s="2">
        <v>0</v>
      </c>
      <c r="P407" s="2">
        <v>0</v>
      </c>
      <c r="Q407" s="13">
        <v>64.41</v>
      </c>
      <c r="R407" s="2">
        <v>0</v>
      </c>
      <c r="S407" s="2" t="s">
        <v>1</v>
      </c>
    </row>
    <row r="408" spans="1:19" x14ac:dyDescent="0.25">
      <c r="A408" s="2" t="s">
        <v>480</v>
      </c>
      <c r="B408" s="20">
        <v>44931</v>
      </c>
      <c r="C408" s="2" t="s">
        <v>1</v>
      </c>
      <c r="D408" s="2" t="s">
        <v>0</v>
      </c>
      <c r="E408" s="2" t="s">
        <v>1168</v>
      </c>
      <c r="F408" s="2" t="s">
        <v>1169</v>
      </c>
      <c r="G408" s="14">
        <v>910</v>
      </c>
      <c r="H408" s="18">
        <v>910</v>
      </c>
      <c r="I408" s="19">
        <v>0</v>
      </c>
      <c r="J408" s="13" t="s">
        <v>954</v>
      </c>
      <c r="K408" s="2">
        <v>0</v>
      </c>
      <c r="L408" s="2">
        <v>0</v>
      </c>
      <c r="M408" s="13">
        <v>29.25</v>
      </c>
      <c r="N408" s="2">
        <v>3.8025000000000002</v>
      </c>
      <c r="O408" s="2">
        <v>0</v>
      </c>
      <c r="P408" s="2">
        <v>0</v>
      </c>
      <c r="Q408" s="13">
        <v>33.052500000000002</v>
      </c>
      <c r="R408" s="2" t="s">
        <v>953</v>
      </c>
      <c r="S408" s="2" t="s">
        <v>1</v>
      </c>
    </row>
    <row r="409" spans="1:19" x14ac:dyDescent="0.25">
      <c r="A409" s="2" t="s">
        <v>480</v>
      </c>
      <c r="B409" s="20">
        <v>44931</v>
      </c>
      <c r="C409" s="2" t="s">
        <v>1</v>
      </c>
      <c r="D409" s="2" t="s">
        <v>0</v>
      </c>
      <c r="E409" s="2" t="s">
        <v>1168</v>
      </c>
      <c r="F409" s="2" t="s">
        <v>1169</v>
      </c>
      <c r="G409" s="14">
        <v>911</v>
      </c>
      <c r="H409" s="18">
        <v>911</v>
      </c>
      <c r="I409" s="19" t="s">
        <v>136</v>
      </c>
      <c r="J409" s="13" t="s">
        <v>137</v>
      </c>
      <c r="K409" s="2">
        <v>0</v>
      </c>
      <c r="L409" s="2">
        <v>0</v>
      </c>
      <c r="M409" s="13">
        <v>632.66</v>
      </c>
      <c r="N409" s="2">
        <v>82.245800000000003</v>
      </c>
      <c r="O409" s="2">
        <v>0</v>
      </c>
      <c r="P409" s="2">
        <v>0</v>
      </c>
      <c r="Q409" s="13">
        <v>714.9058</v>
      </c>
      <c r="R409" s="2">
        <v>0</v>
      </c>
      <c r="S409" s="2" t="s">
        <v>1</v>
      </c>
    </row>
    <row r="410" spans="1:19" x14ac:dyDescent="0.25">
      <c r="A410" s="2" t="s">
        <v>480</v>
      </c>
      <c r="B410" s="20">
        <v>44932</v>
      </c>
      <c r="C410" s="2" t="s">
        <v>1</v>
      </c>
      <c r="D410" s="2" t="s">
        <v>0</v>
      </c>
      <c r="E410" s="2" t="s">
        <v>1168</v>
      </c>
      <c r="F410" s="2" t="s">
        <v>1169</v>
      </c>
      <c r="G410" s="14">
        <v>912</v>
      </c>
      <c r="H410" s="18">
        <v>912</v>
      </c>
      <c r="I410" s="19" t="s">
        <v>435</v>
      </c>
      <c r="J410" s="13" t="s">
        <v>434</v>
      </c>
      <c r="K410" s="2">
        <v>0</v>
      </c>
      <c r="L410" s="2">
        <v>0</v>
      </c>
      <c r="M410" s="13">
        <v>0</v>
      </c>
      <c r="N410" s="2">
        <v>0</v>
      </c>
      <c r="O410" s="2">
        <v>0</v>
      </c>
      <c r="P410" s="2">
        <v>0</v>
      </c>
      <c r="Q410" s="13">
        <v>0</v>
      </c>
      <c r="R410" s="2">
        <v>0</v>
      </c>
      <c r="S410" s="2" t="s">
        <v>1</v>
      </c>
    </row>
    <row r="411" spans="1:19" x14ac:dyDescent="0.25">
      <c r="A411" s="2" t="s">
        <v>480</v>
      </c>
      <c r="B411" s="20">
        <v>44932</v>
      </c>
      <c r="C411" s="2" t="s">
        <v>1</v>
      </c>
      <c r="D411" s="2" t="s">
        <v>0</v>
      </c>
      <c r="E411" s="2" t="s">
        <v>1168</v>
      </c>
      <c r="F411" s="2" t="s">
        <v>1169</v>
      </c>
      <c r="G411" s="14">
        <v>913</v>
      </c>
      <c r="H411" s="18">
        <v>913</v>
      </c>
      <c r="I411" s="19" t="s">
        <v>435</v>
      </c>
      <c r="J411" s="13" t="s">
        <v>434</v>
      </c>
      <c r="K411" s="2">
        <v>0</v>
      </c>
      <c r="L411" s="2">
        <v>0</v>
      </c>
      <c r="M411" s="13">
        <v>0</v>
      </c>
      <c r="N411" s="2">
        <v>0</v>
      </c>
      <c r="O411" s="2">
        <v>0</v>
      </c>
      <c r="P411" s="2">
        <v>0</v>
      </c>
      <c r="Q411" s="13">
        <v>0</v>
      </c>
      <c r="R411" s="2">
        <v>0</v>
      </c>
      <c r="S411" s="2" t="s">
        <v>1</v>
      </c>
    </row>
    <row r="412" spans="1:19" x14ac:dyDescent="0.25">
      <c r="A412" s="2" t="s">
        <v>480</v>
      </c>
      <c r="B412" s="20">
        <v>44932</v>
      </c>
      <c r="C412" s="2" t="s">
        <v>1</v>
      </c>
      <c r="D412" s="2" t="s">
        <v>0</v>
      </c>
      <c r="E412" s="2" t="s">
        <v>1168</v>
      </c>
      <c r="F412" s="2" t="s">
        <v>1169</v>
      </c>
      <c r="G412" s="14">
        <v>914</v>
      </c>
      <c r="H412" s="18">
        <v>914</v>
      </c>
      <c r="I412" s="19" t="s">
        <v>1141</v>
      </c>
      <c r="J412" s="13" t="s">
        <v>997</v>
      </c>
      <c r="K412" s="2">
        <v>0</v>
      </c>
      <c r="L412" s="2">
        <v>0</v>
      </c>
      <c r="M412" s="13">
        <v>204.52</v>
      </c>
      <c r="N412" s="2">
        <v>26.587600000000002</v>
      </c>
      <c r="O412" s="2">
        <v>0</v>
      </c>
      <c r="P412" s="2">
        <v>0</v>
      </c>
      <c r="Q412" s="13">
        <v>231.10760000000002</v>
      </c>
      <c r="R412" s="2">
        <v>0</v>
      </c>
      <c r="S412" s="2" t="s">
        <v>1</v>
      </c>
    </row>
    <row r="413" spans="1:19" x14ac:dyDescent="0.25">
      <c r="A413" s="2" t="s">
        <v>480</v>
      </c>
      <c r="B413" s="20">
        <v>44932</v>
      </c>
      <c r="C413" s="2" t="s">
        <v>1</v>
      </c>
      <c r="D413" s="2" t="s">
        <v>0</v>
      </c>
      <c r="E413" s="2" t="s">
        <v>1168</v>
      </c>
      <c r="F413" s="2" t="s">
        <v>1169</v>
      </c>
      <c r="G413" s="14">
        <v>915</v>
      </c>
      <c r="H413" s="18">
        <v>915</v>
      </c>
      <c r="I413" s="19" t="s">
        <v>969</v>
      </c>
      <c r="J413" s="13" t="s">
        <v>970</v>
      </c>
      <c r="K413" s="2">
        <v>0</v>
      </c>
      <c r="L413" s="2">
        <v>0</v>
      </c>
      <c r="M413" s="13">
        <v>43.5</v>
      </c>
      <c r="N413" s="2">
        <v>5.6550000000000002</v>
      </c>
      <c r="O413" s="2">
        <v>0</v>
      </c>
      <c r="P413" s="2">
        <v>0</v>
      </c>
      <c r="Q413" s="13">
        <v>49.155000000000001</v>
      </c>
      <c r="R413" s="2">
        <v>0</v>
      </c>
      <c r="S413" s="2" t="s">
        <v>1</v>
      </c>
    </row>
    <row r="414" spans="1:19" x14ac:dyDescent="0.25">
      <c r="A414" s="2" t="s">
        <v>480</v>
      </c>
      <c r="B414" s="20">
        <v>44932</v>
      </c>
      <c r="C414" s="2" t="s">
        <v>1</v>
      </c>
      <c r="D414" s="2" t="s">
        <v>0</v>
      </c>
      <c r="E414" s="2" t="s">
        <v>1168</v>
      </c>
      <c r="F414" s="2" t="s">
        <v>1169</v>
      </c>
      <c r="G414" s="14">
        <v>916</v>
      </c>
      <c r="H414" s="18">
        <v>916</v>
      </c>
      <c r="I414" s="19" t="s">
        <v>1025</v>
      </c>
      <c r="J414" s="13" t="s">
        <v>1026</v>
      </c>
      <c r="K414" s="2">
        <v>0</v>
      </c>
      <c r="L414" s="2">
        <v>0</v>
      </c>
      <c r="M414" s="13">
        <v>787.32</v>
      </c>
      <c r="N414" s="2">
        <v>102.3516</v>
      </c>
      <c r="O414" s="2">
        <v>0</v>
      </c>
      <c r="P414" s="2">
        <v>0</v>
      </c>
      <c r="Q414" s="13">
        <v>889.67160000000001</v>
      </c>
      <c r="R414" s="2">
        <v>0</v>
      </c>
      <c r="S414" s="2" t="s">
        <v>1</v>
      </c>
    </row>
    <row r="415" spans="1:19" x14ac:dyDescent="0.25">
      <c r="A415" s="2" t="s">
        <v>480</v>
      </c>
      <c r="B415" s="20">
        <v>44932</v>
      </c>
      <c r="C415" s="2" t="s">
        <v>1</v>
      </c>
      <c r="D415" s="2" t="s">
        <v>0</v>
      </c>
      <c r="E415" s="2" t="s">
        <v>1168</v>
      </c>
      <c r="F415" s="2" t="s">
        <v>1169</v>
      </c>
      <c r="G415" s="14">
        <v>917</v>
      </c>
      <c r="H415" s="18">
        <v>917</v>
      </c>
      <c r="I415" s="19" t="s">
        <v>993</v>
      </c>
      <c r="J415" s="13" t="s">
        <v>994</v>
      </c>
      <c r="K415" s="2">
        <v>0</v>
      </c>
      <c r="L415" s="2">
        <v>0</v>
      </c>
      <c r="M415" s="13">
        <v>84.1</v>
      </c>
      <c r="N415" s="2">
        <v>10.933</v>
      </c>
      <c r="O415" s="2">
        <v>0</v>
      </c>
      <c r="P415" s="2">
        <v>0</v>
      </c>
      <c r="Q415" s="13">
        <v>95.032999999999987</v>
      </c>
      <c r="R415" s="2">
        <v>0</v>
      </c>
      <c r="S415" s="2" t="s">
        <v>1</v>
      </c>
    </row>
    <row r="416" spans="1:19" x14ac:dyDescent="0.25">
      <c r="A416" s="2" t="s">
        <v>480</v>
      </c>
      <c r="B416" s="20">
        <v>44932</v>
      </c>
      <c r="C416" s="2" t="s">
        <v>1</v>
      </c>
      <c r="D416" s="2" t="s">
        <v>0</v>
      </c>
      <c r="E416" s="2" t="s">
        <v>1168</v>
      </c>
      <c r="F416" s="2" t="s">
        <v>1169</v>
      </c>
      <c r="G416" s="14">
        <v>918</v>
      </c>
      <c r="H416" s="18">
        <v>918</v>
      </c>
      <c r="I416" s="19" t="s">
        <v>993</v>
      </c>
      <c r="J416" s="13" t="s">
        <v>994</v>
      </c>
      <c r="K416" s="2">
        <v>0</v>
      </c>
      <c r="L416" s="2">
        <v>0</v>
      </c>
      <c r="M416" s="13">
        <v>20.36</v>
      </c>
      <c r="N416" s="2">
        <v>2.6467999999999998</v>
      </c>
      <c r="O416" s="2">
        <v>0</v>
      </c>
      <c r="P416" s="2">
        <v>0</v>
      </c>
      <c r="Q416" s="13">
        <v>23.006799999999998</v>
      </c>
      <c r="R416" s="2">
        <v>0</v>
      </c>
      <c r="S416" s="2" t="s">
        <v>1</v>
      </c>
    </row>
    <row r="417" spans="1:19" x14ac:dyDescent="0.25">
      <c r="A417" s="2" t="s">
        <v>480</v>
      </c>
      <c r="B417" s="20">
        <v>44932</v>
      </c>
      <c r="C417" s="2" t="s">
        <v>1</v>
      </c>
      <c r="D417" s="2" t="s">
        <v>0</v>
      </c>
      <c r="E417" s="2" t="s">
        <v>1168</v>
      </c>
      <c r="F417" s="2" t="s">
        <v>1169</v>
      </c>
      <c r="G417" s="14">
        <v>919</v>
      </c>
      <c r="H417" s="18">
        <v>919</v>
      </c>
      <c r="I417" s="19" t="s">
        <v>89</v>
      </c>
      <c r="J417" s="13" t="s">
        <v>90</v>
      </c>
      <c r="K417" s="2">
        <v>0</v>
      </c>
      <c r="L417" s="2">
        <v>0</v>
      </c>
      <c r="M417" s="13">
        <v>138.85</v>
      </c>
      <c r="N417" s="2">
        <v>18.0505</v>
      </c>
      <c r="O417" s="2">
        <v>0</v>
      </c>
      <c r="P417" s="2">
        <v>0</v>
      </c>
      <c r="Q417" s="13">
        <v>156.90049999999999</v>
      </c>
      <c r="R417" s="2">
        <v>0</v>
      </c>
      <c r="S417" s="2" t="s">
        <v>1</v>
      </c>
    </row>
    <row r="418" spans="1:19" x14ac:dyDescent="0.25">
      <c r="A418" s="2" t="s">
        <v>480</v>
      </c>
      <c r="B418" s="20">
        <v>44932</v>
      </c>
      <c r="C418" s="2" t="s">
        <v>1</v>
      </c>
      <c r="D418" s="2" t="s">
        <v>0</v>
      </c>
      <c r="E418" s="2" t="s">
        <v>1168</v>
      </c>
      <c r="F418" s="2" t="s">
        <v>1169</v>
      </c>
      <c r="G418" s="14">
        <v>920</v>
      </c>
      <c r="H418" s="18">
        <v>920</v>
      </c>
      <c r="I418" s="19" t="s">
        <v>967</v>
      </c>
      <c r="J418" s="13" t="s">
        <v>968</v>
      </c>
      <c r="K418" s="2">
        <v>0</v>
      </c>
      <c r="L418" s="2">
        <v>0</v>
      </c>
      <c r="M418" s="13">
        <v>99.3</v>
      </c>
      <c r="N418" s="2">
        <v>12.909000000000001</v>
      </c>
      <c r="O418" s="2">
        <v>0</v>
      </c>
      <c r="P418" s="2">
        <v>0</v>
      </c>
      <c r="Q418" s="13">
        <v>112.209</v>
      </c>
      <c r="R418" s="2">
        <v>0</v>
      </c>
      <c r="S418" s="2" t="s">
        <v>1</v>
      </c>
    </row>
    <row r="419" spans="1:19" x14ac:dyDescent="0.25">
      <c r="A419" s="2" t="s">
        <v>480</v>
      </c>
      <c r="B419" s="20">
        <v>44932</v>
      </c>
      <c r="C419" s="2" t="s">
        <v>1</v>
      </c>
      <c r="D419" s="2" t="s">
        <v>0</v>
      </c>
      <c r="E419" s="2" t="s">
        <v>1168</v>
      </c>
      <c r="F419" s="2" t="s">
        <v>1169</v>
      </c>
      <c r="G419" s="14">
        <v>921</v>
      </c>
      <c r="H419" s="18">
        <v>921</v>
      </c>
      <c r="I419" s="19" t="s">
        <v>72</v>
      </c>
      <c r="J419" s="13" t="s">
        <v>73</v>
      </c>
      <c r="K419" s="2">
        <v>0</v>
      </c>
      <c r="L419" s="2">
        <v>0</v>
      </c>
      <c r="M419" s="13">
        <v>50</v>
      </c>
      <c r="N419" s="2">
        <v>6.5</v>
      </c>
      <c r="O419" s="2">
        <v>0</v>
      </c>
      <c r="P419" s="2">
        <v>0</v>
      </c>
      <c r="Q419" s="13">
        <v>56.5</v>
      </c>
      <c r="R419" s="2">
        <v>0</v>
      </c>
      <c r="S419" s="2" t="s">
        <v>1</v>
      </c>
    </row>
    <row r="420" spans="1:19" x14ac:dyDescent="0.25">
      <c r="A420" s="2" t="s">
        <v>480</v>
      </c>
      <c r="B420" s="20">
        <v>44932</v>
      </c>
      <c r="C420" s="2" t="s">
        <v>1</v>
      </c>
      <c r="D420" s="2" t="s">
        <v>0</v>
      </c>
      <c r="E420" s="2" t="s">
        <v>1168</v>
      </c>
      <c r="F420" s="2" t="s">
        <v>1169</v>
      </c>
      <c r="G420" s="14">
        <v>922</v>
      </c>
      <c r="H420" s="18">
        <v>922</v>
      </c>
      <c r="I420" s="19" t="s">
        <v>435</v>
      </c>
      <c r="J420" s="13" t="s">
        <v>434</v>
      </c>
      <c r="K420" s="2">
        <v>0</v>
      </c>
      <c r="L420" s="2">
        <v>0</v>
      </c>
      <c r="M420" s="13">
        <v>0</v>
      </c>
      <c r="N420" s="2">
        <v>0</v>
      </c>
      <c r="O420" s="2">
        <v>0</v>
      </c>
      <c r="P420" s="2">
        <v>0</v>
      </c>
      <c r="Q420" s="13">
        <v>0</v>
      </c>
      <c r="R420" s="2">
        <v>0</v>
      </c>
      <c r="S420" s="2" t="s">
        <v>1</v>
      </c>
    </row>
    <row r="421" spans="1:19" x14ac:dyDescent="0.25">
      <c r="A421" s="2" t="s">
        <v>480</v>
      </c>
      <c r="B421" s="20">
        <v>44932</v>
      </c>
      <c r="C421" s="2" t="s">
        <v>1</v>
      </c>
      <c r="D421" s="2" t="s">
        <v>0</v>
      </c>
      <c r="E421" s="2" t="s">
        <v>1168</v>
      </c>
      <c r="F421" s="2" t="s">
        <v>1169</v>
      </c>
      <c r="G421" s="14">
        <v>923</v>
      </c>
      <c r="H421" s="18">
        <v>923</v>
      </c>
      <c r="I421" s="19" t="s">
        <v>512</v>
      </c>
      <c r="J421" s="13" t="s">
        <v>513</v>
      </c>
      <c r="K421" s="2">
        <v>0</v>
      </c>
      <c r="L421" s="2">
        <v>0</v>
      </c>
      <c r="M421" s="13">
        <v>343.33</v>
      </c>
      <c r="N421" s="2">
        <v>44.632899999999999</v>
      </c>
      <c r="O421" s="2">
        <v>0</v>
      </c>
      <c r="P421" s="2">
        <v>0</v>
      </c>
      <c r="Q421" s="13">
        <v>387.96289999999999</v>
      </c>
      <c r="R421" s="2">
        <v>0</v>
      </c>
      <c r="S421" s="2" t="s">
        <v>1</v>
      </c>
    </row>
    <row r="422" spans="1:19" x14ac:dyDescent="0.25">
      <c r="A422" s="2" t="s">
        <v>480</v>
      </c>
      <c r="B422" s="20">
        <v>44932</v>
      </c>
      <c r="C422" s="2" t="s">
        <v>1</v>
      </c>
      <c r="D422" s="2" t="s">
        <v>0</v>
      </c>
      <c r="E422" s="2" t="s">
        <v>1168</v>
      </c>
      <c r="F422" s="2" t="s">
        <v>1169</v>
      </c>
      <c r="G422" s="14">
        <v>924</v>
      </c>
      <c r="H422" s="18">
        <v>924</v>
      </c>
      <c r="I422" s="19" t="s">
        <v>957</v>
      </c>
      <c r="J422" s="13" t="s">
        <v>958</v>
      </c>
      <c r="K422" s="2">
        <v>0</v>
      </c>
      <c r="L422" s="2">
        <v>0</v>
      </c>
      <c r="M422" s="13">
        <v>34.799999999999997</v>
      </c>
      <c r="N422" s="2">
        <v>4.524</v>
      </c>
      <c r="O422" s="2">
        <v>0</v>
      </c>
      <c r="P422" s="2">
        <v>0</v>
      </c>
      <c r="Q422" s="13">
        <v>39.323999999999998</v>
      </c>
      <c r="R422" s="2">
        <v>0</v>
      </c>
      <c r="S422" s="2" t="s">
        <v>1</v>
      </c>
    </row>
    <row r="423" spans="1:19" x14ac:dyDescent="0.25">
      <c r="A423" s="2" t="s">
        <v>480</v>
      </c>
      <c r="B423" s="20">
        <v>44932</v>
      </c>
      <c r="C423" s="2" t="s">
        <v>1</v>
      </c>
      <c r="D423" s="2" t="s">
        <v>0</v>
      </c>
      <c r="E423" s="2" t="s">
        <v>1168</v>
      </c>
      <c r="F423" s="2" t="s">
        <v>1169</v>
      </c>
      <c r="G423" s="14">
        <v>925</v>
      </c>
      <c r="H423" s="18">
        <v>925</v>
      </c>
      <c r="I423" s="19" t="s">
        <v>993</v>
      </c>
      <c r="J423" s="13" t="s">
        <v>994</v>
      </c>
      <c r="K423" s="2">
        <v>0</v>
      </c>
      <c r="L423" s="2">
        <v>0</v>
      </c>
      <c r="M423" s="13">
        <v>45.7</v>
      </c>
      <c r="N423" s="2">
        <v>5.9410000000000007</v>
      </c>
      <c r="O423" s="2">
        <v>0</v>
      </c>
      <c r="P423" s="2">
        <v>0</v>
      </c>
      <c r="Q423" s="13">
        <v>51.641000000000005</v>
      </c>
      <c r="R423" s="2">
        <v>0</v>
      </c>
      <c r="S423" s="2" t="s">
        <v>1</v>
      </c>
    </row>
    <row r="424" spans="1:19" x14ac:dyDescent="0.25">
      <c r="A424" s="2" t="s">
        <v>480</v>
      </c>
      <c r="B424" s="20">
        <v>44932</v>
      </c>
      <c r="C424" s="2" t="s">
        <v>1</v>
      </c>
      <c r="D424" s="2" t="s">
        <v>0</v>
      </c>
      <c r="E424" s="2" t="s">
        <v>1168</v>
      </c>
      <c r="F424" s="2" t="s">
        <v>1169</v>
      </c>
      <c r="G424" s="14">
        <v>926</v>
      </c>
      <c r="H424" s="18">
        <v>926</v>
      </c>
      <c r="I424" s="19" t="s">
        <v>993</v>
      </c>
      <c r="J424" s="13" t="s">
        <v>994</v>
      </c>
      <c r="K424" s="2">
        <v>0</v>
      </c>
      <c r="L424" s="2">
        <v>0</v>
      </c>
      <c r="M424" s="13">
        <v>3</v>
      </c>
      <c r="N424" s="2">
        <v>0.39</v>
      </c>
      <c r="O424" s="2">
        <v>0</v>
      </c>
      <c r="P424" s="2">
        <v>0</v>
      </c>
      <c r="Q424" s="13">
        <v>3.39</v>
      </c>
      <c r="R424" s="2">
        <v>0</v>
      </c>
      <c r="S424" s="2" t="s">
        <v>1</v>
      </c>
    </row>
    <row r="425" spans="1:19" x14ac:dyDescent="0.25">
      <c r="A425" s="2" t="s">
        <v>480</v>
      </c>
      <c r="B425" s="20">
        <v>44932</v>
      </c>
      <c r="C425" s="2" t="s">
        <v>1</v>
      </c>
      <c r="D425" s="2" t="s">
        <v>0</v>
      </c>
      <c r="E425" s="2" t="s">
        <v>1168</v>
      </c>
      <c r="F425" s="2" t="s">
        <v>1169</v>
      </c>
      <c r="G425" s="14">
        <v>927</v>
      </c>
      <c r="H425" s="18">
        <v>927</v>
      </c>
      <c r="I425" s="19" t="s">
        <v>81</v>
      </c>
      <c r="J425" s="13" t="s">
        <v>82</v>
      </c>
      <c r="K425" s="2">
        <v>0</v>
      </c>
      <c r="L425" s="2">
        <v>0</v>
      </c>
      <c r="M425" s="13">
        <v>22.57</v>
      </c>
      <c r="N425" s="2">
        <v>2.9340999999999999</v>
      </c>
      <c r="O425" s="2">
        <v>0</v>
      </c>
      <c r="P425" s="2">
        <v>0</v>
      </c>
      <c r="Q425" s="13">
        <v>25.504100000000001</v>
      </c>
      <c r="R425" s="2">
        <v>0</v>
      </c>
      <c r="S425" s="2" t="s">
        <v>1</v>
      </c>
    </row>
    <row r="426" spans="1:19" x14ac:dyDescent="0.25">
      <c r="A426" s="2" t="s">
        <v>480</v>
      </c>
      <c r="B426" s="20">
        <v>44932</v>
      </c>
      <c r="C426" s="2" t="s">
        <v>1</v>
      </c>
      <c r="D426" s="2" t="s">
        <v>0</v>
      </c>
      <c r="E426" s="2" t="s">
        <v>1168</v>
      </c>
      <c r="F426" s="2" t="s">
        <v>1169</v>
      </c>
      <c r="G426" s="14">
        <v>928</v>
      </c>
      <c r="H426" s="18">
        <v>928</v>
      </c>
      <c r="I426" s="19" t="s">
        <v>81</v>
      </c>
      <c r="J426" s="13" t="s">
        <v>82</v>
      </c>
      <c r="K426" s="2">
        <v>0</v>
      </c>
      <c r="L426" s="2">
        <v>0</v>
      </c>
      <c r="M426" s="13">
        <v>3.29</v>
      </c>
      <c r="N426" s="2">
        <v>0.42770000000000002</v>
      </c>
      <c r="O426" s="2">
        <v>0</v>
      </c>
      <c r="P426" s="2">
        <v>0</v>
      </c>
      <c r="Q426" s="13">
        <v>3.7177000000000002</v>
      </c>
      <c r="R426" s="2">
        <v>0</v>
      </c>
      <c r="S426" s="2" t="s">
        <v>1</v>
      </c>
    </row>
    <row r="427" spans="1:19" x14ac:dyDescent="0.25">
      <c r="A427" s="2" t="s">
        <v>480</v>
      </c>
      <c r="B427" s="20">
        <v>44932</v>
      </c>
      <c r="C427" s="2" t="s">
        <v>1</v>
      </c>
      <c r="D427" s="2" t="s">
        <v>0</v>
      </c>
      <c r="E427" s="2" t="s">
        <v>1168</v>
      </c>
      <c r="F427" s="2" t="s">
        <v>1169</v>
      </c>
      <c r="G427" s="14">
        <v>929</v>
      </c>
      <c r="H427" s="18">
        <v>929</v>
      </c>
      <c r="I427" s="19" t="s">
        <v>98</v>
      </c>
      <c r="J427" s="13" t="s">
        <v>99</v>
      </c>
      <c r="K427" s="2">
        <v>0</v>
      </c>
      <c r="L427" s="2">
        <v>0</v>
      </c>
      <c r="M427" s="13">
        <v>59.21</v>
      </c>
      <c r="N427" s="2">
        <v>7.6973000000000003</v>
      </c>
      <c r="O427" s="2">
        <v>0</v>
      </c>
      <c r="P427" s="2">
        <v>0</v>
      </c>
      <c r="Q427" s="13">
        <v>66.907300000000006</v>
      </c>
      <c r="R427" s="2">
        <v>0</v>
      </c>
      <c r="S427" s="2" t="s">
        <v>1</v>
      </c>
    </row>
    <row r="428" spans="1:19" x14ac:dyDescent="0.25">
      <c r="A428" s="2" t="s">
        <v>480</v>
      </c>
      <c r="B428" s="20">
        <v>44932</v>
      </c>
      <c r="C428" s="2" t="s">
        <v>1</v>
      </c>
      <c r="D428" s="2" t="s">
        <v>0</v>
      </c>
      <c r="E428" s="2" t="s">
        <v>1168</v>
      </c>
      <c r="F428" s="2" t="s">
        <v>1169</v>
      </c>
      <c r="G428" s="14">
        <v>930</v>
      </c>
      <c r="H428" s="18">
        <v>930</v>
      </c>
      <c r="I428" s="19" t="s">
        <v>98</v>
      </c>
      <c r="J428" s="13" t="s">
        <v>99</v>
      </c>
      <c r="K428" s="2">
        <v>0</v>
      </c>
      <c r="L428" s="2">
        <v>0</v>
      </c>
      <c r="M428" s="13">
        <v>86.77</v>
      </c>
      <c r="N428" s="2">
        <v>11.280099999999999</v>
      </c>
      <c r="O428" s="2">
        <v>0</v>
      </c>
      <c r="P428" s="2">
        <v>0</v>
      </c>
      <c r="Q428" s="13">
        <v>98.0501</v>
      </c>
      <c r="R428" s="2">
        <v>0</v>
      </c>
      <c r="S428" s="2" t="s">
        <v>1</v>
      </c>
    </row>
    <row r="429" spans="1:19" x14ac:dyDescent="0.25">
      <c r="A429" s="2" t="s">
        <v>480</v>
      </c>
      <c r="B429" s="20">
        <v>44932</v>
      </c>
      <c r="C429" s="2" t="s">
        <v>1</v>
      </c>
      <c r="D429" s="2" t="s">
        <v>0</v>
      </c>
      <c r="E429" s="2" t="s">
        <v>1168</v>
      </c>
      <c r="F429" s="2" t="s">
        <v>1169</v>
      </c>
      <c r="G429" s="14">
        <v>931</v>
      </c>
      <c r="H429" s="18">
        <v>931</v>
      </c>
      <c r="I429" s="19" t="s">
        <v>1059</v>
      </c>
      <c r="J429" s="13" t="s">
        <v>1060</v>
      </c>
      <c r="K429" s="2">
        <v>0</v>
      </c>
      <c r="L429" s="2">
        <v>0</v>
      </c>
      <c r="M429" s="13">
        <v>197.79</v>
      </c>
      <c r="N429" s="2">
        <v>25.712699999999998</v>
      </c>
      <c r="O429" s="2">
        <v>0</v>
      </c>
      <c r="P429" s="2">
        <v>0</v>
      </c>
      <c r="Q429" s="13">
        <v>223.5027</v>
      </c>
      <c r="R429" s="2">
        <v>0</v>
      </c>
      <c r="S429" s="2" t="s">
        <v>1</v>
      </c>
    </row>
    <row r="430" spans="1:19" x14ac:dyDescent="0.25">
      <c r="A430" s="2" t="s">
        <v>480</v>
      </c>
      <c r="B430" s="20">
        <v>44932</v>
      </c>
      <c r="C430" s="2" t="s">
        <v>1</v>
      </c>
      <c r="D430" s="2" t="s">
        <v>0</v>
      </c>
      <c r="E430" s="2" t="s">
        <v>1168</v>
      </c>
      <c r="F430" s="2" t="s">
        <v>1169</v>
      </c>
      <c r="G430" s="14">
        <v>932</v>
      </c>
      <c r="H430" s="18">
        <v>932</v>
      </c>
      <c r="I430" s="19" t="s">
        <v>991</v>
      </c>
      <c r="J430" s="13" t="s">
        <v>992</v>
      </c>
      <c r="K430" s="2">
        <v>0</v>
      </c>
      <c r="L430" s="2">
        <v>0</v>
      </c>
      <c r="M430" s="13">
        <v>202.02</v>
      </c>
      <c r="N430" s="2">
        <v>26.262600000000003</v>
      </c>
      <c r="O430" s="2">
        <v>0</v>
      </c>
      <c r="P430" s="2">
        <v>0</v>
      </c>
      <c r="Q430" s="13">
        <v>228.2826</v>
      </c>
      <c r="R430" s="2">
        <v>0</v>
      </c>
      <c r="S430" s="2" t="s">
        <v>1</v>
      </c>
    </row>
    <row r="431" spans="1:19" x14ac:dyDescent="0.25">
      <c r="A431" s="2" t="s">
        <v>480</v>
      </c>
      <c r="B431" s="20">
        <v>44935</v>
      </c>
      <c r="C431" s="2" t="s">
        <v>1</v>
      </c>
      <c r="D431" s="2" t="s">
        <v>0</v>
      </c>
      <c r="E431" s="2" t="s">
        <v>1168</v>
      </c>
      <c r="F431" s="2" t="s">
        <v>1169</v>
      </c>
      <c r="G431" s="14">
        <v>933</v>
      </c>
      <c r="H431" s="18">
        <v>933</v>
      </c>
      <c r="I431" s="19" t="s">
        <v>1146</v>
      </c>
      <c r="J431" s="13" t="s">
        <v>1147</v>
      </c>
      <c r="K431" s="2">
        <v>0</v>
      </c>
      <c r="L431" s="2">
        <v>0</v>
      </c>
      <c r="M431" s="13">
        <v>72.5</v>
      </c>
      <c r="N431" s="2">
        <v>9.4250000000000007</v>
      </c>
      <c r="O431" s="2">
        <v>0</v>
      </c>
      <c r="P431" s="2">
        <v>0</v>
      </c>
      <c r="Q431" s="13">
        <v>81.924999999999997</v>
      </c>
      <c r="R431" s="2">
        <v>0</v>
      </c>
      <c r="S431" s="2" t="s">
        <v>1</v>
      </c>
    </row>
    <row r="432" spans="1:19" x14ac:dyDescent="0.25">
      <c r="A432" s="2" t="s">
        <v>480</v>
      </c>
      <c r="B432" s="20">
        <v>44935</v>
      </c>
      <c r="C432" s="2" t="s">
        <v>1</v>
      </c>
      <c r="D432" s="2" t="s">
        <v>0</v>
      </c>
      <c r="E432" s="2" t="s">
        <v>1168</v>
      </c>
      <c r="F432" s="2" t="s">
        <v>1169</v>
      </c>
      <c r="G432" s="14">
        <v>934</v>
      </c>
      <c r="H432" s="18">
        <v>934</v>
      </c>
      <c r="I432" s="19" t="s">
        <v>463</v>
      </c>
      <c r="J432" s="13" t="s">
        <v>464</v>
      </c>
      <c r="K432" s="2">
        <v>0</v>
      </c>
      <c r="L432" s="2">
        <v>0</v>
      </c>
      <c r="M432" s="13">
        <v>121.68</v>
      </c>
      <c r="N432" s="2">
        <v>15.818400000000002</v>
      </c>
      <c r="O432" s="2">
        <v>0</v>
      </c>
      <c r="P432" s="2">
        <v>0</v>
      </c>
      <c r="Q432" s="13">
        <v>137.4984</v>
      </c>
      <c r="R432" s="2">
        <v>0</v>
      </c>
      <c r="S432" s="2" t="s">
        <v>1</v>
      </c>
    </row>
    <row r="433" spans="1:19" x14ac:dyDescent="0.25">
      <c r="A433" s="2" t="s">
        <v>480</v>
      </c>
      <c r="B433" s="20">
        <v>44935</v>
      </c>
      <c r="C433" s="2" t="s">
        <v>1</v>
      </c>
      <c r="D433" s="2" t="s">
        <v>0</v>
      </c>
      <c r="E433" s="2" t="s">
        <v>1168</v>
      </c>
      <c r="F433" s="2" t="s">
        <v>1169</v>
      </c>
      <c r="G433" s="14">
        <v>935</v>
      </c>
      <c r="H433" s="18">
        <v>935</v>
      </c>
      <c r="I433" s="19" t="s">
        <v>1006</v>
      </c>
      <c r="J433" s="13" t="s">
        <v>1007</v>
      </c>
      <c r="K433" s="2">
        <v>0</v>
      </c>
      <c r="L433" s="2">
        <v>0</v>
      </c>
      <c r="M433" s="13">
        <v>13.5</v>
      </c>
      <c r="N433" s="2">
        <v>1.7550000000000001</v>
      </c>
      <c r="O433" s="2">
        <v>0</v>
      </c>
      <c r="P433" s="2">
        <v>0</v>
      </c>
      <c r="Q433" s="13">
        <v>15.255000000000001</v>
      </c>
      <c r="R433" s="2">
        <v>0</v>
      </c>
      <c r="S433" s="2" t="s">
        <v>1</v>
      </c>
    </row>
    <row r="434" spans="1:19" x14ac:dyDescent="0.25">
      <c r="A434" s="2" t="s">
        <v>480</v>
      </c>
      <c r="B434" s="20">
        <v>44935</v>
      </c>
      <c r="C434" s="2" t="s">
        <v>1</v>
      </c>
      <c r="D434" s="2" t="s">
        <v>0</v>
      </c>
      <c r="E434" s="2" t="s">
        <v>1168</v>
      </c>
      <c r="F434" s="2" t="s">
        <v>1169</v>
      </c>
      <c r="G434" s="14">
        <v>936</v>
      </c>
      <c r="H434" s="18">
        <v>936</v>
      </c>
      <c r="I434" s="19" t="s">
        <v>435</v>
      </c>
      <c r="J434" s="13" t="s">
        <v>434</v>
      </c>
      <c r="K434" s="2">
        <v>0</v>
      </c>
      <c r="L434" s="2">
        <v>0</v>
      </c>
      <c r="M434" s="13">
        <v>0</v>
      </c>
      <c r="N434" s="2">
        <v>0</v>
      </c>
      <c r="O434" s="2">
        <v>0</v>
      </c>
      <c r="P434" s="2">
        <v>0</v>
      </c>
      <c r="Q434" s="13">
        <v>0</v>
      </c>
      <c r="R434" s="2">
        <v>0</v>
      </c>
      <c r="S434" s="2" t="s">
        <v>1</v>
      </c>
    </row>
    <row r="435" spans="1:19" x14ac:dyDescent="0.25">
      <c r="A435" s="2" t="s">
        <v>480</v>
      </c>
      <c r="B435" s="20">
        <v>44935</v>
      </c>
      <c r="C435" s="2" t="s">
        <v>1</v>
      </c>
      <c r="D435" s="2" t="s">
        <v>0</v>
      </c>
      <c r="E435" s="2" t="s">
        <v>1168</v>
      </c>
      <c r="F435" s="2" t="s">
        <v>1169</v>
      </c>
      <c r="G435" s="14">
        <v>937</v>
      </c>
      <c r="H435" s="18">
        <v>937</v>
      </c>
      <c r="I435" s="19" t="s">
        <v>1033</v>
      </c>
      <c r="J435" s="13" t="s">
        <v>1034</v>
      </c>
      <c r="K435" s="2">
        <v>0</v>
      </c>
      <c r="L435" s="2">
        <v>0</v>
      </c>
      <c r="M435" s="13">
        <v>23.89</v>
      </c>
      <c r="N435" s="2">
        <v>3.1057000000000001</v>
      </c>
      <c r="O435" s="2">
        <v>0</v>
      </c>
      <c r="P435" s="2">
        <v>0</v>
      </c>
      <c r="Q435" s="13">
        <v>26.995699999999999</v>
      </c>
      <c r="R435" s="2">
        <v>0</v>
      </c>
      <c r="S435" s="2" t="s">
        <v>1</v>
      </c>
    </row>
    <row r="436" spans="1:19" x14ac:dyDescent="0.25">
      <c r="A436" s="2" t="s">
        <v>480</v>
      </c>
      <c r="B436" s="20">
        <v>44935</v>
      </c>
      <c r="C436" s="2" t="s">
        <v>1</v>
      </c>
      <c r="D436" s="2" t="s">
        <v>0</v>
      </c>
      <c r="E436" s="2" t="s">
        <v>1168</v>
      </c>
      <c r="F436" s="2" t="s">
        <v>1169</v>
      </c>
      <c r="G436" s="14">
        <v>938</v>
      </c>
      <c r="H436" s="18">
        <v>938</v>
      </c>
      <c r="I436" s="19" t="s">
        <v>474</v>
      </c>
      <c r="J436" s="13" t="s">
        <v>475</v>
      </c>
      <c r="K436" s="2">
        <v>0</v>
      </c>
      <c r="L436" s="2">
        <v>0</v>
      </c>
      <c r="M436" s="13">
        <v>24</v>
      </c>
      <c r="N436" s="2">
        <v>3.12</v>
      </c>
      <c r="O436" s="2">
        <v>0</v>
      </c>
      <c r="P436" s="2">
        <v>0</v>
      </c>
      <c r="Q436" s="13">
        <v>27.12</v>
      </c>
      <c r="R436" s="2">
        <v>0</v>
      </c>
      <c r="S436" s="2" t="s">
        <v>1</v>
      </c>
    </row>
    <row r="437" spans="1:19" x14ac:dyDescent="0.25">
      <c r="A437" s="2" t="s">
        <v>480</v>
      </c>
      <c r="B437" s="20">
        <v>44935</v>
      </c>
      <c r="C437" s="2" t="s">
        <v>1</v>
      </c>
      <c r="D437" s="2" t="s">
        <v>0</v>
      </c>
      <c r="E437" s="2" t="s">
        <v>1168</v>
      </c>
      <c r="F437" s="2" t="s">
        <v>1169</v>
      </c>
      <c r="G437" s="14">
        <v>939</v>
      </c>
      <c r="H437" s="18">
        <v>939</v>
      </c>
      <c r="I437" s="19" t="s">
        <v>1125</v>
      </c>
      <c r="J437" s="13" t="s">
        <v>1126</v>
      </c>
      <c r="K437" s="2">
        <v>0</v>
      </c>
      <c r="L437" s="2">
        <v>0</v>
      </c>
      <c r="M437" s="13">
        <v>307.5</v>
      </c>
      <c r="N437" s="2">
        <v>39.975000000000001</v>
      </c>
      <c r="O437" s="2">
        <v>0</v>
      </c>
      <c r="P437" s="2">
        <v>0</v>
      </c>
      <c r="Q437" s="13">
        <v>347.47500000000002</v>
      </c>
      <c r="R437" s="2">
        <v>0</v>
      </c>
      <c r="S437" s="2" t="s">
        <v>1</v>
      </c>
    </row>
    <row r="438" spans="1:19" x14ac:dyDescent="0.25">
      <c r="A438" s="2" t="s">
        <v>480</v>
      </c>
      <c r="B438" s="20">
        <v>44935</v>
      </c>
      <c r="C438" s="2" t="s">
        <v>1</v>
      </c>
      <c r="D438" s="2" t="s">
        <v>0</v>
      </c>
      <c r="E438" s="2" t="s">
        <v>1168</v>
      </c>
      <c r="F438" s="2" t="s">
        <v>1169</v>
      </c>
      <c r="G438" s="14">
        <v>940</v>
      </c>
      <c r="H438" s="18">
        <v>940</v>
      </c>
      <c r="I438" s="19" t="s">
        <v>998</v>
      </c>
      <c r="J438" s="13" t="s">
        <v>999</v>
      </c>
      <c r="K438" s="2">
        <v>0</v>
      </c>
      <c r="L438" s="2">
        <v>0</v>
      </c>
      <c r="M438" s="13">
        <v>38.299999999999997</v>
      </c>
      <c r="N438" s="2">
        <v>4.9790000000000001</v>
      </c>
      <c r="O438" s="2">
        <v>0</v>
      </c>
      <c r="P438" s="2">
        <v>0</v>
      </c>
      <c r="Q438" s="13">
        <v>43.278999999999996</v>
      </c>
      <c r="R438" s="2">
        <v>0</v>
      </c>
      <c r="S438" s="2" t="s">
        <v>1</v>
      </c>
    </row>
    <row r="439" spans="1:19" x14ac:dyDescent="0.25">
      <c r="A439" s="2" t="s">
        <v>480</v>
      </c>
      <c r="B439" s="20">
        <v>44935</v>
      </c>
      <c r="C439" s="2" t="s">
        <v>1</v>
      </c>
      <c r="D439" s="2" t="s">
        <v>0</v>
      </c>
      <c r="E439" s="2" t="s">
        <v>1168</v>
      </c>
      <c r="F439" s="2" t="s">
        <v>1169</v>
      </c>
      <c r="G439" s="14">
        <v>941</v>
      </c>
      <c r="H439" s="18">
        <v>941</v>
      </c>
      <c r="I439" s="19" t="s">
        <v>1109</v>
      </c>
      <c r="J439" s="13" t="s">
        <v>1110</v>
      </c>
      <c r="K439" s="2">
        <v>0</v>
      </c>
      <c r="L439" s="2">
        <v>0</v>
      </c>
      <c r="M439" s="13">
        <v>38.119999999999997</v>
      </c>
      <c r="N439" s="2">
        <v>4.9555999999999996</v>
      </c>
      <c r="O439" s="2">
        <v>0</v>
      </c>
      <c r="P439" s="2">
        <v>0</v>
      </c>
      <c r="Q439" s="13">
        <v>43.075599999999994</v>
      </c>
      <c r="R439" s="2">
        <v>0</v>
      </c>
      <c r="S439" s="2" t="s">
        <v>1</v>
      </c>
    </row>
    <row r="440" spans="1:19" x14ac:dyDescent="0.25">
      <c r="A440" s="2" t="s">
        <v>480</v>
      </c>
      <c r="B440" s="20">
        <v>44935</v>
      </c>
      <c r="C440" s="2" t="s">
        <v>1</v>
      </c>
      <c r="D440" s="2" t="s">
        <v>0</v>
      </c>
      <c r="E440" s="2" t="s">
        <v>1168</v>
      </c>
      <c r="F440" s="2" t="s">
        <v>1169</v>
      </c>
      <c r="G440" s="14">
        <v>942</v>
      </c>
      <c r="H440" s="18">
        <v>942</v>
      </c>
      <c r="I440" s="19" t="s">
        <v>1152</v>
      </c>
      <c r="J440" s="13" t="s">
        <v>1153</v>
      </c>
      <c r="K440" s="2">
        <v>0</v>
      </c>
      <c r="L440" s="2">
        <v>0</v>
      </c>
      <c r="M440" s="13">
        <v>92.65</v>
      </c>
      <c r="N440" s="2">
        <v>12.044500000000001</v>
      </c>
      <c r="O440" s="2">
        <v>0</v>
      </c>
      <c r="P440" s="2">
        <v>0</v>
      </c>
      <c r="Q440" s="13">
        <v>104.69450000000001</v>
      </c>
      <c r="R440" s="2">
        <v>0</v>
      </c>
      <c r="S440" s="2" t="s">
        <v>1</v>
      </c>
    </row>
    <row r="441" spans="1:19" x14ac:dyDescent="0.25">
      <c r="A441" s="2" t="s">
        <v>480</v>
      </c>
      <c r="B441" s="20">
        <v>44936</v>
      </c>
      <c r="C441" s="2" t="s">
        <v>1</v>
      </c>
      <c r="D441" s="2" t="s">
        <v>0</v>
      </c>
      <c r="E441" s="2" t="s">
        <v>1168</v>
      </c>
      <c r="F441" s="2" t="s">
        <v>1169</v>
      </c>
      <c r="G441" s="14">
        <v>943</v>
      </c>
      <c r="H441" s="18">
        <v>943</v>
      </c>
      <c r="I441" s="19" t="s">
        <v>1141</v>
      </c>
      <c r="J441" s="13" t="s">
        <v>997</v>
      </c>
      <c r="K441" s="2">
        <v>0</v>
      </c>
      <c r="L441" s="2">
        <v>0</v>
      </c>
      <c r="M441" s="13">
        <v>147.69999999999999</v>
      </c>
      <c r="N441" s="2">
        <v>19.201000000000001</v>
      </c>
      <c r="O441" s="2">
        <v>0</v>
      </c>
      <c r="P441" s="2">
        <v>0</v>
      </c>
      <c r="Q441" s="13">
        <v>166.90099999999998</v>
      </c>
      <c r="R441" s="2">
        <v>0</v>
      </c>
      <c r="S441" s="2" t="s">
        <v>1</v>
      </c>
    </row>
    <row r="442" spans="1:19" x14ac:dyDescent="0.25">
      <c r="A442" s="2" t="s">
        <v>480</v>
      </c>
      <c r="B442" s="20">
        <v>44936</v>
      </c>
      <c r="C442" s="2" t="s">
        <v>1</v>
      </c>
      <c r="D442" s="2" t="s">
        <v>0</v>
      </c>
      <c r="E442" s="2" t="s">
        <v>1168</v>
      </c>
      <c r="F442" s="2" t="s">
        <v>1169</v>
      </c>
      <c r="G442" s="14">
        <v>944</v>
      </c>
      <c r="H442" s="18">
        <v>944</v>
      </c>
      <c r="I442" s="19" t="s">
        <v>1018</v>
      </c>
      <c r="J442" s="13" t="s">
        <v>1019</v>
      </c>
      <c r="K442" s="2">
        <v>0</v>
      </c>
      <c r="L442" s="2">
        <v>0</v>
      </c>
      <c r="M442" s="13">
        <v>181.32</v>
      </c>
      <c r="N442" s="2">
        <v>23.5716</v>
      </c>
      <c r="O442" s="2">
        <v>0</v>
      </c>
      <c r="P442" s="2">
        <v>0</v>
      </c>
      <c r="Q442" s="13">
        <v>204.89159999999998</v>
      </c>
      <c r="R442" s="2">
        <v>0</v>
      </c>
      <c r="S442" s="2" t="s">
        <v>1</v>
      </c>
    </row>
    <row r="443" spans="1:19" x14ac:dyDescent="0.25">
      <c r="A443" s="2" t="s">
        <v>480</v>
      </c>
      <c r="B443" s="20">
        <v>44936</v>
      </c>
      <c r="C443" s="2" t="s">
        <v>1</v>
      </c>
      <c r="D443" s="2" t="s">
        <v>0</v>
      </c>
      <c r="E443" s="2" t="s">
        <v>1168</v>
      </c>
      <c r="F443" s="2" t="s">
        <v>1169</v>
      </c>
      <c r="G443" s="14">
        <v>945</v>
      </c>
      <c r="H443" s="18">
        <v>945</v>
      </c>
      <c r="I443" s="19" t="s">
        <v>1018</v>
      </c>
      <c r="J443" s="13" t="s">
        <v>1019</v>
      </c>
      <c r="K443" s="2">
        <v>0</v>
      </c>
      <c r="L443" s="2">
        <v>0</v>
      </c>
      <c r="M443" s="13">
        <v>326.77</v>
      </c>
      <c r="N443" s="2">
        <v>42.4801</v>
      </c>
      <c r="O443" s="2">
        <v>0</v>
      </c>
      <c r="P443" s="2">
        <v>0</v>
      </c>
      <c r="Q443" s="13">
        <v>369.25009999999997</v>
      </c>
      <c r="R443" s="2">
        <v>0</v>
      </c>
      <c r="S443" s="2" t="s">
        <v>1</v>
      </c>
    </row>
    <row r="444" spans="1:19" x14ac:dyDescent="0.25">
      <c r="A444" s="2" t="s">
        <v>480</v>
      </c>
      <c r="B444" s="20">
        <v>44936</v>
      </c>
      <c r="C444" s="2" t="s">
        <v>1</v>
      </c>
      <c r="D444" s="2" t="s">
        <v>0</v>
      </c>
      <c r="E444" s="2" t="s">
        <v>1168</v>
      </c>
      <c r="F444" s="2" t="s">
        <v>1169</v>
      </c>
      <c r="G444" s="14">
        <v>946</v>
      </c>
      <c r="H444" s="18">
        <v>946</v>
      </c>
      <c r="I444" s="19" t="s">
        <v>1095</v>
      </c>
      <c r="J444" s="13" t="s">
        <v>1096</v>
      </c>
      <c r="K444" s="2">
        <v>0</v>
      </c>
      <c r="L444" s="2">
        <v>0</v>
      </c>
      <c r="M444" s="13">
        <v>110.3</v>
      </c>
      <c r="N444" s="2">
        <v>14.339</v>
      </c>
      <c r="O444" s="2">
        <v>0</v>
      </c>
      <c r="P444" s="2">
        <v>0</v>
      </c>
      <c r="Q444" s="13">
        <v>124.639</v>
      </c>
      <c r="R444" s="2">
        <v>0</v>
      </c>
      <c r="S444" s="2" t="s">
        <v>1</v>
      </c>
    </row>
    <row r="445" spans="1:19" x14ac:dyDescent="0.25">
      <c r="A445" s="2" t="s">
        <v>480</v>
      </c>
      <c r="B445" s="20">
        <v>44936</v>
      </c>
      <c r="C445" s="2" t="s">
        <v>1</v>
      </c>
      <c r="D445" s="2" t="s">
        <v>0</v>
      </c>
      <c r="E445" s="2" t="s">
        <v>1168</v>
      </c>
      <c r="F445" s="2" t="s">
        <v>1169</v>
      </c>
      <c r="G445" s="14">
        <v>947</v>
      </c>
      <c r="H445" s="18">
        <v>947</v>
      </c>
      <c r="I445" s="19" t="s">
        <v>1095</v>
      </c>
      <c r="J445" s="13" t="s">
        <v>1096</v>
      </c>
      <c r="K445" s="2">
        <v>0</v>
      </c>
      <c r="L445" s="2">
        <v>0</v>
      </c>
      <c r="M445" s="13">
        <v>153.75</v>
      </c>
      <c r="N445" s="2">
        <v>19.987500000000001</v>
      </c>
      <c r="O445" s="2">
        <v>0</v>
      </c>
      <c r="P445" s="2">
        <v>0</v>
      </c>
      <c r="Q445" s="13">
        <v>173.73750000000001</v>
      </c>
      <c r="R445" s="2">
        <v>0</v>
      </c>
      <c r="S445" s="2" t="s">
        <v>1</v>
      </c>
    </row>
    <row r="446" spans="1:19" x14ac:dyDescent="0.25">
      <c r="A446" s="2" t="s">
        <v>480</v>
      </c>
      <c r="B446" s="20">
        <v>44936</v>
      </c>
      <c r="C446" s="2" t="s">
        <v>1</v>
      </c>
      <c r="D446" s="2" t="s">
        <v>0</v>
      </c>
      <c r="E446" s="2" t="s">
        <v>1168</v>
      </c>
      <c r="F446" s="2" t="s">
        <v>1169</v>
      </c>
      <c r="G446" s="14">
        <v>948</v>
      </c>
      <c r="H446" s="18">
        <v>948</v>
      </c>
      <c r="I446" s="19" t="s">
        <v>435</v>
      </c>
      <c r="J446" s="13" t="s">
        <v>434</v>
      </c>
      <c r="K446" s="2">
        <v>0</v>
      </c>
      <c r="L446" s="2">
        <v>0</v>
      </c>
      <c r="M446" s="13">
        <v>0</v>
      </c>
      <c r="N446" s="2">
        <v>0</v>
      </c>
      <c r="O446" s="2">
        <v>0</v>
      </c>
      <c r="P446" s="2">
        <v>0</v>
      </c>
      <c r="Q446" s="13">
        <v>0</v>
      </c>
      <c r="R446" s="2">
        <v>0</v>
      </c>
      <c r="S446" s="2" t="s">
        <v>1</v>
      </c>
    </row>
    <row r="447" spans="1:19" x14ac:dyDescent="0.25">
      <c r="A447" s="2" t="s">
        <v>480</v>
      </c>
      <c r="B447" s="20">
        <v>44936</v>
      </c>
      <c r="C447" s="2" t="s">
        <v>1</v>
      </c>
      <c r="D447" s="2" t="s">
        <v>0</v>
      </c>
      <c r="E447" s="2" t="s">
        <v>1168</v>
      </c>
      <c r="F447" s="2" t="s">
        <v>1169</v>
      </c>
      <c r="G447" s="14">
        <v>949</v>
      </c>
      <c r="H447" s="18">
        <v>949</v>
      </c>
      <c r="I447" s="19" t="s">
        <v>1156</v>
      </c>
      <c r="J447" s="13" t="s">
        <v>1157</v>
      </c>
      <c r="K447" s="2">
        <v>0</v>
      </c>
      <c r="L447" s="2">
        <v>0</v>
      </c>
      <c r="M447" s="13">
        <v>52.28</v>
      </c>
      <c r="N447" s="2">
        <v>6.7964000000000002</v>
      </c>
      <c r="O447" s="2">
        <v>0</v>
      </c>
      <c r="P447" s="2">
        <v>0</v>
      </c>
      <c r="Q447" s="13">
        <v>59.0764</v>
      </c>
      <c r="R447" s="2">
        <v>0</v>
      </c>
      <c r="S447" s="2" t="s">
        <v>1</v>
      </c>
    </row>
    <row r="448" spans="1:19" x14ac:dyDescent="0.25">
      <c r="A448" s="2" t="s">
        <v>480</v>
      </c>
      <c r="B448" s="20">
        <v>44936</v>
      </c>
      <c r="C448" s="2" t="s">
        <v>1</v>
      </c>
      <c r="D448" s="2" t="s">
        <v>0</v>
      </c>
      <c r="E448" s="2" t="s">
        <v>1168</v>
      </c>
      <c r="F448" s="2" t="s">
        <v>1169</v>
      </c>
      <c r="G448" s="14">
        <v>950</v>
      </c>
      <c r="H448" s="18">
        <v>950</v>
      </c>
      <c r="I448" s="19" t="s">
        <v>1135</v>
      </c>
      <c r="J448" s="13" t="s">
        <v>1136</v>
      </c>
      <c r="K448" s="2">
        <v>0</v>
      </c>
      <c r="L448" s="2">
        <v>0</v>
      </c>
      <c r="M448" s="13">
        <v>79.92</v>
      </c>
      <c r="N448" s="2">
        <v>10.3896</v>
      </c>
      <c r="O448" s="2">
        <v>0</v>
      </c>
      <c r="P448" s="2">
        <v>0</v>
      </c>
      <c r="Q448" s="13">
        <v>90.309600000000003</v>
      </c>
      <c r="R448" s="2">
        <v>0</v>
      </c>
      <c r="S448" s="2" t="s">
        <v>1</v>
      </c>
    </row>
    <row r="449" spans="1:19" x14ac:dyDescent="0.25">
      <c r="A449" s="2" t="s">
        <v>480</v>
      </c>
      <c r="B449" s="20">
        <v>44936</v>
      </c>
      <c r="C449" s="2" t="s">
        <v>1</v>
      </c>
      <c r="D449" s="2" t="s">
        <v>0</v>
      </c>
      <c r="E449" s="2" t="s">
        <v>1168</v>
      </c>
      <c r="F449" s="2" t="s">
        <v>1169</v>
      </c>
      <c r="G449" s="14">
        <v>951</v>
      </c>
      <c r="H449" s="18">
        <v>951</v>
      </c>
      <c r="I449" s="19" t="s">
        <v>969</v>
      </c>
      <c r="J449" s="13" t="s">
        <v>970</v>
      </c>
      <c r="K449" s="2">
        <v>0</v>
      </c>
      <c r="L449" s="2">
        <v>0</v>
      </c>
      <c r="M449" s="13">
        <v>1140.08</v>
      </c>
      <c r="N449" s="2">
        <v>148.21039999999999</v>
      </c>
      <c r="O449" s="2">
        <v>0</v>
      </c>
      <c r="P449" s="2">
        <v>0</v>
      </c>
      <c r="Q449" s="13">
        <v>1288.2903999999999</v>
      </c>
      <c r="R449" s="2">
        <v>0</v>
      </c>
      <c r="S449" s="2" t="s">
        <v>1</v>
      </c>
    </row>
    <row r="450" spans="1:19" x14ac:dyDescent="0.25">
      <c r="A450" s="2" t="s">
        <v>480</v>
      </c>
      <c r="B450" s="20">
        <v>44936</v>
      </c>
      <c r="C450" s="2" t="s">
        <v>1</v>
      </c>
      <c r="D450" s="2" t="s">
        <v>0</v>
      </c>
      <c r="E450" s="2" t="s">
        <v>1168</v>
      </c>
      <c r="F450" s="2" t="s">
        <v>1169</v>
      </c>
      <c r="G450" s="14">
        <v>952</v>
      </c>
      <c r="H450" s="18">
        <v>952</v>
      </c>
      <c r="I450" s="19" t="s">
        <v>969</v>
      </c>
      <c r="J450" s="13" t="s">
        <v>970</v>
      </c>
      <c r="K450" s="2">
        <v>0</v>
      </c>
      <c r="L450" s="2">
        <v>0</v>
      </c>
      <c r="M450" s="13">
        <v>371</v>
      </c>
      <c r="N450" s="2">
        <v>48.230000000000004</v>
      </c>
      <c r="O450" s="2">
        <v>0</v>
      </c>
      <c r="P450" s="2">
        <v>0</v>
      </c>
      <c r="Q450" s="13">
        <v>419.23</v>
      </c>
      <c r="R450" s="2">
        <v>0</v>
      </c>
      <c r="S450" s="2" t="s">
        <v>1</v>
      </c>
    </row>
    <row r="451" spans="1:19" x14ac:dyDescent="0.25">
      <c r="A451" s="2" t="s">
        <v>480</v>
      </c>
      <c r="B451" s="20">
        <v>44936</v>
      </c>
      <c r="C451" s="2" t="s">
        <v>1</v>
      </c>
      <c r="D451" s="2" t="s">
        <v>0</v>
      </c>
      <c r="E451" s="2" t="s">
        <v>1168</v>
      </c>
      <c r="F451" s="2" t="s">
        <v>1169</v>
      </c>
      <c r="G451" s="14">
        <v>953</v>
      </c>
      <c r="H451" s="18">
        <v>953</v>
      </c>
      <c r="I451" s="19" t="s">
        <v>1163</v>
      </c>
      <c r="J451" s="13" t="s">
        <v>1164</v>
      </c>
      <c r="K451" s="2">
        <v>0</v>
      </c>
      <c r="L451" s="2">
        <v>0</v>
      </c>
      <c r="M451" s="13">
        <v>284.67</v>
      </c>
      <c r="N451" s="2">
        <v>37.007100000000001</v>
      </c>
      <c r="O451" s="2">
        <v>0</v>
      </c>
      <c r="P451" s="2">
        <v>0</v>
      </c>
      <c r="Q451" s="13">
        <v>321.6771</v>
      </c>
      <c r="R451" s="2">
        <v>0</v>
      </c>
      <c r="S451" s="2" t="s">
        <v>1</v>
      </c>
    </row>
    <row r="452" spans="1:19" x14ac:dyDescent="0.25">
      <c r="A452" s="2" t="s">
        <v>480</v>
      </c>
      <c r="B452" s="20">
        <v>44936</v>
      </c>
      <c r="C452" s="2" t="s">
        <v>1</v>
      </c>
      <c r="D452" s="2" t="s">
        <v>0</v>
      </c>
      <c r="E452" s="2" t="s">
        <v>1168</v>
      </c>
      <c r="F452" s="2" t="s">
        <v>1169</v>
      </c>
      <c r="G452" s="14">
        <v>954</v>
      </c>
      <c r="H452" s="18">
        <v>954</v>
      </c>
      <c r="I452" s="19" t="s">
        <v>1163</v>
      </c>
      <c r="J452" s="13" t="s">
        <v>1164</v>
      </c>
      <c r="K452" s="2">
        <v>0</v>
      </c>
      <c r="L452" s="2">
        <v>0</v>
      </c>
      <c r="M452" s="13">
        <v>31.94</v>
      </c>
      <c r="N452" s="2">
        <v>4.1522000000000006</v>
      </c>
      <c r="O452" s="2">
        <v>0</v>
      </c>
      <c r="P452" s="2">
        <v>0</v>
      </c>
      <c r="Q452" s="13">
        <v>36.092200000000005</v>
      </c>
      <c r="R452" s="2">
        <v>0</v>
      </c>
      <c r="S452" s="2" t="s">
        <v>1</v>
      </c>
    </row>
    <row r="453" spans="1:19" x14ac:dyDescent="0.25">
      <c r="A453" s="2" t="s">
        <v>480</v>
      </c>
      <c r="B453" s="20">
        <v>44936</v>
      </c>
      <c r="C453" s="2" t="s">
        <v>1</v>
      </c>
      <c r="D453" s="2" t="s">
        <v>0</v>
      </c>
      <c r="E453" s="2" t="s">
        <v>1168</v>
      </c>
      <c r="F453" s="2" t="s">
        <v>1169</v>
      </c>
      <c r="G453" s="14">
        <v>955</v>
      </c>
      <c r="H453" s="18">
        <v>955</v>
      </c>
      <c r="I453" s="19" t="s">
        <v>1163</v>
      </c>
      <c r="J453" s="13" t="s">
        <v>1164</v>
      </c>
      <c r="K453" s="2">
        <v>0</v>
      </c>
      <c r="L453" s="2">
        <v>0</v>
      </c>
      <c r="M453" s="13">
        <v>195.16</v>
      </c>
      <c r="N453" s="2">
        <v>25.370799999999999</v>
      </c>
      <c r="O453" s="2">
        <v>0</v>
      </c>
      <c r="P453" s="2">
        <v>0</v>
      </c>
      <c r="Q453" s="13">
        <v>220.5308</v>
      </c>
      <c r="R453" s="2">
        <v>0</v>
      </c>
      <c r="S453" s="2" t="s">
        <v>1</v>
      </c>
    </row>
    <row r="454" spans="1:19" x14ac:dyDescent="0.25">
      <c r="A454" s="2" t="s">
        <v>480</v>
      </c>
      <c r="B454" s="20">
        <v>44936</v>
      </c>
      <c r="C454" s="2" t="s">
        <v>1</v>
      </c>
      <c r="D454" s="2" t="s">
        <v>0</v>
      </c>
      <c r="E454" s="2" t="s">
        <v>1168</v>
      </c>
      <c r="F454" s="2" t="s">
        <v>1169</v>
      </c>
      <c r="G454" s="14">
        <v>956</v>
      </c>
      <c r="H454" s="18">
        <v>956</v>
      </c>
      <c r="I454" s="19" t="s">
        <v>1006</v>
      </c>
      <c r="J454" s="13" t="s">
        <v>1007</v>
      </c>
      <c r="K454" s="2">
        <v>0</v>
      </c>
      <c r="L454" s="2">
        <v>0</v>
      </c>
      <c r="M454" s="13">
        <v>5.4</v>
      </c>
      <c r="N454" s="2">
        <v>0.70200000000000007</v>
      </c>
      <c r="O454" s="2">
        <v>0</v>
      </c>
      <c r="P454" s="2">
        <v>0</v>
      </c>
      <c r="Q454" s="13">
        <v>6.1020000000000003</v>
      </c>
      <c r="R454" s="2">
        <v>0</v>
      </c>
      <c r="S454" s="2" t="s">
        <v>1</v>
      </c>
    </row>
    <row r="455" spans="1:19" x14ac:dyDescent="0.25">
      <c r="A455" s="2" t="s">
        <v>480</v>
      </c>
      <c r="B455" s="20">
        <v>44936</v>
      </c>
      <c r="C455" s="2" t="s">
        <v>1</v>
      </c>
      <c r="D455" s="2" t="s">
        <v>0</v>
      </c>
      <c r="E455" s="2" t="s">
        <v>1168</v>
      </c>
      <c r="F455" s="2" t="s">
        <v>1169</v>
      </c>
      <c r="G455" s="14">
        <v>957</v>
      </c>
      <c r="H455" s="18">
        <v>957</v>
      </c>
      <c r="I455" s="19" t="s">
        <v>81</v>
      </c>
      <c r="J455" s="13" t="s">
        <v>82</v>
      </c>
      <c r="K455" s="2">
        <v>0</v>
      </c>
      <c r="L455" s="2">
        <v>0</v>
      </c>
      <c r="M455" s="13">
        <v>130.9</v>
      </c>
      <c r="N455" s="2">
        <v>17.017000000000003</v>
      </c>
      <c r="O455" s="2">
        <v>0</v>
      </c>
      <c r="P455" s="2">
        <v>0</v>
      </c>
      <c r="Q455" s="13">
        <v>147.917</v>
      </c>
      <c r="R455" s="2">
        <v>0</v>
      </c>
      <c r="S455" s="2" t="s">
        <v>1</v>
      </c>
    </row>
    <row r="456" spans="1:19" x14ac:dyDescent="0.25">
      <c r="A456" s="2" t="s">
        <v>480</v>
      </c>
      <c r="B456" s="20">
        <v>44936</v>
      </c>
      <c r="C456" s="2" t="s">
        <v>1</v>
      </c>
      <c r="D456" s="2" t="s">
        <v>0</v>
      </c>
      <c r="E456" s="2" t="s">
        <v>1168</v>
      </c>
      <c r="F456" s="2" t="s">
        <v>1169</v>
      </c>
      <c r="G456" s="14">
        <v>958</v>
      </c>
      <c r="H456" s="18">
        <v>958</v>
      </c>
      <c r="I456" s="19" t="s">
        <v>993</v>
      </c>
      <c r="J456" s="13" t="s">
        <v>994</v>
      </c>
      <c r="K456" s="2">
        <v>0</v>
      </c>
      <c r="L456" s="2">
        <v>0</v>
      </c>
      <c r="M456" s="13">
        <v>10.92</v>
      </c>
      <c r="N456" s="2">
        <v>1.4196</v>
      </c>
      <c r="O456" s="2">
        <v>0</v>
      </c>
      <c r="P456" s="2">
        <v>0</v>
      </c>
      <c r="Q456" s="13">
        <v>12.339600000000001</v>
      </c>
      <c r="R456" s="2">
        <v>0</v>
      </c>
      <c r="S456" s="2" t="s">
        <v>1</v>
      </c>
    </row>
    <row r="457" spans="1:19" x14ac:dyDescent="0.25">
      <c r="A457" s="2" t="s">
        <v>480</v>
      </c>
      <c r="B457" s="20">
        <v>44936</v>
      </c>
      <c r="C457" s="2" t="s">
        <v>1</v>
      </c>
      <c r="D457" s="2" t="s">
        <v>0</v>
      </c>
      <c r="E457" s="2" t="s">
        <v>1168</v>
      </c>
      <c r="F457" s="2" t="s">
        <v>1169</v>
      </c>
      <c r="G457" s="14">
        <v>959</v>
      </c>
      <c r="H457" s="18">
        <v>959</v>
      </c>
      <c r="I457" s="19" t="s">
        <v>1025</v>
      </c>
      <c r="J457" s="13" t="s">
        <v>1026</v>
      </c>
      <c r="K457" s="2">
        <v>0</v>
      </c>
      <c r="L457" s="2">
        <v>0</v>
      </c>
      <c r="M457" s="13">
        <v>26.38</v>
      </c>
      <c r="N457" s="2">
        <v>3.4293999999999998</v>
      </c>
      <c r="O457" s="2">
        <v>0</v>
      </c>
      <c r="P457" s="2">
        <v>0</v>
      </c>
      <c r="Q457" s="13">
        <v>29.8094</v>
      </c>
      <c r="R457" s="2">
        <v>0</v>
      </c>
      <c r="S457" s="2" t="s">
        <v>1</v>
      </c>
    </row>
    <row r="458" spans="1:19" x14ac:dyDescent="0.25">
      <c r="A458" s="2" t="s">
        <v>480</v>
      </c>
      <c r="B458" s="20">
        <v>44937</v>
      </c>
      <c r="C458" s="2" t="s">
        <v>1</v>
      </c>
      <c r="D458" s="2" t="s">
        <v>0</v>
      </c>
      <c r="E458" s="2" t="s">
        <v>1168</v>
      </c>
      <c r="F458" s="2" t="s">
        <v>1169</v>
      </c>
      <c r="G458" s="14">
        <v>960</v>
      </c>
      <c r="H458" s="18">
        <v>960</v>
      </c>
      <c r="I458" s="19" t="s">
        <v>1027</v>
      </c>
      <c r="J458" s="13" t="s">
        <v>1028</v>
      </c>
      <c r="K458" s="2">
        <v>0</v>
      </c>
      <c r="L458" s="2">
        <v>0</v>
      </c>
      <c r="M458" s="13">
        <v>154.5</v>
      </c>
      <c r="N458" s="2">
        <v>20.085000000000001</v>
      </c>
      <c r="O458" s="2">
        <v>0</v>
      </c>
      <c r="P458" s="2">
        <v>0</v>
      </c>
      <c r="Q458" s="13">
        <v>174.58500000000001</v>
      </c>
      <c r="R458" s="2">
        <v>0</v>
      </c>
      <c r="S458" s="2" t="s">
        <v>1</v>
      </c>
    </row>
    <row r="459" spans="1:19" x14ac:dyDescent="0.25">
      <c r="A459" s="2" t="s">
        <v>480</v>
      </c>
      <c r="B459" s="20">
        <v>44937</v>
      </c>
      <c r="C459" s="2" t="s">
        <v>1</v>
      </c>
      <c r="D459" s="2" t="s">
        <v>0</v>
      </c>
      <c r="E459" s="2" t="s">
        <v>1168</v>
      </c>
      <c r="F459" s="2" t="s">
        <v>1169</v>
      </c>
      <c r="G459" s="14">
        <v>961</v>
      </c>
      <c r="H459" s="18">
        <v>961</v>
      </c>
      <c r="I459" s="19" t="s">
        <v>1165</v>
      </c>
      <c r="J459" s="13" t="s">
        <v>1166</v>
      </c>
      <c r="K459" s="2">
        <v>0</v>
      </c>
      <c r="L459" s="2">
        <v>0</v>
      </c>
      <c r="M459" s="13">
        <v>185.84</v>
      </c>
      <c r="N459" s="2">
        <v>24.159200000000002</v>
      </c>
      <c r="O459" s="2">
        <v>0</v>
      </c>
      <c r="P459" s="2">
        <v>0</v>
      </c>
      <c r="Q459" s="13">
        <v>209.9992</v>
      </c>
      <c r="R459" s="2">
        <v>0</v>
      </c>
      <c r="S459" s="2" t="s">
        <v>1</v>
      </c>
    </row>
    <row r="460" spans="1:19" x14ac:dyDescent="0.25">
      <c r="A460" s="2" t="s">
        <v>480</v>
      </c>
      <c r="B460" s="20">
        <v>44937</v>
      </c>
      <c r="C460" s="2" t="s">
        <v>1</v>
      </c>
      <c r="D460" s="2" t="s">
        <v>0</v>
      </c>
      <c r="E460" s="2" t="s">
        <v>1168</v>
      </c>
      <c r="F460" s="2" t="s">
        <v>1169</v>
      </c>
      <c r="G460" s="14">
        <v>962</v>
      </c>
      <c r="H460" s="18">
        <v>962</v>
      </c>
      <c r="I460" s="19" t="s">
        <v>1010</v>
      </c>
      <c r="J460" s="13" t="s">
        <v>1011</v>
      </c>
      <c r="K460" s="2">
        <v>0</v>
      </c>
      <c r="L460" s="2">
        <v>0</v>
      </c>
      <c r="M460" s="13">
        <v>95.58</v>
      </c>
      <c r="N460" s="2">
        <v>12.4254</v>
      </c>
      <c r="O460" s="2">
        <v>0</v>
      </c>
      <c r="P460" s="2">
        <v>0</v>
      </c>
      <c r="Q460" s="13">
        <v>108.00539999999999</v>
      </c>
      <c r="R460" s="2">
        <v>0</v>
      </c>
      <c r="S460" s="2" t="s">
        <v>1</v>
      </c>
    </row>
    <row r="461" spans="1:19" x14ac:dyDescent="0.25">
      <c r="A461" s="2" t="s">
        <v>480</v>
      </c>
      <c r="B461" s="20">
        <v>44937</v>
      </c>
      <c r="C461" s="2" t="s">
        <v>1</v>
      </c>
      <c r="D461" s="2" t="s">
        <v>0</v>
      </c>
      <c r="E461" s="2" t="s">
        <v>1168</v>
      </c>
      <c r="F461" s="2" t="s">
        <v>1169</v>
      </c>
      <c r="G461" s="14">
        <v>963</v>
      </c>
      <c r="H461" s="18">
        <v>963</v>
      </c>
      <c r="I461" s="19" t="s">
        <v>1154</v>
      </c>
      <c r="J461" s="13" t="s">
        <v>1155</v>
      </c>
      <c r="K461" s="2">
        <v>0</v>
      </c>
      <c r="L461" s="2">
        <v>0</v>
      </c>
      <c r="M461" s="13">
        <v>209.77</v>
      </c>
      <c r="N461" s="2">
        <v>27.270100000000003</v>
      </c>
      <c r="O461" s="2">
        <v>0</v>
      </c>
      <c r="P461" s="2">
        <v>0</v>
      </c>
      <c r="Q461" s="13">
        <v>237.04010000000002</v>
      </c>
      <c r="R461" s="2">
        <v>0</v>
      </c>
      <c r="S461" s="2" t="s">
        <v>1</v>
      </c>
    </row>
    <row r="462" spans="1:19" x14ac:dyDescent="0.25">
      <c r="A462" s="2" t="s">
        <v>480</v>
      </c>
      <c r="B462" s="20">
        <v>44937</v>
      </c>
      <c r="C462" s="2" t="s">
        <v>1</v>
      </c>
      <c r="D462" s="2" t="s">
        <v>0</v>
      </c>
      <c r="E462" s="2" t="s">
        <v>1168</v>
      </c>
      <c r="F462" s="2" t="s">
        <v>1169</v>
      </c>
      <c r="G462" s="14">
        <v>965</v>
      </c>
      <c r="H462" s="18">
        <v>965</v>
      </c>
      <c r="I462" s="19">
        <v>0</v>
      </c>
      <c r="J462" s="13" t="s">
        <v>1005</v>
      </c>
      <c r="K462" s="2">
        <v>0</v>
      </c>
      <c r="L462" s="2">
        <v>0</v>
      </c>
      <c r="M462" s="13">
        <v>19.89</v>
      </c>
      <c r="N462" s="2">
        <v>2.5857000000000001</v>
      </c>
      <c r="O462" s="2">
        <v>0</v>
      </c>
      <c r="P462" s="2">
        <v>0</v>
      </c>
      <c r="Q462" s="13">
        <v>22.4757</v>
      </c>
      <c r="R462" s="2" t="s">
        <v>1004</v>
      </c>
      <c r="S462" s="2" t="s">
        <v>1</v>
      </c>
    </row>
    <row r="463" spans="1:19" x14ac:dyDescent="0.25">
      <c r="A463" s="2" t="s">
        <v>480</v>
      </c>
      <c r="B463" s="20">
        <v>44937</v>
      </c>
      <c r="C463" s="2" t="s">
        <v>1</v>
      </c>
      <c r="D463" s="2" t="s">
        <v>0</v>
      </c>
      <c r="E463" s="2" t="s">
        <v>1168</v>
      </c>
      <c r="F463" s="2" t="s">
        <v>1169</v>
      </c>
      <c r="G463" s="14">
        <v>964</v>
      </c>
      <c r="H463" s="18">
        <v>964</v>
      </c>
      <c r="I463" s="19" t="s">
        <v>435</v>
      </c>
      <c r="J463" s="13" t="s">
        <v>434</v>
      </c>
      <c r="K463" s="2">
        <v>0</v>
      </c>
      <c r="L463" s="2">
        <v>0</v>
      </c>
      <c r="M463" s="13">
        <v>0</v>
      </c>
      <c r="N463" s="2">
        <v>0</v>
      </c>
      <c r="O463" s="2">
        <v>0</v>
      </c>
      <c r="P463" s="2">
        <v>0</v>
      </c>
      <c r="Q463" s="13">
        <v>0</v>
      </c>
      <c r="R463" s="2">
        <v>0</v>
      </c>
      <c r="S463" s="2" t="s">
        <v>1</v>
      </c>
    </row>
    <row r="464" spans="1:19" x14ac:dyDescent="0.25">
      <c r="A464" s="2" t="s">
        <v>480</v>
      </c>
      <c r="B464" s="20">
        <v>44937</v>
      </c>
      <c r="C464" s="2" t="s">
        <v>1</v>
      </c>
      <c r="D464" s="2" t="s">
        <v>0</v>
      </c>
      <c r="E464" s="2" t="s">
        <v>1168</v>
      </c>
      <c r="F464" s="2" t="s">
        <v>1169</v>
      </c>
      <c r="G464" s="14">
        <v>966</v>
      </c>
      <c r="H464" s="18">
        <v>966</v>
      </c>
      <c r="I464" s="19" t="s">
        <v>98</v>
      </c>
      <c r="J464" s="13" t="s">
        <v>99</v>
      </c>
      <c r="K464" s="2">
        <v>0</v>
      </c>
      <c r="L464" s="2">
        <v>0</v>
      </c>
      <c r="M464" s="13">
        <v>198.59</v>
      </c>
      <c r="N464" s="2">
        <v>25.816700000000001</v>
      </c>
      <c r="O464" s="2">
        <v>0</v>
      </c>
      <c r="P464" s="2">
        <v>0</v>
      </c>
      <c r="Q464" s="13">
        <v>224.4067</v>
      </c>
      <c r="R464" s="2">
        <v>0</v>
      </c>
      <c r="S464" s="2" t="s">
        <v>1</v>
      </c>
    </row>
    <row r="465" spans="1:19" x14ac:dyDescent="0.25">
      <c r="A465" s="2" t="s">
        <v>480</v>
      </c>
      <c r="B465" s="20">
        <v>44938</v>
      </c>
      <c r="C465" s="2" t="s">
        <v>1</v>
      </c>
      <c r="D465" s="2" t="s">
        <v>0</v>
      </c>
      <c r="E465" s="2" t="s">
        <v>1168</v>
      </c>
      <c r="F465" s="2" t="s">
        <v>1169</v>
      </c>
      <c r="G465" s="14">
        <v>967</v>
      </c>
      <c r="H465" s="18">
        <v>967</v>
      </c>
      <c r="I465" s="19" t="s">
        <v>435</v>
      </c>
      <c r="J465" s="13" t="s">
        <v>434</v>
      </c>
      <c r="K465" s="2">
        <v>0</v>
      </c>
      <c r="L465" s="2">
        <v>0</v>
      </c>
      <c r="M465" s="13">
        <v>0</v>
      </c>
      <c r="N465" s="2">
        <v>0</v>
      </c>
      <c r="O465" s="2">
        <v>0</v>
      </c>
      <c r="P465" s="2">
        <v>0</v>
      </c>
      <c r="Q465" s="13">
        <v>0</v>
      </c>
      <c r="R465" s="2">
        <v>0</v>
      </c>
      <c r="S465" s="2" t="s">
        <v>1</v>
      </c>
    </row>
    <row r="466" spans="1:19" x14ac:dyDescent="0.25">
      <c r="A466" s="2" t="s">
        <v>480</v>
      </c>
      <c r="B466" s="20">
        <v>44938</v>
      </c>
      <c r="C466" s="2" t="s">
        <v>1</v>
      </c>
      <c r="D466" s="2" t="s">
        <v>0</v>
      </c>
      <c r="E466" s="2" t="s">
        <v>1168</v>
      </c>
      <c r="F466" s="2" t="s">
        <v>1169</v>
      </c>
      <c r="G466" s="14">
        <v>968</v>
      </c>
      <c r="H466" s="18">
        <v>968</v>
      </c>
      <c r="I466" s="19" t="s">
        <v>1010</v>
      </c>
      <c r="J466" s="13" t="s">
        <v>1011</v>
      </c>
      <c r="K466" s="2">
        <v>0</v>
      </c>
      <c r="L466" s="2">
        <v>0</v>
      </c>
      <c r="M466" s="13">
        <v>95.58</v>
      </c>
      <c r="N466" s="2">
        <v>12.4254</v>
      </c>
      <c r="O466" s="2">
        <v>0</v>
      </c>
      <c r="P466" s="2">
        <v>0</v>
      </c>
      <c r="Q466" s="13">
        <v>108.00539999999999</v>
      </c>
      <c r="R466" s="2">
        <v>0</v>
      </c>
      <c r="S466" s="2" t="s">
        <v>1</v>
      </c>
    </row>
    <row r="467" spans="1:19" x14ac:dyDescent="0.25">
      <c r="A467" s="2" t="s">
        <v>480</v>
      </c>
      <c r="B467" s="20">
        <v>44938</v>
      </c>
      <c r="C467" s="2" t="s">
        <v>1</v>
      </c>
      <c r="D467" s="2" t="s">
        <v>0</v>
      </c>
      <c r="E467" s="2" t="s">
        <v>1168</v>
      </c>
      <c r="F467" s="2" t="s">
        <v>1169</v>
      </c>
      <c r="G467" s="14">
        <v>969</v>
      </c>
      <c r="H467" s="18">
        <v>969</v>
      </c>
      <c r="I467" s="19" t="s">
        <v>1105</v>
      </c>
      <c r="J467" s="13" t="s">
        <v>1106</v>
      </c>
      <c r="K467" s="2">
        <v>0</v>
      </c>
      <c r="L467" s="2">
        <v>0</v>
      </c>
      <c r="M467" s="13">
        <v>153.76</v>
      </c>
      <c r="N467" s="2">
        <v>19.988800000000001</v>
      </c>
      <c r="O467" s="2">
        <v>0</v>
      </c>
      <c r="P467" s="2">
        <v>0</v>
      </c>
      <c r="Q467" s="13">
        <v>173.74879999999999</v>
      </c>
      <c r="R467" s="2">
        <v>0</v>
      </c>
      <c r="S467" s="2" t="s">
        <v>1</v>
      </c>
    </row>
    <row r="468" spans="1:19" x14ac:dyDescent="0.25">
      <c r="A468" s="2" t="s">
        <v>480</v>
      </c>
      <c r="B468" s="20">
        <v>44938</v>
      </c>
      <c r="C468" s="2" t="s">
        <v>1</v>
      </c>
      <c r="D468" s="2" t="s">
        <v>0</v>
      </c>
      <c r="E468" s="2" t="s">
        <v>1168</v>
      </c>
      <c r="F468" s="2" t="s">
        <v>1169</v>
      </c>
      <c r="G468" s="14">
        <v>970</v>
      </c>
      <c r="H468" s="18">
        <v>970</v>
      </c>
      <c r="I468" s="19" t="s">
        <v>56</v>
      </c>
      <c r="J468" s="13" t="s">
        <v>57</v>
      </c>
      <c r="K468" s="2">
        <v>0</v>
      </c>
      <c r="L468" s="2">
        <v>0</v>
      </c>
      <c r="M468" s="13">
        <v>36.64</v>
      </c>
      <c r="N468" s="2">
        <v>4.7632000000000003</v>
      </c>
      <c r="O468" s="2">
        <v>0</v>
      </c>
      <c r="P468" s="2">
        <v>0</v>
      </c>
      <c r="Q468" s="13">
        <v>41.403199999999998</v>
      </c>
      <c r="R468" s="2">
        <v>0</v>
      </c>
      <c r="S468" s="2" t="s">
        <v>1</v>
      </c>
    </row>
    <row r="469" spans="1:19" x14ac:dyDescent="0.25">
      <c r="A469" s="2" t="s">
        <v>480</v>
      </c>
      <c r="B469" s="20">
        <v>44938</v>
      </c>
      <c r="C469" s="2" t="s">
        <v>1</v>
      </c>
      <c r="D469" s="2" t="s">
        <v>0</v>
      </c>
      <c r="E469" s="2" t="s">
        <v>1168</v>
      </c>
      <c r="F469" s="2" t="s">
        <v>1169</v>
      </c>
      <c r="G469" s="14">
        <v>971</v>
      </c>
      <c r="H469" s="18">
        <v>971</v>
      </c>
      <c r="I469" s="19" t="s">
        <v>120</v>
      </c>
      <c r="J469" s="13" t="s">
        <v>121</v>
      </c>
      <c r="K469" s="2">
        <v>0</v>
      </c>
      <c r="L469" s="2">
        <v>0</v>
      </c>
      <c r="M469" s="13">
        <v>974.86</v>
      </c>
      <c r="N469" s="2">
        <v>126.73180000000001</v>
      </c>
      <c r="O469" s="2">
        <v>0</v>
      </c>
      <c r="P469" s="2">
        <v>0</v>
      </c>
      <c r="Q469" s="13">
        <v>1101.5917999999999</v>
      </c>
      <c r="R469" s="2">
        <v>0</v>
      </c>
      <c r="S469" s="2" t="s">
        <v>1</v>
      </c>
    </row>
    <row r="470" spans="1:19" x14ac:dyDescent="0.25">
      <c r="A470" s="2" t="s">
        <v>480</v>
      </c>
      <c r="B470" s="20">
        <v>44938</v>
      </c>
      <c r="C470" s="2" t="s">
        <v>1</v>
      </c>
      <c r="D470" s="2" t="s">
        <v>0</v>
      </c>
      <c r="E470" s="2" t="s">
        <v>1168</v>
      </c>
      <c r="F470" s="2" t="s">
        <v>1169</v>
      </c>
      <c r="G470" s="14">
        <v>972</v>
      </c>
      <c r="H470" s="18">
        <v>972</v>
      </c>
      <c r="I470" s="19" t="s">
        <v>1129</v>
      </c>
      <c r="J470" s="13" t="s">
        <v>1130</v>
      </c>
      <c r="K470" s="2">
        <v>0</v>
      </c>
      <c r="L470" s="2">
        <v>0</v>
      </c>
      <c r="M470" s="13">
        <v>25.58</v>
      </c>
      <c r="N470" s="2">
        <v>3.3253999999999997</v>
      </c>
      <c r="O470" s="2">
        <v>0</v>
      </c>
      <c r="P470" s="2">
        <v>0</v>
      </c>
      <c r="Q470" s="13">
        <v>28.905399999999997</v>
      </c>
      <c r="R470" s="2">
        <v>0</v>
      </c>
      <c r="S470" s="2" t="s">
        <v>1</v>
      </c>
    </row>
    <row r="471" spans="1:19" x14ac:dyDescent="0.25">
      <c r="A471" s="2" t="s">
        <v>480</v>
      </c>
      <c r="B471" s="20">
        <v>44938</v>
      </c>
      <c r="C471" s="2" t="s">
        <v>1</v>
      </c>
      <c r="D471" s="2" t="s">
        <v>0</v>
      </c>
      <c r="E471" s="2" t="s">
        <v>1168</v>
      </c>
      <c r="F471" s="2" t="s">
        <v>1169</v>
      </c>
      <c r="G471" s="14">
        <v>973</v>
      </c>
      <c r="H471" s="18">
        <v>973</v>
      </c>
      <c r="I471" s="19" t="s">
        <v>1035</v>
      </c>
      <c r="J471" s="13" t="s">
        <v>1036</v>
      </c>
      <c r="K471" s="2">
        <v>0</v>
      </c>
      <c r="L471" s="2">
        <v>0</v>
      </c>
      <c r="M471" s="13">
        <v>55.74</v>
      </c>
      <c r="N471" s="2">
        <v>7.2462000000000009</v>
      </c>
      <c r="O471" s="2">
        <v>0</v>
      </c>
      <c r="P471" s="2">
        <v>0</v>
      </c>
      <c r="Q471" s="13">
        <v>62.986200000000004</v>
      </c>
      <c r="R471" s="2">
        <v>0</v>
      </c>
      <c r="S471" s="2" t="s">
        <v>1</v>
      </c>
    </row>
    <row r="472" spans="1:19" x14ac:dyDescent="0.25">
      <c r="A472" s="2" t="s">
        <v>480</v>
      </c>
      <c r="B472" s="20">
        <v>44938</v>
      </c>
      <c r="C472" s="2" t="s">
        <v>1</v>
      </c>
      <c r="D472" s="2" t="s">
        <v>0</v>
      </c>
      <c r="E472" s="2" t="s">
        <v>1168</v>
      </c>
      <c r="F472" s="2" t="s">
        <v>1169</v>
      </c>
      <c r="G472" s="14">
        <v>974</v>
      </c>
      <c r="H472" s="18">
        <v>974</v>
      </c>
      <c r="I472" s="19" t="s">
        <v>435</v>
      </c>
      <c r="J472" s="13" t="s">
        <v>434</v>
      </c>
      <c r="K472" s="2">
        <v>0</v>
      </c>
      <c r="L472" s="2">
        <v>0</v>
      </c>
      <c r="M472" s="13">
        <v>0</v>
      </c>
      <c r="N472" s="2">
        <v>0</v>
      </c>
      <c r="O472" s="2">
        <v>0</v>
      </c>
      <c r="P472" s="2">
        <v>0</v>
      </c>
      <c r="Q472" s="13">
        <v>0</v>
      </c>
      <c r="R472" s="2">
        <v>0</v>
      </c>
      <c r="S472" s="2" t="s">
        <v>1</v>
      </c>
    </row>
    <row r="473" spans="1:19" x14ac:dyDescent="0.25">
      <c r="A473" s="2" t="s">
        <v>480</v>
      </c>
      <c r="B473" s="20">
        <v>44938</v>
      </c>
      <c r="C473" s="2" t="s">
        <v>1</v>
      </c>
      <c r="D473" s="2" t="s">
        <v>0</v>
      </c>
      <c r="E473" s="2" t="s">
        <v>1168</v>
      </c>
      <c r="F473" s="2" t="s">
        <v>1169</v>
      </c>
      <c r="G473" s="14">
        <v>975</v>
      </c>
      <c r="H473" s="18">
        <v>975</v>
      </c>
      <c r="I473" s="19" t="s">
        <v>971</v>
      </c>
      <c r="J473" s="13" t="s">
        <v>972</v>
      </c>
      <c r="K473" s="2">
        <v>0</v>
      </c>
      <c r="L473" s="2">
        <v>0</v>
      </c>
      <c r="M473" s="13">
        <v>360.62</v>
      </c>
      <c r="N473" s="2">
        <v>46.880600000000001</v>
      </c>
      <c r="O473" s="2">
        <v>0</v>
      </c>
      <c r="P473" s="2">
        <v>0</v>
      </c>
      <c r="Q473" s="13">
        <v>407.50060000000002</v>
      </c>
      <c r="R473" s="2">
        <v>0</v>
      </c>
      <c r="S473" s="2" t="s">
        <v>1</v>
      </c>
    </row>
    <row r="474" spans="1:19" x14ac:dyDescent="0.25">
      <c r="A474" s="2" t="s">
        <v>480</v>
      </c>
      <c r="B474" s="20">
        <v>44938</v>
      </c>
      <c r="C474" s="2" t="s">
        <v>1</v>
      </c>
      <c r="D474" s="2" t="s">
        <v>0</v>
      </c>
      <c r="E474" s="2" t="s">
        <v>1168</v>
      </c>
      <c r="F474" s="2" t="s">
        <v>1169</v>
      </c>
      <c r="G474" s="14">
        <v>976</v>
      </c>
      <c r="H474" s="18">
        <v>976</v>
      </c>
      <c r="I474" s="19" t="s">
        <v>971</v>
      </c>
      <c r="J474" s="13" t="s">
        <v>972</v>
      </c>
      <c r="K474" s="2">
        <v>0</v>
      </c>
      <c r="L474" s="2">
        <v>0</v>
      </c>
      <c r="M474" s="13">
        <v>231.41</v>
      </c>
      <c r="N474" s="2">
        <v>30.083300000000001</v>
      </c>
      <c r="O474" s="2">
        <v>0</v>
      </c>
      <c r="P474" s="2">
        <v>0</v>
      </c>
      <c r="Q474" s="13">
        <v>261.49329999999998</v>
      </c>
      <c r="R474" s="2">
        <v>0</v>
      </c>
      <c r="S474" s="2" t="s">
        <v>1</v>
      </c>
    </row>
    <row r="475" spans="1:19" x14ac:dyDescent="0.25">
      <c r="A475" s="2" t="s">
        <v>480</v>
      </c>
      <c r="B475" s="20">
        <v>44938</v>
      </c>
      <c r="C475" s="2" t="s">
        <v>1</v>
      </c>
      <c r="D475" s="2" t="s">
        <v>0</v>
      </c>
      <c r="E475" s="2" t="s">
        <v>1168</v>
      </c>
      <c r="F475" s="2" t="s">
        <v>1169</v>
      </c>
      <c r="G475" s="14">
        <v>978</v>
      </c>
      <c r="H475" s="18">
        <v>978</v>
      </c>
      <c r="I475" s="19" t="s">
        <v>378</v>
      </c>
      <c r="J475" s="13" t="s">
        <v>379</v>
      </c>
      <c r="K475" s="2">
        <v>0</v>
      </c>
      <c r="L475" s="2">
        <v>0</v>
      </c>
      <c r="M475" s="13">
        <v>190.08</v>
      </c>
      <c r="N475" s="2">
        <v>24.710400000000003</v>
      </c>
      <c r="O475" s="2">
        <v>0</v>
      </c>
      <c r="P475" s="2">
        <v>0</v>
      </c>
      <c r="Q475" s="13">
        <v>214.79040000000001</v>
      </c>
      <c r="R475" s="2">
        <v>0</v>
      </c>
      <c r="S475" s="2" t="s">
        <v>1</v>
      </c>
    </row>
    <row r="476" spans="1:19" x14ac:dyDescent="0.25">
      <c r="A476" s="2" t="s">
        <v>480</v>
      </c>
      <c r="B476" s="20">
        <v>44938</v>
      </c>
      <c r="C476" s="2" t="s">
        <v>1</v>
      </c>
      <c r="D476" s="2" t="s">
        <v>0</v>
      </c>
      <c r="E476" s="2" t="s">
        <v>1168</v>
      </c>
      <c r="F476" s="2" t="s">
        <v>1169</v>
      </c>
      <c r="G476" s="14">
        <v>979</v>
      </c>
      <c r="H476" s="18">
        <v>979</v>
      </c>
      <c r="I476" s="19" t="s">
        <v>1006</v>
      </c>
      <c r="J476" s="13" t="s">
        <v>1007</v>
      </c>
      <c r="K476" s="2">
        <v>0</v>
      </c>
      <c r="L476" s="2">
        <v>0</v>
      </c>
      <c r="M476" s="13">
        <v>2.4</v>
      </c>
      <c r="N476" s="2">
        <v>0.312</v>
      </c>
      <c r="O476" s="2">
        <v>0</v>
      </c>
      <c r="P476" s="2">
        <v>0</v>
      </c>
      <c r="Q476" s="13">
        <v>2.7119999999999997</v>
      </c>
      <c r="R476" s="2">
        <v>0</v>
      </c>
      <c r="S476" s="2" t="s">
        <v>1</v>
      </c>
    </row>
    <row r="477" spans="1:19" x14ac:dyDescent="0.25">
      <c r="A477" s="2" t="s">
        <v>480</v>
      </c>
      <c r="B477" s="20">
        <v>44938</v>
      </c>
      <c r="C477" s="2" t="s">
        <v>1</v>
      </c>
      <c r="D477" s="2" t="s">
        <v>0</v>
      </c>
      <c r="E477" s="2" t="s">
        <v>1168</v>
      </c>
      <c r="F477" s="2" t="s">
        <v>1169</v>
      </c>
      <c r="G477" s="14">
        <v>980</v>
      </c>
      <c r="H477" s="18">
        <v>980</v>
      </c>
      <c r="I477" s="19" t="s">
        <v>955</v>
      </c>
      <c r="J477" s="13" t="s">
        <v>956</v>
      </c>
      <c r="K477" s="2">
        <v>0</v>
      </c>
      <c r="L477" s="2">
        <v>0</v>
      </c>
      <c r="M477" s="13">
        <v>144.72999999999999</v>
      </c>
      <c r="N477" s="2">
        <v>18.814899999999998</v>
      </c>
      <c r="O477" s="2">
        <v>0</v>
      </c>
      <c r="P477" s="2">
        <v>0</v>
      </c>
      <c r="Q477" s="13">
        <v>163.54489999999998</v>
      </c>
      <c r="R477" s="2">
        <v>0</v>
      </c>
      <c r="S477" s="2" t="s">
        <v>1</v>
      </c>
    </row>
    <row r="478" spans="1:19" x14ac:dyDescent="0.25">
      <c r="A478" s="2" t="s">
        <v>480</v>
      </c>
      <c r="B478" s="20">
        <v>44938</v>
      </c>
      <c r="C478" s="2" t="s">
        <v>1</v>
      </c>
      <c r="D478" s="2" t="s">
        <v>0</v>
      </c>
      <c r="E478" s="2" t="s">
        <v>1168</v>
      </c>
      <c r="F478" s="2" t="s">
        <v>1169</v>
      </c>
      <c r="G478" s="14">
        <v>981</v>
      </c>
      <c r="H478" s="18">
        <v>981</v>
      </c>
      <c r="I478" s="19">
        <v>0</v>
      </c>
      <c r="J478" s="13" t="s">
        <v>624</v>
      </c>
      <c r="K478" s="2">
        <v>0</v>
      </c>
      <c r="L478" s="2">
        <v>0</v>
      </c>
      <c r="M478" s="13">
        <v>180</v>
      </c>
      <c r="N478" s="2">
        <v>23.400000000000002</v>
      </c>
      <c r="O478" s="2">
        <v>0</v>
      </c>
      <c r="P478" s="2">
        <v>0</v>
      </c>
      <c r="Q478" s="13">
        <v>203.4</v>
      </c>
      <c r="R478" s="2" t="s">
        <v>623</v>
      </c>
      <c r="S478" s="2" t="s">
        <v>1</v>
      </c>
    </row>
    <row r="479" spans="1:19" x14ac:dyDescent="0.25">
      <c r="A479" s="2" t="s">
        <v>480</v>
      </c>
      <c r="B479" s="20">
        <v>44938</v>
      </c>
      <c r="C479" s="2" t="s">
        <v>1</v>
      </c>
      <c r="D479" s="2" t="s">
        <v>0</v>
      </c>
      <c r="E479" s="2" t="s">
        <v>1168</v>
      </c>
      <c r="F479" s="2" t="s">
        <v>1169</v>
      </c>
      <c r="G479" s="14">
        <v>982</v>
      </c>
      <c r="H479" s="18">
        <v>982</v>
      </c>
      <c r="I479" s="19" t="s">
        <v>56</v>
      </c>
      <c r="J479" s="13" t="s">
        <v>57</v>
      </c>
      <c r="K479" s="2">
        <v>0</v>
      </c>
      <c r="L479" s="2">
        <v>0</v>
      </c>
      <c r="M479" s="13">
        <v>143.56</v>
      </c>
      <c r="N479" s="2">
        <v>18.662800000000001</v>
      </c>
      <c r="O479" s="2">
        <v>0</v>
      </c>
      <c r="P479" s="2">
        <v>0</v>
      </c>
      <c r="Q479" s="13">
        <v>162.22280000000001</v>
      </c>
      <c r="R479" s="2">
        <v>0</v>
      </c>
      <c r="S479" s="2" t="s">
        <v>1</v>
      </c>
    </row>
    <row r="480" spans="1:19" x14ac:dyDescent="0.25">
      <c r="A480" s="2" t="s">
        <v>480</v>
      </c>
      <c r="B480" s="20">
        <v>44938</v>
      </c>
      <c r="C480" s="2" t="s">
        <v>1</v>
      </c>
      <c r="D480" s="2" t="s">
        <v>0</v>
      </c>
      <c r="E480" s="2" t="s">
        <v>1168</v>
      </c>
      <c r="F480" s="2" t="s">
        <v>1169</v>
      </c>
      <c r="G480" s="14">
        <v>983</v>
      </c>
      <c r="H480" s="18">
        <v>983</v>
      </c>
      <c r="I480" s="19" t="s">
        <v>993</v>
      </c>
      <c r="J480" s="13" t="s">
        <v>994</v>
      </c>
      <c r="K480" s="2">
        <v>0</v>
      </c>
      <c r="L480" s="2">
        <v>0</v>
      </c>
      <c r="M480" s="13">
        <v>15.34</v>
      </c>
      <c r="N480" s="2">
        <v>1.9942</v>
      </c>
      <c r="O480" s="2">
        <v>0</v>
      </c>
      <c r="P480" s="2">
        <v>0</v>
      </c>
      <c r="Q480" s="13">
        <v>17.334199999999999</v>
      </c>
      <c r="R480" s="2">
        <v>0</v>
      </c>
      <c r="S480" s="2" t="s">
        <v>1</v>
      </c>
    </row>
    <row r="481" spans="1:19" x14ac:dyDescent="0.25">
      <c r="A481" s="2" t="s">
        <v>480</v>
      </c>
      <c r="B481" s="20">
        <v>44938</v>
      </c>
      <c r="C481" s="2" t="s">
        <v>1</v>
      </c>
      <c r="D481" s="2" t="s">
        <v>0</v>
      </c>
      <c r="E481" s="2" t="s">
        <v>1168</v>
      </c>
      <c r="F481" s="2" t="s">
        <v>1169</v>
      </c>
      <c r="G481" s="14">
        <v>984</v>
      </c>
      <c r="H481" s="18">
        <v>984</v>
      </c>
      <c r="I481" s="19" t="s">
        <v>1141</v>
      </c>
      <c r="J481" s="13" t="s">
        <v>997</v>
      </c>
      <c r="K481" s="2">
        <v>0</v>
      </c>
      <c r="L481" s="2">
        <v>0</v>
      </c>
      <c r="M481" s="13">
        <v>75</v>
      </c>
      <c r="N481" s="2">
        <v>9.75</v>
      </c>
      <c r="O481" s="2">
        <v>0</v>
      </c>
      <c r="P481" s="2">
        <v>0</v>
      </c>
      <c r="Q481" s="13">
        <v>84.75</v>
      </c>
      <c r="R481" s="2">
        <v>0</v>
      </c>
      <c r="S481" s="2" t="s">
        <v>1</v>
      </c>
    </row>
    <row r="482" spans="1:19" x14ac:dyDescent="0.25">
      <c r="A482" s="2" t="s">
        <v>480</v>
      </c>
      <c r="B482" s="20">
        <v>44938</v>
      </c>
      <c r="C482" s="2" t="s">
        <v>1</v>
      </c>
      <c r="D482" s="2" t="s">
        <v>0</v>
      </c>
      <c r="E482" s="2" t="s">
        <v>1168</v>
      </c>
      <c r="F482" s="2" t="s">
        <v>1169</v>
      </c>
      <c r="G482" s="14">
        <v>985</v>
      </c>
      <c r="H482" s="18">
        <v>985</v>
      </c>
      <c r="I482" s="19" t="s">
        <v>1141</v>
      </c>
      <c r="J482" s="13" t="s">
        <v>997</v>
      </c>
      <c r="K482" s="2">
        <v>0</v>
      </c>
      <c r="L482" s="2">
        <v>0</v>
      </c>
      <c r="M482" s="13">
        <v>172.92</v>
      </c>
      <c r="N482" s="2">
        <v>22.479599999999998</v>
      </c>
      <c r="O482" s="2">
        <v>0</v>
      </c>
      <c r="P482" s="2">
        <v>0</v>
      </c>
      <c r="Q482" s="13">
        <v>195.39959999999999</v>
      </c>
      <c r="R482" s="2">
        <v>0</v>
      </c>
      <c r="S482" s="2" t="s">
        <v>1</v>
      </c>
    </row>
    <row r="483" spans="1:19" x14ac:dyDescent="0.25">
      <c r="A483" s="2" t="s">
        <v>480</v>
      </c>
      <c r="B483" s="20">
        <v>44938</v>
      </c>
      <c r="C483" s="2" t="s">
        <v>1</v>
      </c>
      <c r="D483" s="2" t="s">
        <v>0</v>
      </c>
      <c r="E483" s="2" t="s">
        <v>1168</v>
      </c>
      <c r="F483" s="2" t="s">
        <v>1169</v>
      </c>
      <c r="G483" s="14">
        <v>986</v>
      </c>
      <c r="H483" s="18">
        <v>986</v>
      </c>
      <c r="I483" s="19">
        <v>0</v>
      </c>
      <c r="J483" s="13" t="s">
        <v>982</v>
      </c>
      <c r="K483" s="2">
        <v>0</v>
      </c>
      <c r="L483" s="2">
        <v>0</v>
      </c>
      <c r="M483" s="13">
        <v>29.6</v>
      </c>
      <c r="N483" s="2">
        <v>3.8480000000000003</v>
      </c>
      <c r="O483" s="2">
        <v>0</v>
      </c>
      <c r="P483" s="2">
        <v>0</v>
      </c>
      <c r="Q483" s="13">
        <v>33.448</v>
      </c>
      <c r="R483" s="2" t="s">
        <v>981</v>
      </c>
      <c r="S483" s="2" t="s">
        <v>1</v>
      </c>
    </row>
    <row r="484" spans="1:19" x14ac:dyDescent="0.25">
      <c r="A484" s="2" t="s">
        <v>480</v>
      </c>
      <c r="B484" s="20">
        <v>44938</v>
      </c>
      <c r="C484" s="2" t="s">
        <v>1</v>
      </c>
      <c r="D484" s="2" t="s">
        <v>0</v>
      </c>
      <c r="E484" s="2" t="s">
        <v>1168</v>
      </c>
      <c r="F484" s="2" t="s">
        <v>1169</v>
      </c>
      <c r="G484" s="14">
        <v>987</v>
      </c>
      <c r="H484" s="18">
        <v>987</v>
      </c>
      <c r="I484" s="19" t="s">
        <v>1129</v>
      </c>
      <c r="J484" s="13" t="s">
        <v>1130</v>
      </c>
      <c r="K484" s="2">
        <v>0</v>
      </c>
      <c r="L484" s="2">
        <v>0</v>
      </c>
      <c r="M484" s="13">
        <v>15.96</v>
      </c>
      <c r="N484" s="2">
        <v>2.0748000000000002</v>
      </c>
      <c r="O484" s="2">
        <v>0</v>
      </c>
      <c r="P484" s="2">
        <v>0</v>
      </c>
      <c r="Q484" s="13">
        <v>18.034800000000001</v>
      </c>
      <c r="R484" s="2">
        <v>0</v>
      </c>
      <c r="S484" s="2" t="s">
        <v>1</v>
      </c>
    </row>
    <row r="485" spans="1:19" x14ac:dyDescent="0.25">
      <c r="A485" s="2" t="s">
        <v>480</v>
      </c>
      <c r="B485" s="20">
        <v>44939</v>
      </c>
      <c r="C485" s="2" t="s">
        <v>1</v>
      </c>
      <c r="D485" s="2" t="s">
        <v>0</v>
      </c>
      <c r="E485" s="2" t="s">
        <v>1168</v>
      </c>
      <c r="F485" s="2" t="s">
        <v>1169</v>
      </c>
      <c r="G485" s="14">
        <v>988</v>
      </c>
      <c r="H485" s="18">
        <v>988</v>
      </c>
      <c r="I485" s="19">
        <v>0</v>
      </c>
      <c r="J485" s="13" t="s">
        <v>982</v>
      </c>
      <c r="K485" s="2">
        <v>0</v>
      </c>
      <c r="L485" s="2">
        <v>0</v>
      </c>
      <c r="M485" s="13">
        <v>11.6</v>
      </c>
      <c r="N485" s="2">
        <v>1.508</v>
      </c>
      <c r="O485" s="2">
        <v>0</v>
      </c>
      <c r="P485" s="2">
        <v>0</v>
      </c>
      <c r="Q485" s="13">
        <v>13.108000000000001</v>
      </c>
      <c r="R485" s="2" t="s">
        <v>981</v>
      </c>
      <c r="S485" s="2" t="s">
        <v>1</v>
      </c>
    </row>
    <row r="486" spans="1:19" x14ac:dyDescent="0.25">
      <c r="A486" s="2" t="s">
        <v>480</v>
      </c>
      <c r="B486" s="20">
        <v>44939</v>
      </c>
      <c r="C486" s="2" t="s">
        <v>1</v>
      </c>
      <c r="D486" s="2" t="s">
        <v>0</v>
      </c>
      <c r="E486" s="2" t="s">
        <v>1168</v>
      </c>
      <c r="F486" s="2" t="s">
        <v>1169</v>
      </c>
      <c r="G486" s="14">
        <v>989</v>
      </c>
      <c r="H486" s="18">
        <v>989</v>
      </c>
      <c r="I486" s="19" t="s">
        <v>120</v>
      </c>
      <c r="J486" s="13" t="s">
        <v>121</v>
      </c>
      <c r="K486" s="2">
        <v>0</v>
      </c>
      <c r="L486" s="2">
        <v>0</v>
      </c>
      <c r="M486" s="13">
        <v>13.77</v>
      </c>
      <c r="N486" s="2">
        <v>1.7901</v>
      </c>
      <c r="O486" s="2">
        <v>0</v>
      </c>
      <c r="P486" s="2">
        <v>0</v>
      </c>
      <c r="Q486" s="13">
        <v>15.5601</v>
      </c>
      <c r="R486" s="2">
        <v>0</v>
      </c>
      <c r="S486" s="2" t="s">
        <v>1</v>
      </c>
    </row>
    <row r="487" spans="1:19" x14ac:dyDescent="0.25">
      <c r="A487" s="2" t="s">
        <v>480</v>
      </c>
      <c r="B487" s="20">
        <v>44939</v>
      </c>
      <c r="C487" s="2" t="s">
        <v>1</v>
      </c>
      <c r="D487" s="2" t="s">
        <v>0</v>
      </c>
      <c r="E487" s="2" t="s">
        <v>1168</v>
      </c>
      <c r="F487" s="2" t="s">
        <v>1169</v>
      </c>
      <c r="G487" s="14">
        <v>990</v>
      </c>
      <c r="H487" s="18">
        <v>990</v>
      </c>
      <c r="I487" s="19" t="s">
        <v>951</v>
      </c>
      <c r="J487" s="13" t="s">
        <v>952</v>
      </c>
      <c r="K487" s="2">
        <v>0</v>
      </c>
      <c r="L487" s="2">
        <v>0</v>
      </c>
      <c r="M487" s="13">
        <v>163.65</v>
      </c>
      <c r="N487" s="2">
        <v>21.2745</v>
      </c>
      <c r="O487" s="2">
        <v>0</v>
      </c>
      <c r="P487" s="2">
        <v>0</v>
      </c>
      <c r="Q487" s="13">
        <v>184.92449999999999</v>
      </c>
      <c r="R487" s="2">
        <v>0</v>
      </c>
      <c r="S487" s="2" t="s">
        <v>1</v>
      </c>
    </row>
    <row r="488" spans="1:19" x14ac:dyDescent="0.25">
      <c r="A488" s="2" t="s">
        <v>480</v>
      </c>
      <c r="B488" s="20">
        <v>44939</v>
      </c>
      <c r="C488" s="2" t="s">
        <v>1</v>
      </c>
      <c r="D488" s="2" t="s">
        <v>0</v>
      </c>
      <c r="E488" s="2" t="s">
        <v>1168</v>
      </c>
      <c r="F488" s="2" t="s">
        <v>1169</v>
      </c>
      <c r="G488" s="14">
        <v>991</v>
      </c>
      <c r="H488" s="18">
        <v>991</v>
      </c>
      <c r="I488" s="19" t="s">
        <v>993</v>
      </c>
      <c r="J488" s="13" t="s">
        <v>994</v>
      </c>
      <c r="K488" s="2">
        <v>0</v>
      </c>
      <c r="L488" s="2">
        <v>0</v>
      </c>
      <c r="M488" s="13">
        <v>39.4</v>
      </c>
      <c r="N488" s="2">
        <v>5.1219999999999999</v>
      </c>
      <c r="O488" s="2">
        <v>0</v>
      </c>
      <c r="P488" s="2">
        <v>0</v>
      </c>
      <c r="Q488" s="13">
        <v>44.521999999999998</v>
      </c>
      <c r="R488" s="2">
        <v>0</v>
      </c>
      <c r="S488" s="2" t="s">
        <v>1</v>
      </c>
    </row>
    <row r="489" spans="1:19" x14ac:dyDescent="0.25">
      <c r="A489" s="2" t="s">
        <v>480</v>
      </c>
      <c r="B489" s="20">
        <v>44939</v>
      </c>
      <c r="C489" s="2" t="s">
        <v>1</v>
      </c>
      <c r="D489" s="2" t="s">
        <v>0</v>
      </c>
      <c r="E489" s="2" t="s">
        <v>1168</v>
      </c>
      <c r="F489" s="2" t="s">
        <v>1169</v>
      </c>
      <c r="G489" s="14">
        <v>992</v>
      </c>
      <c r="H489" s="18">
        <v>992</v>
      </c>
      <c r="I489" s="19" t="s">
        <v>134</v>
      </c>
      <c r="J489" s="13" t="s">
        <v>135</v>
      </c>
      <c r="K489" s="2">
        <v>0</v>
      </c>
      <c r="L489" s="2">
        <v>0</v>
      </c>
      <c r="M489" s="13">
        <v>238.32</v>
      </c>
      <c r="N489" s="2">
        <v>30.9816</v>
      </c>
      <c r="O489" s="2">
        <v>0</v>
      </c>
      <c r="P489" s="2">
        <v>0</v>
      </c>
      <c r="Q489" s="13">
        <v>269.30160000000001</v>
      </c>
      <c r="R489" s="2">
        <v>0</v>
      </c>
      <c r="S489" s="2" t="s">
        <v>1</v>
      </c>
    </row>
    <row r="490" spans="1:19" x14ac:dyDescent="0.25">
      <c r="A490" s="2" t="s">
        <v>480</v>
      </c>
      <c r="B490" s="20">
        <v>44939</v>
      </c>
      <c r="C490" s="2" t="s">
        <v>1</v>
      </c>
      <c r="D490" s="2" t="s">
        <v>0</v>
      </c>
      <c r="E490" s="2" t="s">
        <v>1168</v>
      </c>
      <c r="F490" s="2" t="s">
        <v>1169</v>
      </c>
      <c r="G490" s="14">
        <v>993</v>
      </c>
      <c r="H490" s="18">
        <v>993</v>
      </c>
      <c r="I490" s="19" t="s">
        <v>141</v>
      </c>
      <c r="J490" s="13" t="s">
        <v>142</v>
      </c>
      <c r="K490" s="2">
        <v>0</v>
      </c>
      <c r="L490" s="2">
        <v>0</v>
      </c>
      <c r="M490" s="13">
        <v>46</v>
      </c>
      <c r="N490" s="2">
        <v>5.98</v>
      </c>
      <c r="O490" s="2">
        <v>0</v>
      </c>
      <c r="P490" s="2">
        <v>0</v>
      </c>
      <c r="Q490" s="13">
        <v>51.980000000000004</v>
      </c>
      <c r="R490" s="2">
        <v>0</v>
      </c>
      <c r="S490" s="2" t="s">
        <v>1</v>
      </c>
    </row>
    <row r="491" spans="1:19" x14ac:dyDescent="0.25">
      <c r="A491" s="2" t="s">
        <v>480</v>
      </c>
      <c r="B491" s="20">
        <v>44939</v>
      </c>
      <c r="C491" s="2" t="s">
        <v>1</v>
      </c>
      <c r="D491" s="2" t="s">
        <v>0</v>
      </c>
      <c r="E491" s="2" t="s">
        <v>1168</v>
      </c>
      <c r="F491" s="2" t="s">
        <v>1169</v>
      </c>
      <c r="G491" s="14">
        <v>994</v>
      </c>
      <c r="H491" s="18">
        <v>994</v>
      </c>
      <c r="I491" s="19" t="s">
        <v>141</v>
      </c>
      <c r="J491" s="13" t="s">
        <v>142</v>
      </c>
      <c r="K491" s="2">
        <v>0</v>
      </c>
      <c r="L491" s="2">
        <v>0</v>
      </c>
      <c r="M491" s="13">
        <v>319.5</v>
      </c>
      <c r="N491" s="2">
        <v>41.535000000000004</v>
      </c>
      <c r="O491" s="2">
        <v>0</v>
      </c>
      <c r="P491" s="2">
        <v>0</v>
      </c>
      <c r="Q491" s="13">
        <v>361.03500000000003</v>
      </c>
      <c r="R491" s="2">
        <v>0</v>
      </c>
      <c r="S491" s="2" t="s">
        <v>1</v>
      </c>
    </row>
    <row r="492" spans="1:19" x14ac:dyDescent="0.25">
      <c r="A492" s="2" t="s">
        <v>480</v>
      </c>
      <c r="B492" s="20">
        <v>44942</v>
      </c>
      <c r="C492" s="2" t="s">
        <v>1</v>
      </c>
      <c r="D492" s="2" t="s">
        <v>0</v>
      </c>
      <c r="E492" s="2" t="s">
        <v>1168</v>
      </c>
      <c r="F492" s="2" t="s">
        <v>1169</v>
      </c>
      <c r="G492" s="14">
        <v>995</v>
      </c>
      <c r="H492" s="18">
        <v>995</v>
      </c>
      <c r="I492" s="19">
        <v>0</v>
      </c>
      <c r="J492" s="13" t="s">
        <v>986</v>
      </c>
      <c r="K492" s="2">
        <v>0</v>
      </c>
      <c r="L492" s="2">
        <v>0</v>
      </c>
      <c r="M492" s="13">
        <v>245.4</v>
      </c>
      <c r="N492" s="2">
        <v>31.902000000000001</v>
      </c>
      <c r="O492" s="2">
        <v>0</v>
      </c>
      <c r="P492" s="2">
        <v>0</v>
      </c>
      <c r="Q492" s="13">
        <v>277.30200000000002</v>
      </c>
      <c r="R492" s="2" t="s">
        <v>985</v>
      </c>
      <c r="S492" s="2" t="s">
        <v>1</v>
      </c>
    </row>
    <row r="493" spans="1:19" x14ac:dyDescent="0.25">
      <c r="A493" s="2" t="s">
        <v>480</v>
      </c>
      <c r="B493" s="20">
        <v>44942</v>
      </c>
      <c r="C493" s="2" t="s">
        <v>1</v>
      </c>
      <c r="D493" s="2" t="s">
        <v>0</v>
      </c>
      <c r="E493" s="2" t="s">
        <v>1168</v>
      </c>
      <c r="F493" s="2" t="s">
        <v>1169</v>
      </c>
      <c r="G493" s="14">
        <v>996</v>
      </c>
      <c r="H493" s="18">
        <v>996</v>
      </c>
      <c r="I493" s="19" t="s">
        <v>1091</v>
      </c>
      <c r="J493" s="13" t="s">
        <v>1092</v>
      </c>
      <c r="K493" s="2">
        <v>0</v>
      </c>
      <c r="L493" s="2">
        <v>0</v>
      </c>
      <c r="M493" s="13">
        <v>36.9</v>
      </c>
      <c r="N493" s="2">
        <v>4.7969999999999997</v>
      </c>
      <c r="O493" s="2">
        <v>0</v>
      </c>
      <c r="P493" s="2">
        <v>0</v>
      </c>
      <c r="Q493" s="13">
        <v>41.696999999999996</v>
      </c>
      <c r="R493" s="2">
        <v>0</v>
      </c>
      <c r="S493" s="2" t="s">
        <v>1</v>
      </c>
    </row>
    <row r="494" spans="1:19" x14ac:dyDescent="0.25">
      <c r="A494" s="2" t="s">
        <v>480</v>
      </c>
      <c r="B494" s="20">
        <v>44942</v>
      </c>
      <c r="C494" s="2" t="s">
        <v>1</v>
      </c>
      <c r="D494" s="2" t="s">
        <v>0</v>
      </c>
      <c r="E494" s="2" t="s">
        <v>1168</v>
      </c>
      <c r="F494" s="2" t="s">
        <v>1169</v>
      </c>
      <c r="G494" s="14">
        <v>997</v>
      </c>
      <c r="H494" s="18">
        <v>997</v>
      </c>
      <c r="I494" s="19" t="s">
        <v>1024</v>
      </c>
      <c r="J494" s="13" t="s">
        <v>133</v>
      </c>
      <c r="K494" s="2">
        <v>0</v>
      </c>
      <c r="L494" s="2">
        <v>0</v>
      </c>
      <c r="M494" s="13">
        <v>275</v>
      </c>
      <c r="N494" s="2">
        <v>35.75</v>
      </c>
      <c r="O494" s="2">
        <v>0</v>
      </c>
      <c r="P494" s="2">
        <v>0</v>
      </c>
      <c r="Q494" s="13">
        <v>310.75</v>
      </c>
      <c r="R494" s="2">
        <v>0</v>
      </c>
      <c r="S494" s="2" t="s">
        <v>1</v>
      </c>
    </row>
    <row r="495" spans="1:19" x14ac:dyDescent="0.25">
      <c r="A495" s="2" t="s">
        <v>480</v>
      </c>
      <c r="B495" s="20">
        <v>44942</v>
      </c>
      <c r="C495" s="2" t="s">
        <v>1</v>
      </c>
      <c r="D495" s="2" t="s">
        <v>0</v>
      </c>
      <c r="E495" s="2" t="s">
        <v>1168</v>
      </c>
      <c r="F495" s="2" t="s">
        <v>1169</v>
      </c>
      <c r="G495" s="14">
        <v>998</v>
      </c>
      <c r="H495" s="18">
        <v>998</v>
      </c>
      <c r="I495" s="19">
        <v>0</v>
      </c>
      <c r="J495" s="13" t="s">
        <v>960</v>
      </c>
      <c r="K495" s="2">
        <v>0</v>
      </c>
      <c r="L495" s="2">
        <v>0</v>
      </c>
      <c r="M495" s="13">
        <v>367.1</v>
      </c>
      <c r="N495" s="2">
        <v>47.723000000000006</v>
      </c>
      <c r="O495" s="2">
        <v>0</v>
      </c>
      <c r="P495" s="2">
        <v>0</v>
      </c>
      <c r="Q495" s="13">
        <v>414.82300000000004</v>
      </c>
      <c r="R495" s="2" t="s">
        <v>959</v>
      </c>
      <c r="S495" s="2" t="s">
        <v>1</v>
      </c>
    </row>
    <row r="496" spans="1:19" x14ac:dyDescent="0.25">
      <c r="A496" s="2" t="s">
        <v>480</v>
      </c>
      <c r="B496" s="20">
        <v>44942</v>
      </c>
      <c r="C496" s="2" t="s">
        <v>1</v>
      </c>
      <c r="D496" s="2" t="s">
        <v>0</v>
      </c>
      <c r="E496" s="2" t="s">
        <v>1168</v>
      </c>
      <c r="F496" s="2" t="s">
        <v>1169</v>
      </c>
      <c r="G496" s="14">
        <v>999</v>
      </c>
      <c r="H496" s="18">
        <v>999</v>
      </c>
      <c r="I496" s="19">
        <v>0</v>
      </c>
      <c r="J496" s="13" t="s">
        <v>1072</v>
      </c>
      <c r="K496" s="2">
        <v>0</v>
      </c>
      <c r="L496" s="2">
        <v>0</v>
      </c>
      <c r="M496" s="13">
        <v>33.630000000000003</v>
      </c>
      <c r="N496" s="2">
        <v>4.3719000000000001</v>
      </c>
      <c r="O496" s="2">
        <v>0</v>
      </c>
      <c r="P496" s="2">
        <v>0</v>
      </c>
      <c r="Q496" s="13">
        <v>38.001900000000006</v>
      </c>
      <c r="R496" s="2" t="s">
        <v>1071</v>
      </c>
      <c r="S496" s="2" t="s">
        <v>1</v>
      </c>
    </row>
    <row r="497" spans="1:19" x14ac:dyDescent="0.25">
      <c r="A497" s="2" t="s">
        <v>480</v>
      </c>
      <c r="B497" s="20">
        <v>44942</v>
      </c>
      <c r="C497" s="2" t="s">
        <v>1</v>
      </c>
      <c r="D497" s="2" t="s">
        <v>0</v>
      </c>
      <c r="E497" s="2" t="s">
        <v>1168</v>
      </c>
      <c r="F497" s="2" t="s">
        <v>1169</v>
      </c>
      <c r="G497" s="14">
        <v>1000</v>
      </c>
      <c r="H497" s="18">
        <v>1000</v>
      </c>
      <c r="I497" s="19" t="s">
        <v>1059</v>
      </c>
      <c r="J497" s="13" t="s">
        <v>1060</v>
      </c>
      <c r="K497" s="2">
        <v>0</v>
      </c>
      <c r="L497" s="2">
        <v>0</v>
      </c>
      <c r="M497" s="13">
        <v>51.85</v>
      </c>
      <c r="N497" s="2">
        <v>6.7405000000000008</v>
      </c>
      <c r="O497" s="2">
        <v>0</v>
      </c>
      <c r="P497" s="2">
        <v>0</v>
      </c>
      <c r="Q497" s="13">
        <v>58.590500000000006</v>
      </c>
      <c r="R497" s="2">
        <v>0</v>
      </c>
      <c r="S497" s="2" t="s">
        <v>1</v>
      </c>
    </row>
    <row r="498" spans="1:19" x14ac:dyDescent="0.25">
      <c r="A498" s="2" t="s">
        <v>480</v>
      </c>
      <c r="B498" s="20">
        <v>44942</v>
      </c>
      <c r="C498" s="2" t="s">
        <v>1</v>
      </c>
      <c r="D498" s="2" t="s">
        <v>0</v>
      </c>
      <c r="E498" s="2" t="s">
        <v>1168</v>
      </c>
      <c r="F498" s="2" t="s">
        <v>1169</v>
      </c>
      <c r="G498" s="14">
        <v>1001</v>
      </c>
      <c r="H498" s="18">
        <v>1001</v>
      </c>
      <c r="I498" s="19" t="s">
        <v>1059</v>
      </c>
      <c r="J498" s="13" t="s">
        <v>1060</v>
      </c>
      <c r="K498" s="2">
        <v>0</v>
      </c>
      <c r="L498" s="2">
        <v>0</v>
      </c>
      <c r="M498" s="13">
        <v>126.21</v>
      </c>
      <c r="N498" s="2">
        <v>16.407299999999999</v>
      </c>
      <c r="O498" s="2">
        <v>0</v>
      </c>
      <c r="P498" s="2">
        <v>0</v>
      </c>
      <c r="Q498" s="13">
        <v>142.6173</v>
      </c>
      <c r="R498" s="2">
        <v>0</v>
      </c>
      <c r="S498" s="2" t="s">
        <v>1</v>
      </c>
    </row>
    <row r="499" spans="1:19" x14ac:dyDescent="0.25">
      <c r="A499" s="2" t="s">
        <v>480</v>
      </c>
      <c r="B499" s="20">
        <v>44942</v>
      </c>
      <c r="C499" s="2" t="s">
        <v>1</v>
      </c>
      <c r="D499" s="2" t="s">
        <v>0</v>
      </c>
      <c r="E499" s="2" t="s">
        <v>1168</v>
      </c>
      <c r="F499" s="2" t="s">
        <v>1169</v>
      </c>
      <c r="G499" s="14">
        <v>1002</v>
      </c>
      <c r="H499" s="18">
        <v>1002</v>
      </c>
      <c r="I499" s="19" t="s">
        <v>56</v>
      </c>
      <c r="J499" s="13" t="s">
        <v>57</v>
      </c>
      <c r="K499" s="2">
        <v>0</v>
      </c>
      <c r="L499" s="2">
        <v>0</v>
      </c>
      <c r="M499" s="13">
        <v>26.1</v>
      </c>
      <c r="N499" s="2">
        <v>3.3930000000000002</v>
      </c>
      <c r="O499" s="2">
        <v>0</v>
      </c>
      <c r="P499" s="2">
        <v>0</v>
      </c>
      <c r="Q499" s="13">
        <v>29.493000000000002</v>
      </c>
      <c r="R499" s="2">
        <v>0</v>
      </c>
      <c r="S499" s="2" t="s">
        <v>1</v>
      </c>
    </row>
    <row r="500" spans="1:19" x14ac:dyDescent="0.25">
      <c r="A500" s="2" t="s">
        <v>480</v>
      </c>
      <c r="B500" s="20">
        <v>44942</v>
      </c>
      <c r="C500" s="2" t="s">
        <v>1</v>
      </c>
      <c r="D500" s="2" t="s">
        <v>0</v>
      </c>
      <c r="E500" s="2" t="s">
        <v>1168</v>
      </c>
      <c r="F500" s="2" t="s">
        <v>1169</v>
      </c>
      <c r="G500" s="14">
        <v>1003</v>
      </c>
      <c r="H500" s="18">
        <v>1003</v>
      </c>
      <c r="I500" s="19" t="s">
        <v>421</v>
      </c>
      <c r="J500" s="13" t="s">
        <v>422</v>
      </c>
      <c r="K500" s="2">
        <v>0</v>
      </c>
      <c r="L500" s="2">
        <v>0</v>
      </c>
      <c r="M500" s="13">
        <v>317.74</v>
      </c>
      <c r="N500" s="2">
        <v>41.306200000000004</v>
      </c>
      <c r="O500" s="2">
        <v>0</v>
      </c>
      <c r="P500" s="2">
        <v>0</v>
      </c>
      <c r="Q500" s="13">
        <v>359.0462</v>
      </c>
      <c r="R500" s="2">
        <v>0</v>
      </c>
      <c r="S500" s="2" t="s">
        <v>1</v>
      </c>
    </row>
    <row r="501" spans="1:19" x14ac:dyDescent="0.25">
      <c r="A501" s="2" t="s">
        <v>480</v>
      </c>
      <c r="B501" s="20">
        <v>44943</v>
      </c>
      <c r="C501" s="2" t="s">
        <v>1</v>
      </c>
      <c r="D501" s="2" t="s">
        <v>0</v>
      </c>
      <c r="E501" s="2" t="s">
        <v>1168</v>
      </c>
      <c r="F501" s="2" t="s">
        <v>1169</v>
      </c>
      <c r="G501" s="14">
        <v>1004</v>
      </c>
      <c r="H501" s="18">
        <v>1004</v>
      </c>
      <c r="I501" s="19" t="s">
        <v>435</v>
      </c>
      <c r="J501" s="13" t="s">
        <v>434</v>
      </c>
      <c r="K501" s="2">
        <v>0</v>
      </c>
      <c r="L501" s="2">
        <v>0</v>
      </c>
      <c r="M501" s="13">
        <v>0</v>
      </c>
      <c r="N501" s="2">
        <v>0</v>
      </c>
      <c r="O501" s="2">
        <v>0</v>
      </c>
      <c r="P501" s="2">
        <v>0</v>
      </c>
      <c r="Q501" s="13">
        <v>0</v>
      </c>
      <c r="R501" s="2">
        <v>0</v>
      </c>
      <c r="S501" s="2" t="s">
        <v>1</v>
      </c>
    </row>
    <row r="502" spans="1:19" x14ac:dyDescent="0.25">
      <c r="A502" s="2" t="s">
        <v>480</v>
      </c>
      <c r="B502" s="20">
        <v>44943</v>
      </c>
      <c r="C502" s="2" t="s">
        <v>1</v>
      </c>
      <c r="D502" s="2" t="s">
        <v>0</v>
      </c>
      <c r="E502" s="2" t="s">
        <v>1168</v>
      </c>
      <c r="F502" s="2" t="s">
        <v>1169</v>
      </c>
      <c r="G502" s="14">
        <v>1005</v>
      </c>
      <c r="H502" s="18">
        <v>1005</v>
      </c>
      <c r="I502" s="19" t="s">
        <v>1000</v>
      </c>
      <c r="J502" s="13" t="s">
        <v>1001</v>
      </c>
      <c r="K502" s="2">
        <v>0</v>
      </c>
      <c r="L502" s="2">
        <v>0</v>
      </c>
      <c r="M502" s="13">
        <v>55.5</v>
      </c>
      <c r="N502" s="2">
        <v>7.2149999999999999</v>
      </c>
      <c r="O502" s="2">
        <v>0</v>
      </c>
      <c r="P502" s="2">
        <v>0</v>
      </c>
      <c r="Q502" s="13">
        <v>62.715000000000003</v>
      </c>
      <c r="R502" s="2">
        <v>0</v>
      </c>
      <c r="S502" s="2" t="s">
        <v>1</v>
      </c>
    </row>
    <row r="503" spans="1:19" x14ac:dyDescent="0.25">
      <c r="A503" s="2" t="s">
        <v>480</v>
      </c>
      <c r="B503" s="20">
        <v>44943</v>
      </c>
      <c r="C503" s="2" t="s">
        <v>1</v>
      </c>
      <c r="D503" s="2" t="s">
        <v>0</v>
      </c>
      <c r="E503" s="2" t="s">
        <v>1168</v>
      </c>
      <c r="F503" s="2" t="s">
        <v>1169</v>
      </c>
      <c r="G503" s="14">
        <v>1006</v>
      </c>
      <c r="H503" s="18">
        <v>1006</v>
      </c>
      <c r="I503" s="19">
        <v>0</v>
      </c>
      <c r="J503" s="13" t="s">
        <v>982</v>
      </c>
      <c r="K503" s="2">
        <v>0</v>
      </c>
      <c r="L503" s="2">
        <v>0</v>
      </c>
      <c r="M503" s="13">
        <v>87.43</v>
      </c>
      <c r="N503" s="2">
        <v>11.365900000000002</v>
      </c>
      <c r="O503" s="2">
        <v>0</v>
      </c>
      <c r="P503" s="2">
        <v>0</v>
      </c>
      <c r="Q503" s="13">
        <v>98.795900000000003</v>
      </c>
      <c r="R503" s="2" t="s">
        <v>981</v>
      </c>
      <c r="S503" s="2" t="s">
        <v>1</v>
      </c>
    </row>
    <row r="504" spans="1:19" x14ac:dyDescent="0.25">
      <c r="A504" s="2" t="s">
        <v>480</v>
      </c>
      <c r="B504" s="20">
        <v>44943</v>
      </c>
      <c r="C504" s="2" t="s">
        <v>1</v>
      </c>
      <c r="D504" s="2" t="s">
        <v>0</v>
      </c>
      <c r="E504" s="2" t="s">
        <v>1168</v>
      </c>
      <c r="F504" s="2" t="s">
        <v>1169</v>
      </c>
      <c r="G504" s="14">
        <v>1007</v>
      </c>
      <c r="H504" s="18">
        <v>1007</v>
      </c>
      <c r="I504" s="19">
        <v>0</v>
      </c>
      <c r="J504" s="13" t="s">
        <v>982</v>
      </c>
      <c r="K504" s="2">
        <v>0</v>
      </c>
      <c r="L504" s="2">
        <v>0</v>
      </c>
      <c r="M504" s="13">
        <v>3.29</v>
      </c>
      <c r="N504" s="2">
        <v>0.42770000000000002</v>
      </c>
      <c r="O504" s="2">
        <v>0</v>
      </c>
      <c r="P504" s="2">
        <v>0</v>
      </c>
      <c r="Q504" s="13">
        <v>3.7177000000000002</v>
      </c>
      <c r="R504" s="2" t="s">
        <v>981</v>
      </c>
      <c r="S504" s="2" t="s">
        <v>1</v>
      </c>
    </row>
    <row r="505" spans="1:19" x14ac:dyDescent="0.25">
      <c r="A505" s="2" t="s">
        <v>480</v>
      </c>
      <c r="B505" s="20">
        <v>44943</v>
      </c>
      <c r="C505" s="2" t="s">
        <v>1</v>
      </c>
      <c r="D505" s="2" t="s">
        <v>0</v>
      </c>
      <c r="E505" s="2" t="s">
        <v>1168</v>
      </c>
      <c r="F505" s="2" t="s">
        <v>1169</v>
      </c>
      <c r="G505" s="14">
        <v>1008</v>
      </c>
      <c r="H505" s="18">
        <v>1008</v>
      </c>
      <c r="I505" s="19" t="s">
        <v>989</v>
      </c>
      <c r="J505" s="13" t="s">
        <v>990</v>
      </c>
      <c r="K505" s="2">
        <v>0</v>
      </c>
      <c r="L505" s="2">
        <v>0</v>
      </c>
      <c r="M505" s="13">
        <v>321.39999999999998</v>
      </c>
      <c r="N505" s="2">
        <v>41.781999999999996</v>
      </c>
      <c r="O505" s="2">
        <v>0</v>
      </c>
      <c r="P505" s="2">
        <v>0</v>
      </c>
      <c r="Q505" s="13">
        <v>363.18199999999996</v>
      </c>
      <c r="R505" s="2">
        <v>0</v>
      </c>
      <c r="S505" s="2" t="s">
        <v>1</v>
      </c>
    </row>
    <row r="506" spans="1:19" x14ac:dyDescent="0.25">
      <c r="A506" s="2" t="s">
        <v>480</v>
      </c>
      <c r="B506" s="20">
        <v>44943</v>
      </c>
      <c r="C506" s="2" t="s">
        <v>1</v>
      </c>
      <c r="D506" s="2" t="s">
        <v>0</v>
      </c>
      <c r="E506" s="2" t="s">
        <v>1168</v>
      </c>
      <c r="F506" s="2" t="s">
        <v>1169</v>
      </c>
      <c r="G506" s="14">
        <v>1009</v>
      </c>
      <c r="H506" s="18">
        <v>1009</v>
      </c>
      <c r="I506" s="19" t="s">
        <v>983</v>
      </c>
      <c r="J506" s="13" t="s">
        <v>984</v>
      </c>
      <c r="K506" s="2">
        <v>0</v>
      </c>
      <c r="L506" s="2">
        <v>0</v>
      </c>
      <c r="M506" s="13">
        <v>19.5</v>
      </c>
      <c r="N506" s="2">
        <v>2.5350000000000001</v>
      </c>
      <c r="O506" s="2">
        <v>0</v>
      </c>
      <c r="P506" s="2">
        <v>0</v>
      </c>
      <c r="Q506" s="13">
        <v>22.035</v>
      </c>
      <c r="R506" s="2">
        <v>0</v>
      </c>
      <c r="S506" s="2" t="s">
        <v>1</v>
      </c>
    </row>
    <row r="507" spans="1:19" x14ac:dyDescent="0.25">
      <c r="A507" s="2" t="s">
        <v>480</v>
      </c>
      <c r="B507" s="20">
        <v>44943</v>
      </c>
      <c r="C507" s="2" t="s">
        <v>1</v>
      </c>
      <c r="D507" s="2" t="s">
        <v>0</v>
      </c>
      <c r="E507" s="2" t="s">
        <v>1168</v>
      </c>
      <c r="F507" s="2" t="s">
        <v>1169</v>
      </c>
      <c r="G507" s="14">
        <v>1010</v>
      </c>
      <c r="H507" s="18">
        <v>1010</v>
      </c>
      <c r="I507" s="19" t="s">
        <v>1022</v>
      </c>
      <c r="J507" s="13" t="s">
        <v>1023</v>
      </c>
      <c r="K507" s="2">
        <v>0</v>
      </c>
      <c r="L507" s="2">
        <v>0</v>
      </c>
      <c r="M507" s="13">
        <v>780.5</v>
      </c>
      <c r="N507" s="2">
        <v>101.465</v>
      </c>
      <c r="O507" s="2">
        <v>0</v>
      </c>
      <c r="P507" s="2">
        <v>0</v>
      </c>
      <c r="Q507" s="13">
        <v>881.96500000000003</v>
      </c>
      <c r="R507" s="2">
        <v>0</v>
      </c>
      <c r="S507" s="2" t="s">
        <v>1</v>
      </c>
    </row>
    <row r="508" spans="1:19" x14ac:dyDescent="0.25">
      <c r="A508" s="2" t="s">
        <v>480</v>
      </c>
      <c r="B508" s="20">
        <v>44943</v>
      </c>
      <c r="C508" s="2" t="s">
        <v>1</v>
      </c>
      <c r="D508" s="2" t="s">
        <v>0</v>
      </c>
      <c r="E508" s="2" t="s">
        <v>1168</v>
      </c>
      <c r="F508" s="2" t="s">
        <v>1169</v>
      </c>
      <c r="G508" s="14">
        <v>1011</v>
      </c>
      <c r="H508" s="18">
        <v>1011</v>
      </c>
      <c r="I508" s="19">
        <v>0</v>
      </c>
      <c r="J508" s="13" t="s">
        <v>960</v>
      </c>
      <c r="K508" s="2">
        <v>0</v>
      </c>
      <c r="L508" s="2">
        <v>0</v>
      </c>
      <c r="M508" s="13">
        <v>14</v>
      </c>
      <c r="N508" s="2">
        <v>1.82</v>
      </c>
      <c r="O508" s="2">
        <v>0</v>
      </c>
      <c r="P508" s="2">
        <v>0</v>
      </c>
      <c r="Q508" s="13">
        <v>15.82</v>
      </c>
      <c r="R508" s="2" t="s">
        <v>959</v>
      </c>
      <c r="S508" s="2" t="s">
        <v>1</v>
      </c>
    </row>
    <row r="509" spans="1:19" x14ac:dyDescent="0.25">
      <c r="A509" s="2" t="s">
        <v>480</v>
      </c>
      <c r="B509" s="20">
        <v>44943</v>
      </c>
      <c r="C509" s="2" t="s">
        <v>1</v>
      </c>
      <c r="D509" s="2" t="s">
        <v>0</v>
      </c>
      <c r="E509" s="2" t="s">
        <v>1168</v>
      </c>
      <c r="F509" s="2" t="s">
        <v>1169</v>
      </c>
      <c r="G509" s="14">
        <v>1012</v>
      </c>
      <c r="H509" s="18">
        <v>1012</v>
      </c>
      <c r="I509" s="19">
        <v>0</v>
      </c>
      <c r="J509" s="13" t="s">
        <v>1072</v>
      </c>
      <c r="K509" s="2">
        <v>0</v>
      </c>
      <c r="L509" s="2">
        <v>0</v>
      </c>
      <c r="M509" s="13">
        <v>20</v>
      </c>
      <c r="N509" s="2">
        <v>2.6</v>
      </c>
      <c r="O509" s="2">
        <v>0</v>
      </c>
      <c r="P509" s="2">
        <v>0</v>
      </c>
      <c r="Q509" s="13">
        <v>22.6</v>
      </c>
      <c r="R509" s="2" t="s">
        <v>1071</v>
      </c>
      <c r="S509" s="2" t="s">
        <v>1</v>
      </c>
    </row>
    <row r="510" spans="1:19" x14ac:dyDescent="0.25">
      <c r="A510" s="2" t="s">
        <v>480</v>
      </c>
      <c r="B510" s="20">
        <v>44943</v>
      </c>
      <c r="C510" s="2" t="s">
        <v>1</v>
      </c>
      <c r="D510" s="2" t="s">
        <v>0</v>
      </c>
      <c r="E510" s="2" t="s">
        <v>1168</v>
      </c>
      <c r="F510" s="2" t="s">
        <v>1169</v>
      </c>
      <c r="G510" s="14">
        <v>1013</v>
      </c>
      <c r="H510" s="18">
        <v>1013</v>
      </c>
      <c r="I510" s="19" t="s">
        <v>1123</v>
      </c>
      <c r="J510" s="13" t="s">
        <v>1124</v>
      </c>
      <c r="K510" s="2">
        <v>0</v>
      </c>
      <c r="L510" s="2">
        <v>0</v>
      </c>
      <c r="M510" s="13">
        <v>326.75</v>
      </c>
      <c r="N510" s="2">
        <v>42.477499999999999</v>
      </c>
      <c r="O510" s="2">
        <v>0</v>
      </c>
      <c r="P510" s="2">
        <v>0</v>
      </c>
      <c r="Q510" s="13">
        <v>369.22750000000002</v>
      </c>
      <c r="R510" s="2">
        <v>0</v>
      </c>
      <c r="S510" s="2" t="s">
        <v>1</v>
      </c>
    </row>
    <row r="511" spans="1:19" x14ac:dyDescent="0.25">
      <c r="A511" s="2" t="s">
        <v>480</v>
      </c>
      <c r="B511" s="20">
        <v>44943</v>
      </c>
      <c r="C511" s="2" t="s">
        <v>1</v>
      </c>
      <c r="D511" s="2" t="s">
        <v>0</v>
      </c>
      <c r="E511" s="2" t="s">
        <v>1168</v>
      </c>
      <c r="F511" s="2" t="s">
        <v>1169</v>
      </c>
      <c r="G511" s="14">
        <v>1014</v>
      </c>
      <c r="H511" s="18">
        <v>1014</v>
      </c>
      <c r="I511" s="19" t="s">
        <v>1061</v>
      </c>
      <c r="J511" s="13" t="s">
        <v>1062</v>
      </c>
      <c r="K511" s="2">
        <v>0</v>
      </c>
      <c r="L511" s="2">
        <v>0</v>
      </c>
      <c r="M511" s="13">
        <v>288.3</v>
      </c>
      <c r="N511" s="2">
        <v>37.478999999999999</v>
      </c>
      <c r="O511" s="2">
        <v>0</v>
      </c>
      <c r="P511" s="2">
        <v>0</v>
      </c>
      <c r="Q511" s="13">
        <v>325.779</v>
      </c>
      <c r="R511" s="2">
        <v>0</v>
      </c>
      <c r="S511" s="2" t="s">
        <v>1</v>
      </c>
    </row>
    <row r="512" spans="1:19" x14ac:dyDescent="0.25">
      <c r="A512" s="2" t="s">
        <v>480</v>
      </c>
      <c r="B512" s="20">
        <v>44945</v>
      </c>
      <c r="C512" s="2" t="s">
        <v>1</v>
      </c>
      <c r="D512" s="2" t="s">
        <v>0</v>
      </c>
      <c r="E512" s="2" t="s">
        <v>1168</v>
      </c>
      <c r="F512" s="2" t="s">
        <v>1169</v>
      </c>
      <c r="G512" s="14">
        <v>1015</v>
      </c>
      <c r="H512" s="18">
        <v>1015</v>
      </c>
      <c r="I512" s="19" t="s">
        <v>435</v>
      </c>
      <c r="J512" s="13" t="s">
        <v>434</v>
      </c>
      <c r="K512" s="2">
        <v>0</v>
      </c>
      <c r="L512" s="2">
        <v>0</v>
      </c>
      <c r="M512" s="13">
        <v>0</v>
      </c>
      <c r="N512" s="2">
        <v>0</v>
      </c>
      <c r="O512" s="2">
        <v>0</v>
      </c>
      <c r="P512" s="2">
        <v>0</v>
      </c>
      <c r="Q512" s="13">
        <v>0</v>
      </c>
      <c r="R512" s="2">
        <v>0</v>
      </c>
      <c r="S512" s="2" t="s">
        <v>1</v>
      </c>
    </row>
    <row r="513" spans="1:19" x14ac:dyDescent="0.25">
      <c r="A513" s="2" t="s">
        <v>480</v>
      </c>
      <c r="B513" s="20">
        <v>44945</v>
      </c>
      <c r="C513" s="2" t="s">
        <v>1</v>
      </c>
      <c r="D513" s="2" t="s">
        <v>0</v>
      </c>
      <c r="E513" s="2" t="s">
        <v>1168</v>
      </c>
      <c r="F513" s="2" t="s">
        <v>1169</v>
      </c>
      <c r="G513" s="14">
        <v>1016</v>
      </c>
      <c r="H513" s="18">
        <v>1016</v>
      </c>
      <c r="I513" s="19" t="s">
        <v>1184</v>
      </c>
      <c r="J513" s="13" t="s">
        <v>1185</v>
      </c>
      <c r="K513" s="2">
        <v>0</v>
      </c>
      <c r="L513" s="2">
        <v>0</v>
      </c>
      <c r="M513" s="13">
        <v>71.400000000000006</v>
      </c>
      <c r="N513" s="2">
        <v>9.2820000000000018</v>
      </c>
      <c r="O513" s="2">
        <v>0</v>
      </c>
      <c r="P513" s="2">
        <v>0</v>
      </c>
      <c r="Q513" s="13">
        <v>80.682000000000002</v>
      </c>
      <c r="R513" s="2">
        <v>0</v>
      </c>
      <c r="S513" s="2" t="s">
        <v>1</v>
      </c>
    </row>
    <row r="514" spans="1:19" x14ac:dyDescent="0.25">
      <c r="A514" s="2" t="s">
        <v>480</v>
      </c>
      <c r="B514" s="20">
        <v>44945</v>
      </c>
      <c r="C514" s="2" t="s">
        <v>1</v>
      </c>
      <c r="D514" s="2" t="s">
        <v>0</v>
      </c>
      <c r="E514" s="2" t="s">
        <v>1168</v>
      </c>
      <c r="F514" s="2" t="s">
        <v>1169</v>
      </c>
      <c r="G514" s="14">
        <v>1017</v>
      </c>
      <c r="H514" s="18">
        <v>1017</v>
      </c>
      <c r="I514" s="19" t="s">
        <v>72</v>
      </c>
      <c r="J514" s="13" t="s">
        <v>73</v>
      </c>
      <c r="K514" s="2">
        <v>0</v>
      </c>
      <c r="L514" s="2">
        <v>0</v>
      </c>
      <c r="M514" s="13">
        <v>124.4</v>
      </c>
      <c r="N514" s="2">
        <v>16.172000000000001</v>
      </c>
      <c r="O514" s="2">
        <v>0</v>
      </c>
      <c r="P514" s="2">
        <v>0</v>
      </c>
      <c r="Q514" s="13">
        <v>140.572</v>
      </c>
      <c r="R514" s="2">
        <v>0</v>
      </c>
      <c r="S514" s="2" t="s">
        <v>1</v>
      </c>
    </row>
    <row r="515" spans="1:19" x14ac:dyDescent="0.25">
      <c r="A515" s="2" t="s">
        <v>480</v>
      </c>
      <c r="B515" s="20">
        <v>44945</v>
      </c>
      <c r="C515" s="2" t="s">
        <v>1</v>
      </c>
      <c r="D515" s="2" t="s">
        <v>0</v>
      </c>
      <c r="E515" s="2" t="s">
        <v>1168</v>
      </c>
      <c r="F515" s="2" t="s">
        <v>1169</v>
      </c>
      <c r="G515" s="14">
        <v>1018</v>
      </c>
      <c r="H515" s="18">
        <v>1018</v>
      </c>
      <c r="I515" s="19" t="s">
        <v>81</v>
      </c>
      <c r="J515" s="13" t="s">
        <v>82</v>
      </c>
      <c r="K515" s="2">
        <v>0</v>
      </c>
      <c r="L515" s="2">
        <v>0</v>
      </c>
      <c r="M515" s="13">
        <v>173.82</v>
      </c>
      <c r="N515" s="2">
        <v>22.596599999999999</v>
      </c>
      <c r="O515" s="2">
        <v>0</v>
      </c>
      <c r="P515" s="2">
        <v>0</v>
      </c>
      <c r="Q515" s="13">
        <v>196.41659999999999</v>
      </c>
      <c r="R515" s="2">
        <v>0</v>
      </c>
      <c r="S515" s="2" t="s">
        <v>1</v>
      </c>
    </row>
    <row r="516" spans="1:19" x14ac:dyDescent="0.25">
      <c r="A516" s="2" t="s">
        <v>480</v>
      </c>
      <c r="B516" s="20">
        <v>44945</v>
      </c>
      <c r="C516" s="2" t="s">
        <v>1</v>
      </c>
      <c r="D516" s="2" t="s">
        <v>0</v>
      </c>
      <c r="E516" s="2" t="s">
        <v>1168</v>
      </c>
      <c r="F516" s="2" t="s">
        <v>1169</v>
      </c>
      <c r="G516" s="14">
        <v>1019</v>
      </c>
      <c r="H516" s="18">
        <v>1019</v>
      </c>
      <c r="I516" s="19" t="s">
        <v>77</v>
      </c>
      <c r="J516" s="13" t="s">
        <v>78</v>
      </c>
      <c r="K516" s="2">
        <v>0</v>
      </c>
      <c r="L516" s="2">
        <v>0</v>
      </c>
      <c r="M516" s="13">
        <v>139.02000000000001</v>
      </c>
      <c r="N516" s="2">
        <v>18.072600000000001</v>
      </c>
      <c r="O516" s="2">
        <v>0</v>
      </c>
      <c r="P516" s="2">
        <v>0</v>
      </c>
      <c r="Q516" s="13">
        <v>157.0926</v>
      </c>
      <c r="R516" s="2">
        <v>0</v>
      </c>
      <c r="S516" s="2" t="s">
        <v>1</v>
      </c>
    </row>
    <row r="517" spans="1:19" x14ac:dyDescent="0.25">
      <c r="A517" s="2" t="s">
        <v>480</v>
      </c>
      <c r="B517" s="20">
        <v>44945</v>
      </c>
      <c r="C517" s="2" t="s">
        <v>1</v>
      </c>
      <c r="D517" s="2" t="s">
        <v>0</v>
      </c>
      <c r="E517" s="2" t="s">
        <v>1168</v>
      </c>
      <c r="F517" s="2" t="s">
        <v>1169</v>
      </c>
      <c r="G517" s="14">
        <v>1020</v>
      </c>
      <c r="H517" s="18">
        <v>1020</v>
      </c>
      <c r="I517" s="19" t="s">
        <v>979</v>
      </c>
      <c r="J517" s="13" t="s">
        <v>980</v>
      </c>
      <c r="K517" s="2">
        <v>0</v>
      </c>
      <c r="L517" s="2">
        <v>0</v>
      </c>
      <c r="M517" s="13">
        <v>97.27</v>
      </c>
      <c r="N517" s="2">
        <v>12.645099999999999</v>
      </c>
      <c r="O517" s="2">
        <v>0</v>
      </c>
      <c r="P517" s="2">
        <v>0</v>
      </c>
      <c r="Q517" s="13">
        <v>109.9151</v>
      </c>
      <c r="R517" s="2">
        <v>0</v>
      </c>
      <c r="S517" s="2" t="s">
        <v>1</v>
      </c>
    </row>
    <row r="518" spans="1:19" x14ac:dyDescent="0.25">
      <c r="A518" s="2" t="s">
        <v>480</v>
      </c>
      <c r="B518" s="20">
        <v>44945</v>
      </c>
      <c r="C518" s="2" t="s">
        <v>1</v>
      </c>
      <c r="D518" s="2" t="s">
        <v>0</v>
      </c>
      <c r="E518" s="2" t="s">
        <v>1168</v>
      </c>
      <c r="F518" s="2" t="s">
        <v>1169</v>
      </c>
      <c r="G518" s="14">
        <v>1021</v>
      </c>
      <c r="H518" s="18">
        <v>1021</v>
      </c>
      <c r="I518" s="19" t="s">
        <v>1047</v>
      </c>
      <c r="J518" s="13" t="s">
        <v>1048</v>
      </c>
      <c r="K518" s="2">
        <v>0</v>
      </c>
      <c r="L518" s="2">
        <v>0</v>
      </c>
      <c r="M518" s="13">
        <v>123.01</v>
      </c>
      <c r="N518" s="2">
        <v>15.991300000000001</v>
      </c>
      <c r="O518" s="2">
        <v>0</v>
      </c>
      <c r="P518" s="2">
        <v>0</v>
      </c>
      <c r="Q518" s="13">
        <v>139.00130000000001</v>
      </c>
      <c r="R518" s="2">
        <v>0</v>
      </c>
      <c r="S518" s="2" t="s">
        <v>1</v>
      </c>
    </row>
    <row r="519" spans="1:19" x14ac:dyDescent="0.25">
      <c r="A519" s="2" t="s">
        <v>480</v>
      </c>
      <c r="B519" s="20">
        <v>44945</v>
      </c>
      <c r="C519" s="2" t="s">
        <v>1</v>
      </c>
      <c r="D519" s="2" t="s">
        <v>0</v>
      </c>
      <c r="E519" s="2" t="s">
        <v>1168</v>
      </c>
      <c r="F519" s="2" t="s">
        <v>1169</v>
      </c>
      <c r="G519" s="14">
        <v>1022</v>
      </c>
      <c r="H519" s="18">
        <v>1022</v>
      </c>
      <c r="I519" s="19" t="s">
        <v>1141</v>
      </c>
      <c r="J519" s="13" t="s">
        <v>997</v>
      </c>
      <c r="K519" s="2">
        <v>0</v>
      </c>
      <c r="L519" s="2">
        <v>0</v>
      </c>
      <c r="M519" s="13">
        <v>12.3</v>
      </c>
      <c r="N519" s="2">
        <v>1.5990000000000002</v>
      </c>
      <c r="O519" s="2">
        <v>0</v>
      </c>
      <c r="P519" s="2">
        <v>0</v>
      </c>
      <c r="Q519" s="13">
        <v>13.899000000000001</v>
      </c>
      <c r="R519" s="2">
        <v>0</v>
      </c>
      <c r="S519" s="2" t="s">
        <v>1</v>
      </c>
    </row>
    <row r="520" spans="1:19" x14ac:dyDescent="0.25">
      <c r="A520" s="2" t="s">
        <v>480</v>
      </c>
      <c r="B520" s="20">
        <v>44945</v>
      </c>
      <c r="C520" s="2" t="s">
        <v>1</v>
      </c>
      <c r="D520" s="2" t="s">
        <v>0</v>
      </c>
      <c r="E520" s="2" t="s">
        <v>1168</v>
      </c>
      <c r="F520" s="2" t="s">
        <v>1169</v>
      </c>
      <c r="G520" s="14">
        <v>1023</v>
      </c>
      <c r="H520" s="18">
        <v>1023</v>
      </c>
      <c r="I520" s="19">
        <v>0</v>
      </c>
      <c r="J520" s="13" t="s">
        <v>982</v>
      </c>
      <c r="K520" s="2">
        <v>0</v>
      </c>
      <c r="L520" s="2">
        <v>0</v>
      </c>
      <c r="M520" s="13">
        <v>119.65</v>
      </c>
      <c r="N520" s="2">
        <v>15.554500000000001</v>
      </c>
      <c r="O520" s="2">
        <v>0</v>
      </c>
      <c r="P520" s="2">
        <v>0</v>
      </c>
      <c r="Q520" s="13">
        <v>135.2045</v>
      </c>
      <c r="R520" s="2" t="s">
        <v>981</v>
      </c>
      <c r="S520" s="2" t="s">
        <v>1</v>
      </c>
    </row>
    <row r="521" spans="1:19" x14ac:dyDescent="0.25">
      <c r="A521" s="2" t="s">
        <v>480</v>
      </c>
      <c r="B521" s="20">
        <v>44945</v>
      </c>
      <c r="C521" s="2" t="s">
        <v>1</v>
      </c>
      <c r="D521" s="2" t="s">
        <v>0</v>
      </c>
      <c r="E521" s="2" t="s">
        <v>1168</v>
      </c>
      <c r="F521" s="2" t="s">
        <v>1169</v>
      </c>
      <c r="G521" s="14">
        <v>1024</v>
      </c>
      <c r="H521" s="18">
        <v>1024</v>
      </c>
      <c r="I521" s="19" t="s">
        <v>136</v>
      </c>
      <c r="J521" s="13" t="s">
        <v>137</v>
      </c>
      <c r="K521" s="2">
        <v>0</v>
      </c>
      <c r="L521" s="2">
        <v>0</v>
      </c>
      <c r="M521" s="13">
        <v>152.21</v>
      </c>
      <c r="N521" s="2">
        <v>19.787300000000002</v>
      </c>
      <c r="O521" s="2">
        <v>0</v>
      </c>
      <c r="P521" s="2">
        <v>0</v>
      </c>
      <c r="Q521" s="13">
        <v>171.9973</v>
      </c>
      <c r="R521" s="2">
        <v>0</v>
      </c>
      <c r="S521" s="2" t="s">
        <v>1</v>
      </c>
    </row>
    <row r="522" spans="1:19" x14ac:dyDescent="0.25">
      <c r="A522" s="2" t="s">
        <v>480</v>
      </c>
      <c r="B522" s="20">
        <v>44945</v>
      </c>
      <c r="C522" s="2" t="s">
        <v>1</v>
      </c>
      <c r="D522" s="2" t="s">
        <v>0</v>
      </c>
      <c r="E522" s="2" t="s">
        <v>1168</v>
      </c>
      <c r="F522" s="2" t="s">
        <v>1169</v>
      </c>
      <c r="G522" s="14">
        <v>1025</v>
      </c>
      <c r="H522" s="18">
        <v>1025</v>
      </c>
      <c r="I522" s="19" t="s">
        <v>969</v>
      </c>
      <c r="J522" s="13" t="s">
        <v>970</v>
      </c>
      <c r="K522" s="2">
        <v>0</v>
      </c>
      <c r="L522" s="2">
        <v>0</v>
      </c>
      <c r="M522" s="13">
        <v>637.20000000000005</v>
      </c>
      <c r="N522" s="2">
        <v>82.836000000000013</v>
      </c>
      <c r="O522" s="2">
        <v>0</v>
      </c>
      <c r="P522" s="2">
        <v>0</v>
      </c>
      <c r="Q522" s="13">
        <v>720.03600000000006</v>
      </c>
      <c r="R522" s="2">
        <v>0</v>
      </c>
      <c r="S522" s="2" t="s">
        <v>1</v>
      </c>
    </row>
    <row r="523" spans="1:19" x14ac:dyDescent="0.25">
      <c r="A523" s="2" t="s">
        <v>480</v>
      </c>
      <c r="B523" s="20">
        <v>44945</v>
      </c>
      <c r="C523" s="2" t="s">
        <v>1</v>
      </c>
      <c r="D523" s="2" t="s">
        <v>0</v>
      </c>
      <c r="E523" s="2" t="s">
        <v>1168</v>
      </c>
      <c r="F523" s="2" t="s">
        <v>1169</v>
      </c>
      <c r="G523" s="14">
        <v>1027</v>
      </c>
      <c r="H523" s="18">
        <v>1027</v>
      </c>
      <c r="I523" s="19" t="s">
        <v>154</v>
      </c>
      <c r="J523" s="13" t="s">
        <v>155</v>
      </c>
      <c r="K523" s="2">
        <v>0</v>
      </c>
      <c r="L523" s="2">
        <v>0</v>
      </c>
      <c r="M523" s="13">
        <v>263.41000000000003</v>
      </c>
      <c r="N523" s="2">
        <v>34.243300000000005</v>
      </c>
      <c r="O523" s="2">
        <v>0</v>
      </c>
      <c r="P523" s="2">
        <v>0</v>
      </c>
      <c r="Q523" s="13">
        <v>297.65330000000006</v>
      </c>
      <c r="R523" s="2">
        <v>0</v>
      </c>
      <c r="S523" s="2" t="s">
        <v>1</v>
      </c>
    </row>
    <row r="524" spans="1:19" x14ac:dyDescent="0.25">
      <c r="A524" s="2" t="s">
        <v>480</v>
      </c>
      <c r="B524" s="20">
        <v>44945</v>
      </c>
      <c r="C524" s="2" t="s">
        <v>1</v>
      </c>
      <c r="D524" s="2" t="s">
        <v>0</v>
      </c>
      <c r="E524" s="2" t="s">
        <v>1168</v>
      </c>
      <c r="F524" s="2" t="s">
        <v>1169</v>
      </c>
      <c r="G524" s="14">
        <v>1028</v>
      </c>
      <c r="H524" s="18">
        <v>1028</v>
      </c>
      <c r="I524" s="19" t="s">
        <v>463</v>
      </c>
      <c r="J524" s="13" t="s">
        <v>464</v>
      </c>
      <c r="K524" s="2">
        <v>0</v>
      </c>
      <c r="L524" s="2">
        <v>0</v>
      </c>
      <c r="M524" s="13">
        <v>19.14</v>
      </c>
      <c r="N524" s="2">
        <v>2.4882</v>
      </c>
      <c r="O524" s="2">
        <v>0</v>
      </c>
      <c r="P524" s="2">
        <v>0</v>
      </c>
      <c r="Q524" s="13">
        <v>21.6282</v>
      </c>
      <c r="R524" s="2">
        <v>0</v>
      </c>
      <c r="S524" s="2" t="s">
        <v>1</v>
      </c>
    </row>
    <row r="525" spans="1:19" x14ac:dyDescent="0.25">
      <c r="A525" s="2" t="s">
        <v>480</v>
      </c>
      <c r="B525" s="20">
        <v>44945</v>
      </c>
      <c r="C525" s="2" t="s">
        <v>1</v>
      </c>
      <c r="D525" s="2" t="s">
        <v>0</v>
      </c>
      <c r="E525" s="2" t="s">
        <v>1168</v>
      </c>
      <c r="F525" s="2" t="s">
        <v>1169</v>
      </c>
      <c r="G525" s="14">
        <v>1029</v>
      </c>
      <c r="H525" s="18">
        <v>1029</v>
      </c>
      <c r="I525" s="19" t="s">
        <v>435</v>
      </c>
      <c r="J525" s="13" t="s">
        <v>434</v>
      </c>
      <c r="K525" s="2">
        <v>0</v>
      </c>
      <c r="L525" s="2">
        <v>0</v>
      </c>
      <c r="M525" s="13">
        <v>0</v>
      </c>
      <c r="N525" s="2">
        <v>0</v>
      </c>
      <c r="O525" s="2">
        <v>0</v>
      </c>
      <c r="P525" s="2">
        <v>0</v>
      </c>
      <c r="Q525" s="13">
        <v>0</v>
      </c>
      <c r="R525" s="2">
        <v>0</v>
      </c>
      <c r="S525" s="2" t="s">
        <v>1</v>
      </c>
    </row>
    <row r="526" spans="1:19" x14ac:dyDescent="0.25">
      <c r="A526" s="2" t="s">
        <v>480</v>
      </c>
      <c r="B526" s="20">
        <v>44945</v>
      </c>
      <c r="C526" s="2" t="s">
        <v>1</v>
      </c>
      <c r="D526" s="2" t="s">
        <v>0</v>
      </c>
      <c r="E526" s="2" t="s">
        <v>1168</v>
      </c>
      <c r="F526" s="2" t="s">
        <v>1169</v>
      </c>
      <c r="G526" s="14">
        <v>1030</v>
      </c>
      <c r="H526" s="18">
        <v>1030</v>
      </c>
      <c r="I526" s="19" t="s">
        <v>305</v>
      </c>
      <c r="J526" s="13" t="s">
        <v>306</v>
      </c>
      <c r="K526" s="2">
        <v>0</v>
      </c>
      <c r="L526" s="2">
        <v>0</v>
      </c>
      <c r="M526" s="13">
        <v>616</v>
      </c>
      <c r="N526" s="2">
        <v>80.08</v>
      </c>
      <c r="O526" s="2">
        <v>0</v>
      </c>
      <c r="P526" s="2">
        <v>0</v>
      </c>
      <c r="Q526" s="13">
        <v>696.08</v>
      </c>
      <c r="R526" s="2">
        <v>0</v>
      </c>
      <c r="S526" s="2" t="s">
        <v>1</v>
      </c>
    </row>
    <row r="527" spans="1:19" x14ac:dyDescent="0.25">
      <c r="A527" s="2" t="s">
        <v>480</v>
      </c>
      <c r="B527" s="20">
        <v>44945</v>
      </c>
      <c r="C527" s="2" t="s">
        <v>1</v>
      </c>
      <c r="D527" s="2" t="s">
        <v>0</v>
      </c>
      <c r="E527" s="2" t="s">
        <v>1168</v>
      </c>
      <c r="F527" s="2" t="s">
        <v>1169</v>
      </c>
      <c r="G527" s="14">
        <v>1031</v>
      </c>
      <c r="H527" s="18">
        <v>1031</v>
      </c>
      <c r="I527" s="19" t="s">
        <v>421</v>
      </c>
      <c r="J527" s="13" t="s">
        <v>422</v>
      </c>
      <c r="K527" s="2">
        <v>0</v>
      </c>
      <c r="L527" s="2">
        <v>0</v>
      </c>
      <c r="M527" s="13">
        <v>10.17</v>
      </c>
      <c r="N527" s="2">
        <v>1.3221000000000001</v>
      </c>
      <c r="O527" s="2">
        <v>0</v>
      </c>
      <c r="P527" s="2">
        <v>0</v>
      </c>
      <c r="Q527" s="13">
        <v>11.492100000000001</v>
      </c>
      <c r="R527" s="2">
        <v>0</v>
      </c>
      <c r="S527" s="2" t="s">
        <v>1</v>
      </c>
    </row>
    <row r="528" spans="1:19" x14ac:dyDescent="0.25">
      <c r="A528" s="2" t="s">
        <v>480</v>
      </c>
      <c r="B528" s="20">
        <v>44945</v>
      </c>
      <c r="C528" s="2" t="s">
        <v>1</v>
      </c>
      <c r="D528" s="2" t="s">
        <v>0</v>
      </c>
      <c r="E528" s="2" t="s">
        <v>1168</v>
      </c>
      <c r="F528" s="2" t="s">
        <v>1169</v>
      </c>
      <c r="G528" s="14">
        <v>1032</v>
      </c>
      <c r="H528" s="18">
        <v>1032</v>
      </c>
      <c r="I528" s="19" t="s">
        <v>435</v>
      </c>
      <c r="J528" s="13" t="s">
        <v>434</v>
      </c>
      <c r="K528" s="2">
        <v>0</v>
      </c>
      <c r="L528" s="2">
        <v>0</v>
      </c>
      <c r="M528" s="13">
        <v>0</v>
      </c>
      <c r="N528" s="2">
        <v>0</v>
      </c>
      <c r="O528" s="2">
        <v>0</v>
      </c>
      <c r="P528" s="2">
        <v>0</v>
      </c>
      <c r="Q528" s="13">
        <v>0</v>
      </c>
      <c r="R528" s="2">
        <v>0</v>
      </c>
      <c r="S528" s="2" t="s">
        <v>1</v>
      </c>
    </row>
    <row r="529" spans="1:19" x14ac:dyDescent="0.25">
      <c r="A529" s="2" t="s">
        <v>480</v>
      </c>
      <c r="B529" s="20">
        <v>44945</v>
      </c>
      <c r="C529" s="2" t="s">
        <v>1</v>
      </c>
      <c r="D529" s="2" t="s">
        <v>0</v>
      </c>
      <c r="E529" s="2" t="s">
        <v>1168</v>
      </c>
      <c r="F529" s="2" t="s">
        <v>1169</v>
      </c>
      <c r="G529" s="14">
        <v>1033</v>
      </c>
      <c r="H529" s="18">
        <v>1033</v>
      </c>
      <c r="I529" s="19" t="s">
        <v>146</v>
      </c>
      <c r="J529" s="13" t="s">
        <v>147</v>
      </c>
      <c r="K529" s="2">
        <v>0</v>
      </c>
      <c r="L529" s="2">
        <v>0</v>
      </c>
      <c r="M529" s="13">
        <v>25.85</v>
      </c>
      <c r="N529" s="2">
        <v>3.3605000000000005</v>
      </c>
      <c r="O529" s="2">
        <v>0</v>
      </c>
      <c r="P529" s="2">
        <v>0</v>
      </c>
      <c r="Q529" s="13">
        <v>29.210500000000003</v>
      </c>
      <c r="R529" s="2">
        <v>0</v>
      </c>
      <c r="S529" s="2" t="s">
        <v>1</v>
      </c>
    </row>
    <row r="530" spans="1:19" x14ac:dyDescent="0.25">
      <c r="A530" s="2" t="s">
        <v>480</v>
      </c>
      <c r="B530" s="20">
        <v>44945</v>
      </c>
      <c r="C530" s="2" t="s">
        <v>1</v>
      </c>
      <c r="D530" s="2" t="s">
        <v>0</v>
      </c>
      <c r="E530" s="2" t="s">
        <v>1168</v>
      </c>
      <c r="F530" s="2" t="s">
        <v>1169</v>
      </c>
      <c r="G530" s="14">
        <v>1034</v>
      </c>
      <c r="H530" s="18">
        <v>1034</v>
      </c>
      <c r="I530" s="19" t="s">
        <v>1182</v>
      </c>
      <c r="J530" s="13" t="s">
        <v>1183</v>
      </c>
      <c r="K530" s="2">
        <v>0</v>
      </c>
      <c r="L530" s="2">
        <v>0</v>
      </c>
      <c r="M530" s="13">
        <v>92.92</v>
      </c>
      <c r="N530" s="2">
        <v>12.079600000000001</v>
      </c>
      <c r="O530" s="2">
        <v>0</v>
      </c>
      <c r="P530" s="2">
        <v>0</v>
      </c>
      <c r="Q530" s="13">
        <v>104.9996</v>
      </c>
      <c r="R530" s="2">
        <v>0</v>
      </c>
      <c r="S530" s="2" t="s">
        <v>1</v>
      </c>
    </row>
    <row r="531" spans="1:19" x14ac:dyDescent="0.25">
      <c r="A531" s="2" t="s">
        <v>480</v>
      </c>
      <c r="B531" s="20">
        <v>44946</v>
      </c>
      <c r="C531" s="2" t="s">
        <v>1</v>
      </c>
      <c r="D531" s="2" t="s">
        <v>0</v>
      </c>
      <c r="E531" s="2" t="s">
        <v>1168</v>
      </c>
      <c r="F531" s="2" t="s">
        <v>1169</v>
      </c>
      <c r="G531" s="14">
        <v>1035</v>
      </c>
      <c r="H531" s="18">
        <v>1035</v>
      </c>
      <c r="I531" s="19" t="s">
        <v>1176</v>
      </c>
      <c r="J531" s="13" t="s">
        <v>1177</v>
      </c>
      <c r="K531" s="2">
        <v>0</v>
      </c>
      <c r="L531" s="2">
        <v>0</v>
      </c>
      <c r="M531" s="13">
        <v>110</v>
      </c>
      <c r="N531" s="2">
        <v>14.3</v>
      </c>
      <c r="O531" s="2">
        <v>0</v>
      </c>
      <c r="P531" s="2">
        <v>0</v>
      </c>
      <c r="Q531" s="13">
        <v>124.3</v>
      </c>
      <c r="R531" s="2">
        <v>0</v>
      </c>
      <c r="S531" s="2" t="s">
        <v>1</v>
      </c>
    </row>
    <row r="532" spans="1:19" x14ac:dyDescent="0.25">
      <c r="A532" s="2" t="s">
        <v>480</v>
      </c>
      <c r="B532" s="20">
        <v>44946</v>
      </c>
      <c r="C532" s="2" t="s">
        <v>1</v>
      </c>
      <c r="D532" s="2" t="s">
        <v>0</v>
      </c>
      <c r="E532" s="2" t="s">
        <v>1168</v>
      </c>
      <c r="F532" s="2" t="s">
        <v>1169</v>
      </c>
      <c r="G532" s="14">
        <v>1036</v>
      </c>
      <c r="H532" s="18">
        <v>1036</v>
      </c>
      <c r="I532" s="19" t="s">
        <v>1146</v>
      </c>
      <c r="J532" s="13" t="s">
        <v>1147</v>
      </c>
      <c r="K532" s="2">
        <v>0</v>
      </c>
      <c r="L532" s="2">
        <v>0</v>
      </c>
      <c r="M532" s="13">
        <v>10</v>
      </c>
      <c r="N532" s="2">
        <v>1.3</v>
      </c>
      <c r="O532" s="2">
        <v>0</v>
      </c>
      <c r="P532" s="2">
        <v>0</v>
      </c>
      <c r="Q532" s="13">
        <v>11.3</v>
      </c>
      <c r="R532" s="2">
        <v>0</v>
      </c>
      <c r="S532" s="2" t="s">
        <v>1</v>
      </c>
    </row>
    <row r="533" spans="1:19" x14ac:dyDescent="0.25">
      <c r="A533" s="2" t="s">
        <v>480</v>
      </c>
      <c r="B533" s="20">
        <v>44946</v>
      </c>
      <c r="C533" s="2" t="s">
        <v>1</v>
      </c>
      <c r="D533" s="2" t="s">
        <v>0</v>
      </c>
      <c r="E533" s="2" t="s">
        <v>1168</v>
      </c>
      <c r="F533" s="2" t="s">
        <v>1169</v>
      </c>
      <c r="G533" s="14">
        <v>1037</v>
      </c>
      <c r="H533" s="18">
        <v>1037</v>
      </c>
      <c r="I533" s="19" t="s">
        <v>510</v>
      </c>
      <c r="J533" s="13" t="s">
        <v>511</v>
      </c>
      <c r="K533" s="2">
        <v>0</v>
      </c>
      <c r="L533" s="2">
        <v>0</v>
      </c>
      <c r="M533" s="13">
        <v>18.37</v>
      </c>
      <c r="N533" s="2">
        <v>2.3881000000000001</v>
      </c>
      <c r="O533" s="2">
        <v>0</v>
      </c>
      <c r="P533" s="2">
        <v>0</v>
      </c>
      <c r="Q533" s="13">
        <v>20.758100000000002</v>
      </c>
      <c r="R533" s="2">
        <v>0</v>
      </c>
      <c r="S533" s="2" t="s">
        <v>1</v>
      </c>
    </row>
    <row r="534" spans="1:19" x14ac:dyDescent="0.25">
      <c r="A534" s="2" t="s">
        <v>480</v>
      </c>
      <c r="B534" s="20">
        <v>44946</v>
      </c>
      <c r="C534" s="2" t="s">
        <v>1</v>
      </c>
      <c r="D534" s="2" t="s">
        <v>0</v>
      </c>
      <c r="E534" s="2" t="s">
        <v>1168</v>
      </c>
      <c r="F534" s="2" t="s">
        <v>1169</v>
      </c>
      <c r="G534" s="14">
        <v>1038</v>
      </c>
      <c r="H534" s="18">
        <v>1038</v>
      </c>
      <c r="I534" s="19">
        <v>0</v>
      </c>
      <c r="J534" s="13" t="s">
        <v>986</v>
      </c>
      <c r="K534" s="2">
        <v>0</v>
      </c>
      <c r="L534" s="2">
        <v>0</v>
      </c>
      <c r="M534" s="13">
        <v>258.86</v>
      </c>
      <c r="N534" s="2">
        <v>33.651800000000001</v>
      </c>
      <c r="O534" s="2">
        <v>0</v>
      </c>
      <c r="P534" s="2">
        <v>0</v>
      </c>
      <c r="Q534" s="13">
        <v>292.51179999999999</v>
      </c>
      <c r="R534" s="2" t="s">
        <v>985</v>
      </c>
      <c r="S534" s="2" t="s">
        <v>1</v>
      </c>
    </row>
    <row r="535" spans="1:19" x14ac:dyDescent="0.25">
      <c r="A535" s="2" t="s">
        <v>480</v>
      </c>
      <c r="B535" s="20">
        <v>44946</v>
      </c>
      <c r="C535" s="2" t="s">
        <v>1</v>
      </c>
      <c r="D535" s="2" t="s">
        <v>0</v>
      </c>
      <c r="E535" s="2" t="s">
        <v>1168</v>
      </c>
      <c r="F535" s="2" t="s">
        <v>1169</v>
      </c>
      <c r="G535" s="14">
        <v>1039</v>
      </c>
      <c r="H535" s="18">
        <v>1039</v>
      </c>
      <c r="I535" s="19" t="s">
        <v>991</v>
      </c>
      <c r="J535" s="13" t="s">
        <v>992</v>
      </c>
      <c r="K535" s="2">
        <v>0</v>
      </c>
      <c r="L535" s="2">
        <v>0</v>
      </c>
      <c r="M535" s="13">
        <v>77.7</v>
      </c>
      <c r="N535" s="2">
        <v>10.101000000000001</v>
      </c>
      <c r="O535" s="2">
        <v>0</v>
      </c>
      <c r="P535" s="2">
        <v>0</v>
      </c>
      <c r="Q535" s="13">
        <v>87.801000000000002</v>
      </c>
      <c r="R535" s="2">
        <v>0</v>
      </c>
      <c r="S535" s="2" t="s">
        <v>1</v>
      </c>
    </row>
    <row r="536" spans="1:19" x14ac:dyDescent="0.25">
      <c r="A536" s="2" t="s">
        <v>480</v>
      </c>
      <c r="B536" s="20">
        <v>44946</v>
      </c>
      <c r="C536" s="2" t="s">
        <v>1</v>
      </c>
      <c r="D536" s="2" t="s">
        <v>0</v>
      </c>
      <c r="E536" s="2" t="s">
        <v>1168</v>
      </c>
      <c r="F536" s="2" t="s">
        <v>1169</v>
      </c>
      <c r="G536" s="14">
        <v>1040</v>
      </c>
      <c r="H536" s="18">
        <v>1040</v>
      </c>
      <c r="I536" s="19" t="s">
        <v>1141</v>
      </c>
      <c r="J536" s="13" t="s">
        <v>997</v>
      </c>
      <c r="K536" s="2">
        <v>0</v>
      </c>
      <c r="L536" s="2">
        <v>0</v>
      </c>
      <c r="M536" s="13">
        <v>227.06</v>
      </c>
      <c r="N536" s="2">
        <v>29.517800000000001</v>
      </c>
      <c r="O536" s="2">
        <v>0</v>
      </c>
      <c r="P536" s="2">
        <v>0</v>
      </c>
      <c r="Q536" s="13">
        <v>256.57780000000002</v>
      </c>
      <c r="R536" s="2">
        <v>0</v>
      </c>
      <c r="S536" s="2" t="s">
        <v>1</v>
      </c>
    </row>
    <row r="537" spans="1:19" x14ac:dyDescent="0.25">
      <c r="A537" s="2" t="s">
        <v>480</v>
      </c>
      <c r="B537" s="20">
        <v>44946</v>
      </c>
      <c r="C537" s="2" t="s">
        <v>1</v>
      </c>
      <c r="D537" s="2" t="s">
        <v>0</v>
      </c>
      <c r="E537" s="2" t="s">
        <v>1168</v>
      </c>
      <c r="F537" s="2" t="s">
        <v>1169</v>
      </c>
      <c r="G537" s="14">
        <v>1041</v>
      </c>
      <c r="H537" s="18">
        <v>1041</v>
      </c>
      <c r="J537" s="13" t="s">
        <v>976</v>
      </c>
      <c r="K537" s="2">
        <v>0</v>
      </c>
      <c r="L537" s="2">
        <v>0</v>
      </c>
      <c r="M537" s="13">
        <v>27.84</v>
      </c>
      <c r="N537" s="2">
        <v>3.6192000000000002</v>
      </c>
      <c r="O537" s="2">
        <v>0</v>
      </c>
      <c r="P537" s="2">
        <v>0</v>
      </c>
      <c r="Q537" s="13">
        <v>31.459199999999999</v>
      </c>
      <c r="R537" s="19" t="s">
        <v>975</v>
      </c>
      <c r="S537" s="2" t="s">
        <v>1</v>
      </c>
    </row>
    <row r="538" spans="1:19" x14ac:dyDescent="0.25">
      <c r="A538" s="2" t="s">
        <v>480</v>
      </c>
      <c r="B538" s="20">
        <v>44946</v>
      </c>
      <c r="C538" s="2" t="s">
        <v>1</v>
      </c>
      <c r="D538" s="2" t="s">
        <v>0</v>
      </c>
      <c r="E538" s="2" t="s">
        <v>1168</v>
      </c>
      <c r="F538" s="2" t="s">
        <v>1169</v>
      </c>
      <c r="G538" s="14">
        <v>1042</v>
      </c>
      <c r="H538" s="18">
        <v>1042</v>
      </c>
      <c r="I538" s="19" t="s">
        <v>979</v>
      </c>
      <c r="J538" s="13" t="s">
        <v>980</v>
      </c>
      <c r="K538" s="2">
        <v>0</v>
      </c>
      <c r="L538" s="2">
        <v>0</v>
      </c>
      <c r="M538" s="13">
        <v>39.9</v>
      </c>
      <c r="N538" s="2">
        <v>5.1870000000000003</v>
      </c>
      <c r="O538" s="2">
        <v>0</v>
      </c>
      <c r="P538" s="2">
        <v>0</v>
      </c>
      <c r="Q538" s="13">
        <v>45.086999999999996</v>
      </c>
      <c r="R538" s="2">
        <v>0</v>
      </c>
      <c r="S538" s="2" t="s">
        <v>1</v>
      </c>
    </row>
    <row r="539" spans="1:19" x14ac:dyDescent="0.25">
      <c r="A539" s="2" t="s">
        <v>480</v>
      </c>
      <c r="B539" s="20">
        <v>44946</v>
      </c>
      <c r="C539" s="2" t="s">
        <v>1</v>
      </c>
      <c r="D539" s="2" t="s">
        <v>0</v>
      </c>
      <c r="E539" s="2" t="s">
        <v>1168</v>
      </c>
      <c r="F539" s="2" t="s">
        <v>1169</v>
      </c>
      <c r="G539" s="14">
        <v>1043</v>
      </c>
      <c r="H539" s="18">
        <v>1043</v>
      </c>
      <c r="I539" s="19" t="s">
        <v>463</v>
      </c>
      <c r="J539" s="13" t="s">
        <v>464</v>
      </c>
      <c r="K539" s="2">
        <v>0</v>
      </c>
      <c r="L539" s="2">
        <v>0</v>
      </c>
      <c r="M539" s="13">
        <v>19.14</v>
      </c>
      <c r="N539" s="2">
        <v>2.4882</v>
      </c>
      <c r="O539" s="2">
        <v>0</v>
      </c>
      <c r="P539" s="2">
        <v>0</v>
      </c>
      <c r="Q539" s="13">
        <v>21.6282</v>
      </c>
      <c r="R539" s="2">
        <v>0</v>
      </c>
      <c r="S539" s="2" t="s">
        <v>1</v>
      </c>
    </row>
    <row r="540" spans="1:19" x14ac:dyDescent="0.25">
      <c r="A540" s="2" t="s">
        <v>480</v>
      </c>
      <c r="B540" s="20">
        <v>44949</v>
      </c>
      <c r="C540" s="2" t="s">
        <v>1</v>
      </c>
      <c r="D540" s="2" t="s">
        <v>0</v>
      </c>
      <c r="E540" s="2" t="s">
        <v>1168</v>
      </c>
      <c r="F540" s="2" t="s">
        <v>1169</v>
      </c>
      <c r="G540" s="14">
        <v>1044</v>
      </c>
      <c r="H540" s="18">
        <v>1044</v>
      </c>
      <c r="I540" s="19" t="s">
        <v>435</v>
      </c>
      <c r="J540" s="13" t="s">
        <v>434</v>
      </c>
      <c r="K540" s="2">
        <v>0</v>
      </c>
      <c r="L540" s="2">
        <v>0</v>
      </c>
      <c r="M540" s="13">
        <v>0</v>
      </c>
      <c r="N540" s="2">
        <v>0</v>
      </c>
      <c r="O540" s="2">
        <v>0</v>
      </c>
      <c r="P540" s="2">
        <v>0</v>
      </c>
      <c r="Q540" s="13">
        <v>0</v>
      </c>
      <c r="R540" s="2">
        <v>0</v>
      </c>
      <c r="S540" s="2" t="s">
        <v>1</v>
      </c>
    </row>
    <row r="541" spans="1:19" x14ac:dyDescent="0.25">
      <c r="A541" s="2" t="s">
        <v>480</v>
      </c>
      <c r="B541" s="20">
        <v>44949</v>
      </c>
      <c r="C541" s="2" t="s">
        <v>1</v>
      </c>
      <c r="D541" s="2" t="s">
        <v>0</v>
      </c>
      <c r="E541" s="2" t="s">
        <v>1168</v>
      </c>
      <c r="F541" s="2" t="s">
        <v>1169</v>
      </c>
      <c r="G541" s="14">
        <v>1045</v>
      </c>
      <c r="H541" s="18">
        <v>1045</v>
      </c>
      <c r="I541" s="19" t="s">
        <v>81</v>
      </c>
      <c r="J541" s="13" t="s">
        <v>82</v>
      </c>
      <c r="K541" s="2">
        <v>0</v>
      </c>
      <c r="L541" s="2">
        <v>0</v>
      </c>
      <c r="M541" s="13">
        <v>42.9</v>
      </c>
      <c r="N541" s="2">
        <v>5.577</v>
      </c>
      <c r="O541" s="2">
        <v>0</v>
      </c>
      <c r="P541" s="2">
        <v>0</v>
      </c>
      <c r="Q541" s="13">
        <v>48.476999999999997</v>
      </c>
      <c r="R541" s="2">
        <v>0</v>
      </c>
      <c r="S541" s="2" t="s">
        <v>1</v>
      </c>
    </row>
    <row r="542" spans="1:19" x14ac:dyDescent="0.25">
      <c r="A542" s="2" t="s">
        <v>480</v>
      </c>
      <c r="B542" s="20">
        <v>44949</v>
      </c>
      <c r="C542" s="2" t="s">
        <v>1</v>
      </c>
      <c r="D542" s="2" t="s">
        <v>0</v>
      </c>
      <c r="E542" s="2" t="s">
        <v>1168</v>
      </c>
      <c r="F542" s="2" t="s">
        <v>1169</v>
      </c>
      <c r="G542" s="14">
        <v>1046</v>
      </c>
      <c r="H542" s="18">
        <v>1046</v>
      </c>
      <c r="I542" s="19" t="s">
        <v>1057</v>
      </c>
      <c r="J542" s="13" t="s">
        <v>1058</v>
      </c>
      <c r="K542" s="2">
        <v>0</v>
      </c>
      <c r="L542" s="2">
        <v>0</v>
      </c>
      <c r="M542" s="13">
        <v>9.4499999999999993</v>
      </c>
      <c r="N542" s="2">
        <v>1.2284999999999999</v>
      </c>
      <c r="O542" s="2">
        <v>0</v>
      </c>
      <c r="P542" s="2">
        <v>0</v>
      </c>
      <c r="Q542" s="13">
        <v>10.6785</v>
      </c>
      <c r="R542" s="2">
        <v>0</v>
      </c>
      <c r="S542" s="2" t="s">
        <v>1</v>
      </c>
    </row>
    <row r="543" spans="1:19" x14ac:dyDescent="0.25">
      <c r="A543" s="2" t="s">
        <v>480</v>
      </c>
      <c r="B543" s="20">
        <v>44949</v>
      </c>
      <c r="C543" s="2" t="s">
        <v>1</v>
      </c>
      <c r="D543" s="2" t="s">
        <v>0</v>
      </c>
      <c r="E543" s="2" t="s">
        <v>1168</v>
      </c>
      <c r="F543" s="2" t="s">
        <v>1169</v>
      </c>
      <c r="G543" s="14">
        <v>1047</v>
      </c>
      <c r="H543" s="18">
        <v>1047</v>
      </c>
      <c r="I543" s="19" t="s">
        <v>915</v>
      </c>
      <c r="J543" s="13" t="s">
        <v>916</v>
      </c>
      <c r="K543" s="2">
        <v>0</v>
      </c>
      <c r="L543" s="2">
        <v>0</v>
      </c>
      <c r="M543" s="13">
        <v>135.68</v>
      </c>
      <c r="N543" s="2">
        <v>17.638400000000001</v>
      </c>
      <c r="O543" s="2">
        <v>0</v>
      </c>
      <c r="P543" s="2">
        <v>0</v>
      </c>
      <c r="Q543" s="13">
        <v>153.3184</v>
      </c>
      <c r="R543" s="2">
        <v>0</v>
      </c>
      <c r="S543" s="2" t="s">
        <v>1</v>
      </c>
    </row>
    <row r="544" spans="1:19" x14ac:dyDescent="0.25">
      <c r="A544" s="2" t="s">
        <v>480</v>
      </c>
      <c r="B544" s="20">
        <v>44949</v>
      </c>
      <c r="C544" s="2" t="s">
        <v>1</v>
      </c>
      <c r="D544" s="2" t="s">
        <v>0</v>
      </c>
      <c r="E544" s="2" t="s">
        <v>1168</v>
      </c>
      <c r="F544" s="2" t="s">
        <v>1169</v>
      </c>
      <c r="G544" s="14">
        <v>1048</v>
      </c>
      <c r="H544" s="18">
        <v>1048</v>
      </c>
      <c r="I544" s="19">
        <v>0</v>
      </c>
      <c r="J544" s="13" t="s">
        <v>1072</v>
      </c>
      <c r="K544" s="2">
        <v>0</v>
      </c>
      <c r="L544" s="2">
        <v>0</v>
      </c>
      <c r="M544" s="13">
        <v>64.38</v>
      </c>
      <c r="N544" s="2">
        <v>8.3693999999999988</v>
      </c>
      <c r="O544" s="2">
        <v>0</v>
      </c>
      <c r="P544" s="2">
        <v>0</v>
      </c>
      <c r="Q544" s="13">
        <v>72.749399999999994</v>
      </c>
      <c r="R544" s="2" t="s">
        <v>1071</v>
      </c>
      <c r="S544" s="2" t="s">
        <v>1</v>
      </c>
    </row>
    <row r="545" spans="1:19" x14ac:dyDescent="0.25">
      <c r="A545" s="2" t="s">
        <v>480</v>
      </c>
      <c r="B545" s="20">
        <v>44949</v>
      </c>
      <c r="C545" s="2" t="s">
        <v>1</v>
      </c>
      <c r="D545" s="2" t="s">
        <v>0</v>
      </c>
      <c r="E545" s="2" t="s">
        <v>1168</v>
      </c>
      <c r="F545" s="2" t="s">
        <v>1169</v>
      </c>
      <c r="G545" s="14">
        <v>1049</v>
      </c>
      <c r="H545" s="18">
        <v>1049</v>
      </c>
      <c r="I545" s="19">
        <v>0</v>
      </c>
      <c r="J545" s="13" t="s">
        <v>793</v>
      </c>
      <c r="K545" s="2">
        <v>0</v>
      </c>
      <c r="L545" s="2">
        <v>0</v>
      </c>
      <c r="M545" s="13">
        <v>36.51</v>
      </c>
      <c r="N545" s="2">
        <v>4.7462999999999997</v>
      </c>
      <c r="O545" s="2">
        <v>0</v>
      </c>
      <c r="P545" s="2">
        <v>0</v>
      </c>
      <c r="Q545" s="13">
        <v>41.256299999999996</v>
      </c>
      <c r="R545" s="2" t="s">
        <v>792</v>
      </c>
      <c r="S545" s="2" t="s">
        <v>1</v>
      </c>
    </row>
    <row r="546" spans="1:19" x14ac:dyDescent="0.25">
      <c r="A546" s="2" t="s">
        <v>480</v>
      </c>
      <c r="B546" s="20">
        <v>44949</v>
      </c>
      <c r="C546" s="2" t="s">
        <v>1</v>
      </c>
      <c r="D546" s="2" t="s">
        <v>0</v>
      </c>
      <c r="E546" s="2" t="s">
        <v>1168</v>
      </c>
      <c r="F546" s="2" t="s">
        <v>1169</v>
      </c>
      <c r="G546" s="14">
        <v>1050</v>
      </c>
      <c r="H546" s="18">
        <v>1050</v>
      </c>
      <c r="I546" s="19" t="s">
        <v>1131</v>
      </c>
      <c r="J546" s="13" t="s">
        <v>1132</v>
      </c>
      <c r="K546" s="2">
        <v>0</v>
      </c>
      <c r="L546" s="2">
        <v>0</v>
      </c>
      <c r="M546" s="13">
        <v>57.6</v>
      </c>
      <c r="N546" s="2">
        <v>7.4880000000000004</v>
      </c>
      <c r="O546" s="2">
        <v>0</v>
      </c>
      <c r="P546" s="2">
        <v>0</v>
      </c>
      <c r="Q546" s="13">
        <v>65.088000000000008</v>
      </c>
      <c r="R546" s="2">
        <v>0</v>
      </c>
      <c r="S546" s="2" t="s">
        <v>1</v>
      </c>
    </row>
    <row r="547" spans="1:19" x14ac:dyDescent="0.25">
      <c r="A547" s="2" t="s">
        <v>480</v>
      </c>
      <c r="B547" s="20">
        <v>44949</v>
      </c>
      <c r="C547" s="2" t="s">
        <v>1</v>
      </c>
      <c r="D547" s="2" t="s">
        <v>0</v>
      </c>
      <c r="E547" s="2" t="s">
        <v>1168</v>
      </c>
      <c r="F547" s="2" t="s">
        <v>1169</v>
      </c>
      <c r="G547" s="14">
        <v>1051</v>
      </c>
      <c r="H547" s="18">
        <v>1051</v>
      </c>
      <c r="I547" s="19" t="s">
        <v>1146</v>
      </c>
      <c r="J547" s="13" t="s">
        <v>1147</v>
      </c>
      <c r="K547" s="2">
        <v>0</v>
      </c>
      <c r="L547" s="2">
        <v>0</v>
      </c>
      <c r="M547" s="13">
        <v>66</v>
      </c>
      <c r="N547" s="2">
        <v>8.58</v>
      </c>
      <c r="O547" s="2">
        <v>0</v>
      </c>
      <c r="P547" s="2">
        <v>0</v>
      </c>
      <c r="Q547" s="13">
        <v>74.58</v>
      </c>
      <c r="R547" s="2">
        <v>0</v>
      </c>
      <c r="S547" s="2" t="s">
        <v>1</v>
      </c>
    </row>
    <row r="548" spans="1:19" x14ac:dyDescent="0.25">
      <c r="A548" s="2" t="s">
        <v>480</v>
      </c>
      <c r="B548" s="20">
        <v>44949</v>
      </c>
      <c r="C548" s="2" t="s">
        <v>1</v>
      </c>
      <c r="D548" s="2" t="s">
        <v>0</v>
      </c>
      <c r="E548" s="2" t="s">
        <v>1168</v>
      </c>
      <c r="F548" s="2" t="s">
        <v>1169</v>
      </c>
      <c r="G548" s="14">
        <v>1052</v>
      </c>
      <c r="H548" s="18">
        <v>1052</v>
      </c>
      <c r="I548" s="19" t="s">
        <v>552</v>
      </c>
      <c r="J548" s="13" t="s">
        <v>553</v>
      </c>
      <c r="K548" s="2">
        <v>0</v>
      </c>
      <c r="L548" s="2">
        <v>0</v>
      </c>
      <c r="M548" s="13">
        <v>141.58000000000001</v>
      </c>
      <c r="N548" s="2">
        <v>18.405400000000004</v>
      </c>
      <c r="O548" s="2">
        <v>0</v>
      </c>
      <c r="P548" s="2">
        <v>0</v>
      </c>
      <c r="Q548" s="13">
        <v>159.98540000000003</v>
      </c>
      <c r="R548" s="2">
        <v>0</v>
      </c>
      <c r="S548" s="2" t="s">
        <v>1</v>
      </c>
    </row>
    <row r="549" spans="1:19" x14ac:dyDescent="0.25">
      <c r="A549" s="2" t="s">
        <v>480</v>
      </c>
      <c r="B549" s="20">
        <v>44949</v>
      </c>
      <c r="C549" s="2" t="s">
        <v>1</v>
      </c>
      <c r="D549" s="2" t="s">
        <v>0</v>
      </c>
      <c r="E549" s="2" t="s">
        <v>1168</v>
      </c>
      <c r="F549" s="2" t="s">
        <v>1169</v>
      </c>
      <c r="G549" s="14">
        <v>1053</v>
      </c>
      <c r="H549" s="18">
        <v>1053</v>
      </c>
      <c r="I549" s="19">
        <v>0</v>
      </c>
      <c r="J549" s="13" t="s">
        <v>982</v>
      </c>
      <c r="K549" s="2">
        <v>0</v>
      </c>
      <c r="L549" s="2">
        <v>0</v>
      </c>
      <c r="M549" s="13">
        <v>7.96</v>
      </c>
      <c r="N549" s="2">
        <v>1.0347999999999999</v>
      </c>
      <c r="O549" s="2">
        <v>0</v>
      </c>
      <c r="P549" s="2">
        <v>0</v>
      </c>
      <c r="Q549" s="13">
        <v>8.9947999999999997</v>
      </c>
      <c r="R549" s="2" t="s">
        <v>981</v>
      </c>
      <c r="S549" s="2" t="s">
        <v>1</v>
      </c>
    </row>
    <row r="550" spans="1:19" x14ac:dyDescent="0.25">
      <c r="A550" s="2" t="s">
        <v>480</v>
      </c>
      <c r="B550" s="20">
        <v>44950</v>
      </c>
      <c r="C550" s="2" t="s">
        <v>1</v>
      </c>
      <c r="D550" s="2" t="s">
        <v>0</v>
      </c>
      <c r="E550" s="2" t="s">
        <v>1168</v>
      </c>
      <c r="F550" s="2" t="s">
        <v>1169</v>
      </c>
      <c r="G550" s="14">
        <v>1054</v>
      </c>
      <c r="H550" s="18">
        <v>1054</v>
      </c>
      <c r="I550" s="19" t="s">
        <v>435</v>
      </c>
      <c r="J550" s="13" t="s">
        <v>434</v>
      </c>
      <c r="K550" s="2">
        <v>0</v>
      </c>
      <c r="L550" s="2">
        <v>0</v>
      </c>
      <c r="M550" s="13">
        <v>0</v>
      </c>
      <c r="N550" s="2">
        <v>0</v>
      </c>
      <c r="O550" s="2">
        <v>0</v>
      </c>
      <c r="P550" s="2">
        <v>0</v>
      </c>
      <c r="Q550" s="13">
        <v>0</v>
      </c>
      <c r="R550" s="2">
        <v>0</v>
      </c>
      <c r="S550" s="2" t="s">
        <v>1</v>
      </c>
    </row>
    <row r="551" spans="1:19" x14ac:dyDescent="0.25">
      <c r="A551" s="2" t="s">
        <v>480</v>
      </c>
      <c r="B551" s="20">
        <v>44950</v>
      </c>
      <c r="C551" s="2" t="s">
        <v>1</v>
      </c>
      <c r="D551" s="2" t="s">
        <v>0</v>
      </c>
      <c r="E551" s="2" t="s">
        <v>1168</v>
      </c>
      <c r="F551" s="2" t="s">
        <v>1169</v>
      </c>
      <c r="G551" s="14">
        <v>1055</v>
      </c>
      <c r="H551" s="18">
        <v>1055</v>
      </c>
      <c r="I551" s="19">
        <v>0</v>
      </c>
      <c r="J551" s="13" t="s">
        <v>1009</v>
      </c>
      <c r="K551" s="2">
        <v>0</v>
      </c>
      <c r="L551" s="2">
        <v>0</v>
      </c>
      <c r="M551" s="13">
        <v>74.22</v>
      </c>
      <c r="N551" s="2">
        <v>9.6486000000000001</v>
      </c>
      <c r="O551" s="2">
        <v>0</v>
      </c>
      <c r="P551" s="2">
        <v>0</v>
      </c>
      <c r="Q551" s="13">
        <v>83.868600000000001</v>
      </c>
      <c r="R551" s="2" t="s">
        <v>1008</v>
      </c>
      <c r="S551" s="2" t="s">
        <v>1</v>
      </c>
    </row>
    <row r="552" spans="1:19" x14ac:dyDescent="0.25">
      <c r="A552" s="2" t="s">
        <v>480</v>
      </c>
      <c r="B552" s="20">
        <v>44950</v>
      </c>
      <c r="C552" s="2" t="s">
        <v>1</v>
      </c>
      <c r="D552" s="2" t="s">
        <v>0</v>
      </c>
      <c r="E552" s="2" t="s">
        <v>1168</v>
      </c>
      <c r="F552" s="2" t="s">
        <v>1169</v>
      </c>
      <c r="G552" s="14">
        <v>1056</v>
      </c>
      <c r="H552" s="18">
        <v>1056</v>
      </c>
      <c r="I552" s="19">
        <v>0</v>
      </c>
      <c r="J552" s="13" t="s">
        <v>982</v>
      </c>
      <c r="K552" s="2">
        <v>0</v>
      </c>
      <c r="L552" s="2">
        <v>0</v>
      </c>
      <c r="M552" s="13">
        <v>5.55</v>
      </c>
      <c r="N552" s="2">
        <v>0.72150000000000003</v>
      </c>
      <c r="O552" s="2">
        <v>0</v>
      </c>
      <c r="P552" s="2">
        <v>0</v>
      </c>
      <c r="Q552" s="13">
        <v>6.2714999999999996</v>
      </c>
      <c r="R552" s="2" t="s">
        <v>981</v>
      </c>
      <c r="S552" s="2" t="s">
        <v>1</v>
      </c>
    </row>
    <row r="553" spans="1:19" x14ac:dyDescent="0.25">
      <c r="A553" s="2" t="s">
        <v>480</v>
      </c>
      <c r="B553" s="20">
        <v>44950</v>
      </c>
      <c r="C553" s="2" t="s">
        <v>1</v>
      </c>
      <c r="D553" s="2" t="s">
        <v>0</v>
      </c>
      <c r="E553" s="2" t="s">
        <v>1168</v>
      </c>
      <c r="F553" s="2" t="s">
        <v>1169</v>
      </c>
      <c r="G553" s="14">
        <v>1057</v>
      </c>
      <c r="H553" s="18">
        <v>1057</v>
      </c>
      <c r="I553" s="19" t="s">
        <v>1025</v>
      </c>
      <c r="J553" s="13" t="s">
        <v>1026</v>
      </c>
      <c r="K553" s="2">
        <v>0</v>
      </c>
      <c r="L553" s="2">
        <v>0</v>
      </c>
      <c r="M553" s="13">
        <v>132.74</v>
      </c>
      <c r="N553" s="2">
        <v>17.256200000000003</v>
      </c>
      <c r="O553" s="2">
        <v>0</v>
      </c>
      <c r="P553" s="2">
        <v>0</v>
      </c>
      <c r="Q553" s="13">
        <v>149.99620000000002</v>
      </c>
      <c r="R553" s="2">
        <v>0</v>
      </c>
      <c r="S553" s="2" t="s">
        <v>1</v>
      </c>
    </row>
    <row r="554" spans="1:19" x14ac:dyDescent="0.25">
      <c r="A554" s="2" t="s">
        <v>480</v>
      </c>
      <c r="B554" s="20">
        <v>44950</v>
      </c>
      <c r="C554" s="2" t="s">
        <v>1</v>
      </c>
      <c r="D554" s="2" t="s">
        <v>0</v>
      </c>
      <c r="E554" s="2" t="s">
        <v>1168</v>
      </c>
      <c r="F554" s="2" t="s">
        <v>1169</v>
      </c>
      <c r="G554" s="14">
        <v>1058</v>
      </c>
      <c r="H554" s="18">
        <v>1058</v>
      </c>
      <c r="I554" s="19" t="s">
        <v>1025</v>
      </c>
      <c r="J554" s="13" t="s">
        <v>1026</v>
      </c>
      <c r="K554" s="2">
        <v>0</v>
      </c>
      <c r="L554" s="2">
        <v>0</v>
      </c>
      <c r="M554" s="13">
        <v>213.31</v>
      </c>
      <c r="N554" s="2">
        <v>27.7303</v>
      </c>
      <c r="O554" s="2">
        <v>0</v>
      </c>
      <c r="P554" s="2">
        <v>0</v>
      </c>
      <c r="Q554" s="13">
        <v>241.0403</v>
      </c>
      <c r="R554" s="2">
        <v>0</v>
      </c>
      <c r="S554" s="2" t="s">
        <v>1</v>
      </c>
    </row>
    <row r="555" spans="1:19" x14ac:dyDescent="0.25">
      <c r="A555" s="2" t="s">
        <v>480</v>
      </c>
      <c r="B555" s="20">
        <v>44950</v>
      </c>
      <c r="C555" s="2" t="s">
        <v>1</v>
      </c>
      <c r="D555" s="2" t="s">
        <v>0</v>
      </c>
      <c r="E555" s="2" t="s">
        <v>1168</v>
      </c>
      <c r="F555" s="2" t="s">
        <v>1169</v>
      </c>
      <c r="G555" s="14">
        <v>1059</v>
      </c>
      <c r="H555" s="18">
        <v>1059</v>
      </c>
      <c r="I555" s="19" t="s">
        <v>435</v>
      </c>
      <c r="J555" s="13" t="s">
        <v>434</v>
      </c>
      <c r="K555" s="2">
        <v>0</v>
      </c>
      <c r="L555" s="2">
        <v>0</v>
      </c>
      <c r="M555" s="13">
        <v>0</v>
      </c>
      <c r="N555" s="2">
        <v>0</v>
      </c>
      <c r="O555" s="2">
        <v>0</v>
      </c>
      <c r="P555" s="2">
        <v>0</v>
      </c>
      <c r="Q555" s="13">
        <v>0</v>
      </c>
      <c r="R555" s="2">
        <v>0</v>
      </c>
      <c r="S555" s="2" t="s">
        <v>1</v>
      </c>
    </row>
    <row r="556" spans="1:19" x14ac:dyDescent="0.25">
      <c r="A556" s="2" t="s">
        <v>480</v>
      </c>
      <c r="B556" s="20">
        <v>44950</v>
      </c>
      <c r="C556" s="2" t="s">
        <v>1</v>
      </c>
      <c r="D556" s="2" t="s">
        <v>0</v>
      </c>
      <c r="E556" s="2" t="s">
        <v>1168</v>
      </c>
      <c r="F556" s="2" t="s">
        <v>1169</v>
      </c>
      <c r="G556" s="14">
        <v>1060</v>
      </c>
      <c r="H556" s="18">
        <v>1060</v>
      </c>
      <c r="I556" s="19" t="s">
        <v>1025</v>
      </c>
      <c r="J556" s="13" t="s">
        <v>1026</v>
      </c>
      <c r="K556" s="2">
        <v>0</v>
      </c>
      <c r="L556" s="2">
        <v>0</v>
      </c>
      <c r="M556" s="13">
        <v>13.5</v>
      </c>
      <c r="N556" s="2">
        <v>1.7550000000000001</v>
      </c>
      <c r="O556" s="2">
        <v>0</v>
      </c>
      <c r="P556" s="2">
        <v>0</v>
      </c>
      <c r="Q556" s="13">
        <v>15.255000000000001</v>
      </c>
      <c r="R556" s="2">
        <v>0</v>
      </c>
      <c r="S556" s="2" t="s">
        <v>1</v>
      </c>
    </row>
    <row r="557" spans="1:19" x14ac:dyDescent="0.25">
      <c r="A557" s="2" t="s">
        <v>480</v>
      </c>
      <c r="B557" s="20">
        <v>44950</v>
      </c>
      <c r="C557" s="2" t="s">
        <v>1</v>
      </c>
      <c r="D557" s="2" t="s">
        <v>0</v>
      </c>
      <c r="E557" s="2" t="s">
        <v>1168</v>
      </c>
      <c r="F557" s="2" t="s">
        <v>1169</v>
      </c>
      <c r="G557" s="14">
        <v>1061</v>
      </c>
      <c r="H557" s="18">
        <v>1061</v>
      </c>
      <c r="I557" s="19" t="s">
        <v>993</v>
      </c>
      <c r="J557" s="13" t="s">
        <v>994</v>
      </c>
      <c r="K557" s="2">
        <v>0</v>
      </c>
      <c r="L557" s="2">
        <v>0</v>
      </c>
      <c r="M557" s="13">
        <v>109.52</v>
      </c>
      <c r="N557" s="2">
        <v>14.2376</v>
      </c>
      <c r="O557" s="2">
        <v>0</v>
      </c>
      <c r="P557" s="2">
        <v>0</v>
      </c>
      <c r="Q557" s="13">
        <v>123.7576</v>
      </c>
      <c r="R557" s="2">
        <v>0</v>
      </c>
      <c r="S557" s="2" t="s">
        <v>1</v>
      </c>
    </row>
    <row r="558" spans="1:19" x14ac:dyDescent="0.25">
      <c r="A558" s="2" t="s">
        <v>480</v>
      </c>
      <c r="B558" s="20">
        <v>44950</v>
      </c>
      <c r="C558" s="2" t="s">
        <v>1</v>
      </c>
      <c r="D558" s="2" t="s">
        <v>0</v>
      </c>
      <c r="E558" s="2" t="s">
        <v>1168</v>
      </c>
      <c r="F558" s="2" t="s">
        <v>1169</v>
      </c>
      <c r="G558" s="14">
        <v>1062</v>
      </c>
      <c r="H558" s="18">
        <v>1062</v>
      </c>
      <c r="I558" s="19" t="s">
        <v>81</v>
      </c>
      <c r="J558" s="13" t="s">
        <v>82</v>
      </c>
      <c r="K558" s="2">
        <v>0</v>
      </c>
      <c r="L558" s="2">
        <v>0</v>
      </c>
      <c r="M558" s="13">
        <v>85.65</v>
      </c>
      <c r="N558" s="2">
        <v>11.134500000000001</v>
      </c>
      <c r="O558" s="2">
        <v>0</v>
      </c>
      <c r="P558" s="2">
        <v>0</v>
      </c>
      <c r="Q558" s="13">
        <v>96.784500000000008</v>
      </c>
      <c r="R558" s="2">
        <v>0</v>
      </c>
      <c r="S558" s="2" t="s">
        <v>1</v>
      </c>
    </row>
    <row r="559" spans="1:19" x14ac:dyDescent="0.25">
      <c r="A559" s="2" t="s">
        <v>480</v>
      </c>
      <c r="B559" s="20">
        <v>44950</v>
      </c>
      <c r="C559" s="2" t="s">
        <v>1</v>
      </c>
      <c r="D559" s="2" t="s">
        <v>0</v>
      </c>
      <c r="E559" s="2" t="s">
        <v>1168</v>
      </c>
      <c r="F559" s="2" t="s">
        <v>1169</v>
      </c>
      <c r="G559" s="14">
        <v>1063</v>
      </c>
      <c r="H559" s="18">
        <v>1063</v>
      </c>
      <c r="I559" s="19" t="s">
        <v>1165</v>
      </c>
      <c r="J559" s="13" t="s">
        <v>1166</v>
      </c>
      <c r="K559" s="2">
        <v>0</v>
      </c>
      <c r="L559" s="2">
        <v>0</v>
      </c>
      <c r="M559" s="13">
        <v>111.48</v>
      </c>
      <c r="N559" s="2">
        <v>14.492400000000002</v>
      </c>
      <c r="O559" s="2">
        <v>0</v>
      </c>
      <c r="P559" s="2">
        <v>0</v>
      </c>
      <c r="Q559" s="13">
        <v>125.97240000000001</v>
      </c>
      <c r="R559" s="2">
        <v>0</v>
      </c>
      <c r="S559" s="2" t="s">
        <v>1</v>
      </c>
    </row>
    <row r="560" spans="1:19" x14ac:dyDescent="0.25">
      <c r="A560" s="2" t="s">
        <v>480</v>
      </c>
      <c r="B560" s="20">
        <v>44950</v>
      </c>
      <c r="C560" s="2" t="s">
        <v>1</v>
      </c>
      <c r="D560" s="2" t="s">
        <v>0</v>
      </c>
      <c r="E560" s="2" t="s">
        <v>1168</v>
      </c>
      <c r="F560" s="2" t="s">
        <v>1169</v>
      </c>
      <c r="G560" s="14">
        <v>1064</v>
      </c>
      <c r="H560" s="18">
        <v>1064</v>
      </c>
      <c r="I560" s="19" t="s">
        <v>463</v>
      </c>
      <c r="J560" s="13" t="s">
        <v>464</v>
      </c>
      <c r="K560" s="2">
        <v>0</v>
      </c>
      <c r="L560" s="2">
        <v>0</v>
      </c>
      <c r="M560" s="13">
        <v>5.95</v>
      </c>
      <c r="N560" s="2">
        <v>0.77350000000000008</v>
      </c>
      <c r="O560" s="2">
        <v>0</v>
      </c>
      <c r="P560" s="2">
        <v>0</v>
      </c>
      <c r="Q560" s="13">
        <v>6.7235000000000005</v>
      </c>
      <c r="R560" s="2">
        <v>0</v>
      </c>
      <c r="S560" s="2" t="s">
        <v>1</v>
      </c>
    </row>
    <row r="561" spans="1:19" x14ac:dyDescent="0.25">
      <c r="A561" s="2" t="s">
        <v>480</v>
      </c>
      <c r="B561" s="20">
        <v>44950</v>
      </c>
      <c r="C561" s="2" t="s">
        <v>1</v>
      </c>
      <c r="D561" s="2" t="s">
        <v>0</v>
      </c>
      <c r="E561" s="2" t="s">
        <v>1168</v>
      </c>
      <c r="F561" s="2" t="s">
        <v>1169</v>
      </c>
      <c r="G561" s="14">
        <v>1065</v>
      </c>
      <c r="H561" s="18">
        <v>1065</v>
      </c>
      <c r="I561" s="19" t="s">
        <v>989</v>
      </c>
      <c r="J561" s="13" t="s">
        <v>990</v>
      </c>
      <c r="K561" s="2">
        <v>0</v>
      </c>
      <c r="L561" s="2">
        <v>0</v>
      </c>
      <c r="M561" s="13">
        <v>54</v>
      </c>
      <c r="N561" s="2">
        <v>7.0200000000000005</v>
      </c>
      <c r="O561" s="2">
        <v>0</v>
      </c>
      <c r="P561" s="2">
        <v>0</v>
      </c>
      <c r="Q561" s="13">
        <v>61.02</v>
      </c>
      <c r="R561" s="2">
        <v>0</v>
      </c>
      <c r="S561" s="2" t="s">
        <v>1</v>
      </c>
    </row>
    <row r="562" spans="1:19" x14ac:dyDescent="0.25">
      <c r="A562" s="2" t="s">
        <v>480</v>
      </c>
      <c r="B562" s="20">
        <v>44950</v>
      </c>
      <c r="C562" s="2" t="s">
        <v>1</v>
      </c>
      <c r="D562" s="2" t="s">
        <v>0</v>
      </c>
      <c r="E562" s="2" t="s">
        <v>1168</v>
      </c>
      <c r="F562" s="2" t="s">
        <v>1169</v>
      </c>
      <c r="G562" s="14">
        <v>1066</v>
      </c>
      <c r="H562" s="18">
        <v>1066</v>
      </c>
      <c r="I562" s="19" t="s">
        <v>989</v>
      </c>
      <c r="J562" s="13" t="s">
        <v>990</v>
      </c>
      <c r="K562" s="2">
        <v>0</v>
      </c>
      <c r="L562" s="2">
        <v>0</v>
      </c>
      <c r="M562" s="13">
        <v>198.24</v>
      </c>
      <c r="N562" s="2">
        <v>25.7712</v>
      </c>
      <c r="O562" s="2">
        <v>0</v>
      </c>
      <c r="P562" s="2">
        <v>0</v>
      </c>
      <c r="Q562" s="13">
        <v>224.0112</v>
      </c>
      <c r="R562" s="2">
        <v>0</v>
      </c>
      <c r="S562" s="2" t="s">
        <v>1</v>
      </c>
    </row>
    <row r="563" spans="1:19" x14ac:dyDescent="0.25">
      <c r="A563" s="2" t="s">
        <v>480</v>
      </c>
      <c r="B563" s="20">
        <v>44950</v>
      </c>
      <c r="C563" s="2" t="s">
        <v>1</v>
      </c>
      <c r="D563" s="2" t="s">
        <v>0</v>
      </c>
      <c r="E563" s="2" t="s">
        <v>1168</v>
      </c>
      <c r="F563" s="2" t="s">
        <v>1169</v>
      </c>
      <c r="G563" s="14">
        <v>1067</v>
      </c>
      <c r="H563" s="18">
        <v>1067</v>
      </c>
      <c r="I563" s="19" t="s">
        <v>1141</v>
      </c>
      <c r="J563" s="13" t="s">
        <v>997</v>
      </c>
      <c r="K563" s="2">
        <v>0</v>
      </c>
      <c r="L563" s="2">
        <v>0</v>
      </c>
      <c r="M563" s="13">
        <v>707.4</v>
      </c>
      <c r="N563" s="2">
        <v>91.962000000000003</v>
      </c>
      <c r="O563" s="2">
        <v>0</v>
      </c>
      <c r="P563" s="2">
        <v>0</v>
      </c>
      <c r="Q563" s="13">
        <v>799.36199999999997</v>
      </c>
      <c r="R563" s="2">
        <v>0</v>
      </c>
      <c r="S563" s="2" t="s">
        <v>1</v>
      </c>
    </row>
    <row r="564" spans="1:19" x14ac:dyDescent="0.25">
      <c r="A564" s="2" t="s">
        <v>480</v>
      </c>
      <c r="B564" s="20">
        <v>44951</v>
      </c>
      <c r="C564" s="2" t="s">
        <v>1</v>
      </c>
      <c r="D564" s="2" t="s">
        <v>0</v>
      </c>
      <c r="E564" s="2" t="s">
        <v>1168</v>
      </c>
      <c r="F564" s="2" t="s">
        <v>1169</v>
      </c>
      <c r="G564" s="14">
        <v>1068</v>
      </c>
      <c r="H564" s="18">
        <v>1068</v>
      </c>
      <c r="I564" s="19" t="s">
        <v>1141</v>
      </c>
      <c r="J564" s="13" t="s">
        <v>997</v>
      </c>
      <c r="K564" s="2">
        <v>0</v>
      </c>
      <c r="L564" s="2">
        <v>0</v>
      </c>
      <c r="M564" s="13">
        <v>48</v>
      </c>
      <c r="N564" s="2">
        <v>6.24</v>
      </c>
      <c r="O564" s="2">
        <v>0</v>
      </c>
      <c r="P564" s="2">
        <v>0</v>
      </c>
      <c r="Q564" s="13">
        <v>54.24</v>
      </c>
      <c r="R564" s="2">
        <v>0</v>
      </c>
      <c r="S564" s="2" t="s">
        <v>1</v>
      </c>
    </row>
    <row r="565" spans="1:19" x14ac:dyDescent="0.25">
      <c r="A565" s="2" t="s">
        <v>480</v>
      </c>
      <c r="B565" s="20">
        <v>44951</v>
      </c>
      <c r="C565" s="2" t="s">
        <v>1</v>
      </c>
      <c r="D565" s="2" t="s">
        <v>0</v>
      </c>
      <c r="E565" s="2" t="s">
        <v>1168</v>
      </c>
      <c r="F565" s="2" t="s">
        <v>1169</v>
      </c>
      <c r="G565" s="14">
        <v>1069</v>
      </c>
      <c r="H565" s="18">
        <v>1069</v>
      </c>
      <c r="I565" s="19" t="s">
        <v>1103</v>
      </c>
      <c r="J565" s="13" t="s">
        <v>1104</v>
      </c>
      <c r="K565" s="2">
        <v>0</v>
      </c>
      <c r="L565" s="2">
        <v>0</v>
      </c>
      <c r="M565" s="13">
        <v>236.06</v>
      </c>
      <c r="N565" s="2">
        <v>30.687800000000003</v>
      </c>
      <c r="O565" s="2">
        <v>0</v>
      </c>
      <c r="P565" s="2">
        <v>0</v>
      </c>
      <c r="Q565" s="13">
        <v>266.74779999999998</v>
      </c>
      <c r="R565" s="2">
        <v>0</v>
      </c>
      <c r="S565" s="2" t="s">
        <v>1</v>
      </c>
    </row>
    <row r="566" spans="1:19" x14ac:dyDescent="0.25">
      <c r="A566" s="2" t="s">
        <v>480</v>
      </c>
      <c r="B566" s="20">
        <v>44951</v>
      </c>
      <c r="C566" s="2" t="s">
        <v>1</v>
      </c>
      <c r="D566" s="2" t="s">
        <v>0</v>
      </c>
      <c r="E566" s="2" t="s">
        <v>1168</v>
      </c>
      <c r="F566" s="2" t="s">
        <v>1169</v>
      </c>
      <c r="G566" s="14">
        <v>1070</v>
      </c>
      <c r="H566" s="18">
        <v>1070</v>
      </c>
      <c r="I566" s="19" t="s">
        <v>993</v>
      </c>
      <c r="J566" s="13" t="s">
        <v>994</v>
      </c>
      <c r="K566" s="2">
        <v>0</v>
      </c>
      <c r="L566" s="2">
        <v>0</v>
      </c>
      <c r="M566" s="13">
        <v>19.12</v>
      </c>
      <c r="N566" s="2">
        <v>2.4856000000000003</v>
      </c>
      <c r="O566" s="2">
        <v>0</v>
      </c>
      <c r="P566" s="2">
        <v>0</v>
      </c>
      <c r="Q566" s="13">
        <v>21.605600000000003</v>
      </c>
      <c r="R566" s="2">
        <v>0</v>
      </c>
      <c r="S566" s="2" t="s">
        <v>1</v>
      </c>
    </row>
    <row r="567" spans="1:19" x14ac:dyDescent="0.25">
      <c r="A567" s="2" t="s">
        <v>480</v>
      </c>
      <c r="B567" s="20">
        <v>44951</v>
      </c>
      <c r="C567" s="2" t="s">
        <v>1</v>
      </c>
      <c r="D567" s="2" t="s">
        <v>0</v>
      </c>
      <c r="E567" s="2" t="s">
        <v>1168</v>
      </c>
      <c r="F567" s="2" t="s">
        <v>1169</v>
      </c>
      <c r="G567" s="14">
        <v>1071</v>
      </c>
      <c r="H567" s="18">
        <v>1071</v>
      </c>
      <c r="I567" s="19" t="s">
        <v>1025</v>
      </c>
      <c r="J567" s="13" t="s">
        <v>1026</v>
      </c>
      <c r="K567" s="2">
        <v>0</v>
      </c>
      <c r="L567" s="2">
        <v>0</v>
      </c>
      <c r="M567" s="13">
        <v>41.47</v>
      </c>
      <c r="N567" s="2">
        <v>5.3910999999999998</v>
      </c>
      <c r="O567" s="2">
        <v>0</v>
      </c>
      <c r="P567" s="2">
        <v>0</v>
      </c>
      <c r="Q567" s="13">
        <v>46.8611</v>
      </c>
      <c r="R567" s="2">
        <v>0</v>
      </c>
      <c r="S567" s="2" t="s">
        <v>1</v>
      </c>
    </row>
    <row r="568" spans="1:19" x14ac:dyDescent="0.25">
      <c r="A568" s="2" t="s">
        <v>480</v>
      </c>
      <c r="B568" s="20">
        <v>44951</v>
      </c>
      <c r="C568" s="2" t="s">
        <v>1</v>
      </c>
      <c r="D568" s="2" t="s">
        <v>0</v>
      </c>
      <c r="E568" s="2" t="s">
        <v>1168</v>
      </c>
      <c r="F568" s="2" t="s">
        <v>1169</v>
      </c>
      <c r="G568" s="14">
        <v>1072</v>
      </c>
      <c r="H568" s="18">
        <v>1072</v>
      </c>
      <c r="I568" s="19" t="s">
        <v>1006</v>
      </c>
      <c r="J568" s="13" t="s">
        <v>1007</v>
      </c>
      <c r="K568" s="2">
        <v>0</v>
      </c>
      <c r="L568" s="2">
        <v>0</v>
      </c>
      <c r="M568" s="13">
        <v>38.049999999999997</v>
      </c>
      <c r="N568" s="2">
        <v>4.9464999999999995</v>
      </c>
      <c r="O568" s="2">
        <v>0</v>
      </c>
      <c r="P568" s="2">
        <v>0</v>
      </c>
      <c r="Q568" s="13">
        <v>42.996499999999997</v>
      </c>
      <c r="R568" s="2">
        <v>0</v>
      </c>
      <c r="S568" s="2" t="s">
        <v>1</v>
      </c>
    </row>
    <row r="569" spans="1:19" x14ac:dyDescent="0.25">
      <c r="A569" s="2" t="s">
        <v>480</v>
      </c>
      <c r="B569" s="20">
        <v>44951</v>
      </c>
      <c r="C569" s="2" t="s">
        <v>1</v>
      </c>
      <c r="D569" s="2" t="s">
        <v>0</v>
      </c>
      <c r="E569" s="2" t="s">
        <v>1168</v>
      </c>
      <c r="F569" s="2" t="s">
        <v>1169</v>
      </c>
      <c r="G569" s="14">
        <v>1073</v>
      </c>
      <c r="H569" s="18">
        <v>1073</v>
      </c>
      <c r="I569" s="19" t="s">
        <v>85</v>
      </c>
      <c r="J569" s="13" t="s">
        <v>86</v>
      </c>
      <c r="K569" s="2">
        <v>0</v>
      </c>
      <c r="L569" s="2">
        <v>0</v>
      </c>
      <c r="M569" s="13">
        <v>538.25</v>
      </c>
      <c r="N569" s="2">
        <v>69.972499999999997</v>
      </c>
      <c r="O569" s="2">
        <v>0</v>
      </c>
      <c r="P569" s="2">
        <v>0</v>
      </c>
      <c r="Q569" s="13">
        <v>608.22249999999997</v>
      </c>
      <c r="R569" s="2">
        <v>0</v>
      </c>
      <c r="S569" s="2" t="s">
        <v>1</v>
      </c>
    </row>
    <row r="570" spans="1:19" x14ac:dyDescent="0.25">
      <c r="A570" s="2" t="s">
        <v>480</v>
      </c>
      <c r="B570" s="20">
        <v>44951</v>
      </c>
      <c r="C570" s="2" t="s">
        <v>1</v>
      </c>
      <c r="D570" s="2" t="s">
        <v>0</v>
      </c>
      <c r="E570" s="2" t="s">
        <v>1168</v>
      </c>
      <c r="F570" s="2" t="s">
        <v>1169</v>
      </c>
      <c r="G570" s="14">
        <v>1074</v>
      </c>
      <c r="H570" s="18">
        <v>1074</v>
      </c>
      <c r="I570" s="19" t="s">
        <v>435</v>
      </c>
      <c r="J570" s="13" t="s">
        <v>434</v>
      </c>
      <c r="K570" s="2">
        <v>0</v>
      </c>
      <c r="L570" s="2">
        <v>0</v>
      </c>
      <c r="M570" s="13">
        <v>0</v>
      </c>
      <c r="N570" s="2">
        <v>0</v>
      </c>
      <c r="O570" s="2">
        <v>0</v>
      </c>
      <c r="P570" s="2">
        <v>0</v>
      </c>
      <c r="Q570" s="13">
        <v>0</v>
      </c>
      <c r="R570" s="2">
        <v>0</v>
      </c>
      <c r="S570" s="2" t="s">
        <v>1</v>
      </c>
    </row>
    <row r="571" spans="1:19" x14ac:dyDescent="0.25">
      <c r="A571" s="2" t="s">
        <v>480</v>
      </c>
      <c r="B571" s="20">
        <v>44951</v>
      </c>
      <c r="C571" s="2" t="s">
        <v>1</v>
      </c>
      <c r="D571" s="2" t="s">
        <v>0</v>
      </c>
      <c r="E571" s="2" t="s">
        <v>1168</v>
      </c>
      <c r="F571" s="2" t="s">
        <v>1169</v>
      </c>
      <c r="G571" s="14">
        <v>1075</v>
      </c>
      <c r="H571" s="18">
        <v>1075</v>
      </c>
      <c r="I571" s="19" t="s">
        <v>118</v>
      </c>
      <c r="J571" s="13" t="s">
        <v>119</v>
      </c>
      <c r="K571" s="2">
        <v>0</v>
      </c>
      <c r="L571" s="2">
        <v>0</v>
      </c>
      <c r="M571" s="13">
        <v>132</v>
      </c>
      <c r="N571" s="2">
        <v>17.16</v>
      </c>
      <c r="O571" s="2">
        <v>0</v>
      </c>
      <c r="P571" s="2">
        <v>0</v>
      </c>
      <c r="Q571" s="13">
        <v>149.16</v>
      </c>
      <c r="R571" s="2">
        <v>0</v>
      </c>
      <c r="S571" s="2" t="s">
        <v>1</v>
      </c>
    </row>
    <row r="572" spans="1:19" x14ac:dyDescent="0.25">
      <c r="A572" s="2" t="s">
        <v>480</v>
      </c>
      <c r="B572" s="20">
        <v>44951</v>
      </c>
      <c r="C572" s="2" t="s">
        <v>1</v>
      </c>
      <c r="D572" s="2" t="s">
        <v>0</v>
      </c>
      <c r="E572" s="2" t="s">
        <v>1168</v>
      </c>
      <c r="F572" s="2" t="s">
        <v>1169</v>
      </c>
      <c r="G572" s="14">
        <v>1076</v>
      </c>
      <c r="H572" s="18">
        <v>1076</v>
      </c>
      <c r="I572" s="19" t="s">
        <v>104</v>
      </c>
      <c r="J572" s="13" t="s">
        <v>105</v>
      </c>
      <c r="K572" s="2">
        <v>0</v>
      </c>
      <c r="L572" s="2">
        <v>0</v>
      </c>
      <c r="M572" s="13">
        <v>226.55</v>
      </c>
      <c r="N572" s="2">
        <v>29.451500000000003</v>
      </c>
      <c r="O572" s="2">
        <v>0</v>
      </c>
      <c r="P572" s="2">
        <v>0</v>
      </c>
      <c r="Q572" s="13">
        <v>256.00150000000002</v>
      </c>
      <c r="R572" s="2">
        <v>0</v>
      </c>
      <c r="S572" s="2" t="s">
        <v>1</v>
      </c>
    </row>
    <row r="573" spans="1:19" x14ac:dyDescent="0.25">
      <c r="A573" s="2" t="s">
        <v>480</v>
      </c>
      <c r="B573" s="20">
        <v>44951</v>
      </c>
      <c r="C573" s="2" t="s">
        <v>1</v>
      </c>
      <c r="D573" s="2" t="s">
        <v>0</v>
      </c>
      <c r="E573" s="2" t="s">
        <v>1168</v>
      </c>
      <c r="F573" s="2" t="s">
        <v>1169</v>
      </c>
      <c r="G573" s="14">
        <v>1077</v>
      </c>
      <c r="H573" s="18">
        <v>1077</v>
      </c>
      <c r="I573" s="19" t="s">
        <v>1002</v>
      </c>
      <c r="J573" s="13" t="s">
        <v>1003</v>
      </c>
      <c r="K573" s="2">
        <v>0</v>
      </c>
      <c r="L573" s="2">
        <v>0</v>
      </c>
      <c r="M573" s="13">
        <v>211.99</v>
      </c>
      <c r="N573" s="2">
        <v>27.558700000000002</v>
      </c>
      <c r="O573" s="2">
        <v>0</v>
      </c>
      <c r="P573" s="2">
        <v>0</v>
      </c>
      <c r="Q573" s="13">
        <v>239.5487</v>
      </c>
      <c r="R573" s="2">
        <v>0</v>
      </c>
      <c r="S573" s="2" t="s">
        <v>1</v>
      </c>
    </row>
    <row r="574" spans="1:19" x14ac:dyDescent="0.25">
      <c r="A574" s="2" t="s">
        <v>480</v>
      </c>
      <c r="B574" s="20">
        <v>44952</v>
      </c>
      <c r="C574" s="2" t="s">
        <v>1</v>
      </c>
      <c r="D574" s="2" t="s">
        <v>0</v>
      </c>
      <c r="E574" s="2" t="s">
        <v>1168</v>
      </c>
      <c r="F574" s="2" t="s">
        <v>1169</v>
      </c>
      <c r="G574" s="14">
        <v>1078</v>
      </c>
      <c r="H574" s="18">
        <v>1078</v>
      </c>
      <c r="I574" s="19" t="s">
        <v>136</v>
      </c>
      <c r="J574" s="13" t="s">
        <v>137</v>
      </c>
      <c r="K574" s="2">
        <v>0</v>
      </c>
      <c r="L574" s="2">
        <v>0</v>
      </c>
      <c r="M574" s="13">
        <v>186.2</v>
      </c>
      <c r="N574" s="2">
        <v>24.206</v>
      </c>
      <c r="O574" s="2">
        <v>0</v>
      </c>
      <c r="P574" s="2">
        <v>0</v>
      </c>
      <c r="Q574" s="13">
        <v>210.40599999999998</v>
      </c>
      <c r="R574" s="2">
        <v>0</v>
      </c>
      <c r="S574" s="2" t="s">
        <v>1</v>
      </c>
    </row>
    <row r="575" spans="1:19" x14ac:dyDescent="0.25">
      <c r="A575" s="2" t="s">
        <v>480</v>
      </c>
      <c r="B575" s="20">
        <v>44952</v>
      </c>
      <c r="C575" s="2" t="s">
        <v>1</v>
      </c>
      <c r="D575" s="2" t="s">
        <v>0</v>
      </c>
      <c r="E575" s="2" t="s">
        <v>1168</v>
      </c>
      <c r="F575" s="2" t="s">
        <v>1169</v>
      </c>
      <c r="G575" s="14">
        <v>1079</v>
      </c>
      <c r="H575" s="18">
        <v>1079</v>
      </c>
      <c r="I575" s="19" t="s">
        <v>967</v>
      </c>
      <c r="J575" s="13" t="s">
        <v>968</v>
      </c>
      <c r="K575" s="2">
        <v>0</v>
      </c>
      <c r="L575" s="2">
        <v>0</v>
      </c>
      <c r="M575" s="13">
        <v>31.58</v>
      </c>
      <c r="N575" s="2">
        <v>4.1053999999999995</v>
      </c>
      <c r="O575" s="2">
        <v>0</v>
      </c>
      <c r="P575" s="2">
        <v>0</v>
      </c>
      <c r="Q575" s="13">
        <v>35.685400000000001</v>
      </c>
      <c r="R575" s="2">
        <v>0</v>
      </c>
      <c r="S575" s="2" t="s">
        <v>1</v>
      </c>
    </row>
    <row r="576" spans="1:19" x14ac:dyDescent="0.25">
      <c r="A576" s="2" t="s">
        <v>480</v>
      </c>
      <c r="B576" s="20">
        <v>44952</v>
      </c>
      <c r="C576" s="2" t="s">
        <v>1</v>
      </c>
      <c r="D576" s="2" t="s">
        <v>0</v>
      </c>
      <c r="E576" s="2" t="s">
        <v>1168</v>
      </c>
      <c r="F576" s="2" t="s">
        <v>1169</v>
      </c>
      <c r="G576" s="14">
        <v>1080</v>
      </c>
      <c r="H576" s="18">
        <v>1080</v>
      </c>
      <c r="I576" s="19" t="s">
        <v>993</v>
      </c>
      <c r="J576" s="13" t="s">
        <v>994</v>
      </c>
      <c r="K576" s="2">
        <v>0</v>
      </c>
      <c r="L576" s="2">
        <v>0</v>
      </c>
      <c r="M576" s="13">
        <v>6.2</v>
      </c>
      <c r="N576" s="2">
        <v>0.80600000000000005</v>
      </c>
      <c r="O576" s="2">
        <v>0</v>
      </c>
      <c r="P576" s="2">
        <v>0</v>
      </c>
      <c r="Q576" s="13">
        <v>7.0060000000000002</v>
      </c>
      <c r="R576" s="2">
        <v>0</v>
      </c>
      <c r="S576" s="2" t="s">
        <v>1</v>
      </c>
    </row>
    <row r="577" spans="1:19" x14ac:dyDescent="0.25">
      <c r="A577" s="2" t="s">
        <v>480</v>
      </c>
      <c r="B577" s="20">
        <v>44952</v>
      </c>
      <c r="C577" s="2" t="s">
        <v>1</v>
      </c>
      <c r="D577" s="2" t="s">
        <v>0</v>
      </c>
      <c r="E577" s="2" t="s">
        <v>1168</v>
      </c>
      <c r="F577" s="2" t="s">
        <v>1169</v>
      </c>
      <c r="G577" s="14">
        <v>1081</v>
      </c>
      <c r="H577" s="18">
        <v>1081</v>
      </c>
      <c r="I577" s="19" t="s">
        <v>993</v>
      </c>
      <c r="J577" s="13" t="s">
        <v>994</v>
      </c>
      <c r="K577" s="2">
        <v>0</v>
      </c>
      <c r="L577" s="2">
        <v>0</v>
      </c>
      <c r="M577" s="13">
        <v>5.31</v>
      </c>
      <c r="N577" s="2">
        <v>0.69030000000000002</v>
      </c>
      <c r="O577" s="2">
        <v>0</v>
      </c>
      <c r="P577" s="2">
        <v>0</v>
      </c>
      <c r="Q577" s="13">
        <v>6.0002999999999993</v>
      </c>
      <c r="R577" s="2">
        <v>0</v>
      </c>
      <c r="S577" s="2" t="s">
        <v>1</v>
      </c>
    </row>
    <row r="578" spans="1:19" x14ac:dyDescent="0.25">
      <c r="A578" s="2" t="s">
        <v>480</v>
      </c>
      <c r="B578" s="20">
        <v>44952</v>
      </c>
      <c r="C578" s="2" t="s">
        <v>1</v>
      </c>
      <c r="D578" s="2" t="s">
        <v>0</v>
      </c>
      <c r="E578" s="2" t="s">
        <v>1168</v>
      </c>
      <c r="F578" s="2" t="s">
        <v>1169</v>
      </c>
      <c r="G578" s="14">
        <v>1082</v>
      </c>
      <c r="H578" s="18">
        <v>1082</v>
      </c>
      <c r="I578" s="19" t="s">
        <v>134</v>
      </c>
      <c r="J578" s="13" t="s">
        <v>135</v>
      </c>
      <c r="K578" s="2">
        <v>0</v>
      </c>
      <c r="L578" s="2">
        <v>0</v>
      </c>
      <c r="M578" s="13">
        <v>144</v>
      </c>
      <c r="N578" s="2">
        <v>18.72</v>
      </c>
      <c r="O578" s="2">
        <v>0</v>
      </c>
      <c r="P578" s="2">
        <v>0</v>
      </c>
      <c r="Q578" s="13">
        <v>162.72</v>
      </c>
      <c r="R578" s="2">
        <v>0</v>
      </c>
      <c r="S578" s="2" t="s">
        <v>1</v>
      </c>
    </row>
    <row r="579" spans="1:19" x14ac:dyDescent="0.25">
      <c r="A579" s="2" t="s">
        <v>480</v>
      </c>
      <c r="B579" s="20">
        <v>44952</v>
      </c>
      <c r="C579" s="2" t="s">
        <v>1</v>
      </c>
      <c r="D579" s="2" t="s">
        <v>0</v>
      </c>
      <c r="E579" s="2" t="s">
        <v>1168</v>
      </c>
      <c r="F579" s="2" t="s">
        <v>1169</v>
      </c>
      <c r="G579" s="14">
        <v>1083</v>
      </c>
      <c r="H579" s="18">
        <v>1083</v>
      </c>
      <c r="I579" s="19" t="s">
        <v>58</v>
      </c>
      <c r="J579" s="13" t="s">
        <v>59</v>
      </c>
      <c r="K579" s="2">
        <v>0</v>
      </c>
      <c r="L579" s="2">
        <v>0</v>
      </c>
      <c r="M579" s="13">
        <v>856</v>
      </c>
      <c r="N579" s="2">
        <v>111.28</v>
      </c>
      <c r="O579" s="2">
        <v>0</v>
      </c>
      <c r="P579" s="2">
        <v>0</v>
      </c>
      <c r="Q579" s="13">
        <v>967.28</v>
      </c>
      <c r="R579" s="2">
        <v>0</v>
      </c>
      <c r="S579" s="2" t="s">
        <v>1</v>
      </c>
    </row>
    <row r="580" spans="1:19" x14ac:dyDescent="0.25">
      <c r="A580" s="2" t="s">
        <v>480</v>
      </c>
      <c r="B580" s="20">
        <v>44952</v>
      </c>
      <c r="C580" s="2" t="s">
        <v>1</v>
      </c>
      <c r="D580" s="2" t="s">
        <v>0</v>
      </c>
      <c r="E580" s="2" t="s">
        <v>1168</v>
      </c>
      <c r="F580" s="2" t="s">
        <v>1169</v>
      </c>
      <c r="G580" s="14">
        <v>1084</v>
      </c>
      <c r="H580" s="18">
        <v>1084</v>
      </c>
      <c r="I580" s="19" t="s">
        <v>435</v>
      </c>
      <c r="J580" s="13" t="s">
        <v>434</v>
      </c>
      <c r="K580" s="2">
        <v>0</v>
      </c>
      <c r="L580" s="2">
        <v>0</v>
      </c>
      <c r="M580" s="13">
        <v>0</v>
      </c>
      <c r="N580" s="2">
        <v>0</v>
      </c>
      <c r="O580" s="2">
        <v>0</v>
      </c>
      <c r="P580" s="2">
        <v>0</v>
      </c>
      <c r="Q580" s="13">
        <v>0</v>
      </c>
      <c r="R580" s="2">
        <v>0</v>
      </c>
      <c r="S580" s="2" t="s">
        <v>1</v>
      </c>
    </row>
    <row r="581" spans="1:19" x14ac:dyDescent="0.25">
      <c r="A581" s="2" t="s">
        <v>480</v>
      </c>
      <c r="B581" s="20">
        <v>44952</v>
      </c>
      <c r="C581" s="2" t="s">
        <v>1</v>
      </c>
      <c r="D581" s="2" t="s">
        <v>0</v>
      </c>
      <c r="E581" s="2" t="s">
        <v>1168</v>
      </c>
      <c r="F581" s="2" t="s">
        <v>1169</v>
      </c>
      <c r="G581" s="14">
        <v>1085</v>
      </c>
      <c r="H581" s="18">
        <v>1085</v>
      </c>
      <c r="I581" s="19" t="s">
        <v>1170</v>
      </c>
      <c r="J581" s="13" t="s">
        <v>1171</v>
      </c>
      <c r="K581" s="2">
        <v>0</v>
      </c>
      <c r="L581" s="2">
        <v>0</v>
      </c>
      <c r="M581" s="13">
        <v>12.99</v>
      </c>
      <c r="N581" s="2">
        <v>1.6887000000000001</v>
      </c>
      <c r="O581" s="2">
        <v>0</v>
      </c>
      <c r="P581" s="2">
        <v>0</v>
      </c>
      <c r="Q581" s="13">
        <v>14.678700000000001</v>
      </c>
      <c r="R581" s="2">
        <v>0</v>
      </c>
      <c r="S581" s="2" t="s">
        <v>1</v>
      </c>
    </row>
    <row r="582" spans="1:19" x14ac:dyDescent="0.25">
      <c r="A582" s="2" t="s">
        <v>480</v>
      </c>
      <c r="B582" s="20">
        <v>44952</v>
      </c>
      <c r="C582" s="2" t="s">
        <v>1</v>
      </c>
      <c r="D582" s="2" t="s">
        <v>0</v>
      </c>
      <c r="E582" s="2" t="s">
        <v>1168</v>
      </c>
      <c r="F582" s="2" t="s">
        <v>1169</v>
      </c>
      <c r="G582" s="14">
        <v>1086</v>
      </c>
      <c r="H582" s="18">
        <v>1086</v>
      </c>
      <c r="I582" s="19" t="s">
        <v>58</v>
      </c>
      <c r="J582" s="13" t="s">
        <v>59</v>
      </c>
      <c r="K582" s="2">
        <v>0</v>
      </c>
      <c r="L582" s="2">
        <v>0</v>
      </c>
      <c r="M582" s="13">
        <v>107.3</v>
      </c>
      <c r="N582" s="2">
        <v>13.949</v>
      </c>
      <c r="O582" s="2">
        <v>0</v>
      </c>
      <c r="P582" s="2">
        <v>0</v>
      </c>
      <c r="Q582" s="13">
        <v>121.249</v>
      </c>
      <c r="R582" s="2">
        <v>0</v>
      </c>
      <c r="S582" s="2" t="s">
        <v>1</v>
      </c>
    </row>
    <row r="583" spans="1:19" x14ac:dyDescent="0.25">
      <c r="A583" s="2" t="s">
        <v>480</v>
      </c>
      <c r="B583" s="20">
        <v>44952</v>
      </c>
      <c r="C583" s="2" t="s">
        <v>1</v>
      </c>
      <c r="D583" s="2" t="s">
        <v>0</v>
      </c>
      <c r="E583" s="2" t="s">
        <v>1168</v>
      </c>
      <c r="F583" s="2" t="s">
        <v>1169</v>
      </c>
      <c r="G583" s="14">
        <v>1087</v>
      </c>
      <c r="H583" s="18">
        <v>1087</v>
      </c>
      <c r="I583" s="19" t="s">
        <v>1025</v>
      </c>
      <c r="J583" s="13" t="s">
        <v>1026</v>
      </c>
      <c r="K583" s="2">
        <v>0</v>
      </c>
      <c r="L583" s="2">
        <v>0</v>
      </c>
      <c r="M583" s="13">
        <v>398.04</v>
      </c>
      <c r="N583" s="2">
        <v>51.745200000000004</v>
      </c>
      <c r="O583" s="2">
        <v>0</v>
      </c>
      <c r="P583" s="2">
        <v>0</v>
      </c>
      <c r="Q583" s="13">
        <v>449.78520000000003</v>
      </c>
      <c r="R583" s="2">
        <v>0</v>
      </c>
      <c r="S583" s="2" t="s">
        <v>1</v>
      </c>
    </row>
    <row r="584" spans="1:19" x14ac:dyDescent="0.25">
      <c r="A584" s="2" t="s">
        <v>480</v>
      </c>
      <c r="B584" s="20">
        <v>44953</v>
      </c>
      <c r="C584" s="2" t="s">
        <v>1</v>
      </c>
      <c r="D584" s="2" t="s">
        <v>0</v>
      </c>
      <c r="E584" s="2" t="s">
        <v>1168</v>
      </c>
      <c r="F584" s="2" t="s">
        <v>1169</v>
      </c>
      <c r="G584" s="14">
        <v>1088</v>
      </c>
      <c r="H584" s="18">
        <v>1088</v>
      </c>
      <c r="I584" s="19" t="s">
        <v>150</v>
      </c>
      <c r="J584" s="13" t="s">
        <v>151</v>
      </c>
      <c r="K584" s="2">
        <v>0</v>
      </c>
      <c r="L584" s="2">
        <v>0</v>
      </c>
      <c r="M584" s="13">
        <v>254.02</v>
      </c>
      <c r="N584" s="2">
        <v>33.022600000000004</v>
      </c>
      <c r="O584" s="2">
        <v>0</v>
      </c>
      <c r="P584" s="2">
        <v>0</v>
      </c>
      <c r="Q584" s="13">
        <v>287.04259999999999</v>
      </c>
      <c r="R584" s="2">
        <v>0</v>
      </c>
      <c r="S584" s="2" t="s">
        <v>1</v>
      </c>
    </row>
    <row r="585" spans="1:19" x14ac:dyDescent="0.25">
      <c r="A585" s="2" t="s">
        <v>480</v>
      </c>
      <c r="B585" s="20">
        <v>44953</v>
      </c>
      <c r="C585" s="2" t="s">
        <v>1</v>
      </c>
      <c r="D585" s="2" t="s">
        <v>0</v>
      </c>
      <c r="E585" s="2" t="s">
        <v>1168</v>
      </c>
      <c r="F585" s="2" t="s">
        <v>1169</v>
      </c>
      <c r="G585" s="14">
        <v>1089</v>
      </c>
      <c r="H585" s="18">
        <v>1089</v>
      </c>
      <c r="I585" s="19" t="s">
        <v>1029</v>
      </c>
      <c r="J585" s="13" t="s">
        <v>1030</v>
      </c>
      <c r="K585" s="2">
        <v>0</v>
      </c>
      <c r="L585" s="2">
        <v>0</v>
      </c>
      <c r="M585" s="13">
        <v>4.12</v>
      </c>
      <c r="N585" s="2">
        <v>0.53560000000000008</v>
      </c>
      <c r="O585" s="2">
        <v>0</v>
      </c>
      <c r="P585" s="2">
        <v>0</v>
      </c>
      <c r="Q585" s="13">
        <v>4.6555999999999997</v>
      </c>
      <c r="R585" s="2">
        <v>0</v>
      </c>
      <c r="S585" s="2" t="s">
        <v>1</v>
      </c>
    </row>
    <row r="586" spans="1:19" x14ac:dyDescent="0.25">
      <c r="A586" s="2" t="s">
        <v>480</v>
      </c>
      <c r="B586" s="20">
        <v>44953</v>
      </c>
      <c r="C586" s="2" t="s">
        <v>1</v>
      </c>
      <c r="D586" s="2" t="s">
        <v>0</v>
      </c>
      <c r="E586" s="2" t="s">
        <v>1168</v>
      </c>
      <c r="F586" s="2" t="s">
        <v>1169</v>
      </c>
      <c r="G586" s="14">
        <v>1090</v>
      </c>
      <c r="H586" s="18">
        <v>1090</v>
      </c>
      <c r="I586" s="19" t="s">
        <v>1029</v>
      </c>
      <c r="J586" s="13" t="s">
        <v>1030</v>
      </c>
      <c r="K586" s="2">
        <v>0</v>
      </c>
      <c r="L586" s="2">
        <v>0</v>
      </c>
      <c r="M586" s="13">
        <v>44.25</v>
      </c>
      <c r="N586" s="2">
        <v>5.7525000000000004</v>
      </c>
      <c r="O586" s="2">
        <v>0</v>
      </c>
      <c r="P586" s="2">
        <v>0</v>
      </c>
      <c r="Q586" s="13">
        <v>50.002499999999998</v>
      </c>
      <c r="R586" s="2">
        <v>0</v>
      </c>
      <c r="S586" s="2" t="s">
        <v>1</v>
      </c>
    </row>
    <row r="587" spans="1:19" x14ac:dyDescent="0.25">
      <c r="A587" s="2" t="s">
        <v>480</v>
      </c>
      <c r="B587" s="20">
        <v>44953</v>
      </c>
      <c r="C587" s="2" t="s">
        <v>1</v>
      </c>
      <c r="D587" s="2" t="s">
        <v>0</v>
      </c>
      <c r="E587" s="2" t="s">
        <v>1168</v>
      </c>
      <c r="F587" s="2" t="s">
        <v>1169</v>
      </c>
      <c r="G587" s="14">
        <v>1092</v>
      </c>
      <c r="H587" s="18">
        <v>1092</v>
      </c>
      <c r="I587" s="19" t="s">
        <v>955</v>
      </c>
      <c r="J587" s="13" t="s">
        <v>956</v>
      </c>
      <c r="K587" s="2">
        <v>0</v>
      </c>
      <c r="L587" s="2">
        <v>0</v>
      </c>
      <c r="M587" s="13">
        <v>313.23</v>
      </c>
      <c r="N587" s="2">
        <v>40.719900000000003</v>
      </c>
      <c r="O587" s="2">
        <v>0</v>
      </c>
      <c r="P587" s="2">
        <v>0</v>
      </c>
      <c r="Q587" s="13">
        <v>353.94990000000001</v>
      </c>
      <c r="R587" s="2">
        <v>0</v>
      </c>
      <c r="S587" s="2" t="s">
        <v>1</v>
      </c>
    </row>
    <row r="588" spans="1:19" x14ac:dyDescent="0.25">
      <c r="A588" s="2" t="s">
        <v>480</v>
      </c>
      <c r="B588" s="20">
        <v>44953</v>
      </c>
      <c r="C588" s="2" t="s">
        <v>1</v>
      </c>
      <c r="D588" s="2" t="s">
        <v>0</v>
      </c>
      <c r="E588" s="2" t="s">
        <v>1168</v>
      </c>
      <c r="F588" s="2" t="s">
        <v>1169</v>
      </c>
      <c r="G588" s="14">
        <v>1093</v>
      </c>
      <c r="H588" s="18">
        <v>1093</v>
      </c>
      <c r="I588" s="19" t="s">
        <v>1180</v>
      </c>
      <c r="J588" s="13" t="s">
        <v>1181</v>
      </c>
      <c r="K588" s="2">
        <v>0</v>
      </c>
      <c r="L588" s="2">
        <v>0</v>
      </c>
      <c r="M588" s="13">
        <v>33.81</v>
      </c>
      <c r="N588" s="2">
        <v>4.3953000000000007</v>
      </c>
      <c r="O588" s="2">
        <v>0</v>
      </c>
      <c r="P588" s="2">
        <v>0</v>
      </c>
      <c r="Q588" s="13">
        <v>38.205300000000001</v>
      </c>
      <c r="R588" s="2">
        <v>0</v>
      </c>
      <c r="S588" s="2" t="s">
        <v>1</v>
      </c>
    </row>
    <row r="589" spans="1:19" x14ac:dyDescent="0.25">
      <c r="A589" s="2" t="s">
        <v>480</v>
      </c>
      <c r="B589" s="20">
        <v>44953</v>
      </c>
      <c r="C589" s="2" t="s">
        <v>1</v>
      </c>
      <c r="D589" s="2" t="s">
        <v>0</v>
      </c>
      <c r="E589" s="2" t="s">
        <v>1168</v>
      </c>
      <c r="F589" s="2" t="s">
        <v>1169</v>
      </c>
      <c r="G589" s="14">
        <v>1094</v>
      </c>
      <c r="H589" s="18">
        <v>1094</v>
      </c>
      <c r="I589" s="19" t="s">
        <v>1099</v>
      </c>
      <c r="J589" s="13" t="s">
        <v>1100</v>
      </c>
      <c r="K589" s="2">
        <v>0</v>
      </c>
      <c r="L589" s="2">
        <v>0</v>
      </c>
      <c r="M589" s="13">
        <v>96</v>
      </c>
      <c r="N589" s="2">
        <v>12.48</v>
      </c>
      <c r="O589" s="2">
        <v>0</v>
      </c>
      <c r="P589" s="2">
        <v>0</v>
      </c>
      <c r="Q589" s="13">
        <v>108.48</v>
      </c>
      <c r="R589" s="2">
        <v>0</v>
      </c>
      <c r="S589" s="2" t="s">
        <v>1</v>
      </c>
    </row>
    <row r="590" spans="1:19" x14ac:dyDescent="0.25">
      <c r="A590" s="2" t="s">
        <v>480</v>
      </c>
      <c r="B590" s="20">
        <v>44953</v>
      </c>
      <c r="C590" s="2" t="s">
        <v>1</v>
      </c>
      <c r="D590" s="2" t="s">
        <v>0</v>
      </c>
      <c r="E590" s="2" t="s">
        <v>1168</v>
      </c>
      <c r="F590" s="2" t="s">
        <v>1169</v>
      </c>
      <c r="G590" s="14">
        <v>1095</v>
      </c>
      <c r="H590" s="18">
        <v>1095</v>
      </c>
      <c r="I590" s="19" t="s">
        <v>1101</v>
      </c>
      <c r="J590" s="13" t="s">
        <v>1102</v>
      </c>
      <c r="K590" s="2">
        <v>0</v>
      </c>
      <c r="L590" s="2">
        <v>0</v>
      </c>
      <c r="M590" s="13">
        <v>130.69999999999999</v>
      </c>
      <c r="N590" s="2">
        <v>16.991</v>
      </c>
      <c r="O590" s="2">
        <v>0</v>
      </c>
      <c r="P590" s="2">
        <v>0</v>
      </c>
      <c r="Q590" s="13">
        <v>147.69099999999997</v>
      </c>
      <c r="R590" s="2">
        <v>0</v>
      </c>
      <c r="S590" s="2" t="s">
        <v>1</v>
      </c>
    </row>
    <row r="591" spans="1:19" x14ac:dyDescent="0.25">
      <c r="A591" s="2" t="s">
        <v>480</v>
      </c>
      <c r="B591" s="20">
        <v>44953</v>
      </c>
      <c r="C591" s="2" t="s">
        <v>1</v>
      </c>
      <c r="D591" s="2" t="s">
        <v>0</v>
      </c>
      <c r="E591" s="2" t="s">
        <v>1168</v>
      </c>
      <c r="F591" s="2" t="s">
        <v>1169</v>
      </c>
      <c r="G591" s="14">
        <v>1096</v>
      </c>
      <c r="H591" s="18">
        <v>1096</v>
      </c>
      <c r="I591" s="19" t="s">
        <v>1113</v>
      </c>
      <c r="J591" s="13" t="s">
        <v>1114</v>
      </c>
      <c r="K591" s="2">
        <v>0</v>
      </c>
      <c r="L591" s="2">
        <v>0</v>
      </c>
      <c r="M591" s="13">
        <v>261.39999999999998</v>
      </c>
      <c r="N591" s="2">
        <v>33.981999999999999</v>
      </c>
      <c r="O591" s="2">
        <v>0</v>
      </c>
      <c r="P591" s="2">
        <v>0</v>
      </c>
      <c r="Q591" s="13">
        <v>295.38199999999995</v>
      </c>
      <c r="R591" s="2">
        <v>0</v>
      </c>
      <c r="S591" s="2" t="s">
        <v>1</v>
      </c>
    </row>
    <row r="592" spans="1:19" x14ac:dyDescent="0.25">
      <c r="A592" s="2" t="s">
        <v>480</v>
      </c>
      <c r="B592" s="20">
        <v>44953</v>
      </c>
      <c r="C592" s="2" t="s">
        <v>1</v>
      </c>
      <c r="D592" s="2" t="s">
        <v>0</v>
      </c>
      <c r="E592" s="2" t="s">
        <v>1168</v>
      </c>
      <c r="F592" s="2" t="s">
        <v>1169</v>
      </c>
      <c r="G592" s="14">
        <v>1097</v>
      </c>
      <c r="H592" s="18">
        <v>1097</v>
      </c>
      <c r="I592" s="19" t="s">
        <v>1079</v>
      </c>
      <c r="J592" s="13" t="s">
        <v>1080</v>
      </c>
      <c r="K592" s="2">
        <v>0</v>
      </c>
      <c r="L592" s="2">
        <v>0</v>
      </c>
      <c r="M592" s="13">
        <v>123</v>
      </c>
      <c r="N592" s="2">
        <v>15.99</v>
      </c>
      <c r="O592" s="2">
        <v>0</v>
      </c>
      <c r="P592" s="2">
        <v>0</v>
      </c>
      <c r="Q592" s="13">
        <v>138.99</v>
      </c>
      <c r="R592" s="2">
        <v>0</v>
      </c>
      <c r="S592" s="2" t="s">
        <v>1</v>
      </c>
    </row>
    <row r="593" spans="1:19" x14ac:dyDescent="0.25">
      <c r="A593" s="2" t="s">
        <v>480</v>
      </c>
      <c r="B593" s="20">
        <v>44953</v>
      </c>
      <c r="C593" s="2" t="s">
        <v>1</v>
      </c>
      <c r="D593" s="2" t="s">
        <v>0</v>
      </c>
      <c r="E593" s="2" t="s">
        <v>1168</v>
      </c>
      <c r="F593" s="2" t="s">
        <v>1169</v>
      </c>
      <c r="G593" s="14">
        <v>1098</v>
      </c>
      <c r="H593" s="18">
        <v>1098</v>
      </c>
      <c r="I593" s="19">
        <v>0</v>
      </c>
      <c r="J593" s="13" t="s">
        <v>982</v>
      </c>
      <c r="K593" s="2">
        <v>0</v>
      </c>
      <c r="L593" s="2">
        <v>0</v>
      </c>
      <c r="M593" s="13">
        <v>164.16</v>
      </c>
      <c r="N593" s="2">
        <v>21.340800000000002</v>
      </c>
      <c r="O593" s="2">
        <v>0</v>
      </c>
      <c r="P593" s="2">
        <v>0</v>
      </c>
      <c r="Q593" s="13">
        <v>185.5008</v>
      </c>
      <c r="R593" s="2" t="s">
        <v>981</v>
      </c>
      <c r="S593" s="2" t="s">
        <v>1</v>
      </c>
    </row>
    <row r="594" spans="1:19" x14ac:dyDescent="0.25">
      <c r="A594" s="2" t="s">
        <v>480</v>
      </c>
      <c r="B594" s="20">
        <v>44953</v>
      </c>
      <c r="C594" s="2" t="s">
        <v>1</v>
      </c>
      <c r="D594" s="2" t="s">
        <v>0</v>
      </c>
      <c r="E594" s="2" t="s">
        <v>1168</v>
      </c>
      <c r="F594" s="2" t="s">
        <v>1169</v>
      </c>
      <c r="G594" s="14">
        <v>1099</v>
      </c>
      <c r="H594" s="18">
        <v>1099</v>
      </c>
      <c r="I594" s="19" t="s">
        <v>64</v>
      </c>
      <c r="J594" s="13" t="s">
        <v>65</v>
      </c>
      <c r="K594" s="2">
        <v>0</v>
      </c>
      <c r="L594" s="2">
        <v>0</v>
      </c>
      <c r="M594" s="13">
        <v>513.11</v>
      </c>
      <c r="N594" s="2">
        <v>66.704300000000003</v>
      </c>
      <c r="O594" s="2">
        <v>0</v>
      </c>
      <c r="P594" s="2">
        <v>0</v>
      </c>
      <c r="Q594" s="13">
        <v>579.8143</v>
      </c>
      <c r="R594" s="2">
        <v>0</v>
      </c>
      <c r="S594" s="2" t="s">
        <v>1</v>
      </c>
    </row>
    <row r="595" spans="1:19" x14ac:dyDescent="0.25">
      <c r="A595" s="2" t="s">
        <v>480</v>
      </c>
      <c r="B595" s="20">
        <v>44956</v>
      </c>
      <c r="C595" s="2" t="s">
        <v>1</v>
      </c>
      <c r="D595" s="2" t="s">
        <v>0</v>
      </c>
      <c r="E595" s="2" t="s">
        <v>1168</v>
      </c>
      <c r="F595" s="2" t="s">
        <v>1169</v>
      </c>
      <c r="G595" s="14">
        <v>1100</v>
      </c>
      <c r="H595" s="18">
        <v>1100</v>
      </c>
      <c r="I595" s="19" t="s">
        <v>81</v>
      </c>
      <c r="J595" s="13" t="s">
        <v>82</v>
      </c>
      <c r="K595" s="2">
        <v>0</v>
      </c>
      <c r="L595" s="2">
        <v>0</v>
      </c>
      <c r="M595" s="13">
        <v>159.61000000000001</v>
      </c>
      <c r="N595" s="2">
        <v>20.749300000000002</v>
      </c>
      <c r="O595" s="2">
        <v>0</v>
      </c>
      <c r="P595" s="2">
        <v>0</v>
      </c>
      <c r="Q595" s="13">
        <v>180.35930000000002</v>
      </c>
      <c r="R595" s="2">
        <v>0</v>
      </c>
      <c r="S595" s="2" t="s">
        <v>1</v>
      </c>
    </row>
    <row r="596" spans="1:19" x14ac:dyDescent="0.25">
      <c r="A596" s="2" t="s">
        <v>480</v>
      </c>
      <c r="B596" s="20">
        <v>44956</v>
      </c>
      <c r="C596" s="2" t="s">
        <v>1</v>
      </c>
      <c r="D596" s="2" t="s">
        <v>0</v>
      </c>
      <c r="E596" s="2" t="s">
        <v>1168</v>
      </c>
      <c r="F596" s="2" t="s">
        <v>1169</v>
      </c>
      <c r="G596" s="14">
        <v>1101</v>
      </c>
      <c r="H596" s="18">
        <v>1101</v>
      </c>
      <c r="I596" s="19" t="s">
        <v>1025</v>
      </c>
      <c r="J596" s="13" t="s">
        <v>1026</v>
      </c>
      <c r="K596" s="2">
        <v>0</v>
      </c>
      <c r="L596" s="2">
        <v>0</v>
      </c>
      <c r="M596" s="13">
        <v>171.5</v>
      </c>
      <c r="N596" s="2">
        <v>22.295000000000002</v>
      </c>
      <c r="O596" s="2">
        <v>0</v>
      </c>
      <c r="P596" s="2">
        <v>0</v>
      </c>
      <c r="Q596" s="13">
        <v>193.79500000000002</v>
      </c>
      <c r="R596" s="2">
        <v>0</v>
      </c>
      <c r="S596" s="2" t="s">
        <v>1</v>
      </c>
    </row>
    <row r="597" spans="1:19" x14ac:dyDescent="0.25">
      <c r="A597" s="2" t="s">
        <v>480</v>
      </c>
      <c r="B597" s="20">
        <v>44956</v>
      </c>
      <c r="C597" s="2" t="s">
        <v>1</v>
      </c>
      <c r="D597" s="2" t="s">
        <v>0</v>
      </c>
      <c r="E597" s="2" t="s">
        <v>1168</v>
      </c>
      <c r="F597" s="2" t="s">
        <v>1169</v>
      </c>
      <c r="G597" s="14">
        <v>1102</v>
      </c>
      <c r="H597" s="18">
        <v>1102</v>
      </c>
      <c r="I597" s="19" t="s">
        <v>1049</v>
      </c>
      <c r="J597" s="13" t="s">
        <v>1050</v>
      </c>
      <c r="K597" s="2">
        <v>0</v>
      </c>
      <c r="L597" s="2">
        <v>0</v>
      </c>
      <c r="M597" s="13">
        <v>148.68</v>
      </c>
      <c r="N597" s="2">
        <v>19.328400000000002</v>
      </c>
      <c r="O597" s="2">
        <v>0</v>
      </c>
      <c r="P597" s="2">
        <v>0</v>
      </c>
      <c r="Q597" s="13">
        <v>168.00839999999999</v>
      </c>
      <c r="R597" s="2">
        <v>0</v>
      </c>
      <c r="S597" s="2" t="s">
        <v>1</v>
      </c>
    </row>
    <row r="598" spans="1:19" x14ac:dyDescent="0.25">
      <c r="A598" s="2" t="s">
        <v>480</v>
      </c>
      <c r="B598" s="20">
        <v>44956</v>
      </c>
      <c r="C598" s="2" t="s">
        <v>1</v>
      </c>
      <c r="D598" s="2" t="s">
        <v>0</v>
      </c>
      <c r="E598" s="2" t="s">
        <v>1168</v>
      </c>
      <c r="F598" s="2" t="s">
        <v>1169</v>
      </c>
      <c r="G598" s="14">
        <v>1103</v>
      </c>
      <c r="H598" s="18">
        <v>1103</v>
      </c>
      <c r="I598" s="19" t="s">
        <v>991</v>
      </c>
      <c r="J598" s="13" t="s">
        <v>992</v>
      </c>
      <c r="K598" s="2">
        <v>0</v>
      </c>
      <c r="L598" s="2">
        <v>0</v>
      </c>
      <c r="M598" s="13">
        <v>202.02</v>
      </c>
      <c r="N598" s="2">
        <v>26.262600000000003</v>
      </c>
      <c r="O598" s="2">
        <v>0</v>
      </c>
      <c r="P598" s="2">
        <v>0</v>
      </c>
      <c r="Q598" s="13">
        <v>228.2826</v>
      </c>
      <c r="R598" s="2">
        <v>0</v>
      </c>
      <c r="S598" s="2" t="s">
        <v>1</v>
      </c>
    </row>
    <row r="599" spans="1:19" x14ac:dyDescent="0.25">
      <c r="A599" s="2" t="s">
        <v>480</v>
      </c>
      <c r="B599" s="20">
        <v>44956</v>
      </c>
      <c r="C599" s="2" t="s">
        <v>1</v>
      </c>
      <c r="D599" s="2" t="s">
        <v>0</v>
      </c>
      <c r="E599" s="2" t="s">
        <v>1168</v>
      </c>
      <c r="F599" s="2" t="s">
        <v>1169</v>
      </c>
      <c r="G599" s="14">
        <v>1104</v>
      </c>
      <c r="H599" s="18">
        <v>1104</v>
      </c>
      <c r="I599" s="19" t="s">
        <v>973</v>
      </c>
      <c r="J599" s="13" t="s">
        <v>974</v>
      </c>
      <c r="K599" s="2">
        <v>0</v>
      </c>
      <c r="L599" s="2">
        <v>0</v>
      </c>
      <c r="M599" s="13">
        <v>199.25</v>
      </c>
      <c r="N599" s="2">
        <v>25.9025</v>
      </c>
      <c r="O599" s="2">
        <v>0</v>
      </c>
      <c r="P599" s="2">
        <v>0</v>
      </c>
      <c r="Q599" s="13">
        <v>225.1525</v>
      </c>
      <c r="R599" s="2">
        <v>0</v>
      </c>
      <c r="S599" s="2" t="s">
        <v>1</v>
      </c>
    </row>
    <row r="600" spans="1:19" x14ac:dyDescent="0.25">
      <c r="A600" s="2" t="s">
        <v>480</v>
      </c>
      <c r="B600" s="20">
        <v>44956</v>
      </c>
      <c r="C600" s="2" t="s">
        <v>1</v>
      </c>
      <c r="D600" s="2" t="s">
        <v>0</v>
      </c>
      <c r="E600" s="2" t="s">
        <v>1168</v>
      </c>
      <c r="F600" s="2" t="s">
        <v>1169</v>
      </c>
      <c r="G600" s="14">
        <v>1105</v>
      </c>
      <c r="H600" s="18">
        <v>1105</v>
      </c>
      <c r="I600" s="19" t="s">
        <v>152</v>
      </c>
      <c r="J600" s="13" t="s">
        <v>153</v>
      </c>
      <c r="K600" s="2">
        <v>0</v>
      </c>
      <c r="L600" s="2">
        <v>0</v>
      </c>
      <c r="M600" s="13">
        <v>84</v>
      </c>
      <c r="N600" s="2">
        <v>10.92</v>
      </c>
      <c r="O600" s="2">
        <v>0</v>
      </c>
      <c r="P600" s="2">
        <v>0</v>
      </c>
      <c r="Q600" s="13">
        <v>94.92</v>
      </c>
      <c r="R600" s="2">
        <v>0</v>
      </c>
      <c r="S600" s="2" t="s">
        <v>1</v>
      </c>
    </row>
    <row r="601" spans="1:19" x14ac:dyDescent="0.25">
      <c r="A601" s="2" t="s">
        <v>480</v>
      </c>
      <c r="B601" s="20">
        <v>44956</v>
      </c>
      <c r="C601" s="2" t="s">
        <v>1</v>
      </c>
      <c r="D601" s="2" t="s">
        <v>0</v>
      </c>
      <c r="E601" s="2" t="s">
        <v>1168</v>
      </c>
      <c r="F601" s="2" t="s">
        <v>1169</v>
      </c>
      <c r="G601" s="14">
        <v>1106</v>
      </c>
      <c r="H601" s="18">
        <v>1106</v>
      </c>
      <c r="I601" s="19" t="s">
        <v>152</v>
      </c>
      <c r="J601" s="13" t="s">
        <v>153</v>
      </c>
      <c r="K601" s="2">
        <v>0</v>
      </c>
      <c r="L601" s="2">
        <v>0</v>
      </c>
      <c r="M601" s="13">
        <v>99.56</v>
      </c>
      <c r="N601" s="2">
        <v>12.9428</v>
      </c>
      <c r="O601" s="2">
        <v>0</v>
      </c>
      <c r="P601" s="2">
        <v>0</v>
      </c>
      <c r="Q601" s="13">
        <v>112.50280000000001</v>
      </c>
      <c r="R601" s="2">
        <v>0</v>
      </c>
      <c r="S601" s="2" t="s">
        <v>1</v>
      </c>
    </row>
    <row r="602" spans="1:19" x14ac:dyDescent="0.25">
      <c r="A602" s="2" t="s">
        <v>480</v>
      </c>
      <c r="B602" s="20">
        <v>44956</v>
      </c>
      <c r="C602" s="2" t="s">
        <v>1</v>
      </c>
      <c r="D602" s="2" t="s">
        <v>0</v>
      </c>
      <c r="E602" s="2" t="s">
        <v>1168</v>
      </c>
      <c r="F602" s="2" t="s">
        <v>1169</v>
      </c>
      <c r="G602" s="14">
        <v>1107</v>
      </c>
      <c r="H602" s="18">
        <v>1107</v>
      </c>
      <c r="I602" s="19" t="s">
        <v>435</v>
      </c>
      <c r="J602" s="13" t="s">
        <v>434</v>
      </c>
      <c r="K602" s="2">
        <v>0</v>
      </c>
      <c r="L602" s="2">
        <v>0</v>
      </c>
      <c r="M602" s="13">
        <v>0</v>
      </c>
      <c r="N602" s="2">
        <v>0</v>
      </c>
      <c r="O602" s="2">
        <v>0</v>
      </c>
      <c r="P602" s="2">
        <v>0</v>
      </c>
      <c r="Q602" s="13">
        <v>0</v>
      </c>
      <c r="R602" s="2">
        <v>0</v>
      </c>
      <c r="S602" s="2" t="s">
        <v>1</v>
      </c>
    </row>
    <row r="603" spans="1:19" x14ac:dyDescent="0.25">
      <c r="A603" s="2" t="s">
        <v>480</v>
      </c>
      <c r="B603" s="20">
        <v>44956</v>
      </c>
      <c r="C603" s="2" t="s">
        <v>1</v>
      </c>
      <c r="D603" s="2" t="s">
        <v>0</v>
      </c>
      <c r="E603" s="2" t="s">
        <v>1168</v>
      </c>
      <c r="F603" s="2" t="s">
        <v>1169</v>
      </c>
      <c r="G603" s="14">
        <v>1108</v>
      </c>
      <c r="H603" s="18">
        <v>1108</v>
      </c>
      <c r="I603" s="19" t="s">
        <v>951</v>
      </c>
      <c r="J603" s="13" t="s">
        <v>952</v>
      </c>
      <c r="K603" s="2">
        <v>0</v>
      </c>
      <c r="L603" s="2">
        <v>0</v>
      </c>
      <c r="M603" s="13">
        <v>88.5</v>
      </c>
      <c r="N603" s="2">
        <v>11.505000000000001</v>
      </c>
      <c r="O603" s="2">
        <v>0</v>
      </c>
      <c r="P603" s="2">
        <v>0</v>
      </c>
      <c r="Q603" s="13">
        <v>100.005</v>
      </c>
      <c r="R603" s="2">
        <v>0</v>
      </c>
      <c r="S603" s="2" t="s">
        <v>1</v>
      </c>
    </row>
    <row r="604" spans="1:19" x14ac:dyDescent="0.25">
      <c r="A604" s="2" t="s">
        <v>480</v>
      </c>
      <c r="B604" s="20">
        <v>44957</v>
      </c>
      <c r="C604" s="2" t="s">
        <v>1</v>
      </c>
      <c r="D604" s="2" t="s">
        <v>0</v>
      </c>
      <c r="E604" s="2" t="s">
        <v>1168</v>
      </c>
      <c r="F604" s="2" t="s">
        <v>1169</v>
      </c>
      <c r="G604" s="14">
        <v>1109</v>
      </c>
      <c r="H604" s="18">
        <v>1109</v>
      </c>
      <c r="I604" s="19" t="s">
        <v>435</v>
      </c>
      <c r="J604" s="13" t="s">
        <v>434</v>
      </c>
      <c r="K604" s="2">
        <v>0</v>
      </c>
      <c r="L604" s="2">
        <v>0</v>
      </c>
      <c r="M604" s="13">
        <v>0</v>
      </c>
      <c r="N604" s="2">
        <v>0</v>
      </c>
      <c r="O604" s="2">
        <v>0</v>
      </c>
      <c r="P604" s="2">
        <v>0</v>
      </c>
      <c r="Q604" s="13">
        <v>0</v>
      </c>
      <c r="R604" s="2">
        <v>0</v>
      </c>
      <c r="S604" s="2" t="s">
        <v>1</v>
      </c>
    </row>
    <row r="605" spans="1:19" x14ac:dyDescent="0.25">
      <c r="A605" s="2" t="s">
        <v>480</v>
      </c>
      <c r="B605" s="20">
        <v>44957</v>
      </c>
      <c r="C605" s="2" t="s">
        <v>1</v>
      </c>
      <c r="D605" s="2" t="s">
        <v>0</v>
      </c>
      <c r="E605" s="2" t="s">
        <v>1168</v>
      </c>
      <c r="F605" s="2" t="s">
        <v>1169</v>
      </c>
      <c r="G605" s="14">
        <v>1110</v>
      </c>
      <c r="H605" s="18">
        <v>1110</v>
      </c>
      <c r="I605" s="19">
        <v>0</v>
      </c>
      <c r="J605" s="13" t="s">
        <v>954</v>
      </c>
      <c r="K605" s="2">
        <v>0</v>
      </c>
      <c r="L605" s="2">
        <v>0</v>
      </c>
      <c r="M605" s="13">
        <v>10.62</v>
      </c>
      <c r="N605" s="2">
        <v>1.3806</v>
      </c>
      <c r="O605" s="2">
        <v>0</v>
      </c>
      <c r="P605" s="2">
        <v>0</v>
      </c>
      <c r="Q605" s="13">
        <v>12.000599999999999</v>
      </c>
      <c r="R605" s="2" t="s">
        <v>953</v>
      </c>
      <c r="S605" s="2" t="s">
        <v>1</v>
      </c>
    </row>
    <row r="606" spans="1:19" x14ac:dyDescent="0.25">
      <c r="A606" s="2" t="s">
        <v>480</v>
      </c>
      <c r="B606" s="20">
        <v>44957</v>
      </c>
      <c r="C606" s="2" t="s">
        <v>1</v>
      </c>
      <c r="D606" s="2" t="s">
        <v>0</v>
      </c>
      <c r="E606" s="2" t="s">
        <v>1168</v>
      </c>
      <c r="F606" s="2" t="s">
        <v>1169</v>
      </c>
      <c r="G606" s="14">
        <v>1111</v>
      </c>
      <c r="H606" s="18">
        <v>1111</v>
      </c>
      <c r="I606" s="19" t="s">
        <v>1031</v>
      </c>
      <c r="J606" s="13" t="s">
        <v>1032</v>
      </c>
      <c r="K606" s="2">
        <v>0</v>
      </c>
      <c r="L606" s="2">
        <v>0</v>
      </c>
      <c r="M606" s="13">
        <v>77.430000000000007</v>
      </c>
      <c r="N606" s="2">
        <v>10.065900000000001</v>
      </c>
      <c r="O606" s="2">
        <v>0</v>
      </c>
      <c r="P606" s="2">
        <v>0</v>
      </c>
      <c r="Q606" s="13">
        <v>87.495900000000006</v>
      </c>
      <c r="R606" s="2">
        <v>0</v>
      </c>
      <c r="S606" s="2" t="s">
        <v>1</v>
      </c>
    </row>
    <row r="607" spans="1:19" x14ac:dyDescent="0.25">
      <c r="A607" s="2" t="s">
        <v>480</v>
      </c>
      <c r="B607" s="20">
        <v>44957</v>
      </c>
      <c r="C607" s="2" t="s">
        <v>1</v>
      </c>
      <c r="D607" s="2" t="s">
        <v>0</v>
      </c>
      <c r="E607" s="2" t="s">
        <v>1168</v>
      </c>
      <c r="F607" s="2" t="s">
        <v>1169</v>
      </c>
      <c r="G607" s="14">
        <v>1112</v>
      </c>
      <c r="H607" s="18">
        <v>1112</v>
      </c>
      <c r="I607" s="19" t="s">
        <v>969</v>
      </c>
      <c r="J607" s="13" t="s">
        <v>970</v>
      </c>
      <c r="K607" s="2">
        <v>0</v>
      </c>
      <c r="L607" s="2">
        <v>0</v>
      </c>
      <c r="M607" s="13">
        <v>150</v>
      </c>
      <c r="N607" s="2">
        <v>19.5</v>
      </c>
      <c r="O607" s="2">
        <v>0</v>
      </c>
      <c r="P607" s="2">
        <v>0</v>
      </c>
      <c r="Q607" s="13">
        <v>169.5</v>
      </c>
      <c r="R607" s="2">
        <v>0</v>
      </c>
      <c r="S607" s="2" t="s">
        <v>1</v>
      </c>
    </row>
    <row r="608" spans="1:19" x14ac:dyDescent="0.25">
      <c r="A608" s="2" t="s">
        <v>480</v>
      </c>
      <c r="B608" s="20">
        <v>44957</v>
      </c>
      <c r="C608" s="2" t="s">
        <v>1</v>
      </c>
      <c r="D608" s="2" t="s">
        <v>0</v>
      </c>
      <c r="E608" s="2" t="s">
        <v>1168</v>
      </c>
      <c r="F608" s="2" t="s">
        <v>1169</v>
      </c>
      <c r="G608" s="14">
        <v>1113</v>
      </c>
      <c r="H608" s="18">
        <v>1113</v>
      </c>
      <c r="I608" s="19">
        <v>0</v>
      </c>
      <c r="J608" s="13" t="s">
        <v>1179</v>
      </c>
      <c r="K608" s="2">
        <v>0</v>
      </c>
      <c r="L608" s="2">
        <v>0</v>
      </c>
      <c r="M608" s="13">
        <v>118.2</v>
      </c>
      <c r="N608" s="2">
        <v>15.366000000000001</v>
      </c>
      <c r="O608" s="2">
        <v>0</v>
      </c>
      <c r="P608" s="2">
        <v>0</v>
      </c>
      <c r="Q608" s="13">
        <v>133.566</v>
      </c>
      <c r="R608" s="2" t="s">
        <v>1178</v>
      </c>
      <c r="S608" s="2" t="s">
        <v>1</v>
      </c>
    </row>
    <row r="609" spans="1:19" x14ac:dyDescent="0.25">
      <c r="A609" s="2" t="s">
        <v>480</v>
      </c>
      <c r="B609" s="20">
        <v>44957</v>
      </c>
      <c r="C609" s="2" t="s">
        <v>1</v>
      </c>
      <c r="D609" s="2" t="s">
        <v>0</v>
      </c>
      <c r="E609" s="2" t="s">
        <v>1168</v>
      </c>
      <c r="F609" s="2" t="s">
        <v>1169</v>
      </c>
      <c r="G609" s="14">
        <v>1114</v>
      </c>
      <c r="H609" s="18">
        <v>1114</v>
      </c>
      <c r="I609" s="19">
        <v>0</v>
      </c>
      <c r="J609" s="13" t="s">
        <v>986</v>
      </c>
      <c r="K609" s="2">
        <v>0</v>
      </c>
      <c r="L609" s="2">
        <v>0</v>
      </c>
      <c r="M609" s="13">
        <v>274.43</v>
      </c>
      <c r="N609" s="2">
        <v>35.675899999999999</v>
      </c>
      <c r="O609" s="2">
        <v>0</v>
      </c>
      <c r="P609" s="2">
        <v>0</v>
      </c>
      <c r="Q609" s="13">
        <v>310.10590000000002</v>
      </c>
      <c r="R609" s="2" t="s">
        <v>985</v>
      </c>
      <c r="S609" s="2" t="s">
        <v>1</v>
      </c>
    </row>
    <row r="610" spans="1:19" x14ac:dyDescent="0.25">
      <c r="A610" s="2" t="s">
        <v>480</v>
      </c>
      <c r="B610" s="20">
        <v>44957</v>
      </c>
      <c r="C610" s="2" t="s">
        <v>1</v>
      </c>
      <c r="D610" s="2" t="s">
        <v>0</v>
      </c>
      <c r="E610" s="2" t="s">
        <v>1168</v>
      </c>
      <c r="F610" s="2" t="s">
        <v>1169</v>
      </c>
      <c r="G610" s="14">
        <v>1115</v>
      </c>
      <c r="H610" s="18">
        <v>1115</v>
      </c>
      <c r="I610" s="19">
        <v>0</v>
      </c>
      <c r="J610" s="13" t="s">
        <v>562</v>
      </c>
      <c r="K610" s="2">
        <v>0</v>
      </c>
      <c r="L610" s="2">
        <v>0</v>
      </c>
      <c r="M610" s="13">
        <v>103.2</v>
      </c>
      <c r="N610" s="2">
        <v>13.416</v>
      </c>
      <c r="O610" s="2">
        <v>0</v>
      </c>
      <c r="P610" s="2">
        <v>0</v>
      </c>
      <c r="Q610" s="13">
        <v>116.616</v>
      </c>
      <c r="R610" s="2" t="s">
        <v>561</v>
      </c>
      <c r="S610" s="2" t="s">
        <v>1</v>
      </c>
    </row>
    <row r="611" spans="1:19" x14ac:dyDescent="0.25">
      <c r="A611" s="2" t="s">
        <v>480</v>
      </c>
      <c r="B611" s="20">
        <v>44957</v>
      </c>
      <c r="C611" s="2" t="s">
        <v>1</v>
      </c>
      <c r="D611" s="2" t="s">
        <v>0</v>
      </c>
      <c r="E611" s="2" t="s">
        <v>1168</v>
      </c>
      <c r="F611" s="2" t="s">
        <v>1169</v>
      </c>
      <c r="G611" s="14">
        <v>1116</v>
      </c>
      <c r="H611" s="18">
        <v>1116</v>
      </c>
      <c r="I611" s="19" t="s">
        <v>1118</v>
      </c>
      <c r="J611" s="13" t="s">
        <v>1119</v>
      </c>
      <c r="K611" s="2">
        <v>0</v>
      </c>
      <c r="L611" s="2">
        <v>0</v>
      </c>
      <c r="M611" s="13">
        <v>37.17</v>
      </c>
      <c r="N611" s="2">
        <v>4.8321000000000005</v>
      </c>
      <c r="O611" s="2">
        <v>0</v>
      </c>
      <c r="P611" s="2">
        <v>0</v>
      </c>
      <c r="Q611" s="13">
        <v>42.002099999999999</v>
      </c>
      <c r="R611" s="2">
        <v>0</v>
      </c>
      <c r="S611" s="2" t="s">
        <v>1</v>
      </c>
    </row>
    <row r="612" spans="1:19" x14ac:dyDescent="0.25">
      <c r="A612" s="2" t="s">
        <v>480</v>
      </c>
      <c r="B612" s="20">
        <v>44957</v>
      </c>
      <c r="C612" s="2" t="s">
        <v>1</v>
      </c>
      <c r="D612" s="2" t="s">
        <v>0</v>
      </c>
      <c r="E612" s="2" t="s">
        <v>1168</v>
      </c>
      <c r="F612" s="2" t="s">
        <v>1169</v>
      </c>
      <c r="G612" s="14">
        <v>1117</v>
      </c>
      <c r="H612" s="18">
        <v>1117</v>
      </c>
      <c r="I612" s="19" t="s">
        <v>1111</v>
      </c>
      <c r="J612" s="13" t="s">
        <v>1112</v>
      </c>
      <c r="K612" s="2">
        <v>0</v>
      </c>
      <c r="L612" s="2">
        <v>0</v>
      </c>
      <c r="M612" s="13">
        <v>105.07</v>
      </c>
      <c r="N612" s="2">
        <v>13.6591</v>
      </c>
      <c r="O612" s="2">
        <v>0</v>
      </c>
      <c r="P612" s="2">
        <v>0</v>
      </c>
      <c r="Q612" s="13">
        <v>118.72909999999999</v>
      </c>
      <c r="R612" s="2">
        <v>0</v>
      </c>
      <c r="S612" s="2" t="s">
        <v>1</v>
      </c>
    </row>
    <row r="613" spans="1:19" x14ac:dyDescent="0.25">
      <c r="A613" s="2" t="s">
        <v>480</v>
      </c>
      <c r="B613" s="20">
        <v>44957</v>
      </c>
      <c r="C613" s="2" t="s">
        <v>1</v>
      </c>
      <c r="D613" s="2" t="s">
        <v>0</v>
      </c>
      <c r="E613" s="2" t="s">
        <v>1168</v>
      </c>
      <c r="F613" s="2" t="s">
        <v>1169</v>
      </c>
      <c r="G613" s="14">
        <v>1118</v>
      </c>
      <c r="H613" s="18">
        <v>1118</v>
      </c>
      <c r="I613" s="19" t="s">
        <v>435</v>
      </c>
      <c r="J613" s="13" t="s">
        <v>434</v>
      </c>
      <c r="K613" s="2">
        <v>0</v>
      </c>
      <c r="L613" s="2">
        <v>0</v>
      </c>
      <c r="M613" s="13">
        <v>0</v>
      </c>
      <c r="N613" s="2">
        <v>0</v>
      </c>
      <c r="O613" s="2">
        <v>0</v>
      </c>
      <c r="P613" s="2">
        <v>0</v>
      </c>
      <c r="Q613" s="13">
        <v>0</v>
      </c>
      <c r="R613" s="2">
        <v>0</v>
      </c>
      <c r="S613" s="2" t="s">
        <v>1</v>
      </c>
    </row>
    <row r="614" spans="1:19" x14ac:dyDescent="0.25">
      <c r="A614" s="2" t="s">
        <v>480</v>
      </c>
      <c r="B614" s="20">
        <v>44957</v>
      </c>
      <c r="C614" s="2" t="s">
        <v>1</v>
      </c>
      <c r="D614" s="2" t="s">
        <v>0</v>
      </c>
      <c r="E614" s="2" t="s">
        <v>1168</v>
      </c>
      <c r="F614" s="2" t="s">
        <v>1169</v>
      </c>
      <c r="G614" s="14">
        <v>1119</v>
      </c>
      <c r="H614" s="18">
        <v>1119</v>
      </c>
      <c r="I614" s="19" t="s">
        <v>957</v>
      </c>
      <c r="J614" s="13" t="s">
        <v>958</v>
      </c>
      <c r="K614" s="2">
        <v>0</v>
      </c>
      <c r="L614" s="2">
        <v>0</v>
      </c>
      <c r="M614" s="13">
        <v>11</v>
      </c>
      <c r="N614" s="2">
        <v>1.4300000000000002</v>
      </c>
      <c r="O614" s="2">
        <v>0</v>
      </c>
      <c r="P614" s="2">
        <v>0</v>
      </c>
      <c r="Q614" s="13">
        <v>12.43</v>
      </c>
      <c r="R614" s="2">
        <v>0</v>
      </c>
      <c r="S614" s="2" t="s">
        <v>1</v>
      </c>
    </row>
    <row r="615" spans="1:19" x14ac:dyDescent="0.25">
      <c r="A615" s="2" t="s">
        <v>480</v>
      </c>
      <c r="B615" s="20">
        <v>44957</v>
      </c>
      <c r="C615" s="2" t="s">
        <v>1</v>
      </c>
      <c r="D615" s="2" t="s">
        <v>0</v>
      </c>
      <c r="E615" s="2" t="s">
        <v>1168</v>
      </c>
      <c r="F615" s="2" t="s">
        <v>1169</v>
      </c>
      <c r="G615" s="14">
        <v>1120</v>
      </c>
      <c r="H615" s="18">
        <v>1120</v>
      </c>
      <c r="I615" s="19" t="s">
        <v>58</v>
      </c>
      <c r="J615" s="13" t="s">
        <v>59</v>
      </c>
      <c r="K615" s="2">
        <v>0</v>
      </c>
      <c r="L615" s="2">
        <v>0</v>
      </c>
      <c r="M615" s="13">
        <v>942.6</v>
      </c>
      <c r="N615" s="2">
        <v>122.53800000000001</v>
      </c>
      <c r="O615" s="2">
        <v>0</v>
      </c>
      <c r="P615" s="2">
        <v>0</v>
      </c>
      <c r="Q615" s="13">
        <v>1065.1379999999999</v>
      </c>
      <c r="R615" s="2">
        <v>0</v>
      </c>
      <c r="S615" s="2" t="s">
        <v>1</v>
      </c>
    </row>
    <row r="616" spans="1:19" x14ac:dyDescent="0.25">
      <c r="A616" s="2" t="s">
        <v>480</v>
      </c>
      <c r="B616" s="20">
        <v>44957</v>
      </c>
      <c r="C616" s="2" t="s">
        <v>1</v>
      </c>
      <c r="D616" s="2" t="s">
        <v>0</v>
      </c>
      <c r="E616" s="2" t="s">
        <v>1168</v>
      </c>
      <c r="F616" s="2" t="s">
        <v>1169</v>
      </c>
      <c r="G616" s="14">
        <v>1121</v>
      </c>
      <c r="H616" s="18">
        <v>1121</v>
      </c>
      <c r="I616" s="19" t="s">
        <v>1176</v>
      </c>
      <c r="J616" s="13" t="s">
        <v>1177</v>
      </c>
      <c r="K616" s="2">
        <v>0</v>
      </c>
      <c r="L616" s="2">
        <v>0</v>
      </c>
      <c r="M616" s="13">
        <v>72.61</v>
      </c>
      <c r="N616" s="2">
        <v>9.4393000000000011</v>
      </c>
      <c r="O616" s="2">
        <v>0</v>
      </c>
      <c r="P616" s="2">
        <v>0</v>
      </c>
      <c r="Q616" s="13">
        <v>82.049300000000002</v>
      </c>
      <c r="R616" s="2">
        <v>0</v>
      </c>
      <c r="S616" s="2" t="s">
        <v>1</v>
      </c>
    </row>
    <row r="617" spans="1:19" x14ac:dyDescent="0.25">
      <c r="A617" s="2" t="s">
        <v>480</v>
      </c>
      <c r="B617" s="20">
        <v>44957</v>
      </c>
      <c r="C617" s="2" t="s">
        <v>1</v>
      </c>
      <c r="D617" s="2" t="s">
        <v>0</v>
      </c>
      <c r="E617" s="2" t="s">
        <v>1168</v>
      </c>
      <c r="F617" s="2" t="s">
        <v>1169</v>
      </c>
      <c r="G617" s="14">
        <v>1122</v>
      </c>
      <c r="H617" s="18">
        <v>1122</v>
      </c>
      <c r="I617" s="19" t="s">
        <v>1111</v>
      </c>
      <c r="J617" s="13" t="s">
        <v>1112</v>
      </c>
      <c r="K617" s="2">
        <v>0</v>
      </c>
      <c r="L617" s="2">
        <v>0</v>
      </c>
      <c r="M617" s="13">
        <v>91.2</v>
      </c>
      <c r="N617" s="2">
        <v>11.856000000000002</v>
      </c>
      <c r="O617" s="2">
        <v>0</v>
      </c>
      <c r="P617" s="2">
        <v>0</v>
      </c>
      <c r="Q617" s="13">
        <v>103.05600000000001</v>
      </c>
      <c r="R617" s="2">
        <v>0</v>
      </c>
      <c r="S617" s="2" t="s">
        <v>1</v>
      </c>
    </row>
    <row r="618" spans="1:19" x14ac:dyDescent="0.25">
      <c r="A618" s="2" t="s">
        <v>480</v>
      </c>
      <c r="B618" s="20">
        <v>44957</v>
      </c>
      <c r="C618" s="2" t="s">
        <v>1</v>
      </c>
      <c r="D618" s="2" t="s">
        <v>0</v>
      </c>
      <c r="E618" s="2" t="s">
        <v>1168</v>
      </c>
      <c r="F618" s="2" t="s">
        <v>1169</v>
      </c>
      <c r="G618" s="14">
        <v>1123</v>
      </c>
      <c r="H618" s="18">
        <v>1123</v>
      </c>
      <c r="I618" s="19" t="s">
        <v>81</v>
      </c>
      <c r="J618" s="13" t="s">
        <v>82</v>
      </c>
      <c r="K618" s="2">
        <v>0</v>
      </c>
      <c r="L618" s="2">
        <v>0</v>
      </c>
      <c r="M618" s="13">
        <v>130.86000000000001</v>
      </c>
      <c r="N618" s="2">
        <v>17.011800000000001</v>
      </c>
      <c r="O618" s="2">
        <v>0</v>
      </c>
      <c r="P618" s="2">
        <v>0</v>
      </c>
      <c r="Q618" s="13">
        <v>147.87180000000001</v>
      </c>
      <c r="R618" s="2">
        <v>0</v>
      </c>
      <c r="S618" s="2" t="s">
        <v>1</v>
      </c>
    </row>
    <row r="619" spans="1:19" x14ac:dyDescent="0.25">
      <c r="A619" s="2" t="s">
        <v>480</v>
      </c>
      <c r="B619" s="20">
        <v>44957</v>
      </c>
      <c r="C619" s="2" t="s">
        <v>1</v>
      </c>
      <c r="D619" s="2" t="s">
        <v>0</v>
      </c>
      <c r="E619" s="2" t="s">
        <v>1168</v>
      </c>
      <c r="F619" s="2" t="s">
        <v>1169</v>
      </c>
      <c r="G619" s="14">
        <v>1124</v>
      </c>
      <c r="H619" s="18">
        <v>1124</v>
      </c>
      <c r="I619" s="19" t="s">
        <v>100</v>
      </c>
      <c r="J619" s="13" t="s">
        <v>101</v>
      </c>
      <c r="K619" s="2">
        <v>0</v>
      </c>
      <c r="L619" s="2">
        <v>0</v>
      </c>
      <c r="M619" s="13">
        <v>81</v>
      </c>
      <c r="N619" s="2">
        <v>10.530000000000001</v>
      </c>
      <c r="O619" s="2">
        <v>0</v>
      </c>
      <c r="P619" s="2">
        <v>0</v>
      </c>
      <c r="Q619" s="13">
        <v>91.53</v>
      </c>
      <c r="R619" s="2">
        <v>0</v>
      </c>
      <c r="S619" s="2" t="s">
        <v>1</v>
      </c>
    </row>
    <row r="620" spans="1:19" x14ac:dyDescent="0.25">
      <c r="A620" s="2" t="s">
        <v>480</v>
      </c>
      <c r="B620" s="20">
        <v>44957</v>
      </c>
      <c r="C620" s="2" t="s">
        <v>1</v>
      </c>
      <c r="D620" s="2" t="s">
        <v>0</v>
      </c>
      <c r="E620" s="2" t="s">
        <v>1168</v>
      </c>
      <c r="F620" s="2" t="s">
        <v>1169</v>
      </c>
      <c r="G620" s="14">
        <v>1125</v>
      </c>
      <c r="H620" s="18">
        <v>1125</v>
      </c>
      <c r="I620" s="19">
        <v>0</v>
      </c>
      <c r="J620" s="13" t="s">
        <v>1143</v>
      </c>
      <c r="K620" s="2">
        <v>0</v>
      </c>
      <c r="L620" s="2">
        <v>0</v>
      </c>
      <c r="M620" s="13">
        <v>238.32</v>
      </c>
      <c r="N620" s="2">
        <v>30.9816</v>
      </c>
      <c r="O620" s="2">
        <v>0</v>
      </c>
      <c r="P620" s="2">
        <v>0</v>
      </c>
      <c r="Q620" s="13">
        <v>269.30160000000001</v>
      </c>
      <c r="R620" s="2" t="s">
        <v>1142</v>
      </c>
      <c r="S620" s="2" t="s">
        <v>1</v>
      </c>
    </row>
    <row r="621" spans="1:19" x14ac:dyDescent="0.25">
      <c r="A621" s="2" t="s">
        <v>480</v>
      </c>
      <c r="B621" s="20">
        <v>44957</v>
      </c>
      <c r="C621" s="2" t="s">
        <v>1</v>
      </c>
      <c r="D621" s="2" t="s">
        <v>0</v>
      </c>
      <c r="E621" s="2" t="s">
        <v>1168</v>
      </c>
      <c r="F621" s="2" t="s">
        <v>1169</v>
      </c>
      <c r="G621" s="14">
        <v>1126</v>
      </c>
      <c r="H621" s="18">
        <v>1126</v>
      </c>
      <c r="I621" s="19" t="s">
        <v>1174</v>
      </c>
      <c r="J621" s="13" t="s">
        <v>1175</v>
      </c>
      <c r="K621" s="2">
        <v>0</v>
      </c>
      <c r="L621" s="2">
        <v>0</v>
      </c>
      <c r="M621" s="13">
        <v>28.44</v>
      </c>
      <c r="N621" s="2">
        <v>3.6972000000000005</v>
      </c>
      <c r="O621" s="2">
        <v>0</v>
      </c>
      <c r="P621" s="2">
        <v>0</v>
      </c>
      <c r="Q621" s="13">
        <v>32.1372</v>
      </c>
      <c r="R621" s="2">
        <v>0</v>
      </c>
      <c r="S621" s="2" t="s">
        <v>1</v>
      </c>
    </row>
    <row r="622" spans="1:19" x14ac:dyDescent="0.25">
      <c r="A622" s="2" t="s">
        <v>480</v>
      </c>
      <c r="B622" s="20">
        <v>44957</v>
      </c>
      <c r="C622" s="2" t="s">
        <v>1</v>
      </c>
      <c r="D622" s="2" t="s">
        <v>0</v>
      </c>
      <c r="E622" s="2" t="s">
        <v>1168</v>
      </c>
      <c r="F622" s="2" t="s">
        <v>1169</v>
      </c>
      <c r="G622" s="14">
        <v>1127</v>
      </c>
      <c r="H622" s="18">
        <v>1127</v>
      </c>
      <c r="I622" s="19" t="s">
        <v>1109</v>
      </c>
      <c r="J622" s="13" t="s">
        <v>1110</v>
      </c>
      <c r="K622" s="2">
        <v>0</v>
      </c>
      <c r="L622" s="2">
        <v>0</v>
      </c>
      <c r="M622" s="13">
        <v>18.48</v>
      </c>
      <c r="N622" s="2">
        <v>2.4024000000000001</v>
      </c>
      <c r="O622" s="2">
        <v>0</v>
      </c>
      <c r="P622" s="2">
        <v>0</v>
      </c>
      <c r="Q622" s="13">
        <v>20.882400000000001</v>
      </c>
      <c r="R622" s="2">
        <v>0</v>
      </c>
      <c r="S622" s="2" t="s">
        <v>1</v>
      </c>
    </row>
    <row r="623" spans="1:19" x14ac:dyDescent="0.25">
      <c r="A623" s="2" t="s">
        <v>480</v>
      </c>
      <c r="B623" s="20">
        <v>44957</v>
      </c>
      <c r="C623" s="2" t="s">
        <v>1</v>
      </c>
      <c r="D623" s="2" t="s">
        <v>0</v>
      </c>
      <c r="E623" s="2" t="s">
        <v>1168</v>
      </c>
      <c r="F623" s="2" t="s">
        <v>1169</v>
      </c>
      <c r="G623" s="14">
        <v>1128</v>
      </c>
      <c r="H623" s="18">
        <v>1128</v>
      </c>
      <c r="I623" s="19" t="s">
        <v>1059</v>
      </c>
      <c r="J623" s="13" t="s">
        <v>1060</v>
      </c>
      <c r="K623" s="2">
        <v>0</v>
      </c>
      <c r="L623" s="2">
        <v>0</v>
      </c>
      <c r="M623" s="13">
        <v>140.97</v>
      </c>
      <c r="N623" s="2">
        <v>18.3261</v>
      </c>
      <c r="O623" s="2">
        <v>0</v>
      </c>
      <c r="P623" s="2">
        <v>0</v>
      </c>
      <c r="Q623" s="13">
        <v>159.2961</v>
      </c>
      <c r="R623" s="2">
        <v>0</v>
      </c>
      <c r="S623" s="2" t="s">
        <v>1</v>
      </c>
    </row>
    <row r="624" spans="1:19" x14ac:dyDescent="0.25">
      <c r="A624" s="2" t="s">
        <v>480</v>
      </c>
      <c r="B624" s="20">
        <v>44957</v>
      </c>
      <c r="C624" s="2" t="s">
        <v>1</v>
      </c>
      <c r="D624" s="2" t="s">
        <v>0</v>
      </c>
      <c r="E624" s="2" t="s">
        <v>1168</v>
      </c>
      <c r="F624" s="2" t="s">
        <v>1169</v>
      </c>
      <c r="G624" s="14">
        <v>1129</v>
      </c>
      <c r="H624" s="18">
        <v>1129</v>
      </c>
      <c r="I624" s="19">
        <v>0</v>
      </c>
      <c r="J624" s="13" t="s">
        <v>1173</v>
      </c>
      <c r="K624" s="2">
        <v>0</v>
      </c>
      <c r="L624" s="2">
        <v>0</v>
      </c>
      <c r="M624" s="13">
        <v>33.630000000000003</v>
      </c>
      <c r="N624" s="2">
        <v>4.3719000000000001</v>
      </c>
      <c r="O624" s="2">
        <v>0</v>
      </c>
      <c r="P624" s="2">
        <v>0</v>
      </c>
      <c r="Q624" s="13">
        <v>38.001900000000006</v>
      </c>
      <c r="R624" s="2" t="s">
        <v>1172</v>
      </c>
      <c r="S624" s="2" t="s">
        <v>1</v>
      </c>
    </row>
    <row r="625" spans="1:19" x14ac:dyDescent="0.25">
      <c r="A625" s="2" t="s">
        <v>480</v>
      </c>
      <c r="B625" s="20">
        <v>44957</v>
      </c>
      <c r="C625" s="2" t="s">
        <v>1</v>
      </c>
      <c r="D625" s="2" t="s">
        <v>0</v>
      </c>
      <c r="E625" s="2" t="s">
        <v>1168</v>
      </c>
      <c r="F625" s="2" t="s">
        <v>1169</v>
      </c>
      <c r="G625" s="14">
        <v>1130</v>
      </c>
      <c r="H625" s="18">
        <v>1130</v>
      </c>
      <c r="I625" s="19" t="s">
        <v>393</v>
      </c>
      <c r="J625" s="13" t="s">
        <v>394</v>
      </c>
      <c r="K625" s="2">
        <v>0</v>
      </c>
      <c r="L625" s="2">
        <v>0</v>
      </c>
      <c r="M625" s="13">
        <v>54</v>
      </c>
      <c r="N625" s="2">
        <v>7.0200000000000005</v>
      </c>
      <c r="O625" s="2">
        <v>0</v>
      </c>
      <c r="P625" s="2">
        <v>0</v>
      </c>
      <c r="Q625" s="13">
        <v>61.02</v>
      </c>
      <c r="R625" s="2">
        <v>0</v>
      </c>
      <c r="S625" s="2" t="s">
        <v>1</v>
      </c>
    </row>
    <row r="626" spans="1:19" x14ac:dyDescent="0.25">
      <c r="A626" s="2" t="s">
        <v>480</v>
      </c>
      <c r="B626" s="20">
        <v>44957</v>
      </c>
      <c r="C626" s="2" t="s">
        <v>1</v>
      </c>
      <c r="D626" s="2" t="s">
        <v>0</v>
      </c>
      <c r="E626" s="2" t="s">
        <v>1168</v>
      </c>
      <c r="F626" s="2" t="s">
        <v>1169</v>
      </c>
      <c r="G626" s="14">
        <v>1131</v>
      </c>
      <c r="H626" s="18">
        <v>1131</v>
      </c>
      <c r="I626" s="19" t="s">
        <v>393</v>
      </c>
      <c r="J626" s="13" t="s">
        <v>394</v>
      </c>
      <c r="K626" s="2">
        <v>0</v>
      </c>
      <c r="L626" s="2">
        <v>0</v>
      </c>
      <c r="M626" s="13">
        <v>77.349999999999994</v>
      </c>
      <c r="N626" s="2">
        <v>10.0555</v>
      </c>
      <c r="O626" s="2">
        <v>0</v>
      </c>
      <c r="P626" s="2">
        <v>0</v>
      </c>
      <c r="Q626" s="13">
        <v>87.405499999999989</v>
      </c>
      <c r="R626" s="2">
        <v>0</v>
      </c>
      <c r="S626" s="2" t="s">
        <v>1</v>
      </c>
    </row>
    <row r="627" spans="1:19" x14ac:dyDescent="0.25">
      <c r="A627" s="2" t="s">
        <v>480</v>
      </c>
      <c r="B627" s="20">
        <v>44957</v>
      </c>
      <c r="C627" s="2" t="s">
        <v>1</v>
      </c>
      <c r="D627" s="2" t="s">
        <v>0</v>
      </c>
      <c r="E627" s="2" t="s">
        <v>1168</v>
      </c>
      <c r="F627" s="2" t="s">
        <v>1169</v>
      </c>
      <c r="G627" s="14">
        <v>1132</v>
      </c>
      <c r="H627" s="18">
        <v>1132</v>
      </c>
      <c r="I627" s="19" t="s">
        <v>98</v>
      </c>
      <c r="J627" s="13" t="s">
        <v>99</v>
      </c>
      <c r="K627" s="2">
        <v>0</v>
      </c>
      <c r="L627" s="2">
        <v>0</v>
      </c>
      <c r="M627" s="13">
        <v>65.349999999999994</v>
      </c>
      <c r="N627" s="2">
        <v>8.4954999999999998</v>
      </c>
      <c r="O627" s="2">
        <v>0</v>
      </c>
      <c r="P627" s="2">
        <v>0</v>
      </c>
      <c r="Q627" s="13">
        <v>73.845499999999987</v>
      </c>
      <c r="R627" s="2">
        <v>0</v>
      </c>
      <c r="S627" s="2" t="s">
        <v>1</v>
      </c>
    </row>
    <row r="628" spans="1:19" x14ac:dyDescent="0.25">
      <c r="A628" s="2" t="s">
        <v>480</v>
      </c>
      <c r="B628" s="20">
        <v>44957</v>
      </c>
      <c r="C628" s="2" t="s">
        <v>1</v>
      </c>
      <c r="D628" s="2" t="s">
        <v>0</v>
      </c>
      <c r="E628" s="2" t="s">
        <v>1168</v>
      </c>
      <c r="F628" s="2" t="s">
        <v>1169</v>
      </c>
      <c r="G628" s="14">
        <v>1133</v>
      </c>
      <c r="H628" s="18">
        <v>1133</v>
      </c>
      <c r="I628" s="19" t="s">
        <v>98</v>
      </c>
      <c r="J628" s="13" t="s">
        <v>99</v>
      </c>
      <c r="K628" s="2">
        <v>0</v>
      </c>
      <c r="L628" s="2">
        <v>0</v>
      </c>
      <c r="M628" s="13">
        <v>167.8</v>
      </c>
      <c r="N628" s="2">
        <v>21.814000000000004</v>
      </c>
      <c r="O628" s="2">
        <v>0</v>
      </c>
      <c r="P628" s="2">
        <v>0</v>
      </c>
      <c r="Q628" s="13">
        <v>189.614</v>
      </c>
      <c r="R628" s="2">
        <v>0</v>
      </c>
      <c r="S628" s="2" t="s">
        <v>1</v>
      </c>
    </row>
    <row r="629" spans="1:19" x14ac:dyDescent="0.25">
      <c r="A629" s="2" t="s">
        <v>480</v>
      </c>
      <c r="B629" s="20">
        <v>44957</v>
      </c>
      <c r="C629" s="2" t="s">
        <v>1</v>
      </c>
      <c r="D629" s="2" t="s">
        <v>0</v>
      </c>
      <c r="E629" s="2" t="s">
        <v>1168</v>
      </c>
      <c r="F629" s="2" t="s">
        <v>1169</v>
      </c>
      <c r="G629" s="14">
        <v>1134</v>
      </c>
      <c r="H629" s="18">
        <v>1134</v>
      </c>
      <c r="I629" s="19" t="s">
        <v>1170</v>
      </c>
      <c r="J629" s="13" t="s">
        <v>1171</v>
      </c>
      <c r="K629" s="2">
        <v>0</v>
      </c>
      <c r="L629" s="2">
        <v>0</v>
      </c>
      <c r="M629" s="13">
        <v>42.57</v>
      </c>
      <c r="N629" s="2">
        <v>5.5341000000000005</v>
      </c>
      <c r="O629" s="2">
        <v>0</v>
      </c>
      <c r="P629" s="2">
        <v>0</v>
      </c>
      <c r="Q629" s="13">
        <v>48.104100000000003</v>
      </c>
      <c r="R629" s="2">
        <v>0</v>
      </c>
      <c r="S629" s="2" t="s">
        <v>1</v>
      </c>
    </row>
    <row r="630" spans="1:19" x14ac:dyDescent="0.25">
      <c r="A630" s="2" t="s">
        <v>480</v>
      </c>
      <c r="B630" s="20">
        <v>44957</v>
      </c>
      <c r="C630" s="2" t="s">
        <v>1</v>
      </c>
      <c r="D630" s="2" t="s">
        <v>0</v>
      </c>
      <c r="E630" s="2" t="s">
        <v>1168</v>
      </c>
      <c r="F630" s="2" t="s">
        <v>1169</v>
      </c>
      <c r="G630" s="14">
        <v>1135</v>
      </c>
      <c r="H630" s="18">
        <v>1135</v>
      </c>
      <c r="I630" s="19" t="s">
        <v>98</v>
      </c>
      <c r="J630" s="13" t="s">
        <v>99</v>
      </c>
      <c r="K630" s="2">
        <v>0</v>
      </c>
      <c r="L630" s="2">
        <v>0</v>
      </c>
      <c r="M630" s="13">
        <v>83.4</v>
      </c>
      <c r="N630" s="2">
        <v>10.842000000000001</v>
      </c>
      <c r="O630" s="2">
        <v>0</v>
      </c>
      <c r="P630" s="2">
        <v>0</v>
      </c>
      <c r="Q630" s="13">
        <v>94.242000000000004</v>
      </c>
      <c r="R630" s="2">
        <v>0</v>
      </c>
      <c r="S630" s="2" t="s">
        <v>1</v>
      </c>
    </row>
    <row r="631" spans="1:19" x14ac:dyDescent="0.25">
      <c r="A631" s="2" t="s">
        <v>480</v>
      </c>
      <c r="B631" s="20">
        <v>44957</v>
      </c>
      <c r="C631" s="2" t="s">
        <v>1</v>
      </c>
      <c r="D631" s="2" t="s">
        <v>0</v>
      </c>
      <c r="E631" s="2" t="s">
        <v>1168</v>
      </c>
      <c r="F631" s="2" t="s">
        <v>1169</v>
      </c>
      <c r="G631" s="14">
        <v>1136</v>
      </c>
      <c r="H631" s="18">
        <v>1136</v>
      </c>
      <c r="I631" s="19" t="s">
        <v>98</v>
      </c>
      <c r="J631" s="13" t="s">
        <v>99</v>
      </c>
      <c r="K631" s="2">
        <v>0</v>
      </c>
      <c r="L631" s="2">
        <v>0</v>
      </c>
      <c r="M631" s="13">
        <v>53</v>
      </c>
      <c r="N631" s="2">
        <v>6.8900000000000006</v>
      </c>
      <c r="O631" s="2">
        <v>0</v>
      </c>
      <c r="P631" s="2">
        <v>0</v>
      </c>
      <c r="Q631" s="13">
        <v>59.89</v>
      </c>
      <c r="R631" s="2">
        <v>0</v>
      </c>
      <c r="S631" s="2" t="s">
        <v>1</v>
      </c>
    </row>
    <row r="632" spans="1:19" x14ac:dyDescent="0.25">
      <c r="A632" s="2" t="s">
        <v>480</v>
      </c>
      <c r="B632" s="20">
        <v>44957</v>
      </c>
      <c r="C632" s="2" t="s">
        <v>1</v>
      </c>
      <c r="D632" s="2" t="s">
        <v>0</v>
      </c>
      <c r="E632" s="2" t="s">
        <v>1168</v>
      </c>
      <c r="F632" s="2" t="s">
        <v>1169</v>
      </c>
      <c r="G632" s="14">
        <v>1137</v>
      </c>
      <c r="H632" s="18">
        <v>1137</v>
      </c>
      <c r="I632" s="19" t="s">
        <v>989</v>
      </c>
      <c r="J632" s="13" t="s">
        <v>990</v>
      </c>
      <c r="K632" s="2">
        <v>0</v>
      </c>
      <c r="L632" s="2">
        <v>0</v>
      </c>
      <c r="M632" s="13">
        <v>198.24</v>
      </c>
      <c r="N632" s="2">
        <v>25.7712</v>
      </c>
      <c r="O632" s="2">
        <v>0</v>
      </c>
      <c r="P632" s="2">
        <v>0</v>
      </c>
      <c r="Q632" s="13">
        <v>224.0112</v>
      </c>
      <c r="R632" s="2">
        <v>0</v>
      </c>
      <c r="S632" s="2" t="s">
        <v>1</v>
      </c>
    </row>
    <row r="633" spans="1:19" x14ac:dyDescent="0.25">
      <c r="A633" s="2" t="s">
        <v>480</v>
      </c>
      <c r="B633" s="20">
        <v>44957</v>
      </c>
      <c r="C633" s="2" t="s">
        <v>1</v>
      </c>
      <c r="D633" s="2" t="s">
        <v>0</v>
      </c>
      <c r="E633" s="2" t="s">
        <v>1168</v>
      </c>
      <c r="F633" s="2" t="s">
        <v>1169</v>
      </c>
      <c r="G633" s="14">
        <v>1138</v>
      </c>
      <c r="H633" s="18">
        <v>1138</v>
      </c>
      <c r="I633" s="19" t="s">
        <v>360</v>
      </c>
      <c r="J633" s="13" t="s">
        <v>361</v>
      </c>
      <c r="K633" s="2">
        <v>0</v>
      </c>
      <c r="L633" s="2">
        <v>0</v>
      </c>
      <c r="M633" s="13">
        <v>3.56</v>
      </c>
      <c r="N633" s="2">
        <v>0.46280000000000004</v>
      </c>
      <c r="O633" s="2">
        <v>0</v>
      </c>
      <c r="P633" s="2">
        <v>0</v>
      </c>
      <c r="Q633" s="13">
        <v>4.0228000000000002</v>
      </c>
      <c r="R633" s="2">
        <v>0</v>
      </c>
      <c r="S633" s="2" t="s">
        <v>1</v>
      </c>
    </row>
    <row r="634" spans="1:19" x14ac:dyDescent="0.25">
      <c r="A634" s="2" t="s">
        <v>480</v>
      </c>
      <c r="B634" s="20">
        <v>44957</v>
      </c>
      <c r="C634" s="2" t="s">
        <v>1</v>
      </c>
      <c r="D634" s="2" t="s">
        <v>0</v>
      </c>
      <c r="E634" s="2" t="s">
        <v>1168</v>
      </c>
      <c r="F634" s="2" t="s">
        <v>1169</v>
      </c>
      <c r="G634" s="14">
        <v>1139</v>
      </c>
      <c r="H634" s="18">
        <v>1139</v>
      </c>
      <c r="I634" s="19" t="s">
        <v>1107</v>
      </c>
      <c r="J634" s="13" t="s">
        <v>1108</v>
      </c>
      <c r="K634" s="2">
        <v>0</v>
      </c>
      <c r="L634" s="2">
        <v>0</v>
      </c>
      <c r="M634" s="13">
        <v>33.5</v>
      </c>
      <c r="N634" s="2">
        <v>4.3550000000000004</v>
      </c>
      <c r="O634" s="2">
        <v>0</v>
      </c>
      <c r="P634" s="2">
        <v>0</v>
      </c>
      <c r="Q634" s="13">
        <v>37.855000000000004</v>
      </c>
      <c r="R634" s="2">
        <v>0</v>
      </c>
      <c r="S634" s="2" t="s">
        <v>1</v>
      </c>
    </row>
    <row r="635" spans="1:19" x14ac:dyDescent="0.25">
      <c r="A635" s="2" t="s">
        <v>480</v>
      </c>
      <c r="B635" s="20">
        <v>44957</v>
      </c>
      <c r="C635" s="2" t="s">
        <v>1</v>
      </c>
      <c r="D635" s="2" t="s">
        <v>0</v>
      </c>
      <c r="E635" s="2" t="s">
        <v>1168</v>
      </c>
      <c r="F635" s="2" t="s">
        <v>1169</v>
      </c>
      <c r="G635" s="14">
        <v>1140</v>
      </c>
      <c r="H635" s="18">
        <v>1140</v>
      </c>
      <c r="I635" s="19" t="s">
        <v>1075</v>
      </c>
      <c r="J635" s="13" t="s">
        <v>1076</v>
      </c>
      <c r="K635" s="2">
        <v>0</v>
      </c>
      <c r="L635" s="2">
        <v>0</v>
      </c>
      <c r="M635" s="13">
        <v>123</v>
      </c>
      <c r="N635" s="2">
        <v>15.99</v>
      </c>
      <c r="O635" s="2">
        <v>0</v>
      </c>
      <c r="P635" s="2">
        <v>0</v>
      </c>
      <c r="Q635" s="13">
        <v>138.99</v>
      </c>
      <c r="R635" s="2">
        <v>0</v>
      </c>
      <c r="S635" s="2" t="s">
        <v>1</v>
      </c>
    </row>
    <row r="636" spans="1:19" x14ac:dyDescent="0.25">
      <c r="A636" s="2" t="s">
        <v>480</v>
      </c>
      <c r="B636" s="20">
        <v>44957</v>
      </c>
      <c r="C636" s="2" t="s">
        <v>1</v>
      </c>
      <c r="D636" s="2" t="s">
        <v>0</v>
      </c>
      <c r="E636" s="2" t="s">
        <v>1168</v>
      </c>
      <c r="F636" s="2" t="s">
        <v>1169</v>
      </c>
      <c r="G636" s="14">
        <v>1141</v>
      </c>
      <c r="H636" s="18">
        <v>1141</v>
      </c>
      <c r="I636" s="19" t="s">
        <v>1014</v>
      </c>
      <c r="J636" s="13" t="s">
        <v>1015</v>
      </c>
      <c r="K636" s="2">
        <v>0</v>
      </c>
      <c r="L636" s="2">
        <v>0</v>
      </c>
      <c r="M636" s="13">
        <v>250.13</v>
      </c>
      <c r="N636" s="2">
        <v>32.5169</v>
      </c>
      <c r="O636" s="2">
        <v>0</v>
      </c>
      <c r="P636" s="2">
        <v>0</v>
      </c>
      <c r="Q636" s="13">
        <v>282.64690000000002</v>
      </c>
      <c r="R636" s="2">
        <v>0</v>
      </c>
      <c r="S636" s="2" t="s">
        <v>1</v>
      </c>
    </row>
    <row r="637" spans="1:19" ht="15.75" thickBot="1" x14ac:dyDescent="0.3">
      <c r="R637" s="6"/>
      <c r="S637" s="1"/>
    </row>
    <row r="638" spans="1:19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4"/>
      <c r="K638" s="4">
        <f>+SUBTOTAL(9,Tabla2[VENTA EXENTA])</f>
        <v>0</v>
      </c>
      <c r="L638" s="4">
        <f>+SUBTOTAL(9,Tabla2[VENTA NO SUJETA])</f>
        <v>0</v>
      </c>
      <c r="M638" s="3">
        <f>+SUBTOTAL(9,Tabla2[V. GRAVADA])</f>
        <v>106282.28000000003</v>
      </c>
      <c r="N638" s="4">
        <f>+SUBTOTAL(9,Tabla2[D.FISCAL])</f>
        <v>13816.696399999988</v>
      </c>
      <c r="O638" s="4">
        <f>+SUBTOTAL(9,Tabla2[V CTA DE 3])</f>
        <v>0</v>
      </c>
      <c r="P638" s="4">
        <f>+SUBTOTAL(9,Tabla2[D. FISCAL A 3])</f>
        <v>0</v>
      </c>
      <c r="Q638" s="4">
        <f>+SUBTOTAL(9,Tabla2[VENTA TOTAL])</f>
        <v>120098.97639999994</v>
      </c>
      <c r="R638" s="12"/>
    </row>
    <row r="1778" spans="21:21" x14ac:dyDescent="0.25">
      <c r="U1778" t="s">
        <v>907</v>
      </c>
    </row>
    <row r="5973" spans="1:19" s="21" customFormat="1" x14ac:dyDescent="0.25">
      <c r="A5973"/>
      <c r="B5973"/>
      <c r="C5973"/>
      <c r="D5973"/>
      <c r="E5973"/>
      <c r="F5973"/>
      <c r="G5973"/>
      <c r="H5973"/>
      <c r="I5973" s="1"/>
      <c r="J5973"/>
      <c r="K5973" s="2"/>
      <c r="L5973" s="2"/>
      <c r="M5973" s="2"/>
      <c r="N5973" s="2"/>
      <c r="O5973" s="2"/>
      <c r="P5973" s="2"/>
      <c r="Q5973" s="2"/>
      <c r="R5973" s="2"/>
      <c r="S5973"/>
    </row>
    <row r="10955" spans="1:19" s="2" customFormat="1" x14ac:dyDescent="0.25">
      <c r="A10955"/>
      <c r="B10955"/>
      <c r="C10955"/>
      <c r="D10955"/>
      <c r="E10955"/>
      <c r="F10955"/>
      <c r="G10955"/>
      <c r="H10955"/>
      <c r="I10955" s="1"/>
      <c r="J10955"/>
      <c r="S10955"/>
    </row>
    <row r="10956" spans="1:19" s="2" customFormat="1" x14ac:dyDescent="0.25">
      <c r="A10956"/>
      <c r="B10956"/>
      <c r="C10956"/>
      <c r="D10956"/>
      <c r="E10956"/>
      <c r="F10956"/>
      <c r="G10956"/>
      <c r="H10956"/>
      <c r="I10956" s="1"/>
      <c r="J10956"/>
      <c r="S10956"/>
    </row>
  </sheetData>
  <mergeCells count="1">
    <mergeCell ref="A638:J638"/>
  </mergeCells>
  <phoneticPr fontId="5" type="noConversion"/>
  <conditionalFormatting sqref="G1:G1048576">
    <cfRule type="duplicateValues" dxfId="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47</v>
      </c>
      <c r="O1" s="2" t="s">
        <v>49</v>
      </c>
      <c r="P1" s="2" t="s">
        <v>48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50</v>
      </c>
      <c r="V1" t="s">
        <v>479</v>
      </c>
      <c r="W1" t="s">
        <v>18</v>
      </c>
    </row>
    <row r="2" spans="1:23" x14ac:dyDescent="0.25">
      <c r="A2" t="s">
        <v>601</v>
      </c>
      <c r="B2" t="str">
        <f>SUBSTITUTE(A2,"ICIEMBRE","iciembre")</f>
        <v>Diciembre</v>
      </c>
      <c r="C2" s="5">
        <v>44925</v>
      </c>
      <c r="D2" t="s">
        <v>1</v>
      </c>
      <c r="E2" t="s">
        <v>0</v>
      </c>
      <c r="F2" t="str">
        <f>IF(E2="05","Nota de crédito","CCF")</f>
        <v>CCF</v>
      </c>
      <c r="G2" t="s">
        <v>437</v>
      </c>
      <c r="H2" t="s">
        <v>515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756</v>
      </c>
      <c r="N2" t="s">
        <v>691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756</v>
      </c>
      <c r="W2" t="s">
        <v>1</v>
      </c>
    </row>
    <row r="3" spans="1:23" x14ac:dyDescent="0.25">
      <c r="A3" t="s">
        <v>601</v>
      </c>
      <c r="B3" t="str">
        <f t="shared" ref="B3" si="0">SUBSTITUTE(A3,"ICIEMBRE","iciembre")</f>
        <v>Diciembre</v>
      </c>
      <c r="C3" s="5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437</v>
      </c>
      <c r="H3" t="s">
        <v>515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756</v>
      </c>
      <c r="N3" t="s">
        <v>691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756</v>
      </c>
      <c r="W3" t="s">
        <v>1</v>
      </c>
    </row>
    <row r="4" spans="1:23" x14ac:dyDescent="0.25">
      <c r="C4" s="5"/>
    </row>
    <row r="5" spans="1:23" x14ac:dyDescent="0.25">
      <c r="C5" s="5"/>
    </row>
    <row r="6" spans="1:23" x14ac:dyDescent="0.25">
      <c r="C6" s="5"/>
    </row>
    <row r="7" spans="1:23" x14ac:dyDescent="0.25">
      <c r="C7" s="5"/>
    </row>
    <row r="8" spans="1:23" x14ac:dyDescent="0.25">
      <c r="C8" s="5"/>
    </row>
    <row r="9" spans="1:23" x14ac:dyDescent="0.25">
      <c r="C9" s="5"/>
    </row>
    <row r="10" spans="1:23" x14ac:dyDescent="0.25">
      <c r="C10" s="5"/>
    </row>
    <row r="11" spans="1:23" x14ac:dyDescent="0.25">
      <c r="C11" s="5"/>
    </row>
    <row r="12" spans="1:23" x14ac:dyDescent="0.25">
      <c r="C12" s="5"/>
    </row>
    <row r="13" spans="1:23" x14ac:dyDescent="0.25">
      <c r="C13" s="5"/>
      <c r="O13"/>
      <c r="P13"/>
      <c r="Q13"/>
      <c r="R13"/>
      <c r="S13"/>
      <c r="T13"/>
      <c r="U13"/>
    </row>
    <row r="14" spans="1:23" x14ac:dyDescent="0.25">
      <c r="C14" s="5"/>
    </row>
    <row r="15" spans="1:23" x14ac:dyDescent="0.25">
      <c r="C15" s="5"/>
    </row>
    <row r="16" spans="1:23" x14ac:dyDescent="0.25">
      <c r="C16" s="5"/>
    </row>
    <row r="17" spans="3:3" x14ac:dyDescent="0.25">
      <c r="C17" s="5"/>
    </row>
    <row r="18" spans="3:3" x14ac:dyDescent="0.25">
      <c r="C18" s="5"/>
    </row>
    <row r="19" spans="3:3" x14ac:dyDescent="0.25">
      <c r="C19" s="5"/>
    </row>
    <row r="20" spans="3:3" x14ac:dyDescent="0.25">
      <c r="C20" s="5"/>
    </row>
    <row r="21" spans="3:3" x14ac:dyDescent="0.25">
      <c r="C21" s="5"/>
    </row>
    <row r="22" spans="3:3" x14ac:dyDescent="0.25">
      <c r="C22" s="5"/>
    </row>
    <row r="23" spans="3:3" x14ac:dyDescent="0.25">
      <c r="C23" s="5"/>
    </row>
    <row r="24" spans="3:3" x14ac:dyDescent="0.25">
      <c r="C24" s="5"/>
    </row>
    <row r="25" spans="3:3" x14ac:dyDescent="0.25">
      <c r="C25" s="5"/>
    </row>
    <row r="26" spans="3:3" x14ac:dyDescent="0.25">
      <c r="C26" s="5"/>
    </row>
    <row r="27" spans="3:3" x14ac:dyDescent="0.25">
      <c r="C27" s="5"/>
    </row>
    <row r="28" spans="3:3" x14ac:dyDescent="0.25">
      <c r="C28" s="5"/>
    </row>
    <row r="29" spans="3:3" x14ac:dyDescent="0.25">
      <c r="C29" s="5"/>
    </row>
    <row r="30" spans="3:3" x14ac:dyDescent="0.25">
      <c r="C30" s="5"/>
    </row>
    <row r="31" spans="3:3" x14ac:dyDescent="0.25">
      <c r="C31" s="5"/>
    </row>
    <row r="32" spans="3:3" x14ac:dyDescent="0.25">
      <c r="C32" s="5"/>
    </row>
    <row r="33" spans="3:21" x14ac:dyDescent="0.25">
      <c r="C33" s="5"/>
    </row>
    <row r="34" spans="3:21" x14ac:dyDescent="0.25">
      <c r="C34" s="5"/>
    </row>
    <row r="35" spans="3:21" x14ac:dyDescent="0.25">
      <c r="C35" s="5"/>
    </row>
    <row r="36" spans="3:21" x14ac:dyDescent="0.25">
      <c r="C36" s="5"/>
    </row>
    <row r="37" spans="3:21" x14ac:dyDescent="0.25">
      <c r="C37" s="5"/>
    </row>
    <row r="38" spans="3:21" x14ac:dyDescent="0.25">
      <c r="C38" s="5"/>
    </row>
    <row r="39" spans="3:21" x14ac:dyDescent="0.25">
      <c r="C39" s="5"/>
      <c r="O39"/>
      <c r="P39"/>
      <c r="Q39"/>
      <c r="R39"/>
      <c r="S39"/>
      <c r="T39"/>
      <c r="U39"/>
    </row>
    <row r="40" spans="3:21" x14ac:dyDescent="0.25">
      <c r="C40" s="5"/>
    </row>
    <row r="41" spans="3:21" x14ac:dyDescent="0.25">
      <c r="C41" s="5"/>
    </row>
    <row r="42" spans="3:21" x14ac:dyDescent="0.25">
      <c r="C42" s="5"/>
    </row>
    <row r="43" spans="3:21" x14ac:dyDescent="0.25">
      <c r="C43" s="5"/>
    </row>
    <row r="44" spans="3:21" x14ac:dyDescent="0.25">
      <c r="C44" s="5"/>
    </row>
    <row r="45" spans="3:21" x14ac:dyDescent="0.25">
      <c r="C45" s="5"/>
    </row>
    <row r="46" spans="3:21" x14ac:dyDescent="0.25">
      <c r="C46" s="5"/>
    </row>
    <row r="47" spans="3:21" x14ac:dyDescent="0.25">
      <c r="C47" s="5"/>
    </row>
    <row r="48" spans="3:21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21" x14ac:dyDescent="0.25">
      <c r="C65" s="5"/>
      <c r="O65"/>
      <c r="P65"/>
      <c r="Q65"/>
      <c r="R65"/>
      <c r="S65"/>
      <c r="T65"/>
      <c r="U65"/>
    </row>
    <row r="66" spans="3:21" x14ac:dyDescent="0.25">
      <c r="C66" s="5"/>
    </row>
    <row r="67" spans="3:21" x14ac:dyDescent="0.25">
      <c r="C67" s="5"/>
    </row>
    <row r="68" spans="3:21" x14ac:dyDescent="0.25">
      <c r="C68" s="5"/>
    </row>
    <row r="69" spans="3:21" x14ac:dyDescent="0.25">
      <c r="C69" s="5"/>
    </row>
    <row r="70" spans="3:21" x14ac:dyDescent="0.25">
      <c r="C70" s="5"/>
    </row>
    <row r="71" spans="3:21" x14ac:dyDescent="0.25">
      <c r="C71" s="5"/>
    </row>
    <row r="72" spans="3:21" x14ac:dyDescent="0.25">
      <c r="C72" s="5"/>
    </row>
    <row r="73" spans="3:21" x14ac:dyDescent="0.25">
      <c r="C73" s="5"/>
    </row>
    <row r="74" spans="3:21" x14ac:dyDescent="0.25">
      <c r="C74" s="5"/>
    </row>
    <row r="75" spans="3:21" x14ac:dyDescent="0.25">
      <c r="C75" s="5"/>
    </row>
    <row r="76" spans="3:21" x14ac:dyDescent="0.25">
      <c r="C76" s="5"/>
    </row>
    <row r="77" spans="3:21" x14ac:dyDescent="0.25">
      <c r="C77" s="5"/>
    </row>
    <row r="78" spans="3:21" x14ac:dyDescent="0.25">
      <c r="C78" s="5"/>
    </row>
    <row r="79" spans="3:21" x14ac:dyDescent="0.25">
      <c r="C79" s="5"/>
    </row>
    <row r="80" spans="3:21" x14ac:dyDescent="0.25">
      <c r="C80" s="5"/>
    </row>
    <row r="81" spans="3:21" x14ac:dyDescent="0.25">
      <c r="C81" s="5"/>
    </row>
    <row r="82" spans="3:21" x14ac:dyDescent="0.25">
      <c r="C82" s="5"/>
    </row>
    <row r="83" spans="3:21" x14ac:dyDescent="0.25">
      <c r="C83" s="5"/>
    </row>
    <row r="84" spans="3:21" x14ac:dyDescent="0.25">
      <c r="C84" s="5"/>
    </row>
    <row r="85" spans="3:21" x14ac:dyDescent="0.25">
      <c r="C85" s="5"/>
    </row>
    <row r="86" spans="3:21" x14ac:dyDescent="0.25">
      <c r="C86" s="5"/>
    </row>
    <row r="87" spans="3:21" x14ac:dyDescent="0.25">
      <c r="C87" s="5"/>
    </row>
    <row r="88" spans="3:21" x14ac:dyDescent="0.25">
      <c r="C88" s="5"/>
    </row>
    <row r="89" spans="3:21" x14ac:dyDescent="0.25">
      <c r="C89" s="5"/>
    </row>
    <row r="90" spans="3:21" x14ac:dyDescent="0.25">
      <c r="C90" s="5"/>
    </row>
    <row r="91" spans="3:21" x14ac:dyDescent="0.25">
      <c r="C91" s="5"/>
      <c r="O91"/>
      <c r="P91"/>
      <c r="Q91"/>
      <c r="R91"/>
      <c r="S91"/>
      <c r="T91"/>
      <c r="U91"/>
    </row>
    <row r="92" spans="3:21" x14ac:dyDescent="0.25">
      <c r="C92" s="5"/>
    </row>
    <row r="93" spans="3:21" x14ac:dyDescent="0.25">
      <c r="C93" s="5"/>
    </row>
    <row r="94" spans="3:21" x14ac:dyDescent="0.25">
      <c r="C94" s="5"/>
    </row>
    <row r="95" spans="3:21" x14ac:dyDescent="0.25">
      <c r="C95" s="5"/>
    </row>
    <row r="96" spans="3:21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  <row r="101" spans="3:3" x14ac:dyDescent="0.25">
      <c r="C101" s="5"/>
    </row>
    <row r="102" spans="3:3" x14ac:dyDescent="0.25">
      <c r="C102" s="5"/>
    </row>
    <row r="103" spans="3:3" x14ac:dyDescent="0.25">
      <c r="C103" s="5"/>
    </row>
    <row r="104" spans="3:3" x14ac:dyDescent="0.25">
      <c r="C104" s="5"/>
    </row>
    <row r="105" spans="3:3" x14ac:dyDescent="0.25">
      <c r="C105" s="5"/>
    </row>
    <row r="106" spans="3:3" x14ac:dyDescent="0.25">
      <c r="C106" s="5"/>
    </row>
    <row r="107" spans="3:3" x14ac:dyDescent="0.25">
      <c r="C107" s="5"/>
    </row>
    <row r="108" spans="3:3" x14ac:dyDescent="0.25">
      <c r="C108" s="5"/>
    </row>
    <row r="109" spans="3:3" x14ac:dyDescent="0.25">
      <c r="C109" s="5"/>
    </row>
    <row r="110" spans="3:3" x14ac:dyDescent="0.25">
      <c r="C110" s="5"/>
    </row>
    <row r="111" spans="3:3" x14ac:dyDescent="0.25">
      <c r="C111" s="5"/>
    </row>
    <row r="112" spans="3:3" x14ac:dyDescent="0.25">
      <c r="C112" s="5"/>
    </row>
    <row r="113" spans="3:21" x14ac:dyDescent="0.25">
      <c r="C113" s="5"/>
    </row>
    <row r="114" spans="3:21" x14ac:dyDescent="0.25">
      <c r="C114" s="5"/>
    </row>
    <row r="115" spans="3:21" x14ac:dyDescent="0.25">
      <c r="C115" s="5"/>
    </row>
    <row r="116" spans="3:21" x14ac:dyDescent="0.25">
      <c r="C116" s="5"/>
    </row>
    <row r="117" spans="3:21" x14ac:dyDescent="0.25">
      <c r="C117" s="5"/>
    </row>
    <row r="118" spans="3:21" x14ac:dyDescent="0.25">
      <c r="C118" s="5"/>
    </row>
    <row r="119" spans="3:21" x14ac:dyDescent="0.25">
      <c r="C119" s="5"/>
    </row>
    <row r="120" spans="3:21" x14ac:dyDescent="0.25">
      <c r="C120" s="5"/>
    </row>
    <row r="121" spans="3:21" x14ac:dyDescent="0.25">
      <c r="C121" s="5"/>
    </row>
    <row r="122" spans="3:21" x14ac:dyDescent="0.25">
      <c r="C122" s="5"/>
    </row>
    <row r="123" spans="3:21" x14ac:dyDescent="0.25">
      <c r="C123" s="5"/>
    </row>
    <row r="124" spans="3:21" x14ac:dyDescent="0.25">
      <c r="C124" s="5"/>
    </row>
    <row r="125" spans="3:21" x14ac:dyDescent="0.25">
      <c r="C125" s="5"/>
    </row>
    <row r="126" spans="3:21" x14ac:dyDescent="0.25">
      <c r="C126" s="5"/>
    </row>
    <row r="127" spans="3:21" x14ac:dyDescent="0.25">
      <c r="C127" s="5"/>
      <c r="O127"/>
      <c r="P127"/>
      <c r="Q127"/>
      <c r="R127"/>
      <c r="S127"/>
      <c r="T127"/>
      <c r="U127"/>
    </row>
    <row r="128" spans="3:21" x14ac:dyDescent="0.25">
      <c r="C128" s="5"/>
    </row>
    <row r="129" spans="3:21" x14ac:dyDescent="0.25">
      <c r="C129" s="5"/>
    </row>
    <row r="130" spans="3:21" x14ac:dyDescent="0.25">
      <c r="C130" s="5"/>
    </row>
    <row r="131" spans="3:21" x14ac:dyDescent="0.25">
      <c r="C131" s="5"/>
    </row>
    <row r="132" spans="3:21" x14ac:dyDescent="0.25">
      <c r="C132" s="5"/>
    </row>
    <row r="133" spans="3:21" x14ac:dyDescent="0.25">
      <c r="C133" s="5"/>
    </row>
    <row r="134" spans="3:21" x14ac:dyDescent="0.25">
      <c r="C134" s="5"/>
    </row>
    <row r="135" spans="3:21" x14ac:dyDescent="0.25">
      <c r="C135" s="5"/>
      <c r="O135"/>
      <c r="P135"/>
      <c r="Q135"/>
      <c r="R135"/>
      <c r="S135"/>
      <c r="T135"/>
      <c r="U135"/>
    </row>
    <row r="136" spans="3:21" x14ac:dyDescent="0.25">
      <c r="C136" s="5"/>
      <c r="O136"/>
      <c r="P136"/>
      <c r="Q136"/>
      <c r="R136"/>
      <c r="S136"/>
      <c r="T136"/>
      <c r="U136"/>
    </row>
    <row r="137" spans="3:21" x14ac:dyDescent="0.25">
      <c r="C137" s="5"/>
    </row>
    <row r="138" spans="3:21" x14ac:dyDescent="0.25">
      <c r="C138" s="5"/>
    </row>
    <row r="139" spans="3:21" x14ac:dyDescent="0.25">
      <c r="C139" s="5"/>
    </row>
    <row r="140" spans="3:21" x14ac:dyDescent="0.25">
      <c r="C140" s="5"/>
    </row>
    <row r="141" spans="3:21" x14ac:dyDescent="0.25">
      <c r="C141" s="5"/>
    </row>
    <row r="142" spans="3:21" x14ac:dyDescent="0.25">
      <c r="C142" s="5"/>
    </row>
    <row r="143" spans="3:21" x14ac:dyDescent="0.25">
      <c r="C143" s="5"/>
    </row>
    <row r="144" spans="3:21" x14ac:dyDescent="0.25">
      <c r="C144" s="5"/>
    </row>
    <row r="145" spans="3:21" x14ac:dyDescent="0.25">
      <c r="C145" s="5"/>
    </row>
    <row r="146" spans="3:21" x14ac:dyDescent="0.25">
      <c r="C146" s="5"/>
    </row>
    <row r="147" spans="3:21" x14ac:dyDescent="0.25">
      <c r="C147" s="5"/>
    </row>
    <row r="148" spans="3:21" x14ac:dyDescent="0.25">
      <c r="C148" s="5"/>
      <c r="O148"/>
      <c r="P148"/>
      <c r="Q148"/>
      <c r="R148"/>
      <c r="S148"/>
      <c r="T148"/>
      <c r="U148"/>
    </row>
    <row r="149" spans="3:21" x14ac:dyDescent="0.25">
      <c r="C149" s="5"/>
      <c r="O149"/>
      <c r="P149"/>
      <c r="Q149"/>
      <c r="R149"/>
      <c r="S149"/>
      <c r="T149"/>
      <c r="U149"/>
    </row>
    <row r="150" spans="3:21" x14ac:dyDescent="0.25">
      <c r="C150" s="5"/>
    </row>
    <row r="151" spans="3:21" x14ac:dyDescent="0.25">
      <c r="C151" s="5"/>
      <c r="O151"/>
      <c r="P151"/>
      <c r="Q151"/>
      <c r="R151"/>
      <c r="S151"/>
      <c r="T151"/>
      <c r="U151"/>
    </row>
    <row r="152" spans="3:21" x14ac:dyDescent="0.25">
      <c r="C152" s="5"/>
      <c r="O152"/>
      <c r="P152"/>
      <c r="Q152"/>
      <c r="R152"/>
      <c r="S152"/>
      <c r="T152"/>
      <c r="U152"/>
    </row>
    <row r="153" spans="3:21" x14ac:dyDescent="0.25">
      <c r="C153" s="5"/>
    </row>
    <row r="154" spans="3:21" x14ac:dyDescent="0.25">
      <c r="C154" s="5"/>
    </row>
    <row r="155" spans="3:21" x14ac:dyDescent="0.25">
      <c r="C155" s="5"/>
    </row>
    <row r="156" spans="3:21" x14ac:dyDescent="0.25">
      <c r="C156" s="5"/>
    </row>
    <row r="157" spans="3:21" x14ac:dyDescent="0.25">
      <c r="C157" s="5"/>
    </row>
    <row r="158" spans="3:21" x14ac:dyDescent="0.25">
      <c r="C158" s="5"/>
    </row>
    <row r="159" spans="3:21" x14ac:dyDescent="0.25">
      <c r="C159" s="5"/>
    </row>
    <row r="160" spans="3:21" x14ac:dyDescent="0.25">
      <c r="C160" s="5"/>
    </row>
    <row r="161" spans="3:3" x14ac:dyDescent="0.25">
      <c r="C161" s="5"/>
    </row>
    <row r="162" spans="3:3" x14ac:dyDescent="0.25">
      <c r="C162" s="5"/>
    </row>
    <row r="163" spans="3:3" x14ac:dyDescent="0.25">
      <c r="C163" s="5"/>
    </row>
    <row r="164" spans="3:3" x14ac:dyDescent="0.25">
      <c r="C164" s="5"/>
    </row>
    <row r="165" spans="3:3" x14ac:dyDescent="0.25">
      <c r="C165" s="5"/>
    </row>
    <row r="166" spans="3:3" x14ac:dyDescent="0.25">
      <c r="C166" s="5"/>
    </row>
    <row r="167" spans="3:3" x14ac:dyDescent="0.25">
      <c r="C167" s="5"/>
    </row>
    <row r="168" spans="3:3" x14ac:dyDescent="0.25">
      <c r="C168" s="5"/>
    </row>
    <row r="169" spans="3:3" x14ac:dyDescent="0.25">
      <c r="C169" s="5"/>
    </row>
    <row r="170" spans="3:3" x14ac:dyDescent="0.25">
      <c r="C170" s="5"/>
    </row>
    <row r="171" spans="3:3" x14ac:dyDescent="0.25">
      <c r="C171" s="5"/>
    </row>
    <row r="172" spans="3:3" x14ac:dyDescent="0.25">
      <c r="C172" s="5"/>
    </row>
    <row r="173" spans="3:3" x14ac:dyDescent="0.25">
      <c r="C173" s="5"/>
    </row>
    <row r="174" spans="3:3" x14ac:dyDescent="0.25">
      <c r="C174" s="5"/>
    </row>
    <row r="175" spans="3:3" x14ac:dyDescent="0.25">
      <c r="C175" s="5"/>
    </row>
    <row r="176" spans="3:3" x14ac:dyDescent="0.25">
      <c r="C176" s="5"/>
    </row>
    <row r="177" spans="3:21" x14ac:dyDescent="0.25">
      <c r="C177" s="5"/>
    </row>
    <row r="178" spans="3:21" x14ac:dyDescent="0.25">
      <c r="C178" s="5"/>
    </row>
    <row r="179" spans="3:21" x14ac:dyDescent="0.25">
      <c r="C179" s="5"/>
    </row>
    <row r="180" spans="3:21" x14ac:dyDescent="0.25">
      <c r="C180" s="5"/>
    </row>
    <row r="181" spans="3:21" x14ac:dyDescent="0.25">
      <c r="C181" s="5"/>
    </row>
    <row r="182" spans="3:21" x14ac:dyDescent="0.25">
      <c r="C182" s="5"/>
    </row>
    <row r="183" spans="3:21" x14ac:dyDescent="0.25">
      <c r="C183" s="5"/>
    </row>
    <row r="184" spans="3:21" x14ac:dyDescent="0.25">
      <c r="C184" s="5"/>
    </row>
    <row r="185" spans="3:21" x14ac:dyDescent="0.25">
      <c r="C185" s="5"/>
    </row>
    <row r="186" spans="3:21" x14ac:dyDescent="0.25">
      <c r="C186" s="5"/>
    </row>
    <row r="187" spans="3:21" x14ac:dyDescent="0.25">
      <c r="C187" s="5"/>
      <c r="O187"/>
      <c r="P187"/>
      <c r="Q187"/>
      <c r="R187"/>
      <c r="S187"/>
      <c r="T187"/>
      <c r="U187"/>
    </row>
    <row r="188" spans="3:21" x14ac:dyDescent="0.25">
      <c r="C188" s="5"/>
    </row>
    <row r="189" spans="3:21" x14ac:dyDescent="0.25">
      <c r="C189" s="5"/>
    </row>
    <row r="190" spans="3:21" x14ac:dyDescent="0.25">
      <c r="C190" s="5"/>
    </row>
    <row r="191" spans="3:21" x14ac:dyDescent="0.25">
      <c r="C191" s="5"/>
    </row>
    <row r="192" spans="3:21" x14ac:dyDescent="0.25">
      <c r="C192" s="5"/>
    </row>
    <row r="193" spans="3:3" x14ac:dyDescent="0.25">
      <c r="C193" s="5"/>
    </row>
    <row r="194" spans="3:3" x14ac:dyDescent="0.25">
      <c r="C194" s="5"/>
    </row>
    <row r="195" spans="3:3" x14ac:dyDescent="0.25">
      <c r="C195" s="5"/>
    </row>
    <row r="196" spans="3:3" x14ac:dyDescent="0.25">
      <c r="C196" s="5"/>
    </row>
    <row r="197" spans="3:3" x14ac:dyDescent="0.25">
      <c r="C197" s="5"/>
    </row>
    <row r="198" spans="3:3" x14ac:dyDescent="0.25">
      <c r="C198" s="5"/>
    </row>
    <row r="199" spans="3:3" x14ac:dyDescent="0.25">
      <c r="C199" s="5"/>
    </row>
    <row r="200" spans="3:3" x14ac:dyDescent="0.25">
      <c r="C200" s="5"/>
    </row>
    <row r="201" spans="3:3" x14ac:dyDescent="0.25">
      <c r="C201" s="5"/>
    </row>
    <row r="202" spans="3:3" x14ac:dyDescent="0.25">
      <c r="C202" s="5"/>
    </row>
    <row r="203" spans="3:3" x14ac:dyDescent="0.25">
      <c r="C203" s="5"/>
    </row>
    <row r="204" spans="3:3" x14ac:dyDescent="0.25">
      <c r="C204" s="5"/>
    </row>
    <row r="205" spans="3:3" x14ac:dyDescent="0.25">
      <c r="C205" s="5"/>
    </row>
    <row r="206" spans="3:3" x14ac:dyDescent="0.25">
      <c r="C206" s="5"/>
    </row>
    <row r="207" spans="3:3" x14ac:dyDescent="0.25">
      <c r="C207" s="5"/>
    </row>
    <row r="208" spans="3:3" x14ac:dyDescent="0.25">
      <c r="C208" s="5"/>
    </row>
    <row r="209" spans="3:21" x14ac:dyDescent="0.25">
      <c r="C209" s="5"/>
    </row>
    <row r="210" spans="3:21" x14ac:dyDescent="0.25">
      <c r="C210" s="5"/>
    </row>
    <row r="211" spans="3:21" x14ac:dyDescent="0.25">
      <c r="C211" s="5"/>
    </row>
    <row r="212" spans="3:21" x14ac:dyDescent="0.25">
      <c r="C212" s="5"/>
    </row>
    <row r="213" spans="3:21" x14ac:dyDescent="0.25">
      <c r="C213" s="5"/>
    </row>
    <row r="214" spans="3:21" x14ac:dyDescent="0.25">
      <c r="C214" s="5"/>
      <c r="O214"/>
      <c r="P214"/>
      <c r="Q214"/>
      <c r="R214"/>
      <c r="S214"/>
      <c r="T214"/>
      <c r="U214"/>
    </row>
    <row r="215" spans="3:21" x14ac:dyDescent="0.25">
      <c r="C215" s="5"/>
    </row>
    <row r="216" spans="3:21" x14ac:dyDescent="0.25">
      <c r="C216" s="5"/>
    </row>
    <row r="217" spans="3:21" x14ac:dyDescent="0.25">
      <c r="C217" s="5"/>
    </row>
    <row r="218" spans="3:21" x14ac:dyDescent="0.25">
      <c r="C218" s="5"/>
    </row>
    <row r="219" spans="3:21" x14ac:dyDescent="0.25">
      <c r="C219" s="5"/>
    </row>
    <row r="220" spans="3:21" x14ac:dyDescent="0.25">
      <c r="C220" s="5"/>
    </row>
    <row r="221" spans="3:21" x14ac:dyDescent="0.25">
      <c r="C221" s="5"/>
      <c r="O221"/>
      <c r="P221"/>
      <c r="Q221"/>
      <c r="R221"/>
      <c r="S221"/>
      <c r="T221"/>
      <c r="U221"/>
    </row>
    <row r="222" spans="3:21" x14ac:dyDescent="0.25">
      <c r="C222" s="5"/>
    </row>
    <row r="223" spans="3:21" x14ac:dyDescent="0.25">
      <c r="C223" s="5"/>
    </row>
    <row r="224" spans="3:21" x14ac:dyDescent="0.25">
      <c r="C224" s="5"/>
    </row>
    <row r="225" spans="3:21" x14ac:dyDescent="0.25">
      <c r="C225" s="5"/>
    </row>
    <row r="226" spans="3:21" x14ac:dyDescent="0.25">
      <c r="C226" s="5"/>
    </row>
    <row r="227" spans="3:21" x14ac:dyDescent="0.25">
      <c r="C227" s="5"/>
    </row>
    <row r="228" spans="3:21" x14ac:dyDescent="0.25">
      <c r="C228" s="5"/>
    </row>
    <row r="229" spans="3:21" x14ac:dyDescent="0.25">
      <c r="C229" s="5"/>
    </row>
    <row r="230" spans="3:21" x14ac:dyDescent="0.25">
      <c r="C230" s="5"/>
    </row>
    <row r="231" spans="3:21" x14ac:dyDescent="0.25">
      <c r="C231" s="5"/>
    </row>
    <row r="232" spans="3:21" x14ac:dyDescent="0.25">
      <c r="C232" s="5"/>
    </row>
    <row r="233" spans="3:21" x14ac:dyDescent="0.25">
      <c r="C233" s="5"/>
    </row>
    <row r="234" spans="3:21" x14ac:dyDescent="0.25">
      <c r="C234" s="5"/>
    </row>
    <row r="235" spans="3:21" x14ac:dyDescent="0.25">
      <c r="C235" s="5"/>
      <c r="O235"/>
      <c r="P235"/>
      <c r="Q235"/>
      <c r="R235"/>
      <c r="S235"/>
      <c r="T235"/>
      <c r="U235"/>
    </row>
    <row r="236" spans="3:21" x14ac:dyDescent="0.25">
      <c r="C236" s="5"/>
    </row>
    <row r="237" spans="3:21" x14ac:dyDescent="0.25">
      <c r="C237" s="5"/>
    </row>
    <row r="238" spans="3:21" x14ac:dyDescent="0.25">
      <c r="C238" s="5"/>
    </row>
    <row r="239" spans="3:21" x14ac:dyDescent="0.25">
      <c r="C239" s="5"/>
    </row>
    <row r="240" spans="3:21" x14ac:dyDescent="0.25">
      <c r="C240" s="5"/>
    </row>
    <row r="241" spans="3:3" x14ac:dyDescent="0.25">
      <c r="C241" s="5"/>
    </row>
    <row r="242" spans="3:3" x14ac:dyDescent="0.25">
      <c r="C242" s="5"/>
    </row>
    <row r="243" spans="3:3" x14ac:dyDescent="0.25">
      <c r="C243" s="5"/>
    </row>
    <row r="244" spans="3:3" x14ac:dyDescent="0.25">
      <c r="C244" s="5"/>
    </row>
    <row r="245" spans="3:3" x14ac:dyDescent="0.25">
      <c r="C245" s="5"/>
    </row>
    <row r="246" spans="3:3" x14ac:dyDescent="0.25">
      <c r="C246" s="5"/>
    </row>
    <row r="247" spans="3:3" x14ac:dyDescent="0.25">
      <c r="C247" s="5"/>
    </row>
    <row r="248" spans="3:3" x14ac:dyDescent="0.25">
      <c r="C248" s="5"/>
    </row>
    <row r="249" spans="3:3" x14ac:dyDescent="0.25">
      <c r="C249" s="5"/>
    </row>
    <row r="250" spans="3:3" x14ac:dyDescent="0.25">
      <c r="C250" s="5"/>
    </row>
    <row r="251" spans="3:3" x14ac:dyDescent="0.25">
      <c r="C251" s="5"/>
    </row>
    <row r="252" spans="3:3" x14ac:dyDescent="0.25">
      <c r="C252" s="5"/>
    </row>
    <row r="253" spans="3:3" x14ac:dyDescent="0.25">
      <c r="C253" s="5"/>
    </row>
    <row r="254" spans="3:3" x14ac:dyDescent="0.25">
      <c r="C254" s="5"/>
    </row>
    <row r="255" spans="3:3" x14ac:dyDescent="0.25">
      <c r="C255" s="5"/>
    </row>
    <row r="256" spans="3:3" x14ac:dyDescent="0.25">
      <c r="C256" s="5"/>
    </row>
    <row r="257" spans="3:21" x14ac:dyDescent="0.25">
      <c r="C257" s="5"/>
    </row>
    <row r="258" spans="3:21" x14ac:dyDescent="0.25">
      <c r="C258" s="5"/>
      <c r="O258"/>
      <c r="P258"/>
      <c r="Q258"/>
      <c r="R258"/>
      <c r="S258"/>
      <c r="T258"/>
      <c r="U258"/>
    </row>
    <row r="259" spans="3:21" x14ac:dyDescent="0.25">
      <c r="C259" s="5"/>
    </row>
    <row r="260" spans="3:21" x14ac:dyDescent="0.25">
      <c r="C260" s="5"/>
    </row>
    <row r="261" spans="3:21" x14ac:dyDescent="0.25">
      <c r="C261" s="5"/>
    </row>
    <row r="262" spans="3:21" x14ac:dyDescent="0.25">
      <c r="C262" s="5"/>
    </row>
    <row r="263" spans="3:21" x14ac:dyDescent="0.25">
      <c r="C263" s="5"/>
    </row>
    <row r="264" spans="3:21" x14ac:dyDescent="0.25">
      <c r="C264" s="5"/>
    </row>
    <row r="265" spans="3:21" x14ac:dyDescent="0.25">
      <c r="C265" s="5"/>
    </row>
    <row r="266" spans="3:21" x14ac:dyDescent="0.25">
      <c r="C266" s="5"/>
    </row>
    <row r="267" spans="3:21" x14ac:dyDescent="0.25">
      <c r="C267" s="5"/>
    </row>
    <row r="268" spans="3:21" x14ac:dyDescent="0.25">
      <c r="C268" s="5"/>
    </row>
    <row r="269" spans="3:21" x14ac:dyDescent="0.25">
      <c r="C269" s="5"/>
    </row>
    <row r="270" spans="3:21" x14ac:dyDescent="0.25">
      <c r="C270" s="5"/>
    </row>
    <row r="271" spans="3:21" x14ac:dyDescent="0.25">
      <c r="C271" s="5"/>
    </row>
    <row r="272" spans="3:21" x14ac:dyDescent="0.25">
      <c r="C272" s="5"/>
    </row>
    <row r="273" spans="3:21" x14ac:dyDescent="0.25">
      <c r="C273" s="5"/>
    </row>
    <row r="274" spans="3:21" x14ac:dyDescent="0.25">
      <c r="C274" s="5"/>
    </row>
    <row r="275" spans="3:21" x14ac:dyDescent="0.25">
      <c r="C275" s="5"/>
    </row>
    <row r="276" spans="3:21" x14ac:dyDescent="0.25">
      <c r="C276" s="5"/>
    </row>
    <row r="277" spans="3:21" x14ac:dyDescent="0.25">
      <c r="C277" s="5"/>
    </row>
    <row r="278" spans="3:21" x14ac:dyDescent="0.25">
      <c r="C278" s="5"/>
    </row>
    <row r="279" spans="3:21" x14ac:dyDescent="0.25">
      <c r="C279" s="5"/>
    </row>
    <row r="280" spans="3:21" x14ac:dyDescent="0.25">
      <c r="C280" s="5"/>
    </row>
    <row r="281" spans="3:21" x14ac:dyDescent="0.25">
      <c r="C281" s="5"/>
      <c r="O281"/>
      <c r="P281"/>
      <c r="Q281"/>
      <c r="R281"/>
      <c r="S281"/>
      <c r="T281"/>
      <c r="U281"/>
    </row>
    <row r="282" spans="3:21" x14ac:dyDescent="0.25">
      <c r="C282" s="5"/>
    </row>
    <row r="283" spans="3:21" x14ac:dyDescent="0.25">
      <c r="C283" s="5"/>
    </row>
    <row r="284" spans="3:21" x14ac:dyDescent="0.25">
      <c r="C284" s="5"/>
    </row>
    <row r="285" spans="3:21" x14ac:dyDescent="0.25">
      <c r="C285" s="5"/>
    </row>
    <row r="286" spans="3:21" x14ac:dyDescent="0.25">
      <c r="C286" s="5"/>
    </row>
    <row r="287" spans="3:21" x14ac:dyDescent="0.25">
      <c r="C287" s="5"/>
    </row>
    <row r="288" spans="3:21" x14ac:dyDescent="0.25">
      <c r="C288" s="5"/>
    </row>
    <row r="289" spans="3:21" x14ac:dyDescent="0.25">
      <c r="C289" s="5"/>
    </row>
    <row r="290" spans="3:21" x14ac:dyDescent="0.25">
      <c r="C290" s="5"/>
    </row>
    <row r="291" spans="3:21" x14ac:dyDescent="0.25">
      <c r="C291" s="5"/>
    </row>
    <row r="292" spans="3:21" x14ac:dyDescent="0.25">
      <c r="C292" s="5"/>
    </row>
    <row r="293" spans="3:21" x14ac:dyDescent="0.25">
      <c r="C293" s="5"/>
    </row>
    <row r="294" spans="3:21" x14ac:dyDescent="0.25">
      <c r="C294" s="5"/>
    </row>
    <row r="295" spans="3:21" x14ac:dyDescent="0.25">
      <c r="C295" s="5"/>
    </row>
    <row r="296" spans="3:21" x14ac:dyDescent="0.25">
      <c r="C296" s="5"/>
    </row>
    <row r="297" spans="3:21" x14ac:dyDescent="0.25">
      <c r="C297" s="5"/>
    </row>
    <row r="298" spans="3:21" x14ac:dyDescent="0.25">
      <c r="C298" s="5"/>
    </row>
    <row r="299" spans="3:21" x14ac:dyDescent="0.25">
      <c r="C299" s="5"/>
      <c r="O299"/>
      <c r="P299"/>
      <c r="Q299"/>
      <c r="R299"/>
      <c r="S299"/>
      <c r="T299"/>
      <c r="U299"/>
    </row>
    <row r="300" spans="3:21" x14ac:dyDescent="0.25">
      <c r="C300" s="5"/>
    </row>
    <row r="301" spans="3:21" x14ac:dyDescent="0.25">
      <c r="C301" s="5"/>
    </row>
    <row r="302" spans="3:21" x14ac:dyDescent="0.25">
      <c r="C302" s="5"/>
    </row>
    <row r="303" spans="3:21" x14ac:dyDescent="0.25">
      <c r="C303" s="5"/>
    </row>
    <row r="304" spans="3:21" x14ac:dyDescent="0.25">
      <c r="C304" s="5"/>
    </row>
    <row r="305" spans="3:3" x14ac:dyDescent="0.25">
      <c r="C305" s="5"/>
    </row>
    <row r="306" spans="3:3" x14ac:dyDescent="0.25">
      <c r="C306" s="5"/>
    </row>
    <row r="307" spans="3:3" x14ac:dyDescent="0.25">
      <c r="C307" s="5"/>
    </row>
    <row r="308" spans="3:3" x14ac:dyDescent="0.25">
      <c r="C308" s="5"/>
    </row>
    <row r="309" spans="3:3" x14ac:dyDescent="0.25">
      <c r="C309" s="5"/>
    </row>
    <row r="310" spans="3:3" x14ac:dyDescent="0.25">
      <c r="C310" s="5"/>
    </row>
    <row r="311" spans="3:3" x14ac:dyDescent="0.25">
      <c r="C311" s="5"/>
    </row>
    <row r="312" spans="3:3" x14ac:dyDescent="0.25">
      <c r="C312" s="5"/>
    </row>
    <row r="313" spans="3:3" x14ac:dyDescent="0.25">
      <c r="C313" s="5"/>
    </row>
    <row r="314" spans="3:3" x14ac:dyDescent="0.25">
      <c r="C314" s="5"/>
    </row>
    <row r="315" spans="3:3" x14ac:dyDescent="0.25">
      <c r="C315" s="5"/>
    </row>
    <row r="316" spans="3:3" x14ac:dyDescent="0.25">
      <c r="C316" s="5"/>
    </row>
    <row r="317" spans="3:3" x14ac:dyDescent="0.25">
      <c r="C317" s="5"/>
    </row>
    <row r="318" spans="3:3" x14ac:dyDescent="0.25">
      <c r="C318" s="5"/>
    </row>
    <row r="319" spans="3:3" x14ac:dyDescent="0.25">
      <c r="C319" s="5"/>
    </row>
    <row r="320" spans="3:3" x14ac:dyDescent="0.25">
      <c r="C320" s="5"/>
    </row>
    <row r="321" spans="3:21" x14ac:dyDescent="0.25">
      <c r="C321" s="5"/>
    </row>
    <row r="322" spans="3:21" x14ac:dyDescent="0.25">
      <c r="C322" s="5"/>
    </row>
    <row r="323" spans="3:21" x14ac:dyDescent="0.25">
      <c r="C323" s="5"/>
    </row>
    <row r="324" spans="3:21" x14ac:dyDescent="0.25">
      <c r="C324" s="5"/>
    </row>
    <row r="325" spans="3:21" x14ac:dyDescent="0.25">
      <c r="C325" s="5"/>
    </row>
    <row r="326" spans="3:21" x14ac:dyDescent="0.25">
      <c r="C326" s="5"/>
    </row>
    <row r="327" spans="3:21" x14ac:dyDescent="0.25">
      <c r="C327" s="5"/>
    </row>
    <row r="328" spans="3:21" x14ac:dyDescent="0.25">
      <c r="C328" s="5"/>
      <c r="O328"/>
      <c r="P328"/>
      <c r="Q328"/>
      <c r="R328"/>
      <c r="S328"/>
      <c r="T328"/>
      <c r="U328"/>
    </row>
    <row r="329" spans="3:21" x14ac:dyDescent="0.25">
      <c r="C329" s="5"/>
    </row>
    <row r="330" spans="3:21" x14ac:dyDescent="0.25">
      <c r="C330" s="5"/>
    </row>
    <row r="331" spans="3:21" x14ac:dyDescent="0.25">
      <c r="C331" s="5"/>
    </row>
    <row r="332" spans="3:21" x14ac:dyDescent="0.25">
      <c r="C332" s="5"/>
    </row>
    <row r="333" spans="3:21" x14ac:dyDescent="0.25">
      <c r="C333" s="5"/>
    </row>
    <row r="334" spans="3:21" x14ac:dyDescent="0.25">
      <c r="C334" s="5"/>
    </row>
    <row r="335" spans="3:21" x14ac:dyDescent="0.25">
      <c r="C335" s="5"/>
    </row>
    <row r="336" spans="3:21" x14ac:dyDescent="0.25">
      <c r="C336" s="5"/>
    </row>
    <row r="337" spans="3:21" x14ac:dyDescent="0.25">
      <c r="C337" s="5"/>
    </row>
    <row r="338" spans="3:21" x14ac:dyDescent="0.25">
      <c r="C338" s="5"/>
    </row>
    <row r="339" spans="3:21" x14ac:dyDescent="0.25">
      <c r="C339" s="5"/>
    </row>
    <row r="340" spans="3:21" x14ac:dyDescent="0.25">
      <c r="C340" s="5"/>
    </row>
    <row r="341" spans="3:21" x14ac:dyDescent="0.25">
      <c r="C341" s="5"/>
    </row>
    <row r="342" spans="3:21" x14ac:dyDescent="0.25">
      <c r="C342" s="5"/>
    </row>
    <row r="343" spans="3:21" x14ac:dyDescent="0.25">
      <c r="C343" s="5"/>
    </row>
    <row r="344" spans="3:21" x14ac:dyDescent="0.25">
      <c r="C344" s="5"/>
    </row>
    <row r="345" spans="3:21" x14ac:dyDescent="0.25">
      <c r="C345" s="5"/>
    </row>
    <row r="346" spans="3:21" x14ac:dyDescent="0.25">
      <c r="C346" s="5"/>
    </row>
    <row r="347" spans="3:21" x14ac:dyDescent="0.25">
      <c r="C347" s="5"/>
      <c r="O347"/>
      <c r="P347"/>
      <c r="Q347"/>
      <c r="R347"/>
      <c r="S347"/>
      <c r="T347"/>
      <c r="U347"/>
    </row>
    <row r="348" spans="3:21" x14ac:dyDescent="0.25">
      <c r="C348" s="5"/>
    </row>
    <row r="349" spans="3:21" x14ac:dyDescent="0.25">
      <c r="C349" s="5"/>
    </row>
    <row r="350" spans="3:21" x14ac:dyDescent="0.25">
      <c r="C350" s="5"/>
    </row>
    <row r="351" spans="3:21" x14ac:dyDescent="0.25">
      <c r="C351" s="5"/>
    </row>
    <row r="352" spans="3:21" x14ac:dyDescent="0.25">
      <c r="C352" s="5"/>
    </row>
    <row r="353" spans="3:21" x14ac:dyDescent="0.25">
      <c r="C353" s="5"/>
    </row>
    <row r="354" spans="3:21" x14ac:dyDescent="0.25">
      <c r="C354" s="5"/>
    </row>
    <row r="355" spans="3:21" x14ac:dyDescent="0.25">
      <c r="C355" s="5"/>
    </row>
    <row r="356" spans="3:21" x14ac:dyDescent="0.25">
      <c r="C356" s="5"/>
    </row>
    <row r="357" spans="3:21" x14ac:dyDescent="0.25">
      <c r="C357" s="5"/>
    </row>
    <row r="358" spans="3:21" x14ac:dyDescent="0.25">
      <c r="C358" s="5"/>
    </row>
    <row r="359" spans="3:21" x14ac:dyDescent="0.25">
      <c r="C359" s="5"/>
    </row>
    <row r="360" spans="3:21" x14ac:dyDescent="0.25">
      <c r="C360" s="5"/>
    </row>
    <row r="361" spans="3:21" x14ac:dyDescent="0.25">
      <c r="C361" s="5"/>
    </row>
    <row r="362" spans="3:21" x14ac:dyDescent="0.25">
      <c r="C362" s="5"/>
    </row>
    <row r="363" spans="3:21" x14ac:dyDescent="0.25">
      <c r="C363" s="5"/>
    </row>
    <row r="364" spans="3:21" x14ac:dyDescent="0.25">
      <c r="C364" s="5"/>
    </row>
    <row r="365" spans="3:21" x14ac:dyDescent="0.25">
      <c r="C365" s="5"/>
      <c r="O365"/>
      <c r="P365"/>
      <c r="Q365"/>
      <c r="R365"/>
      <c r="S365"/>
      <c r="T365"/>
      <c r="U365"/>
    </row>
    <row r="366" spans="3:21" x14ac:dyDescent="0.25">
      <c r="C366" s="5"/>
    </row>
    <row r="367" spans="3:21" x14ac:dyDescent="0.25">
      <c r="C367" s="5"/>
    </row>
    <row r="368" spans="3:21" x14ac:dyDescent="0.25">
      <c r="C368" s="5"/>
    </row>
    <row r="369" spans="3:21" x14ac:dyDescent="0.25">
      <c r="C369" s="5"/>
    </row>
    <row r="370" spans="3:21" x14ac:dyDescent="0.25">
      <c r="C370" s="5"/>
    </row>
    <row r="371" spans="3:21" x14ac:dyDescent="0.25">
      <c r="C371" s="5"/>
      <c r="O371"/>
      <c r="P371"/>
      <c r="Q371"/>
      <c r="R371"/>
      <c r="S371"/>
      <c r="T371"/>
      <c r="U371"/>
    </row>
    <row r="372" spans="3:21" x14ac:dyDescent="0.25">
      <c r="C372" s="5"/>
    </row>
    <row r="373" spans="3:21" x14ac:dyDescent="0.25">
      <c r="C373" s="5"/>
    </row>
    <row r="374" spans="3:21" x14ac:dyDescent="0.25">
      <c r="C374" s="5"/>
    </row>
    <row r="375" spans="3:21" x14ac:dyDescent="0.25">
      <c r="C375" s="5"/>
    </row>
    <row r="376" spans="3:21" x14ac:dyDescent="0.25">
      <c r="C376" s="5"/>
    </row>
    <row r="377" spans="3:21" x14ac:dyDescent="0.25">
      <c r="C377" s="5"/>
    </row>
    <row r="378" spans="3:21" x14ac:dyDescent="0.25">
      <c r="C378" s="5"/>
    </row>
    <row r="379" spans="3:21" x14ac:dyDescent="0.25">
      <c r="C379" s="5"/>
    </row>
    <row r="380" spans="3:21" x14ac:dyDescent="0.25">
      <c r="C380" s="5"/>
    </row>
    <row r="381" spans="3:21" x14ac:dyDescent="0.25">
      <c r="C381" s="5"/>
    </row>
    <row r="382" spans="3:21" x14ac:dyDescent="0.25">
      <c r="C382" s="5"/>
    </row>
    <row r="383" spans="3:21" x14ac:dyDescent="0.25">
      <c r="C383" s="5"/>
    </row>
    <row r="384" spans="3:21" x14ac:dyDescent="0.25">
      <c r="C384" s="5"/>
    </row>
    <row r="385" spans="3:3" x14ac:dyDescent="0.25">
      <c r="C385" s="5"/>
    </row>
    <row r="386" spans="3:3" x14ac:dyDescent="0.25">
      <c r="C386" s="5"/>
    </row>
    <row r="387" spans="3:3" x14ac:dyDescent="0.25">
      <c r="C387" s="5"/>
    </row>
    <row r="388" spans="3:3" x14ac:dyDescent="0.25">
      <c r="C388" s="5"/>
    </row>
    <row r="389" spans="3:3" x14ac:dyDescent="0.25">
      <c r="C389" s="5"/>
    </row>
    <row r="390" spans="3:3" x14ac:dyDescent="0.25">
      <c r="C390" s="5"/>
    </row>
    <row r="391" spans="3:3" x14ac:dyDescent="0.25">
      <c r="C391" s="5"/>
    </row>
    <row r="392" spans="3:3" x14ac:dyDescent="0.25">
      <c r="C392" s="5"/>
    </row>
    <row r="393" spans="3:3" x14ac:dyDescent="0.25">
      <c r="C393" s="5"/>
    </row>
    <row r="394" spans="3:3" x14ac:dyDescent="0.25">
      <c r="C394" s="5"/>
    </row>
    <row r="395" spans="3:3" x14ac:dyDescent="0.25">
      <c r="C395" s="5"/>
    </row>
    <row r="396" spans="3:3" x14ac:dyDescent="0.25">
      <c r="C396" s="5"/>
    </row>
    <row r="397" spans="3:3" x14ac:dyDescent="0.25">
      <c r="C397" s="5"/>
    </row>
    <row r="398" spans="3:3" x14ac:dyDescent="0.25">
      <c r="C398" s="5"/>
    </row>
    <row r="399" spans="3:3" x14ac:dyDescent="0.25">
      <c r="C399" s="5"/>
    </row>
    <row r="400" spans="3:3" x14ac:dyDescent="0.25">
      <c r="C400" s="5"/>
    </row>
    <row r="401" spans="3:21" x14ac:dyDescent="0.25">
      <c r="C401" s="5"/>
      <c r="O401"/>
      <c r="P401"/>
      <c r="Q401"/>
      <c r="R401"/>
      <c r="S401"/>
      <c r="T401"/>
      <c r="U401"/>
    </row>
    <row r="402" spans="3:21" x14ac:dyDescent="0.25">
      <c r="C402" s="5"/>
    </row>
    <row r="403" spans="3:21" x14ac:dyDescent="0.25">
      <c r="C403" s="5"/>
    </row>
    <row r="404" spans="3:21" x14ac:dyDescent="0.25">
      <c r="C404" s="5"/>
    </row>
    <row r="405" spans="3:21" x14ac:dyDescent="0.25">
      <c r="C405" s="5"/>
    </row>
    <row r="406" spans="3:21" x14ac:dyDescent="0.25">
      <c r="C406" s="5"/>
    </row>
    <row r="407" spans="3:21" x14ac:dyDescent="0.25">
      <c r="C407" s="5"/>
    </row>
    <row r="408" spans="3:21" x14ac:dyDescent="0.25">
      <c r="C408" s="5"/>
    </row>
    <row r="409" spans="3:21" x14ac:dyDescent="0.25">
      <c r="C409" s="5"/>
    </row>
    <row r="410" spans="3:21" x14ac:dyDescent="0.25">
      <c r="C410" s="5"/>
      <c r="O410"/>
      <c r="P410"/>
      <c r="Q410"/>
      <c r="R410"/>
      <c r="S410"/>
      <c r="T410"/>
      <c r="U410"/>
    </row>
    <row r="411" spans="3:21" x14ac:dyDescent="0.25">
      <c r="C411" s="5"/>
    </row>
    <row r="412" spans="3:21" x14ac:dyDescent="0.25">
      <c r="C412" s="5"/>
    </row>
    <row r="413" spans="3:21" x14ac:dyDescent="0.25">
      <c r="C413" s="5"/>
    </row>
    <row r="414" spans="3:21" x14ac:dyDescent="0.25">
      <c r="C414" s="5"/>
    </row>
    <row r="415" spans="3:21" x14ac:dyDescent="0.25">
      <c r="C415" s="5"/>
    </row>
    <row r="416" spans="3:21" x14ac:dyDescent="0.25">
      <c r="C416" s="5"/>
    </row>
    <row r="417" spans="3:21" x14ac:dyDescent="0.25">
      <c r="C417" s="5"/>
    </row>
    <row r="418" spans="3:21" x14ac:dyDescent="0.25">
      <c r="C418" s="5"/>
    </row>
    <row r="419" spans="3:21" x14ac:dyDescent="0.25">
      <c r="C419" s="5"/>
    </row>
    <row r="420" spans="3:21" x14ac:dyDescent="0.25">
      <c r="C420" s="5"/>
    </row>
    <row r="421" spans="3:21" x14ac:dyDescent="0.25">
      <c r="C421" s="5"/>
    </row>
    <row r="422" spans="3:21" x14ac:dyDescent="0.25">
      <c r="C422" s="5"/>
    </row>
    <row r="423" spans="3:21" x14ac:dyDescent="0.25">
      <c r="C423" s="5"/>
    </row>
    <row r="424" spans="3:21" x14ac:dyDescent="0.25">
      <c r="C424" s="5"/>
    </row>
    <row r="425" spans="3:21" x14ac:dyDescent="0.25">
      <c r="C425" s="5"/>
    </row>
    <row r="426" spans="3:21" x14ac:dyDescent="0.25">
      <c r="C426" s="5"/>
    </row>
    <row r="427" spans="3:21" x14ac:dyDescent="0.25">
      <c r="C427" s="5"/>
    </row>
    <row r="428" spans="3:21" x14ac:dyDescent="0.25">
      <c r="C428" s="5"/>
    </row>
    <row r="429" spans="3:21" x14ac:dyDescent="0.25">
      <c r="C429" s="5"/>
    </row>
    <row r="430" spans="3:21" x14ac:dyDescent="0.25">
      <c r="C430" s="5"/>
      <c r="O430"/>
      <c r="P430"/>
      <c r="Q430"/>
      <c r="R430"/>
      <c r="S430"/>
      <c r="T430"/>
      <c r="U430"/>
    </row>
    <row r="431" spans="3:21" x14ac:dyDescent="0.25">
      <c r="C431" s="5"/>
    </row>
    <row r="432" spans="3:21" x14ac:dyDescent="0.25">
      <c r="C432" s="5"/>
    </row>
    <row r="433" spans="3:21" x14ac:dyDescent="0.25">
      <c r="C433" s="5"/>
    </row>
    <row r="434" spans="3:21" x14ac:dyDescent="0.25">
      <c r="C434" s="5"/>
    </row>
    <row r="435" spans="3:21" x14ac:dyDescent="0.25">
      <c r="C435" s="5"/>
    </row>
    <row r="436" spans="3:21" x14ac:dyDescent="0.25">
      <c r="C436" s="5"/>
    </row>
    <row r="437" spans="3:21" x14ac:dyDescent="0.25">
      <c r="C437" s="5"/>
      <c r="O437"/>
      <c r="P437"/>
      <c r="Q437"/>
      <c r="R437"/>
      <c r="S437"/>
      <c r="T437"/>
      <c r="U437"/>
    </row>
    <row r="438" spans="3:21" x14ac:dyDescent="0.25">
      <c r="C438" s="5"/>
    </row>
    <row r="439" spans="3:21" x14ac:dyDescent="0.25">
      <c r="C439" s="5"/>
    </row>
    <row r="440" spans="3:21" x14ac:dyDescent="0.25">
      <c r="C440" s="5"/>
    </row>
    <row r="441" spans="3:21" x14ac:dyDescent="0.25">
      <c r="C441" s="5"/>
    </row>
    <row r="442" spans="3:21" x14ac:dyDescent="0.25">
      <c r="C442" s="5"/>
    </row>
    <row r="443" spans="3:21" x14ac:dyDescent="0.25">
      <c r="C443" s="5"/>
    </row>
    <row r="444" spans="3:21" x14ac:dyDescent="0.25">
      <c r="C444" s="5"/>
    </row>
    <row r="445" spans="3:21" x14ac:dyDescent="0.25">
      <c r="C445" s="5"/>
    </row>
    <row r="446" spans="3:21" x14ac:dyDescent="0.25">
      <c r="C446" s="5"/>
    </row>
    <row r="447" spans="3:21" x14ac:dyDescent="0.25">
      <c r="C447" s="5"/>
    </row>
    <row r="448" spans="3:21" x14ac:dyDescent="0.25">
      <c r="C448" s="5"/>
    </row>
    <row r="449" spans="3:3" x14ac:dyDescent="0.25">
      <c r="C449" s="5"/>
    </row>
    <row r="450" spans="3:3" x14ac:dyDescent="0.25">
      <c r="C450" s="5"/>
    </row>
    <row r="451" spans="3:3" x14ac:dyDescent="0.25">
      <c r="C451" s="5"/>
    </row>
    <row r="452" spans="3:3" x14ac:dyDescent="0.25">
      <c r="C452" s="5"/>
    </row>
    <row r="453" spans="3:3" x14ac:dyDescent="0.25">
      <c r="C453" s="5"/>
    </row>
    <row r="454" spans="3:3" x14ac:dyDescent="0.25">
      <c r="C454" s="5"/>
    </row>
    <row r="455" spans="3:3" x14ac:dyDescent="0.25">
      <c r="C455" s="5"/>
    </row>
    <row r="456" spans="3:3" x14ac:dyDescent="0.25">
      <c r="C456" s="5"/>
    </row>
    <row r="457" spans="3:3" x14ac:dyDescent="0.25">
      <c r="C457" s="5"/>
    </row>
    <row r="458" spans="3:3" x14ac:dyDescent="0.25">
      <c r="C458" s="5"/>
    </row>
    <row r="459" spans="3:3" x14ac:dyDescent="0.25">
      <c r="C459" s="5"/>
    </row>
    <row r="460" spans="3:3" x14ac:dyDescent="0.25">
      <c r="C460" s="5"/>
    </row>
    <row r="461" spans="3:3" x14ac:dyDescent="0.25">
      <c r="C461" s="5"/>
    </row>
    <row r="462" spans="3:3" x14ac:dyDescent="0.25">
      <c r="C462" s="5"/>
    </row>
    <row r="463" spans="3:3" x14ac:dyDescent="0.25">
      <c r="C463" s="5"/>
    </row>
    <row r="464" spans="3:3" x14ac:dyDescent="0.25">
      <c r="C464" s="5"/>
    </row>
    <row r="465" spans="3:3" x14ac:dyDescent="0.25">
      <c r="C465" s="5"/>
    </row>
    <row r="466" spans="3:3" x14ac:dyDescent="0.25">
      <c r="C466" s="5"/>
    </row>
    <row r="467" spans="3:3" x14ac:dyDescent="0.25">
      <c r="C467" s="5"/>
    </row>
    <row r="468" spans="3:3" x14ac:dyDescent="0.25">
      <c r="C468" s="5"/>
    </row>
    <row r="469" spans="3:3" x14ac:dyDescent="0.25">
      <c r="C469" s="5"/>
    </row>
    <row r="470" spans="3:3" x14ac:dyDescent="0.25">
      <c r="C470" s="5"/>
    </row>
    <row r="471" spans="3:3" x14ac:dyDescent="0.25">
      <c r="C471" s="5"/>
    </row>
    <row r="472" spans="3:3" x14ac:dyDescent="0.25">
      <c r="C472" s="5"/>
    </row>
    <row r="473" spans="3:3" x14ac:dyDescent="0.25">
      <c r="C473" s="5"/>
    </row>
    <row r="474" spans="3:3" x14ac:dyDescent="0.25">
      <c r="C474" s="5"/>
    </row>
    <row r="475" spans="3:3" x14ac:dyDescent="0.25">
      <c r="C475" s="5"/>
    </row>
    <row r="476" spans="3:3" x14ac:dyDescent="0.25">
      <c r="C476" s="5"/>
    </row>
    <row r="477" spans="3:3" x14ac:dyDescent="0.25">
      <c r="C477" s="5"/>
    </row>
    <row r="478" spans="3:3" x14ac:dyDescent="0.25">
      <c r="C478" s="5"/>
    </row>
    <row r="479" spans="3:3" x14ac:dyDescent="0.25">
      <c r="C479" s="5"/>
    </row>
    <row r="480" spans="3:3" x14ac:dyDescent="0.25">
      <c r="C480" s="5"/>
    </row>
    <row r="481" spans="3:3" x14ac:dyDescent="0.25">
      <c r="C481" s="5"/>
    </row>
    <row r="482" spans="3:3" x14ac:dyDescent="0.25">
      <c r="C482" s="5"/>
    </row>
    <row r="483" spans="3:3" x14ac:dyDescent="0.25">
      <c r="C483" s="5"/>
    </row>
    <row r="484" spans="3:3" x14ac:dyDescent="0.25">
      <c r="C484" s="5"/>
    </row>
    <row r="485" spans="3:3" x14ac:dyDescent="0.25">
      <c r="C485" s="5"/>
    </row>
    <row r="486" spans="3:3" x14ac:dyDescent="0.25">
      <c r="C486" s="5"/>
    </row>
    <row r="487" spans="3:3" x14ac:dyDescent="0.25">
      <c r="C487" s="5"/>
    </row>
    <row r="488" spans="3:3" x14ac:dyDescent="0.25">
      <c r="C488" s="5"/>
    </row>
    <row r="489" spans="3:3" x14ac:dyDescent="0.25">
      <c r="C489" s="5"/>
    </row>
    <row r="490" spans="3:3" x14ac:dyDescent="0.25">
      <c r="C490" s="5"/>
    </row>
    <row r="491" spans="3:3" x14ac:dyDescent="0.25">
      <c r="C491" s="5"/>
    </row>
    <row r="492" spans="3:3" x14ac:dyDescent="0.25">
      <c r="C492" s="5"/>
    </row>
    <row r="493" spans="3:3" x14ac:dyDescent="0.25">
      <c r="C493" s="5"/>
    </row>
    <row r="494" spans="3:3" x14ac:dyDescent="0.25">
      <c r="C494" s="5"/>
    </row>
    <row r="495" spans="3:3" x14ac:dyDescent="0.25">
      <c r="C495" s="5"/>
    </row>
    <row r="496" spans="3:3" x14ac:dyDescent="0.25">
      <c r="C496" s="5"/>
    </row>
    <row r="497" spans="3:3" x14ac:dyDescent="0.25">
      <c r="C497" s="5"/>
    </row>
    <row r="498" spans="3:3" x14ac:dyDescent="0.25">
      <c r="C498" s="5"/>
    </row>
    <row r="499" spans="3:3" x14ac:dyDescent="0.25">
      <c r="C499" s="5"/>
    </row>
    <row r="500" spans="3:3" x14ac:dyDescent="0.25">
      <c r="C500" s="5"/>
    </row>
    <row r="501" spans="3:3" x14ac:dyDescent="0.25">
      <c r="C501" s="5"/>
    </row>
    <row r="502" spans="3:3" x14ac:dyDescent="0.25">
      <c r="C502" s="5"/>
    </row>
    <row r="503" spans="3:3" x14ac:dyDescent="0.25">
      <c r="C503" s="5"/>
    </row>
    <row r="504" spans="3:3" x14ac:dyDescent="0.25">
      <c r="C504" s="5"/>
    </row>
    <row r="505" spans="3:3" x14ac:dyDescent="0.25">
      <c r="C505" s="5"/>
    </row>
    <row r="506" spans="3:3" x14ac:dyDescent="0.25">
      <c r="C506" s="5"/>
    </row>
    <row r="507" spans="3:3" x14ac:dyDescent="0.25">
      <c r="C507" s="5"/>
    </row>
    <row r="508" spans="3:3" x14ac:dyDescent="0.25">
      <c r="C508" s="5"/>
    </row>
    <row r="509" spans="3:3" x14ac:dyDescent="0.25">
      <c r="C509" s="5"/>
    </row>
    <row r="510" spans="3:3" x14ac:dyDescent="0.25">
      <c r="C510" s="5"/>
    </row>
    <row r="511" spans="3:3" x14ac:dyDescent="0.25">
      <c r="C511" s="5"/>
    </row>
    <row r="512" spans="3:3" x14ac:dyDescent="0.25">
      <c r="C512" s="5"/>
    </row>
    <row r="513" spans="3:21" x14ac:dyDescent="0.25">
      <c r="C513" s="5"/>
    </row>
    <row r="514" spans="3:21" x14ac:dyDescent="0.25">
      <c r="C514" s="5"/>
    </row>
    <row r="515" spans="3:21" x14ac:dyDescent="0.25">
      <c r="C515" s="5"/>
    </row>
    <row r="516" spans="3:21" x14ac:dyDescent="0.25">
      <c r="C516" s="5"/>
    </row>
    <row r="517" spans="3:21" x14ac:dyDescent="0.25">
      <c r="C517" s="5"/>
    </row>
    <row r="518" spans="3:21" x14ac:dyDescent="0.25">
      <c r="C518" s="5"/>
    </row>
    <row r="519" spans="3:21" x14ac:dyDescent="0.25">
      <c r="C519" s="5"/>
    </row>
    <row r="520" spans="3:21" x14ac:dyDescent="0.25">
      <c r="C520" s="5"/>
    </row>
    <row r="521" spans="3:21" x14ac:dyDescent="0.25">
      <c r="C521" s="5"/>
    </row>
    <row r="522" spans="3:21" x14ac:dyDescent="0.25">
      <c r="C522" s="5"/>
    </row>
    <row r="523" spans="3:21" x14ac:dyDescent="0.25">
      <c r="C523" s="5"/>
    </row>
    <row r="524" spans="3:21" x14ac:dyDescent="0.25">
      <c r="C524" s="5"/>
    </row>
    <row r="525" spans="3:21" x14ac:dyDescent="0.25">
      <c r="C525" s="5"/>
    </row>
    <row r="526" spans="3:21" x14ac:dyDescent="0.25">
      <c r="C526" s="5"/>
    </row>
    <row r="527" spans="3:21" x14ac:dyDescent="0.25">
      <c r="C527" s="5"/>
      <c r="O527"/>
      <c r="P527"/>
      <c r="Q527"/>
      <c r="R527"/>
      <c r="S527"/>
      <c r="T527"/>
      <c r="U527"/>
    </row>
    <row r="528" spans="3:21" x14ac:dyDescent="0.25">
      <c r="C528" s="5"/>
    </row>
    <row r="529" spans="3:21" x14ac:dyDescent="0.25">
      <c r="C529" s="5"/>
    </row>
    <row r="530" spans="3:21" x14ac:dyDescent="0.25">
      <c r="C530" s="5"/>
    </row>
    <row r="531" spans="3:21" x14ac:dyDescent="0.25">
      <c r="C531" s="5"/>
    </row>
    <row r="532" spans="3:21" x14ac:dyDescent="0.25">
      <c r="C532" s="5"/>
    </row>
    <row r="533" spans="3:21" x14ac:dyDescent="0.25">
      <c r="C533" s="5"/>
    </row>
    <row r="534" spans="3:21" x14ac:dyDescent="0.25">
      <c r="C534" s="5"/>
    </row>
    <row r="535" spans="3:21" x14ac:dyDescent="0.25">
      <c r="C535" s="5"/>
    </row>
    <row r="536" spans="3:21" x14ac:dyDescent="0.25">
      <c r="C536" s="5"/>
    </row>
    <row r="537" spans="3:21" x14ac:dyDescent="0.25">
      <c r="C537" s="5"/>
      <c r="O537"/>
      <c r="P537"/>
      <c r="Q537"/>
      <c r="R537"/>
      <c r="S537"/>
      <c r="T537"/>
      <c r="U537"/>
    </row>
    <row r="538" spans="3:21" x14ac:dyDescent="0.25">
      <c r="C538" s="5"/>
    </row>
    <row r="539" spans="3:21" x14ac:dyDescent="0.25">
      <c r="C539" s="5"/>
    </row>
    <row r="540" spans="3:21" x14ac:dyDescent="0.25">
      <c r="C540" s="5"/>
    </row>
    <row r="541" spans="3:21" x14ac:dyDescent="0.25">
      <c r="C541" s="5"/>
    </row>
    <row r="542" spans="3:21" x14ac:dyDescent="0.25">
      <c r="C542" s="5"/>
    </row>
    <row r="543" spans="3:21" x14ac:dyDescent="0.25">
      <c r="C543" s="5"/>
    </row>
    <row r="544" spans="3:21" x14ac:dyDescent="0.25">
      <c r="C544" s="5"/>
    </row>
    <row r="545" spans="3:21" x14ac:dyDescent="0.25">
      <c r="C545" s="5"/>
    </row>
    <row r="546" spans="3:21" x14ac:dyDescent="0.25">
      <c r="C546" s="5"/>
    </row>
    <row r="547" spans="3:21" x14ac:dyDescent="0.25">
      <c r="C547" s="5"/>
    </row>
    <row r="548" spans="3:21" x14ac:dyDescent="0.25">
      <c r="C548" s="5"/>
    </row>
    <row r="549" spans="3:21" x14ac:dyDescent="0.25">
      <c r="C549" s="5"/>
    </row>
    <row r="550" spans="3:21" x14ac:dyDescent="0.25">
      <c r="C550" s="5"/>
      <c r="O550"/>
      <c r="P550"/>
      <c r="Q550"/>
      <c r="R550"/>
      <c r="S550"/>
      <c r="T550"/>
      <c r="U550"/>
    </row>
    <row r="551" spans="3:21" x14ac:dyDescent="0.25">
      <c r="C551" s="5"/>
    </row>
    <row r="552" spans="3:21" x14ac:dyDescent="0.25">
      <c r="C552" s="5"/>
    </row>
    <row r="553" spans="3:21" x14ac:dyDescent="0.25">
      <c r="C553" s="5"/>
    </row>
    <row r="554" spans="3:21" x14ac:dyDescent="0.25">
      <c r="C554" s="5"/>
      <c r="O554"/>
      <c r="P554"/>
      <c r="Q554"/>
      <c r="R554"/>
      <c r="S554"/>
      <c r="T554"/>
      <c r="U554"/>
    </row>
    <row r="555" spans="3:21" x14ac:dyDescent="0.25">
      <c r="C555" s="5"/>
    </row>
    <row r="556" spans="3:21" x14ac:dyDescent="0.25">
      <c r="C556" s="5"/>
    </row>
    <row r="557" spans="3:21" x14ac:dyDescent="0.25">
      <c r="C557" s="5"/>
    </row>
    <row r="558" spans="3:21" x14ac:dyDescent="0.25">
      <c r="C558" s="5"/>
    </row>
    <row r="559" spans="3:21" x14ac:dyDescent="0.25">
      <c r="C559" s="5"/>
    </row>
    <row r="560" spans="3:21" x14ac:dyDescent="0.25">
      <c r="C560" s="5"/>
    </row>
    <row r="561" spans="3:21" x14ac:dyDescent="0.25">
      <c r="C561" s="5"/>
    </row>
    <row r="562" spans="3:21" x14ac:dyDescent="0.25">
      <c r="C562" s="5"/>
    </row>
    <row r="563" spans="3:21" x14ac:dyDescent="0.25">
      <c r="C563" s="5"/>
    </row>
    <row r="564" spans="3:21" x14ac:dyDescent="0.25">
      <c r="C564" s="5"/>
    </row>
    <row r="565" spans="3:21" x14ac:dyDescent="0.25">
      <c r="C565" s="5"/>
    </row>
    <row r="566" spans="3:21" x14ac:dyDescent="0.25">
      <c r="C566" s="5"/>
    </row>
    <row r="567" spans="3:21" x14ac:dyDescent="0.25">
      <c r="C567" s="5"/>
    </row>
    <row r="568" spans="3:21" x14ac:dyDescent="0.25">
      <c r="C568" s="5"/>
    </row>
    <row r="569" spans="3:21" x14ac:dyDescent="0.25">
      <c r="C569" s="5"/>
    </row>
    <row r="570" spans="3:21" x14ac:dyDescent="0.25">
      <c r="C570" s="5"/>
    </row>
    <row r="571" spans="3:21" x14ac:dyDescent="0.25">
      <c r="C571" s="5"/>
    </row>
    <row r="572" spans="3:21" x14ac:dyDescent="0.25">
      <c r="C572" s="5"/>
    </row>
    <row r="573" spans="3:21" x14ac:dyDescent="0.25">
      <c r="C573" s="5"/>
    </row>
    <row r="574" spans="3:21" x14ac:dyDescent="0.25">
      <c r="C574" s="5"/>
    </row>
    <row r="575" spans="3:21" x14ac:dyDescent="0.25">
      <c r="C575" s="5"/>
    </row>
    <row r="576" spans="3:21" x14ac:dyDescent="0.25">
      <c r="C576" s="5"/>
      <c r="O576"/>
      <c r="P576"/>
      <c r="Q576"/>
      <c r="R576"/>
      <c r="S576"/>
      <c r="T576"/>
      <c r="U576"/>
    </row>
    <row r="577" spans="3:21" x14ac:dyDescent="0.25">
      <c r="C577" s="5"/>
    </row>
    <row r="578" spans="3:21" x14ac:dyDescent="0.25">
      <c r="C578" s="5"/>
      <c r="O578"/>
      <c r="P578"/>
      <c r="Q578"/>
      <c r="R578"/>
      <c r="S578"/>
      <c r="T578"/>
      <c r="U578"/>
    </row>
    <row r="579" spans="3:21" x14ac:dyDescent="0.25">
      <c r="C579" s="5"/>
    </row>
    <row r="580" spans="3:21" x14ac:dyDescent="0.25">
      <c r="C580" s="5"/>
    </row>
    <row r="581" spans="3:21" x14ac:dyDescent="0.25">
      <c r="C581" s="5"/>
    </row>
    <row r="582" spans="3:21" x14ac:dyDescent="0.25">
      <c r="C582" s="5"/>
    </row>
    <row r="583" spans="3:21" x14ac:dyDescent="0.25">
      <c r="C583" s="5"/>
      <c r="O583"/>
      <c r="P583"/>
      <c r="Q583"/>
      <c r="R583"/>
      <c r="S583"/>
      <c r="T583"/>
      <c r="U583"/>
    </row>
    <row r="584" spans="3:21" x14ac:dyDescent="0.25">
      <c r="C584" s="5"/>
    </row>
    <row r="585" spans="3:21" x14ac:dyDescent="0.25">
      <c r="C585" s="5"/>
    </row>
    <row r="586" spans="3:21" x14ac:dyDescent="0.25">
      <c r="C586" s="5"/>
    </row>
    <row r="587" spans="3:21" x14ac:dyDescent="0.25">
      <c r="C587" s="5"/>
    </row>
    <row r="588" spans="3:21" x14ac:dyDescent="0.25">
      <c r="C588" s="5"/>
    </row>
    <row r="589" spans="3:21" x14ac:dyDescent="0.25">
      <c r="C589" s="5"/>
    </row>
    <row r="590" spans="3:21" x14ac:dyDescent="0.25">
      <c r="C590" s="5"/>
    </row>
    <row r="591" spans="3:21" x14ac:dyDescent="0.25">
      <c r="C591" s="5"/>
    </row>
    <row r="592" spans="3:21" x14ac:dyDescent="0.25">
      <c r="C592" s="5"/>
    </row>
    <row r="593" spans="3:3" x14ac:dyDescent="0.25">
      <c r="C593" s="5"/>
    </row>
    <row r="594" spans="3:3" x14ac:dyDescent="0.25">
      <c r="C594" s="5"/>
    </row>
    <row r="595" spans="3:3" x14ac:dyDescent="0.25">
      <c r="C595" s="5"/>
    </row>
    <row r="596" spans="3:3" x14ac:dyDescent="0.25">
      <c r="C596" s="5"/>
    </row>
    <row r="597" spans="3:3" x14ac:dyDescent="0.25">
      <c r="C597" s="5"/>
    </row>
    <row r="598" spans="3:3" x14ac:dyDescent="0.25">
      <c r="C598" s="5"/>
    </row>
    <row r="599" spans="3:3" x14ac:dyDescent="0.25">
      <c r="C599" s="5"/>
    </row>
    <row r="600" spans="3:3" x14ac:dyDescent="0.25">
      <c r="C600" s="5"/>
    </row>
    <row r="601" spans="3:3" x14ac:dyDescent="0.25">
      <c r="C601" s="5"/>
    </row>
    <row r="602" spans="3:3" x14ac:dyDescent="0.25">
      <c r="C602" s="5"/>
    </row>
    <row r="603" spans="3:3" x14ac:dyDescent="0.25">
      <c r="C603" s="5"/>
    </row>
    <row r="604" spans="3:3" x14ac:dyDescent="0.25">
      <c r="C604" s="5"/>
    </row>
    <row r="605" spans="3:3" x14ac:dyDescent="0.25">
      <c r="C605" s="5"/>
    </row>
    <row r="606" spans="3:3" x14ac:dyDescent="0.25">
      <c r="C606" s="5"/>
    </row>
    <row r="607" spans="3:3" x14ac:dyDescent="0.25">
      <c r="C607" s="5"/>
    </row>
    <row r="608" spans="3:3" x14ac:dyDescent="0.25">
      <c r="C608" s="5"/>
    </row>
    <row r="609" spans="3:21" x14ac:dyDescent="0.25">
      <c r="C609" s="5"/>
    </row>
    <row r="610" spans="3:21" x14ac:dyDescent="0.25">
      <c r="C610" s="5"/>
    </row>
    <row r="611" spans="3:21" x14ac:dyDescent="0.25">
      <c r="C611" s="5"/>
      <c r="O611"/>
      <c r="P611"/>
      <c r="Q611"/>
      <c r="R611"/>
      <c r="S611"/>
      <c r="T611"/>
      <c r="U611"/>
    </row>
    <row r="612" spans="3:21" x14ac:dyDescent="0.25">
      <c r="C612" s="5"/>
    </row>
    <row r="613" spans="3:21" x14ac:dyDescent="0.25">
      <c r="C613" s="5"/>
    </row>
    <row r="614" spans="3:21" x14ac:dyDescent="0.25">
      <c r="C614" s="5"/>
    </row>
    <row r="615" spans="3:21" x14ac:dyDescent="0.25">
      <c r="C615" s="5"/>
    </row>
    <row r="616" spans="3:21" x14ac:dyDescent="0.25">
      <c r="C616" s="5"/>
    </row>
    <row r="617" spans="3:21" x14ac:dyDescent="0.25">
      <c r="C617" s="5"/>
    </row>
    <row r="618" spans="3:21" x14ac:dyDescent="0.25">
      <c r="C618" s="5"/>
    </row>
    <row r="619" spans="3:21" x14ac:dyDescent="0.25">
      <c r="C619" s="5"/>
    </row>
    <row r="620" spans="3:21" x14ac:dyDescent="0.25">
      <c r="C620" s="5"/>
    </row>
    <row r="621" spans="3:21" x14ac:dyDescent="0.25">
      <c r="C621" s="5"/>
    </row>
    <row r="622" spans="3:21" x14ac:dyDescent="0.25">
      <c r="C622" s="5"/>
      <c r="O622"/>
      <c r="P622"/>
      <c r="Q622"/>
      <c r="R622"/>
      <c r="S622"/>
      <c r="T622"/>
      <c r="U622"/>
    </row>
    <row r="623" spans="3:21" x14ac:dyDescent="0.25">
      <c r="C623" s="5"/>
    </row>
    <row r="624" spans="3:21" x14ac:dyDescent="0.25">
      <c r="C624" s="5"/>
    </row>
    <row r="625" spans="3:21" x14ac:dyDescent="0.25">
      <c r="C625" s="5"/>
    </row>
    <row r="626" spans="3:21" x14ac:dyDescent="0.25">
      <c r="C626" s="5"/>
    </row>
    <row r="627" spans="3:21" x14ac:dyDescent="0.25">
      <c r="C627" s="5"/>
    </row>
    <row r="628" spans="3:21" x14ac:dyDescent="0.25">
      <c r="C628" s="5"/>
      <c r="O628"/>
      <c r="P628"/>
      <c r="Q628"/>
      <c r="R628"/>
      <c r="S628"/>
      <c r="T628"/>
      <c r="U628"/>
    </row>
    <row r="629" spans="3:21" x14ac:dyDescent="0.25">
      <c r="C629" s="5"/>
    </row>
    <row r="630" spans="3:21" x14ac:dyDescent="0.25">
      <c r="C630" s="5"/>
    </row>
    <row r="631" spans="3:21" x14ac:dyDescent="0.25">
      <c r="C631" s="5"/>
      <c r="O631"/>
      <c r="P631"/>
      <c r="Q631"/>
      <c r="R631"/>
      <c r="S631"/>
      <c r="T631"/>
      <c r="U631"/>
    </row>
    <row r="632" spans="3:21" x14ac:dyDescent="0.25">
      <c r="C632" s="5"/>
    </row>
    <row r="633" spans="3:21" x14ac:dyDescent="0.25">
      <c r="C633" s="5"/>
    </row>
    <row r="634" spans="3:21" x14ac:dyDescent="0.25">
      <c r="C634" s="5"/>
      <c r="O634"/>
      <c r="P634"/>
      <c r="Q634"/>
      <c r="R634"/>
      <c r="S634"/>
      <c r="T634"/>
      <c r="U634"/>
    </row>
    <row r="635" spans="3:21" x14ac:dyDescent="0.25">
      <c r="C635" s="5"/>
    </row>
    <row r="636" spans="3:21" x14ac:dyDescent="0.25">
      <c r="C636" s="5"/>
    </row>
    <row r="637" spans="3:21" x14ac:dyDescent="0.25">
      <c r="C637" s="5"/>
    </row>
    <row r="638" spans="3:21" x14ac:dyDescent="0.25">
      <c r="C638" s="5"/>
    </row>
    <row r="639" spans="3:21" x14ac:dyDescent="0.25">
      <c r="C639" s="5"/>
    </row>
    <row r="640" spans="3:21" x14ac:dyDescent="0.25">
      <c r="C640" s="5"/>
    </row>
    <row r="641" spans="3:21" x14ac:dyDescent="0.25">
      <c r="C641" s="5"/>
    </row>
    <row r="642" spans="3:21" x14ac:dyDescent="0.25">
      <c r="C642" s="5"/>
    </row>
    <row r="643" spans="3:21" x14ac:dyDescent="0.25">
      <c r="C643" s="5"/>
    </row>
    <row r="644" spans="3:21" x14ac:dyDescent="0.25">
      <c r="C644" s="5"/>
    </row>
    <row r="645" spans="3:21" x14ac:dyDescent="0.25">
      <c r="C645" s="5"/>
    </row>
    <row r="646" spans="3:21" x14ac:dyDescent="0.25">
      <c r="C646" s="5"/>
    </row>
    <row r="647" spans="3:21" x14ac:dyDescent="0.25">
      <c r="C647" s="5"/>
    </row>
    <row r="648" spans="3:21" x14ac:dyDescent="0.25">
      <c r="C648" s="5"/>
    </row>
    <row r="649" spans="3:21" x14ac:dyDescent="0.25">
      <c r="C649" s="5"/>
    </row>
    <row r="650" spans="3:21" x14ac:dyDescent="0.25">
      <c r="C650" s="5"/>
    </row>
    <row r="651" spans="3:21" x14ac:dyDescent="0.25">
      <c r="C651" s="5"/>
    </row>
    <row r="652" spans="3:21" x14ac:dyDescent="0.25">
      <c r="C652" s="5"/>
    </row>
    <row r="653" spans="3:21" x14ac:dyDescent="0.25">
      <c r="C653" s="5"/>
      <c r="O653"/>
      <c r="P653"/>
      <c r="Q653"/>
      <c r="R653"/>
      <c r="S653"/>
      <c r="T653"/>
      <c r="U653"/>
    </row>
    <row r="654" spans="3:21" x14ac:dyDescent="0.25">
      <c r="C654" s="5"/>
    </row>
    <row r="655" spans="3:21" x14ac:dyDescent="0.25">
      <c r="C655" s="5"/>
    </row>
    <row r="656" spans="3:21" x14ac:dyDescent="0.25">
      <c r="C656" s="5"/>
    </row>
    <row r="657" spans="3:21" x14ac:dyDescent="0.25">
      <c r="C657" s="5"/>
    </row>
    <row r="658" spans="3:21" x14ac:dyDescent="0.25">
      <c r="C658" s="5"/>
    </row>
    <row r="659" spans="3:21" x14ac:dyDescent="0.25">
      <c r="C659" s="5"/>
    </row>
    <row r="660" spans="3:21" x14ac:dyDescent="0.25">
      <c r="C660" s="5"/>
    </row>
    <row r="661" spans="3:21" x14ac:dyDescent="0.25">
      <c r="C661" s="5"/>
    </row>
    <row r="662" spans="3:21" x14ac:dyDescent="0.25">
      <c r="C662" s="5"/>
    </row>
    <row r="663" spans="3:21" x14ac:dyDescent="0.25">
      <c r="C663" s="5"/>
    </row>
    <row r="664" spans="3:21" x14ac:dyDescent="0.25">
      <c r="C664" s="5"/>
    </row>
    <row r="665" spans="3:21" x14ac:dyDescent="0.25">
      <c r="C665" s="5"/>
    </row>
    <row r="666" spans="3:21" x14ac:dyDescent="0.25">
      <c r="C666" s="5"/>
    </row>
    <row r="667" spans="3:21" x14ac:dyDescent="0.25">
      <c r="C667" s="5"/>
    </row>
    <row r="668" spans="3:21" x14ac:dyDescent="0.25">
      <c r="C668" s="5"/>
      <c r="O668"/>
      <c r="P668"/>
      <c r="Q668"/>
      <c r="R668"/>
      <c r="S668"/>
      <c r="T668"/>
      <c r="U668"/>
    </row>
    <row r="669" spans="3:21" x14ac:dyDescent="0.25">
      <c r="C669" s="5"/>
    </row>
    <row r="670" spans="3:21" x14ac:dyDescent="0.25">
      <c r="C670" s="5"/>
    </row>
    <row r="671" spans="3:21" x14ac:dyDescent="0.25">
      <c r="C671" s="5"/>
    </row>
    <row r="672" spans="3:21" x14ac:dyDescent="0.25">
      <c r="C672" s="5"/>
      <c r="O672"/>
      <c r="P672"/>
      <c r="Q672"/>
      <c r="R672"/>
      <c r="S672"/>
      <c r="T672"/>
      <c r="U672"/>
    </row>
    <row r="673" spans="3:21" x14ac:dyDescent="0.25">
      <c r="C673" s="5"/>
    </row>
    <row r="674" spans="3:21" x14ac:dyDescent="0.25">
      <c r="C674" s="5"/>
    </row>
    <row r="675" spans="3:21" x14ac:dyDescent="0.25">
      <c r="C675" s="5"/>
    </row>
    <row r="676" spans="3:21" x14ac:dyDescent="0.25">
      <c r="C676" s="5"/>
    </row>
    <row r="677" spans="3:21" x14ac:dyDescent="0.25">
      <c r="C677" s="5"/>
    </row>
    <row r="678" spans="3:21" x14ac:dyDescent="0.25">
      <c r="C678" s="5"/>
    </row>
    <row r="679" spans="3:21" x14ac:dyDescent="0.25">
      <c r="C679" s="5"/>
    </row>
    <row r="680" spans="3:21" x14ac:dyDescent="0.25">
      <c r="C680" s="5"/>
    </row>
    <row r="681" spans="3:21" x14ac:dyDescent="0.25">
      <c r="C681" s="5"/>
    </row>
    <row r="682" spans="3:21" x14ac:dyDescent="0.25">
      <c r="C682" s="5"/>
      <c r="O682"/>
      <c r="P682"/>
      <c r="Q682"/>
      <c r="R682"/>
      <c r="S682"/>
      <c r="T682"/>
      <c r="U682"/>
    </row>
    <row r="683" spans="3:21" x14ac:dyDescent="0.25">
      <c r="C683" s="5"/>
    </row>
    <row r="684" spans="3:21" x14ac:dyDescent="0.25">
      <c r="C684" s="5"/>
      <c r="O684"/>
      <c r="P684"/>
      <c r="Q684"/>
      <c r="R684"/>
      <c r="S684"/>
      <c r="T684"/>
      <c r="U684"/>
    </row>
    <row r="685" spans="3:21" x14ac:dyDescent="0.25">
      <c r="C685" s="5"/>
    </row>
    <row r="686" spans="3:21" x14ac:dyDescent="0.25">
      <c r="C686" s="5"/>
    </row>
    <row r="687" spans="3:21" x14ac:dyDescent="0.25">
      <c r="C687" s="5"/>
    </row>
    <row r="688" spans="3:21" x14ac:dyDescent="0.25">
      <c r="C688" s="5"/>
    </row>
    <row r="689" spans="3:3" x14ac:dyDescent="0.25">
      <c r="C689" s="5"/>
    </row>
    <row r="690" spans="3:3" x14ac:dyDescent="0.25">
      <c r="C690" s="5"/>
    </row>
    <row r="691" spans="3:3" x14ac:dyDescent="0.25">
      <c r="C691" s="5"/>
    </row>
    <row r="692" spans="3:3" x14ac:dyDescent="0.25">
      <c r="C692" s="5"/>
    </row>
    <row r="693" spans="3:3" x14ac:dyDescent="0.25">
      <c r="C693" s="5"/>
    </row>
    <row r="694" spans="3:3" x14ac:dyDescent="0.25">
      <c r="C694" s="5"/>
    </row>
    <row r="695" spans="3:3" x14ac:dyDescent="0.25">
      <c r="C695" s="5"/>
    </row>
    <row r="696" spans="3:3" x14ac:dyDescent="0.25">
      <c r="C696" s="5"/>
    </row>
    <row r="697" spans="3:3" x14ac:dyDescent="0.25">
      <c r="C697" s="5"/>
    </row>
    <row r="698" spans="3:3" x14ac:dyDescent="0.25">
      <c r="C698" s="5"/>
    </row>
    <row r="699" spans="3:3" x14ac:dyDescent="0.25">
      <c r="C699" s="5"/>
    </row>
    <row r="700" spans="3:3" x14ac:dyDescent="0.25">
      <c r="C700" s="5"/>
    </row>
    <row r="701" spans="3:3" x14ac:dyDescent="0.25">
      <c r="C701" s="5"/>
    </row>
    <row r="702" spans="3:3" x14ac:dyDescent="0.25">
      <c r="C702" s="5"/>
    </row>
    <row r="703" spans="3:3" x14ac:dyDescent="0.25">
      <c r="C703" s="5"/>
    </row>
    <row r="704" spans="3:3" x14ac:dyDescent="0.25">
      <c r="C704" s="5"/>
    </row>
    <row r="705" spans="3:3" x14ac:dyDescent="0.25">
      <c r="C705" s="5"/>
    </row>
    <row r="706" spans="3:3" x14ac:dyDescent="0.25">
      <c r="C706" s="5"/>
    </row>
    <row r="707" spans="3:3" x14ac:dyDescent="0.25">
      <c r="C707" s="5"/>
    </row>
    <row r="708" spans="3:3" x14ac:dyDescent="0.25">
      <c r="C708" s="5"/>
    </row>
    <row r="709" spans="3:3" x14ac:dyDescent="0.25">
      <c r="C709" s="5"/>
    </row>
    <row r="710" spans="3:3" x14ac:dyDescent="0.25">
      <c r="C710" s="5"/>
    </row>
    <row r="711" spans="3:3" x14ac:dyDescent="0.25">
      <c r="C711" s="5"/>
    </row>
    <row r="712" spans="3:3" x14ac:dyDescent="0.25">
      <c r="C712" s="5"/>
    </row>
    <row r="713" spans="3:3" x14ac:dyDescent="0.25">
      <c r="C713" s="5"/>
    </row>
    <row r="714" spans="3:3" x14ac:dyDescent="0.25">
      <c r="C714" s="5"/>
    </row>
    <row r="715" spans="3:3" x14ac:dyDescent="0.25">
      <c r="C715" s="5"/>
    </row>
    <row r="716" spans="3:3" x14ac:dyDescent="0.25">
      <c r="C716" s="5"/>
    </row>
    <row r="717" spans="3:3" x14ac:dyDescent="0.25">
      <c r="C717" s="5"/>
    </row>
    <row r="718" spans="3:3" x14ac:dyDescent="0.25">
      <c r="C718" s="5"/>
    </row>
    <row r="719" spans="3:3" x14ac:dyDescent="0.25">
      <c r="C719" s="5"/>
    </row>
    <row r="720" spans="3:3" x14ac:dyDescent="0.25">
      <c r="C720" s="5"/>
    </row>
    <row r="721" spans="3:21" x14ac:dyDescent="0.25">
      <c r="C721" s="5"/>
    </row>
    <row r="722" spans="3:21" x14ac:dyDescent="0.25">
      <c r="C722" s="5"/>
    </row>
    <row r="723" spans="3:21" x14ac:dyDescent="0.25">
      <c r="C723" s="5"/>
    </row>
    <row r="724" spans="3:21" x14ac:dyDescent="0.25">
      <c r="C724" s="5"/>
    </row>
    <row r="725" spans="3:21" x14ac:dyDescent="0.25">
      <c r="C725" s="5"/>
    </row>
    <row r="726" spans="3:21" x14ac:dyDescent="0.25">
      <c r="C726" s="5"/>
    </row>
    <row r="727" spans="3:21" x14ac:dyDescent="0.25">
      <c r="C727" s="5"/>
    </row>
    <row r="728" spans="3:21" x14ac:dyDescent="0.25">
      <c r="C728" s="5"/>
    </row>
    <row r="729" spans="3:21" x14ac:dyDescent="0.25">
      <c r="C729" s="5"/>
    </row>
    <row r="730" spans="3:21" x14ac:dyDescent="0.25">
      <c r="C730" s="5"/>
    </row>
    <row r="731" spans="3:21" x14ac:dyDescent="0.25">
      <c r="C731" s="5"/>
    </row>
    <row r="732" spans="3:21" x14ac:dyDescent="0.25">
      <c r="C732" s="5"/>
    </row>
    <row r="733" spans="3:21" x14ac:dyDescent="0.25">
      <c r="C733" s="5"/>
    </row>
    <row r="734" spans="3:21" x14ac:dyDescent="0.25">
      <c r="C734" s="5"/>
    </row>
    <row r="735" spans="3:21" x14ac:dyDescent="0.25">
      <c r="C735" s="5"/>
    </row>
    <row r="736" spans="3:21" x14ac:dyDescent="0.25">
      <c r="C736" s="5"/>
      <c r="O736"/>
      <c r="P736"/>
      <c r="Q736"/>
      <c r="R736"/>
      <c r="S736"/>
      <c r="T736"/>
      <c r="U736"/>
    </row>
    <row r="737" spans="3:21" x14ac:dyDescent="0.25">
      <c r="C737" s="5"/>
    </row>
    <row r="738" spans="3:21" x14ac:dyDescent="0.25">
      <c r="C738" s="5"/>
    </row>
    <row r="739" spans="3:21" x14ac:dyDescent="0.25">
      <c r="C739" s="5"/>
    </row>
    <row r="740" spans="3:21" x14ac:dyDescent="0.25">
      <c r="C740" s="5"/>
    </row>
    <row r="741" spans="3:21" x14ac:dyDescent="0.25">
      <c r="C741" s="5"/>
    </row>
    <row r="742" spans="3:21" x14ac:dyDescent="0.25">
      <c r="C742" s="5"/>
    </row>
    <row r="743" spans="3:21" x14ac:dyDescent="0.25">
      <c r="C743" s="5"/>
    </row>
    <row r="744" spans="3:21" x14ac:dyDescent="0.25">
      <c r="C744" s="5"/>
      <c r="O744"/>
      <c r="P744"/>
      <c r="Q744"/>
      <c r="R744"/>
      <c r="S744"/>
      <c r="T744"/>
      <c r="U744"/>
    </row>
    <row r="745" spans="3:21" x14ac:dyDescent="0.25">
      <c r="C745" s="5"/>
    </row>
    <row r="746" spans="3:21" x14ac:dyDescent="0.25">
      <c r="C746" s="5"/>
    </row>
    <row r="747" spans="3:21" x14ac:dyDescent="0.25">
      <c r="C747" s="5"/>
      <c r="O747"/>
      <c r="P747"/>
      <c r="Q747"/>
      <c r="R747"/>
      <c r="S747"/>
      <c r="T747"/>
      <c r="U747"/>
    </row>
    <row r="748" spans="3:21" x14ac:dyDescent="0.25">
      <c r="C748" s="5"/>
    </row>
    <row r="749" spans="3:21" x14ac:dyDescent="0.25">
      <c r="C749" s="5"/>
    </row>
    <row r="750" spans="3:21" x14ac:dyDescent="0.25">
      <c r="C750" s="5"/>
    </row>
    <row r="751" spans="3:21" x14ac:dyDescent="0.25">
      <c r="C751" s="5"/>
    </row>
    <row r="752" spans="3:21" x14ac:dyDescent="0.25">
      <c r="C752" s="5"/>
    </row>
    <row r="753" spans="3:3" x14ac:dyDescent="0.25">
      <c r="C753" s="5"/>
    </row>
    <row r="754" spans="3:3" x14ac:dyDescent="0.25">
      <c r="C754" s="5"/>
    </row>
    <row r="755" spans="3:3" x14ac:dyDescent="0.25">
      <c r="C755" s="5"/>
    </row>
    <row r="756" spans="3:3" x14ac:dyDescent="0.25">
      <c r="C756" s="5"/>
    </row>
    <row r="757" spans="3:3" x14ac:dyDescent="0.25">
      <c r="C757" s="5"/>
    </row>
    <row r="758" spans="3:3" x14ac:dyDescent="0.25">
      <c r="C758" s="5"/>
    </row>
    <row r="759" spans="3:3" x14ac:dyDescent="0.25">
      <c r="C759" s="5"/>
    </row>
    <row r="760" spans="3:3" x14ac:dyDescent="0.25">
      <c r="C760" s="5"/>
    </row>
    <row r="761" spans="3:3" x14ac:dyDescent="0.25">
      <c r="C761" s="5"/>
    </row>
    <row r="762" spans="3:3" x14ac:dyDescent="0.25">
      <c r="C762" s="5"/>
    </row>
    <row r="763" spans="3:3" x14ac:dyDescent="0.25">
      <c r="C763" s="5"/>
    </row>
    <row r="764" spans="3:3" x14ac:dyDescent="0.25">
      <c r="C764" s="5"/>
    </row>
    <row r="765" spans="3:3" x14ac:dyDescent="0.25">
      <c r="C765" s="5"/>
    </row>
    <row r="766" spans="3:3" x14ac:dyDescent="0.25">
      <c r="C766" s="5"/>
    </row>
    <row r="767" spans="3:3" x14ac:dyDescent="0.25">
      <c r="C767" s="5"/>
    </row>
    <row r="768" spans="3:3" x14ac:dyDescent="0.25">
      <c r="C768" s="5"/>
    </row>
    <row r="769" spans="3:3" x14ac:dyDescent="0.25">
      <c r="C769" s="5"/>
    </row>
    <row r="770" spans="3:3" x14ac:dyDescent="0.25">
      <c r="C770" s="5"/>
    </row>
    <row r="771" spans="3:3" x14ac:dyDescent="0.25">
      <c r="C771" s="5"/>
    </row>
    <row r="772" spans="3:3" x14ac:dyDescent="0.25">
      <c r="C772" s="5"/>
    </row>
    <row r="773" spans="3:3" x14ac:dyDescent="0.25">
      <c r="C773" s="5"/>
    </row>
    <row r="774" spans="3:3" x14ac:dyDescent="0.25">
      <c r="C774" s="5"/>
    </row>
    <row r="775" spans="3:3" x14ac:dyDescent="0.25">
      <c r="C775" s="5"/>
    </row>
    <row r="776" spans="3:3" x14ac:dyDescent="0.25">
      <c r="C776" s="5"/>
    </row>
    <row r="777" spans="3:3" x14ac:dyDescent="0.25">
      <c r="C777" s="5"/>
    </row>
    <row r="778" spans="3:3" x14ac:dyDescent="0.25">
      <c r="C778" s="5"/>
    </row>
    <row r="779" spans="3:3" x14ac:dyDescent="0.25">
      <c r="C779" s="5"/>
    </row>
    <row r="780" spans="3:3" x14ac:dyDescent="0.25">
      <c r="C780" s="5"/>
    </row>
    <row r="781" spans="3:3" x14ac:dyDescent="0.25">
      <c r="C781" s="5"/>
    </row>
    <row r="782" spans="3:3" x14ac:dyDescent="0.25">
      <c r="C782" s="5"/>
    </row>
    <row r="783" spans="3:3" x14ac:dyDescent="0.25">
      <c r="C783" s="5"/>
    </row>
    <row r="784" spans="3:3" x14ac:dyDescent="0.25">
      <c r="C784" s="5"/>
    </row>
    <row r="785" spans="3:21" x14ac:dyDescent="0.25">
      <c r="C785" s="5"/>
    </row>
    <row r="786" spans="3:21" x14ac:dyDescent="0.25">
      <c r="C786" s="5"/>
    </row>
    <row r="787" spans="3:21" x14ac:dyDescent="0.25">
      <c r="C787" s="5"/>
    </row>
    <row r="788" spans="3:21" x14ac:dyDescent="0.25">
      <c r="C788" s="5"/>
      <c r="O788"/>
      <c r="P788"/>
      <c r="Q788"/>
      <c r="R788"/>
      <c r="S788"/>
      <c r="T788"/>
      <c r="U788"/>
    </row>
    <row r="789" spans="3:21" x14ac:dyDescent="0.25">
      <c r="C789" s="5"/>
    </row>
    <row r="790" spans="3:21" x14ac:dyDescent="0.25">
      <c r="C790" s="5"/>
    </row>
    <row r="791" spans="3:21" x14ac:dyDescent="0.25">
      <c r="C791" s="5"/>
    </row>
    <row r="792" spans="3:21" x14ac:dyDescent="0.25">
      <c r="C792" s="5"/>
    </row>
    <row r="793" spans="3:21" x14ac:dyDescent="0.25">
      <c r="C793" s="5"/>
    </row>
    <row r="794" spans="3:21" x14ac:dyDescent="0.25">
      <c r="C794" s="5"/>
    </row>
    <row r="795" spans="3:21" x14ac:dyDescent="0.25">
      <c r="C795" s="5"/>
    </row>
    <row r="796" spans="3:21" x14ac:dyDescent="0.25">
      <c r="C796" s="5"/>
    </row>
    <row r="797" spans="3:21" x14ac:dyDescent="0.25">
      <c r="C797" s="5"/>
    </row>
    <row r="798" spans="3:21" x14ac:dyDescent="0.25">
      <c r="C798" s="5"/>
    </row>
    <row r="799" spans="3:21" x14ac:dyDescent="0.25">
      <c r="C799" s="5"/>
    </row>
    <row r="800" spans="3:21" x14ac:dyDescent="0.25">
      <c r="C800" s="5"/>
    </row>
    <row r="801" spans="3:21" x14ac:dyDescent="0.25">
      <c r="C801" s="5"/>
    </row>
    <row r="802" spans="3:21" x14ac:dyDescent="0.25">
      <c r="C802" s="5"/>
    </row>
    <row r="803" spans="3:21" x14ac:dyDescent="0.25">
      <c r="C803" s="5"/>
    </row>
    <row r="804" spans="3:21" x14ac:dyDescent="0.25">
      <c r="C804" s="5"/>
    </row>
    <row r="805" spans="3:21" x14ac:dyDescent="0.25">
      <c r="C805" s="5"/>
    </row>
    <row r="806" spans="3:21" x14ac:dyDescent="0.25">
      <c r="C806" s="5"/>
    </row>
    <row r="807" spans="3:21" x14ac:dyDescent="0.25">
      <c r="C807" s="5"/>
    </row>
    <row r="808" spans="3:21" x14ac:dyDescent="0.25">
      <c r="C808" s="5"/>
    </row>
    <row r="809" spans="3:21" x14ac:dyDescent="0.25">
      <c r="C809" s="5"/>
    </row>
    <row r="810" spans="3:21" x14ac:dyDescent="0.25">
      <c r="C810" s="5"/>
    </row>
    <row r="811" spans="3:21" x14ac:dyDescent="0.25">
      <c r="C811" s="5"/>
    </row>
    <row r="812" spans="3:21" x14ac:dyDescent="0.25">
      <c r="C812" s="5"/>
    </row>
    <row r="813" spans="3:21" x14ac:dyDescent="0.25">
      <c r="C813" s="5"/>
    </row>
    <row r="814" spans="3:21" x14ac:dyDescent="0.25">
      <c r="C814" s="5"/>
      <c r="O814"/>
      <c r="P814"/>
      <c r="Q814"/>
      <c r="R814"/>
      <c r="S814"/>
      <c r="T814"/>
      <c r="U814"/>
    </row>
    <row r="815" spans="3:21" x14ac:dyDescent="0.25">
      <c r="C815" s="5"/>
    </row>
    <row r="816" spans="3:21" x14ac:dyDescent="0.25">
      <c r="C816" s="5"/>
    </row>
    <row r="817" spans="3:3" x14ac:dyDescent="0.25">
      <c r="C817" s="5"/>
    </row>
    <row r="818" spans="3:3" x14ac:dyDescent="0.25">
      <c r="C818" s="5"/>
    </row>
    <row r="819" spans="3:3" x14ac:dyDescent="0.25">
      <c r="C819" s="5"/>
    </row>
    <row r="820" spans="3:3" x14ac:dyDescent="0.25">
      <c r="C820" s="5"/>
    </row>
    <row r="821" spans="3:3" x14ac:dyDescent="0.25">
      <c r="C821" s="5"/>
    </row>
    <row r="822" spans="3:3" x14ac:dyDescent="0.25">
      <c r="C822" s="5"/>
    </row>
    <row r="823" spans="3:3" x14ac:dyDescent="0.25">
      <c r="C823" s="5"/>
    </row>
    <row r="824" spans="3:3" x14ac:dyDescent="0.25">
      <c r="C824" s="5"/>
    </row>
    <row r="825" spans="3:3" x14ac:dyDescent="0.25">
      <c r="C825" s="5"/>
    </row>
    <row r="826" spans="3:3" x14ac:dyDescent="0.25">
      <c r="C826" s="5"/>
    </row>
    <row r="827" spans="3:3" x14ac:dyDescent="0.25">
      <c r="C827" s="5"/>
    </row>
    <row r="828" spans="3:3" x14ac:dyDescent="0.25">
      <c r="C828" s="5"/>
    </row>
    <row r="829" spans="3:3" x14ac:dyDescent="0.25">
      <c r="C829" s="5"/>
    </row>
    <row r="830" spans="3:3" x14ac:dyDescent="0.25">
      <c r="C830" s="5"/>
    </row>
    <row r="831" spans="3:3" x14ac:dyDescent="0.25">
      <c r="C831" s="5"/>
    </row>
    <row r="832" spans="3:3" x14ac:dyDescent="0.25">
      <c r="C832" s="5"/>
    </row>
    <row r="833" spans="3:21" x14ac:dyDescent="0.25">
      <c r="C833" s="5"/>
    </row>
    <row r="834" spans="3:21" x14ac:dyDescent="0.25">
      <c r="C834" s="5"/>
    </row>
    <row r="835" spans="3:21" x14ac:dyDescent="0.25">
      <c r="C835" s="5"/>
    </row>
    <row r="836" spans="3:21" x14ac:dyDescent="0.25">
      <c r="C836" s="5"/>
    </row>
    <row r="837" spans="3:21" x14ac:dyDescent="0.25">
      <c r="C837" s="5"/>
    </row>
    <row r="838" spans="3:21" x14ac:dyDescent="0.25">
      <c r="C838" s="5"/>
    </row>
    <row r="839" spans="3:21" x14ac:dyDescent="0.25">
      <c r="C839" s="5"/>
    </row>
    <row r="840" spans="3:21" x14ac:dyDescent="0.25">
      <c r="C840" s="5"/>
    </row>
    <row r="841" spans="3:21" x14ac:dyDescent="0.25">
      <c r="C841" s="5"/>
    </row>
    <row r="842" spans="3:21" x14ac:dyDescent="0.25">
      <c r="C842" s="5"/>
    </row>
    <row r="843" spans="3:21" x14ac:dyDescent="0.25">
      <c r="C843" s="5"/>
    </row>
    <row r="844" spans="3:21" x14ac:dyDescent="0.25">
      <c r="C844" s="5"/>
    </row>
    <row r="845" spans="3:21" x14ac:dyDescent="0.25">
      <c r="C845" s="5"/>
    </row>
    <row r="846" spans="3:21" x14ac:dyDescent="0.25">
      <c r="C846" s="5"/>
    </row>
    <row r="847" spans="3:21" x14ac:dyDescent="0.25">
      <c r="C847" s="5"/>
    </row>
    <row r="848" spans="3:21" x14ac:dyDescent="0.25">
      <c r="C848" s="5"/>
      <c r="O848"/>
      <c r="P848"/>
      <c r="Q848"/>
      <c r="R848"/>
      <c r="S848"/>
      <c r="T848"/>
      <c r="U848"/>
    </row>
    <row r="849" spans="3:3" x14ac:dyDescent="0.25">
      <c r="C849" s="5"/>
    </row>
    <row r="850" spans="3:3" x14ac:dyDescent="0.25">
      <c r="C850" s="5"/>
    </row>
    <row r="851" spans="3:3" x14ac:dyDescent="0.25">
      <c r="C851" s="5"/>
    </row>
    <row r="852" spans="3:3" x14ac:dyDescent="0.25">
      <c r="C852" s="5"/>
    </row>
    <row r="853" spans="3:3" x14ac:dyDescent="0.25">
      <c r="C853" s="5"/>
    </row>
    <row r="854" spans="3:3" x14ac:dyDescent="0.25">
      <c r="C854" s="5"/>
    </row>
    <row r="855" spans="3:3" x14ac:dyDescent="0.25">
      <c r="C855" s="5"/>
    </row>
    <row r="856" spans="3:3" x14ac:dyDescent="0.25">
      <c r="C856" s="5"/>
    </row>
    <row r="857" spans="3:3" x14ac:dyDescent="0.25">
      <c r="C857" s="5"/>
    </row>
    <row r="858" spans="3:3" x14ac:dyDescent="0.25">
      <c r="C858" s="5"/>
    </row>
    <row r="859" spans="3:3" x14ac:dyDescent="0.25">
      <c r="C859" s="5"/>
    </row>
    <row r="860" spans="3:3" x14ac:dyDescent="0.25">
      <c r="C860" s="5"/>
    </row>
    <row r="861" spans="3:3" x14ac:dyDescent="0.25">
      <c r="C861" s="5"/>
    </row>
    <row r="862" spans="3:3" x14ac:dyDescent="0.25">
      <c r="C862" s="5"/>
    </row>
    <row r="863" spans="3:3" x14ac:dyDescent="0.25">
      <c r="C863" s="5"/>
    </row>
    <row r="864" spans="3:3" x14ac:dyDescent="0.25">
      <c r="C864" s="5"/>
    </row>
    <row r="865" spans="3:3" x14ac:dyDescent="0.25">
      <c r="C865" s="5"/>
    </row>
    <row r="866" spans="3:3" x14ac:dyDescent="0.25">
      <c r="C866" s="5"/>
    </row>
    <row r="867" spans="3:3" x14ac:dyDescent="0.25">
      <c r="C867" s="5"/>
    </row>
    <row r="868" spans="3:3" x14ac:dyDescent="0.25">
      <c r="C868" s="5"/>
    </row>
    <row r="869" spans="3:3" x14ac:dyDescent="0.25">
      <c r="C869" s="5"/>
    </row>
    <row r="870" spans="3:3" x14ac:dyDescent="0.25">
      <c r="C870" s="5"/>
    </row>
    <row r="871" spans="3:3" x14ac:dyDescent="0.25">
      <c r="C871" s="5"/>
    </row>
    <row r="872" spans="3:3" x14ac:dyDescent="0.25">
      <c r="C872" s="5"/>
    </row>
    <row r="873" spans="3:3" x14ac:dyDescent="0.25">
      <c r="C873" s="5"/>
    </row>
    <row r="874" spans="3:3" x14ac:dyDescent="0.25">
      <c r="C874" s="5"/>
    </row>
    <row r="875" spans="3:3" x14ac:dyDescent="0.25">
      <c r="C875" s="5"/>
    </row>
    <row r="876" spans="3:3" x14ac:dyDescent="0.25">
      <c r="C876" s="5"/>
    </row>
    <row r="877" spans="3:3" x14ac:dyDescent="0.25">
      <c r="C877" s="5"/>
    </row>
    <row r="878" spans="3:3" x14ac:dyDescent="0.25">
      <c r="C878" s="5"/>
    </row>
    <row r="879" spans="3:3" x14ac:dyDescent="0.25">
      <c r="C879" s="5"/>
    </row>
    <row r="880" spans="3:3" x14ac:dyDescent="0.25">
      <c r="C880" s="5"/>
    </row>
    <row r="881" spans="3:21" x14ac:dyDescent="0.25">
      <c r="C881" s="5"/>
      <c r="O881"/>
      <c r="P881"/>
      <c r="Q881"/>
      <c r="R881"/>
      <c r="S881"/>
      <c r="T881"/>
      <c r="U881"/>
    </row>
    <row r="882" spans="3:21" x14ac:dyDescent="0.25">
      <c r="C882" s="5"/>
    </row>
    <row r="883" spans="3:21" x14ac:dyDescent="0.25">
      <c r="C883" s="5"/>
    </row>
    <row r="884" spans="3:21" x14ac:dyDescent="0.25">
      <c r="C884" s="5"/>
    </row>
    <row r="885" spans="3:21" x14ac:dyDescent="0.25">
      <c r="C885" s="5"/>
    </row>
    <row r="886" spans="3:21" x14ac:dyDescent="0.25">
      <c r="C886" s="5"/>
    </row>
    <row r="887" spans="3:21" x14ac:dyDescent="0.25">
      <c r="C887" s="5"/>
    </row>
    <row r="888" spans="3:21" x14ac:dyDescent="0.25">
      <c r="C888" s="5"/>
    </row>
    <row r="889" spans="3:21" x14ac:dyDescent="0.25">
      <c r="C889" s="5"/>
    </row>
    <row r="890" spans="3:21" x14ac:dyDescent="0.25">
      <c r="C890" s="5"/>
    </row>
    <row r="891" spans="3:21" x14ac:dyDescent="0.25">
      <c r="C891" s="5"/>
    </row>
    <row r="892" spans="3:21" x14ac:dyDescent="0.25">
      <c r="C892" s="5"/>
    </row>
    <row r="893" spans="3:21" x14ac:dyDescent="0.25">
      <c r="C893" s="5"/>
    </row>
    <row r="894" spans="3:21" x14ac:dyDescent="0.25">
      <c r="C894" s="5"/>
    </row>
    <row r="895" spans="3:21" x14ac:dyDescent="0.25">
      <c r="C895" s="5"/>
    </row>
    <row r="896" spans="3:21" x14ac:dyDescent="0.25">
      <c r="C896" s="5"/>
    </row>
    <row r="897" spans="3:21" x14ac:dyDescent="0.25">
      <c r="C897" s="5"/>
    </row>
    <row r="898" spans="3:21" x14ac:dyDescent="0.25">
      <c r="C898" s="5"/>
    </row>
    <row r="899" spans="3:21" x14ac:dyDescent="0.25">
      <c r="C899" s="5"/>
    </row>
    <row r="900" spans="3:21" x14ac:dyDescent="0.25">
      <c r="C900" s="5"/>
    </row>
    <row r="901" spans="3:21" x14ac:dyDescent="0.25">
      <c r="C901" s="5"/>
    </row>
    <row r="902" spans="3:21" x14ac:dyDescent="0.25">
      <c r="C902" s="5"/>
    </row>
    <row r="903" spans="3:21" x14ac:dyDescent="0.25">
      <c r="C903" s="5"/>
    </row>
    <row r="904" spans="3:21" x14ac:dyDescent="0.25">
      <c r="C904" s="5"/>
    </row>
    <row r="905" spans="3:21" x14ac:dyDescent="0.25">
      <c r="C905" s="5"/>
    </row>
    <row r="906" spans="3:21" x14ac:dyDescent="0.25">
      <c r="C906" s="5"/>
    </row>
    <row r="907" spans="3:21" x14ac:dyDescent="0.25">
      <c r="C907" s="5"/>
    </row>
    <row r="908" spans="3:21" x14ac:dyDescent="0.25">
      <c r="C908" s="5"/>
    </row>
    <row r="909" spans="3:21" x14ac:dyDescent="0.25">
      <c r="C909" s="5"/>
    </row>
    <row r="910" spans="3:21" x14ac:dyDescent="0.25">
      <c r="C910" s="5"/>
    </row>
    <row r="911" spans="3:21" x14ac:dyDescent="0.25">
      <c r="C911" s="5"/>
      <c r="O911"/>
      <c r="P911"/>
      <c r="Q911"/>
      <c r="R911"/>
      <c r="S911"/>
      <c r="T911"/>
      <c r="U911"/>
    </row>
    <row r="912" spans="3:21" x14ac:dyDescent="0.25">
      <c r="C912" s="5"/>
    </row>
    <row r="913" spans="3:21" x14ac:dyDescent="0.25">
      <c r="C913" s="5"/>
    </row>
    <row r="914" spans="3:21" x14ac:dyDescent="0.25">
      <c r="C914" s="5"/>
    </row>
    <row r="915" spans="3:21" x14ac:dyDescent="0.25">
      <c r="C915" s="5"/>
    </row>
    <row r="916" spans="3:21" x14ac:dyDescent="0.25">
      <c r="C916" s="5"/>
    </row>
    <row r="917" spans="3:21" x14ac:dyDescent="0.25">
      <c r="C917" s="5"/>
    </row>
    <row r="918" spans="3:21" x14ac:dyDescent="0.25">
      <c r="C918" s="5"/>
    </row>
    <row r="919" spans="3:21" x14ac:dyDescent="0.25">
      <c r="C919" s="5"/>
    </row>
    <row r="920" spans="3:21" x14ac:dyDescent="0.25">
      <c r="C920" s="5"/>
    </row>
    <row r="921" spans="3:21" x14ac:dyDescent="0.25">
      <c r="C921" s="5"/>
    </row>
    <row r="922" spans="3:21" x14ac:dyDescent="0.25">
      <c r="C922" s="5"/>
      <c r="O922"/>
      <c r="P922"/>
      <c r="Q922"/>
      <c r="R922"/>
      <c r="S922"/>
      <c r="T922"/>
      <c r="U922"/>
    </row>
    <row r="923" spans="3:21" x14ac:dyDescent="0.25">
      <c r="C923" s="5"/>
    </row>
    <row r="924" spans="3:21" x14ac:dyDescent="0.25">
      <c r="C924" s="5"/>
    </row>
    <row r="925" spans="3:21" x14ac:dyDescent="0.25">
      <c r="C925" s="5"/>
    </row>
    <row r="926" spans="3:21" x14ac:dyDescent="0.25">
      <c r="C926" s="5"/>
    </row>
    <row r="927" spans="3:21" x14ac:dyDescent="0.25">
      <c r="C927" s="5"/>
    </row>
    <row r="928" spans="3:21" x14ac:dyDescent="0.25">
      <c r="C928" s="5"/>
    </row>
    <row r="929" spans="3:3" x14ac:dyDescent="0.25">
      <c r="C929" s="5"/>
    </row>
    <row r="930" spans="3:3" x14ac:dyDescent="0.25">
      <c r="C930" s="5"/>
    </row>
    <row r="931" spans="3:3" x14ac:dyDescent="0.25">
      <c r="C931" s="5"/>
    </row>
    <row r="932" spans="3:3" x14ac:dyDescent="0.25">
      <c r="C932" s="5"/>
    </row>
    <row r="933" spans="3:3" x14ac:dyDescent="0.25">
      <c r="C933" s="5"/>
    </row>
    <row r="934" spans="3:3" x14ac:dyDescent="0.25">
      <c r="C934" s="5"/>
    </row>
    <row r="935" spans="3:3" x14ac:dyDescent="0.25">
      <c r="C935" s="5"/>
    </row>
    <row r="936" spans="3:3" x14ac:dyDescent="0.25">
      <c r="C936" s="5"/>
    </row>
    <row r="937" spans="3:3" x14ac:dyDescent="0.25">
      <c r="C937" s="5"/>
    </row>
    <row r="938" spans="3:3" x14ac:dyDescent="0.25">
      <c r="C938" s="5"/>
    </row>
    <row r="939" spans="3:3" x14ac:dyDescent="0.25">
      <c r="C939" s="5"/>
    </row>
    <row r="940" spans="3:3" x14ac:dyDescent="0.25">
      <c r="C940" s="5"/>
    </row>
    <row r="941" spans="3:3" x14ac:dyDescent="0.25">
      <c r="C941" s="5"/>
    </row>
    <row r="942" spans="3:3" x14ac:dyDescent="0.25">
      <c r="C942" s="5"/>
    </row>
    <row r="943" spans="3:3" x14ac:dyDescent="0.25">
      <c r="C943" s="5"/>
    </row>
    <row r="944" spans="3:3" x14ac:dyDescent="0.25">
      <c r="C944" s="5"/>
    </row>
    <row r="945" spans="3:21" x14ac:dyDescent="0.25">
      <c r="C945" s="5"/>
    </row>
    <row r="946" spans="3:21" x14ac:dyDescent="0.25">
      <c r="C946" s="5"/>
    </row>
    <row r="947" spans="3:21" x14ac:dyDescent="0.25">
      <c r="C947" s="5"/>
    </row>
    <row r="948" spans="3:21" x14ac:dyDescent="0.25">
      <c r="C948" s="5"/>
    </row>
    <row r="949" spans="3:21" x14ac:dyDescent="0.25">
      <c r="C949" s="5"/>
    </row>
    <row r="950" spans="3:21" x14ac:dyDescent="0.25">
      <c r="C950" s="5"/>
    </row>
    <row r="951" spans="3:21" x14ac:dyDescent="0.25">
      <c r="C951" s="5"/>
    </row>
    <row r="952" spans="3:21" x14ac:dyDescent="0.25">
      <c r="C952" s="5"/>
      <c r="O952"/>
      <c r="P952"/>
      <c r="Q952"/>
      <c r="R952"/>
      <c r="S952"/>
      <c r="T952"/>
      <c r="U952"/>
    </row>
    <row r="953" spans="3:21" x14ac:dyDescent="0.25">
      <c r="C953" s="5"/>
    </row>
    <row r="954" spans="3:21" x14ac:dyDescent="0.25">
      <c r="C954" s="5"/>
    </row>
    <row r="955" spans="3:21" x14ac:dyDescent="0.25">
      <c r="C955" s="5"/>
    </row>
    <row r="956" spans="3:21" x14ac:dyDescent="0.25">
      <c r="C956" s="5"/>
    </row>
    <row r="957" spans="3:21" x14ac:dyDescent="0.25">
      <c r="C957" s="5"/>
    </row>
    <row r="958" spans="3:21" x14ac:dyDescent="0.25">
      <c r="C958" s="5"/>
    </row>
    <row r="959" spans="3:21" x14ac:dyDescent="0.25">
      <c r="C959" s="5"/>
    </row>
    <row r="960" spans="3:21" x14ac:dyDescent="0.25">
      <c r="C960" s="5"/>
    </row>
    <row r="961" spans="3:3" x14ac:dyDescent="0.25">
      <c r="C961" s="5"/>
    </row>
    <row r="962" spans="3:3" x14ac:dyDescent="0.25">
      <c r="C962" s="5"/>
    </row>
    <row r="963" spans="3:3" x14ac:dyDescent="0.25">
      <c r="C963" s="5"/>
    </row>
    <row r="964" spans="3:3" x14ac:dyDescent="0.25">
      <c r="C964" s="5"/>
    </row>
    <row r="965" spans="3:3" x14ac:dyDescent="0.25">
      <c r="C965" s="5"/>
    </row>
    <row r="966" spans="3:3" x14ac:dyDescent="0.25">
      <c r="C966" s="5"/>
    </row>
    <row r="967" spans="3:3" x14ac:dyDescent="0.25">
      <c r="C967" s="5"/>
    </row>
    <row r="968" spans="3:3" x14ac:dyDescent="0.25">
      <c r="C968" s="5"/>
    </row>
    <row r="969" spans="3:3" x14ac:dyDescent="0.25">
      <c r="C969" s="5"/>
    </row>
    <row r="970" spans="3:3" x14ac:dyDescent="0.25">
      <c r="C970" s="5"/>
    </row>
    <row r="971" spans="3:3" x14ac:dyDescent="0.25">
      <c r="C971" s="5"/>
    </row>
    <row r="972" spans="3:3" x14ac:dyDescent="0.25">
      <c r="C972" s="5"/>
    </row>
    <row r="973" spans="3:3" x14ac:dyDescent="0.25">
      <c r="C973" s="5"/>
    </row>
    <row r="974" spans="3:3" x14ac:dyDescent="0.25">
      <c r="C974" s="5"/>
    </row>
    <row r="975" spans="3:3" x14ac:dyDescent="0.25">
      <c r="C975" s="5"/>
    </row>
    <row r="976" spans="3:3" x14ac:dyDescent="0.25">
      <c r="C976" s="5"/>
    </row>
    <row r="977" spans="3:3" x14ac:dyDescent="0.25">
      <c r="C977" s="5"/>
    </row>
    <row r="978" spans="3:3" x14ac:dyDescent="0.25">
      <c r="C978" s="5"/>
    </row>
    <row r="979" spans="3:3" x14ac:dyDescent="0.25">
      <c r="C979" s="5"/>
    </row>
    <row r="980" spans="3:3" x14ac:dyDescent="0.25">
      <c r="C980" s="5"/>
    </row>
    <row r="981" spans="3:3" x14ac:dyDescent="0.25">
      <c r="C981" s="5"/>
    </row>
    <row r="982" spans="3:3" x14ac:dyDescent="0.25">
      <c r="C982" s="5"/>
    </row>
    <row r="983" spans="3:3" x14ac:dyDescent="0.25">
      <c r="C983" s="5"/>
    </row>
    <row r="984" spans="3:3" x14ac:dyDescent="0.25">
      <c r="C984" s="5"/>
    </row>
    <row r="985" spans="3:3" x14ac:dyDescent="0.25">
      <c r="C985" s="5"/>
    </row>
    <row r="986" spans="3:3" x14ac:dyDescent="0.25">
      <c r="C986" s="5"/>
    </row>
    <row r="987" spans="3:3" x14ac:dyDescent="0.25">
      <c r="C987" s="5"/>
    </row>
    <row r="988" spans="3:3" x14ac:dyDescent="0.25">
      <c r="C988" s="5"/>
    </row>
    <row r="989" spans="3:3" x14ac:dyDescent="0.25">
      <c r="C989" s="5"/>
    </row>
    <row r="990" spans="3:3" x14ac:dyDescent="0.25">
      <c r="C990" s="5"/>
    </row>
    <row r="991" spans="3:3" x14ac:dyDescent="0.25">
      <c r="C991" s="5"/>
    </row>
    <row r="992" spans="3:3" x14ac:dyDescent="0.25">
      <c r="C992" s="5"/>
    </row>
    <row r="993" spans="3:3" x14ac:dyDescent="0.25">
      <c r="C993" s="5"/>
    </row>
    <row r="994" spans="3:3" x14ac:dyDescent="0.25">
      <c r="C994" s="5"/>
    </row>
    <row r="995" spans="3:3" x14ac:dyDescent="0.25">
      <c r="C995" s="5"/>
    </row>
    <row r="996" spans="3:3" x14ac:dyDescent="0.25">
      <c r="C996" s="5"/>
    </row>
    <row r="997" spans="3:3" x14ac:dyDescent="0.25">
      <c r="C997" s="5"/>
    </row>
    <row r="998" spans="3:3" x14ac:dyDescent="0.25">
      <c r="C998" s="5"/>
    </row>
    <row r="999" spans="3:3" x14ac:dyDescent="0.25">
      <c r="C999" s="5"/>
    </row>
    <row r="1000" spans="3:3" x14ac:dyDescent="0.25">
      <c r="C1000" s="5"/>
    </row>
    <row r="1001" spans="3:3" x14ac:dyDescent="0.25">
      <c r="C1001" s="5"/>
    </row>
    <row r="1002" spans="3:3" x14ac:dyDescent="0.25">
      <c r="C1002" s="5"/>
    </row>
    <row r="1003" spans="3:3" x14ac:dyDescent="0.25">
      <c r="C1003" s="5"/>
    </row>
    <row r="1004" spans="3:3" x14ac:dyDescent="0.25">
      <c r="C1004" s="5"/>
    </row>
    <row r="1005" spans="3:3" x14ac:dyDescent="0.25">
      <c r="C1005" s="5"/>
    </row>
    <row r="1006" spans="3:3" x14ac:dyDescent="0.25">
      <c r="C1006" s="5"/>
    </row>
    <row r="1007" spans="3:3" x14ac:dyDescent="0.25">
      <c r="C1007" s="5"/>
    </row>
    <row r="1008" spans="3:3" x14ac:dyDescent="0.25">
      <c r="C1008" s="5"/>
    </row>
    <row r="1009" spans="3:3" x14ac:dyDescent="0.25">
      <c r="C1009" s="5"/>
    </row>
    <row r="1010" spans="3:3" x14ac:dyDescent="0.25">
      <c r="C1010" s="5"/>
    </row>
    <row r="1011" spans="3:3" x14ac:dyDescent="0.25">
      <c r="C1011" s="5"/>
    </row>
    <row r="1012" spans="3:3" x14ac:dyDescent="0.25">
      <c r="C1012" s="5"/>
    </row>
    <row r="1013" spans="3:3" x14ac:dyDescent="0.25">
      <c r="C1013" s="5"/>
    </row>
    <row r="1014" spans="3:3" x14ac:dyDescent="0.25">
      <c r="C1014" s="5"/>
    </row>
    <row r="1015" spans="3:3" x14ac:dyDescent="0.25">
      <c r="C1015" s="5"/>
    </row>
    <row r="1016" spans="3:3" x14ac:dyDescent="0.25">
      <c r="C1016" s="5"/>
    </row>
    <row r="1017" spans="3:3" x14ac:dyDescent="0.25">
      <c r="C1017" s="5"/>
    </row>
    <row r="1018" spans="3:3" x14ac:dyDescent="0.25">
      <c r="C1018" s="5"/>
    </row>
    <row r="1019" spans="3:3" x14ac:dyDescent="0.25">
      <c r="C1019" s="5"/>
    </row>
    <row r="1020" spans="3:3" x14ac:dyDescent="0.25">
      <c r="C1020" s="5"/>
    </row>
    <row r="1021" spans="3:3" x14ac:dyDescent="0.25">
      <c r="C1021" s="5"/>
    </row>
    <row r="1022" spans="3:3" x14ac:dyDescent="0.25">
      <c r="C1022" s="5"/>
    </row>
    <row r="1023" spans="3:3" x14ac:dyDescent="0.25">
      <c r="C1023" s="5"/>
    </row>
    <row r="1024" spans="3:3" x14ac:dyDescent="0.25">
      <c r="C1024" s="5"/>
    </row>
    <row r="1025" spans="3:21" x14ac:dyDescent="0.25">
      <c r="C1025" s="5"/>
    </row>
    <row r="1026" spans="3:21" x14ac:dyDescent="0.25">
      <c r="C1026" s="5"/>
    </row>
    <row r="1027" spans="3:21" x14ac:dyDescent="0.25">
      <c r="C1027" s="5"/>
    </row>
    <row r="1028" spans="3:21" x14ac:dyDescent="0.25">
      <c r="C1028" s="5"/>
    </row>
    <row r="1029" spans="3:21" x14ac:dyDescent="0.25">
      <c r="C1029" s="5"/>
    </row>
    <row r="1030" spans="3:21" x14ac:dyDescent="0.25">
      <c r="C1030" s="5"/>
    </row>
    <row r="1031" spans="3:21" x14ac:dyDescent="0.25">
      <c r="C1031" s="5"/>
    </row>
    <row r="1032" spans="3:21" x14ac:dyDescent="0.25">
      <c r="C1032" s="5"/>
    </row>
    <row r="1033" spans="3:21" x14ac:dyDescent="0.25">
      <c r="C1033" s="5"/>
    </row>
    <row r="1034" spans="3:21" x14ac:dyDescent="0.25">
      <c r="C1034" s="5"/>
    </row>
    <row r="1035" spans="3:21" x14ac:dyDescent="0.25">
      <c r="C1035" s="5"/>
      <c r="O1035"/>
      <c r="P1035"/>
      <c r="Q1035"/>
      <c r="R1035"/>
      <c r="S1035"/>
      <c r="T1035"/>
      <c r="U1035"/>
    </row>
    <row r="1036" spans="3:21" x14ac:dyDescent="0.25">
      <c r="C1036" s="5"/>
    </row>
    <row r="1037" spans="3:21" x14ac:dyDescent="0.25">
      <c r="C1037" s="5"/>
    </row>
    <row r="1038" spans="3:21" x14ac:dyDescent="0.25">
      <c r="C1038" s="5"/>
    </row>
    <row r="1039" spans="3:21" x14ac:dyDescent="0.25">
      <c r="C1039" s="5"/>
    </row>
    <row r="1040" spans="3:21" x14ac:dyDescent="0.25">
      <c r="C1040" s="5"/>
    </row>
    <row r="1041" spans="3:21" x14ac:dyDescent="0.25">
      <c r="C1041" s="5"/>
    </row>
    <row r="1042" spans="3:21" x14ac:dyDescent="0.25">
      <c r="C1042" s="5"/>
      <c r="O1042"/>
      <c r="P1042"/>
      <c r="Q1042"/>
      <c r="R1042"/>
      <c r="S1042"/>
      <c r="T1042"/>
      <c r="U1042"/>
    </row>
    <row r="1043" spans="3:21" x14ac:dyDescent="0.25">
      <c r="C1043" s="5"/>
    </row>
    <row r="1044" spans="3:21" x14ac:dyDescent="0.25">
      <c r="C1044" s="5"/>
    </row>
    <row r="1045" spans="3:21" x14ac:dyDescent="0.25">
      <c r="C1045" s="5"/>
    </row>
    <row r="1046" spans="3:21" x14ac:dyDescent="0.25">
      <c r="C1046" s="5"/>
    </row>
    <row r="1047" spans="3:21" x14ac:dyDescent="0.25">
      <c r="C1047" s="5"/>
    </row>
    <row r="1048" spans="3:21" x14ac:dyDescent="0.25">
      <c r="C1048" s="5"/>
    </row>
    <row r="1049" spans="3:21" x14ac:dyDescent="0.25">
      <c r="C1049" s="5"/>
    </row>
    <row r="1050" spans="3:21" x14ac:dyDescent="0.25">
      <c r="C1050" s="5"/>
    </row>
    <row r="1051" spans="3:21" x14ac:dyDescent="0.25">
      <c r="C1051" s="5"/>
    </row>
    <row r="1052" spans="3:21" x14ac:dyDescent="0.25">
      <c r="C1052" s="5"/>
    </row>
    <row r="1053" spans="3:21" x14ac:dyDescent="0.25">
      <c r="C1053" s="5"/>
    </row>
    <row r="1054" spans="3:21" x14ac:dyDescent="0.25">
      <c r="C1054" s="5"/>
    </row>
    <row r="1055" spans="3:21" x14ac:dyDescent="0.25">
      <c r="C1055" s="5"/>
    </row>
    <row r="1056" spans="3:21" x14ac:dyDescent="0.25">
      <c r="C1056" s="5"/>
    </row>
    <row r="1057" spans="3:21" x14ac:dyDescent="0.25">
      <c r="C1057" s="5"/>
      <c r="O1057"/>
      <c r="P1057"/>
      <c r="Q1057"/>
      <c r="R1057"/>
      <c r="S1057"/>
      <c r="T1057"/>
      <c r="U1057"/>
    </row>
    <row r="1058" spans="3:21" x14ac:dyDescent="0.25">
      <c r="C1058" s="5"/>
    </row>
    <row r="1059" spans="3:21" x14ac:dyDescent="0.25">
      <c r="C1059" s="5"/>
    </row>
    <row r="1060" spans="3:21" x14ac:dyDescent="0.25">
      <c r="C1060" s="5"/>
    </row>
    <row r="1061" spans="3:21" x14ac:dyDescent="0.25">
      <c r="C1061" s="5"/>
    </row>
    <row r="1062" spans="3:21" x14ac:dyDescent="0.25">
      <c r="C1062" s="5"/>
    </row>
    <row r="1063" spans="3:21" x14ac:dyDescent="0.25">
      <c r="C1063" s="5"/>
    </row>
    <row r="1064" spans="3:21" x14ac:dyDescent="0.25">
      <c r="C1064" s="5"/>
    </row>
    <row r="1065" spans="3:21" x14ac:dyDescent="0.25">
      <c r="C1065" s="5"/>
    </row>
    <row r="1066" spans="3:21" x14ac:dyDescent="0.25">
      <c r="C1066" s="5"/>
    </row>
    <row r="1067" spans="3:21" x14ac:dyDescent="0.25">
      <c r="C1067" s="5"/>
    </row>
    <row r="1068" spans="3:21" x14ac:dyDescent="0.25">
      <c r="C1068" s="5"/>
    </row>
    <row r="1069" spans="3:21" x14ac:dyDescent="0.25">
      <c r="C1069" s="5"/>
      <c r="O1069"/>
      <c r="P1069"/>
      <c r="Q1069"/>
      <c r="R1069"/>
      <c r="S1069"/>
      <c r="T1069"/>
      <c r="U1069"/>
    </row>
    <row r="1070" spans="3:21" x14ac:dyDescent="0.25">
      <c r="C1070" s="5"/>
    </row>
    <row r="1071" spans="3:21" x14ac:dyDescent="0.25">
      <c r="C1071" s="5"/>
    </row>
    <row r="1072" spans="3:21" x14ac:dyDescent="0.25">
      <c r="C1072" s="5"/>
    </row>
    <row r="1073" spans="3:21" x14ac:dyDescent="0.25">
      <c r="C1073" s="5"/>
    </row>
    <row r="1074" spans="3:21" x14ac:dyDescent="0.25">
      <c r="C1074" s="5"/>
    </row>
    <row r="1075" spans="3:21" x14ac:dyDescent="0.25">
      <c r="C1075" s="5"/>
    </row>
    <row r="1076" spans="3:21" x14ac:dyDescent="0.25">
      <c r="C1076" s="5"/>
    </row>
    <row r="1077" spans="3:21" x14ac:dyDescent="0.25">
      <c r="C1077" s="5"/>
    </row>
    <row r="1078" spans="3:21" x14ac:dyDescent="0.25">
      <c r="C1078" s="5"/>
    </row>
    <row r="1079" spans="3:21" x14ac:dyDescent="0.25">
      <c r="C1079" s="5"/>
    </row>
    <row r="1080" spans="3:21" x14ac:dyDescent="0.25">
      <c r="C1080" s="5"/>
    </row>
    <row r="1081" spans="3:21" x14ac:dyDescent="0.25">
      <c r="C1081" s="5"/>
    </row>
    <row r="1082" spans="3:21" x14ac:dyDescent="0.25">
      <c r="C1082" s="5"/>
    </row>
    <row r="1083" spans="3:21" x14ac:dyDescent="0.25">
      <c r="C1083" s="5"/>
    </row>
    <row r="1084" spans="3:21" x14ac:dyDescent="0.25">
      <c r="C1084" s="5"/>
    </row>
    <row r="1085" spans="3:21" x14ac:dyDescent="0.25">
      <c r="C1085" s="5"/>
      <c r="O1085"/>
      <c r="P1085"/>
      <c r="Q1085"/>
      <c r="R1085"/>
      <c r="S1085"/>
      <c r="T1085"/>
      <c r="U1085"/>
    </row>
    <row r="1086" spans="3:21" x14ac:dyDescent="0.25">
      <c r="C1086" s="5"/>
      <c r="O1086"/>
      <c r="P1086"/>
      <c r="Q1086"/>
      <c r="R1086"/>
      <c r="S1086"/>
      <c r="T1086"/>
      <c r="U1086"/>
    </row>
    <row r="1087" spans="3:21" x14ac:dyDescent="0.25">
      <c r="C1087" s="5"/>
    </row>
    <row r="1088" spans="3:21" x14ac:dyDescent="0.25">
      <c r="C1088" s="5"/>
    </row>
    <row r="1089" spans="3:21" x14ac:dyDescent="0.25">
      <c r="C1089" s="5"/>
    </row>
    <row r="1090" spans="3:21" x14ac:dyDescent="0.25">
      <c r="C1090" s="5"/>
    </row>
    <row r="1091" spans="3:21" x14ac:dyDescent="0.25">
      <c r="C1091" s="5"/>
    </row>
    <row r="1092" spans="3:21" x14ac:dyDescent="0.25">
      <c r="C1092" s="5"/>
    </row>
    <row r="1093" spans="3:21" x14ac:dyDescent="0.25">
      <c r="C1093" s="5"/>
    </row>
    <row r="1094" spans="3:21" x14ac:dyDescent="0.25">
      <c r="C1094" s="5"/>
    </row>
    <row r="1095" spans="3:21" x14ac:dyDescent="0.25">
      <c r="C1095" s="5"/>
      <c r="O1095"/>
      <c r="P1095"/>
      <c r="Q1095"/>
      <c r="R1095"/>
      <c r="S1095"/>
      <c r="T1095"/>
      <c r="U1095"/>
    </row>
    <row r="1096" spans="3:21" x14ac:dyDescent="0.25">
      <c r="C1096" s="5"/>
    </row>
    <row r="1097" spans="3:21" x14ac:dyDescent="0.25">
      <c r="C1097" s="5"/>
    </row>
    <row r="1098" spans="3:21" x14ac:dyDescent="0.25">
      <c r="C1098" s="5"/>
    </row>
    <row r="1099" spans="3:21" x14ac:dyDescent="0.25">
      <c r="C1099" s="5"/>
    </row>
    <row r="1100" spans="3:21" x14ac:dyDescent="0.25">
      <c r="C1100" s="5"/>
    </row>
    <row r="1101" spans="3:21" x14ac:dyDescent="0.25">
      <c r="C1101" s="5"/>
    </row>
    <row r="1102" spans="3:21" x14ac:dyDescent="0.25">
      <c r="C1102" s="5"/>
    </row>
    <row r="1103" spans="3:21" x14ac:dyDescent="0.25">
      <c r="C1103" s="5"/>
    </row>
    <row r="1104" spans="3:21" x14ac:dyDescent="0.25">
      <c r="C1104" s="5"/>
    </row>
    <row r="1105" spans="3:21" x14ac:dyDescent="0.25">
      <c r="C1105" s="5"/>
    </row>
    <row r="1106" spans="3:21" x14ac:dyDescent="0.25">
      <c r="C1106" s="5"/>
    </row>
    <row r="1107" spans="3:21" x14ac:dyDescent="0.25">
      <c r="C1107" s="5"/>
    </row>
    <row r="1108" spans="3:21" x14ac:dyDescent="0.25">
      <c r="C1108" s="5"/>
    </row>
    <row r="1109" spans="3:21" x14ac:dyDescent="0.25">
      <c r="C1109" s="5"/>
    </row>
    <row r="1110" spans="3:21" x14ac:dyDescent="0.25">
      <c r="C1110" s="5"/>
    </row>
    <row r="1111" spans="3:21" x14ac:dyDescent="0.25">
      <c r="C1111" s="5"/>
    </row>
    <row r="1112" spans="3:21" x14ac:dyDescent="0.25">
      <c r="C1112" s="5"/>
    </row>
    <row r="1113" spans="3:21" x14ac:dyDescent="0.25">
      <c r="C1113" s="5"/>
      <c r="O1113"/>
      <c r="P1113"/>
      <c r="Q1113"/>
      <c r="R1113"/>
      <c r="S1113"/>
      <c r="T1113"/>
      <c r="U1113"/>
    </row>
    <row r="1114" spans="3:21" x14ac:dyDescent="0.25">
      <c r="C1114" s="5"/>
    </row>
    <row r="1115" spans="3:21" x14ac:dyDescent="0.25">
      <c r="C1115" s="5"/>
    </row>
    <row r="1116" spans="3:21" x14ac:dyDescent="0.25">
      <c r="C1116" s="5"/>
    </row>
    <row r="1117" spans="3:21" x14ac:dyDescent="0.25">
      <c r="C1117" s="5"/>
    </row>
    <row r="1118" spans="3:21" x14ac:dyDescent="0.25">
      <c r="C1118" s="5"/>
    </row>
    <row r="1119" spans="3:21" x14ac:dyDescent="0.25">
      <c r="C1119" s="5"/>
    </row>
    <row r="1120" spans="3:21" x14ac:dyDescent="0.25">
      <c r="C1120" s="5"/>
    </row>
    <row r="1121" spans="3:3" x14ac:dyDescent="0.25">
      <c r="C1121" s="5"/>
    </row>
    <row r="1122" spans="3:3" x14ac:dyDescent="0.25">
      <c r="C1122" s="5"/>
    </row>
    <row r="1123" spans="3:3" x14ac:dyDescent="0.25">
      <c r="C1123" s="5"/>
    </row>
    <row r="1124" spans="3:3" x14ac:dyDescent="0.25">
      <c r="C1124" s="5"/>
    </row>
    <row r="1125" spans="3:3" x14ac:dyDescent="0.25">
      <c r="C1125" s="5"/>
    </row>
    <row r="1126" spans="3:3" x14ac:dyDescent="0.25">
      <c r="C1126" s="5"/>
    </row>
    <row r="1127" spans="3:3" x14ac:dyDescent="0.25">
      <c r="C1127" s="5"/>
    </row>
    <row r="1128" spans="3:3" x14ac:dyDescent="0.25">
      <c r="C1128" s="5"/>
    </row>
    <row r="1129" spans="3:3" x14ac:dyDescent="0.25">
      <c r="C1129" s="5"/>
    </row>
    <row r="1130" spans="3:3" x14ac:dyDescent="0.25">
      <c r="C1130" s="5"/>
    </row>
    <row r="1131" spans="3:3" x14ac:dyDescent="0.25">
      <c r="C1131" s="5"/>
    </row>
    <row r="1132" spans="3:3" x14ac:dyDescent="0.25">
      <c r="C1132" s="5"/>
    </row>
    <row r="1133" spans="3:3" x14ac:dyDescent="0.25">
      <c r="C1133" s="5"/>
    </row>
    <row r="1134" spans="3:3" x14ac:dyDescent="0.25">
      <c r="C1134" s="5"/>
    </row>
    <row r="1135" spans="3:3" x14ac:dyDescent="0.25">
      <c r="C1135" s="5"/>
    </row>
    <row r="1136" spans="3:3" x14ac:dyDescent="0.25">
      <c r="C1136" s="5"/>
    </row>
    <row r="1137" spans="3:21" x14ac:dyDescent="0.25">
      <c r="C1137" s="5"/>
    </row>
    <row r="1138" spans="3:21" x14ac:dyDescent="0.25">
      <c r="C1138" s="5"/>
    </row>
    <row r="1139" spans="3:21" x14ac:dyDescent="0.25">
      <c r="C1139" s="5"/>
    </row>
    <row r="1140" spans="3:21" x14ac:dyDescent="0.25">
      <c r="C1140" s="5"/>
    </row>
    <row r="1141" spans="3:21" x14ac:dyDescent="0.25">
      <c r="C1141" s="5"/>
    </row>
    <row r="1142" spans="3:21" x14ac:dyDescent="0.25">
      <c r="C1142" s="5"/>
    </row>
    <row r="1143" spans="3:21" x14ac:dyDescent="0.25">
      <c r="C1143" s="5"/>
    </row>
    <row r="1144" spans="3:21" x14ac:dyDescent="0.25">
      <c r="C1144" s="5"/>
    </row>
    <row r="1145" spans="3:21" x14ac:dyDescent="0.25">
      <c r="C1145" s="5"/>
    </row>
    <row r="1146" spans="3:21" x14ac:dyDescent="0.25">
      <c r="C1146" s="5"/>
    </row>
    <row r="1147" spans="3:21" x14ac:dyDescent="0.25">
      <c r="C1147" s="5"/>
    </row>
    <row r="1148" spans="3:21" x14ac:dyDescent="0.25">
      <c r="C1148" s="5"/>
    </row>
    <row r="1149" spans="3:21" x14ac:dyDescent="0.25">
      <c r="C1149" s="5"/>
    </row>
    <row r="1150" spans="3:21" x14ac:dyDescent="0.25">
      <c r="C1150" s="5"/>
    </row>
    <row r="1151" spans="3:21" x14ac:dyDescent="0.25">
      <c r="C1151" s="5"/>
      <c r="O1151"/>
      <c r="P1151"/>
      <c r="Q1151"/>
      <c r="R1151"/>
      <c r="S1151"/>
      <c r="T1151"/>
      <c r="U1151"/>
    </row>
    <row r="1152" spans="3:21" x14ac:dyDescent="0.25">
      <c r="C1152" s="5"/>
    </row>
    <row r="1153" spans="3:21" x14ac:dyDescent="0.25">
      <c r="C1153" s="5"/>
    </row>
    <row r="1154" spans="3:21" x14ac:dyDescent="0.25">
      <c r="C1154" s="5"/>
    </row>
    <row r="1155" spans="3:21" x14ac:dyDescent="0.25">
      <c r="C1155" s="5"/>
    </row>
    <row r="1156" spans="3:21" x14ac:dyDescent="0.25">
      <c r="C1156" s="5"/>
    </row>
    <row r="1157" spans="3:21" x14ac:dyDescent="0.25">
      <c r="C1157" s="5"/>
    </row>
    <row r="1158" spans="3:21" x14ac:dyDescent="0.25">
      <c r="C1158" s="5"/>
    </row>
    <row r="1159" spans="3:21" x14ac:dyDescent="0.25">
      <c r="C1159" s="5"/>
    </row>
    <row r="1160" spans="3:21" x14ac:dyDescent="0.25">
      <c r="C1160" s="5"/>
    </row>
    <row r="1161" spans="3:21" x14ac:dyDescent="0.25">
      <c r="C1161" s="5"/>
      <c r="O1161"/>
      <c r="P1161"/>
      <c r="Q1161"/>
      <c r="R1161"/>
      <c r="S1161"/>
      <c r="T1161"/>
      <c r="U1161"/>
    </row>
    <row r="1162" spans="3:21" x14ac:dyDescent="0.25">
      <c r="C1162" s="5"/>
    </row>
    <row r="1163" spans="3:21" x14ac:dyDescent="0.25">
      <c r="C1163" s="5"/>
      <c r="O1163"/>
      <c r="P1163"/>
      <c r="Q1163"/>
      <c r="R1163"/>
      <c r="S1163"/>
      <c r="T1163"/>
      <c r="U1163"/>
    </row>
    <row r="1164" spans="3:21" x14ac:dyDescent="0.25">
      <c r="C1164" s="5"/>
    </row>
    <row r="1165" spans="3:21" x14ac:dyDescent="0.25">
      <c r="C1165" s="5"/>
    </row>
    <row r="1166" spans="3:21" x14ac:dyDescent="0.25">
      <c r="C1166" s="5"/>
    </row>
    <row r="1167" spans="3:21" x14ac:dyDescent="0.25">
      <c r="C1167" s="5"/>
    </row>
    <row r="1168" spans="3:21" x14ac:dyDescent="0.25">
      <c r="C1168" s="5"/>
    </row>
    <row r="1169" spans="3:21" x14ac:dyDescent="0.25">
      <c r="C1169" s="5"/>
    </row>
    <row r="1170" spans="3:21" x14ac:dyDescent="0.25">
      <c r="C1170" s="5"/>
    </row>
    <row r="1171" spans="3:21" x14ac:dyDescent="0.25">
      <c r="C1171" s="5"/>
    </row>
    <row r="1172" spans="3:21" x14ac:dyDescent="0.25">
      <c r="C1172" s="5"/>
    </row>
    <row r="1173" spans="3:21" x14ac:dyDescent="0.25">
      <c r="C1173" s="5"/>
      <c r="O1173"/>
      <c r="P1173"/>
      <c r="Q1173"/>
      <c r="R1173"/>
      <c r="S1173"/>
      <c r="T1173"/>
      <c r="U1173"/>
    </row>
    <row r="1174" spans="3:21" x14ac:dyDescent="0.25">
      <c r="C1174" s="5"/>
    </row>
    <row r="1175" spans="3:21" x14ac:dyDescent="0.25">
      <c r="C1175" s="5"/>
    </row>
    <row r="1176" spans="3:21" x14ac:dyDescent="0.25">
      <c r="C1176" s="5"/>
    </row>
    <row r="1177" spans="3:21" x14ac:dyDescent="0.25">
      <c r="C1177" s="5"/>
    </row>
    <row r="1178" spans="3:21" x14ac:dyDescent="0.25">
      <c r="C1178" s="5"/>
    </row>
    <row r="1179" spans="3:21" x14ac:dyDescent="0.25">
      <c r="C1179" s="5"/>
    </row>
    <row r="1180" spans="3:21" x14ac:dyDescent="0.25">
      <c r="C1180" s="5"/>
    </row>
    <row r="1181" spans="3:21" x14ac:dyDescent="0.25">
      <c r="C1181" s="5"/>
    </row>
    <row r="1182" spans="3:21" x14ac:dyDescent="0.25">
      <c r="C1182" s="5"/>
    </row>
    <row r="1183" spans="3:21" x14ac:dyDescent="0.25">
      <c r="C1183" s="5"/>
    </row>
    <row r="1184" spans="3:21" x14ac:dyDescent="0.25">
      <c r="C1184" s="5"/>
    </row>
    <row r="1185" spans="3:21" x14ac:dyDescent="0.25">
      <c r="C1185" s="5"/>
    </row>
    <row r="1186" spans="3:21" x14ac:dyDescent="0.25">
      <c r="C1186" s="5"/>
    </row>
    <row r="1187" spans="3:21" x14ac:dyDescent="0.25">
      <c r="C1187" s="5"/>
    </row>
    <row r="1188" spans="3:21" x14ac:dyDescent="0.25">
      <c r="C1188" s="5"/>
    </row>
    <row r="1189" spans="3:21" x14ac:dyDescent="0.25">
      <c r="C1189" s="5"/>
    </row>
    <row r="1190" spans="3:21" x14ac:dyDescent="0.25">
      <c r="C1190" s="5"/>
    </row>
    <row r="1191" spans="3:21" x14ac:dyDescent="0.25">
      <c r="C1191" s="5"/>
    </row>
    <row r="1192" spans="3:21" x14ac:dyDescent="0.25">
      <c r="C1192" s="5"/>
    </row>
    <row r="1193" spans="3:21" x14ac:dyDescent="0.25">
      <c r="C1193" s="5"/>
    </row>
    <row r="1194" spans="3:21" x14ac:dyDescent="0.25">
      <c r="C1194" s="5"/>
    </row>
    <row r="1195" spans="3:21" x14ac:dyDescent="0.25">
      <c r="C1195" s="5"/>
    </row>
    <row r="1196" spans="3:21" x14ac:dyDescent="0.25">
      <c r="C1196" s="5"/>
    </row>
    <row r="1197" spans="3:21" x14ac:dyDescent="0.25">
      <c r="C1197" s="5"/>
      <c r="O1197"/>
      <c r="P1197"/>
      <c r="Q1197"/>
      <c r="R1197"/>
      <c r="S1197"/>
      <c r="T1197"/>
      <c r="U1197"/>
    </row>
    <row r="1198" spans="3:21" x14ac:dyDescent="0.25">
      <c r="C1198" s="5"/>
    </row>
    <row r="1199" spans="3:21" x14ac:dyDescent="0.25">
      <c r="C1199" s="5"/>
      <c r="O1199"/>
      <c r="P1199"/>
      <c r="Q1199"/>
      <c r="R1199"/>
      <c r="S1199"/>
      <c r="T1199"/>
      <c r="U1199"/>
    </row>
    <row r="1200" spans="3:21" x14ac:dyDescent="0.25">
      <c r="C1200" s="5"/>
    </row>
    <row r="1201" spans="3:3" x14ac:dyDescent="0.25">
      <c r="C1201" s="5"/>
    </row>
    <row r="1202" spans="3:3" x14ac:dyDescent="0.25">
      <c r="C1202" s="5"/>
    </row>
    <row r="1203" spans="3:3" x14ac:dyDescent="0.25">
      <c r="C1203" s="5"/>
    </row>
    <row r="1204" spans="3:3" x14ac:dyDescent="0.25">
      <c r="C1204" s="5"/>
    </row>
    <row r="1205" spans="3:3" x14ac:dyDescent="0.25">
      <c r="C1205" s="5"/>
    </row>
    <row r="1206" spans="3:3" x14ac:dyDescent="0.25">
      <c r="C1206" s="5"/>
    </row>
    <row r="1207" spans="3:3" x14ac:dyDescent="0.25">
      <c r="C1207" s="5"/>
    </row>
    <row r="1208" spans="3:3" x14ac:dyDescent="0.25">
      <c r="C1208" s="5"/>
    </row>
    <row r="1209" spans="3:3" x14ac:dyDescent="0.25">
      <c r="C1209" s="5"/>
    </row>
    <row r="1210" spans="3:3" x14ac:dyDescent="0.25">
      <c r="C1210" s="5"/>
    </row>
    <row r="1211" spans="3:3" x14ac:dyDescent="0.25">
      <c r="C1211" s="5"/>
    </row>
    <row r="1212" spans="3:3" x14ac:dyDescent="0.25">
      <c r="C1212" s="5"/>
    </row>
    <row r="1213" spans="3:3" x14ac:dyDescent="0.25">
      <c r="C1213" s="5"/>
    </row>
    <row r="1214" spans="3:3" x14ac:dyDescent="0.25">
      <c r="C1214" s="5"/>
    </row>
    <row r="1215" spans="3:3" x14ac:dyDescent="0.25">
      <c r="C1215" s="5"/>
    </row>
    <row r="1216" spans="3:3" x14ac:dyDescent="0.25">
      <c r="C1216" s="5"/>
    </row>
    <row r="1217" spans="3:3" x14ac:dyDescent="0.25">
      <c r="C1217" s="5"/>
    </row>
    <row r="1218" spans="3:3" x14ac:dyDescent="0.25">
      <c r="C1218" s="5"/>
    </row>
    <row r="1219" spans="3:3" x14ac:dyDescent="0.25">
      <c r="C1219" s="5"/>
    </row>
    <row r="1220" spans="3:3" x14ac:dyDescent="0.25">
      <c r="C1220" s="5"/>
    </row>
    <row r="1221" spans="3:3" x14ac:dyDescent="0.25">
      <c r="C1221" s="5"/>
    </row>
    <row r="1222" spans="3:3" x14ac:dyDescent="0.25">
      <c r="C1222" s="5"/>
    </row>
    <row r="1223" spans="3:3" x14ac:dyDescent="0.25">
      <c r="C1223" s="5"/>
    </row>
    <row r="1224" spans="3:3" x14ac:dyDescent="0.25">
      <c r="C1224" s="5"/>
    </row>
    <row r="1225" spans="3:3" x14ac:dyDescent="0.25">
      <c r="C1225" s="5"/>
    </row>
    <row r="1226" spans="3:3" x14ac:dyDescent="0.25">
      <c r="C1226" s="5"/>
    </row>
    <row r="1227" spans="3:3" x14ac:dyDescent="0.25">
      <c r="C1227" s="5"/>
    </row>
    <row r="1228" spans="3:3" x14ac:dyDescent="0.25">
      <c r="C1228" s="5"/>
    </row>
    <row r="1229" spans="3:3" x14ac:dyDescent="0.25">
      <c r="C1229" s="5"/>
    </row>
    <row r="1230" spans="3:3" x14ac:dyDescent="0.25">
      <c r="C1230" s="5"/>
    </row>
    <row r="1231" spans="3:3" x14ac:dyDescent="0.25">
      <c r="C1231" s="5"/>
    </row>
    <row r="1232" spans="3:3" x14ac:dyDescent="0.25">
      <c r="C1232" s="5"/>
    </row>
    <row r="1233" spans="3:21" x14ac:dyDescent="0.25">
      <c r="C1233" s="5"/>
    </row>
    <row r="1234" spans="3:21" x14ac:dyDescent="0.25">
      <c r="C1234" s="5"/>
    </row>
    <row r="1235" spans="3:21" x14ac:dyDescent="0.25">
      <c r="C1235" s="5"/>
    </row>
    <row r="1236" spans="3:21" x14ac:dyDescent="0.25">
      <c r="C1236" s="5"/>
    </row>
    <row r="1237" spans="3:21" x14ac:dyDescent="0.25">
      <c r="C1237" s="5"/>
    </row>
    <row r="1238" spans="3:21" x14ac:dyDescent="0.25">
      <c r="C1238" s="5"/>
    </row>
    <row r="1239" spans="3:21" x14ac:dyDescent="0.25">
      <c r="C1239" s="5"/>
      <c r="O1239"/>
      <c r="P1239"/>
      <c r="Q1239"/>
      <c r="R1239"/>
      <c r="S1239"/>
      <c r="T1239"/>
      <c r="U1239"/>
    </row>
    <row r="1240" spans="3:21" x14ac:dyDescent="0.25">
      <c r="C1240" s="5"/>
    </row>
    <row r="1241" spans="3:21" x14ac:dyDescent="0.25">
      <c r="C1241" s="5"/>
    </row>
    <row r="1242" spans="3:21" x14ac:dyDescent="0.25">
      <c r="C1242" s="5"/>
    </row>
    <row r="1243" spans="3:21" x14ac:dyDescent="0.25">
      <c r="C1243" s="5"/>
    </row>
    <row r="1244" spans="3:21" x14ac:dyDescent="0.25">
      <c r="C1244" s="5"/>
    </row>
    <row r="1245" spans="3:21" x14ac:dyDescent="0.25">
      <c r="C1245" s="5"/>
    </row>
    <row r="1246" spans="3:21" x14ac:dyDescent="0.25">
      <c r="C1246" s="5"/>
    </row>
    <row r="1247" spans="3:21" x14ac:dyDescent="0.25">
      <c r="C1247" s="5"/>
    </row>
    <row r="1248" spans="3:21" x14ac:dyDescent="0.25">
      <c r="C1248" s="5"/>
    </row>
    <row r="1249" spans="3:3" x14ac:dyDescent="0.25">
      <c r="C1249" s="5"/>
    </row>
    <row r="1250" spans="3:3" x14ac:dyDescent="0.25">
      <c r="C1250" s="5"/>
    </row>
    <row r="1251" spans="3:3" x14ac:dyDescent="0.25">
      <c r="C1251" s="5"/>
    </row>
    <row r="1252" spans="3:3" x14ac:dyDescent="0.25">
      <c r="C1252" s="5"/>
    </row>
    <row r="1253" spans="3:3" x14ac:dyDescent="0.25">
      <c r="C1253" s="5"/>
    </row>
    <row r="1254" spans="3:3" x14ac:dyDescent="0.25">
      <c r="C1254" s="5"/>
    </row>
    <row r="1255" spans="3:3" x14ac:dyDescent="0.25">
      <c r="C1255" s="5"/>
    </row>
    <row r="1256" spans="3:3" x14ac:dyDescent="0.25">
      <c r="C1256" s="5"/>
    </row>
    <row r="1257" spans="3:3" x14ac:dyDescent="0.25">
      <c r="C1257" s="5"/>
    </row>
    <row r="1258" spans="3:3" x14ac:dyDescent="0.25">
      <c r="C1258" s="5"/>
    </row>
    <row r="1259" spans="3:3" x14ac:dyDescent="0.25">
      <c r="C1259" s="5"/>
    </row>
    <row r="1260" spans="3:3" x14ac:dyDescent="0.25">
      <c r="C1260" s="5"/>
    </row>
    <row r="1261" spans="3:3" x14ac:dyDescent="0.25">
      <c r="C1261" s="5"/>
    </row>
    <row r="1262" spans="3:3" x14ac:dyDescent="0.25">
      <c r="C1262" s="5"/>
    </row>
    <row r="1263" spans="3:3" x14ac:dyDescent="0.25">
      <c r="C1263" s="5"/>
    </row>
    <row r="1264" spans="3:3" x14ac:dyDescent="0.25">
      <c r="C1264" s="5"/>
    </row>
    <row r="1265" spans="3:3" x14ac:dyDescent="0.25">
      <c r="C1265" s="5"/>
    </row>
    <row r="1266" spans="3:3" x14ac:dyDescent="0.25">
      <c r="C1266" s="5"/>
    </row>
    <row r="1267" spans="3:3" x14ac:dyDescent="0.25">
      <c r="C1267" s="5"/>
    </row>
    <row r="1268" spans="3:3" x14ac:dyDescent="0.25">
      <c r="C1268" s="5"/>
    </row>
    <row r="1269" spans="3:3" x14ac:dyDescent="0.25">
      <c r="C1269" s="5"/>
    </row>
    <row r="1270" spans="3:3" x14ac:dyDescent="0.25">
      <c r="C1270" s="5"/>
    </row>
    <row r="1271" spans="3:3" x14ac:dyDescent="0.25">
      <c r="C1271" s="5"/>
    </row>
    <row r="1272" spans="3:3" x14ac:dyDescent="0.25">
      <c r="C1272" s="5"/>
    </row>
    <row r="1273" spans="3:3" x14ac:dyDescent="0.25">
      <c r="C1273" s="5"/>
    </row>
    <row r="1274" spans="3:3" x14ac:dyDescent="0.25">
      <c r="C1274" s="5"/>
    </row>
    <row r="1275" spans="3:3" x14ac:dyDescent="0.25">
      <c r="C1275" s="5"/>
    </row>
    <row r="1276" spans="3:3" x14ac:dyDescent="0.25">
      <c r="C1276" s="5"/>
    </row>
    <row r="1277" spans="3:3" x14ac:dyDescent="0.25">
      <c r="C1277" s="5"/>
    </row>
    <row r="1278" spans="3:3" x14ac:dyDescent="0.25">
      <c r="C1278" s="5"/>
    </row>
    <row r="1279" spans="3:3" x14ac:dyDescent="0.25">
      <c r="C1279" s="5"/>
    </row>
    <row r="1280" spans="3:3" x14ac:dyDescent="0.25">
      <c r="C1280" s="5"/>
    </row>
    <row r="1281" spans="3:3" x14ac:dyDescent="0.25">
      <c r="C1281" s="5"/>
    </row>
    <row r="1282" spans="3:3" x14ac:dyDescent="0.25">
      <c r="C1282" s="5"/>
    </row>
    <row r="1283" spans="3:3" x14ac:dyDescent="0.25">
      <c r="C1283" s="5"/>
    </row>
    <row r="1284" spans="3:3" x14ac:dyDescent="0.25">
      <c r="C1284" s="5"/>
    </row>
    <row r="1285" spans="3:3" x14ac:dyDescent="0.25">
      <c r="C1285" s="5"/>
    </row>
    <row r="1286" spans="3:3" x14ac:dyDescent="0.25">
      <c r="C1286" s="5"/>
    </row>
    <row r="1287" spans="3:3" x14ac:dyDescent="0.25">
      <c r="C1287" s="5"/>
    </row>
    <row r="1288" spans="3:3" x14ac:dyDescent="0.25">
      <c r="C1288" s="5"/>
    </row>
    <row r="1289" spans="3:3" x14ac:dyDescent="0.25">
      <c r="C1289" s="5"/>
    </row>
    <row r="1290" spans="3:3" x14ac:dyDescent="0.25">
      <c r="C1290" s="5"/>
    </row>
    <row r="1291" spans="3:3" x14ac:dyDescent="0.25">
      <c r="C1291" s="5"/>
    </row>
    <row r="1292" spans="3:3" x14ac:dyDescent="0.25">
      <c r="C1292" s="5"/>
    </row>
    <row r="1293" spans="3:3" x14ac:dyDescent="0.25">
      <c r="C1293" s="5"/>
    </row>
    <row r="1294" spans="3:3" x14ac:dyDescent="0.25">
      <c r="C1294" s="5"/>
    </row>
    <row r="1295" spans="3:3" x14ac:dyDescent="0.25">
      <c r="C1295" s="5"/>
    </row>
    <row r="1296" spans="3:3" x14ac:dyDescent="0.25">
      <c r="C1296" s="5"/>
    </row>
    <row r="1297" spans="3:3" x14ac:dyDescent="0.25">
      <c r="C1297" s="5"/>
    </row>
    <row r="1298" spans="3:3" x14ac:dyDescent="0.25">
      <c r="C1298" s="5"/>
    </row>
    <row r="1299" spans="3:3" x14ac:dyDescent="0.25">
      <c r="C1299" s="5"/>
    </row>
    <row r="1300" spans="3:3" x14ac:dyDescent="0.25">
      <c r="C1300" s="5"/>
    </row>
    <row r="1301" spans="3:3" x14ac:dyDescent="0.25">
      <c r="C1301" s="5"/>
    </row>
    <row r="1302" spans="3:3" x14ac:dyDescent="0.25">
      <c r="C1302" s="5"/>
    </row>
    <row r="1303" spans="3:3" x14ac:dyDescent="0.25">
      <c r="C1303" s="5"/>
    </row>
    <row r="1304" spans="3:3" x14ac:dyDescent="0.25">
      <c r="C1304" s="5"/>
    </row>
    <row r="1305" spans="3:3" x14ac:dyDescent="0.25">
      <c r="C1305" s="5"/>
    </row>
    <row r="1306" spans="3:3" x14ac:dyDescent="0.25">
      <c r="C1306" s="5"/>
    </row>
    <row r="1307" spans="3:3" x14ac:dyDescent="0.25">
      <c r="C1307" s="5"/>
    </row>
    <row r="1308" spans="3:3" x14ac:dyDescent="0.25">
      <c r="C1308" s="5"/>
    </row>
    <row r="1309" spans="3:3" x14ac:dyDescent="0.25">
      <c r="C1309" s="5"/>
    </row>
    <row r="1310" spans="3:3" x14ac:dyDescent="0.25">
      <c r="C1310" s="5"/>
    </row>
    <row r="1311" spans="3:3" x14ac:dyDescent="0.25">
      <c r="C1311" s="5"/>
    </row>
    <row r="1312" spans="3:3" x14ac:dyDescent="0.25">
      <c r="C1312" s="5"/>
    </row>
    <row r="1313" spans="3:21" x14ac:dyDescent="0.25">
      <c r="C1313" s="5"/>
    </row>
    <row r="1314" spans="3:21" x14ac:dyDescent="0.25">
      <c r="C1314" s="5"/>
    </row>
    <row r="1315" spans="3:21" x14ac:dyDescent="0.25">
      <c r="C1315" s="5"/>
    </row>
    <row r="1316" spans="3:21" x14ac:dyDescent="0.25">
      <c r="C1316" s="5"/>
    </row>
    <row r="1317" spans="3:21" x14ac:dyDescent="0.25">
      <c r="C1317" s="5"/>
    </row>
    <row r="1318" spans="3:21" x14ac:dyDescent="0.25">
      <c r="C1318" s="5"/>
    </row>
    <row r="1319" spans="3:21" x14ac:dyDescent="0.25">
      <c r="C1319" s="5"/>
    </row>
    <row r="1320" spans="3:21" x14ac:dyDescent="0.25">
      <c r="C1320" s="5"/>
    </row>
    <row r="1321" spans="3:21" x14ac:dyDescent="0.25">
      <c r="C1321" s="5"/>
    </row>
    <row r="1322" spans="3:21" x14ac:dyDescent="0.25">
      <c r="C1322" s="5"/>
    </row>
    <row r="1323" spans="3:21" x14ac:dyDescent="0.25">
      <c r="C1323" s="5"/>
    </row>
    <row r="1324" spans="3:21" x14ac:dyDescent="0.25">
      <c r="C1324" s="5"/>
      <c r="O1324"/>
      <c r="P1324"/>
      <c r="Q1324"/>
      <c r="R1324"/>
      <c r="S1324"/>
      <c r="T1324"/>
      <c r="U1324"/>
    </row>
    <row r="1325" spans="3:21" x14ac:dyDescent="0.25">
      <c r="C1325" s="5"/>
      <c r="O1325"/>
      <c r="P1325"/>
      <c r="Q1325"/>
      <c r="R1325"/>
      <c r="S1325"/>
      <c r="T1325"/>
      <c r="U1325"/>
    </row>
    <row r="1326" spans="3:21" x14ac:dyDescent="0.25">
      <c r="C1326" s="5"/>
    </row>
    <row r="1327" spans="3:21" x14ac:dyDescent="0.25">
      <c r="C1327" s="5"/>
      <c r="O1327"/>
      <c r="P1327"/>
      <c r="Q1327"/>
      <c r="R1327"/>
      <c r="S1327"/>
      <c r="T1327"/>
      <c r="U1327"/>
    </row>
    <row r="1328" spans="3:21" x14ac:dyDescent="0.25">
      <c r="C1328" s="5"/>
    </row>
    <row r="1329" spans="3:3" x14ac:dyDescent="0.25">
      <c r="C1329" s="5"/>
    </row>
    <row r="1330" spans="3:3" x14ac:dyDescent="0.25">
      <c r="C1330" s="5"/>
    </row>
    <row r="1331" spans="3:3" x14ac:dyDescent="0.25">
      <c r="C1331" s="5"/>
    </row>
    <row r="1332" spans="3:3" x14ac:dyDescent="0.25">
      <c r="C1332" s="5"/>
    </row>
    <row r="1333" spans="3:3" x14ac:dyDescent="0.25">
      <c r="C1333" s="5"/>
    </row>
    <row r="1334" spans="3:3" x14ac:dyDescent="0.25">
      <c r="C1334" s="5"/>
    </row>
    <row r="1335" spans="3:3" x14ac:dyDescent="0.25">
      <c r="C1335" s="5"/>
    </row>
    <row r="1336" spans="3:3" x14ac:dyDescent="0.25">
      <c r="C1336" s="5"/>
    </row>
    <row r="1337" spans="3:3" x14ac:dyDescent="0.25">
      <c r="C1337" s="5"/>
    </row>
    <row r="1338" spans="3:3" x14ac:dyDescent="0.25">
      <c r="C1338" s="5"/>
    </row>
    <row r="1339" spans="3:3" x14ac:dyDescent="0.25">
      <c r="C1339" s="5"/>
    </row>
    <row r="1340" spans="3:3" x14ac:dyDescent="0.25">
      <c r="C1340" s="5"/>
    </row>
    <row r="1341" spans="3:3" x14ac:dyDescent="0.25">
      <c r="C1341" s="5"/>
    </row>
    <row r="1342" spans="3:3" x14ac:dyDescent="0.25">
      <c r="C1342" s="5"/>
    </row>
    <row r="1343" spans="3:3" x14ac:dyDescent="0.25">
      <c r="C1343" s="5"/>
    </row>
    <row r="1344" spans="3:3" x14ac:dyDescent="0.25">
      <c r="C1344" s="5"/>
    </row>
    <row r="1345" spans="3:3" x14ac:dyDescent="0.25">
      <c r="C1345" s="5"/>
    </row>
    <row r="1346" spans="3:3" x14ac:dyDescent="0.25">
      <c r="C1346" s="5"/>
    </row>
    <row r="1347" spans="3:3" x14ac:dyDescent="0.25">
      <c r="C1347" s="5"/>
    </row>
    <row r="1348" spans="3:3" x14ac:dyDescent="0.25">
      <c r="C1348" s="5"/>
    </row>
    <row r="1349" spans="3:3" x14ac:dyDescent="0.25">
      <c r="C1349" s="5"/>
    </row>
    <row r="1350" spans="3:3" x14ac:dyDescent="0.25">
      <c r="C1350" s="5"/>
    </row>
    <row r="1351" spans="3:3" x14ac:dyDescent="0.25">
      <c r="C1351" s="5"/>
    </row>
    <row r="1352" spans="3:3" x14ac:dyDescent="0.25">
      <c r="C1352" s="5"/>
    </row>
    <row r="1353" spans="3:3" x14ac:dyDescent="0.25">
      <c r="C1353" s="5"/>
    </row>
    <row r="1354" spans="3:3" x14ac:dyDescent="0.25">
      <c r="C1354" s="5"/>
    </row>
    <row r="1355" spans="3:3" x14ac:dyDescent="0.25">
      <c r="C1355" s="5"/>
    </row>
    <row r="1356" spans="3:3" x14ac:dyDescent="0.25">
      <c r="C1356" s="5"/>
    </row>
    <row r="1357" spans="3:3" x14ac:dyDescent="0.25">
      <c r="C1357" s="5"/>
    </row>
    <row r="1358" spans="3:3" x14ac:dyDescent="0.25">
      <c r="C1358" s="5"/>
    </row>
    <row r="1359" spans="3:3" x14ac:dyDescent="0.25">
      <c r="C1359" s="5"/>
    </row>
    <row r="1360" spans="3:3" x14ac:dyDescent="0.25">
      <c r="C1360" s="5"/>
    </row>
    <row r="1361" spans="3:21" x14ac:dyDescent="0.25">
      <c r="C1361" s="5"/>
    </row>
    <row r="1362" spans="3:21" x14ac:dyDescent="0.25">
      <c r="C1362" s="5"/>
    </row>
    <row r="1363" spans="3:21" x14ac:dyDescent="0.25">
      <c r="C1363" s="5"/>
    </row>
    <row r="1364" spans="3:21" x14ac:dyDescent="0.25">
      <c r="C1364" s="5"/>
    </row>
    <row r="1365" spans="3:21" x14ac:dyDescent="0.25">
      <c r="C1365" s="5"/>
    </row>
    <row r="1366" spans="3:21" x14ac:dyDescent="0.25">
      <c r="C1366" s="5"/>
      <c r="O1366"/>
      <c r="P1366"/>
      <c r="Q1366"/>
      <c r="R1366"/>
      <c r="S1366"/>
      <c r="T1366"/>
      <c r="U1366"/>
    </row>
    <row r="1367" spans="3:21" x14ac:dyDescent="0.25">
      <c r="C1367" s="5"/>
    </row>
    <row r="1368" spans="3:21" x14ac:dyDescent="0.25">
      <c r="C1368" s="5"/>
    </row>
    <row r="1369" spans="3:21" x14ac:dyDescent="0.25">
      <c r="C1369" s="5"/>
    </row>
    <row r="1370" spans="3:21" x14ac:dyDescent="0.25">
      <c r="C1370" s="5"/>
    </row>
    <row r="1371" spans="3:21" x14ac:dyDescent="0.25">
      <c r="C1371" s="5"/>
    </row>
    <row r="1372" spans="3:21" x14ac:dyDescent="0.25">
      <c r="C1372" s="5"/>
    </row>
    <row r="1373" spans="3:21" x14ac:dyDescent="0.25">
      <c r="C1373" s="5"/>
    </row>
    <row r="1374" spans="3:21" x14ac:dyDescent="0.25">
      <c r="C1374" s="5"/>
    </row>
    <row r="1375" spans="3:21" x14ac:dyDescent="0.25">
      <c r="C1375" s="5"/>
    </row>
    <row r="1376" spans="3:21" x14ac:dyDescent="0.25">
      <c r="C1376" s="5"/>
    </row>
    <row r="1377" spans="3:3" x14ac:dyDescent="0.25">
      <c r="C1377" s="5"/>
    </row>
    <row r="1378" spans="3:3" x14ac:dyDescent="0.25">
      <c r="C1378" s="5"/>
    </row>
    <row r="1379" spans="3:3" x14ac:dyDescent="0.25">
      <c r="C1379" s="5"/>
    </row>
    <row r="1380" spans="3:3" x14ac:dyDescent="0.25">
      <c r="C1380" s="5"/>
    </row>
    <row r="1381" spans="3:3" x14ac:dyDescent="0.25">
      <c r="C1381" s="5"/>
    </row>
    <row r="1382" spans="3:3" x14ac:dyDescent="0.25">
      <c r="C1382" s="5"/>
    </row>
    <row r="1383" spans="3:3" x14ac:dyDescent="0.25">
      <c r="C1383" s="5"/>
    </row>
    <row r="1384" spans="3:3" x14ac:dyDescent="0.25">
      <c r="C1384" s="5"/>
    </row>
    <row r="1385" spans="3:3" x14ac:dyDescent="0.25">
      <c r="C1385" s="5"/>
    </row>
    <row r="1386" spans="3:3" x14ac:dyDescent="0.25">
      <c r="C1386" s="5"/>
    </row>
    <row r="1387" spans="3:3" x14ac:dyDescent="0.25">
      <c r="C1387" s="5"/>
    </row>
    <row r="1388" spans="3:3" x14ac:dyDescent="0.25">
      <c r="C1388" s="5"/>
    </row>
    <row r="1389" spans="3:3" x14ac:dyDescent="0.25">
      <c r="C1389" s="5"/>
    </row>
    <row r="1390" spans="3:3" x14ac:dyDescent="0.25">
      <c r="C1390" s="5"/>
    </row>
    <row r="1391" spans="3:3" x14ac:dyDescent="0.25">
      <c r="C1391" s="5"/>
    </row>
    <row r="1392" spans="3:3" x14ac:dyDescent="0.25">
      <c r="C1392" s="5"/>
    </row>
    <row r="1393" spans="3:21" x14ac:dyDescent="0.25">
      <c r="C1393" s="5"/>
    </row>
    <row r="1394" spans="3:21" x14ac:dyDescent="0.25">
      <c r="C1394" s="5"/>
    </row>
    <row r="1395" spans="3:21" x14ac:dyDescent="0.25">
      <c r="C1395" s="5"/>
    </row>
    <row r="1396" spans="3:21" x14ac:dyDescent="0.25">
      <c r="C1396" s="5"/>
    </row>
    <row r="1397" spans="3:21" x14ac:dyDescent="0.25">
      <c r="C1397" s="5"/>
    </row>
    <row r="1398" spans="3:21" x14ac:dyDescent="0.25">
      <c r="C1398" s="5"/>
    </row>
    <row r="1399" spans="3:21" x14ac:dyDescent="0.25">
      <c r="C1399" s="5"/>
    </row>
    <row r="1400" spans="3:21" x14ac:dyDescent="0.25">
      <c r="C1400" s="5"/>
    </row>
    <row r="1401" spans="3:21" x14ac:dyDescent="0.25">
      <c r="C1401" s="5"/>
    </row>
    <row r="1402" spans="3:21" x14ac:dyDescent="0.25">
      <c r="C1402" s="5"/>
    </row>
    <row r="1403" spans="3:21" x14ac:dyDescent="0.25">
      <c r="C1403" s="5"/>
    </row>
    <row r="1404" spans="3:21" x14ac:dyDescent="0.25">
      <c r="C1404" s="5"/>
    </row>
    <row r="1405" spans="3:21" x14ac:dyDescent="0.25">
      <c r="C1405" s="5"/>
    </row>
    <row r="1406" spans="3:21" x14ac:dyDescent="0.25">
      <c r="C1406" s="5"/>
    </row>
    <row r="1407" spans="3:21" x14ac:dyDescent="0.25">
      <c r="C1407" s="5"/>
    </row>
    <row r="1408" spans="3:21" x14ac:dyDescent="0.25">
      <c r="C1408" s="5"/>
      <c r="O1408"/>
      <c r="P1408"/>
      <c r="Q1408"/>
      <c r="R1408"/>
      <c r="S1408"/>
      <c r="T1408"/>
      <c r="U1408"/>
    </row>
    <row r="1409" spans="3:3" x14ac:dyDescent="0.25">
      <c r="C1409" s="5"/>
    </row>
    <row r="1410" spans="3:3" x14ac:dyDescent="0.25">
      <c r="C1410" s="5"/>
    </row>
    <row r="1411" spans="3:3" x14ac:dyDescent="0.25">
      <c r="C1411" s="5"/>
    </row>
    <row r="1412" spans="3:3" x14ac:dyDescent="0.25">
      <c r="C1412" s="5"/>
    </row>
    <row r="1413" spans="3:3" x14ac:dyDescent="0.25">
      <c r="C1413" s="5"/>
    </row>
    <row r="1414" spans="3:3" x14ac:dyDescent="0.25">
      <c r="C1414" s="5"/>
    </row>
    <row r="1415" spans="3:3" x14ac:dyDescent="0.25">
      <c r="C1415" s="5"/>
    </row>
    <row r="1416" spans="3:3" x14ac:dyDescent="0.25">
      <c r="C1416" s="5"/>
    </row>
    <row r="1417" spans="3:3" x14ac:dyDescent="0.25">
      <c r="C1417" s="5"/>
    </row>
    <row r="1418" spans="3:3" x14ac:dyDescent="0.25">
      <c r="C1418" s="5"/>
    </row>
    <row r="1419" spans="3:3" x14ac:dyDescent="0.25">
      <c r="C1419" s="5"/>
    </row>
    <row r="1420" spans="3:3" x14ac:dyDescent="0.25">
      <c r="C1420" s="5"/>
    </row>
    <row r="1421" spans="3:3" x14ac:dyDescent="0.25">
      <c r="C1421" s="5"/>
    </row>
    <row r="1422" spans="3:3" x14ac:dyDescent="0.25">
      <c r="C1422" s="5"/>
    </row>
    <row r="1423" spans="3:3" x14ac:dyDescent="0.25">
      <c r="C1423" s="5"/>
    </row>
    <row r="1424" spans="3:3" x14ac:dyDescent="0.25">
      <c r="C1424" s="5"/>
    </row>
    <row r="1425" spans="3:21" x14ac:dyDescent="0.25">
      <c r="C1425" s="5"/>
    </row>
    <row r="1426" spans="3:21" x14ac:dyDescent="0.25">
      <c r="C1426" s="5"/>
    </row>
    <row r="1427" spans="3:21" x14ac:dyDescent="0.25">
      <c r="C1427" s="5"/>
    </row>
    <row r="1428" spans="3:21" x14ac:dyDescent="0.25">
      <c r="C1428" s="5"/>
    </row>
    <row r="1429" spans="3:21" x14ac:dyDescent="0.25">
      <c r="C1429" s="5"/>
    </row>
    <row r="1430" spans="3:21" x14ac:dyDescent="0.25">
      <c r="C1430" s="5"/>
    </row>
    <row r="1431" spans="3:21" x14ac:dyDescent="0.25">
      <c r="C1431" s="5"/>
    </row>
    <row r="1432" spans="3:21" x14ac:dyDescent="0.25">
      <c r="C1432" s="5"/>
    </row>
    <row r="1433" spans="3:21" x14ac:dyDescent="0.25">
      <c r="C1433" s="5"/>
    </row>
    <row r="1434" spans="3:21" x14ac:dyDescent="0.25">
      <c r="C1434" s="5"/>
      <c r="O1434"/>
      <c r="P1434"/>
      <c r="Q1434"/>
      <c r="R1434"/>
      <c r="S1434"/>
      <c r="T1434"/>
      <c r="U1434"/>
    </row>
    <row r="1435" spans="3:21" x14ac:dyDescent="0.25">
      <c r="C1435" s="5"/>
    </row>
    <row r="1436" spans="3:21" x14ac:dyDescent="0.25">
      <c r="C1436" s="5"/>
    </row>
    <row r="1437" spans="3:21" x14ac:dyDescent="0.25">
      <c r="C1437" s="5"/>
    </row>
    <row r="1438" spans="3:21" x14ac:dyDescent="0.25">
      <c r="C1438" s="5"/>
    </row>
    <row r="1439" spans="3:21" x14ac:dyDescent="0.25">
      <c r="C1439" s="5"/>
    </row>
    <row r="1440" spans="3:21" x14ac:dyDescent="0.25">
      <c r="C1440" s="5"/>
      <c r="O1440"/>
      <c r="P1440"/>
      <c r="Q1440"/>
      <c r="R1440"/>
      <c r="S1440"/>
      <c r="T1440"/>
      <c r="U1440"/>
    </row>
    <row r="1441" spans="3:21" x14ac:dyDescent="0.25">
      <c r="C1441" s="5"/>
    </row>
    <row r="1442" spans="3:21" x14ac:dyDescent="0.25">
      <c r="C1442" s="5"/>
    </row>
    <row r="1443" spans="3:21" x14ac:dyDescent="0.25">
      <c r="C1443" s="5"/>
    </row>
    <row r="1444" spans="3:21" x14ac:dyDescent="0.25">
      <c r="C1444" s="5"/>
      <c r="O1444"/>
      <c r="P1444"/>
      <c r="Q1444"/>
      <c r="R1444"/>
      <c r="S1444"/>
      <c r="T1444"/>
      <c r="U1444"/>
    </row>
    <row r="1445" spans="3:21" x14ac:dyDescent="0.25">
      <c r="C1445" s="5"/>
    </row>
    <row r="1446" spans="3:21" x14ac:dyDescent="0.25">
      <c r="C1446" s="5"/>
    </row>
    <row r="1447" spans="3:21" x14ac:dyDescent="0.25">
      <c r="C1447" s="5"/>
    </row>
    <row r="1448" spans="3:21" x14ac:dyDescent="0.25">
      <c r="C1448" s="5"/>
    </row>
    <row r="1449" spans="3:21" x14ac:dyDescent="0.25">
      <c r="C1449" s="5"/>
    </row>
    <row r="1450" spans="3:21" x14ac:dyDescent="0.25">
      <c r="C1450" s="5"/>
    </row>
    <row r="1451" spans="3:21" x14ac:dyDescent="0.25">
      <c r="C1451" s="5"/>
    </row>
    <row r="1452" spans="3:21" x14ac:dyDescent="0.25">
      <c r="C1452" s="5"/>
    </row>
    <row r="1453" spans="3:21" x14ac:dyDescent="0.25">
      <c r="C1453" s="5"/>
    </row>
    <row r="1454" spans="3:21" x14ac:dyDescent="0.25">
      <c r="C1454" s="5"/>
    </row>
    <row r="1455" spans="3:21" x14ac:dyDescent="0.25">
      <c r="C1455" s="5"/>
      <c r="O1455"/>
      <c r="P1455"/>
      <c r="Q1455"/>
      <c r="R1455"/>
      <c r="S1455"/>
      <c r="T1455"/>
      <c r="U1455"/>
    </row>
    <row r="1456" spans="3:21" x14ac:dyDescent="0.25">
      <c r="C1456" s="5"/>
    </row>
    <row r="1457" spans="3:21" x14ac:dyDescent="0.25">
      <c r="C1457" s="5"/>
    </row>
    <row r="1458" spans="3:21" x14ac:dyDescent="0.25">
      <c r="C1458" s="5"/>
    </row>
    <row r="1459" spans="3:21" x14ac:dyDescent="0.25">
      <c r="C1459" s="5"/>
    </row>
    <row r="1460" spans="3:21" x14ac:dyDescent="0.25">
      <c r="C1460" s="5"/>
    </row>
    <row r="1461" spans="3:21" x14ac:dyDescent="0.25">
      <c r="C1461" s="5"/>
      <c r="O1461"/>
      <c r="P1461"/>
      <c r="Q1461"/>
      <c r="R1461"/>
      <c r="S1461"/>
      <c r="T1461"/>
      <c r="U1461"/>
    </row>
    <row r="1462" spans="3:21" x14ac:dyDescent="0.25">
      <c r="C1462" s="5"/>
      <c r="O1462"/>
      <c r="P1462"/>
      <c r="Q1462"/>
      <c r="R1462"/>
      <c r="S1462"/>
      <c r="T1462"/>
      <c r="U1462"/>
    </row>
    <row r="1463" spans="3:21" x14ac:dyDescent="0.25">
      <c r="C1463" s="5"/>
    </row>
    <row r="1464" spans="3:21" x14ac:dyDescent="0.25">
      <c r="C1464" s="5"/>
    </row>
    <row r="1465" spans="3:21" x14ac:dyDescent="0.25">
      <c r="C1465" s="5"/>
    </row>
    <row r="1466" spans="3:21" x14ac:dyDescent="0.25">
      <c r="C1466" s="5"/>
    </row>
    <row r="1467" spans="3:21" x14ac:dyDescent="0.25">
      <c r="C1467" s="5"/>
    </row>
    <row r="1468" spans="3:21" x14ac:dyDescent="0.25">
      <c r="C1468" s="5"/>
    </row>
    <row r="1469" spans="3:21" x14ac:dyDescent="0.25">
      <c r="C1469" s="5"/>
    </row>
    <row r="1470" spans="3:21" x14ac:dyDescent="0.25">
      <c r="C1470" s="5"/>
    </row>
    <row r="1471" spans="3:21" x14ac:dyDescent="0.25">
      <c r="C1471" s="5"/>
    </row>
    <row r="1472" spans="3:21" x14ac:dyDescent="0.25">
      <c r="C1472" s="5"/>
      <c r="O1472"/>
      <c r="P1472"/>
      <c r="Q1472"/>
      <c r="R1472"/>
      <c r="S1472"/>
      <c r="T1472"/>
      <c r="U1472"/>
    </row>
    <row r="1473" spans="3:21" x14ac:dyDescent="0.25">
      <c r="C1473" s="5"/>
    </row>
    <row r="1474" spans="3:21" x14ac:dyDescent="0.25">
      <c r="C1474" s="5"/>
    </row>
    <row r="1475" spans="3:21" x14ac:dyDescent="0.25">
      <c r="C1475" s="5"/>
    </row>
    <row r="1476" spans="3:21" x14ac:dyDescent="0.25">
      <c r="C1476" s="5"/>
    </row>
    <row r="1477" spans="3:21" x14ac:dyDescent="0.25">
      <c r="C1477" s="5"/>
    </row>
    <row r="1478" spans="3:21" x14ac:dyDescent="0.25">
      <c r="C1478" s="5"/>
    </row>
    <row r="1479" spans="3:21" x14ac:dyDescent="0.25">
      <c r="C1479" s="5"/>
    </row>
    <row r="1480" spans="3:21" x14ac:dyDescent="0.25">
      <c r="C1480" s="5"/>
    </row>
    <row r="1481" spans="3:21" x14ac:dyDescent="0.25">
      <c r="C1481" s="5"/>
    </row>
    <row r="1482" spans="3:21" x14ac:dyDescent="0.25">
      <c r="C1482" s="5"/>
    </row>
    <row r="1483" spans="3:21" x14ac:dyDescent="0.25">
      <c r="C1483" s="5"/>
    </row>
    <row r="1484" spans="3:21" x14ac:dyDescent="0.25">
      <c r="C1484" s="5"/>
    </row>
    <row r="1485" spans="3:21" x14ac:dyDescent="0.25">
      <c r="C1485" s="5"/>
    </row>
    <row r="1486" spans="3:21" x14ac:dyDescent="0.25">
      <c r="C1486" s="5"/>
    </row>
    <row r="1487" spans="3:21" x14ac:dyDescent="0.25">
      <c r="C1487" s="5"/>
    </row>
    <row r="1488" spans="3:21" x14ac:dyDescent="0.25">
      <c r="C1488" s="5"/>
      <c r="O1488"/>
      <c r="P1488"/>
      <c r="Q1488"/>
      <c r="R1488"/>
      <c r="S1488"/>
      <c r="T1488"/>
      <c r="U1488"/>
    </row>
    <row r="1489" spans="3:21" x14ac:dyDescent="0.25">
      <c r="C1489" s="5"/>
    </row>
    <row r="1490" spans="3:21" x14ac:dyDescent="0.25">
      <c r="C1490" s="5"/>
    </row>
    <row r="1491" spans="3:21" x14ac:dyDescent="0.25">
      <c r="C1491" s="5"/>
    </row>
    <row r="1492" spans="3:21" x14ac:dyDescent="0.25">
      <c r="C1492" s="5"/>
      <c r="O1492"/>
      <c r="P1492"/>
      <c r="Q1492"/>
      <c r="R1492"/>
      <c r="S1492"/>
      <c r="T1492"/>
      <c r="U1492"/>
    </row>
    <row r="1493" spans="3:21" x14ac:dyDescent="0.25">
      <c r="C1493" s="5"/>
    </row>
    <row r="1494" spans="3:21" x14ac:dyDescent="0.25">
      <c r="C1494" s="5"/>
    </row>
    <row r="1495" spans="3:21" x14ac:dyDescent="0.25">
      <c r="C1495" s="5"/>
    </row>
    <row r="1496" spans="3:21" x14ac:dyDescent="0.25">
      <c r="C1496" s="5"/>
    </row>
    <row r="1497" spans="3:21" x14ac:dyDescent="0.25">
      <c r="C1497" s="5"/>
    </row>
    <row r="1498" spans="3:21" x14ac:dyDescent="0.25">
      <c r="C1498" s="5"/>
    </row>
    <row r="1499" spans="3:21" x14ac:dyDescent="0.25">
      <c r="C1499" s="5"/>
    </row>
    <row r="1500" spans="3:21" x14ac:dyDescent="0.25">
      <c r="C1500" s="5"/>
    </row>
    <row r="1501" spans="3:21" x14ac:dyDescent="0.25">
      <c r="C1501" s="5"/>
    </row>
    <row r="1502" spans="3:21" x14ac:dyDescent="0.25">
      <c r="C1502" s="5"/>
    </row>
    <row r="1503" spans="3:21" x14ac:dyDescent="0.25">
      <c r="C1503" s="5"/>
    </row>
    <row r="1504" spans="3:21" x14ac:dyDescent="0.25">
      <c r="C1504" s="5"/>
      <c r="O1504"/>
      <c r="P1504"/>
      <c r="Q1504"/>
      <c r="R1504"/>
      <c r="S1504"/>
      <c r="T1504"/>
      <c r="U1504"/>
    </row>
    <row r="1505" spans="3:21" x14ac:dyDescent="0.25">
      <c r="C1505" s="5"/>
    </row>
    <row r="1506" spans="3:21" x14ac:dyDescent="0.25">
      <c r="C1506" s="5"/>
      <c r="O1506"/>
      <c r="P1506"/>
      <c r="Q1506"/>
      <c r="R1506"/>
      <c r="S1506"/>
      <c r="T1506"/>
      <c r="U1506"/>
    </row>
    <row r="1507" spans="3:21" x14ac:dyDescent="0.25">
      <c r="C1507" s="5"/>
    </row>
    <row r="1508" spans="3:21" x14ac:dyDescent="0.25">
      <c r="C1508" s="5"/>
    </row>
    <row r="1509" spans="3:21" x14ac:dyDescent="0.25">
      <c r="C1509" s="5"/>
    </row>
    <row r="1510" spans="3:21" x14ac:dyDescent="0.25">
      <c r="C1510" s="5"/>
      <c r="O1510"/>
      <c r="P1510"/>
      <c r="Q1510"/>
      <c r="R1510"/>
      <c r="S1510"/>
      <c r="T1510"/>
      <c r="U1510"/>
    </row>
    <row r="1511" spans="3:21" x14ac:dyDescent="0.25">
      <c r="C1511" s="5"/>
    </row>
    <row r="1512" spans="3:21" x14ac:dyDescent="0.25">
      <c r="C1512" s="5"/>
    </row>
    <row r="1513" spans="3:21" x14ac:dyDescent="0.25">
      <c r="C1513" s="5"/>
    </row>
    <row r="1514" spans="3:21" x14ac:dyDescent="0.25">
      <c r="C1514" s="5"/>
    </row>
    <row r="1515" spans="3:21" x14ac:dyDescent="0.25">
      <c r="C1515" s="5"/>
    </row>
    <row r="1516" spans="3:21" x14ac:dyDescent="0.25">
      <c r="C1516" s="5"/>
    </row>
    <row r="1517" spans="3:21" x14ac:dyDescent="0.25">
      <c r="C1517" s="5"/>
    </row>
    <row r="1518" spans="3:21" x14ac:dyDescent="0.25">
      <c r="C1518" s="5"/>
    </row>
    <row r="1519" spans="3:21" x14ac:dyDescent="0.25">
      <c r="C1519" s="5"/>
    </row>
    <row r="1520" spans="3:21" x14ac:dyDescent="0.25">
      <c r="C1520" s="5"/>
    </row>
    <row r="1521" spans="3:21" x14ac:dyDescent="0.25">
      <c r="C1521" s="5"/>
    </row>
    <row r="1522" spans="3:21" x14ac:dyDescent="0.25">
      <c r="C1522" s="5"/>
    </row>
    <row r="1523" spans="3:21" x14ac:dyDescent="0.25">
      <c r="C1523" s="5"/>
      <c r="O1523"/>
      <c r="P1523"/>
      <c r="Q1523"/>
      <c r="R1523"/>
      <c r="S1523"/>
      <c r="T1523"/>
      <c r="U1523"/>
    </row>
    <row r="1524" spans="3:21" x14ac:dyDescent="0.25">
      <c r="C1524" s="5"/>
    </row>
    <row r="1525" spans="3:21" x14ac:dyDescent="0.25">
      <c r="C1525" s="5"/>
    </row>
    <row r="1526" spans="3:21" x14ac:dyDescent="0.25">
      <c r="C1526" s="5"/>
    </row>
    <row r="1527" spans="3:21" x14ac:dyDescent="0.25">
      <c r="C1527" s="5"/>
    </row>
    <row r="1528" spans="3:21" x14ac:dyDescent="0.25">
      <c r="C1528" s="5"/>
    </row>
    <row r="1529" spans="3:21" x14ac:dyDescent="0.25">
      <c r="C1529" s="5"/>
    </row>
    <row r="1530" spans="3:21" x14ac:dyDescent="0.25">
      <c r="C1530" s="5"/>
    </row>
    <row r="1531" spans="3:21" x14ac:dyDescent="0.25">
      <c r="C1531" s="5"/>
    </row>
    <row r="1532" spans="3:21" x14ac:dyDescent="0.25">
      <c r="C1532" s="5"/>
    </row>
    <row r="1533" spans="3:21" x14ac:dyDescent="0.25">
      <c r="C1533" s="5"/>
    </row>
    <row r="1534" spans="3:21" x14ac:dyDescent="0.25">
      <c r="C1534" s="5"/>
    </row>
    <row r="1535" spans="3:21" x14ac:dyDescent="0.25">
      <c r="C1535" s="5"/>
    </row>
    <row r="1536" spans="3:21" x14ac:dyDescent="0.25">
      <c r="C1536" s="5"/>
    </row>
    <row r="1537" spans="3:21" x14ac:dyDescent="0.25">
      <c r="C1537" s="5"/>
    </row>
    <row r="1538" spans="3:21" x14ac:dyDescent="0.25">
      <c r="C1538" s="5"/>
    </row>
    <row r="1539" spans="3:21" x14ac:dyDescent="0.25">
      <c r="C1539" s="5"/>
    </row>
    <row r="1540" spans="3:21" x14ac:dyDescent="0.25">
      <c r="C1540" s="5"/>
    </row>
    <row r="1541" spans="3:21" x14ac:dyDescent="0.25">
      <c r="C1541" s="5"/>
    </row>
    <row r="1542" spans="3:21" x14ac:dyDescent="0.25">
      <c r="C1542" s="5"/>
    </row>
    <row r="1543" spans="3:21" x14ac:dyDescent="0.25">
      <c r="C1543" s="5"/>
      <c r="O1543"/>
      <c r="P1543"/>
      <c r="Q1543"/>
      <c r="R1543"/>
      <c r="S1543"/>
      <c r="T1543"/>
      <c r="U1543"/>
    </row>
    <row r="1544" spans="3:21" x14ac:dyDescent="0.25">
      <c r="C1544" s="5"/>
    </row>
    <row r="1545" spans="3:21" x14ac:dyDescent="0.25">
      <c r="C1545" s="5"/>
    </row>
    <row r="1546" spans="3:21" x14ac:dyDescent="0.25">
      <c r="C1546" s="5"/>
    </row>
    <row r="1547" spans="3:21" x14ac:dyDescent="0.25">
      <c r="C1547" s="5"/>
    </row>
    <row r="1548" spans="3:21" x14ac:dyDescent="0.25">
      <c r="C1548" s="5"/>
    </row>
    <row r="1549" spans="3:21" x14ac:dyDescent="0.25">
      <c r="C1549" s="5"/>
    </row>
    <row r="1550" spans="3:21" x14ac:dyDescent="0.25">
      <c r="C1550" s="5"/>
    </row>
    <row r="1551" spans="3:21" x14ac:dyDescent="0.25">
      <c r="C1551" s="5"/>
    </row>
    <row r="1552" spans="3:21" x14ac:dyDescent="0.25">
      <c r="C1552" s="5"/>
    </row>
    <row r="1553" spans="3:3" x14ac:dyDescent="0.25">
      <c r="C1553" s="5"/>
    </row>
    <row r="1554" spans="3:3" x14ac:dyDescent="0.25">
      <c r="C1554" s="5"/>
    </row>
    <row r="1555" spans="3:3" x14ac:dyDescent="0.25">
      <c r="C1555" s="5"/>
    </row>
    <row r="1556" spans="3:3" x14ac:dyDescent="0.25">
      <c r="C1556" s="5"/>
    </row>
    <row r="1557" spans="3:3" x14ac:dyDescent="0.25">
      <c r="C1557" s="5"/>
    </row>
    <row r="1558" spans="3:3" x14ac:dyDescent="0.25">
      <c r="C1558" s="5"/>
    </row>
    <row r="1559" spans="3:3" x14ac:dyDescent="0.25">
      <c r="C1559" s="5"/>
    </row>
    <row r="1560" spans="3:3" x14ac:dyDescent="0.25">
      <c r="C1560" s="5"/>
    </row>
    <row r="1561" spans="3:3" x14ac:dyDescent="0.25">
      <c r="C1561" s="5"/>
    </row>
    <row r="1562" spans="3:3" x14ac:dyDescent="0.25">
      <c r="C1562" s="5"/>
    </row>
    <row r="1563" spans="3:3" x14ac:dyDescent="0.25">
      <c r="C1563" s="5"/>
    </row>
    <row r="1564" spans="3:3" x14ac:dyDescent="0.25">
      <c r="C1564" s="5"/>
    </row>
    <row r="1565" spans="3:3" x14ac:dyDescent="0.25">
      <c r="C1565" s="5"/>
    </row>
    <row r="1566" spans="3:3" x14ac:dyDescent="0.25">
      <c r="C1566" s="5"/>
    </row>
    <row r="1567" spans="3:3" x14ac:dyDescent="0.25">
      <c r="C1567" s="5"/>
    </row>
    <row r="1568" spans="3:3" x14ac:dyDescent="0.25">
      <c r="C1568" s="5"/>
    </row>
    <row r="1569" spans="3:21" x14ac:dyDescent="0.25">
      <c r="C1569" s="5"/>
    </row>
    <row r="1570" spans="3:21" x14ac:dyDescent="0.25">
      <c r="C1570" s="5"/>
    </row>
    <row r="1571" spans="3:21" x14ac:dyDescent="0.25">
      <c r="C1571" s="5"/>
    </row>
    <row r="1572" spans="3:21" x14ac:dyDescent="0.25">
      <c r="C1572" s="5"/>
    </row>
    <row r="1573" spans="3:21" x14ac:dyDescent="0.25">
      <c r="C1573" s="5"/>
    </row>
    <row r="1574" spans="3:21" x14ac:dyDescent="0.25">
      <c r="C1574" s="5"/>
    </row>
    <row r="1575" spans="3:21" x14ac:dyDescent="0.25">
      <c r="C1575" s="5"/>
    </row>
    <row r="1576" spans="3:21" x14ac:dyDescent="0.25">
      <c r="C1576" s="5"/>
    </row>
    <row r="1577" spans="3:21" x14ac:dyDescent="0.25">
      <c r="C1577" s="5"/>
    </row>
    <row r="1578" spans="3:21" x14ac:dyDescent="0.25">
      <c r="C1578" s="5"/>
    </row>
    <row r="1579" spans="3:21" x14ac:dyDescent="0.25">
      <c r="C1579" s="5"/>
    </row>
    <row r="1580" spans="3:21" x14ac:dyDescent="0.25">
      <c r="C1580" s="5"/>
      <c r="O1580"/>
      <c r="P1580"/>
      <c r="Q1580"/>
      <c r="R1580"/>
      <c r="S1580"/>
      <c r="T1580"/>
      <c r="U1580"/>
    </row>
    <row r="1581" spans="3:21" x14ac:dyDescent="0.25">
      <c r="C1581" s="5"/>
    </row>
    <row r="1582" spans="3:21" x14ac:dyDescent="0.25">
      <c r="C1582" s="5"/>
    </row>
    <row r="1583" spans="3:21" x14ac:dyDescent="0.25">
      <c r="C1583" s="5"/>
    </row>
    <row r="1584" spans="3:21" x14ac:dyDescent="0.25">
      <c r="C1584" s="5"/>
    </row>
    <row r="1585" spans="3:3" x14ac:dyDescent="0.25">
      <c r="C1585" s="5"/>
    </row>
    <row r="1586" spans="3:3" x14ac:dyDescent="0.25">
      <c r="C1586" s="5"/>
    </row>
    <row r="1587" spans="3:3" x14ac:dyDescent="0.25">
      <c r="C1587" s="5"/>
    </row>
    <row r="1588" spans="3:3" x14ac:dyDescent="0.25">
      <c r="C1588" s="5"/>
    </row>
    <row r="1589" spans="3:3" x14ac:dyDescent="0.25">
      <c r="C1589" s="5"/>
    </row>
    <row r="1590" spans="3:3" x14ac:dyDescent="0.25">
      <c r="C1590" s="5"/>
    </row>
    <row r="1591" spans="3:3" x14ac:dyDescent="0.25">
      <c r="C1591" s="5"/>
    </row>
    <row r="1592" spans="3:3" x14ac:dyDescent="0.25">
      <c r="C1592" s="5"/>
    </row>
    <row r="1593" spans="3:3" x14ac:dyDescent="0.25">
      <c r="C1593" s="5"/>
    </row>
    <row r="1594" spans="3:3" x14ac:dyDescent="0.25">
      <c r="C1594" s="5"/>
    </row>
    <row r="1595" spans="3:3" x14ac:dyDescent="0.25">
      <c r="C1595" s="5"/>
    </row>
    <row r="1596" spans="3:3" x14ac:dyDescent="0.25">
      <c r="C1596" s="5"/>
    </row>
    <row r="1597" spans="3:3" x14ac:dyDescent="0.25">
      <c r="C1597" s="5"/>
    </row>
    <row r="1598" spans="3:3" x14ac:dyDescent="0.25">
      <c r="C1598" s="5"/>
    </row>
    <row r="1599" spans="3:3" x14ac:dyDescent="0.25">
      <c r="C1599" s="5"/>
    </row>
    <row r="1600" spans="3:3" x14ac:dyDescent="0.25">
      <c r="C1600" s="5"/>
    </row>
    <row r="1601" spans="3:3" x14ac:dyDescent="0.25">
      <c r="C1601" s="5"/>
    </row>
    <row r="1602" spans="3:3" x14ac:dyDescent="0.25">
      <c r="C1602" s="5"/>
    </row>
    <row r="1603" spans="3:3" x14ac:dyDescent="0.25">
      <c r="C1603" s="5"/>
    </row>
    <row r="1604" spans="3:3" x14ac:dyDescent="0.25">
      <c r="C1604" s="5"/>
    </row>
    <row r="1605" spans="3:3" x14ac:dyDescent="0.25">
      <c r="C1605" s="5"/>
    </row>
    <row r="1606" spans="3:3" x14ac:dyDescent="0.25">
      <c r="C1606" s="5"/>
    </row>
    <row r="1607" spans="3:3" x14ac:dyDescent="0.25">
      <c r="C1607" s="5"/>
    </row>
    <row r="1608" spans="3:3" x14ac:dyDescent="0.25">
      <c r="C1608" s="5"/>
    </row>
    <row r="1609" spans="3:3" x14ac:dyDescent="0.25">
      <c r="C1609" s="5"/>
    </row>
    <row r="1610" spans="3:3" x14ac:dyDescent="0.25">
      <c r="C1610" s="5"/>
    </row>
    <row r="1611" spans="3:3" x14ac:dyDescent="0.25">
      <c r="C1611" s="5"/>
    </row>
    <row r="1612" spans="3:3" x14ac:dyDescent="0.25">
      <c r="C1612" s="5"/>
    </row>
    <row r="1613" spans="3:3" x14ac:dyDescent="0.25">
      <c r="C1613" s="5"/>
    </row>
    <row r="1614" spans="3:3" x14ac:dyDescent="0.25">
      <c r="C1614" s="5"/>
    </row>
    <row r="1615" spans="3:3" x14ac:dyDescent="0.25">
      <c r="C1615" s="5"/>
    </row>
    <row r="1616" spans="3:3" x14ac:dyDescent="0.25">
      <c r="C1616" s="5"/>
    </row>
    <row r="1617" spans="3:3" x14ac:dyDescent="0.25">
      <c r="C1617" s="5"/>
    </row>
    <row r="1618" spans="3:3" x14ac:dyDescent="0.25">
      <c r="C1618" s="5"/>
    </row>
    <row r="1619" spans="3:3" x14ac:dyDescent="0.25">
      <c r="C1619" s="5"/>
    </row>
    <row r="1620" spans="3:3" x14ac:dyDescent="0.25">
      <c r="C1620" s="5"/>
    </row>
    <row r="1621" spans="3:3" x14ac:dyDescent="0.25">
      <c r="C1621" s="5"/>
    </row>
    <row r="1622" spans="3:3" x14ac:dyDescent="0.25">
      <c r="C1622" s="5"/>
    </row>
    <row r="1623" spans="3:3" x14ac:dyDescent="0.25">
      <c r="C1623" s="5"/>
    </row>
    <row r="1624" spans="3:3" x14ac:dyDescent="0.25">
      <c r="C1624" s="5"/>
    </row>
    <row r="1625" spans="3:3" x14ac:dyDescent="0.25">
      <c r="C1625" s="5"/>
    </row>
    <row r="1626" spans="3:3" x14ac:dyDescent="0.25">
      <c r="C1626" s="5"/>
    </row>
    <row r="1627" spans="3:3" x14ac:dyDescent="0.25">
      <c r="C1627" s="5"/>
    </row>
    <row r="1628" spans="3:3" x14ac:dyDescent="0.25">
      <c r="C1628" s="5"/>
    </row>
    <row r="1629" spans="3:3" x14ac:dyDescent="0.25">
      <c r="C1629" s="5"/>
    </row>
    <row r="1630" spans="3:3" x14ac:dyDescent="0.25">
      <c r="C1630" s="5"/>
    </row>
    <row r="1631" spans="3:3" x14ac:dyDescent="0.25">
      <c r="C1631" s="5"/>
    </row>
    <row r="1632" spans="3:3" x14ac:dyDescent="0.25">
      <c r="C1632" s="5"/>
    </row>
    <row r="1633" spans="3:3" x14ac:dyDescent="0.25">
      <c r="C1633" s="5"/>
    </row>
    <row r="1634" spans="3:3" x14ac:dyDescent="0.25">
      <c r="C1634" s="5"/>
    </row>
    <row r="1635" spans="3:3" x14ac:dyDescent="0.25">
      <c r="C1635" s="5"/>
    </row>
    <row r="1636" spans="3:3" x14ac:dyDescent="0.25">
      <c r="C1636" s="5"/>
    </row>
    <row r="1637" spans="3:3" x14ac:dyDescent="0.25">
      <c r="C1637" s="5"/>
    </row>
    <row r="1638" spans="3:3" x14ac:dyDescent="0.25">
      <c r="C1638" s="5"/>
    </row>
    <row r="1639" spans="3:3" x14ac:dyDescent="0.25">
      <c r="C1639" s="5"/>
    </row>
    <row r="1640" spans="3:3" x14ac:dyDescent="0.25">
      <c r="C1640" s="5"/>
    </row>
    <row r="1641" spans="3:3" x14ac:dyDescent="0.25">
      <c r="C1641" s="5"/>
    </row>
    <row r="1642" spans="3:3" x14ac:dyDescent="0.25">
      <c r="C1642" s="5"/>
    </row>
    <row r="1643" spans="3:3" x14ac:dyDescent="0.25">
      <c r="C1643" s="5"/>
    </row>
    <row r="1644" spans="3:3" x14ac:dyDescent="0.25">
      <c r="C1644" s="5"/>
    </row>
    <row r="1645" spans="3:3" x14ac:dyDescent="0.25">
      <c r="C1645" s="5"/>
    </row>
    <row r="1646" spans="3:3" x14ac:dyDescent="0.25">
      <c r="C1646" s="5"/>
    </row>
    <row r="1647" spans="3:3" x14ac:dyDescent="0.25">
      <c r="C1647" s="5"/>
    </row>
    <row r="1648" spans="3:3" x14ac:dyDescent="0.25">
      <c r="C1648" s="5"/>
    </row>
    <row r="1649" spans="3:3" x14ac:dyDescent="0.25">
      <c r="C1649" s="5"/>
    </row>
    <row r="1650" spans="3:3" x14ac:dyDescent="0.25">
      <c r="C1650" s="5"/>
    </row>
    <row r="1651" spans="3:3" x14ac:dyDescent="0.25">
      <c r="C1651" s="5"/>
    </row>
    <row r="1652" spans="3:3" x14ac:dyDescent="0.25">
      <c r="C1652" s="5"/>
    </row>
    <row r="1653" spans="3:3" x14ac:dyDescent="0.25">
      <c r="C1653" s="5"/>
    </row>
    <row r="1654" spans="3:3" x14ac:dyDescent="0.25">
      <c r="C1654" s="5"/>
    </row>
    <row r="1655" spans="3:3" x14ac:dyDescent="0.25">
      <c r="C1655" s="5"/>
    </row>
    <row r="1656" spans="3:3" x14ac:dyDescent="0.25">
      <c r="C1656" s="5"/>
    </row>
    <row r="1657" spans="3:3" x14ac:dyDescent="0.25">
      <c r="C1657" s="5"/>
    </row>
    <row r="1658" spans="3:3" x14ac:dyDescent="0.25">
      <c r="C1658" s="5"/>
    </row>
    <row r="1659" spans="3:3" x14ac:dyDescent="0.25">
      <c r="C1659" s="5"/>
    </row>
    <row r="1660" spans="3:3" x14ac:dyDescent="0.25">
      <c r="C1660" s="5"/>
    </row>
    <row r="1661" spans="3:3" x14ac:dyDescent="0.25">
      <c r="C1661" s="5"/>
    </row>
    <row r="1662" spans="3:3" x14ac:dyDescent="0.25">
      <c r="C1662" s="5"/>
    </row>
    <row r="1663" spans="3:3" x14ac:dyDescent="0.25">
      <c r="C1663" s="5"/>
    </row>
    <row r="1664" spans="3:3" x14ac:dyDescent="0.25">
      <c r="C1664" s="5"/>
    </row>
    <row r="1665" spans="3:3" x14ac:dyDescent="0.25">
      <c r="C1665" s="5"/>
    </row>
    <row r="1666" spans="3:3" x14ac:dyDescent="0.25">
      <c r="C1666" s="5"/>
    </row>
    <row r="1667" spans="3:3" x14ac:dyDescent="0.25">
      <c r="C1667" s="5"/>
    </row>
    <row r="1668" spans="3:3" x14ac:dyDescent="0.25">
      <c r="C1668" s="5"/>
    </row>
    <row r="1669" spans="3:3" x14ac:dyDescent="0.25">
      <c r="C1669" s="5"/>
    </row>
    <row r="1670" spans="3:3" x14ac:dyDescent="0.25">
      <c r="C1670" s="5"/>
    </row>
    <row r="1671" spans="3:3" x14ac:dyDescent="0.25">
      <c r="C1671" s="5"/>
    </row>
    <row r="1672" spans="3:3" x14ac:dyDescent="0.25">
      <c r="C1672" s="5"/>
    </row>
    <row r="1673" spans="3:3" x14ac:dyDescent="0.25">
      <c r="C1673" s="5"/>
    </row>
    <row r="1674" spans="3:3" x14ac:dyDescent="0.25">
      <c r="C1674" s="5"/>
    </row>
    <row r="1675" spans="3:3" x14ac:dyDescent="0.25">
      <c r="C1675" s="5"/>
    </row>
    <row r="1676" spans="3:3" x14ac:dyDescent="0.25">
      <c r="C1676" s="5"/>
    </row>
    <row r="1677" spans="3:3" x14ac:dyDescent="0.25">
      <c r="C1677" s="5"/>
    </row>
    <row r="1678" spans="3:3" x14ac:dyDescent="0.25">
      <c r="C1678" s="5"/>
    </row>
    <row r="1679" spans="3:3" x14ac:dyDescent="0.25">
      <c r="C1679" s="5"/>
    </row>
    <row r="1680" spans="3:3" x14ac:dyDescent="0.25">
      <c r="C1680" s="5"/>
    </row>
    <row r="1681" spans="3:3" x14ac:dyDescent="0.25">
      <c r="C1681" s="5"/>
    </row>
    <row r="1682" spans="3:3" x14ac:dyDescent="0.25">
      <c r="C1682" s="5"/>
    </row>
    <row r="1683" spans="3:3" x14ac:dyDescent="0.25">
      <c r="C1683" s="5"/>
    </row>
    <row r="1684" spans="3:3" x14ac:dyDescent="0.25">
      <c r="C1684" s="5"/>
    </row>
    <row r="1685" spans="3:3" x14ac:dyDescent="0.25">
      <c r="C1685" s="5"/>
    </row>
    <row r="1686" spans="3:3" x14ac:dyDescent="0.25">
      <c r="C1686" s="5"/>
    </row>
    <row r="1687" spans="3:3" x14ac:dyDescent="0.25">
      <c r="C1687" s="5"/>
    </row>
    <row r="1688" spans="3:3" x14ac:dyDescent="0.25">
      <c r="C1688" s="5"/>
    </row>
    <row r="1689" spans="3:3" x14ac:dyDescent="0.25">
      <c r="C1689" s="5"/>
    </row>
    <row r="1690" spans="3:3" x14ac:dyDescent="0.25">
      <c r="C1690" s="5"/>
    </row>
    <row r="1691" spans="3:3" x14ac:dyDescent="0.25">
      <c r="C1691" s="5"/>
    </row>
    <row r="1692" spans="3:3" x14ac:dyDescent="0.25">
      <c r="C1692" s="5"/>
    </row>
    <row r="1693" spans="3:3" x14ac:dyDescent="0.25">
      <c r="C1693" s="5"/>
    </row>
    <row r="1694" spans="3:3" x14ac:dyDescent="0.25">
      <c r="C1694" s="5"/>
    </row>
    <row r="1695" spans="3:3" x14ac:dyDescent="0.25">
      <c r="C1695" s="5"/>
    </row>
    <row r="1696" spans="3:3" x14ac:dyDescent="0.25">
      <c r="C1696" s="5"/>
    </row>
    <row r="1697" spans="3:3" x14ac:dyDescent="0.25">
      <c r="C1697" s="5"/>
    </row>
    <row r="1698" spans="3:3" x14ac:dyDescent="0.25">
      <c r="C1698" s="5"/>
    </row>
    <row r="1699" spans="3:3" x14ac:dyDescent="0.25">
      <c r="C1699" s="5"/>
    </row>
    <row r="1700" spans="3:3" x14ac:dyDescent="0.25">
      <c r="C1700" s="5"/>
    </row>
    <row r="1701" spans="3:3" x14ac:dyDescent="0.25">
      <c r="C1701" s="5"/>
    </row>
    <row r="1702" spans="3:3" x14ac:dyDescent="0.25">
      <c r="C1702" s="5"/>
    </row>
    <row r="1703" spans="3:3" x14ac:dyDescent="0.25">
      <c r="C1703" s="5"/>
    </row>
    <row r="1704" spans="3:3" x14ac:dyDescent="0.25">
      <c r="C1704" s="5"/>
    </row>
    <row r="1705" spans="3:3" x14ac:dyDescent="0.25">
      <c r="C1705" s="5"/>
    </row>
    <row r="1706" spans="3:3" x14ac:dyDescent="0.25">
      <c r="C1706" s="5"/>
    </row>
    <row r="1707" spans="3:3" x14ac:dyDescent="0.25">
      <c r="C1707" s="5"/>
    </row>
    <row r="1708" spans="3:3" x14ac:dyDescent="0.25">
      <c r="C1708" s="5"/>
    </row>
    <row r="1709" spans="3:3" x14ac:dyDescent="0.25">
      <c r="C1709" s="5"/>
    </row>
    <row r="1710" spans="3:3" x14ac:dyDescent="0.25">
      <c r="C1710" s="5"/>
    </row>
    <row r="1711" spans="3:3" x14ac:dyDescent="0.25">
      <c r="C1711" s="5"/>
    </row>
    <row r="1712" spans="3:3" x14ac:dyDescent="0.25">
      <c r="C1712" s="5"/>
    </row>
    <row r="1713" spans="3:3" x14ac:dyDescent="0.25">
      <c r="C1713" s="5"/>
    </row>
    <row r="1714" spans="3:3" x14ac:dyDescent="0.25">
      <c r="C1714" s="5"/>
    </row>
    <row r="1715" spans="3:3" x14ac:dyDescent="0.25">
      <c r="C1715" s="5"/>
    </row>
    <row r="1716" spans="3:3" x14ac:dyDescent="0.25">
      <c r="C1716" s="5"/>
    </row>
    <row r="1717" spans="3:3" x14ac:dyDescent="0.25">
      <c r="C1717" s="5"/>
    </row>
    <row r="1718" spans="3:3" x14ac:dyDescent="0.25">
      <c r="C1718" s="5"/>
    </row>
    <row r="1719" spans="3:3" x14ac:dyDescent="0.25">
      <c r="C1719" s="5"/>
    </row>
    <row r="1720" spans="3:3" x14ac:dyDescent="0.25">
      <c r="C1720" s="5"/>
    </row>
    <row r="1721" spans="3:3" x14ac:dyDescent="0.25">
      <c r="C1721" s="5"/>
    </row>
    <row r="1722" spans="3:3" x14ac:dyDescent="0.25">
      <c r="C1722" s="5"/>
    </row>
    <row r="1723" spans="3:3" x14ac:dyDescent="0.25">
      <c r="C1723" s="5"/>
    </row>
    <row r="1724" spans="3:3" x14ac:dyDescent="0.25">
      <c r="C1724" s="5"/>
    </row>
    <row r="1725" spans="3:3" x14ac:dyDescent="0.25">
      <c r="C1725" s="5"/>
    </row>
    <row r="1726" spans="3:3" x14ac:dyDescent="0.25">
      <c r="C1726" s="5"/>
    </row>
    <row r="1727" spans="3:3" x14ac:dyDescent="0.25">
      <c r="C1727" s="5"/>
    </row>
    <row r="1728" spans="3:3" x14ac:dyDescent="0.25">
      <c r="C1728" s="5"/>
    </row>
    <row r="1729" spans="3:21" x14ac:dyDescent="0.25">
      <c r="C1729" s="5"/>
    </row>
    <row r="1730" spans="3:21" x14ac:dyDescent="0.25">
      <c r="C1730" s="5"/>
    </row>
    <row r="1731" spans="3:21" x14ac:dyDescent="0.25">
      <c r="C1731" s="5"/>
    </row>
    <row r="1732" spans="3:21" x14ac:dyDescent="0.25">
      <c r="C1732" s="5"/>
      <c r="O1732"/>
      <c r="P1732"/>
      <c r="Q1732"/>
      <c r="R1732"/>
      <c r="S1732"/>
      <c r="T1732"/>
      <c r="U1732"/>
    </row>
    <row r="1733" spans="3:21" x14ac:dyDescent="0.25">
      <c r="C1733" s="5"/>
    </row>
    <row r="1734" spans="3:21" x14ac:dyDescent="0.25">
      <c r="C1734" s="5"/>
    </row>
    <row r="1735" spans="3:21" x14ac:dyDescent="0.25">
      <c r="C1735" s="5"/>
    </row>
    <row r="1736" spans="3:21" x14ac:dyDescent="0.25">
      <c r="C1736" s="5"/>
    </row>
    <row r="1737" spans="3:21" x14ac:dyDescent="0.25">
      <c r="C1737" s="5"/>
    </row>
    <row r="1738" spans="3:21" x14ac:dyDescent="0.25">
      <c r="C1738" s="5"/>
    </row>
    <row r="1739" spans="3:21" x14ac:dyDescent="0.25">
      <c r="C1739" s="5"/>
      <c r="O1739"/>
      <c r="P1739"/>
      <c r="Q1739"/>
      <c r="R1739"/>
      <c r="S1739"/>
      <c r="T1739"/>
      <c r="U1739"/>
    </row>
    <row r="1740" spans="3:21" x14ac:dyDescent="0.25">
      <c r="C1740" s="5"/>
    </row>
    <row r="1741" spans="3:21" x14ac:dyDescent="0.25">
      <c r="C1741" s="5"/>
    </row>
    <row r="1742" spans="3:21" x14ac:dyDescent="0.25">
      <c r="C1742" s="5"/>
    </row>
    <row r="1743" spans="3:21" x14ac:dyDescent="0.25">
      <c r="C1743" s="5"/>
    </row>
    <row r="1744" spans="3:21" x14ac:dyDescent="0.25">
      <c r="C1744" s="5"/>
    </row>
    <row r="1745" spans="3:3" x14ac:dyDescent="0.25">
      <c r="C1745" s="5"/>
    </row>
    <row r="1746" spans="3:3" x14ac:dyDescent="0.25">
      <c r="C1746" s="5"/>
    </row>
    <row r="1747" spans="3:3" x14ac:dyDescent="0.25">
      <c r="C1747" s="5"/>
    </row>
    <row r="1748" spans="3:3" x14ac:dyDescent="0.25">
      <c r="C1748" s="5"/>
    </row>
    <row r="1749" spans="3:3" x14ac:dyDescent="0.25">
      <c r="C1749" s="5"/>
    </row>
    <row r="1750" spans="3:3" x14ac:dyDescent="0.25">
      <c r="C1750" s="5"/>
    </row>
    <row r="1751" spans="3:3" x14ac:dyDescent="0.25">
      <c r="C1751" s="5"/>
    </row>
    <row r="1752" spans="3:3" x14ac:dyDescent="0.25">
      <c r="C1752" s="5"/>
    </row>
    <row r="1753" spans="3:3" x14ac:dyDescent="0.25">
      <c r="C1753" s="5"/>
    </row>
    <row r="1754" spans="3:3" x14ac:dyDescent="0.25">
      <c r="C1754" s="5"/>
    </row>
    <row r="1755" spans="3:3" x14ac:dyDescent="0.25">
      <c r="C1755" s="5"/>
    </row>
    <row r="1756" spans="3:3" x14ac:dyDescent="0.25">
      <c r="C1756" s="5"/>
    </row>
    <row r="1757" spans="3:3" x14ac:dyDescent="0.25">
      <c r="C1757" s="5"/>
    </row>
    <row r="1758" spans="3:3" x14ac:dyDescent="0.25">
      <c r="C1758" s="5"/>
    </row>
    <row r="1759" spans="3:3" x14ac:dyDescent="0.25">
      <c r="C1759" s="5"/>
    </row>
    <row r="1760" spans="3:3" x14ac:dyDescent="0.25">
      <c r="C1760" s="5"/>
    </row>
    <row r="1761" spans="3:21" x14ac:dyDescent="0.25">
      <c r="C1761" s="5"/>
    </row>
    <row r="1762" spans="3:21" x14ac:dyDescent="0.25">
      <c r="C1762" s="5"/>
    </row>
    <row r="1763" spans="3:21" x14ac:dyDescent="0.25">
      <c r="C1763" s="5"/>
    </row>
    <row r="1764" spans="3:21" x14ac:dyDescent="0.25">
      <c r="C1764" s="5"/>
    </row>
    <row r="1765" spans="3:21" x14ac:dyDescent="0.25">
      <c r="C1765" s="5"/>
    </row>
    <row r="1766" spans="3:21" x14ac:dyDescent="0.25">
      <c r="C1766" s="5"/>
    </row>
    <row r="1767" spans="3:21" x14ac:dyDescent="0.25">
      <c r="C1767" s="5"/>
    </row>
    <row r="1768" spans="3:21" x14ac:dyDescent="0.25">
      <c r="C1768" s="5"/>
    </row>
    <row r="1769" spans="3:21" x14ac:dyDescent="0.25">
      <c r="C1769" s="5"/>
    </row>
    <row r="1770" spans="3:21" x14ac:dyDescent="0.25">
      <c r="C1770" s="5"/>
    </row>
    <row r="1771" spans="3:21" x14ac:dyDescent="0.25">
      <c r="C1771" s="5"/>
    </row>
    <row r="1772" spans="3:21" x14ac:dyDescent="0.25">
      <c r="C1772" s="5"/>
    </row>
    <row r="1773" spans="3:21" x14ac:dyDescent="0.25">
      <c r="C1773" s="5"/>
    </row>
    <row r="1774" spans="3:21" x14ac:dyDescent="0.25">
      <c r="C1774" s="5"/>
    </row>
    <row r="1775" spans="3:21" x14ac:dyDescent="0.25">
      <c r="C1775" s="5"/>
      <c r="O1775"/>
      <c r="P1775"/>
      <c r="Q1775"/>
      <c r="R1775"/>
      <c r="S1775"/>
      <c r="T1775"/>
      <c r="U1775"/>
    </row>
    <row r="1776" spans="3:21" x14ac:dyDescent="0.25">
      <c r="C1776" s="5"/>
    </row>
    <row r="1777" spans="3:21" x14ac:dyDescent="0.25">
      <c r="C1777" s="5"/>
    </row>
    <row r="1778" spans="3:21" x14ac:dyDescent="0.25">
      <c r="C1778" s="5"/>
    </row>
    <row r="1779" spans="3:21" x14ac:dyDescent="0.25">
      <c r="C1779" s="5"/>
    </row>
    <row r="1780" spans="3:21" x14ac:dyDescent="0.25">
      <c r="C1780" s="5"/>
    </row>
    <row r="1781" spans="3:21" x14ac:dyDescent="0.25">
      <c r="C1781" s="5"/>
    </row>
    <row r="1782" spans="3:21" x14ac:dyDescent="0.25">
      <c r="C1782" s="5"/>
    </row>
    <row r="1783" spans="3:21" x14ac:dyDescent="0.25">
      <c r="C1783" s="5"/>
    </row>
    <row r="1784" spans="3:21" x14ac:dyDescent="0.25">
      <c r="C1784" s="5"/>
    </row>
    <row r="1785" spans="3:21" x14ac:dyDescent="0.25">
      <c r="C1785" s="5"/>
    </row>
    <row r="1786" spans="3:21" x14ac:dyDescent="0.25">
      <c r="C1786" s="5"/>
    </row>
    <row r="1787" spans="3:21" x14ac:dyDescent="0.25">
      <c r="C1787" s="5"/>
    </row>
    <row r="1788" spans="3:21" x14ac:dyDescent="0.25">
      <c r="C1788" s="5"/>
    </row>
    <row r="1789" spans="3:21" x14ac:dyDescent="0.25">
      <c r="C1789" s="5"/>
      <c r="O1789"/>
      <c r="P1789"/>
      <c r="Q1789"/>
      <c r="R1789"/>
      <c r="S1789"/>
      <c r="T1789"/>
      <c r="U1789"/>
    </row>
    <row r="1790" spans="3:21" x14ac:dyDescent="0.25">
      <c r="C1790" s="5"/>
    </row>
    <row r="1791" spans="3:21" x14ac:dyDescent="0.25">
      <c r="C1791" s="5"/>
    </row>
    <row r="1792" spans="3:21" x14ac:dyDescent="0.25">
      <c r="C1792" s="5"/>
    </row>
    <row r="1793" spans="3:21" x14ac:dyDescent="0.25">
      <c r="C1793" s="5"/>
    </row>
    <row r="1794" spans="3:21" x14ac:dyDescent="0.25">
      <c r="C1794" s="5"/>
    </row>
    <row r="1795" spans="3:21" x14ac:dyDescent="0.25">
      <c r="C1795" s="5"/>
    </row>
    <row r="1796" spans="3:21" x14ac:dyDescent="0.25">
      <c r="C1796" s="5"/>
    </row>
    <row r="1797" spans="3:21" x14ac:dyDescent="0.25">
      <c r="C1797" s="5"/>
    </row>
    <row r="1798" spans="3:21" x14ac:dyDescent="0.25">
      <c r="C1798" s="5"/>
    </row>
    <row r="1799" spans="3:21" x14ac:dyDescent="0.25">
      <c r="C1799" s="5"/>
    </row>
    <row r="1800" spans="3:21" x14ac:dyDescent="0.25">
      <c r="C1800" s="5"/>
      <c r="O1800"/>
      <c r="P1800"/>
      <c r="Q1800"/>
      <c r="R1800"/>
      <c r="S1800"/>
      <c r="T1800"/>
      <c r="U1800"/>
    </row>
    <row r="1801" spans="3:21" x14ac:dyDescent="0.25">
      <c r="C1801" s="5"/>
    </row>
    <row r="1802" spans="3:21" x14ac:dyDescent="0.25">
      <c r="C1802" s="5"/>
    </row>
    <row r="1803" spans="3:21" x14ac:dyDescent="0.25">
      <c r="C1803" s="5"/>
    </row>
    <row r="1804" spans="3:21" x14ac:dyDescent="0.25">
      <c r="C1804" s="5"/>
    </row>
    <row r="1805" spans="3:21" x14ac:dyDescent="0.25">
      <c r="C1805" s="5"/>
    </row>
    <row r="1806" spans="3:21" x14ac:dyDescent="0.25">
      <c r="C1806" s="5"/>
    </row>
    <row r="1807" spans="3:21" x14ac:dyDescent="0.25">
      <c r="C1807" s="5"/>
    </row>
    <row r="1808" spans="3:21" x14ac:dyDescent="0.25">
      <c r="C1808" s="5"/>
    </row>
    <row r="1809" spans="3:21" x14ac:dyDescent="0.25">
      <c r="C1809" s="5"/>
      <c r="O1809"/>
      <c r="P1809"/>
      <c r="Q1809"/>
      <c r="R1809"/>
      <c r="S1809"/>
      <c r="T1809"/>
      <c r="U1809"/>
    </row>
    <row r="1810" spans="3:21" x14ac:dyDescent="0.25">
      <c r="C1810" s="5"/>
    </row>
    <row r="1811" spans="3:21" x14ac:dyDescent="0.25">
      <c r="C1811" s="5"/>
    </row>
    <row r="1812" spans="3:21" x14ac:dyDescent="0.25">
      <c r="C1812" s="5"/>
    </row>
    <row r="1813" spans="3:21" x14ac:dyDescent="0.25">
      <c r="C1813" s="5"/>
    </row>
    <row r="1814" spans="3:21" x14ac:dyDescent="0.25">
      <c r="C1814" s="5"/>
    </row>
    <row r="1815" spans="3:21" x14ac:dyDescent="0.25">
      <c r="C1815" s="5"/>
    </row>
    <row r="1816" spans="3:21" x14ac:dyDescent="0.25">
      <c r="C1816" s="5"/>
    </row>
    <row r="1817" spans="3:21" x14ac:dyDescent="0.25">
      <c r="C1817" s="5"/>
    </row>
    <row r="1818" spans="3:21" x14ac:dyDescent="0.25">
      <c r="C1818" s="5"/>
    </row>
    <row r="1819" spans="3:21" x14ac:dyDescent="0.25">
      <c r="C1819" s="5"/>
      <c r="O1819"/>
      <c r="P1819"/>
      <c r="Q1819"/>
      <c r="R1819"/>
      <c r="S1819"/>
      <c r="T1819"/>
      <c r="U1819"/>
    </row>
    <row r="1820" spans="3:21" x14ac:dyDescent="0.25">
      <c r="C1820" s="5"/>
    </row>
    <row r="1821" spans="3:21" x14ac:dyDescent="0.25">
      <c r="C1821" s="5"/>
    </row>
    <row r="1822" spans="3:21" x14ac:dyDescent="0.25">
      <c r="C1822" s="5"/>
    </row>
    <row r="1823" spans="3:21" x14ac:dyDescent="0.25">
      <c r="C1823" s="5"/>
    </row>
    <row r="1824" spans="3:21" x14ac:dyDescent="0.25">
      <c r="C1824" s="5"/>
    </row>
    <row r="1825" spans="3:3" x14ac:dyDescent="0.25">
      <c r="C1825" s="5"/>
    </row>
    <row r="1826" spans="3:3" x14ac:dyDescent="0.25">
      <c r="C1826" s="5"/>
    </row>
    <row r="1827" spans="3:3" x14ac:dyDescent="0.25">
      <c r="C1827" s="5"/>
    </row>
    <row r="1828" spans="3:3" x14ac:dyDescent="0.25">
      <c r="C1828" s="5"/>
    </row>
    <row r="1829" spans="3:3" x14ac:dyDescent="0.25">
      <c r="C1829" s="5"/>
    </row>
    <row r="1830" spans="3:3" x14ac:dyDescent="0.25">
      <c r="C1830" s="5"/>
    </row>
    <row r="1831" spans="3:3" x14ac:dyDescent="0.25">
      <c r="C1831" s="5"/>
    </row>
    <row r="1832" spans="3:3" x14ac:dyDescent="0.25">
      <c r="C1832" s="5"/>
    </row>
    <row r="1833" spans="3:3" x14ac:dyDescent="0.25">
      <c r="C1833" s="5"/>
    </row>
    <row r="1834" spans="3:3" x14ac:dyDescent="0.25">
      <c r="C1834" s="5"/>
    </row>
    <row r="1835" spans="3:3" x14ac:dyDescent="0.25">
      <c r="C1835" s="5"/>
    </row>
    <row r="1836" spans="3:3" x14ac:dyDescent="0.25">
      <c r="C1836" s="5"/>
    </row>
    <row r="1837" spans="3:3" x14ac:dyDescent="0.25">
      <c r="C1837" s="5"/>
    </row>
    <row r="1838" spans="3:3" x14ac:dyDescent="0.25">
      <c r="C1838" s="5"/>
    </row>
    <row r="1839" spans="3:3" x14ac:dyDescent="0.25">
      <c r="C1839" s="5"/>
    </row>
    <row r="1840" spans="3:3" x14ac:dyDescent="0.25">
      <c r="C1840" s="5"/>
    </row>
    <row r="1841" spans="3:3" x14ac:dyDescent="0.25">
      <c r="C1841" s="5"/>
    </row>
    <row r="1842" spans="3:3" x14ac:dyDescent="0.25">
      <c r="C1842" s="5"/>
    </row>
    <row r="1843" spans="3:3" x14ac:dyDescent="0.25">
      <c r="C1843" s="5"/>
    </row>
    <row r="1844" spans="3:3" x14ac:dyDescent="0.25">
      <c r="C1844" s="5"/>
    </row>
    <row r="1845" spans="3:3" x14ac:dyDescent="0.25">
      <c r="C1845" s="5"/>
    </row>
    <row r="1846" spans="3:3" x14ac:dyDescent="0.25">
      <c r="C1846" s="5"/>
    </row>
    <row r="1847" spans="3:3" x14ac:dyDescent="0.25">
      <c r="C1847" s="5"/>
    </row>
    <row r="1848" spans="3:3" x14ac:dyDescent="0.25">
      <c r="C1848" s="5"/>
    </row>
    <row r="1849" spans="3:3" x14ac:dyDescent="0.25">
      <c r="C1849" s="5"/>
    </row>
    <row r="1850" spans="3:3" x14ac:dyDescent="0.25">
      <c r="C1850" s="5"/>
    </row>
    <row r="1851" spans="3:3" x14ac:dyDescent="0.25">
      <c r="C1851" s="5"/>
    </row>
    <row r="1852" spans="3:3" x14ac:dyDescent="0.25">
      <c r="C1852" s="5"/>
    </row>
    <row r="1853" spans="3:3" x14ac:dyDescent="0.25">
      <c r="C1853" s="5"/>
    </row>
    <row r="1854" spans="3:3" x14ac:dyDescent="0.25">
      <c r="C1854" s="5"/>
    </row>
    <row r="1855" spans="3:3" x14ac:dyDescent="0.25">
      <c r="C1855" s="5"/>
    </row>
    <row r="1856" spans="3:3" x14ac:dyDescent="0.25">
      <c r="C1856" s="5"/>
    </row>
    <row r="1857" spans="3:3" x14ac:dyDescent="0.25">
      <c r="C1857" s="5"/>
    </row>
    <row r="1858" spans="3:3" x14ac:dyDescent="0.25">
      <c r="C1858" s="5"/>
    </row>
    <row r="1859" spans="3:3" x14ac:dyDescent="0.25">
      <c r="C1859" s="5"/>
    </row>
    <row r="1860" spans="3:3" x14ac:dyDescent="0.25">
      <c r="C1860" s="5"/>
    </row>
    <row r="1861" spans="3:3" x14ac:dyDescent="0.25">
      <c r="C1861" s="5"/>
    </row>
    <row r="1862" spans="3:3" x14ac:dyDescent="0.25">
      <c r="C1862" s="5"/>
    </row>
    <row r="1863" spans="3:3" x14ac:dyDescent="0.25">
      <c r="C1863" s="5"/>
    </row>
    <row r="1864" spans="3:3" x14ac:dyDescent="0.25">
      <c r="C1864" s="5"/>
    </row>
    <row r="1865" spans="3:3" x14ac:dyDescent="0.25">
      <c r="C1865" s="5"/>
    </row>
    <row r="1866" spans="3:3" x14ac:dyDescent="0.25">
      <c r="C1866" s="5"/>
    </row>
    <row r="1867" spans="3:3" x14ac:dyDescent="0.25">
      <c r="C1867" s="5"/>
    </row>
    <row r="1868" spans="3:3" x14ac:dyDescent="0.25">
      <c r="C1868" s="5"/>
    </row>
    <row r="1869" spans="3:3" x14ac:dyDescent="0.25">
      <c r="C1869" s="5"/>
    </row>
    <row r="1870" spans="3:3" x14ac:dyDescent="0.25">
      <c r="C1870" s="5"/>
    </row>
    <row r="1871" spans="3:3" x14ac:dyDescent="0.25">
      <c r="C1871" s="5"/>
    </row>
    <row r="1872" spans="3:3" x14ac:dyDescent="0.25">
      <c r="C1872" s="5"/>
    </row>
    <row r="1873" spans="3:3" x14ac:dyDescent="0.25">
      <c r="C1873" s="5"/>
    </row>
    <row r="1874" spans="3:3" x14ac:dyDescent="0.25">
      <c r="C1874" s="5"/>
    </row>
    <row r="1875" spans="3:3" x14ac:dyDescent="0.25">
      <c r="C1875" s="5"/>
    </row>
    <row r="1876" spans="3:3" x14ac:dyDescent="0.25">
      <c r="C1876" s="5"/>
    </row>
    <row r="1877" spans="3:3" x14ac:dyDescent="0.25">
      <c r="C1877" s="5"/>
    </row>
    <row r="1878" spans="3:3" x14ac:dyDescent="0.25">
      <c r="C1878" s="5"/>
    </row>
    <row r="1879" spans="3:3" x14ac:dyDescent="0.25">
      <c r="C1879" s="5"/>
    </row>
    <row r="1880" spans="3:3" x14ac:dyDescent="0.25">
      <c r="C1880" s="5"/>
    </row>
    <row r="1881" spans="3:3" x14ac:dyDescent="0.25">
      <c r="C1881" s="5"/>
    </row>
    <row r="1882" spans="3:3" x14ac:dyDescent="0.25">
      <c r="C1882" s="5"/>
    </row>
    <row r="1883" spans="3:3" x14ac:dyDescent="0.25">
      <c r="C1883" s="5"/>
    </row>
    <row r="1884" spans="3:3" x14ac:dyDescent="0.25">
      <c r="C1884" s="5"/>
    </row>
    <row r="1885" spans="3:3" x14ac:dyDescent="0.25">
      <c r="C1885" s="5"/>
    </row>
    <row r="1886" spans="3:3" x14ac:dyDescent="0.25">
      <c r="C1886" s="5"/>
    </row>
    <row r="1887" spans="3:3" x14ac:dyDescent="0.25">
      <c r="C1887" s="5"/>
    </row>
    <row r="1888" spans="3:3" x14ac:dyDescent="0.25">
      <c r="C1888" s="5"/>
    </row>
    <row r="1889" spans="3:3" x14ac:dyDescent="0.25">
      <c r="C1889" s="5"/>
    </row>
    <row r="1890" spans="3:3" x14ac:dyDescent="0.25">
      <c r="C1890" s="5"/>
    </row>
    <row r="1891" spans="3:3" x14ac:dyDescent="0.25">
      <c r="C1891" s="5"/>
    </row>
    <row r="1892" spans="3:3" x14ac:dyDescent="0.25">
      <c r="C1892" s="5"/>
    </row>
    <row r="1893" spans="3:3" x14ac:dyDescent="0.25">
      <c r="C1893" s="5"/>
    </row>
    <row r="1894" spans="3:3" x14ac:dyDescent="0.25">
      <c r="C1894" s="5"/>
    </row>
    <row r="1895" spans="3:3" x14ac:dyDescent="0.25">
      <c r="C1895" s="5"/>
    </row>
    <row r="1896" spans="3:3" x14ac:dyDescent="0.25">
      <c r="C1896" s="5"/>
    </row>
    <row r="1897" spans="3:3" x14ac:dyDescent="0.25">
      <c r="C1897" s="5"/>
    </row>
    <row r="1898" spans="3:3" x14ac:dyDescent="0.25">
      <c r="C1898" s="5"/>
    </row>
    <row r="1899" spans="3:3" x14ac:dyDescent="0.25">
      <c r="C1899" s="5"/>
    </row>
    <row r="1900" spans="3:3" x14ac:dyDescent="0.25">
      <c r="C1900" s="5"/>
    </row>
    <row r="1901" spans="3:3" x14ac:dyDescent="0.25">
      <c r="C1901" s="5"/>
    </row>
    <row r="1902" spans="3:3" x14ac:dyDescent="0.25">
      <c r="C1902" s="5"/>
    </row>
    <row r="1903" spans="3:3" x14ac:dyDescent="0.25">
      <c r="C1903" s="5"/>
    </row>
    <row r="1904" spans="3:3" x14ac:dyDescent="0.25">
      <c r="C1904" s="5"/>
    </row>
    <row r="1905" spans="3:3" x14ac:dyDescent="0.25">
      <c r="C1905" s="5"/>
    </row>
    <row r="1906" spans="3:3" x14ac:dyDescent="0.25">
      <c r="C1906" s="5"/>
    </row>
    <row r="1907" spans="3:3" x14ac:dyDescent="0.25">
      <c r="C1907" s="5"/>
    </row>
    <row r="1908" spans="3:3" x14ac:dyDescent="0.25">
      <c r="C1908" s="5"/>
    </row>
    <row r="1909" spans="3:3" x14ac:dyDescent="0.25">
      <c r="C1909" s="5"/>
    </row>
    <row r="1910" spans="3:3" x14ac:dyDescent="0.25">
      <c r="C1910" s="5"/>
    </row>
    <row r="1911" spans="3:3" x14ac:dyDescent="0.25">
      <c r="C1911" s="5"/>
    </row>
    <row r="1912" spans="3:3" x14ac:dyDescent="0.25">
      <c r="C1912" s="5"/>
    </row>
    <row r="1913" spans="3:3" x14ac:dyDescent="0.25">
      <c r="C1913" s="5"/>
    </row>
    <row r="1914" spans="3:3" x14ac:dyDescent="0.25">
      <c r="C1914" s="5"/>
    </row>
    <row r="1915" spans="3:3" x14ac:dyDescent="0.25">
      <c r="C1915" s="5"/>
    </row>
    <row r="1916" spans="3:3" x14ac:dyDescent="0.25">
      <c r="C1916" s="5"/>
    </row>
    <row r="1917" spans="3:3" x14ac:dyDescent="0.25">
      <c r="C1917" s="5"/>
    </row>
    <row r="1918" spans="3:3" x14ac:dyDescent="0.25">
      <c r="C1918" s="5"/>
    </row>
    <row r="1919" spans="3:3" x14ac:dyDescent="0.25">
      <c r="C1919" s="5"/>
    </row>
    <row r="1920" spans="3:3" x14ac:dyDescent="0.25">
      <c r="C1920" s="5"/>
    </row>
    <row r="1921" spans="3:3" x14ac:dyDescent="0.25">
      <c r="C1921" s="5"/>
    </row>
    <row r="1922" spans="3:3" x14ac:dyDescent="0.25">
      <c r="C1922" s="5"/>
    </row>
    <row r="1923" spans="3:3" x14ac:dyDescent="0.25">
      <c r="C1923" s="5"/>
    </row>
    <row r="1924" spans="3:3" x14ac:dyDescent="0.25">
      <c r="C1924" s="5"/>
    </row>
    <row r="1925" spans="3:3" x14ac:dyDescent="0.25">
      <c r="C1925" s="5"/>
    </row>
    <row r="1926" spans="3:3" x14ac:dyDescent="0.25">
      <c r="C1926" s="5"/>
    </row>
    <row r="1927" spans="3:3" x14ac:dyDescent="0.25">
      <c r="C1927" s="5"/>
    </row>
    <row r="1928" spans="3:3" x14ac:dyDescent="0.25">
      <c r="C1928" s="5"/>
    </row>
    <row r="1929" spans="3:3" x14ac:dyDescent="0.25">
      <c r="C1929" s="5"/>
    </row>
    <row r="1930" spans="3:3" x14ac:dyDescent="0.25">
      <c r="C1930" s="5"/>
    </row>
    <row r="1931" spans="3:3" x14ac:dyDescent="0.25">
      <c r="C1931" s="5"/>
    </row>
    <row r="1932" spans="3:3" x14ac:dyDescent="0.25">
      <c r="C1932" s="5"/>
    </row>
    <row r="1933" spans="3:3" x14ac:dyDescent="0.25">
      <c r="C1933" s="5"/>
    </row>
    <row r="1934" spans="3:3" x14ac:dyDescent="0.25">
      <c r="C1934" s="5"/>
    </row>
    <row r="1935" spans="3:3" x14ac:dyDescent="0.25">
      <c r="C1935" s="5"/>
    </row>
    <row r="1936" spans="3:3" x14ac:dyDescent="0.25">
      <c r="C1936" s="5"/>
    </row>
    <row r="1937" spans="3:3" x14ac:dyDescent="0.25">
      <c r="C1937" s="5"/>
    </row>
    <row r="1938" spans="3:3" x14ac:dyDescent="0.25">
      <c r="C1938" s="5"/>
    </row>
    <row r="1939" spans="3:3" x14ac:dyDescent="0.25">
      <c r="C1939" s="5"/>
    </row>
    <row r="1940" spans="3:3" x14ac:dyDescent="0.25">
      <c r="C1940" s="5"/>
    </row>
    <row r="1941" spans="3:3" x14ac:dyDescent="0.25">
      <c r="C1941" s="5"/>
    </row>
    <row r="1942" spans="3:3" x14ac:dyDescent="0.25">
      <c r="C1942" s="5"/>
    </row>
    <row r="1943" spans="3:3" x14ac:dyDescent="0.25">
      <c r="C1943" s="5"/>
    </row>
    <row r="1944" spans="3:3" x14ac:dyDescent="0.25">
      <c r="C1944" s="5"/>
    </row>
    <row r="1945" spans="3:3" x14ac:dyDescent="0.25">
      <c r="C1945" s="5"/>
    </row>
    <row r="1946" spans="3:3" x14ac:dyDescent="0.25">
      <c r="C1946" s="5"/>
    </row>
    <row r="1947" spans="3:3" x14ac:dyDescent="0.25">
      <c r="C1947" s="5"/>
    </row>
    <row r="1948" spans="3:3" x14ac:dyDescent="0.25">
      <c r="C1948" s="5"/>
    </row>
    <row r="1949" spans="3:3" x14ac:dyDescent="0.25">
      <c r="C1949" s="5"/>
    </row>
    <row r="1950" spans="3:3" x14ac:dyDescent="0.25">
      <c r="C1950" s="5"/>
    </row>
    <row r="1951" spans="3:3" x14ac:dyDescent="0.25">
      <c r="C1951" s="5"/>
    </row>
    <row r="1952" spans="3:3" x14ac:dyDescent="0.25">
      <c r="C1952" s="5"/>
    </row>
    <row r="1953" spans="3:3" x14ac:dyDescent="0.25">
      <c r="C1953" s="5"/>
    </row>
    <row r="1954" spans="3:3" x14ac:dyDescent="0.25">
      <c r="C1954" s="5"/>
    </row>
    <row r="1955" spans="3:3" x14ac:dyDescent="0.25">
      <c r="C1955" s="5"/>
    </row>
    <row r="1956" spans="3:3" x14ac:dyDescent="0.25">
      <c r="C1956" s="5"/>
    </row>
    <row r="1957" spans="3:3" x14ac:dyDescent="0.25">
      <c r="C1957" s="5"/>
    </row>
    <row r="1958" spans="3:3" x14ac:dyDescent="0.25">
      <c r="C1958" s="5"/>
    </row>
    <row r="1959" spans="3:3" x14ac:dyDescent="0.25">
      <c r="C1959" s="5"/>
    </row>
    <row r="1960" spans="3:3" x14ac:dyDescent="0.25">
      <c r="C1960" s="5"/>
    </row>
    <row r="1961" spans="3:3" x14ac:dyDescent="0.25">
      <c r="C1961" s="5"/>
    </row>
    <row r="1962" spans="3:3" x14ac:dyDescent="0.25">
      <c r="C1962" s="5"/>
    </row>
    <row r="1963" spans="3:3" x14ac:dyDescent="0.25">
      <c r="C1963" s="5"/>
    </row>
    <row r="1964" spans="3:3" x14ac:dyDescent="0.25">
      <c r="C1964" s="5"/>
    </row>
    <row r="1965" spans="3:3" x14ac:dyDescent="0.25">
      <c r="C1965" s="5"/>
    </row>
    <row r="1966" spans="3:3" x14ac:dyDescent="0.25">
      <c r="C1966" s="5"/>
    </row>
    <row r="1967" spans="3:3" x14ac:dyDescent="0.25">
      <c r="C1967" s="5"/>
    </row>
    <row r="1968" spans="3:3" x14ac:dyDescent="0.25">
      <c r="C1968" s="5"/>
    </row>
    <row r="1969" spans="3:3" x14ac:dyDescent="0.25">
      <c r="C1969" s="5"/>
    </row>
    <row r="1970" spans="3:3" x14ac:dyDescent="0.25">
      <c r="C1970" s="5"/>
    </row>
    <row r="1971" spans="3:3" x14ac:dyDescent="0.25">
      <c r="C1971" s="5"/>
    </row>
    <row r="1972" spans="3:3" x14ac:dyDescent="0.25">
      <c r="C1972" s="5"/>
    </row>
    <row r="1973" spans="3:3" x14ac:dyDescent="0.25">
      <c r="C1973" s="5"/>
    </row>
    <row r="1974" spans="3:3" x14ac:dyDescent="0.25">
      <c r="C1974" s="5"/>
    </row>
    <row r="1975" spans="3:3" x14ac:dyDescent="0.25">
      <c r="C1975" s="5"/>
    </row>
    <row r="1976" spans="3:3" x14ac:dyDescent="0.25">
      <c r="C1976" s="5"/>
    </row>
    <row r="1977" spans="3:3" x14ac:dyDescent="0.25">
      <c r="C1977" s="5"/>
    </row>
    <row r="1978" spans="3:3" x14ac:dyDescent="0.25">
      <c r="C1978" s="5"/>
    </row>
    <row r="1979" spans="3:3" x14ac:dyDescent="0.25">
      <c r="C1979" s="5"/>
    </row>
    <row r="1980" spans="3:3" x14ac:dyDescent="0.25">
      <c r="C1980" s="5"/>
    </row>
    <row r="1981" spans="3:3" x14ac:dyDescent="0.25">
      <c r="C1981" s="5"/>
    </row>
    <row r="1982" spans="3:3" x14ac:dyDescent="0.25">
      <c r="C1982" s="5"/>
    </row>
    <row r="1983" spans="3:3" x14ac:dyDescent="0.25">
      <c r="C1983" s="5"/>
    </row>
    <row r="1984" spans="3:3" x14ac:dyDescent="0.25">
      <c r="C1984" s="5"/>
    </row>
    <row r="1985" spans="3:3" x14ac:dyDescent="0.25">
      <c r="C1985" s="5"/>
    </row>
    <row r="1986" spans="3:3" x14ac:dyDescent="0.25">
      <c r="C1986" s="5"/>
    </row>
    <row r="1987" spans="3:3" x14ac:dyDescent="0.25">
      <c r="C1987" s="5"/>
    </row>
    <row r="1988" spans="3:3" x14ac:dyDescent="0.25">
      <c r="C1988" s="5"/>
    </row>
    <row r="1989" spans="3:3" x14ac:dyDescent="0.25">
      <c r="C1989" s="5"/>
    </row>
    <row r="1990" spans="3:3" x14ac:dyDescent="0.25">
      <c r="C1990" s="5"/>
    </row>
    <row r="1991" spans="3:3" x14ac:dyDescent="0.25">
      <c r="C1991" s="5"/>
    </row>
    <row r="1992" spans="3:3" x14ac:dyDescent="0.25">
      <c r="C1992" s="5"/>
    </row>
    <row r="1993" spans="3:3" x14ac:dyDescent="0.25">
      <c r="C1993" s="5"/>
    </row>
    <row r="1994" spans="3:3" x14ac:dyDescent="0.25">
      <c r="C1994" s="5"/>
    </row>
    <row r="1995" spans="3:3" x14ac:dyDescent="0.25">
      <c r="C1995" s="5"/>
    </row>
    <row r="1996" spans="3:3" x14ac:dyDescent="0.25">
      <c r="C1996" s="5"/>
    </row>
    <row r="1997" spans="3:3" x14ac:dyDescent="0.25">
      <c r="C1997" s="5"/>
    </row>
    <row r="1998" spans="3:3" x14ac:dyDescent="0.25">
      <c r="C1998" s="5"/>
    </row>
    <row r="1999" spans="3:3" x14ac:dyDescent="0.25">
      <c r="C1999" s="5"/>
    </row>
    <row r="2000" spans="3:3" x14ac:dyDescent="0.25">
      <c r="C2000" s="5"/>
    </row>
    <row r="2001" spans="3:21" x14ac:dyDescent="0.25">
      <c r="C2001" s="5"/>
    </row>
    <row r="2002" spans="3:21" x14ac:dyDescent="0.25">
      <c r="C2002" s="5"/>
    </row>
    <row r="2003" spans="3:21" x14ac:dyDescent="0.25">
      <c r="C2003" s="5"/>
    </row>
    <row r="2004" spans="3:21" x14ac:dyDescent="0.25">
      <c r="C2004" s="5"/>
    </row>
    <row r="2005" spans="3:21" x14ac:dyDescent="0.25">
      <c r="C2005" s="5"/>
    </row>
    <row r="2006" spans="3:21" x14ac:dyDescent="0.25">
      <c r="C2006" s="5"/>
    </row>
    <row r="2007" spans="3:21" x14ac:dyDescent="0.25">
      <c r="C2007" s="5"/>
    </row>
    <row r="2008" spans="3:21" x14ac:dyDescent="0.25">
      <c r="C2008" s="5"/>
    </row>
    <row r="2009" spans="3:21" x14ac:dyDescent="0.25">
      <c r="C2009" s="5"/>
    </row>
    <row r="2010" spans="3:21" x14ac:dyDescent="0.25">
      <c r="C2010" s="5"/>
    </row>
    <row r="2011" spans="3:21" x14ac:dyDescent="0.25">
      <c r="C2011" s="5"/>
    </row>
    <row r="2012" spans="3:21" x14ac:dyDescent="0.25">
      <c r="C2012" s="5"/>
    </row>
    <row r="2013" spans="3:21" x14ac:dyDescent="0.25">
      <c r="C2013" s="5"/>
      <c r="O2013"/>
      <c r="P2013"/>
      <c r="Q2013"/>
      <c r="R2013"/>
      <c r="S2013"/>
      <c r="T2013"/>
      <c r="U2013"/>
    </row>
    <row r="2014" spans="3:21" x14ac:dyDescent="0.25">
      <c r="C2014" s="5"/>
    </row>
    <row r="2015" spans="3:21" x14ac:dyDescent="0.25">
      <c r="C2015" s="5"/>
    </row>
    <row r="2016" spans="3:21" x14ac:dyDescent="0.25">
      <c r="C2016" s="5"/>
    </row>
    <row r="2017" spans="3:3" x14ac:dyDescent="0.25">
      <c r="C2017" s="5"/>
    </row>
    <row r="2018" spans="3:3" x14ac:dyDescent="0.25">
      <c r="C2018" s="5"/>
    </row>
    <row r="2019" spans="3:3" x14ac:dyDescent="0.25">
      <c r="C2019" s="5"/>
    </row>
    <row r="2020" spans="3:3" x14ac:dyDescent="0.25">
      <c r="C2020" s="5"/>
    </row>
    <row r="2021" spans="3:3" x14ac:dyDescent="0.25">
      <c r="C2021" s="5"/>
    </row>
    <row r="2022" spans="3:3" x14ac:dyDescent="0.25">
      <c r="C2022" s="5"/>
    </row>
    <row r="2023" spans="3:3" x14ac:dyDescent="0.25">
      <c r="C2023" s="5"/>
    </row>
    <row r="2024" spans="3:3" x14ac:dyDescent="0.25">
      <c r="C2024" s="5"/>
    </row>
    <row r="2025" spans="3:3" x14ac:dyDescent="0.25">
      <c r="C2025" s="5"/>
    </row>
    <row r="2026" spans="3:3" x14ac:dyDescent="0.25">
      <c r="C2026" s="5"/>
    </row>
    <row r="2027" spans="3:3" x14ac:dyDescent="0.25">
      <c r="C2027" s="5"/>
    </row>
    <row r="2028" spans="3:3" x14ac:dyDescent="0.25">
      <c r="C2028" s="5"/>
    </row>
    <row r="2029" spans="3:3" x14ac:dyDescent="0.25">
      <c r="C2029" s="5"/>
    </row>
    <row r="2030" spans="3:3" x14ac:dyDescent="0.25">
      <c r="C2030" s="5"/>
    </row>
    <row r="2031" spans="3:3" x14ac:dyDescent="0.25">
      <c r="C2031" s="5"/>
    </row>
    <row r="2032" spans="3:3" x14ac:dyDescent="0.25">
      <c r="C2032" s="5"/>
    </row>
    <row r="2033" spans="3:21" x14ac:dyDescent="0.25">
      <c r="C2033" s="5"/>
    </row>
    <row r="2034" spans="3:21" x14ac:dyDescent="0.25">
      <c r="C2034" s="5"/>
    </row>
    <row r="2035" spans="3:21" x14ac:dyDescent="0.25">
      <c r="C2035" s="5"/>
    </row>
    <row r="2036" spans="3:21" x14ac:dyDescent="0.25">
      <c r="C2036" s="5"/>
    </row>
    <row r="2037" spans="3:21" x14ac:dyDescent="0.25">
      <c r="C2037" s="5"/>
    </row>
    <row r="2038" spans="3:21" x14ac:dyDescent="0.25">
      <c r="C2038" s="5"/>
    </row>
    <row r="2039" spans="3:21" x14ac:dyDescent="0.25">
      <c r="C2039" s="5"/>
    </row>
    <row r="2040" spans="3:21" x14ac:dyDescent="0.25">
      <c r="C2040" s="5"/>
    </row>
    <row r="2041" spans="3:21" x14ac:dyDescent="0.25">
      <c r="C2041" s="5"/>
    </row>
    <row r="2042" spans="3:21" x14ac:dyDescent="0.25">
      <c r="C2042" s="5"/>
    </row>
    <row r="2043" spans="3:21" x14ac:dyDescent="0.25">
      <c r="C2043" s="5"/>
    </row>
    <row r="2044" spans="3:21" x14ac:dyDescent="0.25">
      <c r="C2044" s="5"/>
    </row>
    <row r="2045" spans="3:21" x14ac:dyDescent="0.25">
      <c r="C2045" s="5"/>
      <c r="O2045"/>
      <c r="P2045"/>
      <c r="Q2045"/>
      <c r="R2045"/>
      <c r="S2045"/>
      <c r="T2045"/>
      <c r="U2045"/>
    </row>
    <row r="2046" spans="3:21" x14ac:dyDescent="0.25">
      <c r="C2046" s="5"/>
    </row>
    <row r="2047" spans="3:21" x14ac:dyDescent="0.25">
      <c r="C2047" s="5"/>
    </row>
    <row r="2048" spans="3:21" x14ac:dyDescent="0.25">
      <c r="C2048" s="5"/>
    </row>
    <row r="2049" spans="3:21" x14ac:dyDescent="0.25">
      <c r="C2049" s="5"/>
    </row>
    <row r="2050" spans="3:21" x14ac:dyDescent="0.25">
      <c r="C2050" s="5"/>
    </row>
    <row r="2051" spans="3:21" x14ac:dyDescent="0.25">
      <c r="C2051" s="5"/>
    </row>
    <row r="2052" spans="3:21" x14ac:dyDescent="0.25">
      <c r="C2052" s="5"/>
    </row>
    <row r="2053" spans="3:21" x14ac:dyDescent="0.25">
      <c r="C2053" s="5"/>
    </row>
    <row r="2054" spans="3:21" x14ac:dyDescent="0.25">
      <c r="C2054" s="5"/>
    </row>
    <row r="2055" spans="3:21" x14ac:dyDescent="0.25">
      <c r="C2055" s="5"/>
    </row>
    <row r="2056" spans="3:21" x14ac:dyDescent="0.25">
      <c r="C2056" s="5"/>
    </row>
    <row r="2057" spans="3:21" x14ac:dyDescent="0.25">
      <c r="C2057" s="5"/>
    </row>
    <row r="2058" spans="3:21" x14ac:dyDescent="0.25">
      <c r="C2058" s="5"/>
    </row>
    <row r="2059" spans="3:21" x14ac:dyDescent="0.25">
      <c r="C2059" s="5"/>
    </row>
    <row r="2060" spans="3:21" x14ac:dyDescent="0.25">
      <c r="C2060" s="5"/>
    </row>
    <row r="2061" spans="3:21" x14ac:dyDescent="0.25">
      <c r="C2061" s="5"/>
    </row>
    <row r="2062" spans="3:21" x14ac:dyDescent="0.25">
      <c r="C2062" s="5"/>
    </row>
    <row r="2063" spans="3:21" x14ac:dyDescent="0.25">
      <c r="C2063" s="5"/>
    </row>
    <row r="2064" spans="3:21" x14ac:dyDescent="0.25">
      <c r="C2064" s="5"/>
      <c r="O2064"/>
      <c r="P2064"/>
      <c r="Q2064"/>
      <c r="R2064"/>
      <c r="S2064"/>
      <c r="T2064"/>
      <c r="U2064"/>
    </row>
    <row r="2065" spans="3:3" x14ac:dyDescent="0.25">
      <c r="C2065" s="5"/>
    </row>
    <row r="2066" spans="3:3" x14ac:dyDescent="0.25">
      <c r="C2066" s="5"/>
    </row>
    <row r="2067" spans="3:3" x14ac:dyDescent="0.25">
      <c r="C2067" s="5"/>
    </row>
    <row r="2068" spans="3:3" x14ac:dyDescent="0.25">
      <c r="C2068" s="5"/>
    </row>
    <row r="2069" spans="3:3" x14ac:dyDescent="0.25">
      <c r="C2069" s="5"/>
    </row>
    <row r="2070" spans="3:3" x14ac:dyDescent="0.25">
      <c r="C2070" s="5"/>
    </row>
    <row r="2071" spans="3:3" x14ac:dyDescent="0.25">
      <c r="C2071" s="5"/>
    </row>
    <row r="2072" spans="3:3" x14ac:dyDescent="0.25">
      <c r="C2072" s="5"/>
    </row>
    <row r="2073" spans="3:3" x14ac:dyDescent="0.25">
      <c r="C2073" s="5"/>
    </row>
    <row r="2074" spans="3:3" x14ac:dyDescent="0.25">
      <c r="C2074" s="5"/>
    </row>
    <row r="2075" spans="3:3" x14ac:dyDescent="0.25">
      <c r="C2075" s="5"/>
    </row>
    <row r="2076" spans="3:3" x14ac:dyDescent="0.25">
      <c r="C2076" s="5"/>
    </row>
    <row r="2077" spans="3:3" x14ac:dyDescent="0.25">
      <c r="C2077" s="5"/>
    </row>
    <row r="2078" spans="3:3" x14ac:dyDescent="0.25">
      <c r="C2078" s="5"/>
    </row>
    <row r="2079" spans="3:3" x14ac:dyDescent="0.25">
      <c r="C2079" s="5"/>
    </row>
    <row r="2080" spans="3:3" x14ac:dyDescent="0.25">
      <c r="C2080" s="5"/>
    </row>
    <row r="2081" spans="3:3" x14ac:dyDescent="0.25">
      <c r="C2081" s="5"/>
    </row>
    <row r="2082" spans="3:3" x14ac:dyDescent="0.25">
      <c r="C2082" s="5"/>
    </row>
    <row r="2083" spans="3:3" x14ac:dyDescent="0.25">
      <c r="C2083" s="5"/>
    </row>
    <row r="2084" spans="3:3" x14ac:dyDescent="0.25">
      <c r="C2084" s="5"/>
    </row>
    <row r="2085" spans="3:3" x14ac:dyDescent="0.25">
      <c r="C2085" s="5"/>
    </row>
    <row r="2086" spans="3:3" x14ac:dyDescent="0.25">
      <c r="C2086" s="5"/>
    </row>
    <row r="2087" spans="3:3" x14ac:dyDescent="0.25">
      <c r="C2087" s="5"/>
    </row>
    <row r="2088" spans="3:3" x14ac:dyDescent="0.25">
      <c r="C2088" s="5"/>
    </row>
    <row r="2089" spans="3:3" x14ac:dyDescent="0.25">
      <c r="C2089" s="5"/>
    </row>
    <row r="2090" spans="3:3" x14ac:dyDescent="0.25">
      <c r="C2090" s="5"/>
    </row>
    <row r="2091" spans="3:3" x14ac:dyDescent="0.25">
      <c r="C2091" s="5"/>
    </row>
    <row r="2092" spans="3:3" x14ac:dyDescent="0.25">
      <c r="C2092" s="5"/>
    </row>
    <row r="2093" spans="3:3" x14ac:dyDescent="0.25">
      <c r="C2093" s="5"/>
    </row>
    <row r="2094" spans="3:3" x14ac:dyDescent="0.25">
      <c r="C2094" s="5"/>
    </row>
    <row r="2095" spans="3:3" x14ac:dyDescent="0.25">
      <c r="C2095" s="5"/>
    </row>
    <row r="2096" spans="3:3" x14ac:dyDescent="0.25">
      <c r="C2096" s="5"/>
    </row>
    <row r="2097" spans="3:21" x14ac:dyDescent="0.25">
      <c r="C2097" s="5"/>
    </row>
    <row r="2098" spans="3:21" x14ac:dyDescent="0.25">
      <c r="C2098" s="5"/>
    </row>
    <row r="2099" spans="3:21" x14ac:dyDescent="0.25">
      <c r="C2099" s="5"/>
      <c r="O2099"/>
      <c r="P2099"/>
      <c r="Q2099"/>
      <c r="R2099"/>
      <c r="S2099"/>
      <c r="T2099"/>
      <c r="U2099"/>
    </row>
    <row r="2100" spans="3:21" x14ac:dyDescent="0.25">
      <c r="C2100" s="5"/>
    </row>
    <row r="2101" spans="3:21" x14ac:dyDescent="0.25">
      <c r="C2101" s="5"/>
    </row>
    <row r="2102" spans="3:21" x14ac:dyDescent="0.25">
      <c r="C2102" s="5"/>
    </row>
    <row r="2103" spans="3:21" x14ac:dyDescent="0.25">
      <c r="C2103" s="5"/>
    </row>
    <row r="2104" spans="3:21" x14ac:dyDescent="0.25">
      <c r="C2104" s="5"/>
    </row>
    <row r="2105" spans="3:21" x14ac:dyDescent="0.25">
      <c r="C2105" s="5"/>
    </row>
    <row r="2106" spans="3:21" x14ac:dyDescent="0.25">
      <c r="C2106" s="5"/>
    </row>
    <row r="2107" spans="3:21" x14ac:dyDescent="0.25">
      <c r="C2107" s="5"/>
    </row>
    <row r="2108" spans="3:21" x14ac:dyDescent="0.25">
      <c r="C2108" s="5"/>
    </row>
    <row r="2109" spans="3:21" x14ac:dyDescent="0.25">
      <c r="C2109" s="5"/>
    </row>
    <row r="2110" spans="3:21" x14ac:dyDescent="0.25">
      <c r="C2110" s="5"/>
    </row>
    <row r="2111" spans="3:21" x14ac:dyDescent="0.25">
      <c r="C2111" s="5"/>
    </row>
    <row r="2112" spans="3:21" x14ac:dyDescent="0.25">
      <c r="C2112" s="5"/>
    </row>
    <row r="2113" spans="3:3" x14ac:dyDescent="0.25">
      <c r="C2113" s="5"/>
    </row>
    <row r="2114" spans="3:3" x14ac:dyDescent="0.25">
      <c r="C2114" s="5"/>
    </row>
    <row r="2115" spans="3:3" x14ac:dyDescent="0.25">
      <c r="C2115" s="5"/>
    </row>
    <row r="2116" spans="3:3" x14ac:dyDescent="0.25">
      <c r="C2116" s="5"/>
    </row>
    <row r="2117" spans="3:3" x14ac:dyDescent="0.25">
      <c r="C2117" s="5"/>
    </row>
    <row r="2118" spans="3:3" x14ac:dyDescent="0.25">
      <c r="C2118" s="5"/>
    </row>
    <row r="2119" spans="3:3" x14ac:dyDescent="0.25">
      <c r="C2119" s="5"/>
    </row>
    <row r="2120" spans="3:3" x14ac:dyDescent="0.25">
      <c r="C2120" s="5"/>
    </row>
    <row r="2121" spans="3:3" x14ac:dyDescent="0.25">
      <c r="C2121" s="5"/>
    </row>
    <row r="2122" spans="3:3" x14ac:dyDescent="0.25">
      <c r="C2122" s="5"/>
    </row>
    <row r="2123" spans="3:3" x14ac:dyDescent="0.25">
      <c r="C2123" s="5"/>
    </row>
    <row r="2124" spans="3:3" x14ac:dyDescent="0.25">
      <c r="C2124" s="5"/>
    </row>
    <row r="2125" spans="3:3" x14ac:dyDescent="0.25">
      <c r="C2125" s="5"/>
    </row>
    <row r="2126" spans="3:3" x14ac:dyDescent="0.25">
      <c r="C2126" s="5"/>
    </row>
    <row r="2127" spans="3:3" x14ac:dyDescent="0.25">
      <c r="C2127" s="5"/>
    </row>
    <row r="2128" spans="3:3" x14ac:dyDescent="0.25">
      <c r="C2128" s="5"/>
    </row>
    <row r="2129" spans="3:3" x14ac:dyDescent="0.25">
      <c r="C2129" s="5"/>
    </row>
    <row r="2130" spans="3:3" x14ac:dyDescent="0.25">
      <c r="C2130" s="5"/>
    </row>
    <row r="2131" spans="3:3" x14ac:dyDescent="0.25">
      <c r="C2131" s="5"/>
    </row>
    <row r="2132" spans="3:3" x14ac:dyDescent="0.25">
      <c r="C2132" s="5"/>
    </row>
    <row r="2133" spans="3:3" x14ac:dyDescent="0.25">
      <c r="C2133" s="5"/>
    </row>
    <row r="2134" spans="3:3" x14ac:dyDescent="0.25">
      <c r="C2134" s="5"/>
    </row>
    <row r="2135" spans="3:3" x14ac:dyDescent="0.25">
      <c r="C2135" s="5"/>
    </row>
    <row r="2136" spans="3:3" x14ac:dyDescent="0.25">
      <c r="C2136" s="5"/>
    </row>
    <row r="2137" spans="3:3" x14ac:dyDescent="0.25">
      <c r="C2137" s="5"/>
    </row>
    <row r="2138" spans="3:3" x14ac:dyDescent="0.25">
      <c r="C2138" s="5"/>
    </row>
    <row r="2139" spans="3:3" x14ac:dyDescent="0.25">
      <c r="C2139" s="5"/>
    </row>
    <row r="2140" spans="3:3" x14ac:dyDescent="0.25">
      <c r="C2140" s="5"/>
    </row>
    <row r="2141" spans="3:3" x14ac:dyDescent="0.25">
      <c r="C2141" s="5"/>
    </row>
    <row r="2142" spans="3:3" x14ac:dyDescent="0.25">
      <c r="C2142" s="5"/>
    </row>
    <row r="2143" spans="3:3" x14ac:dyDescent="0.25">
      <c r="C2143" s="5"/>
    </row>
    <row r="2144" spans="3:3" x14ac:dyDescent="0.25">
      <c r="C2144" s="5"/>
    </row>
    <row r="2145" spans="3:3" x14ac:dyDescent="0.25">
      <c r="C2145" s="5"/>
    </row>
    <row r="2146" spans="3:3" x14ac:dyDescent="0.25">
      <c r="C2146" s="5"/>
    </row>
    <row r="2147" spans="3:3" x14ac:dyDescent="0.25">
      <c r="C2147" s="5"/>
    </row>
    <row r="2148" spans="3:3" x14ac:dyDescent="0.25">
      <c r="C2148" s="5"/>
    </row>
    <row r="2149" spans="3:3" x14ac:dyDescent="0.25">
      <c r="C2149" s="5"/>
    </row>
    <row r="2150" spans="3:3" x14ac:dyDescent="0.25">
      <c r="C2150" s="5"/>
    </row>
    <row r="2151" spans="3:3" x14ac:dyDescent="0.25">
      <c r="C2151" s="5"/>
    </row>
    <row r="2152" spans="3:3" x14ac:dyDescent="0.25">
      <c r="C2152" s="5"/>
    </row>
    <row r="2153" spans="3:3" x14ac:dyDescent="0.25">
      <c r="C2153" s="5"/>
    </row>
    <row r="2154" spans="3:3" x14ac:dyDescent="0.25">
      <c r="C2154" s="5"/>
    </row>
    <row r="2155" spans="3:3" x14ac:dyDescent="0.25">
      <c r="C2155" s="5"/>
    </row>
    <row r="2156" spans="3:3" x14ac:dyDescent="0.25">
      <c r="C2156" s="5"/>
    </row>
    <row r="2157" spans="3:3" x14ac:dyDescent="0.25">
      <c r="C2157" s="5"/>
    </row>
    <row r="2158" spans="3:3" x14ac:dyDescent="0.25">
      <c r="C2158" s="5"/>
    </row>
    <row r="2159" spans="3:3" x14ac:dyDescent="0.25">
      <c r="C2159" s="5"/>
    </row>
    <row r="2160" spans="3:3" x14ac:dyDescent="0.25">
      <c r="C2160" s="5"/>
    </row>
    <row r="2161" spans="3:21" x14ac:dyDescent="0.25">
      <c r="C2161" s="5"/>
    </row>
    <row r="2162" spans="3:21" x14ac:dyDescent="0.25">
      <c r="C2162" s="5"/>
    </row>
    <row r="2163" spans="3:21" x14ac:dyDescent="0.25">
      <c r="C2163" s="5"/>
      <c r="O2163"/>
      <c r="P2163"/>
      <c r="Q2163"/>
      <c r="R2163"/>
      <c r="S2163"/>
      <c r="T2163"/>
      <c r="U2163"/>
    </row>
    <row r="2164" spans="3:21" x14ac:dyDescent="0.25">
      <c r="C2164" s="5"/>
    </row>
    <row r="2165" spans="3:21" x14ac:dyDescent="0.25">
      <c r="C2165" s="5"/>
    </row>
    <row r="2166" spans="3:21" x14ac:dyDescent="0.25">
      <c r="C2166" s="5"/>
      <c r="O2166"/>
      <c r="P2166"/>
      <c r="Q2166"/>
      <c r="R2166"/>
      <c r="S2166"/>
      <c r="T2166"/>
      <c r="U2166"/>
    </row>
    <row r="2167" spans="3:21" x14ac:dyDescent="0.25">
      <c r="C2167" s="5"/>
    </row>
    <row r="2168" spans="3:21" x14ac:dyDescent="0.25">
      <c r="C2168" s="5"/>
    </row>
    <row r="2169" spans="3:21" x14ac:dyDescent="0.25">
      <c r="C2169" s="5"/>
      <c r="O2169"/>
      <c r="P2169"/>
      <c r="Q2169"/>
      <c r="R2169"/>
      <c r="S2169"/>
      <c r="T2169"/>
      <c r="U2169"/>
    </row>
    <row r="2170" spans="3:21" x14ac:dyDescent="0.25">
      <c r="C2170" s="5"/>
      <c r="O2170"/>
      <c r="P2170"/>
      <c r="Q2170"/>
      <c r="R2170"/>
      <c r="S2170"/>
      <c r="T2170"/>
      <c r="U2170"/>
    </row>
    <row r="2171" spans="3:21" x14ac:dyDescent="0.25">
      <c r="C2171" s="5"/>
    </row>
    <row r="2172" spans="3:21" x14ac:dyDescent="0.25">
      <c r="C2172" s="5"/>
    </row>
    <row r="2173" spans="3:21" x14ac:dyDescent="0.25">
      <c r="C2173" s="5"/>
    </row>
    <row r="2174" spans="3:21" x14ac:dyDescent="0.25">
      <c r="C2174" s="5"/>
    </row>
    <row r="2175" spans="3:21" x14ac:dyDescent="0.25">
      <c r="C2175" s="5"/>
    </row>
    <row r="2176" spans="3:21" x14ac:dyDescent="0.25">
      <c r="C2176" s="5"/>
    </row>
    <row r="2177" spans="3:21" x14ac:dyDescent="0.25">
      <c r="C2177" s="5"/>
    </row>
    <row r="2178" spans="3:21" x14ac:dyDescent="0.25">
      <c r="C2178" s="5"/>
    </row>
    <row r="2179" spans="3:21" x14ac:dyDescent="0.25">
      <c r="C2179" s="5"/>
    </row>
    <row r="2180" spans="3:21" x14ac:dyDescent="0.25">
      <c r="C2180" s="5"/>
    </row>
    <row r="2181" spans="3:21" x14ac:dyDescent="0.25">
      <c r="C2181" s="5"/>
    </row>
    <row r="2182" spans="3:21" x14ac:dyDescent="0.25">
      <c r="C2182" s="5"/>
    </row>
    <row r="2183" spans="3:21" x14ac:dyDescent="0.25">
      <c r="C2183" s="5"/>
    </row>
    <row r="2184" spans="3:21" x14ac:dyDescent="0.25">
      <c r="C2184" s="5"/>
    </row>
    <row r="2185" spans="3:21" x14ac:dyDescent="0.25">
      <c r="C2185" s="5"/>
    </row>
    <row r="2186" spans="3:21" x14ac:dyDescent="0.25">
      <c r="C2186" s="5"/>
    </row>
    <row r="2187" spans="3:21" x14ac:dyDescent="0.25">
      <c r="C2187" s="5"/>
    </row>
    <row r="2188" spans="3:21" x14ac:dyDescent="0.25">
      <c r="C2188" s="5"/>
      <c r="O2188"/>
      <c r="P2188"/>
      <c r="Q2188"/>
      <c r="R2188"/>
      <c r="S2188"/>
      <c r="T2188"/>
      <c r="U2188"/>
    </row>
    <row r="2189" spans="3:21" x14ac:dyDescent="0.25">
      <c r="C2189" s="5"/>
    </row>
    <row r="2190" spans="3:21" x14ac:dyDescent="0.25">
      <c r="C2190" s="5"/>
    </row>
    <row r="2191" spans="3:21" x14ac:dyDescent="0.25">
      <c r="C2191" s="5"/>
    </row>
    <row r="2192" spans="3:21" x14ac:dyDescent="0.25">
      <c r="C2192" s="5"/>
    </row>
    <row r="2193" spans="3:21" x14ac:dyDescent="0.25">
      <c r="C2193" s="5"/>
    </row>
    <row r="2194" spans="3:21" x14ac:dyDescent="0.25">
      <c r="C2194" s="5"/>
    </row>
    <row r="2195" spans="3:21" x14ac:dyDescent="0.25">
      <c r="C2195" s="5"/>
    </row>
    <row r="2196" spans="3:21" x14ac:dyDescent="0.25">
      <c r="C2196" s="5"/>
      <c r="O2196"/>
      <c r="P2196"/>
      <c r="Q2196"/>
      <c r="R2196"/>
      <c r="S2196"/>
      <c r="T2196"/>
      <c r="U2196"/>
    </row>
    <row r="2197" spans="3:21" x14ac:dyDescent="0.25">
      <c r="C2197" s="5"/>
    </row>
    <row r="2198" spans="3:21" x14ac:dyDescent="0.25">
      <c r="C2198" s="5"/>
      <c r="O2198"/>
      <c r="P2198"/>
      <c r="Q2198"/>
      <c r="R2198"/>
      <c r="S2198"/>
      <c r="T2198"/>
      <c r="U2198"/>
    </row>
    <row r="2199" spans="3:21" x14ac:dyDescent="0.25">
      <c r="C2199" s="5"/>
    </row>
    <row r="2200" spans="3:21" x14ac:dyDescent="0.25">
      <c r="C2200" s="5"/>
    </row>
    <row r="2201" spans="3:21" x14ac:dyDescent="0.25">
      <c r="C2201" s="5"/>
    </row>
    <row r="2202" spans="3:21" x14ac:dyDescent="0.25">
      <c r="C2202" s="5"/>
    </row>
    <row r="2203" spans="3:21" x14ac:dyDescent="0.25">
      <c r="C2203" s="5"/>
    </row>
    <row r="2204" spans="3:21" x14ac:dyDescent="0.25">
      <c r="C2204" s="5"/>
    </row>
    <row r="2205" spans="3:21" x14ac:dyDescent="0.25">
      <c r="C2205" s="5"/>
    </row>
    <row r="2206" spans="3:21" x14ac:dyDescent="0.25">
      <c r="C2206" s="5"/>
    </row>
    <row r="2207" spans="3:21" x14ac:dyDescent="0.25">
      <c r="C2207" s="5"/>
    </row>
    <row r="2208" spans="3:21" x14ac:dyDescent="0.25">
      <c r="C2208" s="5"/>
    </row>
    <row r="2209" spans="3:21" x14ac:dyDescent="0.25">
      <c r="C2209" s="5"/>
    </row>
    <row r="2210" spans="3:21" x14ac:dyDescent="0.25">
      <c r="C2210" s="5"/>
    </row>
    <row r="2211" spans="3:21" x14ac:dyDescent="0.25">
      <c r="C2211" s="5"/>
    </row>
    <row r="2212" spans="3:21" x14ac:dyDescent="0.25">
      <c r="C2212" s="5"/>
    </row>
    <row r="2213" spans="3:21" x14ac:dyDescent="0.25">
      <c r="C2213" s="5"/>
    </row>
    <row r="2214" spans="3:21" x14ac:dyDescent="0.25">
      <c r="C2214" s="5"/>
      <c r="O2214"/>
      <c r="P2214"/>
      <c r="Q2214"/>
      <c r="R2214"/>
      <c r="S2214"/>
      <c r="T2214"/>
      <c r="U2214"/>
    </row>
    <row r="2215" spans="3:21" x14ac:dyDescent="0.25">
      <c r="C2215" s="5"/>
    </row>
    <row r="2216" spans="3:21" x14ac:dyDescent="0.25">
      <c r="C2216" s="5"/>
    </row>
    <row r="2217" spans="3:21" x14ac:dyDescent="0.25">
      <c r="C2217" s="5"/>
    </row>
    <row r="2218" spans="3:21" x14ac:dyDescent="0.25">
      <c r="C2218" s="5"/>
    </row>
    <row r="2219" spans="3:21" x14ac:dyDescent="0.25">
      <c r="C2219" s="5"/>
    </row>
    <row r="2220" spans="3:21" x14ac:dyDescent="0.25">
      <c r="C2220" s="5"/>
    </row>
    <row r="2221" spans="3:21" x14ac:dyDescent="0.25">
      <c r="C2221" s="5"/>
    </row>
    <row r="2222" spans="3:21" x14ac:dyDescent="0.25">
      <c r="C2222" s="5"/>
    </row>
    <row r="2223" spans="3:21" x14ac:dyDescent="0.25">
      <c r="C2223" s="5"/>
    </row>
    <row r="2224" spans="3:21" x14ac:dyDescent="0.25">
      <c r="C2224" s="5"/>
    </row>
    <row r="2225" spans="3:21" x14ac:dyDescent="0.25">
      <c r="C2225" s="5"/>
    </row>
    <row r="2226" spans="3:21" x14ac:dyDescent="0.25">
      <c r="C2226" s="5"/>
    </row>
    <row r="2227" spans="3:21" x14ac:dyDescent="0.25">
      <c r="C2227" s="5"/>
    </row>
    <row r="2228" spans="3:21" x14ac:dyDescent="0.25">
      <c r="C2228" s="5"/>
    </row>
    <row r="2229" spans="3:21" x14ac:dyDescent="0.25">
      <c r="C2229" s="5"/>
    </row>
    <row r="2230" spans="3:21" x14ac:dyDescent="0.25">
      <c r="C2230" s="5"/>
    </row>
    <row r="2231" spans="3:21" x14ac:dyDescent="0.25">
      <c r="C2231" s="5"/>
    </row>
    <row r="2232" spans="3:21" x14ac:dyDescent="0.25">
      <c r="C2232" s="5"/>
    </row>
    <row r="2233" spans="3:21" x14ac:dyDescent="0.25">
      <c r="C2233" s="5"/>
    </row>
    <row r="2234" spans="3:21" x14ac:dyDescent="0.25">
      <c r="C2234" s="5"/>
    </row>
    <row r="2235" spans="3:21" x14ac:dyDescent="0.25">
      <c r="C2235" s="5"/>
    </row>
    <row r="2236" spans="3:21" x14ac:dyDescent="0.25">
      <c r="C2236" s="5"/>
    </row>
    <row r="2237" spans="3:21" x14ac:dyDescent="0.25">
      <c r="C2237" s="5"/>
    </row>
    <row r="2238" spans="3:21" x14ac:dyDescent="0.25">
      <c r="C2238" s="5"/>
    </row>
    <row r="2239" spans="3:21" x14ac:dyDescent="0.25">
      <c r="C2239" s="5"/>
    </row>
    <row r="2240" spans="3:21" x14ac:dyDescent="0.25">
      <c r="C2240" s="5"/>
      <c r="O2240"/>
      <c r="P2240"/>
      <c r="Q2240"/>
      <c r="R2240"/>
      <c r="S2240"/>
      <c r="T2240"/>
      <c r="U2240"/>
    </row>
    <row r="2241" spans="3:3" x14ac:dyDescent="0.25">
      <c r="C2241" s="5"/>
    </row>
    <row r="2242" spans="3:3" x14ac:dyDescent="0.25">
      <c r="C2242" s="5"/>
    </row>
    <row r="2243" spans="3:3" x14ac:dyDescent="0.25">
      <c r="C2243" s="5"/>
    </row>
    <row r="2244" spans="3:3" x14ac:dyDescent="0.25">
      <c r="C2244" s="5"/>
    </row>
    <row r="2245" spans="3:3" x14ac:dyDescent="0.25">
      <c r="C2245" s="5"/>
    </row>
    <row r="2246" spans="3:3" x14ac:dyDescent="0.25">
      <c r="C2246" s="5"/>
    </row>
    <row r="2247" spans="3:3" x14ac:dyDescent="0.25">
      <c r="C2247" s="5"/>
    </row>
    <row r="2248" spans="3:3" x14ac:dyDescent="0.25">
      <c r="C2248" s="5"/>
    </row>
    <row r="2249" spans="3:3" x14ac:dyDescent="0.25">
      <c r="C2249" s="5"/>
    </row>
    <row r="2250" spans="3:3" x14ac:dyDescent="0.25">
      <c r="C2250" s="5"/>
    </row>
    <row r="2251" spans="3:3" x14ac:dyDescent="0.25">
      <c r="C2251" s="5"/>
    </row>
    <row r="2252" spans="3:3" x14ac:dyDescent="0.25">
      <c r="C2252" s="5"/>
    </row>
    <row r="2253" spans="3:3" x14ac:dyDescent="0.25">
      <c r="C2253" s="5"/>
    </row>
    <row r="2254" spans="3:3" x14ac:dyDescent="0.25">
      <c r="C2254" s="5"/>
    </row>
    <row r="2255" spans="3:3" x14ac:dyDescent="0.25">
      <c r="C2255" s="5"/>
    </row>
    <row r="2256" spans="3:3" x14ac:dyDescent="0.25">
      <c r="C2256" s="5"/>
    </row>
    <row r="2257" spans="3:21" x14ac:dyDescent="0.25">
      <c r="C2257" s="5"/>
    </row>
    <row r="2258" spans="3:21" x14ac:dyDescent="0.25">
      <c r="C2258" s="5"/>
    </row>
    <row r="2259" spans="3:21" x14ac:dyDescent="0.25">
      <c r="C2259" s="5"/>
    </row>
    <row r="2260" spans="3:21" x14ac:dyDescent="0.25">
      <c r="C2260" s="5"/>
    </row>
    <row r="2261" spans="3:21" x14ac:dyDescent="0.25">
      <c r="C2261" s="5"/>
    </row>
    <row r="2262" spans="3:21" x14ac:dyDescent="0.25">
      <c r="C2262" s="5"/>
    </row>
    <row r="2263" spans="3:21" x14ac:dyDescent="0.25">
      <c r="C2263" s="5"/>
    </row>
    <row r="2264" spans="3:21" x14ac:dyDescent="0.25">
      <c r="C2264" s="5"/>
    </row>
    <row r="2265" spans="3:21" x14ac:dyDescent="0.25">
      <c r="C2265" s="5"/>
    </row>
    <row r="2266" spans="3:21" x14ac:dyDescent="0.25">
      <c r="C2266" s="5"/>
    </row>
    <row r="2267" spans="3:21" x14ac:dyDescent="0.25">
      <c r="C2267" s="5"/>
      <c r="O2267"/>
      <c r="P2267"/>
      <c r="Q2267"/>
      <c r="R2267"/>
      <c r="S2267"/>
      <c r="T2267"/>
      <c r="U2267"/>
    </row>
    <row r="2268" spans="3:21" x14ac:dyDescent="0.25">
      <c r="C2268" s="5"/>
      <c r="O2268"/>
      <c r="P2268"/>
      <c r="Q2268"/>
      <c r="R2268"/>
      <c r="S2268"/>
      <c r="T2268"/>
      <c r="U2268"/>
    </row>
    <row r="2269" spans="3:21" x14ac:dyDescent="0.25">
      <c r="C2269" s="5"/>
    </row>
    <row r="2270" spans="3:21" x14ac:dyDescent="0.25">
      <c r="C2270" s="5"/>
    </row>
    <row r="2271" spans="3:21" x14ac:dyDescent="0.25">
      <c r="C2271" s="5"/>
    </row>
    <row r="2272" spans="3:21" x14ac:dyDescent="0.25">
      <c r="C2272" s="5"/>
    </row>
    <row r="2273" spans="3:3" x14ac:dyDescent="0.25">
      <c r="C2273" s="5"/>
    </row>
    <row r="2274" spans="3:3" x14ac:dyDescent="0.25">
      <c r="C2274" s="5"/>
    </row>
    <row r="2275" spans="3:3" x14ac:dyDescent="0.25">
      <c r="C2275" s="5"/>
    </row>
    <row r="2276" spans="3:3" x14ac:dyDescent="0.25">
      <c r="C2276" s="5"/>
    </row>
    <row r="2277" spans="3:3" x14ac:dyDescent="0.25">
      <c r="C2277" s="5"/>
    </row>
    <row r="2278" spans="3:3" x14ac:dyDescent="0.25">
      <c r="C2278" s="5"/>
    </row>
    <row r="2279" spans="3:3" x14ac:dyDescent="0.25">
      <c r="C2279" s="5"/>
    </row>
    <row r="2280" spans="3:3" x14ac:dyDescent="0.25">
      <c r="C2280" s="5"/>
    </row>
    <row r="2281" spans="3:3" x14ac:dyDescent="0.25">
      <c r="C2281" s="5"/>
    </row>
    <row r="2282" spans="3:3" x14ac:dyDescent="0.25">
      <c r="C2282" s="5"/>
    </row>
    <row r="2283" spans="3:3" x14ac:dyDescent="0.25">
      <c r="C2283" s="5"/>
    </row>
    <row r="2284" spans="3:3" x14ac:dyDescent="0.25">
      <c r="C2284" s="5"/>
    </row>
    <row r="2285" spans="3:3" x14ac:dyDescent="0.25">
      <c r="C2285" s="5"/>
    </row>
    <row r="2286" spans="3:3" x14ac:dyDescent="0.25">
      <c r="C2286" s="5"/>
    </row>
    <row r="2287" spans="3:3" x14ac:dyDescent="0.25">
      <c r="C2287" s="5"/>
    </row>
    <row r="2288" spans="3:3" x14ac:dyDescent="0.25">
      <c r="C2288" s="5"/>
    </row>
    <row r="2289" spans="3:3" x14ac:dyDescent="0.25">
      <c r="C2289" s="5"/>
    </row>
    <row r="2290" spans="3:3" x14ac:dyDescent="0.25">
      <c r="C2290" s="5"/>
    </row>
    <row r="2291" spans="3:3" x14ac:dyDescent="0.25">
      <c r="C2291" s="5"/>
    </row>
    <row r="2292" spans="3:3" x14ac:dyDescent="0.25">
      <c r="C2292" s="5"/>
    </row>
    <row r="2293" spans="3:3" x14ac:dyDescent="0.25">
      <c r="C2293" s="5"/>
    </row>
    <row r="2294" spans="3:3" x14ac:dyDescent="0.25">
      <c r="C2294" s="5"/>
    </row>
    <row r="2295" spans="3:3" x14ac:dyDescent="0.25">
      <c r="C2295" s="5"/>
    </row>
    <row r="2296" spans="3:3" x14ac:dyDescent="0.25">
      <c r="C2296" s="5"/>
    </row>
    <row r="2297" spans="3:3" x14ac:dyDescent="0.25">
      <c r="C2297" s="5"/>
    </row>
    <row r="2298" spans="3:3" x14ac:dyDescent="0.25">
      <c r="C2298" s="5"/>
    </row>
    <row r="2299" spans="3:3" x14ac:dyDescent="0.25">
      <c r="C2299" s="5"/>
    </row>
    <row r="2300" spans="3:3" x14ac:dyDescent="0.25">
      <c r="C2300" s="5"/>
    </row>
    <row r="2301" spans="3:3" x14ac:dyDescent="0.25">
      <c r="C2301" s="5"/>
    </row>
    <row r="2302" spans="3:3" x14ac:dyDescent="0.25">
      <c r="C2302" s="5"/>
    </row>
    <row r="2303" spans="3:3" x14ac:dyDescent="0.25">
      <c r="C2303" s="5"/>
    </row>
    <row r="2304" spans="3:3" x14ac:dyDescent="0.25">
      <c r="C2304" s="5"/>
    </row>
    <row r="2305" spans="3:21" x14ac:dyDescent="0.25">
      <c r="C2305" s="5"/>
      <c r="O2305"/>
      <c r="P2305"/>
      <c r="Q2305"/>
      <c r="R2305"/>
      <c r="S2305"/>
      <c r="T2305"/>
      <c r="U2305"/>
    </row>
    <row r="2306" spans="3:21" x14ac:dyDescent="0.25">
      <c r="C2306" s="5"/>
    </row>
    <row r="2307" spans="3:21" x14ac:dyDescent="0.25">
      <c r="C2307" s="5"/>
    </row>
    <row r="2308" spans="3:21" x14ac:dyDescent="0.25">
      <c r="C2308" s="5"/>
    </row>
    <row r="2309" spans="3:21" x14ac:dyDescent="0.25">
      <c r="C2309" s="5"/>
    </row>
    <row r="2310" spans="3:21" x14ac:dyDescent="0.25">
      <c r="C2310" s="5"/>
    </row>
    <row r="2311" spans="3:21" x14ac:dyDescent="0.25">
      <c r="C2311" s="5"/>
    </row>
    <row r="2312" spans="3:21" x14ac:dyDescent="0.25">
      <c r="C2312" s="5"/>
    </row>
    <row r="2313" spans="3:21" x14ac:dyDescent="0.25">
      <c r="C2313" s="5"/>
    </row>
    <row r="2314" spans="3:21" x14ac:dyDescent="0.25">
      <c r="C2314" s="5"/>
    </row>
    <row r="2315" spans="3:21" x14ac:dyDescent="0.25">
      <c r="C2315" s="5"/>
    </row>
    <row r="2316" spans="3:21" x14ac:dyDescent="0.25">
      <c r="C2316" s="5"/>
    </row>
    <row r="2317" spans="3:21" x14ac:dyDescent="0.25">
      <c r="C2317" s="5"/>
    </row>
    <row r="2318" spans="3:21" x14ac:dyDescent="0.25">
      <c r="C2318" s="5"/>
    </row>
    <row r="2319" spans="3:21" x14ac:dyDescent="0.25">
      <c r="C2319" s="5"/>
    </row>
    <row r="2320" spans="3:21" x14ac:dyDescent="0.25">
      <c r="C2320" s="5"/>
    </row>
    <row r="2321" spans="3:21" x14ac:dyDescent="0.25">
      <c r="C2321" s="5"/>
    </row>
    <row r="2322" spans="3:21" x14ac:dyDescent="0.25">
      <c r="C2322" s="5"/>
    </row>
    <row r="2323" spans="3:21" x14ac:dyDescent="0.25">
      <c r="C2323" s="5"/>
    </row>
    <row r="2324" spans="3:21" x14ac:dyDescent="0.25">
      <c r="C2324" s="5"/>
    </row>
    <row r="2325" spans="3:21" x14ac:dyDescent="0.25">
      <c r="C2325" s="5"/>
    </row>
    <row r="2326" spans="3:21" x14ac:dyDescent="0.25">
      <c r="C2326" s="5"/>
    </row>
    <row r="2327" spans="3:21" x14ac:dyDescent="0.25">
      <c r="C2327" s="5"/>
    </row>
    <row r="2328" spans="3:21" x14ac:dyDescent="0.25">
      <c r="C2328" s="5"/>
    </row>
    <row r="2329" spans="3:21" x14ac:dyDescent="0.25">
      <c r="C2329" s="5"/>
    </row>
    <row r="2330" spans="3:21" x14ac:dyDescent="0.25">
      <c r="C2330" s="5"/>
    </row>
    <row r="2331" spans="3:21" x14ac:dyDescent="0.25">
      <c r="C2331" s="5"/>
    </row>
    <row r="2332" spans="3:21" x14ac:dyDescent="0.25">
      <c r="C2332" s="5"/>
    </row>
    <row r="2333" spans="3:21" x14ac:dyDescent="0.25">
      <c r="C2333" s="5"/>
    </row>
    <row r="2334" spans="3:21" x14ac:dyDescent="0.25">
      <c r="C2334" s="5"/>
      <c r="O2334"/>
      <c r="P2334"/>
      <c r="Q2334"/>
      <c r="R2334"/>
      <c r="S2334"/>
      <c r="T2334"/>
      <c r="U2334"/>
    </row>
    <row r="2335" spans="3:21" x14ac:dyDescent="0.25">
      <c r="C2335" s="5"/>
    </row>
    <row r="2336" spans="3:21" x14ac:dyDescent="0.25">
      <c r="C2336" s="5"/>
    </row>
    <row r="2337" spans="3:21" x14ac:dyDescent="0.25">
      <c r="C2337" s="5"/>
    </row>
    <row r="2338" spans="3:21" x14ac:dyDescent="0.25">
      <c r="C2338" s="5"/>
    </row>
    <row r="2339" spans="3:21" x14ac:dyDescent="0.25">
      <c r="C2339" s="5"/>
    </row>
    <row r="2340" spans="3:21" x14ac:dyDescent="0.25">
      <c r="C2340" s="5"/>
    </row>
    <row r="2341" spans="3:21" x14ac:dyDescent="0.25">
      <c r="C2341" s="5"/>
    </row>
    <row r="2342" spans="3:21" x14ac:dyDescent="0.25">
      <c r="C2342" s="5"/>
    </row>
    <row r="2343" spans="3:21" x14ac:dyDescent="0.25">
      <c r="C2343" s="5"/>
    </row>
    <row r="2344" spans="3:21" x14ac:dyDescent="0.25">
      <c r="C2344" s="5"/>
    </row>
    <row r="2345" spans="3:21" x14ac:dyDescent="0.25">
      <c r="C2345" s="5"/>
    </row>
    <row r="2346" spans="3:21" x14ac:dyDescent="0.25">
      <c r="C2346" s="5"/>
    </row>
    <row r="2347" spans="3:21" x14ac:dyDescent="0.25">
      <c r="C2347" s="5"/>
    </row>
    <row r="2348" spans="3:21" x14ac:dyDescent="0.25">
      <c r="C2348" s="5"/>
    </row>
    <row r="2349" spans="3:21" x14ac:dyDescent="0.25">
      <c r="C2349" s="5"/>
      <c r="O2349"/>
      <c r="P2349"/>
      <c r="Q2349"/>
      <c r="R2349"/>
      <c r="S2349"/>
      <c r="T2349"/>
      <c r="U2349"/>
    </row>
    <row r="2350" spans="3:21" x14ac:dyDescent="0.25">
      <c r="C2350" s="5"/>
    </row>
    <row r="2351" spans="3:21" x14ac:dyDescent="0.25">
      <c r="C2351" s="5"/>
    </row>
    <row r="2352" spans="3:21" x14ac:dyDescent="0.25">
      <c r="C2352" s="5"/>
    </row>
    <row r="2353" spans="3:21" x14ac:dyDescent="0.25">
      <c r="C2353" s="5"/>
    </row>
    <row r="2354" spans="3:21" x14ac:dyDescent="0.25">
      <c r="C2354" s="5"/>
    </row>
    <row r="2355" spans="3:21" x14ac:dyDescent="0.25">
      <c r="C2355" s="5"/>
      <c r="O2355"/>
      <c r="P2355"/>
      <c r="Q2355"/>
      <c r="R2355"/>
      <c r="S2355"/>
      <c r="T2355"/>
      <c r="U2355"/>
    </row>
    <row r="2356" spans="3:21" x14ac:dyDescent="0.25">
      <c r="C2356" s="5"/>
    </row>
    <row r="2357" spans="3:21" x14ac:dyDescent="0.25">
      <c r="C2357" s="5"/>
    </row>
    <row r="2358" spans="3:21" x14ac:dyDescent="0.25">
      <c r="C2358" s="5"/>
    </row>
    <row r="2359" spans="3:21" x14ac:dyDescent="0.25">
      <c r="C2359" s="5"/>
    </row>
    <row r="2360" spans="3:21" x14ac:dyDescent="0.25">
      <c r="C2360" s="5"/>
    </row>
    <row r="2361" spans="3:21" x14ac:dyDescent="0.25">
      <c r="C2361" s="5"/>
    </row>
    <row r="2362" spans="3:21" x14ac:dyDescent="0.25">
      <c r="C2362" s="5"/>
    </row>
    <row r="2363" spans="3:21" x14ac:dyDescent="0.25">
      <c r="C2363" s="5"/>
    </row>
    <row r="2364" spans="3:21" x14ac:dyDescent="0.25">
      <c r="C2364" s="5"/>
      <c r="O2364"/>
      <c r="P2364"/>
      <c r="Q2364"/>
      <c r="R2364"/>
      <c r="S2364"/>
      <c r="T2364"/>
      <c r="U2364"/>
    </row>
    <row r="2365" spans="3:21" x14ac:dyDescent="0.25">
      <c r="C2365" s="5"/>
    </row>
    <row r="2366" spans="3:21" x14ac:dyDescent="0.25">
      <c r="C2366" s="5"/>
    </row>
    <row r="2367" spans="3:21" x14ac:dyDescent="0.25">
      <c r="C2367" s="5"/>
    </row>
    <row r="2368" spans="3:21" x14ac:dyDescent="0.25">
      <c r="C2368" s="5"/>
    </row>
    <row r="2369" spans="3:21" x14ac:dyDescent="0.25">
      <c r="C2369" s="5"/>
    </row>
    <row r="2370" spans="3:21" x14ac:dyDescent="0.25">
      <c r="C2370" s="5"/>
    </row>
    <row r="2371" spans="3:21" x14ac:dyDescent="0.25">
      <c r="C2371" s="5"/>
    </row>
    <row r="2372" spans="3:21" x14ac:dyDescent="0.25">
      <c r="C2372" s="5"/>
    </row>
    <row r="2373" spans="3:21" x14ac:dyDescent="0.25">
      <c r="C2373" s="5"/>
    </row>
    <row r="2374" spans="3:21" x14ac:dyDescent="0.25">
      <c r="C2374" s="5"/>
    </row>
    <row r="2375" spans="3:21" x14ac:dyDescent="0.25">
      <c r="C2375" s="5"/>
    </row>
    <row r="2376" spans="3:21" x14ac:dyDescent="0.25">
      <c r="C2376" s="5"/>
    </row>
    <row r="2377" spans="3:21" x14ac:dyDescent="0.25">
      <c r="C2377" s="5"/>
      <c r="O2377"/>
      <c r="P2377"/>
      <c r="Q2377"/>
      <c r="R2377"/>
      <c r="S2377"/>
      <c r="T2377"/>
      <c r="U2377"/>
    </row>
    <row r="2378" spans="3:21" x14ac:dyDescent="0.25">
      <c r="C2378" s="5"/>
    </row>
    <row r="2379" spans="3:21" x14ac:dyDescent="0.25">
      <c r="C2379" s="5"/>
    </row>
    <row r="2380" spans="3:21" x14ac:dyDescent="0.25">
      <c r="C2380" s="5"/>
    </row>
    <row r="2381" spans="3:21" x14ac:dyDescent="0.25">
      <c r="C2381" s="5"/>
    </row>
    <row r="2382" spans="3:21" x14ac:dyDescent="0.25">
      <c r="C2382" s="5"/>
    </row>
    <row r="2383" spans="3:21" x14ac:dyDescent="0.25">
      <c r="C2383" s="5"/>
    </row>
    <row r="2384" spans="3:21" x14ac:dyDescent="0.25">
      <c r="C2384" s="5"/>
    </row>
    <row r="2385" spans="3:21" x14ac:dyDescent="0.25">
      <c r="C2385" s="5"/>
    </row>
    <row r="2386" spans="3:21" x14ac:dyDescent="0.25">
      <c r="C2386" s="5"/>
      <c r="O2386"/>
      <c r="P2386"/>
      <c r="Q2386"/>
      <c r="R2386"/>
      <c r="S2386"/>
      <c r="T2386"/>
      <c r="U2386"/>
    </row>
    <row r="2387" spans="3:21" x14ac:dyDescent="0.25">
      <c r="C2387" s="5"/>
    </row>
    <row r="2388" spans="3:21" x14ac:dyDescent="0.25">
      <c r="C2388" s="5"/>
    </row>
    <row r="2389" spans="3:21" x14ac:dyDescent="0.25">
      <c r="C2389" s="5"/>
    </row>
    <row r="2390" spans="3:21" x14ac:dyDescent="0.25">
      <c r="C2390" s="5"/>
    </row>
    <row r="2391" spans="3:21" x14ac:dyDescent="0.25">
      <c r="C2391" s="5"/>
    </row>
    <row r="2392" spans="3:21" x14ac:dyDescent="0.25">
      <c r="C2392" s="5"/>
    </row>
    <row r="2393" spans="3:21" x14ac:dyDescent="0.25">
      <c r="C2393" s="5"/>
    </row>
    <row r="2394" spans="3:21" x14ac:dyDescent="0.25">
      <c r="C2394" s="5"/>
    </row>
    <row r="2395" spans="3:21" x14ac:dyDescent="0.25">
      <c r="C2395" s="5"/>
    </row>
    <row r="2396" spans="3:21" x14ac:dyDescent="0.25">
      <c r="C2396" s="5"/>
      <c r="O2396"/>
      <c r="P2396"/>
      <c r="Q2396"/>
      <c r="R2396"/>
      <c r="S2396"/>
      <c r="T2396"/>
      <c r="U2396"/>
    </row>
    <row r="2397" spans="3:21" x14ac:dyDescent="0.25">
      <c r="C2397" s="5"/>
    </row>
    <row r="2398" spans="3:21" x14ac:dyDescent="0.25">
      <c r="C2398" s="5"/>
    </row>
    <row r="2399" spans="3:21" x14ac:dyDescent="0.25">
      <c r="C2399" s="5"/>
    </row>
    <row r="2400" spans="3:21" x14ac:dyDescent="0.25">
      <c r="C2400" s="5"/>
    </row>
    <row r="2401" spans="3:3" x14ac:dyDescent="0.25">
      <c r="C2401" s="5"/>
    </row>
    <row r="2402" spans="3:3" x14ac:dyDescent="0.25">
      <c r="C2402" s="5"/>
    </row>
    <row r="2403" spans="3:3" x14ac:dyDescent="0.25">
      <c r="C2403" s="5"/>
    </row>
    <row r="2404" spans="3:3" x14ac:dyDescent="0.25">
      <c r="C2404" s="5"/>
    </row>
    <row r="2405" spans="3:3" x14ac:dyDescent="0.25">
      <c r="C2405" s="5"/>
    </row>
    <row r="2406" spans="3:3" x14ac:dyDescent="0.25">
      <c r="C2406" s="5"/>
    </row>
    <row r="2407" spans="3:3" x14ac:dyDescent="0.25">
      <c r="C2407" s="5"/>
    </row>
    <row r="2408" spans="3:3" x14ac:dyDescent="0.25">
      <c r="C2408" s="5"/>
    </row>
    <row r="2409" spans="3:3" x14ac:dyDescent="0.25">
      <c r="C2409" s="5"/>
    </row>
    <row r="2410" spans="3:3" x14ac:dyDescent="0.25">
      <c r="C2410" s="5"/>
    </row>
    <row r="2411" spans="3:3" x14ac:dyDescent="0.25">
      <c r="C2411" s="5"/>
    </row>
    <row r="2412" spans="3:3" x14ac:dyDescent="0.25">
      <c r="C2412" s="5"/>
    </row>
    <row r="2413" spans="3:3" x14ac:dyDescent="0.25">
      <c r="C2413" s="5"/>
    </row>
    <row r="2414" spans="3:3" x14ac:dyDescent="0.25">
      <c r="C2414" s="5"/>
    </row>
    <row r="2415" spans="3:3" x14ac:dyDescent="0.25">
      <c r="C2415" s="5"/>
    </row>
    <row r="2416" spans="3:3" x14ac:dyDescent="0.25">
      <c r="C2416" s="5"/>
    </row>
    <row r="2417" spans="3:3" x14ac:dyDescent="0.25">
      <c r="C2417" s="5"/>
    </row>
    <row r="2418" spans="3:3" x14ac:dyDescent="0.25">
      <c r="C2418" s="5"/>
    </row>
    <row r="2419" spans="3:3" x14ac:dyDescent="0.25">
      <c r="C2419" s="5"/>
    </row>
    <row r="2420" spans="3:3" x14ac:dyDescent="0.25">
      <c r="C2420" s="5"/>
    </row>
    <row r="2421" spans="3:3" x14ac:dyDescent="0.25">
      <c r="C2421" s="5"/>
    </row>
    <row r="2422" spans="3:3" x14ac:dyDescent="0.25">
      <c r="C2422" s="5"/>
    </row>
    <row r="2423" spans="3:3" x14ac:dyDescent="0.25">
      <c r="C2423" s="5"/>
    </row>
    <row r="2424" spans="3:3" x14ac:dyDescent="0.25">
      <c r="C2424" s="5"/>
    </row>
    <row r="2425" spans="3:3" x14ac:dyDescent="0.25">
      <c r="C2425" s="5"/>
    </row>
    <row r="2426" spans="3:3" x14ac:dyDescent="0.25">
      <c r="C2426" s="5"/>
    </row>
    <row r="2427" spans="3:3" x14ac:dyDescent="0.25">
      <c r="C2427" s="5"/>
    </row>
    <row r="2428" spans="3:3" x14ac:dyDescent="0.25">
      <c r="C2428" s="5"/>
    </row>
    <row r="2429" spans="3:3" x14ac:dyDescent="0.25">
      <c r="C2429" s="5"/>
    </row>
    <row r="2430" spans="3:3" x14ac:dyDescent="0.25">
      <c r="C2430" s="5"/>
    </row>
    <row r="2431" spans="3:3" x14ac:dyDescent="0.25">
      <c r="C2431" s="5"/>
    </row>
    <row r="2432" spans="3:3" x14ac:dyDescent="0.25">
      <c r="C2432" s="5"/>
    </row>
    <row r="2433" spans="3:3" x14ac:dyDescent="0.25">
      <c r="C2433" s="5"/>
    </row>
    <row r="2434" spans="3:3" x14ac:dyDescent="0.25">
      <c r="C2434" s="5"/>
    </row>
    <row r="2435" spans="3:3" x14ac:dyDescent="0.25">
      <c r="C2435" s="5"/>
    </row>
    <row r="2436" spans="3:3" x14ac:dyDescent="0.25">
      <c r="C2436" s="5"/>
    </row>
    <row r="2437" spans="3:3" x14ac:dyDescent="0.25">
      <c r="C2437" s="5"/>
    </row>
    <row r="2438" spans="3:3" x14ac:dyDescent="0.25">
      <c r="C2438" s="5"/>
    </row>
    <row r="2439" spans="3:3" x14ac:dyDescent="0.25">
      <c r="C2439" s="5"/>
    </row>
    <row r="2440" spans="3:3" x14ac:dyDescent="0.25">
      <c r="C2440" s="5"/>
    </row>
    <row r="2441" spans="3:3" x14ac:dyDescent="0.25">
      <c r="C2441" s="5"/>
    </row>
    <row r="2442" spans="3:3" x14ac:dyDescent="0.25">
      <c r="C2442" s="5"/>
    </row>
    <row r="2443" spans="3:3" x14ac:dyDescent="0.25">
      <c r="C2443" s="5"/>
    </row>
    <row r="2444" spans="3:3" x14ac:dyDescent="0.25">
      <c r="C2444" s="5"/>
    </row>
    <row r="2445" spans="3:3" x14ac:dyDescent="0.25">
      <c r="C2445" s="5"/>
    </row>
    <row r="2446" spans="3:3" x14ac:dyDescent="0.25">
      <c r="C2446" s="5"/>
    </row>
    <row r="2447" spans="3:3" x14ac:dyDescent="0.25">
      <c r="C2447" s="5"/>
    </row>
    <row r="2448" spans="3:3" x14ac:dyDescent="0.25">
      <c r="C2448" s="5"/>
    </row>
    <row r="2449" spans="3:21" x14ac:dyDescent="0.25">
      <c r="C2449" s="5"/>
    </row>
    <row r="2450" spans="3:21" x14ac:dyDescent="0.25">
      <c r="C2450" s="5"/>
    </row>
    <row r="2451" spans="3:21" x14ac:dyDescent="0.25">
      <c r="C2451" s="5"/>
    </row>
    <row r="2452" spans="3:21" x14ac:dyDescent="0.25">
      <c r="C2452" s="5"/>
    </row>
    <row r="2453" spans="3:21" x14ac:dyDescent="0.25">
      <c r="C2453" s="5"/>
    </row>
    <row r="2454" spans="3:21" x14ac:dyDescent="0.25">
      <c r="C2454" s="5"/>
    </row>
    <row r="2455" spans="3:21" x14ac:dyDescent="0.25">
      <c r="C2455" s="5"/>
    </row>
    <row r="2456" spans="3:21" x14ac:dyDescent="0.25">
      <c r="C2456" s="5"/>
    </row>
    <row r="2457" spans="3:21" x14ac:dyDescent="0.25">
      <c r="C2457" s="5"/>
    </row>
    <row r="2458" spans="3:21" x14ac:dyDescent="0.25">
      <c r="C2458" s="5"/>
    </row>
    <row r="2459" spans="3:21" x14ac:dyDescent="0.25">
      <c r="C2459" s="5"/>
      <c r="O2459"/>
      <c r="P2459"/>
      <c r="Q2459"/>
      <c r="R2459"/>
      <c r="S2459"/>
      <c r="T2459"/>
      <c r="U2459"/>
    </row>
    <row r="2460" spans="3:21" x14ac:dyDescent="0.25">
      <c r="C2460" s="5"/>
    </row>
    <row r="2461" spans="3:21" x14ac:dyDescent="0.25">
      <c r="C2461" s="5"/>
    </row>
    <row r="2462" spans="3:21" x14ac:dyDescent="0.25">
      <c r="C2462" s="5"/>
    </row>
    <row r="2463" spans="3:21" x14ac:dyDescent="0.25">
      <c r="C2463" s="5"/>
    </row>
    <row r="2464" spans="3:21" x14ac:dyDescent="0.25">
      <c r="C2464" s="5"/>
    </row>
    <row r="2465" spans="3:3" x14ac:dyDescent="0.25">
      <c r="C2465" s="5"/>
    </row>
    <row r="2466" spans="3:3" x14ac:dyDescent="0.25">
      <c r="C2466" s="5"/>
    </row>
    <row r="2467" spans="3:3" x14ac:dyDescent="0.25">
      <c r="C2467" s="5"/>
    </row>
    <row r="2468" spans="3:3" x14ac:dyDescent="0.25">
      <c r="C2468" s="5"/>
    </row>
    <row r="2469" spans="3:3" x14ac:dyDescent="0.25">
      <c r="C2469" s="5"/>
    </row>
    <row r="2470" spans="3:3" x14ac:dyDescent="0.25">
      <c r="C2470" s="5"/>
    </row>
    <row r="2471" spans="3:3" x14ac:dyDescent="0.25">
      <c r="C2471" s="5"/>
    </row>
    <row r="2472" spans="3:3" x14ac:dyDescent="0.25">
      <c r="C2472" s="5"/>
    </row>
    <row r="2473" spans="3:3" x14ac:dyDescent="0.25">
      <c r="C2473" s="5"/>
    </row>
    <row r="2474" spans="3:3" x14ac:dyDescent="0.25">
      <c r="C2474" s="5"/>
    </row>
    <row r="2475" spans="3:3" x14ac:dyDescent="0.25">
      <c r="C2475" s="5"/>
    </row>
    <row r="2476" spans="3:3" x14ac:dyDescent="0.25">
      <c r="C2476" s="5"/>
    </row>
    <row r="2477" spans="3:3" x14ac:dyDescent="0.25">
      <c r="C2477" s="5"/>
    </row>
    <row r="2478" spans="3:3" x14ac:dyDescent="0.25">
      <c r="C2478" s="5"/>
    </row>
    <row r="2479" spans="3:3" x14ac:dyDescent="0.25">
      <c r="C2479" s="5"/>
    </row>
    <row r="2480" spans="3:3" x14ac:dyDescent="0.25">
      <c r="C2480" s="5"/>
    </row>
    <row r="2481" spans="3:3" x14ac:dyDescent="0.25">
      <c r="C2481" s="5"/>
    </row>
    <row r="2482" spans="3:3" x14ac:dyDescent="0.25">
      <c r="C2482" s="5"/>
    </row>
    <row r="2483" spans="3:3" x14ac:dyDescent="0.25">
      <c r="C2483" s="5"/>
    </row>
    <row r="2484" spans="3:3" x14ac:dyDescent="0.25">
      <c r="C2484" s="5"/>
    </row>
    <row r="2485" spans="3:3" x14ac:dyDescent="0.25">
      <c r="C2485" s="5"/>
    </row>
    <row r="2486" spans="3:3" x14ac:dyDescent="0.25">
      <c r="C2486" s="5"/>
    </row>
    <row r="2487" spans="3:3" x14ac:dyDescent="0.25">
      <c r="C2487" s="5"/>
    </row>
    <row r="2488" spans="3:3" x14ac:dyDescent="0.25">
      <c r="C2488" s="5"/>
    </row>
    <row r="2489" spans="3:3" x14ac:dyDescent="0.25">
      <c r="C2489" s="5"/>
    </row>
    <row r="2490" spans="3:3" x14ac:dyDescent="0.25">
      <c r="C2490" s="5"/>
    </row>
    <row r="2491" spans="3:3" x14ac:dyDescent="0.25">
      <c r="C2491" s="5"/>
    </row>
    <row r="2492" spans="3:3" x14ac:dyDescent="0.25">
      <c r="C2492" s="5"/>
    </row>
    <row r="2493" spans="3:3" x14ac:dyDescent="0.25">
      <c r="C2493" s="5"/>
    </row>
    <row r="2494" spans="3:3" x14ac:dyDescent="0.25">
      <c r="C2494" s="5"/>
    </row>
    <row r="2495" spans="3:3" x14ac:dyDescent="0.25">
      <c r="C2495" s="5"/>
    </row>
    <row r="2496" spans="3:3" x14ac:dyDescent="0.25">
      <c r="C2496" s="5"/>
    </row>
    <row r="2497" spans="3:3" x14ac:dyDescent="0.25">
      <c r="C2497" s="5"/>
    </row>
    <row r="2498" spans="3:3" x14ac:dyDescent="0.25">
      <c r="C2498" s="5"/>
    </row>
    <row r="2499" spans="3:3" x14ac:dyDescent="0.25">
      <c r="C2499" s="5"/>
    </row>
    <row r="2500" spans="3:3" x14ac:dyDescent="0.25">
      <c r="C2500" s="5"/>
    </row>
    <row r="2501" spans="3:3" x14ac:dyDescent="0.25">
      <c r="C2501" s="5"/>
    </row>
    <row r="2502" spans="3:3" x14ac:dyDescent="0.25">
      <c r="C2502" s="5"/>
    </row>
    <row r="2503" spans="3:3" x14ac:dyDescent="0.25">
      <c r="C2503" s="5"/>
    </row>
    <row r="2504" spans="3:3" x14ac:dyDescent="0.25">
      <c r="C2504" s="5"/>
    </row>
    <row r="2505" spans="3:3" x14ac:dyDescent="0.25">
      <c r="C2505" s="5"/>
    </row>
    <row r="2506" spans="3:3" x14ac:dyDescent="0.25">
      <c r="C2506" s="5"/>
    </row>
    <row r="2507" spans="3:3" x14ac:dyDescent="0.25">
      <c r="C2507" s="5"/>
    </row>
    <row r="2508" spans="3:3" x14ac:dyDescent="0.25">
      <c r="C2508" s="5"/>
    </row>
    <row r="2509" spans="3:3" x14ac:dyDescent="0.25">
      <c r="C2509" s="5"/>
    </row>
    <row r="2510" spans="3:3" x14ac:dyDescent="0.25">
      <c r="C2510" s="5"/>
    </row>
    <row r="2511" spans="3:3" x14ac:dyDescent="0.25">
      <c r="C2511" s="5"/>
    </row>
    <row r="2512" spans="3:3" x14ac:dyDescent="0.25">
      <c r="C2512" s="5"/>
    </row>
    <row r="2513" spans="3:21" x14ac:dyDescent="0.25">
      <c r="C2513" s="5"/>
    </row>
    <row r="2514" spans="3:21" x14ac:dyDescent="0.25">
      <c r="C2514" s="5"/>
    </row>
    <row r="2515" spans="3:21" x14ac:dyDescent="0.25">
      <c r="C2515" s="5"/>
    </row>
    <row r="2516" spans="3:21" x14ac:dyDescent="0.25">
      <c r="C2516" s="5"/>
    </row>
    <row r="2517" spans="3:21" x14ac:dyDescent="0.25">
      <c r="C2517" s="5"/>
      <c r="O2517"/>
      <c r="P2517"/>
      <c r="Q2517"/>
      <c r="R2517"/>
      <c r="S2517"/>
      <c r="T2517"/>
      <c r="U2517"/>
    </row>
    <row r="2518" spans="3:21" x14ac:dyDescent="0.25">
      <c r="C2518" s="5"/>
    </row>
    <row r="2519" spans="3:21" x14ac:dyDescent="0.25">
      <c r="C2519" s="5"/>
    </row>
    <row r="2520" spans="3:21" x14ac:dyDescent="0.25">
      <c r="C2520" s="5"/>
    </row>
    <row r="2521" spans="3:21" x14ac:dyDescent="0.25">
      <c r="C2521" s="5"/>
    </row>
    <row r="2522" spans="3:21" x14ac:dyDescent="0.25">
      <c r="C2522" s="5"/>
    </row>
    <row r="2523" spans="3:21" x14ac:dyDescent="0.25">
      <c r="C2523" s="5"/>
    </row>
    <row r="2524" spans="3:21" x14ac:dyDescent="0.25">
      <c r="C2524" s="5"/>
    </row>
    <row r="2525" spans="3:21" x14ac:dyDescent="0.25">
      <c r="C2525" s="5"/>
    </row>
    <row r="2526" spans="3:21" x14ac:dyDescent="0.25">
      <c r="C2526" s="5"/>
    </row>
    <row r="2527" spans="3:21" x14ac:dyDescent="0.25">
      <c r="C2527" s="5"/>
    </row>
    <row r="2528" spans="3:21" x14ac:dyDescent="0.25">
      <c r="C2528" s="5"/>
      <c r="O2528"/>
      <c r="P2528"/>
      <c r="Q2528"/>
      <c r="R2528"/>
      <c r="S2528"/>
      <c r="T2528"/>
      <c r="U2528"/>
    </row>
    <row r="2529" spans="3:3" x14ac:dyDescent="0.25">
      <c r="C2529" s="5"/>
    </row>
    <row r="2530" spans="3:3" x14ac:dyDescent="0.25">
      <c r="C2530" s="5"/>
    </row>
    <row r="2531" spans="3:3" x14ac:dyDescent="0.25">
      <c r="C2531" s="5"/>
    </row>
    <row r="2532" spans="3:3" x14ac:dyDescent="0.25">
      <c r="C2532" s="5"/>
    </row>
    <row r="2533" spans="3:3" x14ac:dyDescent="0.25">
      <c r="C2533" s="5"/>
    </row>
    <row r="2534" spans="3:3" x14ac:dyDescent="0.25">
      <c r="C2534" s="5"/>
    </row>
    <row r="2535" spans="3:3" x14ac:dyDescent="0.25">
      <c r="C2535" s="5"/>
    </row>
    <row r="2536" spans="3:3" x14ac:dyDescent="0.25">
      <c r="C2536" s="5"/>
    </row>
    <row r="2537" spans="3:3" x14ac:dyDescent="0.25">
      <c r="C2537" s="5"/>
    </row>
    <row r="2538" spans="3:3" x14ac:dyDescent="0.25">
      <c r="C2538" s="5"/>
    </row>
    <row r="2539" spans="3:3" x14ac:dyDescent="0.25">
      <c r="C2539" s="5"/>
    </row>
    <row r="2540" spans="3:3" x14ac:dyDescent="0.25">
      <c r="C2540" s="5"/>
    </row>
    <row r="2541" spans="3:3" x14ac:dyDescent="0.25">
      <c r="C2541" s="5"/>
    </row>
    <row r="2542" spans="3:3" x14ac:dyDescent="0.25">
      <c r="C2542" s="5"/>
    </row>
    <row r="2543" spans="3:3" x14ac:dyDescent="0.25">
      <c r="C2543" s="5"/>
    </row>
    <row r="2544" spans="3:3" x14ac:dyDescent="0.25">
      <c r="C2544" s="5"/>
    </row>
    <row r="2545" spans="3:21" x14ac:dyDescent="0.25">
      <c r="C2545" s="5"/>
    </row>
    <row r="2546" spans="3:21" x14ac:dyDescent="0.25">
      <c r="C2546" s="5"/>
    </row>
    <row r="2547" spans="3:21" x14ac:dyDescent="0.25">
      <c r="C2547" s="5"/>
      <c r="O2547"/>
      <c r="P2547"/>
      <c r="Q2547"/>
      <c r="R2547"/>
      <c r="S2547"/>
      <c r="T2547"/>
      <c r="U2547"/>
    </row>
    <row r="2548" spans="3:21" x14ac:dyDescent="0.25">
      <c r="C2548" s="5"/>
    </row>
    <row r="2549" spans="3:21" x14ac:dyDescent="0.25">
      <c r="C2549" s="5"/>
    </row>
    <row r="2550" spans="3:21" x14ac:dyDescent="0.25">
      <c r="C2550" s="5"/>
    </row>
    <row r="2551" spans="3:21" x14ac:dyDescent="0.25">
      <c r="C2551" s="5"/>
    </row>
    <row r="2552" spans="3:21" x14ac:dyDescent="0.25">
      <c r="C2552" s="5"/>
    </row>
    <row r="2553" spans="3:21" x14ac:dyDescent="0.25">
      <c r="C2553" s="5"/>
    </row>
    <row r="2554" spans="3:21" x14ac:dyDescent="0.25">
      <c r="C2554" s="5"/>
    </row>
    <row r="2555" spans="3:21" x14ac:dyDescent="0.25">
      <c r="C2555" s="5"/>
    </row>
    <row r="2556" spans="3:21" x14ac:dyDescent="0.25">
      <c r="C2556" s="5"/>
    </row>
    <row r="2557" spans="3:21" x14ac:dyDescent="0.25">
      <c r="C2557" s="5"/>
    </row>
    <row r="2558" spans="3:21" x14ac:dyDescent="0.25">
      <c r="C2558" s="5"/>
    </row>
    <row r="2559" spans="3:21" x14ac:dyDescent="0.25">
      <c r="C2559" s="5"/>
    </row>
    <row r="2560" spans="3:21" x14ac:dyDescent="0.25">
      <c r="C2560" s="5"/>
    </row>
    <row r="2561" spans="3:21" x14ac:dyDescent="0.25">
      <c r="C2561" s="5"/>
    </row>
    <row r="2562" spans="3:21" x14ac:dyDescent="0.25">
      <c r="C2562" s="5"/>
    </row>
    <row r="2563" spans="3:21" x14ac:dyDescent="0.25">
      <c r="C2563" s="5"/>
    </row>
    <row r="2564" spans="3:21" x14ac:dyDescent="0.25">
      <c r="C2564" s="5"/>
    </row>
    <row r="2565" spans="3:21" x14ac:dyDescent="0.25">
      <c r="C2565" s="5"/>
      <c r="O2565"/>
      <c r="P2565"/>
      <c r="Q2565"/>
      <c r="R2565"/>
      <c r="S2565"/>
      <c r="T2565"/>
      <c r="U2565"/>
    </row>
    <row r="2566" spans="3:21" x14ac:dyDescent="0.25">
      <c r="C2566" s="5"/>
    </row>
    <row r="2567" spans="3:21" x14ac:dyDescent="0.25">
      <c r="C2567" s="5"/>
    </row>
    <row r="2568" spans="3:21" x14ac:dyDescent="0.25">
      <c r="C2568" s="5"/>
    </row>
    <row r="2569" spans="3:21" x14ac:dyDescent="0.25">
      <c r="C2569" s="5"/>
    </row>
    <row r="2570" spans="3:21" x14ac:dyDescent="0.25">
      <c r="C2570" s="5"/>
    </row>
    <row r="2571" spans="3:21" x14ac:dyDescent="0.25">
      <c r="C2571" s="5"/>
    </row>
    <row r="2572" spans="3:21" x14ac:dyDescent="0.25">
      <c r="C2572" s="5"/>
    </row>
    <row r="2573" spans="3:21" x14ac:dyDescent="0.25">
      <c r="C2573" s="5"/>
    </row>
    <row r="2574" spans="3:21" x14ac:dyDescent="0.25">
      <c r="C2574" s="5"/>
    </row>
    <row r="2575" spans="3:21" x14ac:dyDescent="0.25">
      <c r="C2575" s="5"/>
    </row>
    <row r="2576" spans="3:21" x14ac:dyDescent="0.25">
      <c r="C2576" s="5"/>
    </row>
    <row r="2577" spans="3:3" x14ac:dyDescent="0.25">
      <c r="C2577" s="5"/>
    </row>
    <row r="2578" spans="3:3" x14ac:dyDescent="0.25">
      <c r="C2578" s="5"/>
    </row>
    <row r="2579" spans="3:3" x14ac:dyDescent="0.25">
      <c r="C2579" s="5"/>
    </row>
    <row r="2580" spans="3:3" x14ac:dyDescent="0.25">
      <c r="C2580" s="5"/>
    </row>
    <row r="2581" spans="3:3" x14ac:dyDescent="0.25">
      <c r="C2581" s="5"/>
    </row>
    <row r="2582" spans="3:3" x14ac:dyDescent="0.25">
      <c r="C2582" s="5"/>
    </row>
    <row r="2583" spans="3:3" x14ac:dyDescent="0.25">
      <c r="C2583" s="5"/>
    </row>
    <row r="2584" spans="3:3" x14ac:dyDescent="0.25">
      <c r="C2584" s="5"/>
    </row>
    <row r="2585" spans="3:3" x14ac:dyDescent="0.25">
      <c r="C2585" s="5"/>
    </row>
    <row r="2586" spans="3:3" x14ac:dyDescent="0.25">
      <c r="C2586" s="5"/>
    </row>
    <row r="2587" spans="3:3" x14ac:dyDescent="0.25">
      <c r="C2587" s="5"/>
    </row>
    <row r="2588" spans="3:3" x14ac:dyDescent="0.25">
      <c r="C2588" s="5"/>
    </row>
    <row r="2589" spans="3:3" x14ac:dyDescent="0.25">
      <c r="C2589" s="5"/>
    </row>
    <row r="2590" spans="3:3" x14ac:dyDescent="0.25">
      <c r="C2590" s="5"/>
    </row>
    <row r="2591" spans="3:3" x14ac:dyDescent="0.25">
      <c r="C2591" s="5"/>
    </row>
    <row r="2592" spans="3:3" x14ac:dyDescent="0.25">
      <c r="C2592" s="5"/>
    </row>
    <row r="2593" spans="3:3" x14ac:dyDescent="0.25">
      <c r="C2593" s="5"/>
    </row>
    <row r="2594" spans="3:3" x14ac:dyDescent="0.25">
      <c r="C2594" s="5"/>
    </row>
    <row r="2595" spans="3:3" x14ac:dyDescent="0.25">
      <c r="C2595" s="5"/>
    </row>
    <row r="2596" spans="3:3" x14ac:dyDescent="0.25">
      <c r="C2596" s="5"/>
    </row>
    <row r="2597" spans="3:3" x14ac:dyDescent="0.25">
      <c r="C2597" s="5"/>
    </row>
    <row r="2598" spans="3:3" x14ac:dyDescent="0.25">
      <c r="C2598" s="5"/>
    </row>
    <row r="2599" spans="3:3" x14ac:dyDescent="0.25">
      <c r="C2599" s="5"/>
    </row>
    <row r="2600" spans="3:3" x14ac:dyDescent="0.25">
      <c r="C2600" s="5"/>
    </row>
    <row r="2601" spans="3:3" x14ac:dyDescent="0.25">
      <c r="C2601" s="5"/>
    </row>
    <row r="2602" spans="3:3" x14ac:dyDescent="0.25">
      <c r="C2602" s="5"/>
    </row>
    <row r="2603" spans="3:3" x14ac:dyDescent="0.25">
      <c r="C2603" s="5"/>
    </row>
    <row r="2604" spans="3:3" x14ac:dyDescent="0.25">
      <c r="C2604" s="5"/>
    </row>
    <row r="2605" spans="3:3" x14ac:dyDescent="0.25">
      <c r="C2605" s="5"/>
    </row>
    <row r="2606" spans="3:3" x14ac:dyDescent="0.25">
      <c r="C2606" s="5"/>
    </row>
    <row r="2607" spans="3:3" x14ac:dyDescent="0.25">
      <c r="C2607" s="5"/>
    </row>
    <row r="2608" spans="3:3" x14ac:dyDescent="0.25">
      <c r="C2608" s="5"/>
    </row>
    <row r="2609" spans="3:3" x14ac:dyDescent="0.25">
      <c r="C2609" s="5"/>
    </row>
    <row r="2610" spans="3:3" x14ac:dyDescent="0.25">
      <c r="C2610" s="5"/>
    </row>
    <row r="2611" spans="3:3" x14ac:dyDescent="0.25">
      <c r="C2611" s="5"/>
    </row>
    <row r="2612" spans="3:3" x14ac:dyDescent="0.25">
      <c r="C2612" s="5"/>
    </row>
    <row r="2613" spans="3:3" x14ac:dyDescent="0.25">
      <c r="C2613" s="5"/>
    </row>
    <row r="2614" spans="3:3" x14ac:dyDescent="0.25">
      <c r="C2614" s="5"/>
    </row>
    <row r="2615" spans="3:3" x14ac:dyDescent="0.25">
      <c r="C2615" s="5"/>
    </row>
    <row r="2616" spans="3:3" x14ac:dyDescent="0.25">
      <c r="C2616" s="5"/>
    </row>
    <row r="2617" spans="3:3" x14ac:dyDescent="0.25">
      <c r="C2617" s="5"/>
    </row>
    <row r="2618" spans="3:3" x14ac:dyDescent="0.25">
      <c r="C2618" s="5"/>
    </row>
    <row r="2619" spans="3:3" x14ac:dyDescent="0.25">
      <c r="C2619" s="5"/>
    </row>
    <row r="2620" spans="3:3" x14ac:dyDescent="0.25">
      <c r="C2620" s="5"/>
    </row>
    <row r="2621" spans="3:3" x14ac:dyDescent="0.25">
      <c r="C2621" s="5"/>
    </row>
    <row r="2622" spans="3:3" x14ac:dyDescent="0.25">
      <c r="C2622" s="5"/>
    </row>
    <row r="2623" spans="3:3" x14ac:dyDescent="0.25">
      <c r="C2623" s="5"/>
    </row>
    <row r="2624" spans="3:3" x14ac:dyDescent="0.25">
      <c r="C2624" s="5"/>
    </row>
    <row r="2625" spans="3:3" x14ac:dyDescent="0.25">
      <c r="C2625" s="5"/>
    </row>
    <row r="2626" spans="3:3" x14ac:dyDescent="0.25">
      <c r="C2626" s="5"/>
    </row>
    <row r="2627" spans="3:3" x14ac:dyDescent="0.25">
      <c r="C2627" s="5"/>
    </row>
    <row r="2628" spans="3:3" x14ac:dyDescent="0.25">
      <c r="C2628" s="5"/>
    </row>
    <row r="2629" spans="3:3" x14ac:dyDescent="0.25">
      <c r="C2629" s="5"/>
    </row>
    <row r="2630" spans="3:3" x14ac:dyDescent="0.25">
      <c r="C2630" s="5"/>
    </row>
    <row r="2631" spans="3:3" x14ac:dyDescent="0.25">
      <c r="C2631" s="5"/>
    </row>
    <row r="2632" spans="3:3" x14ac:dyDescent="0.25">
      <c r="C2632" s="5"/>
    </row>
    <row r="2633" spans="3:3" x14ac:dyDescent="0.25">
      <c r="C2633" s="5"/>
    </row>
    <row r="2634" spans="3:3" x14ac:dyDescent="0.25">
      <c r="C2634" s="5"/>
    </row>
    <row r="2635" spans="3:3" x14ac:dyDescent="0.25">
      <c r="C2635" s="5"/>
    </row>
    <row r="2636" spans="3:3" x14ac:dyDescent="0.25">
      <c r="C2636" s="5"/>
    </row>
    <row r="2637" spans="3:3" x14ac:dyDescent="0.25">
      <c r="C2637" s="5"/>
    </row>
    <row r="2638" spans="3:3" x14ac:dyDescent="0.25">
      <c r="C2638" s="5"/>
    </row>
    <row r="2639" spans="3:3" x14ac:dyDescent="0.25">
      <c r="C2639" s="5"/>
    </row>
    <row r="2640" spans="3:3" x14ac:dyDescent="0.25">
      <c r="C2640" s="5"/>
    </row>
    <row r="2641" spans="3:3" x14ac:dyDescent="0.25">
      <c r="C2641" s="5"/>
    </row>
    <row r="2642" spans="3:3" x14ac:dyDescent="0.25">
      <c r="C2642" s="5"/>
    </row>
    <row r="2643" spans="3:3" x14ac:dyDescent="0.25">
      <c r="C2643" s="5"/>
    </row>
    <row r="2644" spans="3:3" x14ac:dyDescent="0.25">
      <c r="C2644" s="5"/>
    </row>
    <row r="2645" spans="3:3" x14ac:dyDescent="0.25">
      <c r="C2645" s="5"/>
    </row>
    <row r="2646" spans="3:3" x14ac:dyDescent="0.25">
      <c r="C2646" s="5"/>
    </row>
    <row r="2647" spans="3:3" x14ac:dyDescent="0.25">
      <c r="C2647" s="5"/>
    </row>
    <row r="2648" spans="3:3" x14ac:dyDescent="0.25">
      <c r="C2648" s="5"/>
    </row>
    <row r="2649" spans="3:3" x14ac:dyDescent="0.25">
      <c r="C2649" s="5"/>
    </row>
    <row r="2650" spans="3:3" x14ac:dyDescent="0.25">
      <c r="C2650" s="5"/>
    </row>
    <row r="2651" spans="3:3" x14ac:dyDescent="0.25">
      <c r="C2651" s="5"/>
    </row>
    <row r="2652" spans="3:3" x14ac:dyDescent="0.25">
      <c r="C2652" s="5"/>
    </row>
    <row r="2653" spans="3:3" x14ac:dyDescent="0.25">
      <c r="C2653" s="5"/>
    </row>
    <row r="2654" spans="3:3" x14ac:dyDescent="0.25">
      <c r="C2654" s="5"/>
    </row>
    <row r="2655" spans="3:3" x14ac:dyDescent="0.25">
      <c r="C2655" s="5"/>
    </row>
    <row r="2656" spans="3:3" x14ac:dyDescent="0.25">
      <c r="C2656" s="5"/>
    </row>
    <row r="2657" spans="3:3" x14ac:dyDescent="0.25">
      <c r="C2657" s="5"/>
    </row>
    <row r="2658" spans="3:3" x14ac:dyDescent="0.25">
      <c r="C2658" s="5"/>
    </row>
    <row r="2659" spans="3:3" x14ac:dyDescent="0.25">
      <c r="C2659" s="5"/>
    </row>
    <row r="2660" spans="3:3" x14ac:dyDescent="0.25">
      <c r="C2660" s="5"/>
    </row>
    <row r="2661" spans="3:3" x14ac:dyDescent="0.25">
      <c r="C2661" s="5"/>
    </row>
    <row r="2662" spans="3:3" x14ac:dyDescent="0.25">
      <c r="C2662" s="5"/>
    </row>
    <row r="2663" spans="3:3" x14ac:dyDescent="0.25">
      <c r="C2663" s="5"/>
    </row>
    <row r="2664" spans="3:3" x14ac:dyDescent="0.25">
      <c r="C2664" s="5"/>
    </row>
    <row r="2665" spans="3:3" x14ac:dyDescent="0.25">
      <c r="C2665" s="5"/>
    </row>
    <row r="2666" spans="3:3" x14ac:dyDescent="0.25">
      <c r="C2666" s="5"/>
    </row>
    <row r="2667" spans="3:3" x14ac:dyDescent="0.25">
      <c r="C2667" s="5"/>
    </row>
    <row r="2668" spans="3:3" x14ac:dyDescent="0.25">
      <c r="C2668" s="5"/>
    </row>
    <row r="2669" spans="3:3" x14ac:dyDescent="0.25">
      <c r="C2669" s="5"/>
    </row>
    <row r="2670" spans="3:3" x14ac:dyDescent="0.25">
      <c r="C2670" s="5"/>
    </row>
    <row r="2671" spans="3:3" x14ac:dyDescent="0.25">
      <c r="C2671" s="5"/>
    </row>
    <row r="2672" spans="3:3" x14ac:dyDescent="0.25">
      <c r="C2672" s="5"/>
    </row>
    <row r="2673" spans="3:3" x14ac:dyDescent="0.25">
      <c r="C2673" s="5"/>
    </row>
    <row r="2674" spans="3:3" x14ac:dyDescent="0.25">
      <c r="C2674" s="5"/>
    </row>
    <row r="2675" spans="3:3" x14ac:dyDescent="0.25">
      <c r="C2675" s="5"/>
    </row>
    <row r="2676" spans="3:3" x14ac:dyDescent="0.25">
      <c r="C2676" s="5"/>
    </row>
    <row r="2677" spans="3:3" x14ac:dyDescent="0.25">
      <c r="C2677" s="5"/>
    </row>
    <row r="2678" spans="3:3" x14ac:dyDescent="0.25">
      <c r="C2678" s="5"/>
    </row>
    <row r="2679" spans="3:3" x14ac:dyDescent="0.25">
      <c r="C2679" s="5"/>
    </row>
    <row r="2680" spans="3:3" x14ac:dyDescent="0.25">
      <c r="C2680" s="5"/>
    </row>
    <row r="2681" spans="3:3" x14ac:dyDescent="0.25">
      <c r="C2681" s="5"/>
    </row>
    <row r="2682" spans="3:3" x14ac:dyDescent="0.25">
      <c r="C2682" s="5"/>
    </row>
    <row r="2683" spans="3:3" x14ac:dyDescent="0.25">
      <c r="C2683" s="5"/>
    </row>
    <row r="2684" spans="3:3" x14ac:dyDescent="0.25">
      <c r="C2684" s="5"/>
    </row>
    <row r="2685" spans="3:3" x14ac:dyDescent="0.25">
      <c r="C2685" s="5"/>
    </row>
    <row r="2686" spans="3:3" x14ac:dyDescent="0.25">
      <c r="C2686" s="5"/>
    </row>
    <row r="2687" spans="3:3" x14ac:dyDescent="0.25">
      <c r="C2687" s="5"/>
    </row>
    <row r="2688" spans="3:3" x14ac:dyDescent="0.25">
      <c r="C2688" s="5"/>
    </row>
    <row r="2689" spans="3:21" x14ac:dyDescent="0.25">
      <c r="C2689" s="5"/>
    </row>
    <row r="2690" spans="3:21" x14ac:dyDescent="0.25">
      <c r="C2690" s="5"/>
    </row>
    <row r="2691" spans="3:21" x14ac:dyDescent="0.25">
      <c r="C2691" s="5"/>
      <c r="O2691"/>
      <c r="P2691"/>
      <c r="Q2691"/>
      <c r="R2691"/>
      <c r="S2691"/>
      <c r="T2691"/>
      <c r="U2691"/>
    </row>
    <row r="2692" spans="3:21" x14ac:dyDescent="0.25">
      <c r="C2692" s="5"/>
    </row>
    <row r="2693" spans="3:21" x14ac:dyDescent="0.25">
      <c r="C2693" s="5"/>
    </row>
    <row r="2694" spans="3:21" x14ac:dyDescent="0.25">
      <c r="C2694" s="5"/>
    </row>
    <row r="2695" spans="3:21" x14ac:dyDescent="0.25">
      <c r="C2695" s="5"/>
    </row>
    <row r="2696" spans="3:21" x14ac:dyDescent="0.25">
      <c r="C2696" s="5"/>
      <c r="O2696"/>
      <c r="P2696"/>
      <c r="Q2696"/>
      <c r="R2696"/>
      <c r="S2696"/>
      <c r="T2696"/>
      <c r="U2696"/>
    </row>
    <row r="2697" spans="3:21" x14ac:dyDescent="0.25">
      <c r="C2697" s="5"/>
    </row>
    <row r="2698" spans="3:21" x14ac:dyDescent="0.25">
      <c r="C2698" s="5"/>
    </row>
    <row r="2699" spans="3:21" x14ac:dyDescent="0.25">
      <c r="C2699" s="5"/>
    </row>
    <row r="2700" spans="3:21" x14ac:dyDescent="0.25">
      <c r="C2700" s="5"/>
    </row>
    <row r="2701" spans="3:21" x14ac:dyDescent="0.25">
      <c r="C2701" s="5"/>
    </row>
    <row r="2702" spans="3:21" x14ac:dyDescent="0.25">
      <c r="C2702" s="5"/>
    </row>
    <row r="2703" spans="3:21" x14ac:dyDescent="0.25">
      <c r="C2703" s="5"/>
    </row>
    <row r="2704" spans="3:21" x14ac:dyDescent="0.25">
      <c r="C2704" s="5"/>
    </row>
    <row r="2705" spans="3:21" x14ac:dyDescent="0.25">
      <c r="C2705" s="5"/>
    </row>
    <row r="2706" spans="3:21" x14ac:dyDescent="0.25">
      <c r="C2706" s="5"/>
    </row>
    <row r="2707" spans="3:21" x14ac:dyDescent="0.25">
      <c r="C2707" s="5"/>
    </row>
    <row r="2708" spans="3:21" x14ac:dyDescent="0.25">
      <c r="C2708" s="5"/>
    </row>
    <row r="2709" spans="3:21" x14ac:dyDescent="0.25">
      <c r="C2709" s="5"/>
    </row>
    <row r="2710" spans="3:21" x14ac:dyDescent="0.25">
      <c r="C2710" s="5"/>
    </row>
    <row r="2711" spans="3:21" x14ac:dyDescent="0.25">
      <c r="C2711" s="5"/>
      <c r="O2711"/>
      <c r="P2711"/>
      <c r="Q2711"/>
      <c r="R2711"/>
      <c r="S2711"/>
      <c r="T2711"/>
      <c r="U2711"/>
    </row>
    <row r="2712" spans="3:21" x14ac:dyDescent="0.25">
      <c r="C2712" s="5"/>
    </row>
    <row r="2713" spans="3:21" x14ac:dyDescent="0.25">
      <c r="C2713" s="5"/>
    </row>
    <row r="2714" spans="3:21" x14ac:dyDescent="0.25">
      <c r="C2714" s="5"/>
    </row>
    <row r="2715" spans="3:21" x14ac:dyDescent="0.25">
      <c r="C2715" s="5"/>
    </row>
    <row r="2716" spans="3:21" x14ac:dyDescent="0.25">
      <c r="C2716" s="5"/>
    </row>
    <row r="2717" spans="3:21" x14ac:dyDescent="0.25">
      <c r="C2717" s="5"/>
    </row>
    <row r="2718" spans="3:21" x14ac:dyDescent="0.25">
      <c r="C2718" s="5"/>
    </row>
    <row r="2719" spans="3:21" x14ac:dyDescent="0.25">
      <c r="C2719" s="5"/>
    </row>
    <row r="2720" spans="3:21" x14ac:dyDescent="0.25">
      <c r="C2720" s="5"/>
    </row>
    <row r="2721" spans="3:3" x14ac:dyDescent="0.25">
      <c r="C2721" s="5"/>
    </row>
    <row r="2722" spans="3:3" x14ac:dyDescent="0.25">
      <c r="C2722" s="5"/>
    </row>
    <row r="2723" spans="3:3" x14ac:dyDescent="0.25">
      <c r="C2723" s="5"/>
    </row>
    <row r="2724" spans="3:3" x14ac:dyDescent="0.25">
      <c r="C2724" s="5"/>
    </row>
    <row r="2725" spans="3:3" x14ac:dyDescent="0.25">
      <c r="C2725" s="5"/>
    </row>
    <row r="2726" spans="3:3" x14ac:dyDescent="0.25">
      <c r="C2726" s="5"/>
    </row>
    <row r="2727" spans="3:3" x14ac:dyDescent="0.25">
      <c r="C2727" s="5"/>
    </row>
    <row r="2728" spans="3:3" x14ac:dyDescent="0.25">
      <c r="C2728" s="5"/>
    </row>
    <row r="2729" spans="3:3" x14ac:dyDescent="0.25">
      <c r="C2729" s="5"/>
    </row>
    <row r="2730" spans="3:3" x14ac:dyDescent="0.25">
      <c r="C2730" s="5"/>
    </row>
    <row r="2731" spans="3:3" x14ac:dyDescent="0.25">
      <c r="C2731" s="5"/>
    </row>
    <row r="2732" spans="3:3" x14ac:dyDescent="0.25">
      <c r="C2732" s="5"/>
    </row>
    <row r="2733" spans="3:3" x14ac:dyDescent="0.25">
      <c r="C2733" s="5"/>
    </row>
    <row r="2734" spans="3:3" x14ac:dyDescent="0.25">
      <c r="C2734" s="5"/>
    </row>
    <row r="2735" spans="3:3" x14ac:dyDescent="0.25">
      <c r="C2735" s="5"/>
    </row>
    <row r="2736" spans="3:3" x14ac:dyDescent="0.25">
      <c r="C2736" s="5"/>
    </row>
    <row r="2737" spans="3:3" x14ac:dyDescent="0.25">
      <c r="C2737" s="5"/>
    </row>
    <row r="2738" spans="3:3" x14ac:dyDescent="0.25">
      <c r="C2738" s="5"/>
    </row>
    <row r="2739" spans="3:3" x14ac:dyDescent="0.25">
      <c r="C2739" s="5"/>
    </row>
    <row r="2740" spans="3:3" x14ac:dyDescent="0.25">
      <c r="C2740" s="5"/>
    </row>
    <row r="2741" spans="3:3" x14ac:dyDescent="0.25">
      <c r="C2741" s="5"/>
    </row>
    <row r="2742" spans="3:3" x14ac:dyDescent="0.25">
      <c r="C2742" s="5"/>
    </row>
    <row r="2743" spans="3:3" x14ac:dyDescent="0.25">
      <c r="C2743" s="5"/>
    </row>
    <row r="2744" spans="3:3" x14ac:dyDescent="0.25">
      <c r="C2744" s="5"/>
    </row>
    <row r="2745" spans="3:3" x14ac:dyDescent="0.25">
      <c r="C2745" s="5"/>
    </row>
    <row r="2746" spans="3:3" x14ac:dyDescent="0.25">
      <c r="C2746" s="5"/>
    </row>
    <row r="2747" spans="3:3" x14ac:dyDescent="0.25">
      <c r="C2747" s="5"/>
    </row>
    <row r="2748" spans="3:3" x14ac:dyDescent="0.25">
      <c r="C2748" s="5"/>
    </row>
    <row r="2749" spans="3:3" x14ac:dyDescent="0.25">
      <c r="C2749" s="5"/>
    </row>
    <row r="2750" spans="3:3" x14ac:dyDescent="0.25">
      <c r="C2750" s="5"/>
    </row>
    <row r="2751" spans="3:3" x14ac:dyDescent="0.25">
      <c r="C2751" s="5"/>
    </row>
    <row r="2752" spans="3:3" x14ac:dyDescent="0.25">
      <c r="C2752" s="5"/>
    </row>
    <row r="2753" spans="3:3" x14ac:dyDescent="0.25">
      <c r="C2753" s="5"/>
    </row>
    <row r="2754" spans="3:3" x14ac:dyDescent="0.25">
      <c r="C2754" s="5"/>
    </row>
    <row r="2755" spans="3:3" x14ac:dyDescent="0.25">
      <c r="C2755" s="5"/>
    </row>
    <row r="2756" spans="3:3" x14ac:dyDescent="0.25">
      <c r="C2756" s="5"/>
    </row>
    <row r="2757" spans="3:3" x14ac:dyDescent="0.25">
      <c r="C2757" s="5"/>
    </row>
    <row r="2758" spans="3:3" x14ac:dyDescent="0.25">
      <c r="C2758" s="5"/>
    </row>
    <row r="2759" spans="3:3" x14ac:dyDescent="0.25">
      <c r="C2759" s="5"/>
    </row>
    <row r="2760" spans="3:3" x14ac:dyDescent="0.25">
      <c r="C2760" s="5"/>
    </row>
    <row r="2761" spans="3:3" x14ac:dyDescent="0.25">
      <c r="C2761" s="5"/>
    </row>
    <row r="2762" spans="3:3" x14ac:dyDescent="0.25">
      <c r="C2762" s="5"/>
    </row>
    <row r="2763" spans="3:3" x14ac:dyDescent="0.25">
      <c r="C2763" s="5"/>
    </row>
    <row r="2764" spans="3:3" x14ac:dyDescent="0.25">
      <c r="C2764" s="5"/>
    </row>
    <row r="2765" spans="3:3" x14ac:dyDescent="0.25">
      <c r="C2765" s="5"/>
    </row>
    <row r="2766" spans="3:3" x14ac:dyDescent="0.25">
      <c r="C2766" s="5"/>
    </row>
    <row r="2767" spans="3:3" x14ac:dyDescent="0.25">
      <c r="C2767" s="5"/>
    </row>
    <row r="2768" spans="3:3" x14ac:dyDescent="0.25">
      <c r="C2768" s="5"/>
    </row>
    <row r="2769" spans="3:3" x14ac:dyDescent="0.25">
      <c r="C2769" s="5"/>
    </row>
    <row r="2770" spans="3:3" x14ac:dyDescent="0.25">
      <c r="C2770" s="5"/>
    </row>
    <row r="2771" spans="3:3" x14ac:dyDescent="0.25">
      <c r="C2771" s="5"/>
    </row>
    <row r="2772" spans="3:3" x14ac:dyDescent="0.25">
      <c r="C2772" s="5"/>
    </row>
    <row r="2773" spans="3:3" x14ac:dyDescent="0.25">
      <c r="C2773" s="5"/>
    </row>
    <row r="2774" spans="3:3" x14ac:dyDescent="0.25">
      <c r="C2774" s="5"/>
    </row>
    <row r="2775" spans="3:3" x14ac:dyDescent="0.25">
      <c r="C2775" s="5"/>
    </row>
    <row r="2776" spans="3:3" x14ac:dyDescent="0.25">
      <c r="C2776" s="5"/>
    </row>
    <row r="2777" spans="3:3" x14ac:dyDescent="0.25">
      <c r="C2777" s="5"/>
    </row>
    <row r="2778" spans="3:3" x14ac:dyDescent="0.25">
      <c r="C2778" s="5"/>
    </row>
    <row r="2779" spans="3:3" x14ac:dyDescent="0.25">
      <c r="C2779" s="5"/>
    </row>
    <row r="2780" spans="3:3" x14ac:dyDescent="0.25">
      <c r="C2780" s="5"/>
    </row>
    <row r="2781" spans="3:3" x14ac:dyDescent="0.25">
      <c r="C2781" s="5"/>
    </row>
    <row r="2782" spans="3:3" x14ac:dyDescent="0.25">
      <c r="C2782" s="5"/>
    </row>
    <row r="2783" spans="3:3" x14ac:dyDescent="0.25">
      <c r="C2783" s="5"/>
    </row>
    <row r="2784" spans="3:3" x14ac:dyDescent="0.25">
      <c r="C2784" s="5"/>
    </row>
    <row r="2785" spans="3:3" x14ac:dyDescent="0.25">
      <c r="C2785" s="5"/>
    </row>
    <row r="2786" spans="3:3" x14ac:dyDescent="0.25">
      <c r="C2786" s="5"/>
    </row>
    <row r="2787" spans="3:3" x14ac:dyDescent="0.25">
      <c r="C2787" s="5"/>
    </row>
    <row r="2788" spans="3:3" x14ac:dyDescent="0.25">
      <c r="C2788" s="5"/>
    </row>
    <row r="2789" spans="3:3" x14ac:dyDescent="0.25">
      <c r="C2789" s="5"/>
    </row>
    <row r="2790" spans="3:3" x14ac:dyDescent="0.25">
      <c r="C2790" s="5"/>
    </row>
    <row r="2791" spans="3:3" x14ac:dyDescent="0.25">
      <c r="C2791" s="5"/>
    </row>
    <row r="2792" spans="3:3" x14ac:dyDescent="0.25">
      <c r="C2792" s="5"/>
    </row>
    <row r="2793" spans="3:3" x14ac:dyDescent="0.25">
      <c r="C2793" s="5"/>
    </row>
    <row r="2794" spans="3:3" x14ac:dyDescent="0.25">
      <c r="C2794" s="5"/>
    </row>
    <row r="2795" spans="3:3" x14ac:dyDescent="0.25">
      <c r="C2795" s="5"/>
    </row>
    <row r="2796" spans="3:3" x14ac:dyDescent="0.25">
      <c r="C2796" s="5"/>
    </row>
    <row r="2797" spans="3:3" x14ac:dyDescent="0.25">
      <c r="C2797" s="5"/>
    </row>
    <row r="2798" spans="3:3" x14ac:dyDescent="0.25">
      <c r="C2798" s="5"/>
    </row>
    <row r="2799" spans="3:3" x14ac:dyDescent="0.25">
      <c r="C2799" s="5"/>
    </row>
    <row r="2800" spans="3:3" x14ac:dyDescent="0.25">
      <c r="C2800" s="5"/>
    </row>
    <row r="2801" spans="3:3" x14ac:dyDescent="0.25">
      <c r="C2801" s="5"/>
    </row>
    <row r="2802" spans="3:3" x14ac:dyDescent="0.25">
      <c r="C2802" s="5"/>
    </row>
    <row r="2803" spans="3:3" x14ac:dyDescent="0.25">
      <c r="C2803" s="5"/>
    </row>
    <row r="2804" spans="3:3" x14ac:dyDescent="0.25">
      <c r="C2804" s="5"/>
    </row>
    <row r="2805" spans="3:3" x14ac:dyDescent="0.25">
      <c r="C2805" s="5"/>
    </row>
    <row r="2806" spans="3:3" x14ac:dyDescent="0.25">
      <c r="C2806" s="5"/>
    </row>
    <row r="2807" spans="3:3" x14ac:dyDescent="0.25">
      <c r="C2807" s="5"/>
    </row>
    <row r="2808" spans="3:3" x14ac:dyDescent="0.25">
      <c r="C2808" s="5"/>
    </row>
    <row r="2809" spans="3:3" x14ac:dyDescent="0.25">
      <c r="C2809" s="5"/>
    </row>
    <row r="2810" spans="3:3" x14ac:dyDescent="0.25">
      <c r="C2810" s="5"/>
    </row>
    <row r="2811" spans="3:3" x14ac:dyDescent="0.25">
      <c r="C2811" s="5"/>
    </row>
    <row r="2812" spans="3:3" x14ac:dyDescent="0.25">
      <c r="C2812" s="5"/>
    </row>
    <row r="2813" spans="3:3" x14ac:dyDescent="0.25">
      <c r="C2813" s="5"/>
    </row>
    <row r="2814" spans="3:3" x14ac:dyDescent="0.25">
      <c r="C2814" s="5"/>
    </row>
    <row r="2815" spans="3:3" x14ac:dyDescent="0.25">
      <c r="C2815" s="5"/>
    </row>
    <row r="2816" spans="3:3" x14ac:dyDescent="0.25">
      <c r="C2816" s="5"/>
    </row>
    <row r="2817" spans="3:3" x14ac:dyDescent="0.25">
      <c r="C2817" s="5"/>
    </row>
    <row r="2818" spans="3:3" x14ac:dyDescent="0.25">
      <c r="C2818" s="5"/>
    </row>
    <row r="2819" spans="3:3" x14ac:dyDescent="0.25">
      <c r="C2819" s="5"/>
    </row>
    <row r="2820" spans="3:3" x14ac:dyDescent="0.25">
      <c r="C2820" s="5"/>
    </row>
    <row r="2821" spans="3:3" x14ac:dyDescent="0.25">
      <c r="C2821" s="5"/>
    </row>
    <row r="2822" spans="3:3" x14ac:dyDescent="0.25">
      <c r="C2822" s="5"/>
    </row>
    <row r="2823" spans="3:3" x14ac:dyDescent="0.25">
      <c r="C2823" s="5"/>
    </row>
    <row r="2824" spans="3:3" x14ac:dyDescent="0.25">
      <c r="C2824" s="5"/>
    </row>
    <row r="2825" spans="3:3" x14ac:dyDescent="0.25">
      <c r="C2825" s="5"/>
    </row>
    <row r="2826" spans="3:3" x14ac:dyDescent="0.25">
      <c r="C2826" s="5"/>
    </row>
    <row r="2827" spans="3:3" x14ac:dyDescent="0.25">
      <c r="C2827" s="5"/>
    </row>
    <row r="2828" spans="3:3" x14ac:dyDescent="0.25">
      <c r="C2828" s="5"/>
    </row>
    <row r="2829" spans="3:3" x14ac:dyDescent="0.25">
      <c r="C2829" s="5"/>
    </row>
    <row r="2830" spans="3:3" x14ac:dyDescent="0.25">
      <c r="C2830" s="5"/>
    </row>
    <row r="2831" spans="3:3" x14ac:dyDescent="0.25">
      <c r="C2831" s="5"/>
    </row>
    <row r="2832" spans="3:3" x14ac:dyDescent="0.25">
      <c r="C2832" s="5"/>
    </row>
    <row r="2833" spans="3:3" x14ac:dyDescent="0.25">
      <c r="C2833" s="5"/>
    </row>
    <row r="2834" spans="3:3" x14ac:dyDescent="0.25">
      <c r="C2834" s="5"/>
    </row>
    <row r="2835" spans="3:3" x14ac:dyDescent="0.25">
      <c r="C2835" s="5"/>
    </row>
    <row r="2836" spans="3:3" x14ac:dyDescent="0.25">
      <c r="C2836" s="5"/>
    </row>
    <row r="2837" spans="3:3" x14ac:dyDescent="0.25">
      <c r="C2837" s="5"/>
    </row>
    <row r="2838" spans="3:3" x14ac:dyDescent="0.25">
      <c r="C2838" s="5"/>
    </row>
    <row r="2839" spans="3:3" x14ac:dyDescent="0.25">
      <c r="C2839" s="5"/>
    </row>
    <row r="2840" spans="3:3" x14ac:dyDescent="0.25">
      <c r="C2840" s="5"/>
    </row>
    <row r="2841" spans="3:3" x14ac:dyDescent="0.25">
      <c r="C2841" s="5"/>
    </row>
    <row r="2842" spans="3:3" x14ac:dyDescent="0.25">
      <c r="C2842" s="5"/>
    </row>
    <row r="2843" spans="3:3" x14ac:dyDescent="0.25">
      <c r="C2843" s="5"/>
    </row>
    <row r="2844" spans="3:3" x14ac:dyDescent="0.25">
      <c r="C2844" s="5"/>
    </row>
    <row r="2845" spans="3:3" x14ac:dyDescent="0.25">
      <c r="C2845" s="5"/>
    </row>
    <row r="2846" spans="3:3" x14ac:dyDescent="0.25">
      <c r="C2846" s="5"/>
    </row>
    <row r="2847" spans="3:3" x14ac:dyDescent="0.25">
      <c r="C2847" s="5"/>
    </row>
    <row r="2848" spans="3:3" x14ac:dyDescent="0.25">
      <c r="C2848" s="5"/>
    </row>
    <row r="2849" spans="3:21" x14ac:dyDescent="0.25">
      <c r="C2849" s="5"/>
    </row>
    <row r="2850" spans="3:21" x14ac:dyDescent="0.25">
      <c r="C2850" s="5"/>
    </row>
    <row r="2851" spans="3:21" x14ac:dyDescent="0.25">
      <c r="C2851" s="5"/>
    </row>
    <row r="2852" spans="3:21" x14ac:dyDescent="0.25">
      <c r="C2852" s="5"/>
    </row>
    <row r="2853" spans="3:21" x14ac:dyDescent="0.25">
      <c r="C2853" s="5"/>
    </row>
    <row r="2854" spans="3:21" x14ac:dyDescent="0.25">
      <c r="C2854" s="5"/>
    </row>
    <row r="2855" spans="3:21" x14ac:dyDescent="0.25">
      <c r="C2855" s="5"/>
    </row>
    <row r="2856" spans="3:21" x14ac:dyDescent="0.25">
      <c r="C2856" s="5"/>
    </row>
    <row r="2857" spans="3:21" x14ac:dyDescent="0.25">
      <c r="C2857" s="5"/>
    </row>
    <row r="2858" spans="3:21" x14ac:dyDescent="0.25">
      <c r="C2858" s="5"/>
      <c r="O2858"/>
      <c r="P2858"/>
      <c r="Q2858"/>
      <c r="R2858"/>
      <c r="S2858"/>
      <c r="T2858"/>
      <c r="U2858"/>
    </row>
    <row r="2859" spans="3:21" x14ac:dyDescent="0.25">
      <c r="C2859" s="5"/>
    </row>
    <row r="2860" spans="3:21" x14ac:dyDescent="0.25">
      <c r="C2860" s="5"/>
    </row>
    <row r="2861" spans="3:21" x14ac:dyDescent="0.25">
      <c r="C2861" s="5"/>
    </row>
    <row r="2862" spans="3:21" x14ac:dyDescent="0.25">
      <c r="C2862" s="5"/>
    </row>
    <row r="2863" spans="3:21" x14ac:dyDescent="0.25">
      <c r="C2863" s="5"/>
    </row>
    <row r="2864" spans="3:21" x14ac:dyDescent="0.25">
      <c r="C2864" s="5"/>
    </row>
    <row r="2865" spans="3:21" x14ac:dyDescent="0.25">
      <c r="C2865" s="5"/>
      <c r="O2865"/>
      <c r="P2865"/>
      <c r="Q2865"/>
      <c r="R2865"/>
      <c r="S2865"/>
      <c r="T2865"/>
      <c r="U2865"/>
    </row>
    <row r="2866" spans="3:21" x14ac:dyDescent="0.25">
      <c r="C2866" s="5"/>
    </row>
    <row r="2867" spans="3:21" x14ac:dyDescent="0.25">
      <c r="C2867" s="5"/>
    </row>
    <row r="2868" spans="3:21" x14ac:dyDescent="0.25">
      <c r="C2868" s="5"/>
    </row>
    <row r="2869" spans="3:21" x14ac:dyDescent="0.25">
      <c r="C2869" s="5"/>
    </row>
    <row r="2870" spans="3:21" x14ac:dyDescent="0.25">
      <c r="C2870" s="5"/>
      <c r="O2870"/>
      <c r="P2870"/>
      <c r="Q2870"/>
      <c r="R2870"/>
      <c r="S2870"/>
      <c r="T2870"/>
      <c r="U2870"/>
    </row>
    <row r="2871" spans="3:21" x14ac:dyDescent="0.25">
      <c r="C2871" s="5"/>
    </row>
    <row r="2872" spans="3:21" x14ac:dyDescent="0.25">
      <c r="C2872" s="5"/>
    </row>
    <row r="2873" spans="3:21" x14ac:dyDescent="0.25">
      <c r="C2873" s="5"/>
    </row>
    <row r="2874" spans="3:21" x14ac:dyDescent="0.25">
      <c r="C2874" s="5"/>
    </row>
    <row r="2875" spans="3:21" x14ac:dyDescent="0.25">
      <c r="C2875" s="5"/>
    </row>
    <row r="2876" spans="3:21" x14ac:dyDescent="0.25">
      <c r="C2876" s="5"/>
    </row>
    <row r="2877" spans="3:21" x14ac:dyDescent="0.25">
      <c r="C2877" s="5"/>
    </row>
    <row r="2878" spans="3:21" x14ac:dyDescent="0.25">
      <c r="C2878" s="5"/>
      <c r="O2878"/>
      <c r="P2878"/>
      <c r="Q2878"/>
      <c r="R2878"/>
      <c r="S2878"/>
      <c r="T2878"/>
      <c r="U2878"/>
    </row>
    <row r="2879" spans="3:21" x14ac:dyDescent="0.25">
      <c r="C2879" s="5"/>
    </row>
    <row r="2880" spans="3:21" x14ac:dyDescent="0.25">
      <c r="C2880" s="5"/>
    </row>
    <row r="2881" spans="3:21" x14ac:dyDescent="0.25">
      <c r="C2881" s="5"/>
    </row>
    <row r="2882" spans="3:21" x14ac:dyDescent="0.25">
      <c r="C2882" s="5"/>
    </row>
    <row r="2883" spans="3:21" x14ac:dyDescent="0.25">
      <c r="C2883" s="5"/>
    </row>
    <row r="2884" spans="3:21" x14ac:dyDescent="0.25">
      <c r="C2884" s="5"/>
    </row>
    <row r="2885" spans="3:21" x14ac:dyDescent="0.25">
      <c r="C2885" s="5"/>
    </row>
    <row r="2886" spans="3:21" x14ac:dyDescent="0.25">
      <c r="C2886" s="5"/>
      <c r="O2886"/>
      <c r="P2886"/>
      <c r="Q2886"/>
      <c r="R2886"/>
      <c r="S2886"/>
      <c r="T2886"/>
      <c r="U2886"/>
    </row>
    <row r="2887" spans="3:21" x14ac:dyDescent="0.25">
      <c r="C2887" s="5"/>
    </row>
    <row r="2888" spans="3:21" x14ac:dyDescent="0.25">
      <c r="C2888" s="5"/>
    </row>
    <row r="2889" spans="3:21" x14ac:dyDescent="0.25">
      <c r="C2889" s="5"/>
    </row>
    <row r="2890" spans="3:21" x14ac:dyDescent="0.25">
      <c r="C2890" s="5"/>
    </row>
    <row r="2891" spans="3:21" x14ac:dyDescent="0.25">
      <c r="C2891" s="5"/>
    </row>
    <row r="2892" spans="3:21" x14ac:dyDescent="0.25">
      <c r="C2892" s="5"/>
    </row>
    <row r="2893" spans="3:21" x14ac:dyDescent="0.25">
      <c r="C2893" s="5"/>
    </row>
    <row r="2894" spans="3:21" x14ac:dyDescent="0.25">
      <c r="C2894" s="5"/>
    </row>
    <row r="2895" spans="3:21" x14ac:dyDescent="0.25">
      <c r="C2895" s="5"/>
    </row>
    <row r="2896" spans="3:21" x14ac:dyDescent="0.25">
      <c r="C2896" s="5"/>
    </row>
    <row r="2897" spans="3:21" x14ac:dyDescent="0.25">
      <c r="C2897" s="5"/>
    </row>
    <row r="2898" spans="3:21" x14ac:dyDescent="0.25">
      <c r="C2898" s="5"/>
    </row>
    <row r="2899" spans="3:21" x14ac:dyDescent="0.25">
      <c r="C2899" s="5"/>
    </row>
    <row r="2900" spans="3:21" x14ac:dyDescent="0.25">
      <c r="C2900" s="5"/>
    </row>
    <row r="2901" spans="3:21" x14ac:dyDescent="0.25">
      <c r="C2901" s="5"/>
    </row>
    <row r="2902" spans="3:21" x14ac:dyDescent="0.25">
      <c r="C2902" s="5"/>
    </row>
    <row r="2903" spans="3:21" x14ac:dyDescent="0.25">
      <c r="C2903" s="5"/>
    </row>
    <row r="2904" spans="3:21" x14ac:dyDescent="0.25">
      <c r="C2904" s="5"/>
    </row>
    <row r="2905" spans="3:21" x14ac:dyDescent="0.25">
      <c r="C2905" s="5"/>
    </row>
    <row r="2906" spans="3:21" x14ac:dyDescent="0.25">
      <c r="C2906" s="5"/>
      <c r="O2906"/>
      <c r="P2906"/>
      <c r="Q2906"/>
      <c r="R2906"/>
      <c r="S2906"/>
      <c r="T2906"/>
      <c r="U2906"/>
    </row>
    <row r="2907" spans="3:21" x14ac:dyDescent="0.25">
      <c r="C2907" s="5"/>
    </row>
    <row r="2908" spans="3:21" x14ac:dyDescent="0.25">
      <c r="C2908" s="5"/>
    </row>
    <row r="2909" spans="3:21" x14ac:dyDescent="0.25">
      <c r="C2909" s="5"/>
    </row>
    <row r="2910" spans="3:21" x14ac:dyDescent="0.25">
      <c r="C2910" s="5"/>
    </row>
    <row r="2911" spans="3:21" x14ac:dyDescent="0.25">
      <c r="C2911" s="5"/>
    </row>
    <row r="2912" spans="3:21" x14ac:dyDescent="0.25">
      <c r="C2912" s="5"/>
    </row>
    <row r="2913" spans="3:3" x14ac:dyDescent="0.25">
      <c r="C2913" s="5"/>
    </row>
    <row r="2914" spans="3:3" x14ac:dyDescent="0.25">
      <c r="C2914" s="5"/>
    </row>
    <row r="2915" spans="3:3" x14ac:dyDescent="0.25">
      <c r="C2915" s="5"/>
    </row>
    <row r="2916" spans="3:3" x14ac:dyDescent="0.25">
      <c r="C2916" s="5"/>
    </row>
    <row r="2917" spans="3:3" x14ac:dyDescent="0.25">
      <c r="C2917" s="5"/>
    </row>
    <row r="2918" spans="3:3" x14ac:dyDescent="0.25">
      <c r="C2918" s="5"/>
    </row>
    <row r="2919" spans="3:3" x14ac:dyDescent="0.25">
      <c r="C2919" s="5"/>
    </row>
    <row r="2920" spans="3:3" x14ac:dyDescent="0.25">
      <c r="C2920" s="5"/>
    </row>
    <row r="2921" spans="3:3" x14ac:dyDescent="0.25">
      <c r="C2921" s="5"/>
    </row>
    <row r="2922" spans="3:3" x14ac:dyDescent="0.25">
      <c r="C2922" s="5"/>
    </row>
    <row r="2923" spans="3:3" x14ac:dyDescent="0.25">
      <c r="C2923" s="5"/>
    </row>
    <row r="2924" spans="3:3" x14ac:dyDescent="0.25">
      <c r="C2924" s="5"/>
    </row>
    <row r="2925" spans="3:3" x14ac:dyDescent="0.25">
      <c r="C2925" s="5"/>
    </row>
    <row r="2926" spans="3:3" x14ac:dyDescent="0.25">
      <c r="C2926" s="5"/>
    </row>
    <row r="2927" spans="3:3" x14ac:dyDescent="0.25">
      <c r="C2927" s="5"/>
    </row>
    <row r="2928" spans="3:3" x14ac:dyDescent="0.25">
      <c r="C2928" s="5"/>
    </row>
    <row r="2929" spans="3:21" x14ac:dyDescent="0.25">
      <c r="C2929" s="5"/>
    </row>
    <row r="2930" spans="3:21" x14ac:dyDescent="0.25">
      <c r="C2930" s="5"/>
    </row>
    <row r="2931" spans="3:21" x14ac:dyDescent="0.25">
      <c r="C2931" s="5"/>
      <c r="O2931"/>
      <c r="P2931"/>
      <c r="Q2931"/>
      <c r="R2931"/>
      <c r="S2931"/>
      <c r="T2931"/>
      <c r="U2931"/>
    </row>
    <row r="2932" spans="3:21" x14ac:dyDescent="0.25">
      <c r="C2932" s="5"/>
    </row>
    <row r="2933" spans="3:21" x14ac:dyDescent="0.25">
      <c r="C2933" s="5"/>
    </row>
    <row r="2934" spans="3:21" x14ac:dyDescent="0.25">
      <c r="C2934" s="5"/>
    </row>
    <row r="2935" spans="3:21" x14ac:dyDescent="0.25">
      <c r="C2935" s="5"/>
    </row>
    <row r="2936" spans="3:21" x14ac:dyDescent="0.25">
      <c r="C2936" s="5"/>
    </row>
    <row r="2937" spans="3:21" x14ac:dyDescent="0.25">
      <c r="C2937" s="5"/>
      <c r="O2937"/>
      <c r="P2937"/>
      <c r="Q2937"/>
      <c r="R2937"/>
      <c r="S2937"/>
      <c r="T2937"/>
      <c r="U2937"/>
    </row>
    <row r="2938" spans="3:21" x14ac:dyDescent="0.25">
      <c r="C2938" s="5"/>
    </row>
    <row r="2939" spans="3:21" x14ac:dyDescent="0.25">
      <c r="C2939" s="5"/>
      <c r="O2939"/>
      <c r="P2939"/>
      <c r="Q2939"/>
      <c r="R2939"/>
      <c r="S2939"/>
      <c r="T2939"/>
      <c r="U2939"/>
    </row>
    <row r="2940" spans="3:21" x14ac:dyDescent="0.25">
      <c r="C2940" s="5"/>
    </row>
    <row r="2941" spans="3:21" x14ac:dyDescent="0.25">
      <c r="C2941" s="5"/>
    </row>
    <row r="2942" spans="3:21" x14ac:dyDescent="0.25">
      <c r="C2942" s="5"/>
    </row>
    <row r="2943" spans="3:21" x14ac:dyDescent="0.25">
      <c r="C2943" s="5"/>
    </row>
    <row r="2944" spans="3:21" x14ac:dyDescent="0.25">
      <c r="C2944" s="5"/>
    </row>
    <row r="2945" spans="3:3" x14ac:dyDescent="0.25">
      <c r="C2945" s="5"/>
    </row>
    <row r="2946" spans="3:3" x14ac:dyDescent="0.25">
      <c r="C2946" s="5"/>
    </row>
    <row r="2947" spans="3:3" x14ac:dyDescent="0.25">
      <c r="C2947" s="5"/>
    </row>
    <row r="2948" spans="3:3" x14ac:dyDescent="0.25">
      <c r="C2948" s="5"/>
    </row>
    <row r="2949" spans="3:3" x14ac:dyDescent="0.25">
      <c r="C2949" s="5"/>
    </row>
    <row r="2950" spans="3:3" x14ac:dyDescent="0.25">
      <c r="C2950" s="5"/>
    </row>
    <row r="2951" spans="3:3" x14ac:dyDescent="0.25">
      <c r="C2951" s="5"/>
    </row>
    <row r="2952" spans="3:3" x14ac:dyDescent="0.25">
      <c r="C2952" s="5"/>
    </row>
    <row r="2953" spans="3:3" x14ac:dyDescent="0.25">
      <c r="C2953" s="5"/>
    </row>
    <row r="2954" spans="3:3" x14ac:dyDescent="0.25">
      <c r="C2954" s="5"/>
    </row>
    <row r="2955" spans="3:3" x14ac:dyDescent="0.25">
      <c r="C2955" s="5"/>
    </row>
    <row r="2956" spans="3:3" x14ac:dyDescent="0.25">
      <c r="C2956" s="5"/>
    </row>
    <row r="2957" spans="3:3" x14ac:dyDescent="0.25">
      <c r="C2957" s="5"/>
    </row>
    <row r="2958" spans="3:3" x14ac:dyDescent="0.25">
      <c r="C2958" s="5"/>
    </row>
    <row r="2959" spans="3:3" x14ac:dyDescent="0.25">
      <c r="C2959" s="5"/>
    </row>
    <row r="2960" spans="3:3" x14ac:dyDescent="0.25">
      <c r="C2960" s="5"/>
    </row>
    <row r="2961" spans="3:3" x14ac:dyDescent="0.25">
      <c r="C2961" s="5"/>
    </row>
    <row r="2962" spans="3:3" x14ac:dyDescent="0.25">
      <c r="C2962" s="5"/>
    </row>
    <row r="2963" spans="3:3" x14ac:dyDescent="0.25">
      <c r="C2963" s="5"/>
    </row>
    <row r="2964" spans="3:3" x14ac:dyDescent="0.25">
      <c r="C2964" s="5"/>
    </row>
    <row r="2965" spans="3:3" x14ac:dyDescent="0.25">
      <c r="C2965" s="5"/>
    </row>
    <row r="2966" spans="3:3" x14ac:dyDescent="0.25">
      <c r="C2966" s="5"/>
    </row>
    <row r="2967" spans="3:3" x14ac:dyDescent="0.25">
      <c r="C2967" s="5"/>
    </row>
    <row r="2968" spans="3:3" x14ac:dyDescent="0.25">
      <c r="C2968" s="5"/>
    </row>
    <row r="2969" spans="3:3" x14ac:dyDescent="0.25">
      <c r="C2969" s="5"/>
    </row>
    <row r="2970" spans="3:3" x14ac:dyDescent="0.25">
      <c r="C2970" s="5"/>
    </row>
    <row r="2971" spans="3:3" x14ac:dyDescent="0.25">
      <c r="C2971" s="5"/>
    </row>
    <row r="2972" spans="3:3" x14ac:dyDescent="0.25">
      <c r="C2972" s="5"/>
    </row>
    <row r="2973" spans="3:3" x14ac:dyDescent="0.25">
      <c r="C2973" s="5"/>
    </row>
    <row r="2974" spans="3:3" x14ac:dyDescent="0.25">
      <c r="C2974" s="5"/>
    </row>
    <row r="2975" spans="3:3" x14ac:dyDescent="0.25">
      <c r="C2975" s="5"/>
    </row>
    <row r="2976" spans="3:3" x14ac:dyDescent="0.25">
      <c r="C2976" s="5"/>
    </row>
    <row r="2977" spans="3:21" x14ac:dyDescent="0.25">
      <c r="C2977" s="5"/>
    </row>
    <row r="2978" spans="3:21" x14ac:dyDescent="0.25">
      <c r="C2978" s="5"/>
    </row>
    <row r="2979" spans="3:21" x14ac:dyDescent="0.25">
      <c r="C2979" s="5"/>
    </row>
    <row r="2980" spans="3:21" x14ac:dyDescent="0.25">
      <c r="C2980" s="5"/>
    </row>
    <row r="2981" spans="3:21" x14ac:dyDescent="0.25">
      <c r="C2981" s="5"/>
    </row>
    <row r="2982" spans="3:21" x14ac:dyDescent="0.25">
      <c r="C2982" s="5"/>
    </row>
    <row r="2983" spans="3:21" x14ac:dyDescent="0.25">
      <c r="C2983" s="5"/>
      <c r="O2983"/>
      <c r="P2983"/>
      <c r="Q2983"/>
      <c r="R2983"/>
      <c r="S2983"/>
      <c r="T2983"/>
      <c r="U2983"/>
    </row>
    <row r="2984" spans="3:21" x14ac:dyDescent="0.25">
      <c r="C2984" s="5"/>
    </row>
    <row r="2985" spans="3:21" x14ac:dyDescent="0.25">
      <c r="C2985" s="5"/>
    </row>
    <row r="2986" spans="3:21" x14ac:dyDescent="0.25">
      <c r="C2986" s="5"/>
    </row>
    <row r="2987" spans="3:21" x14ac:dyDescent="0.25">
      <c r="C2987" s="5"/>
    </row>
    <row r="2988" spans="3:21" x14ac:dyDescent="0.25">
      <c r="C2988" s="5"/>
    </row>
    <row r="2989" spans="3:21" x14ac:dyDescent="0.25">
      <c r="C2989" s="5"/>
    </row>
    <row r="2990" spans="3:21" x14ac:dyDescent="0.25">
      <c r="C2990" s="5"/>
    </row>
    <row r="2991" spans="3:21" x14ac:dyDescent="0.25">
      <c r="C2991" s="5"/>
    </row>
    <row r="2992" spans="3:21" x14ac:dyDescent="0.25">
      <c r="C2992" s="5"/>
    </row>
    <row r="2993" spans="3:3" x14ac:dyDescent="0.25">
      <c r="C2993" s="5"/>
    </row>
    <row r="2994" spans="3:3" x14ac:dyDescent="0.25">
      <c r="C2994" s="5"/>
    </row>
    <row r="2995" spans="3:3" x14ac:dyDescent="0.25">
      <c r="C2995" s="5"/>
    </row>
    <row r="2996" spans="3:3" x14ac:dyDescent="0.25">
      <c r="C2996" s="5"/>
    </row>
    <row r="2997" spans="3:3" x14ac:dyDescent="0.25">
      <c r="C2997" s="5"/>
    </row>
    <row r="2998" spans="3:3" x14ac:dyDescent="0.25">
      <c r="C2998" s="5"/>
    </row>
    <row r="2999" spans="3:3" x14ac:dyDescent="0.25">
      <c r="C2999" s="5"/>
    </row>
    <row r="3000" spans="3:3" x14ac:dyDescent="0.25">
      <c r="C3000" s="5"/>
    </row>
    <row r="3001" spans="3:3" x14ac:dyDescent="0.25">
      <c r="C3001" s="5"/>
    </row>
    <row r="3002" spans="3:3" x14ac:dyDescent="0.25">
      <c r="C3002" s="5"/>
    </row>
    <row r="3003" spans="3:3" x14ac:dyDescent="0.25">
      <c r="C3003" s="5"/>
    </row>
    <row r="3004" spans="3:3" x14ac:dyDescent="0.25">
      <c r="C3004" s="5"/>
    </row>
    <row r="3005" spans="3:3" x14ac:dyDescent="0.25">
      <c r="C3005" s="5"/>
    </row>
    <row r="3006" spans="3:3" x14ac:dyDescent="0.25">
      <c r="C3006" s="5"/>
    </row>
    <row r="3007" spans="3:3" x14ac:dyDescent="0.25">
      <c r="C3007" s="5"/>
    </row>
    <row r="3008" spans="3:3" x14ac:dyDescent="0.25">
      <c r="C3008" s="5"/>
    </row>
    <row r="3009" spans="3:3" x14ac:dyDescent="0.25">
      <c r="C3009" s="5"/>
    </row>
    <row r="3010" spans="3:3" x14ac:dyDescent="0.25">
      <c r="C3010" s="5"/>
    </row>
    <row r="3011" spans="3:3" x14ac:dyDescent="0.25">
      <c r="C3011" s="5"/>
    </row>
    <row r="3012" spans="3:3" x14ac:dyDescent="0.25">
      <c r="C3012" s="5"/>
    </row>
    <row r="3013" spans="3:3" x14ac:dyDescent="0.25">
      <c r="C3013" s="5"/>
    </row>
    <row r="3014" spans="3:3" x14ac:dyDescent="0.25">
      <c r="C3014" s="5"/>
    </row>
    <row r="3015" spans="3:3" x14ac:dyDescent="0.25">
      <c r="C3015" s="5"/>
    </row>
    <row r="3016" spans="3:3" x14ac:dyDescent="0.25">
      <c r="C3016" s="5"/>
    </row>
    <row r="3017" spans="3:3" x14ac:dyDescent="0.25">
      <c r="C3017" s="5"/>
    </row>
    <row r="3018" spans="3:3" x14ac:dyDescent="0.25">
      <c r="C3018" s="5"/>
    </row>
    <row r="3019" spans="3:3" x14ac:dyDescent="0.25">
      <c r="C3019" s="5"/>
    </row>
    <row r="3020" spans="3:3" x14ac:dyDescent="0.25">
      <c r="C3020" s="5"/>
    </row>
    <row r="3021" spans="3:3" x14ac:dyDescent="0.25">
      <c r="C3021" s="5"/>
    </row>
    <row r="3022" spans="3:3" x14ac:dyDescent="0.25">
      <c r="C3022" s="5"/>
    </row>
    <row r="3023" spans="3:3" x14ac:dyDescent="0.25">
      <c r="C3023" s="5"/>
    </row>
    <row r="3024" spans="3:3" x14ac:dyDescent="0.25">
      <c r="C3024" s="5"/>
    </row>
    <row r="3025" spans="3:21" x14ac:dyDescent="0.25">
      <c r="C3025" s="5"/>
    </row>
    <row r="3026" spans="3:21" x14ac:dyDescent="0.25">
      <c r="C3026" s="5"/>
    </row>
    <row r="3027" spans="3:21" x14ac:dyDescent="0.25">
      <c r="C3027" s="5"/>
    </row>
    <row r="3028" spans="3:21" x14ac:dyDescent="0.25">
      <c r="C3028" s="5"/>
      <c r="O3028"/>
      <c r="P3028"/>
      <c r="Q3028"/>
      <c r="R3028"/>
      <c r="S3028"/>
      <c r="T3028"/>
      <c r="U3028"/>
    </row>
    <row r="3029" spans="3:21" x14ac:dyDescent="0.25">
      <c r="C3029" s="5"/>
    </row>
    <row r="3030" spans="3:21" x14ac:dyDescent="0.25">
      <c r="C3030" s="5"/>
    </row>
    <row r="3031" spans="3:21" x14ac:dyDescent="0.25">
      <c r="C3031" s="5"/>
    </row>
    <row r="3032" spans="3:21" x14ac:dyDescent="0.25">
      <c r="C3032" s="5"/>
    </row>
    <row r="3033" spans="3:21" x14ac:dyDescent="0.25">
      <c r="C3033" s="5"/>
    </row>
    <row r="3034" spans="3:21" x14ac:dyDescent="0.25">
      <c r="C3034" s="5"/>
    </row>
    <row r="3035" spans="3:21" x14ac:dyDescent="0.25">
      <c r="C3035" s="5"/>
    </row>
    <row r="3036" spans="3:21" x14ac:dyDescent="0.25">
      <c r="C3036" s="5"/>
    </row>
    <row r="3037" spans="3:21" x14ac:dyDescent="0.25">
      <c r="C3037" s="5"/>
    </row>
    <row r="3038" spans="3:21" x14ac:dyDescent="0.25">
      <c r="C3038" s="5"/>
    </row>
    <row r="3039" spans="3:21" x14ac:dyDescent="0.25">
      <c r="C3039" s="5"/>
    </row>
    <row r="3040" spans="3:21" x14ac:dyDescent="0.25">
      <c r="C3040" s="5"/>
    </row>
    <row r="3041" spans="3:3" x14ac:dyDescent="0.25">
      <c r="C3041" s="5"/>
    </row>
    <row r="3042" spans="3:3" x14ac:dyDescent="0.25">
      <c r="C3042" s="5"/>
    </row>
    <row r="3043" spans="3:3" x14ac:dyDescent="0.25">
      <c r="C3043" s="5"/>
    </row>
    <row r="3044" spans="3:3" x14ac:dyDescent="0.25">
      <c r="C3044" s="5"/>
    </row>
    <row r="3045" spans="3:3" x14ac:dyDescent="0.25">
      <c r="C3045" s="5"/>
    </row>
    <row r="3046" spans="3:3" x14ac:dyDescent="0.25">
      <c r="C3046" s="5"/>
    </row>
    <row r="3047" spans="3:3" x14ac:dyDescent="0.25">
      <c r="C3047" s="5"/>
    </row>
    <row r="3048" spans="3:3" x14ac:dyDescent="0.25">
      <c r="C3048" s="5"/>
    </row>
    <row r="3049" spans="3:3" x14ac:dyDescent="0.25">
      <c r="C3049" s="5"/>
    </row>
    <row r="3050" spans="3:3" x14ac:dyDescent="0.25">
      <c r="C3050" s="5"/>
    </row>
    <row r="3051" spans="3:3" x14ac:dyDescent="0.25">
      <c r="C3051" s="5"/>
    </row>
    <row r="3052" spans="3:3" x14ac:dyDescent="0.25">
      <c r="C3052" s="5"/>
    </row>
    <row r="3053" spans="3:3" x14ac:dyDescent="0.25">
      <c r="C3053" s="5"/>
    </row>
    <row r="3054" spans="3:3" x14ac:dyDescent="0.25">
      <c r="C3054" s="5"/>
    </row>
    <row r="3055" spans="3:3" x14ac:dyDescent="0.25">
      <c r="C3055" s="5"/>
    </row>
    <row r="3056" spans="3:3" x14ac:dyDescent="0.25">
      <c r="C3056" s="5"/>
    </row>
    <row r="3057" spans="3:21" x14ac:dyDescent="0.25">
      <c r="C3057" s="5"/>
    </row>
    <row r="3058" spans="3:21" x14ac:dyDescent="0.25">
      <c r="C3058" s="5"/>
    </row>
    <row r="3059" spans="3:21" x14ac:dyDescent="0.25">
      <c r="C3059" s="5"/>
    </row>
    <row r="3060" spans="3:21" x14ac:dyDescent="0.25">
      <c r="C3060" s="5"/>
    </row>
    <row r="3061" spans="3:21" x14ac:dyDescent="0.25">
      <c r="C3061" s="5"/>
    </row>
    <row r="3062" spans="3:21" x14ac:dyDescent="0.25">
      <c r="C3062" s="5"/>
    </row>
    <row r="3063" spans="3:21" x14ac:dyDescent="0.25">
      <c r="C3063" s="5"/>
    </row>
    <row r="3064" spans="3:21" x14ac:dyDescent="0.25">
      <c r="C3064" s="5"/>
    </row>
    <row r="3065" spans="3:21" x14ac:dyDescent="0.25">
      <c r="C3065" s="5"/>
    </row>
    <row r="3066" spans="3:21" x14ac:dyDescent="0.25">
      <c r="C3066" s="5"/>
    </row>
    <row r="3067" spans="3:21" x14ac:dyDescent="0.25">
      <c r="C3067" s="5"/>
    </row>
    <row r="3068" spans="3:21" x14ac:dyDescent="0.25">
      <c r="C3068" s="5"/>
    </row>
    <row r="3069" spans="3:21" x14ac:dyDescent="0.25">
      <c r="C3069" s="5"/>
      <c r="O3069"/>
      <c r="P3069"/>
      <c r="Q3069"/>
      <c r="R3069"/>
      <c r="S3069"/>
      <c r="T3069"/>
      <c r="U3069"/>
    </row>
    <row r="3070" spans="3:21" x14ac:dyDescent="0.25">
      <c r="C3070" s="5"/>
    </row>
    <row r="3071" spans="3:21" x14ac:dyDescent="0.25">
      <c r="C3071" s="5"/>
    </row>
    <row r="3072" spans="3:21" x14ac:dyDescent="0.25">
      <c r="C3072" s="5"/>
    </row>
    <row r="3073" spans="3:3" x14ac:dyDescent="0.25">
      <c r="C3073" s="5"/>
    </row>
    <row r="3074" spans="3:3" x14ac:dyDescent="0.25">
      <c r="C3074" s="5"/>
    </row>
    <row r="3075" spans="3:3" x14ac:dyDescent="0.25">
      <c r="C3075" s="5"/>
    </row>
    <row r="3076" spans="3:3" x14ac:dyDescent="0.25">
      <c r="C3076" s="5"/>
    </row>
    <row r="3077" spans="3:3" x14ac:dyDescent="0.25">
      <c r="C3077" s="5"/>
    </row>
    <row r="3078" spans="3:3" x14ac:dyDescent="0.25">
      <c r="C3078" s="5"/>
    </row>
    <row r="3079" spans="3:3" x14ac:dyDescent="0.25">
      <c r="C3079" s="5"/>
    </row>
    <row r="3080" spans="3:3" x14ac:dyDescent="0.25">
      <c r="C3080" s="5"/>
    </row>
    <row r="3081" spans="3:3" x14ac:dyDescent="0.25">
      <c r="C3081" s="5"/>
    </row>
    <row r="3082" spans="3:3" x14ac:dyDescent="0.25">
      <c r="C3082" s="5"/>
    </row>
    <row r="3083" spans="3:3" x14ac:dyDescent="0.25">
      <c r="C3083" s="5"/>
    </row>
    <row r="3084" spans="3:3" x14ac:dyDescent="0.25">
      <c r="C3084" s="5"/>
    </row>
    <row r="3085" spans="3:3" x14ac:dyDescent="0.25">
      <c r="C3085" s="5"/>
    </row>
    <row r="3086" spans="3:3" x14ac:dyDescent="0.25">
      <c r="C3086" s="5"/>
    </row>
    <row r="3087" spans="3:3" x14ac:dyDescent="0.25">
      <c r="C3087" s="5"/>
    </row>
    <row r="3088" spans="3:3" x14ac:dyDescent="0.25">
      <c r="C3088" s="5"/>
    </row>
    <row r="3089" spans="3:3" x14ac:dyDescent="0.25">
      <c r="C3089" s="5"/>
    </row>
    <row r="3090" spans="3:3" x14ac:dyDescent="0.25">
      <c r="C3090" s="5"/>
    </row>
    <row r="3091" spans="3:3" x14ac:dyDescent="0.25">
      <c r="C3091" s="5"/>
    </row>
    <row r="3092" spans="3:3" x14ac:dyDescent="0.25">
      <c r="C3092" s="5"/>
    </row>
    <row r="3093" spans="3:3" x14ac:dyDescent="0.25">
      <c r="C3093" s="5"/>
    </row>
    <row r="3094" spans="3:3" x14ac:dyDescent="0.25">
      <c r="C3094" s="5"/>
    </row>
    <row r="3095" spans="3:3" x14ac:dyDescent="0.25">
      <c r="C3095" s="5"/>
    </row>
    <row r="3096" spans="3:3" x14ac:dyDescent="0.25">
      <c r="C3096" s="5"/>
    </row>
    <row r="3097" spans="3:3" x14ac:dyDescent="0.25">
      <c r="C3097" s="5"/>
    </row>
    <row r="3098" spans="3:3" x14ac:dyDescent="0.25">
      <c r="C3098" s="5"/>
    </row>
    <row r="3099" spans="3:3" x14ac:dyDescent="0.25">
      <c r="C3099" s="5"/>
    </row>
    <row r="3100" spans="3:3" x14ac:dyDescent="0.25">
      <c r="C3100" s="5"/>
    </row>
    <row r="3101" spans="3:3" x14ac:dyDescent="0.25">
      <c r="C3101" s="5"/>
    </row>
    <row r="3102" spans="3:3" x14ac:dyDescent="0.25">
      <c r="C3102" s="5"/>
    </row>
    <row r="3103" spans="3:3" x14ac:dyDescent="0.25">
      <c r="C3103" s="5"/>
    </row>
    <row r="3104" spans="3:3" x14ac:dyDescent="0.25">
      <c r="C3104" s="5"/>
    </row>
    <row r="3105" spans="3:3" x14ac:dyDescent="0.25">
      <c r="C3105" s="5"/>
    </row>
    <row r="3106" spans="3:3" x14ac:dyDescent="0.25">
      <c r="C3106" s="5"/>
    </row>
    <row r="3107" spans="3:3" x14ac:dyDescent="0.25">
      <c r="C3107" s="5"/>
    </row>
    <row r="3108" spans="3:3" x14ac:dyDescent="0.25">
      <c r="C3108" s="5"/>
    </row>
    <row r="3109" spans="3:3" x14ac:dyDescent="0.25">
      <c r="C3109" s="5"/>
    </row>
    <row r="3110" spans="3:3" x14ac:dyDescent="0.25">
      <c r="C3110" s="5"/>
    </row>
    <row r="3111" spans="3:3" x14ac:dyDescent="0.25">
      <c r="C3111" s="5"/>
    </row>
    <row r="3112" spans="3:3" x14ac:dyDescent="0.25">
      <c r="C3112" s="5"/>
    </row>
    <row r="3113" spans="3:3" x14ac:dyDescent="0.25">
      <c r="C3113" s="5"/>
    </row>
    <row r="3114" spans="3:3" x14ac:dyDescent="0.25">
      <c r="C3114" s="5"/>
    </row>
    <row r="3115" spans="3:3" x14ac:dyDescent="0.25">
      <c r="C3115" s="5"/>
    </row>
    <row r="3116" spans="3:3" x14ac:dyDescent="0.25">
      <c r="C3116" s="5"/>
    </row>
    <row r="3117" spans="3:3" x14ac:dyDescent="0.25">
      <c r="C3117" s="5"/>
    </row>
    <row r="3118" spans="3:3" x14ac:dyDescent="0.25">
      <c r="C3118" s="5"/>
    </row>
    <row r="3119" spans="3:3" x14ac:dyDescent="0.25">
      <c r="C3119" s="5"/>
    </row>
    <row r="3120" spans="3:3" x14ac:dyDescent="0.25">
      <c r="C3120" s="5"/>
    </row>
    <row r="3121" spans="3:21" x14ac:dyDescent="0.25">
      <c r="C3121" s="5"/>
      <c r="O3121"/>
      <c r="P3121"/>
      <c r="Q3121"/>
      <c r="R3121"/>
      <c r="S3121"/>
      <c r="T3121"/>
      <c r="U3121"/>
    </row>
    <row r="3122" spans="3:21" x14ac:dyDescent="0.25">
      <c r="C3122" s="5"/>
    </row>
    <row r="3123" spans="3:21" x14ac:dyDescent="0.25">
      <c r="C3123" s="5"/>
    </row>
    <row r="3124" spans="3:21" x14ac:dyDescent="0.25">
      <c r="C3124" s="5"/>
    </row>
    <row r="3125" spans="3:21" x14ac:dyDescent="0.25">
      <c r="C3125" s="5"/>
    </row>
    <row r="3126" spans="3:21" x14ac:dyDescent="0.25">
      <c r="C3126" s="5"/>
    </row>
    <row r="3127" spans="3:21" x14ac:dyDescent="0.25">
      <c r="C3127" s="5"/>
    </row>
    <row r="3128" spans="3:21" x14ac:dyDescent="0.25">
      <c r="C3128" s="5"/>
    </row>
    <row r="3129" spans="3:21" x14ac:dyDescent="0.25">
      <c r="C3129" s="5"/>
    </row>
    <row r="3130" spans="3:21" x14ac:dyDescent="0.25">
      <c r="C3130" s="5"/>
    </row>
    <row r="3131" spans="3:21" x14ac:dyDescent="0.25">
      <c r="C3131" s="5"/>
    </row>
    <row r="3132" spans="3:21" x14ac:dyDescent="0.25">
      <c r="C3132" s="5"/>
    </row>
    <row r="3133" spans="3:21" x14ac:dyDescent="0.25">
      <c r="C3133" s="5"/>
    </row>
    <row r="3134" spans="3:21" x14ac:dyDescent="0.25">
      <c r="C3134" s="5"/>
    </row>
    <row r="3135" spans="3:21" x14ac:dyDescent="0.25">
      <c r="C3135" s="5"/>
    </row>
    <row r="3136" spans="3:21" x14ac:dyDescent="0.25">
      <c r="C3136" s="5"/>
    </row>
    <row r="3137" spans="3:21" x14ac:dyDescent="0.25">
      <c r="C3137" s="5"/>
    </row>
    <row r="3138" spans="3:21" x14ac:dyDescent="0.25">
      <c r="C3138" s="5"/>
    </row>
    <row r="3139" spans="3:21" x14ac:dyDescent="0.25">
      <c r="C3139" s="5"/>
    </row>
    <row r="3140" spans="3:21" x14ac:dyDescent="0.25">
      <c r="C3140" s="5"/>
    </row>
    <row r="3141" spans="3:21" x14ac:dyDescent="0.25">
      <c r="C3141" s="5"/>
    </row>
    <row r="3142" spans="3:21" x14ac:dyDescent="0.25">
      <c r="C3142" s="5"/>
    </row>
    <row r="3143" spans="3:21" x14ac:dyDescent="0.25">
      <c r="C3143" s="5"/>
    </row>
    <row r="3144" spans="3:21" x14ac:dyDescent="0.25">
      <c r="C3144" s="5"/>
    </row>
    <row r="3145" spans="3:21" x14ac:dyDescent="0.25">
      <c r="C3145" s="5"/>
    </row>
    <row r="3146" spans="3:21" x14ac:dyDescent="0.25">
      <c r="C3146" s="5"/>
    </row>
    <row r="3147" spans="3:21" x14ac:dyDescent="0.25">
      <c r="C3147" s="5"/>
    </row>
    <row r="3148" spans="3:21" x14ac:dyDescent="0.25">
      <c r="C3148" s="5"/>
      <c r="O3148"/>
      <c r="P3148"/>
      <c r="Q3148"/>
      <c r="R3148"/>
      <c r="S3148"/>
      <c r="T3148"/>
      <c r="U3148"/>
    </row>
    <row r="3149" spans="3:21" x14ac:dyDescent="0.25">
      <c r="C3149" s="5"/>
    </row>
    <row r="3150" spans="3:21" x14ac:dyDescent="0.25">
      <c r="C3150" s="5"/>
    </row>
    <row r="3151" spans="3:21" x14ac:dyDescent="0.25">
      <c r="C3151" s="5"/>
    </row>
    <row r="3152" spans="3:21" x14ac:dyDescent="0.25">
      <c r="C3152" s="5"/>
    </row>
    <row r="3153" spans="3:3" x14ac:dyDescent="0.25">
      <c r="C3153" s="5"/>
    </row>
    <row r="3154" spans="3:3" x14ac:dyDescent="0.25">
      <c r="C3154" s="5"/>
    </row>
    <row r="3155" spans="3:3" x14ac:dyDescent="0.25">
      <c r="C3155" s="5"/>
    </row>
    <row r="3156" spans="3:3" x14ac:dyDescent="0.25">
      <c r="C3156" s="5"/>
    </row>
    <row r="3157" spans="3:3" x14ac:dyDescent="0.25">
      <c r="C3157" s="5"/>
    </row>
    <row r="3158" spans="3:3" x14ac:dyDescent="0.25">
      <c r="C3158" s="5"/>
    </row>
    <row r="3159" spans="3:3" x14ac:dyDescent="0.25">
      <c r="C3159" s="5"/>
    </row>
    <row r="3160" spans="3:3" x14ac:dyDescent="0.25">
      <c r="C3160" s="5"/>
    </row>
    <row r="3161" spans="3:3" x14ac:dyDescent="0.25">
      <c r="C3161" s="5"/>
    </row>
    <row r="3162" spans="3:3" x14ac:dyDescent="0.25">
      <c r="C3162" s="5"/>
    </row>
    <row r="3163" spans="3:3" x14ac:dyDescent="0.25">
      <c r="C3163" s="5"/>
    </row>
    <row r="3164" spans="3:3" x14ac:dyDescent="0.25">
      <c r="C3164" s="5"/>
    </row>
    <row r="3165" spans="3:3" x14ac:dyDescent="0.25">
      <c r="C3165" s="5"/>
    </row>
    <row r="3166" spans="3:3" x14ac:dyDescent="0.25">
      <c r="C3166" s="5"/>
    </row>
    <row r="3167" spans="3:3" x14ac:dyDescent="0.25">
      <c r="C3167" s="5"/>
    </row>
    <row r="3168" spans="3:3" x14ac:dyDescent="0.25">
      <c r="C3168" s="5"/>
    </row>
    <row r="3169" spans="3:3" x14ac:dyDescent="0.25">
      <c r="C3169" s="5"/>
    </row>
    <row r="3170" spans="3:3" x14ac:dyDescent="0.25">
      <c r="C3170" s="5"/>
    </row>
    <row r="3171" spans="3:3" x14ac:dyDescent="0.25">
      <c r="C3171" s="5"/>
    </row>
    <row r="3172" spans="3:3" x14ac:dyDescent="0.25">
      <c r="C3172" s="5"/>
    </row>
    <row r="3173" spans="3:3" x14ac:dyDescent="0.25">
      <c r="C3173" s="5"/>
    </row>
    <row r="3174" spans="3:3" x14ac:dyDescent="0.25">
      <c r="C3174" s="5"/>
    </row>
    <row r="3175" spans="3:3" x14ac:dyDescent="0.25">
      <c r="C3175" s="5"/>
    </row>
    <row r="3176" spans="3:3" x14ac:dyDescent="0.25">
      <c r="C3176" s="5"/>
    </row>
    <row r="3177" spans="3:3" x14ac:dyDescent="0.25">
      <c r="C3177" s="5"/>
    </row>
    <row r="3178" spans="3:3" x14ac:dyDescent="0.25">
      <c r="C3178" s="5"/>
    </row>
    <row r="3179" spans="3:3" x14ac:dyDescent="0.25">
      <c r="C3179" s="5"/>
    </row>
    <row r="3180" spans="3:3" x14ac:dyDescent="0.25">
      <c r="C3180" s="5"/>
    </row>
    <row r="3181" spans="3:3" x14ac:dyDescent="0.25">
      <c r="C3181" s="5"/>
    </row>
    <row r="3182" spans="3:3" x14ac:dyDescent="0.25">
      <c r="C3182" s="5"/>
    </row>
    <row r="3183" spans="3:3" x14ac:dyDescent="0.25">
      <c r="C3183" s="5"/>
    </row>
    <row r="3184" spans="3:3" x14ac:dyDescent="0.25">
      <c r="C3184" s="5"/>
    </row>
    <row r="3185" spans="3:21" x14ac:dyDescent="0.25">
      <c r="C3185" s="5"/>
    </row>
    <row r="3186" spans="3:21" x14ac:dyDescent="0.25">
      <c r="C3186" s="5"/>
    </row>
    <row r="3187" spans="3:21" x14ac:dyDescent="0.25">
      <c r="C3187" s="5"/>
    </row>
    <row r="3188" spans="3:21" x14ac:dyDescent="0.25">
      <c r="C3188" s="5"/>
    </row>
    <row r="3189" spans="3:21" x14ac:dyDescent="0.25">
      <c r="C3189" s="5"/>
    </row>
    <row r="3190" spans="3:21" x14ac:dyDescent="0.25">
      <c r="C3190" s="5"/>
    </row>
    <row r="3191" spans="3:21" x14ac:dyDescent="0.25">
      <c r="C3191" s="5"/>
    </row>
    <row r="3192" spans="3:21" x14ac:dyDescent="0.25">
      <c r="C3192" s="5"/>
    </row>
    <row r="3193" spans="3:21" x14ac:dyDescent="0.25">
      <c r="C3193" s="5"/>
    </row>
    <row r="3194" spans="3:21" x14ac:dyDescent="0.25">
      <c r="C3194" s="5"/>
    </row>
    <row r="3195" spans="3:21" x14ac:dyDescent="0.25">
      <c r="C3195" s="5"/>
    </row>
    <row r="3196" spans="3:21" x14ac:dyDescent="0.25">
      <c r="C3196" s="5"/>
    </row>
    <row r="3197" spans="3:21" x14ac:dyDescent="0.25">
      <c r="C3197" s="5"/>
    </row>
    <row r="3198" spans="3:21" x14ac:dyDescent="0.25">
      <c r="C3198" s="5"/>
    </row>
    <row r="3199" spans="3:21" x14ac:dyDescent="0.25">
      <c r="C3199" s="5"/>
      <c r="O3199"/>
      <c r="P3199"/>
      <c r="Q3199"/>
      <c r="R3199"/>
      <c r="S3199"/>
      <c r="T3199"/>
      <c r="U3199"/>
    </row>
    <row r="3200" spans="3:21" x14ac:dyDescent="0.25">
      <c r="C3200" s="5"/>
    </row>
    <row r="3201" spans="3:21" x14ac:dyDescent="0.25">
      <c r="C3201" s="5"/>
      <c r="O3201"/>
      <c r="P3201"/>
      <c r="Q3201"/>
      <c r="R3201"/>
      <c r="S3201"/>
      <c r="T3201"/>
      <c r="U3201"/>
    </row>
    <row r="3202" spans="3:21" x14ac:dyDescent="0.25">
      <c r="C3202" s="5"/>
    </row>
    <row r="3203" spans="3:21" x14ac:dyDescent="0.25">
      <c r="C3203" s="5"/>
    </row>
    <row r="3204" spans="3:21" x14ac:dyDescent="0.25">
      <c r="C3204" s="5"/>
    </row>
    <row r="3205" spans="3:21" x14ac:dyDescent="0.25">
      <c r="C3205" s="5"/>
    </row>
    <row r="3206" spans="3:21" x14ac:dyDescent="0.25">
      <c r="C3206" s="5"/>
    </row>
    <row r="3207" spans="3:21" x14ac:dyDescent="0.25">
      <c r="C3207" s="5"/>
    </row>
    <row r="3208" spans="3:21" x14ac:dyDescent="0.25">
      <c r="C3208" s="5"/>
    </row>
    <row r="3209" spans="3:21" x14ac:dyDescent="0.25">
      <c r="C3209" s="5"/>
    </row>
    <row r="3210" spans="3:21" x14ac:dyDescent="0.25">
      <c r="C3210" s="5"/>
    </row>
    <row r="3211" spans="3:21" x14ac:dyDescent="0.25">
      <c r="C3211" s="5"/>
    </row>
    <row r="3212" spans="3:21" x14ac:dyDescent="0.25">
      <c r="C3212" s="5"/>
    </row>
    <row r="3213" spans="3:21" x14ac:dyDescent="0.25">
      <c r="C3213" s="5"/>
    </row>
    <row r="3214" spans="3:21" x14ac:dyDescent="0.25">
      <c r="C3214" s="5"/>
    </row>
    <row r="3215" spans="3:21" x14ac:dyDescent="0.25">
      <c r="C3215" s="5"/>
    </row>
    <row r="3216" spans="3:21" x14ac:dyDescent="0.25">
      <c r="C3216" s="5"/>
    </row>
    <row r="3217" spans="3:3" x14ac:dyDescent="0.25">
      <c r="C3217" s="5"/>
    </row>
    <row r="3218" spans="3:3" x14ac:dyDescent="0.25">
      <c r="C3218" s="5"/>
    </row>
    <row r="3219" spans="3:3" x14ac:dyDescent="0.25">
      <c r="C3219" s="5"/>
    </row>
    <row r="3220" spans="3:3" x14ac:dyDescent="0.25">
      <c r="C3220" s="5"/>
    </row>
    <row r="3221" spans="3:3" x14ac:dyDescent="0.25">
      <c r="C3221" s="5"/>
    </row>
    <row r="3222" spans="3:3" x14ac:dyDescent="0.25">
      <c r="C3222" s="5"/>
    </row>
    <row r="3223" spans="3:3" x14ac:dyDescent="0.25">
      <c r="C3223" s="5"/>
    </row>
    <row r="3224" spans="3:3" x14ac:dyDescent="0.25">
      <c r="C3224" s="5"/>
    </row>
    <row r="3225" spans="3:3" x14ac:dyDescent="0.25">
      <c r="C3225" s="5"/>
    </row>
    <row r="3226" spans="3:3" x14ac:dyDescent="0.25">
      <c r="C3226" s="5"/>
    </row>
    <row r="3227" spans="3:3" x14ac:dyDescent="0.25">
      <c r="C3227" s="5"/>
    </row>
    <row r="3228" spans="3:3" x14ac:dyDescent="0.25">
      <c r="C3228" s="5"/>
    </row>
    <row r="3229" spans="3:3" x14ac:dyDescent="0.25">
      <c r="C3229" s="5"/>
    </row>
    <row r="3230" spans="3:3" x14ac:dyDescent="0.25">
      <c r="C3230" s="5"/>
    </row>
    <row r="3231" spans="3:3" x14ac:dyDescent="0.25">
      <c r="C3231" s="5"/>
    </row>
    <row r="3232" spans="3:3" x14ac:dyDescent="0.25">
      <c r="C3232" s="5"/>
    </row>
    <row r="3233" spans="3:3" x14ac:dyDescent="0.25">
      <c r="C3233" s="5"/>
    </row>
    <row r="3234" spans="3:3" x14ac:dyDescent="0.25">
      <c r="C3234" s="5"/>
    </row>
    <row r="3235" spans="3:3" x14ac:dyDescent="0.25">
      <c r="C3235" s="5"/>
    </row>
    <row r="3236" spans="3:3" x14ac:dyDescent="0.25">
      <c r="C3236" s="5"/>
    </row>
    <row r="3237" spans="3:3" x14ac:dyDescent="0.25">
      <c r="C3237" s="5"/>
    </row>
    <row r="3238" spans="3:3" x14ac:dyDescent="0.25">
      <c r="C3238" s="5"/>
    </row>
    <row r="3239" spans="3:3" x14ac:dyDescent="0.25">
      <c r="C3239" s="5"/>
    </row>
    <row r="3240" spans="3:3" x14ac:dyDescent="0.25">
      <c r="C3240" s="5"/>
    </row>
    <row r="3241" spans="3:3" x14ac:dyDescent="0.25">
      <c r="C3241" s="5"/>
    </row>
    <row r="3242" spans="3:3" x14ac:dyDescent="0.25">
      <c r="C3242" s="5"/>
    </row>
    <row r="3243" spans="3:3" x14ac:dyDescent="0.25">
      <c r="C3243" s="5"/>
    </row>
    <row r="3244" spans="3:3" x14ac:dyDescent="0.25">
      <c r="C3244" s="5"/>
    </row>
    <row r="3245" spans="3:3" x14ac:dyDescent="0.25">
      <c r="C3245" s="5"/>
    </row>
    <row r="3246" spans="3:3" x14ac:dyDescent="0.25">
      <c r="C3246" s="5"/>
    </row>
    <row r="3247" spans="3:3" x14ac:dyDescent="0.25">
      <c r="C3247" s="5"/>
    </row>
    <row r="3248" spans="3:3" x14ac:dyDescent="0.25">
      <c r="C3248" s="5"/>
    </row>
    <row r="3249" spans="3:21" x14ac:dyDescent="0.25">
      <c r="C3249" s="5"/>
    </row>
    <row r="3250" spans="3:21" x14ac:dyDescent="0.25">
      <c r="C3250" s="5"/>
    </row>
    <row r="3251" spans="3:21" x14ac:dyDescent="0.25">
      <c r="C3251" s="5"/>
    </row>
    <row r="3252" spans="3:21" x14ac:dyDescent="0.25">
      <c r="C3252" s="5"/>
    </row>
    <row r="3253" spans="3:21" x14ac:dyDescent="0.25">
      <c r="C3253" s="5"/>
    </row>
    <row r="3254" spans="3:21" x14ac:dyDescent="0.25">
      <c r="C3254" s="5"/>
    </row>
    <row r="3255" spans="3:21" x14ac:dyDescent="0.25">
      <c r="C3255" s="5"/>
    </row>
    <row r="3256" spans="3:21" x14ac:dyDescent="0.25">
      <c r="C3256" s="5"/>
      <c r="O3256"/>
      <c r="P3256"/>
      <c r="Q3256"/>
      <c r="R3256"/>
      <c r="S3256"/>
      <c r="T3256"/>
      <c r="U3256"/>
    </row>
    <row r="3257" spans="3:21" x14ac:dyDescent="0.25">
      <c r="C3257" s="5"/>
    </row>
    <row r="3258" spans="3:21" x14ac:dyDescent="0.25">
      <c r="C3258" s="5"/>
    </row>
    <row r="3259" spans="3:21" x14ac:dyDescent="0.25">
      <c r="C3259" s="5"/>
    </row>
    <row r="3260" spans="3:21" x14ac:dyDescent="0.25">
      <c r="C3260" s="5"/>
    </row>
    <row r="3261" spans="3:21" x14ac:dyDescent="0.25">
      <c r="C3261" s="5"/>
    </row>
    <row r="3262" spans="3:21" x14ac:dyDescent="0.25">
      <c r="C3262" s="5"/>
    </row>
    <row r="3263" spans="3:21" x14ac:dyDescent="0.25">
      <c r="C3263" s="5"/>
    </row>
    <row r="3264" spans="3:21" x14ac:dyDescent="0.25">
      <c r="C3264" s="5"/>
    </row>
    <row r="3265" spans="3:3" x14ac:dyDescent="0.25">
      <c r="C3265" s="5"/>
    </row>
    <row r="3266" spans="3:3" x14ac:dyDescent="0.25">
      <c r="C3266" s="5"/>
    </row>
    <row r="3267" spans="3:3" x14ac:dyDescent="0.25">
      <c r="C3267" s="5"/>
    </row>
    <row r="3268" spans="3:3" x14ac:dyDescent="0.25">
      <c r="C3268" s="5"/>
    </row>
    <row r="3269" spans="3:3" x14ac:dyDescent="0.25">
      <c r="C3269" s="5"/>
    </row>
    <row r="3270" spans="3:3" x14ac:dyDescent="0.25">
      <c r="C3270" s="5"/>
    </row>
    <row r="3271" spans="3:3" x14ac:dyDescent="0.25">
      <c r="C3271" s="5"/>
    </row>
    <row r="3272" spans="3:3" x14ac:dyDescent="0.25">
      <c r="C3272" s="5"/>
    </row>
    <row r="3273" spans="3:3" x14ac:dyDescent="0.25">
      <c r="C3273" s="5"/>
    </row>
    <row r="3274" spans="3:3" x14ac:dyDescent="0.25">
      <c r="C3274" s="5"/>
    </row>
    <row r="3275" spans="3:3" x14ac:dyDescent="0.25">
      <c r="C3275" s="5"/>
    </row>
    <row r="3276" spans="3:3" x14ac:dyDescent="0.25">
      <c r="C3276" s="5"/>
    </row>
    <row r="3277" spans="3:3" x14ac:dyDescent="0.25">
      <c r="C3277" s="5"/>
    </row>
    <row r="3278" spans="3:3" x14ac:dyDescent="0.25">
      <c r="C3278" s="5"/>
    </row>
    <row r="3279" spans="3:3" x14ac:dyDescent="0.25">
      <c r="C3279" s="5"/>
    </row>
    <row r="3280" spans="3:3" x14ac:dyDescent="0.25">
      <c r="C3280" s="5"/>
    </row>
    <row r="3281" spans="3:21" x14ac:dyDescent="0.25">
      <c r="C3281" s="5"/>
    </row>
    <row r="3282" spans="3:21" x14ac:dyDescent="0.25">
      <c r="C3282" s="5"/>
      <c r="O3282"/>
      <c r="P3282"/>
      <c r="Q3282"/>
      <c r="R3282"/>
      <c r="S3282"/>
      <c r="T3282"/>
      <c r="U3282"/>
    </row>
    <row r="3283" spans="3:21" x14ac:dyDescent="0.25">
      <c r="C3283" s="5"/>
    </row>
    <row r="3284" spans="3:21" x14ac:dyDescent="0.25">
      <c r="C3284" s="5"/>
    </row>
    <row r="3285" spans="3:21" x14ac:dyDescent="0.25">
      <c r="C3285" s="5"/>
    </row>
    <row r="3286" spans="3:21" x14ac:dyDescent="0.25">
      <c r="C3286" s="5"/>
    </row>
    <row r="3287" spans="3:21" x14ac:dyDescent="0.25">
      <c r="C3287" s="5"/>
    </row>
    <row r="3288" spans="3:21" x14ac:dyDescent="0.25">
      <c r="C3288" s="5"/>
    </row>
    <row r="3289" spans="3:21" x14ac:dyDescent="0.25">
      <c r="C3289" s="5"/>
    </row>
    <row r="3290" spans="3:21" x14ac:dyDescent="0.25">
      <c r="C3290" s="5"/>
    </row>
    <row r="3291" spans="3:21" x14ac:dyDescent="0.25">
      <c r="C3291" s="5"/>
    </row>
    <row r="3292" spans="3:21" x14ac:dyDescent="0.25">
      <c r="C3292" s="5"/>
    </row>
    <row r="3293" spans="3:21" x14ac:dyDescent="0.25">
      <c r="C3293" s="5"/>
    </row>
    <row r="3294" spans="3:21" x14ac:dyDescent="0.25">
      <c r="C3294" s="5"/>
    </row>
    <row r="3295" spans="3:21" x14ac:dyDescent="0.25">
      <c r="C3295" s="5"/>
    </row>
    <row r="3296" spans="3:21" x14ac:dyDescent="0.25">
      <c r="C3296" s="5"/>
    </row>
    <row r="3297" spans="3:3" x14ac:dyDescent="0.25">
      <c r="C3297" s="5"/>
    </row>
    <row r="3298" spans="3:3" x14ac:dyDescent="0.25">
      <c r="C3298" s="5"/>
    </row>
    <row r="3299" spans="3:3" x14ac:dyDescent="0.25">
      <c r="C3299" s="5"/>
    </row>
    <row r="3300" spans="3:3" x14ac:dyDescent="0.25">
      <c r="C3300" s="5"/>
    </row>
    <row r="3301" spans="3:3" x14ac:dyDescent="0.25">
      <c r="C3301" s="5"/>
    </row>
    <row r="3302" spans="3:3" x14ac:dyDescent="0.25">
      <c r="C3302" s="5"/>
    </row>
    <row r="3303" spans="3:3" x14ac:dyDescent="0.25">
      <c r="C3303" s="5"/>
    </row>
    <row r="3304" spans="3:3" x14ac:dyDescent="0.25">
      <c r="C3304" s="5"/>
    </row>
    <row r="3305" spans="3:3" x14ac:dyDescent="0.25">
      <c r="C3305" s="5"/>
    </row>
    <row r="3306" spans="3:3" x14ac:dyDescent="0.25">
      <c r="C3306" s="5"/>
    </row>
    <row r="3307" spans="3:3" x14ac:dyDescent="0.25">
      <c r="C3307" s="5"/>
    </row>
    <row r="3308" spans="3:3" x14ac:dyDescent="0.25">
      <c r="C3308" s="5"/>
    </row>
    <row r="3309" spans="3:3" x14ac:dyDescent="0.25">
      <c r="C3309" s="5"/>
    </row>
    <row r="3310" spans="3:3" x14ac:dyDescent="0.25">
      <c r="C3310" s="5"/>
    </row>
    <row r="3311" spans="3:3" x14ac:dyDescent="0.25">
      <c r="C3311" s="5"/>
    </row>
    <row r="3312" spans="3:3" x14ac:dyDescent="0.25">
      <c r="C3312" s="5"/>
    </row>
    <row r="3313" spans="3:3" x14ac:dyDescent="0.25">
      <c r="C3313" s="5"/>
    </row>
    <row r="3314" spans="3:3" x14ac:dyDescent="0.25">
      <c r="C3314" s="5"/>
    </row>
    <row r="3315" spans="3:3" x14ac:dyDescent="0.25">
      <c r="C3315" s="5"/>
    </row>
    <row r="3316" spans="3:3" x14ac:dyDescent="0.25">
      <c r="C3316" s="5"/>
    </row>
    <row r="3317" spans="3:3" x14ac:dyDescent="0.25">
      <c r="C3317" s="5"/>
    </row>
    <row r="3318" spans="3:3" x14ac:dyDescent="0.25">
      <c r="C3318" s="5"/>
    </row>
    <row r="3319" spans="3:3" x14ac:dyDescent="0.25">
      <c r="C3319" s="5"/>
    </row>
    <row r="3320" spans="3:3" x14ac:dyDescent="0.25">
      <c r="C3320" s="5"/>
    </row>
    <row r="3321" spans="3:3" x14ac:dyDescent="0.25">
      <c r="C3321" s="5"/>
    </row>
    <row r="3322" spans="3:3" x14ac:dyDescent="0.25">
      <c r="C3322" s="5"/>
    </row>
    <row r="3323" spans="3:3" x14ac:dyDescent="0.25">
      <c r="C3323" s="5"/>
    </row>
    <row r="3324" spans="3:3" x14ac:dyDescent="0.25">
      <c r="C3324" s="5"/>
    </row>
    <row r="3325" spans="3:3" x14ac:dyDescent="0.25">
      <c r="C3325" s="5"/>
    </row>
    <row r="3326" spans="3:3" x14ac:dyDescent="0.25">
      <c r="C3326" s="5"/>
    </row>
    <row r="3327" spans="3:3" x14ac:dyDescent="0.25">
      <c r="C3327" s="5"/>
    </row>
    <row r="3328" spans="3:3" x14ac:dyDescent="0.25">
      <c r="C3328" s="5"/>
    </row>
    <row r="3329" spans="3:3" x14ac:dyDescent="0.25">
      <c r="C3329" s="5"/>
    </row>
    <row r="3330" spans="3:3" x14ac:dyDescent="0.25">
      <c r="C3330" s="5"/>
    </row>
    <row r="3331" spans="3:3" x14ac:dyDescent="0.25">
      <c r="C3331" s="5"/>
    </row>
    <row r="3332" spans="3:3" x14ac:dyDescent="0.25">
      <c r="C3332" s="5"/>
    </row>
    <row r="3333" spans="3:3" x14ac:dyDescent="0.25">
      <c r="C3333" s="5"/>
    </row>
    <row r="3334" spans="3:3" x14ac:dyDescent="0.25">
      <c r="C3334" s="5"/>
    </row>
    <row r="3335" spans="3:3" x14ac:dyDescent="0.25">
      <c r="C3335" s="5"/>
    </row>
    <row r="3336" spans="3:3" x14ac:dyDescent="0.25">
      <c r="C3336" s="5"/>
    </row>
    <row r="3337" spans="3:3" x14ac:dyDescent="0.25">
      <c r="C3337" s="5"/>
    </row>
    <row r="3338" spans="3:3" x14ac:dyDescent="0.25">
      <c r="C3338" s="5"/>
    </row>
    <row r="3339" spans="3:3" x14ac:dyDescent="0.25">
      <c r="C3339" s="5"/>
    </row>
    <row r="3340" spans="3:3" x14ac:dyDescent="0.25">
      <c r="C3340" s="5"/>
    </row>
    <row r="3341" spans="3:3" x14ac:dyDescent="0.25">
      <c r="C3341" s="5"/>
    </row>
    <row r="3342" spans="3:3" x14ac:dyDescent="0.25">
      <c r="C3342" s="5"/>
    </row>
    <row r="3343" spans="3:3" x14ac:dyDescent="0.25">
      <c r="C3343" s="5"/>
    </row>
    <row r="3344" spans="3:3" x14ac:dyDescent="0.25">
      <c r="C3344" s="5"/>
    </row>
    <row r="3345" spans="3:21" x14ac:dyDescent="0.25">
      <c r="C3345" s="5"/>
    </row>
    <row r="3346" spans="3:21" x14ac:dyDescent="0.25">
      <c r="C3346" s="5"/>
    </row>
    <row r="3347" spans="3:21" x14ac:dyDescent="0.25">
      <c r="C3347" s="5"/>
    </row>
    <row r="3348" spans="3:21" x14ac:dyDescent="0.25">
      <c r="C3348" s="5"/>
    </row>
    <row r="3349" spans="3:21" x14ac:dyDescent="0.25">
      <c r="C3349" s="5"/>
      <c r="O3349"/>
      <c r="P3349"/>
      <c r="Q3349"/>
      <c r="R3349"/>
      <c r="S3349"/>
      <c r="T3349"/>
      <c r="U3349"/>
    </row>
    <row r="3350" spans="3:21" x14ac:dyDescent="0.25">
      <c r="C3350" s="5"/>
    </row>
    <row r="3351" spans="3:21" x14ac:dyDescent="0.25">
      <c r="C3351" s="5"/>
    </row>
    <row r="3352" spans="3:21" x14ac:dyDescent="0.25">
      <c r="C3352" s="5"/>
      <c r="O3352"/>
      <c r="P3352"/>
      <c r="Q3352"/>
      <c r="R3352"/>
      <c r="S3352"/>
      <c r="T3352"/>
      <c r="U3352"/>
    </row>
    <row r="3353" spans="3:21" x14ac:dyDescent="0.25">
      <c r="C3353" s="5"/>
    </row>
    <row r="3354" spans="3:21" x14ac:dyDescent="0.25">
      <c r="C3354" s="5"/>
    </row>
    <row r="3355" spans="3:21" x14ac:dyDescent="0.25">
      <c r="C3355" s="5"/>
      <c r="O3355"/>
      <c r="P3355"/>
      <c r="Q3355"/>
      <c r="R3355"/>
      <c r="S3355"/>
      <c r="T3355"/>
      <c r="U3355"/>
    </row>
    <row r="3356" spans="3:21" x14ac:dyDescent="0.25">
      <c r="C3356" s="5"/>
    </row>
    <row r="3357" spans="3:21" x14ac:dyDescent="0.25">
      <c r="C3357" s="5"/>
    </row>
    <row r="3358" spans="3:21" x14ac:dyDescent="0.25">
      <c r="C3358" s="5"/>
    </row>
    <row r="3359" spans="3:21" x14ac:dyDescent="0.25">
      <c r="C3359" s="5"/>
    </row>
    <row r="3360" spans="3:21" x14ac:dyDescent="0.25">
      <c r="C3360" s="5"/>
      <c r="O3360"/>
      <c r="P3360"/>
      <c r="Q3360"/>
      <c r="R3360"/>
      <c r="S3360"/>
      <c r="T3360"/>
      <c r="U3360"/>
    </row>
    <row r="3361" spans="3:21" x14ac:dyDescent="0.25">
      <c r="C3361" s="5"/>
    </row>
    <row r="3362" spans="3:21" x14ac:dyDescent="0.25">
      <c r="C3362" s="5"/>
    </row>
    <row r="3363" spans="3:21" x14ac:dyDescent="0.25">
      <c r="C3363" s="5"/>
      <c r="O3363"/>
      <c r="P3363"/>
      <c r="Q3363"/>
      <c r="R3363"/>
      <c r="S3363"/>
      <c r="T3363"/>
      <c r="U3363"/>
    </row>
    <row r="3364" spans="3:21" x14ac:dyDescent="0.25">
      <c r="C3364" s="5"/>
    </row>
    <row r="3365" spans="3:21" x14ac:dyDescent="0.25">
      <c r="C3365" s="5"/>
    </row>
    <row r="3366" spans="3:21" x14ac:dyDescent="0.25">
      <c r="C3366" s="5"/>
    </row>
    <row r="3367" spans="3:21" x14ac:dyDescent="0.25">
      <c r="C3367" s="5"/>
    </row>
    <row r="3368" spans="3:21" x14ac:dyDescent="0.25">
      <c r="C3368" s="5"/>
      <c r="O3368"/>
      <c r="P3368"/>
      <c r="Q3368"/>
      <c r="R3368"/>
      <c r="S3368"/>
      <c r="T3368"/>
      <c r="U3368"/>
    </row>
    <row r="3369" spans="3:21" x14ac:dyDescent="0.25">
      <c r="C3369" s="5"/>
      <c r="O3369"/>
      <c r="P3369"/>
      <c r="Q3369"/>
      <c r="R3369"/>
      <c r="S3369"/>
      <c r="T3369"/>
      <c r="U3369"/>
    </row>
    <row r="3370" spans="3:21" x14ac:dyDescent="0.25">
      <c r="C3370" s="5"/>
    </row>
    <row r="3371" spans="3:21" x14ac:dyDescent="0.25">
      <c r="C3371" s="5"/>
      <c r="O3371"/>
      <c r="P3371"/>
      <c r="Q3371"/>
      <c r="R3371"/>
      <c r="S3371"/>
      <c r="T3371"/>
      <c r="U3371"/>
    </row>
    <row r="3372" spans="3:21" x14ac:dyDescent="0.25">
      <c r="C3372" s="5"/>
    </row>
    <row r="3373" spans="3:21" x14ac:dyDescent="0.25">
      <c r="C3373" s="5"/>
    </row>
    <row r="3374" spans="3:21" x14ac:dyDescent="0.25">
      <c r="C3374" s="5"/>
    </row>
    <row r="3375" spans="3:21" x14ac:dyDescent="0.25">
      <c r="C3375" s="5"/>
    </row>
    <row r="3376" spans="3:21" x14ac:dyDescent="0.25">
      <c r="C3376" s="5"/>
    </row>
    <row r="3377" spans="3:21" x14ac:dyDescent="0.25">
      <c r="C3377" s="5"/>
    </row>
    <row r="3378" spans="3:21" x14ac:dyDescent="0.25">
      <c r="C3378" s="5"/>
      <c r="O3378"/>
      <c r="P3378"/>
      <c r="Q3378"/>
      <c r="R3378"/>
      <c r="S3378"/>
      <c r="T3378"/>
      <c r="U3378"/>
    </row>
    <row r="3379" spans="3:21" x14ac:dyDescent="0.25">
      <c r="C3379" s="5"/>
    </row>
    <row r="3380" spans="3:21" x14ac:dyDescent="0.25">
      <c r="C3380" s="5"/>
    </row>
    <row r="3381" spans="3:21" x14ac:dyDescent="0.25">
      <c r="C3381" s="5"/>
      <c r="O3381"/>
      <c r="P3381"/>
      <c r="Q3381"/>
      <c r="R3381"/>
      <c r="S3381"/>
      <c r="T3381"/>
      <c r="U3381"/>
    </row>
    <row r="3382" spans="3:21" x14ac:dyDescent="0.25">
      <c r="C3382" s="5"/>
    </row>
    <row r="3383" spans="3:21" x14ac:dyDescent="0.25">
      <c r="C3383" s="5"/>
    </row>
    <row r="3384" spans="3:21" x14ac:dyDescent="0.25">
      <c r="C3384" s="5"/>
    </row>
    <row r="3385" spans="3:21" x14ac:dyDescent="0.25">
      <c r="C3385" s="5"/>
    </row>
    <row r="3386" spans="3:21" x14ac:dyDescent="0.25">
      <c r="C3386" s="5"/>
    </row>
    <row r="3387" spans="3:21" x14ac:dyDescent="0.25">
      <c r="C3387" s="5"/>
    </row>
    <row r="3388" spans="3:21" x14ac:dyDescent="0.25">
      <c r="C3388" s="5"/>
    </row>
    <row r="3389" spans="3:21" x14ac:dyDescent="0.25">
      <c r="C3389" s="5"/>
    </row>
    <row r="3390" spans="3:21" x14ac:dyDescent="0.25">
      <c r="C3390" s="5"/>
      <c r="O3390"/>
      <c r="P3390"/>
      <c r="Q3390"/>
      <c r="R3390"/>
      <c r="S3390"/>
      <c r="T3390"/>
      <c r="U3390"/>
    </row>
    <row r="3391" spans="3:21" x14ac:dyDescent="0.25">
      <c r="C3391" s="5"/>
      <c r="O3391"/>
      <c r="P3391"/>
      <c r="Q3391"/>
      <c r="R3391"/>
      <c r="S3391"/>
      <c r="T3391"/>
      <c r="U3391"/>
    </row>
    <row r="3392" spans="3:21" x14ac:dyDescent="0.25">
      <c r="C3392" s="5"/>
    </row>
    <row r="3393" spans="3:21" x14ac:dyDescent="0.25">
      <c r="C3393" s="5"/>
      <c r="O3393"/>
      <c r="P3393"/>
      <c r="Q3393"/>
      <c r="R3393"/>
      <c r="S3393"/>
      <c r="T3393"/>
      <c r="U3393"/>
    </row>
    <row r="3394" spans="3:21" x14ac:dyDescent="0.25">
      <c r="C3394" s="5"/>
    </row>
    <row r="3395" spans="3:21" x14ac:dyDescent="0.25">
      <c r="C3395" s="5"/>
    </row>
    <row r="3396" spans="3:21" x14ac:dyDescent="0.25">
      <c r="C3396" s="5"/>
    </row>
    <row r="3397" spans="3:21" x14ac:dyDescent="0.25">
      <c r="C3397" s="5"/>
    </row>
    <row r="3398" spans="3:21" x14ac:dyDescent="0.25">
      <c r="C3398" s="5"/>
      <c r="O3398"/>
      <c r="P3398"/>
      <c r="Q3398"/>
      <c r="R3398"/>
      <c r="S3398"/>
      <c r="T3398"/>
      <c r="U3398"/>
    </row>
    <row r="3399" spans="3:21" x14ac:dyDescent="0.25">
      <c r="C3399" s="5"/>
      <c r="O3399"/>
      <c r="P3399"/>
      <c r="Q3399"/>
      <c r="R3399"/>
      <c r="S3399"/>
      <c r="T3399"/>
      <c r="U3399"/>
    </row>
    <row r="3400" spans="3:21" x14ac:dyDescent="0.25">
      <c r="C3400" s="5"/>
    </row>
    <row r="3401" spans="3:21" x14ac:dyDescent="0.25">
      <c r="C3401" s="5"/>
    </row>
    <row r="3402" spans="3:21" x14ac:dyDescent="0.25">
      <c r="C3402" s="5"/>
    </row>
    <row r="3403" spans="3:21" x14ac:dyDescent="0.25">
      <c r="C3403" s="5"/>
    </row>
    <row r="3404" spans="3:21" x14ac:dyDescent="0.25">
      <c r="C3404" s="5"/>
    </row>
    <row r="3405" spans="3:21" x14ac:dyDescent="0.25">
      <c r="C3405" s="5"/>
    </row>
    <row r="3406" spans="3:21" x14ac:dyDescent="0.25">
      <c r="C3406" s="5"/>
    </row>
    <row r="3407" spans="3:21" x14ac:dyDescent="0.25">
      <c r="C3407" s="5"/>
    </row>
    <row r="3408" spans="3:21" x14ac:dyDescent="0.25">
      <c r="C3408" s="5"/>
    </row>
    <row r="3409" spans="3:3" x14ac:dyDescent="0.25">
      <c r="C3409" s="5"/>
    </row>
    <row r="3410" spans="3:3" x14ac:dyDescent="0.25">
      <c r="C3410" s="5"/>
    </row>
    <row r="3411" spans="3:3" x14ac:dyDescent="0.25">
      <c r="C3411" s="5"/>
    </row>
    <row r="3412" spans="3:3" x14ac:dyDescent="0.25">
      <c r="C3412" s="5"/>
    </row>
    <row r="3413" spans="3:3" x14ac:dyDescent="0.25">
      <c r="C3413" s="5"/>
    </row>
    <row r="3414" spans="3:3" x14ac:dyDescent="0.25">
      <c r="C3414" s="5"/>
    </row>
    <row r="3415" spans="3:3" x14ac:dyDescent="0.25">
      <c r="C3415" s="5"/>
    </row>
    <row r="3416" spans="3:3" x14ac:dyDescent="0.25">
      <c r="C3416" s="5"/>
    </row>
    <row r="3417" spans="3:3" x14ac:dyDescent="0.25">
      <c r="C3417" s="5"/>
    </row>
    <row r="3418" spans="3:3" x14ac:dyDescent="0.25">
      <c r="C3418" s="5"/>
    </row>
    <row r="3419" spans="3:3" x14ac:dyDescent="0.25">
      <c r="C3419" s="5"/>
    </row>
    <row r="3420" spans="3:3" x14ac:dyDescent="0.25">
      <c r="C3420" s="5"/>
    </row>
    <row r="3421" spans="3:3" x14ac:dyDescent="0.25">
      <c r="C3421" s="5"/>
    </row>
    <row r="3422" spans="3:3" x14ac:dyDescent="0.25">
      <c r="C3422" s="5"/>
    </row>
    <row r="3423" spans="3:3" x14ac:dyDescent="0.25">
      <c r="C3423" s="5"/>
    </row>
    <row r="3424" spans="3:3" x14ac:dyDescent="0.25">
      <c r="C3424" s="5"/>
    </row>
    <row r="3425" spans="3:3" x14ac:dyDescent="0.25">
      <c r="C3425" s="5"/>
    </row>
    <row r="3426" spans="3:3" x14ac:dyDescent="0.25">
      <c r="C3426" s="5"/>
    </row>
    <row r="3427" spans="3:3" x14ac:dyDescent="0.25">
      <c r="C3427" s="5"/>
    </row>
    <row r="3428" spans="3:3" x14ac:dyDescent="0.25">
      <c r="C3428" s="5"/>
    </row>
    <row r="3429" spans="3:3" x14ac:dyDescent="0.25">
      <c r="C3429" s="5"/>
    </row>
    <row r="3430" spans="3:3" x14ac:dyDescent="0.25">
      <c r="C3430" s="5"/>
    </row>
    <row r="3431" spans="3:3" x14ac:dyDescent="0.25">
      <c r="C3431" s="5"/>
    </row>
    <row r="3432" spans="3:3" x14ac:dyDescent="0.25">
      <c r="C3432" s="5"/>
    </row>
    <row r="3433" spans="3:3" x14ac:dyDescent="0.25">
      <c r="C3433" s="5"/>
    </row>
    <row r="3434" spans="3:3" x14ac:dyDescent="0.25">
      <c r="C3434" s="5"/>
    </row>
    <row r="3435" spans="3:3" x14ac:dyDescent="0.25">
      <c r="C3435" s="5"/>
    </row>
    <row r="3436" spans="3:3" x14ac:dyDescent="0.25">
      <c r="C3436" s="5"/>
    </row>
    <row r="3437" spans="3:3" x14ac:dyDescent="0.25">
      <c r="C3437" s="5"/>
    </row>
    <row r="3438" spans="3:3" x14ac:dyDescent="0.25">
      <c r="C3438" s="5"/>
    </row>
    <row r="3439" spans="3:3" x14ac:dyDescent="0.25">
      <c r="C3439" s="5"/>
    </row>
    <row r="3440" spans="3:3" x14ac:dyDescent="0.25">
      <c r="C3440" s="5"/>
    </row>
    <row r="3441" spans="3:21" x14ac:dyDescent="0.25">
      <c r="C3441" s="5"/>
    </row>
    <row r="3442" spans="3:21" x14ac:dyDescent="0.25">
      <c r="C3442" s="5"/>
    </row>
    <row r="3443" spans="3:21" x14ac:dyDescent="0.25">
      <c r="C3443" s="5"/>
    </row>
    <row r="3444" spans="3:21" x14ac:dyDescent="0.25">
      <c r="C3444" s="5"/>
    </row>
    <row r="3445" spans="3:21" x14ac:dyDescent="0.25">
      <c r="C3445" s="5"/>
    </row>
    <row r="3446" spans="3:21" x14ac:dyDescent="0.25">
      <c r="C3446" s="5"/>
    </row>
    <row r="3447" spans="3:21" x14ac:dyDescent="0.25">
      <c r="C3447" s="5"/>
    </row>
    <row r="3448" spans="3:21" x14ac:dyDescent="0.25">
      <c r="C3448" s="5"/>
    </row>
    <row r="3449" spans="3:21" x14ac:dyDescent="0.25">
      <c r="C3449" s="5"/>
    </row>
    <row r="3450" spans="3:21" x14ac:dyDescent="0.25">
      <c r="C3450" s="5"/>
    </row>
    <row r="3451" spans="3:21" x14ac:dyDescent="0.25">
      <c r="C3451" s="5"/>
      <c r="O3451"/>
      <c r="P3451"/>
      <c r="Q3451"/>
      <c r="R3451"/>
      <c r="S3451"/>
      <c r="T3451"/>
      <c r="U3451"/>
    </row>
    <row r="3452" spans="3:21" x14ac:dyDescent="0.25">
      <c r="C3452" s="5"/>
    </row>
    <row r="3453" spans="3:21" x14ac:dyDescent="0.25">
      <c r="C3453" s="5"/>
    </row>
    <row r="3454" spans="3:21" x14ac:dyDescent="0.25">
      <c r="C3454" s="5"/>
    </row>
    <row r="3455" spans="3:21" x14ac:dyDescent="0.25">
      <c r="C3455" s="5"/>
    </row>
    <row r="3456" spans="3:21" x14ac:dyDescent="0.25">
      <c r="C3456" s="5"/>
    </row>
    <row r="3457" spans="3:3" x14ac:dyDescent="0.25">
      <c r="C3457" s="5"/>
    </row>
    <row r="3458" spans="3:3" x14ac:dyDescent="0.25">
      <c r="C3458" s="5"/>
    </row>
    <row r="3459" spans="3:3" x14ac:dyDescent="0.25">
      <c r="C3459" s="5"/>
    </row>
    <row r="3460" spans="3:3" x14ac:dyDescent="0.25">
      <c r="C3460" s="5"/>
    </row>
    <row r="3461" spans="3:3" x14ac:dyDescent="0.25">
      <c r="C3461" s="5"/>
    </row>
    <row r="3462" spans="3:3" x14ac:dyDescent="0.25">
      <c r="C3462" s="5"/>
    </row>
    <row r="3463" spans="3:3" x14ac:dyDescent="0.25">
      <c r="C3463" s="5"/>
    </row>
    <row r="3464" spans="3:3" x14ac:dyDescent="0.25">
      <c r="C3464" s="5"/>
    </row>
    <row r="3465" spans="3:3" x14ac:dyDescent="0.25">
      <c r="C3465" s="5"/>
    </row>
    <row r="3466" spans="3:3" x14ac:dyDescent="0.25">
      <c r="C3466" s="5"/>
    </row>
    <row r="3467" spans="3:3" x14ac:dyDescent="0.25">
      <c r="C3467" s="5"/>
    </row>
    <row r="3468" spans="3:3" x14ac:dyDescent="0.25">
      <c r="C3468" s="5"/>
    </row>
    <row r="3469" spans="3:3" x14ac:dyDescent="0.25">
      <c r="C3469" s="5"/>
    </row>
    <row r="3470" spans="3:3" x14ac:dyDescent="0.25">
      <c r="C3470" s="5"/>
    </row>
    <row r="3471" spans="3:3" x14ac:dyDescent="0.25">
      <c r="C3471" s="5"/>
    </row>
    <row r="3472" spans="3:3" x14ac:dyDescent="0.25">
      <c r="C3472" s="5"/>
    </row>
    <row r="3473" spans="3:3" x14ac:dyDescent="0.25">
      <c r="C3473" s="5"/>
    </row>
    <row r="3474" spans="3:3" x14ac:dyDescent="0.25">
      <c r="C3474" s="5"/>
    </row>
    <row r="3475" spans="3:3" x14ac:dyDescent="0.25">
      <c r="C3475" s="5"/>
    </row>
    <row r="3476" spans="3:3" x14ac:dyDescent="0.25">
      <c r="C3476" s="5"/>
    </row>
    <row r="3477" spans="3:3" x14ac:dyDescent="0.25">
      <c r="C3477" s="5"/>
    </row>
    <row r="3478" spans="3:3" x14ac:dyDescent="0.25">
      <c r="C3478" s="5"/>
    </row>
    <row r="3479" spans="3:3" x14ac:dyDescent="0.25">
      <c r="C3479" s="5"/>
    </row>
    <row r="3480" spans="3:3" x14ac:dyDescent="0.25">
      <c r="C3480" s="5"/>
    </row>
    <row r="3481" spans="3:3" x14ac:dyDescent="0.25">
      <c r="C3481" s="5"/>
    </row>
    <row r="3482" spans="3:3" x14ac:dyDescent="0.25">
      <c r="C3482" s="5"/>
    </row>
    <row r="3483" spans="3:3" x14ac:dyDescent="0.25">
      <c r="C3483" s="5"/>
    </row>
    <row r="3484" spans="3:3" x14ac:dyDescent="0.25">
      <c r="C3484" s="5"/>
    </row>
    <row r="3485" spans="3:3" x14ac:dyDescent="0.25">
      <c r="C3485" s="5"/>
    </row>
    <row r="3486" spans="3:3" x14ac:dyDescent="0.25">
      <c r="C3486" s="5"/>
    </row>
    <row r="3487" spans="3:3" x14ac:dyDescent="0.25">
      <c r="C3487" s="5"/>
    </row>
    <row r="3488" spans="3:3" x14ac:dyDescent="0.25">
      <c r="C3488" s="5"/>
    </row>
    <row r="3489" spans="3:3" x14ac:dyDescent="0.25">
      <c r="C3489" s="5"/>
    </row>
    <row r="3490" spans="3:3" x14ac:dyDescent="0.25">
      <c r="C3490" s="5"/>
    </row>
    <row r="3491" spans="3:3" x14ac:dyDescent="0.25">
      <c r="C3491" s="5"/>
    </row>
    <row r="3492" spans="3:3" x14ac:dyDescent="0.25">
      <c r="C3492" s="5"/>
    </row>
    <row r="3493" spans="3:3" x14ac:dyDescent="0.25">
      <c r="C3493" s="5"/>
    </row>
    <row r="3494" spans="3:3" x14ac:dyDescent="0.25">
      <c r="C3494" s="5"/>
    </row>
    <row r="3495" spans="3:3" x14ac:dyDescent="0.25">
      <c r="C3495" s="5"/>
    </row>
    <row r="3496" spans="3:3" x14ac:dyDescent="0.25">
      <c r="C3496" s="5"/>
    </row>
    <row r="3497" spans="3:3" x14ac:dyDescent="0.25">
      <c r="C3497" s="5"/>
    </row>
    <row r="3498" spans="3:3" x14ac:dyDescent="0.25">
      <c r="C3498" s="5"/>
    </row>
    <row r="3499" spans="3:3" x14ac:dyDescent="0.25">
      <c r="C3499" s="5"/>
    </row>
    <row r="3500" spans="3:3" x14ac:dyDescent="0.25">
      <c r="C3500" s="5"/>
    </row>
    <row r="3501" spans="3:3" x14ac:dyDescent="0.25">
      <c r="C3501" s="5"/>
    </row>
    <row r="3502" spans="3:3" x14ac:dyDescent="0.25">
      <c r="C3502" s="5"/>
    </row>
    <row r="3503" spans="3:3" x14ac:dyDescent="0.25">
      <c r="C3503" s="5"/>
    </row>
    <row r="3504" spans="3:3" x14ac:dyDescent="0.25">
      <c r="C3504" s="5"/>
    </row>
    <row r="3505" spans="3:3" x14ac:dyDescent="0.25">
      <c r="C3505" s="5"/>
    </row>
    <row r="3506" spans="3:3" x14ac:dyDescent="0.25">
      <c r="C3506" s="5"/>
    </row>
    <row r="3507" spans="3:3" x14ac:dyDescent="0.25">
      <c r="C3507" s="5"/>
    </row>
    <row r="3508" spans="3:3" x14ac:dyDescent="0.25">
      <c r="C3508" s="5"/>
    </row>
    <row r="3509" spans="3:3" x14ac:dyDescent="0.25">
      <c r="C3509" s="5"/>
    </row>
    <row r="3510" spans="3:3" x14ac:dyDescent="0.25">
      <c r="C3510" s="5"/>
    </row>
    <row r="3511" spans="3:3" x14ac:dyDescent="0.25">
      <c r="C3511" s="5"/>
    </row>
    <row r="3512" spans="3:3" x14ac:dyDescent="0.25">
      <c r="C3512" s="5"/>
    </row>
    <row r="3513" spans="3:3" x14ac:dyDescent="0.25">
      <c r="C3513" s="5"/>
    </row>
    <row r="3514" spans="3:3" x14ac:dyDescent="0.25">
      <c r="C3514" s="5"/>
    </row>
    <row r="3515" spans="3:3" x14ac:dyDescent="0.25">
      <c r="C3515" s="5"/>
    </row>
    <row r="3516" spans="3:3" x14ac:dyDescent="0.25">
      <c r="C3516" s="5"/>
    </row>
    <row r="3517" spans="3:3" x14ac:dyDescent="0.25">
      <c r="C3517" s="5"/>
    </row>
    <row r="3518" spans="3:3" x14ac:dyDescent="0.25">
      <c r="C3518" s="5"/>
    </row>
    <row r="3519" spans="3:3" x14ac:dyDescent="0.25">
      <c r="C3519" s="5"/>
    </row>
    <row r="3520" spans="3:3" x14ac:dyDescent="0.25">
      <c r="C3520" s="5"/>
    </row>
    <row r="3521" spans="3:3" x14ac:dyDescent="0.25">
      <c r="C3521" s="5"/>
    </row>
    <row r="3522" spans="3:3" x14ac:dyDescent="0.25">
      <c r="C3522" s="5"/>
    </row>
    <row r="3523" spans="3:3" x14ac:dyDescent="0.25">
      <c r="C3523" s="5"/>
    </row>
    <row r="3524" spans="3:3" x14ac:dyDescent="0.25">
      <c r="C3524" s="5"/>
    </row>
    <row r="3525" spans="3:3" x14ac:dyDescent="0.25">
      <c r="C3525" s="5"/>
    </row>
    <row r="3526" spans="3:3" x14ac:dyDescent="0.25">
      <c r="C3526" s="5"/>
    </row>
    <row r="3527" spans="3:3" x14ac:dyDescent="0.25">
      <c r="C3527" s="5"/>
    </row>
    <row r="3528" spans="3:3" x14ac:dyDescent="0.25">
      <c r="C3528" s="5"/>
    </row>
    <row r="3529" spans="3:3" x14ac:dyDescent="0.25">
      <c r="C3529" s="5"/>
    </row>
    <row r="3530" spans="3:3" x14ac:dyDescent="0.25">
      <c r="C3530" s="5"/>
    </row>
    <row r="3531" spans="3:3" x14ac:dyDescent="0.25">
      <c r="C3531" s="5"/>
    </row>
    <row r="3532" spans="3:3" x14ac:dyDescent="0.25">
      <c r="C3532" s="5"/>
    </row>
    <row r="3533" spans="3:3" x14ac:dyDescent="0.25">
      <c r="C3533" s="5"/>
    </row>
    <row r="3534" spans="3:3" x14ac:dyDescent="0.25">
      <c r="C3534" s="5"/>
    </row>
    <row r="3535" spans="3:3" x14ac:dyDescent="0.25">
      <c r="C3535" s="5"/>
    </row>
    <row r="3536" spans="3:3" x14ac:dyDescent="0.25">
      <c r="C3536" s="5"/>
    </row>
    <row r="3537" spans="3:21" x14ac:dyDescent="0.25">
      <c r="C3537" s="5"/>
    </row>
    <row r="3538" spans="3:21" x14ac:dyDescent="0.25">
      <c r="C3538" s="5"/>
    </row>
    <row r="3539" spans="3:21" x14ac:dyDescent="0.25">
      <c r="C3539" s="5"/>
    </row>
    <row r="3540" spans="3:21" x14ac:dyDescent="0.25">
      <c r="C3540" s="5"/>
    </row>
    <row r="3541" spans="3:21" x14ac:dyDescent="0.25">
      <c r="C3541" s="5"/>
    </row>
    <row r="3542" spans="3:21" x14ac:dyDescent="0.25">
      <c r="C3542" s="5"/>
    </row>
    <row r="3543" spans="3:21" x14ac:dyDescent="0.25">
      <c r="C3543" s="5"/>
    </row>
    <row r="3544" spans="3:21" x14ac:dyDescent="0.25">
      <c r="C3544" s="5"/>
    </row>
    <row r="3545" spans="3:21" x14ac:dyDescent="0.25">
      <c r="C3545" s="5"/>
    </row>
    <row r="3546" spans="3:21" x14ac:dyDescent="0.25">
      <c r="C3546" s="5"/>
    </row>
    <row r="3547" spans="3:21" x14ac:dyDescent="0.25">
      <c r="C3547" s="5"/>
      <c r="O3547"/>
      <c r="P3547"/>
      <c r="Q3547"/>
      <c r="R3547"/>
      <c r="S3547"/>
      <c r="T3547"/>
      <c r="U3547"/>
    </row>
    <row r="3548" spans="3:21" x14ac:dyDescent="0.25">
      <c r="C3548" s="5"/>
    </row>
    <row r="3549" spans="3:21" x14ac:dyDescent="0.25">
      <c r="C3549" s="5"/>
    </row>
    <row r="3550" spans="3:21" x14ac:dyDescent="0.25">
      <c r="C3550" s="5"/>
    </row>
    <row r="3551" spans="3:21" x14ac:dyDescent="0.25">
      <c r="C3551" s="5"/>
    </row>
    <row r="3552" spans="3:21" x14ac:dyDescent="0.25">
      <c r="C3552" s="5"/>
    </row>
    <row r="3553" spans="3:3" x14ac:dyDescent="0.25">
      <c r="C3553" s="5"/>
    </row>
    <row r="3554" spans="3:3" x14ac:dyDescent="0.25">
      <c r="C3554" s="5"/>
    </row>
    <row r="3555" spans="3:3" x14ac:dyDescent="0.25">
      <c r="C3555" s="5"/>
    </row>
    <row r="3556" spans="3:3" x14ac:dyDescent="0.25">
      <c r="C3556" s="5"/>
    </row>
    <row r="3557" spans="3:3" x14ac:dyDescent="0.25">
      <c r="C3557" s="5"/>
    </row>
    <row r="3558" spans="3:3" x14ac:dyDescent="0.25">
      <c r="C3558" s="5"/>
    </row>
    <row r="3559" spans="3:3" x14ac:dyDescent="0.25">
      <c r="C3559" s="5"/>
    </row>
    <row r="3560" spans="3:3" x14ac:dyDescent="0.25">
      <c r="C3560" s="5"/>
    </row>
    <row r="3561" spans="3:3" x14ac:dyDescent="0.25">
      <c r="C3561" s="5"/>
    </row>
    <row r="3562" spans="3:3" x14ac:dyDescent="0.25">
      <c r="C3562" s="5"/>
    </row>
    <row r="3563" spans="3:3" x14ac:dyDescent="0.25">
      <c r="C3563" s="5"/>
    </row>
    <row r="3564" spans="3:3" x14ac:dyDescent="0.25">
      <c r="C3564" s="5"/>
    </row>
    <row r="3565" spans="3:3" x14ac:dyDescent="0.25">
      <c r="C3565" s="5"/>
    </row>
    <row r="3566" spans="3:3" x14ac:dyDescent="0.25">
      <c r="C3566" s="5"/>
    </row>
    <row r="3567" spans="3:3" x14ac:dyDescent="0.25">
      <c r="C3567" s="5"/>
    </row>
    <row r="3568" spans="3:3" x14ac:dyDescent="0.25">
      <c r="C3568" s="5"/>
    </row>
    <row r="3569" spans="3:21" x14ac:dyDescent="0.25">
      <c r="C3569" s="5"/>
    </row>
    <row r="3570" spans="3:21" x14ac:dyDescent="0.25">
      <c r="C3570" s="5"/>
      <c r="O3570"/>
      <c r="P3570"/>
      <c r="Q3570"/>
      <c r="R3570"/>
      <c r="S3570"/>
      <c r="T3570"/>
      <c r="U3570"/>
    </row>
    <row r="3571" spans="3:21" x14ac:dyDescent="0.25">
      <c r="C3571" s="5"/>
    </row>
    <row r="3572" spans="3:21" x14ac:dyDescent="0.25">
      <c r="C3572" s="5"/>
    </row>
    <row r="3573" spans="3:21" x14ac:dyDescent="0.25">
      <c r="C3573" s="5"/>
    </row>
    <row r="3574" spans="3:21" x14ac:dyDescent="0.25">
      <c r="C3574" s="5"/>
    </row>
    <row r="3575" spans="3:21" x14ac:dyDescent="0.25">
      <c r="C3575" s="5"/>
    </row>
    <row r="3576" spans="3:21" x14ac:dyDescent="0.25">
      <c r="C3576" s="5"/>
    </row>
    <row r="3577" spans="3:21" x14ac:dyDescent="0.25">
      <c r="C3577" s="5"/>
    </row>
    <row r="3578" spans="3:21" x14ac:dyDescent="0.25">
      <c r="C3578" s="5"/>
    </row>
    <row r="3579" spans="3:21" x14ac:dyDescent="0.25">
      <c r="C3579" s="5"/>
    </row>
    <row r="3580" spans="3:21" x14ac:dyDescent="0.25">
      <c r="C3580" s="5"/>
    </row>
    <row r="3581" spans="3:21" x14ac:dyDescent="0.25">
      <c r="C3581" s="5"/>
    </row>
    <row r="3582" spans="3:21" x14ac:dyDescent="0.25">
      <c r="C3582" s="5"/>
    </row>
    <row r="3583" spans="3:21" x14ac:dyDescent="0.25">
      <c r="C3583" s="5"/>
    </row>
    <row r="3584" spans="3:21" x14ac:dyDescent="0.25">
      <c r="C3584" s="5"/>
    </row>
    <row r="3585" spans="3:21" x14ac:dyDescent="0.25">
      <c r="C3585" s="5"/>
    </row>
    <row r="3586" spans="3:21" x14ac:dyDescent="0.25">
      <c r="C3586" s="5"/>
    </row>
    <row r="3587" spans="3:21" x14ac:dyDescent="0.25">
      <c r="C3587" s="5"/>
    </row>
    <row r="3588" spans="3:21" x14ac:dyDescent="0.25">
      <c r="C3588" s="5"/>
    </row>
    <row r="3589" spans="3:21" x14ac:dyDescent="0.25">
      <c r="C3589" s="5"/>
    </row>
    <row r="3590" spans="3:21" x14ac:dyDescent="0.25">
      <c r="C3590" s="5"/>
    </row>
    <row r="3591" spans="3:21" x14ac:dyDescent="0.25">
      <c r="C3591" s="5"/>
    </row>
    <row r="3592" spans="3:21" x14ac:dyDescent="0.25">
      <c r="C3592" s="5"/>
    </row>
    <row r="3593" spans="3:21" x14ac:dyDescent="0.25">
      <c r="C3593" s="5"/>
    </row>
    <row r="3594" spans="3:21" x14ac:dyDescent="0.25">
      <c r="C3594" s="5"/>
    </row>
    <row r="3595" spans="3:21" x14ac:dyDescent="0.25">
      <c r="C3595" s="5"/>
    </row>
    <row r="3596" spans="3:21" x14ac:dyDescent="0.25">
      <c r="C3596" s="5"/>
      <c r="O3596"/>
      <c r="P3596"/>
      <c r="Q3596"/>
      <c r="R3596"/>
      <c r="S3596"/>
      <c r="T3596"/>
      <c r="U3596"/>
    </row>
    <row r="3597" spans="3:21" x14ac:dyDescent="0.25">
      <c r="C3597" s="5"/>
    </row>
    <row r="3598" spans="3:21" x14ac:dyDescent="0.25">
      <c r="C3598" s="5"/>
    </row>
    <row r="3599" spans="3:21" x14ac:dyDescent="0.25">
      <c r="C3599" s="5"/>
      <c r="O3599"/>
      <c r="P3599"/>
      <c r="Q3599"/>
      <c r="R3599"/>
      <c r="S3599"/>
      <c r="T3599"/>
      <c r="U3599"/>
    </row>
    <row r="3600" spans="3:21" x14ac:dyDescent="0.25">
      <c r="C3600" s="5"/>
    </row>
    <row r="3601" spans="3:21" x14ac:dyDescent="0.25">
      <c r="C3601" s="5"/>
    </row>
    <row r="3602" spans="3:21" x14ac:dyDescent="0.25">
      <c r="C3602" s="5"/>
    </row>
    <row r="3603" spans="3:21" x14ac:dyDescent="0.25">
      <c r="C3603" s="5"/>
    </row>
    <row r="3604" spans="3:21" x14ac:dyDescent="0.25">
      <c r="C3604" s="5"/>
    </row>
    <row r="3605" spans="3:21" x14ac:dyDescent="0.25">
      <c r="C3605" s="5"/>
    </row>
    <row r="3606" spans="3:21" x14ac:dyDescent="0.25">
      <c r="C3606" s="5"/>
    </row>
    <row r="3607" spans="3:21" x14ac:dyDescent="0.25">
      <c r="C3607" s="5"/>
    </row>
    <row r="3608" spans="3:21" x14ac:dyDescent="0.25">
      <c r="C3608" s="5"/>
    </row>
    <row r="3609" spans="3:21" x14ac:dyDescent="0.25">
      <c r="C3609" s="5"/>
    </row>
    <row r="3610" spans="3:21" x14ac:dyDescent="0.25">
      <c r="C3610" s="5"/>
    </row>
    <row r="3611" spans="3:21" x14ac:dyDescent="0.25">
      <c r="C3611" s="5"/>
    </row>
    <row r="3612" spans="3:21" x14ac:dyDescent="0.25">
      <c r="C3612" s="5"/>
    </row>
    <row r="3613" spans="3:21" x14ac:dyDescent="0.25">
      <c r="C3613" s="5"/>
      <c r="O3613"/>
      <c r="P3613"/>
      <c r="Q3613"/>
      <c r="R3613"/>
      <c r="S3613"/>
      <c r="T3613"/>
      <c r="U3613"/>
    </row>
    <row r="3614" spans="3:21" x14ac:dyDescent="0.25">
      <c r="C3614" s="5"/>
    </row>
    <row r="3615" spans="3:21" x14ac:dyDescent="0.25">
      <c r="C3615" s="5"/>
    </row>
    <row r="3616" spans="3:21" x14ac:dyDescent="0.25">
      <c r="C3616" s="5"/>
    </row>
    <row r="3617" spans="3:21" x14ac:dyDescent="0.25">
      <c r="C3617" s="5"/>
    </row>
    <row r="3618" spans="3:21" x14ac:dyDescent="0.25">
      <c r="C3618" s="5"/>
    </row>
    <row r="3619" spans="3:21" x14ac:dyDescent="0.25">
      <c r="C3619" s="5"/>
    </row>
    <row r="3620" spans="3:21" x14ac:dyDescent="0.25">
      <c r="C3620" s="5"/>
    </row>
    <row r="3621" spans="3:21" x14ac:dyDescent="0.25">
      <c r="C3621" s="5"/>
    </row>
    <row r="3622" spans="3:21" x14ac:dyDescent="0.25">
      <c r="C3622" s="5"/>
      <c r="O3622"/>
      <c r="P3622"/>
      <c r="Q3622"/>
      <c r="R3622"/>
      <c r="S3622"/>
      <c r="T3622"/>
      <c r="U3622"/>
    </row>
    <row r="3623" spans="3:21" x14ac:dyDescent="0.25">
      <c r="C3623" s="5"/>
    </row>
    <row r="3624" spans="3:21" x14ac:dyDescent="0.25">
      <c r="C3624" s="5"/>
    </row>
    <row r="3625" spans="3:21" x14ac:dyDescent="0.25">
      <c r="C3625" s="5"/>
    </row>
    <row r="3626" spans="3:21" x14ac:dyDescent="0.25">
      <c r="C3626" s="5"/>
      <c r="O3626"/>
      <c r="P3626"/>
      <c r="Q3626"/>
      <c r="R3626"/>
      <c r="S3626"/>
      <c r="T3626"/>
      <c r="U3626"/>
    </row>
    <row r="3627" spans="3:21" x14ac:dyDescent="0.25">
      <c r="C3627" s="5"/>
    </row>
    <row r="3628" spans="3:21" x14ac:dyDescent="0.25">
      <c r="C3628" s="5"/>
    </row>
    <row r="3629" spans="3:21" x14ac:dyDescent="0.25">
      <c r="C3629" s="5"/>
    </row>
    <row r="3630" spans="3:21" x14ac:dyDescent="0.25">
      <c r="C3630" s="5"/>
    </row>
    <row r="3631" spans="3:21" x14ac:dyDescent="0.25">
      <c r="C3631" s="5"/>
    </row>
    <row r="3632" spans="3:21" x14ac:dyDescent="0.25">
      <c r="C3632" s="5"/>
    </row>
    <row r="3633" spans="3:21" x14ac:dyDescent="0.25">
      <c r="C3633" s="5"/>
    </row>
    <row r="3634" spans="3:21" x14ac:dyDescent="0.25">
      <c r="C3634" s="5"/>
    </row>
    <row r="3635" spans="3:21" x14ac:dyDescent="0.25">
      <c r="C3635" s="5"/>
    </row>
    <row r="3636" spans="3:21" x14ac:dyDescent="0.25">
      <c r="C3636" s="5"/>
    </row>
    <row r="3637" spans="3:21" x14ac:dyDescent="0.25">
      <c r="C3637" s="5"/>
      <c r="O3637"/>
      <c r="P3637"/>
      <c r="Q3637"/>
      <c r="R3637"/>
      <c r="S3637"/>
      <c r="T3637"/>
      <c r="U3637"/>
    </row>
    <row r="3638" spans="3:21" x14ac:dyDescent="0.25">
      <c r="C3638" s="5"/>
    </row>
    <row r="3639" spans="3:21" x14ac:dyDescent="0.25">
      <c r="C3639" s="5"/>
    </row>
    <row r="3640" spans="3:21" x14ac:dyDescent="0.25">
      <c r="C3640" s="5"/>
      <c r="O3640"/>
      <c r="P3640"/>
      <c r="Q3640"/>
      <c r="R3640"/>
      <c r="S3640"/>
      <c r="T3640"/>
      <c r="U3640"/>
    </row>
    <row r="3641" spans="3:21" x14ac:dyDescent="0.25">
      <c r="C3641" s="5"/>
    </row>
    <row r="3642" spans="3:21" x14ac:dyDescent="0.25">
      <c r="C3642" s="5"/>
    </row>
    <row r="3643" spans="3:21" x14ac:dyDescent="0.25">
      <c r="C3643" s="5"/>
    </row>
    <row r="3644" spans="3:21" x14ac:dyDescent="0.25">
      <c r="C3644" s="5"/>
    </row>
    <row r="3645" spans="3:21" x14ac:dyDescent="0.25">
      <c r="C3645" s="5"/>
    </row>
    <row r="3646" spans="3:21" x14ac:dyDescent="0.25">
      <c r="C3646" s="5"/>
    </row>
    <row r="3647" spans="3:21" x14ac:dyDescent="0.25">
      <c r="C3647" s="5"/>
    </row>
    <row r="3648" spans="3:21" x14ac:dyDescent="0.25">
      <c r="C3648" s="5"/>
    </row>
    <row r="3649" spans="3:21" x14ac:dyDescent="0.25">
      <c r="C3649" s="5"/>
    </row>
    <row r="3650" spans="3:21" x14ac:dyDescent="0.25">
      <c r="C3650" s="5"/>
    </row>
    <row r="3651" spans="3:21" x14ac:dyDescent="0.25">
      <c r="C3651" s="5"/>
      <c r="O3651"/>
      <c r="P3651"/>
      <c r="Q3651"/>
      <c r="R3651"/>
      <c r="S3651"/>
      <c r="T3651"/>
      <c r="U3651"/>
    </row>
    <row r="3652" spans="3:21" x14ac:dyDescent="0.25">
      <c r="C3652" s="5"/>
    </row>
    <row r="3653" spans="3:21" x14ac:dyDescent="0.25">
      <c r="C3653" s="5"/>
    </row>
    <row r="3654" spans="3:21" x14ac:dyDescent="0.25">
      <c r="C3654" s="5"/>
    </row>
    <row r="3655" spans="3:21" x14ac:dyDescent="0.25">
      <c r="C3655" s="5"/>
    </row>
    <row r="3656" spans="3:21" x14ac:dyDescent="0.25">
      <c r="C3656" s="5"/>
    </row>
    <row r="3657" spans="3:21" x14ac:dyDescent="0.25">
      <c r="C3657" s="5"/>
    </row>
    <row r="3658" spans="3:21" x14ac:dyDescent="0.25">
      <c r="C3658" s="5"/>
    </row>
    <row r="3659" spans="3:21" x14ac:dyDescent="0.25">
      <c r="C3659" s="5"/>
    </row>
    <row r="3660" spans="3:21" x14ac:dyDescent="0.25">
      <c r="C3660" s="5"/>
    </row>
    <row r="3661" spans="3:21" x14ac:dyDescent="0.25">
      <c r="C3661" s="5"/>
    </row>
    <row r="3662" spans="3:21" x14ac:dyDescent="0.25">
      <c r="C3662" s="5"/>
    </row>
    <row r="3663" spans="3:21" x14ac:dyDescent="0.25">
      <c r="C3663" s="5"/>
    </row>
    <row r="3664" spans="3:21" x14ac:dyDescent="0.25">
      <c r="C3664" s="5"/>
    </row>
    <row r="3665" spans="3:21" x14ac:dyDescent="0.25">
      <c r="C3665" s="5"/>
    </row>
    <row r="3666" spans="3:21" x14ac:dyDescent="0.25">
      <c r="C3666" s="5"/>
    </row>
    <row r="3667" spans="3:21" x14ac:dyDescent="0.25">
      <c r="C3667" s="5"/>
    </row>
    <row r="3668" spans="3:21" x14ac:dyDescent="0.25">
      <c r="C3668" s="5"/>
    </row>
    <row r="3669" spans="3:21" x14ac:dyDescent="0.25">
      <c r="C3669" s="5"/>
    </row>
    <row r="3670" spans="3:21" x14ac:dyDescent="0.25">
      <c r="C3670" s="5"/>
    </row>
    <row r="3671" spans="3:21" x14ac:dyDescent="0.25">
      <c r="C3671" s="5"/>
    </row>
    <row r="3672" spans="3:21" x14ac:dyDescent="0.25">
      <c r="C3672" s="5"/>
    </row>
    <row r="3673" spans="3:21" x14ac:dyDescent="0.25">
      <c r="C3673" s="5"/>
    </row>
    <row r="3674" spans="3:21" x14ac:dyDescent="0.25">
      <c r="C3674" s="5"/>
    </row>
    <row r="3675" spans="3:21" x14ac:dyDescent="0.25">
      <c r="C3675" s="5"/>
    </row>
    <row r="3676" spans="3:21" x14ac:dyDescent="0.25">
      <c r="C3676" s="5"/>
    </row>
    <row r="3677" spans="3:21" x14ac:dyDescent="0.25">
      <c r="C3677" s="5"/>
      <c r="O3677"/>
      <c r="P3677"/>
      <c r="Q3677"/>
      <c r="R3677"/>
      <c r="S3677"/>
      <c r="T3677"/>
      <c r="U3677"/>
    </row>
    <row r="3678" spans="3:21" x14ac:dyDescent="0.25">
      <c r="C3678" s="5"/>
    </row>
    <row r="3679" spans="3:21" x14ac:dyDescent="0.25">
      <c r="C3679" s="5"/>
    </row>
    <row r="3680" spans="3:21" x14ac:dyDescent="0.25">
      <c r="C3680" s="5"/>
    </row>
    <row r="3681" spans="3:3" x14ac:dyDescent="0.25">
      <c r="C3681" s="5"/>
    </row>
    <row r="3682" spans="3:3" x14ac:dyDescent="0.25">
      <c r="C3682" s="5"/>
    </row>
    <row r="3683" spans="3:3" x14ac:dyDescent="0.25">
      <c r="C3683" s="5"/>
    </row>
    <row r="3684" spans="3:3" x14ac:dyDescent="0.25">
      <c r="C3684" s="5"/>
    </row>
    <row r="3685" spans="3:3" x14ac:dyDescent="0.25">
      <c r="C3685" s="5"/>
    </row>
    <row r="3686" spans="3:3" x14ac:dyDescent="0.25">
      <c r="C3686" s="5"/>
    </row>
    <row r="3687" spans="3:3" x14ac:dyDescent="0.25">
      <c r="C3687" s="5"/>
    </row>
    <row r="3688" spans="3:3" x14ac:dyDescent="0.25">
      <c r="C3688" s="5"/>
    </row>
    <row r="3689" spans="3:3" x14ac:dyDescent="0.25">
      <c r="C3689" s="5"/>
    </row>
    <row r="3690" spans="3:3" x14ac:dyDescent="0.25">
      <c r="C3690" s="5"/>
    </row>
    <row r="3691" spans="3:3" x14ac:dyDescent="0.25">
      <c r="C3691" s="5"/>
    </row>
    <row r="3692" spans="3:3" x14ac:dyDescent="0.25">
      <c r="C3692" s="5"/>
    </row>
    <row r="3693" spans="3:3" x14ac:dyDescent="0.25">
      <c r="C3693" s="5"/>
    </row>
    <row r="3694" spans="3:3" x14ac:dyDescent="0.25">
      <c r="C3694" s="5"/>
    </row>
    <row r="3695" spans="3:3" x14ac:dyDescent="0.25">
      <c r="C3695" s="5"/>
    </row>
    <row r="3696" spans="3:3" x14ac:dyDescent="0.25">
      <c r="C3696" s="5"/>
    </row>
    <row r="3697" spans="3:21" x14ac:dyDescent="0.25">
      <c r="C3697" s="5"/>
    </row>
    <row r="3698" spans="3:21" x14ac:dyDescent="0.25">
      <c r="C3698" s="5"/>
    </row>
    <row r="3699" spans="3:21" x14ac:dyDescent="0.25">
      <c r="C3699" s="5"/>
    </row>
    <row r="3700" spans="3:21" x14ac:dyDescent="0.25">
      <c r="C3700" s="5"/>
    </row>
    <row r="3701" spans="3:21" x14ac:dyDescent="0.25">
      <c r="C3701" s="5"/>
    </row>
    <row r="3702" spans="3:21" x14ac:dyDescent="0.25">
      <c r="C3702" s="5"/>
      <c r="O3702"/>
      <c r="P3702"/>
      <c r="Q3702"/>
      <c r="R3702"/>
      <c r="S3702"/>
      <c r="T3702"/>
      <c r="U3702"/>
    </row>
    <row r="3703" spans="3:21" x14ac:dyDescent="0.25">
      <c r="C3703" s="5"/>
    </row>
    <row r="3704" spans="3:21" x14ac:dyDescent="0.25">
      <c r="C3704" s="5"/>
    </row>
    <row r="3705" spans="3:21" x14ac:dyDescent="0.25">
      <c r="C3705" s="5"/>
    </row>
    <row r="3706" spans="3:21" x14ac:dyDescent="0.25">
      <c r="C3706" s="5"/>
    </row>
    <row r="3707" spans="3:21" x14ac:dyDescent="0.25">
      <c r="C3707" s="5"/>
    </row>
    <row r="3708" spans="3:21" x14ac:dyDescent="0.25">
      <c r="C3708" s="5"/>
    </row>
    <row r="3709" spans="3:21" x14ac:dyDescent="0.25">
      <c r="C3709" s="5"/>
    </row>
    <row r="3710" spans="3:21" x14ac:dyDescent="0.25">
      <c r="C3710" s="5"/>
    </row>
    <row r="3711" spans="3:21" x14ac:dyDescent="0.25">
      <c r="C3711" s="5"/>
    </row>
    <row r="3712" spans="3:21" x14ac:dyDescent="0.25">
      <c r="C3712" s="5"/>
    </row>
    <row r="3713" spans="3:3" x14ac:dyDescent="0.25">
      <c r="C3713" s="5"/>
    </row>
    <row r="3714" spans="3:3" x14ac:dyDescent="0.25">
      <c r="C3714" s="5"/>
    </row>
    <row r="3715" spans="3:3" x14ac:dyDescent="0.25">
      <c r="C3715" s="5"/>
    </row>
    <row r="3716" spans="3:3" x14ac:dyDescent="0.25">
      <c r="C3716" s="5"/>
    </row>
    <row r="3717" spans="3:3" x14ac:dyDescent="0.25">
      <c r="C3717" s="5"/>
    </row>
    <row r="3718" spans="3:3" x14ac:dyDescent="0.25">
      <c r="C3718" s="5"/>
    </row>
    <row r="3719" spans="3:3" x14ac:dyDescent="0.25">
      <c r="C3719" s="5"/>
    </row>
    <row r="3720" spans="3:3" x14ac:dyDescent="0.25">
      <c r="C3720" s="5"/>
    </row>
    <row r="3721" spans="3:3" x14ac:dyDescent="0.25">
      <c r="C3721" s="5"/>
    </row>
    <row r="3722" spans="3:3" x14ac:dyDescent="0.25">
      <c r="C3722" s="5"/>
    </row>
    <row r="3723" spans="3:3" x14ac:dyDescent="0.25">
      <c r="C3723" s="5"/>
    </row>
    <row r="3724" spans="3:3" x14ac:dyDescent="0.25">
      <c r="C3724" s="5"/>
    </row>
    <row r="3725" spans="3:3" x14ac:dyDescent="0.25">
      <c r="C3725" s="5"/>
    </row>
    <row r="3726" spans="3:3" x14ac:dyDescent="0.25">
      <c r="C3726" s="5"/>
    </row>
    <row r="3727" spans="3:3" x14ac:dyDescent="0.25">
      <c r="C3727" s="5"/>
    </row>
    <row r="3728" spans="3:3" x14ac:dyDescent="0.25">
      <c r="C3728" s="5"/>
    </row>
    <row r="3729" spans="3:21" x14ac:dyDescent="0.25">
      <c r="C3729" s="5"/>
    </row>
    <row r="3730" spans="3:21" x14ac:dyDescent="0.25">
      <c r="C3730" s="5"/>
    </row>
    <row r="3731" spans="3:21" x14ac:dyDescent="0.25">
      <c r="C3731" s="5"/>
    </row>
    <row r="3732" spans="3:21" x14ac:dyDescent="0.25">
      <c r="C3732" s="5"/>
    </row>
    <row r="3733" spans="3:21" x14ac:dyDescent="0.25">
      <c r="C3733" s="5"/>
    </row>
    <row r="3734" spans="3:21" x14ac:dyDescent="0.25">
      <c r="C3734" s="5"/>
    </row>
    <row r="3735" spans="3:21" x14ac:dyDescent="0.25">
      <c r="C3735" s="5"/>
    </row>
    <row r="3736" spans="3:21" x14ac:dyDescent="0.25">
      <c r="C3736" s="5"/>
    </row>
    <row r="3737" spans="3:21" x14ac:dyDescent="0.25">
      <c r="C3737" s="5"/>
    </row>
    <row r="3738" spans="3:21" x14ac:dyDescent="0.25">
      <c r="C3738" s="5"/>
    </row>
    <row r="3739" spans="3:21" x14ac:dyDescent="0.25">
      <c r="C3739" s="5"/>
    </row>
    <row r="3740" spans="3:21" x14ac:dyDescent="0.25">
      <c r="C3740" s="5"/>
    </row>
    <row r="3741" spans="3:21" x14ac:dyDescent="0.25">
      <c r="C3741" s="5"/>
    </row>
    <row r="3742" spans="3:21" x14ac:dyDescent="0.25">
      <c r="C3742" s="5"/>
    </row>
    <row r="3743" spans="3:21" x14ac:dyDescent="0.25">
      <c r="C3743" s="5"/>
    </row>
    <row r="3744" spans="3:21" x14ac:dyDescent="0.25">
      <c r="C3744" s="5"/>
      <c r="O3744"/>
      <c r="P3744"/>
      <c r="Q3744"/>
      <c r="R3744"/>
      <c r="S3744"/>
      <c r="T3744"/>
      <c r="U3744"/>
    </row>
    <row r="3745" spans="3:3" x14ac:dyDescent="0.25">
      <c r="C3745" s="5"/>
    </row>
    <row r="3746" spans="3:3" x14ac:dyDescent="0.25">
      <c r="C3746" s="5"/>
    </row>
    <row r="3747" spans="3:3" x14ac:dyDescent="0.25">
      <c r="C3747" s="5"/>
    </row>
    <row r="3748" spans="3:3" x14ac:dyDescent="0.25">
      <c r="C3748" s="5"/>
    </row>
    <row r="3749" spans="3:3" x14ac:dyDescent="0.25">
      <c r="C3749" s="5"/>
    </row>
    <row r="3750" spans="3:3" x14ac:dyDescent="0.25">
      <c r="C3750" s="5"/>
    </row>
    <row r="3751" spans="3:3" x14ac:dyDescent="0.25">
      <c r="C3751" s="5"/>
    </row>
    <row r="3752" spans="3:3" x14ac:dyDescent="0.25">
      <c r="C3752" s="5"/>
    </row>
    <row r="3753" spans="3:3" x14ac:dyDescent="0.25">
      <c r="C3753" s="5"/>
    </row>
    <row r="3754" spans="3:3" x14ac:dyDescent="0.25">
      <c r="C3754" s="5"/>
    </row>
    <row r="3755" spans="3:3" x14ac:dyDescent="0.25">
      <c r="C3755" s="5"/>
    </row>
    <row r="3756" spans="3:3" x14ac:dyDescent="0.25">
      <c r="C3756" s="5"/>
    </row>
    <row r="3757" spans="3:3" x14ac:dyDescent="0.25">
      <c r="C3757" s="5"/>
    </row>
    <row r="3758" spans="3:3" x14ac:dyDescent="0.25">
      <c r="C3758" s="5"/>
    </row>
    <row r="3759" spans="3:3" x14ac:dyDescent="0.25">
      <c r="C3759" s="5"/>
    </row>
    <row r="3760" spans="3:3" x14ac:dyDescent="0.25">
      <c r="C3760" s="5"/>
    </row>
    <row r="3761" spans="3:3" x14ac:dyDescent="0.25">
      <c r="C3761" s="5"/>
    </row>
    <row r="3762" spans="3:3" x14ac:dyDescent="0.25">
      <c r="C3762" s="5"/>
    </row>
    <row r="3763" spans="3:3" x14ac:dyDescent="0.25">
      <c r="C3763" s="5"/>
    </row>
    <row r="3764" spans="3:3" x14ac:dyDescent="0.25">
      <c r="C3764" s="5"/>
    </row>
    <row r="3765" spans="3:3" x14ac:dyDescent="0.25">
      <c r="C3765" s="5"/>
    </row>
    <row r="3766" spans="3:3" x14ac:dyDescent="0.25">
      <c r="C3766" s="5"/>
    </row>
    <row r="3767" spans="3:3" x14ac:dyDescent="0.25">
      <c r="C3767" s="5"/>
    </row>
    <row r="3768" spans="3:3" x14ac:dyDescent="0.25">
      <c r="C3768" s="5"/>
    </row>
    <row r="3769" spans="3:3" x14ac:dyDescent="0.25">
      <c r="C3769" s="5"/>
    </row>
    <row r="3770" spans="3:3" x14ac:dyDescent="0.25">
      <c r="C3770" s="5"/>
    </row>
    <row r="3771" spans="3:3" x14ac:dyDescent="0.25">
      <c r="C3771" s="5"/>
    </row>
    <row r="3772" spans="3:3" x14ac:dyDescent="0.25">
      <c r="C3772" s="5"/>
    </row>
    <row r="3773" spans="3:3" x14ac:dyDescent="0.25">
      <c r="C3773" s="5"/>
    </row>
    <row r="3774" spans="3:3" x14ac:dyDescent="0.25">
      <c r="C3774" s="5"/>
    </row>
    <row r="3775" spans="3:3" x14ac:dyDescent="0.25">
      <c r="C3775" s="5"/>
    </row>
    <row r="3776" spans="3:3" x14ac:dyDescent="0.25">
      <c r="C3776" s="5"/>
    </row>
    <row r="3777" spans="3:21" x14ac:dyDescent="0.25">
      <c r="C3777" s="5"/>
    </row>
    <row r="3778" spans="3:21" x14ac:dyDescent="0.25">
      <c r="C3778" s="5"/>
    </row>
    <row r="3779" spans="3:21" x14ac:dyDescent="0.25">
      <c r="C3779" s="5"/>
    </row>
    <row r="3780" spans="3:21" x14ac:dyDescent="0.25">
      <c r="C3780" s="5"/>
    </row>
    <row r="3781" spans="3:21" x14ac:dyDescent="0.25">
      <c r="C3781" s="5"/>
    </row>
    <row r="3782" spans="3:21" x14ac:dyDescent="0.25">
      <c r="C3782" s="5"/>
    </row>
    <row r="3783" spans="3:21" x14ac:dyDescent="0.25">
      <c r="C3783" s="5"/>
    </row>
    <row r="3784" spans="3:21" x14ac:dyDescent="0.25">
      <c r="C3784" s="5"/>
    </row>
    <row r="3785" spans="3:21" x14ac:dyDescent="0.25">
      <c r="C3785" s="5"/>
      <c r="O3785"/>
      <c r="P3785"/>
      <c r="Q3785"/>
      <c r="R3785"/>
      <c r="S3785"/>
      <c r="T3785"/>
      <c r="U3785"/>
    </row>
    <row r="3786" spans="3:21" x14ac:dyDescent="0.25">
      <c r="C3786" s="5"/>
    </row>
    <row r="3787" spans="3:21" x14ac:dyDescent="0.25">
      <c r="C3787" s="5"/>
    </row>
    <row r="3788" spans="3:21" x14ac:dyDescent="0.25">
      <c r="C3788" s="5"/>
    </row>
    <row r="3789" spans="3:21" x14ac:dyDescent="0.25">
      <c r="C3789" s="5"/>
    </row>
    <row r="3790" spans="3:21" x14ac:dyDescent="0.25">
      <c r="C3790" s="5"/>
    </row>
    <row r="3791" spans="3:21" x14ac:dyDescent="0.25">
      <c r="C3791" s="5"/>
    </row>
    <row r="3792" spans="3:21" x14ac:dyDescent="0.25">
      <c r="C3792" s="5"/>
    </row>
    <row r="3793" spans="3:3" x14ac:dyDescent="0.25">
      <c r="C3793" s="5"/>
    </row>
    <row r="3794" spans="3:3" x14ac:dyDescent="0.25">
      <c r="C3794" s="5"/>
    </row>
    <row r="3795" spans="3:3" x14ac:dyDescent="0.25">
      <c r="C3795" s="5"/>
    </row>
    <row r="3796" spans="3:3" x14ac:dyDescent="0.25">
      <c r="C3796" s="5"/>
    </row>
    <row r="3797" spans="3:3" x14ac:dyDescent="0.25">
      <c r="C3797" s="5"/>
    </row>
    <row r="3798" spans="3:3" x14ac:dyDescent="0.25">
      <c r="C3798" s="5"/>
    </row>
    <row r="3799" spans="3:3" x14ac:dyDescent="0.25">
      <c r="C3799" s="5"/>
    </row>
    <row r="3800" spans="3:3" x14ac:dyDescent="0.25">
      <c r="C3800" s="5"/>
    </row>
    <row r="3801" spans="3:3" x14ac:dyDescent="0.25">
      <c r="C3801" s="5"/>
    </row>
    <row r="3802" spans="3:3" x14ac:dyDescent="0.25">
      <c r="C3802" s="5"/>
    </row>
    <row r="3803" spans="3:3" x14ac:dyDescent="0.25">
      <c r="C3803" s="5"/>
    </row>
    <row r="3804" spans="3:3" x14ac:dyDescent="0.25">
      <c r="C3804" s="5"/>
    </row>
    <row r="3805" spans="3:3" x14ac:dyDescent="0.25">
      <c r="C3805" s="5"/>
    </row>
    <row r="3806" spans="3:3" x14ac:dyDescent="0.25">
      <c r="C3806" s="5"/>
    </row>
    <row r="3807" spans="3:3" x14ac:dyDescent="0.25">
      <c r="C3807" s="5"/>
    </row>
    <row r="3808" spans="3:3" x14ac:dyDescent="0.25">
      <c r="C3808" s="5"/>
    </row>
    <row r="3809" spans="3:3" x14ac:dyDescent="0.25">
      <c r="C3809" s="5"/>
    </row>
    <row r="3810" spans="3:3" x14ac:dyDescent="0.25">
      <c r="C3810" s="5"/>
    </row>
    <row r="3811" spans="3:3" x14ac:dyDescent="0.25">
      <c r="C3811" s="5"/>
    </row>
    <row r="3812" spans="3:3" x14ac:dyDescent="0.25">
      <c r="C3812" s="5"/>
    </row>
    <row r="3813" spans="3:3" x14ac:dyDescent="0.25">
      <c r="C3813" s="5"/>
    </row>
    <row r="3814" spans="3:3" x14ac:dyDescent="0.25">
      <c r="C3814" s="5"/>
    </row>
    <row r="3815" spans="3:3" x14ac:dyDescent="0.25">
      <c r="C3815" s="5"/>
    </row>
    <row r="3816" spans="3:3" x14ac:dyDescent="0.25">
      <c r="C3816" s="5"/>
    </row>
    <row r="3817" spans="3:3" x14ac:dyDescent="0.25">
      <c r="C3817" s="5"/>
    </row>
    <row r="3818" spans="3:3" x14ac:dyDescent="0.25">
      <c r="C3818" s="5"/>
    </row>
    <row r="3819" spans="3:3" x14ac:dyDescent="0.25">
      <c r="C3819" s="5"/>
    </row>
    <row r="3820" spans="3:3" x14ac:dyDescent="0.25">
      <c r="C3820" s="5"/>
    </row>
    <row r="3821" spans="3:3" x14ac:dyDescent="0.25">
      <c r="C3821" s="5"/>
    </row>
    <row r="3822" spans="3:3" x14ac:dyDescent="0.25">
      <c r="C3822" s="5"/>
    </row>
    <row r="3823" spans="3:3" x14ac:dyDescent="0.25">
      <c r="C3823" s="5"/>
    </row>
    <row r="3824" spans="3:3" x14ac:dyDescent="0.25">
      <c r="C3824" s="5"/>
    </row>
    <row r="3825" spans="3:21" x14ac:dyDescent="0.25">
      <c r="C3825" s="5"/>
    </row>
    <row r="3826" spans="3:21" x14ac:dyDescent="0.25">
      <c r="C3826" s="5"/>
    </row>
    <row r="3827" spans="3:21" x14ac:dyDescent="0.25">
      <c r="C3827" s="5"/>
    </row>
    <row r="3828" spans="3:21" x14ac:dyDescent="0.25">
      <c r="C3828" s="5"/>
    </row>
    <row r="3829" spans="3:21" x14ac:dyDescent="0.25">
      <c r="C3829" s="5"/>
    </row>
    <row r="3830" spans="3:21" x14ac:dyDescent="0.25">
      <c r="C3830" s="5"/>
    </row>
    <row r="3831" spans="3:21" x14ac:dyDescent="0.25">
      <c r="C3831" s="5"/>
    </row>
    <row r="3832" spans="3:21" x14ac:dyDescent="0.25">
      <c r="C3832" s="5"/>
      <c r="O3832"/>
      <c r="P3832"/>
      <c r="Q3832"/>
      <c r="R3832"/>
      <c r="S3832"/>
      <c r="T3832"/>
      <c r="U3832"/>
    </row>
    <row r="3833" spans="3:21" x14ac:dyDescent="0.25">
      <c r="C3833" s="5"/>
    </row>
    <row r="3834" spans="3:21" x14ac:dyDescent="0.25">
      <c r="C3834" s="5"/>
    </row>
    <row r="3835" spans="3:21" x14ac:dyDescent="0.25">
      <c r="C3835" s="5"/>
    </row>
    <row r="3836" spans="3:21" x14ac:dyDescent="0.25">
      <c r="C3836" s="5"/>
    </row>
    <row r="3837" spans="3:21" x14ac:dyDescent="0.25">
      <c r="C3837" s="5"/>
      <c r="O3837"/>
      <c r="P3837"/>
      <c r="Q3837"/>
      <c r="R3837"/>
      <c r="S3837"/>
      <c r="T3837"/>
      <c r="U3837"/>
    </row>
    <row r="3838" spans="3:21" x14ac:dyDescent="0.25">
      <c r="C3838" s="5"/>
    </row>
    <row r="3839" spans="3:21" x14ac:dyDescent="0.25">
      <c r="C3839" s="5"/>
    </row>
    <row r="3840" spans="3:21" x14ac:dyDescent="0.25">
      <c r="C3840" s="5"/>
    </row>
    <row r="3841" spans="3:3" x14ac:dyDescent="0.25">
      <c r="C3841" s="5"/>
    </row>
    <row r="3842" spans="3:3" x14ac:dyDescent="0.25">
      <c r="C3842" s="5"/>
    </row>
    <row r="3843" spans="3:3" x14ac:dyDescent="0.25">
      <c r="C3843" s="5"/>
    </row>
    <row r="3844" spans="3:3" x14ac:dyDescent="0.25">
      <c r="C3844" s="5"/>
    </row>
    <row r="3845" spans="3:3" x14ac:dyDescent="0.25">
      <c r="C3845" s="5"/>
    </row>
    <row r="3846" spans="3:3" x14ac:dyDescent="0.25">
      <c r="C3846" s="5"/>
    </row>
    <row r="3847" spans="3:3" x14ac:dyDescent="0.25">
      <c r="C3847" s="5"/>
    </row>
    <row r="3848" spans="3:3" x14ac:dyDescent="0.25">
      <c r="C3848" s="5"/>
    </row>
    <row r="3849" spans="3:3" x14ac:dyDescent="0.25">
      <c r="C3849" s="5"/>
    </row>
    <row r="3850" spans="3:3" x14ac:dyDescent="0.25">
      <c r="C3850" s="5"/>
    </row>
    <row r="3851" spans="3:3" x14ac:dyDescent="0.25">
      <c r="C3851" s="5"/>
    </row>
    <row r="3852" spans="3:3" x14ac:dyDescent="0.25">
      <c r="C3852" s="5"/>
    </row>
    <row r="3853" spans="3:3" x14ac:dyDescent="0.25">
      <c r="C3853" s="5"/>
    </row>
    <row r="3854" spans="3:3" x14ac:dyDescent="0.25">
      <c r="C3854" s="5"/>
    </row>
    <row r="3855" spans="3:3" x14ac:dyDescent="0.25">
      <c r="C3855" s="5"/>
    </row>
    <row r="3856" spans="3:3" x14ac:dyDescent="0.25">
      <c r="C3856" s="5"/>
    </row>
    <row r="3857" spans="3:3" x14ac:dyDescent="0.25">
      <c r="C3857" s="5"/>
    </row>
    <row r="3858" spans="3:3" x14ac:dyDescent="0.25">
      <c r="C3858" s="5"/>
    </row>
    <row r="3859" spans="3:3" x14ac:dyDescent="0.25">
      <c r="C3859" s="5"/>
    </row>
    <row r="3860" spans="3:3" x14ac:dyDescent="0.25">
      <c r="C3860" s="5"/>
    </row>
    <row r="3861" spans="3:3" x14ac:dyDescent="0.25">
      <c r="C3861" s="5"/>
    </row>
    <row r="3862" spans="3:3" x14ac:dyDescent="0.25">
      <c r="C3862" s="5"/>
    </row>
    <row r="3863" spans="3:3" x14ac:dyDescent="0.25">
      <c r="C3863" s="5"/>
    </row>
    <row r="3864" spans="3:3" x14ac:dyDescent="0.25">
      <c r="C3864" s="5"/>
    </row>
    <row r="3865" spans="3:3" x14ac:dyDescent="0.25">
      <c r="C3865" s="5"/>
    </row>
    <row r="3866" spans="3:3" x14ac:dyDescent="0.25">
      <c r="C3866" s="5"/>
    </row>
    <row r="3867" spans="3:3" x14ac:dyDescent="0.25">
      <c r="C3867" s="5"/>
    </row>
    <row r="3868" spans="3:3" x14ac:dyDescent="0.25">
      <c r="C3868" s="5"/>
    </row>
    <row r="3869" spans="3:3" x14ac:dyDescent="0.25">
      <c r="C3869" s="5"/>
    </row>
    <row r="3870" spans="3:3" x14ac:dyDescent="0.25">
      <c r="C3870" s="5"/>
    </row>
    <row r="3871" spans="3:3" x14ac:dyDescent="0.25">
      <c r="C3871" s="5"/>
    </row>
    <row r="3872" spans="3:3" x14ac:dyDescent="0.25">
      <c r="C3872" s="5"/>
    </row>
    <row r="3873" spans="3:3" x14ac:dyDescent="0.25">
      <c r="C3873" s="5"/>
    </row>
    <row r="3874" spans="3:3" x14ac:dyDescent="0.25">
      <c r="C3874" s="5"/>
    </row>
    <row r="3875" spans="3:3" x14ac:dyDescent="0.25">
      <c r="C3875" s="5"/>
    </row>
    <row r="3876" spans="3:3" x14ac:dyDescent="0.25">
      <c r="C3876" s="5"/>
    </row>
    <row r="3877" spans="3:3" x14ac:dyDescent="0.25">
      <c r="C3877" s="5"/>
    </row>
    <row r="3878" spans="3:3" x14ac:dyDescent="0.25">
      <c r="C3878" s="5"/>
    </row>
    <row r="3879" spans="3:3" x14ac:dyDescent="0.25">
      <c r="C3879" s="5"/>
    </row>
    <row r="3880" spans="3:3" x14ac:dyDescent="0.25">
      <c r="C3880" s="5"/>
    </row>
    <row r="3881" spans="3:3" x14ac:dyDescent="0.25">
      <c r="C3881" s="5"/>
    </row>
    <row r="3882" spans="3:3" x14ac:dyDescent="0.25">
      <c r="C3882" s="5"/>
    </row>
    <row r="3883" spans="3:3" x14ac:dyDescent="0.25">
      <c r="C3883" s="5"/>
    </row>
    <row r="3884" spans="3:3" x14ac:dyDescent="0.25">
      <c r="C3884" s="5"/>
    </row>
    <row r="3885" spans="3:3" x14ac:dyDescent="0.25">
      <c r="C3885" s="5"/>
    </row>
    <row r="3886" spans="3:3" x14ac:dyDescent="0.25">
      <c r="C3886" s="5"/>
    </row>
    <row r="3887" spans="3:3" x14ac:dyDescent="0.25">
      <c r="C3887" s="5"/>
    </row>
    <row r="3888" spans="3:3" x14ac:dyDescent="0.25">
      <c r="C3888" s="5"/>
    </row>
    <row r="3889" spans="3:3" x14ac:dyDescent="0.25">
      <c r="C3889" s="5"/>
    </row>
    <row r="3890" spans="3:3" x14ac:dyDescent="0.25">
      <c r="C3890" s="5"/>
    </row>
    <row r="3891" spans="3:3" x14ac:dyDescent="0.25">
      <c r="C3891" s="5"/>
    </row>
    <row r="3892" spans="3:3" x14ac:dyDescent="0.25">
      <c r="C3892" s="5"/>
    </row>
    <row r="3893" spans="3:3" x14ac:dyDescent="0.25">
      <c r="C3893" s="5"/>
    </row>
    <row r="3894" spans="3:3" x14ac:dyDescent="0.25">
      <c r="C3894" s="5"/>
    </row>
    <row r="3895" spans="3:3" x14ac:dyDescent="0.25">
      <c r="C3895" s="5"/>
    </row>
    <row r="3896" spans="3:3" x14ac:dyDescent="0.25">
      <c r="C3896" s="5"/>
    </row>
    <row r="3897" spans="3:3" x14ac:dyDescent="0.25">
      <c r="C3897" s="5"/>
    </row>
    <row r="3898" spans="3:3" x14ac:dyDescent="0.25">
      <c r="C3898" s="5"/>
    </row>
    <row r="3899" spans="3:3" x14ac:dyDescent="0.25">
      <c r="C3899" s="5"/>
    </row>
    <row r="3900" spans="3:3" x14ac:dyDescent="0.25">
      <c r="C3900" s="5"/>
    </row>
    <row r="3901" spans="3:3" x14ac:dyDescent="0.25">
      <c r="C3901" s="5"/>
    </row>
    <row r="3902" spans="3:3" x14ac:dyDescent="0.25">
      <c r="C3902" s="5"/>
    </row>
    <row r="3903" spans="3:3" x14ac:dyDescent="0.25">
      <c r="C3903" s="5"/>
    </row>
    <row r="3904" spans="3:3" x14ac:dyDescent="0.25">
      <c r="C3904" s="5"/>
    </row>
    <row r="3905" spans="3:21" x14ac:dyDescent="0.25">
      <c r="C3905" s="5"/>
    </row>
    <row r="3906" spans="3:21" x14ac:dyDescent="0.25">
      <c r="C3906" s="5"/>
      <c r="O3906"/>
      <c r="P3906"/>
      <c r="Q3906"/>
      <c r="R3906"/>
      <c r="S3906"/>
      <c r="T3906"/>
      <c r="U3906"/>
    </row>
    <row r="3907" spans="3:21" x14ac:dyDescent="0.25">
      <c r="C3907" s="5"/>
    </row>
    <row r="3908" spans="3:21" x14ac:dyDescent="0.25">
      <c r="C3908" s="5"/>
    </row>
    <row r="3909" spans="3:21" x14ac:dyDescent="0.25">
      <c r="C3909" s="5"/>
    </row>
    <row r="3910" spans="3:21" x14ac:dyDescent="0.25">
      <c r="C3910" s="5"/>
    </row>
    <row r="3911" spans="3:21" x14ac:dyDescent="0.25">
      <c r="C3911" s="5"/>
    </row>
    <row r="3912" spans="3:21" x14ac:dyDescent="0.25">
      <c r="C3912" s="5"/>
    </row>
    <row r="3913" spans="3:21" x14ac:dyDescent="0.25">
      <c r="C3913" s="5"/>
    </row>
    <row r="3914" spans="3:21" x14ac:dyDescent="0.25">
      <c r="C3914" s="5"/>
    </row>
    <row r="3915" spans="3:21" x14ac:dyDescent="0.25">
      <c r="C3915" s="5"/>
    </row>
    <row r="3916" spans="3:21" x14ac:dyDescent="0.25">
      <c r="C3916" s="5"/>
    </row>
    <row r="3917" spans="3:21" x14ac:dyDescent="0.25">
      <c r="C3917" s="5"/>
    </row>
    <row r="3918" spans="3:21" x14ac:dyDescent="0.25">
      <c r="C3918" s="5"/>
    </row>
    <row r="3919" spans="3:21" x14ac:dyDescent="0.25">
      <c r="C3919" s="5"/>
    </row>
    <row r="3920" spans="3:21" x14ac:dyDescent="0.25">
      <c r="C3920" s="5"/>
    </row>
    <row r="3921" spans="3:3" x14ac:dyDescent="0.25">
      <c r="C3921" s="5"/>
    </row>
    <row r="3922" spans="3:3" x14ac:dyDescent="0.25">
      <c r="C3922" s="5"/>
    </row>
    <row r="3923" spans="3:3" x14ac:dyDescent="0.25">
      <c r="C3923" s="5"/>
    </row>
    <row r="3924" spans="3:3" x14ac:dyDescent="0.25">
      <c r="C3924" s="5"/>
    </row>
    <row r="3925" spans="3:3" x14ac:dyDescent="0.25">
      <c r="C3925" s="5"/>
    </row>
    <row r="3926" spans="3:3" x14ac:dyDescent="0.25">
      <c r="C3926" s="5"/>
    </row>
    <row r="3927" spans="3:3" x14ac:dyDescent="0.25">
      <c r="C3927" s="5"/>
    </row>
    <row r="3928" spans="3:3" x14ac:dyDescent="0.25">
      <c r="C3928" s="5"/>
    </row>
    <row r="3929" spans="3:3" x14ac:dyDescent="0.25">
      <c r="C3929" s="5"/>
    </row>
    <row r="3930" spans="3:3" x14ac:dyDescent="0.25">
      <c r="C3930" s="5"/>
    </row>
    <row r="3931" spans="3:3" x14ac:dyDescent="0.25">
      <c r="C3931" s="5"/>
    </row>
    <row r="3932" spans="3:3" x14ac:dyDescent="0.25">
      <c r="C3932" s="5"/>
    </row>
    <row r="3933" spans="3:3" x14ac:dyDescent="0.25">
      <c r="C3933" s="5"/>
    </row>
    <row r="3934" spans="3:3" x14ac:dyDescent="0.25">
      <c r="C3934" s="5"/>
    </row>
    <row r="3935" spans="3:3" x14ac:dyDescent="0.25">
      <c r="C3935" s="5"/>
    </row>
    <row r="3936" spans="3:3" x14ac:dyDescent="0.25">
      <c r="C3936" s="5"/>
    </row>
    <row r="3937" spans="3:3" x14ac:dyDescent="0.25">
      <c r="C3937" s="5"/>
    </row>
    <row r="3938" spans="3:3" x14ac:dyDescent="0.25">
      <c r="C3938" s="5"/>
    </row>
    <row r="3939" spans="3:3" x14ac:dyDescent="0.25">
      <c r="C3939" s="5"/>
    </row>
    <row r="3940" spans="3:3" x14ac:dyDescent="0.25">
      <c r="C3940" s="5"/>
    </row>
    <row r="3941" spans="3:3" x14ac:dyDescent="0.25">
      <c r="C3941" s="5"/>
    </row>
    <row r="3942" spans="3:3" x14ac:dyDescent="0.25">
      <c r="C3942" s="5"/>
    </row>
    <row r="3943" spans="3:3" x14ac:dyDescent="0.25">
      <c r="C3943" s="5"/>
    </row>
    <row r="3944" spans="3:3" x14ac:dyDescent="0.25">
      <c r="C3944" s="5"/>
    </row>
    <row r="3945" spans="3:3" x14ac:dyDescent="0.25">
      <c r="C3945" s="5"/>
    </row>
    <row r="3946" spans="3:3" x14ac:dyDescent="0.25">
      <c r="C3946" s="5"/>
    </row>
    <row r="3947" spans="3:3" x14ac:dyDescent="0.25">
      <c r="C3947" s="5"/>
    </row>
    <row r="3948" spans="3:3" x14ac:dyDescent="0.25">
      <c r="C3948" s="5"/>
    </row>
    <row r="3949" spans="3:3" x14ac:dyDescent="0.25">
      <c r="C3949" s="5"/>
    </row>
    <row r="3950" spans="3:3" x14ac:dyDescent="0.25">
      <c r="C3950" s="5"/>
    </row>
    <row r="3951" spans="3:3" x14ac:dyDescent="0.25">
      <c r="C3951" s="5"/>
    </row>
    <row r="3952" spans="3:3" x14ac:dyDescent="0.25">
      <c r="C3952" s="5"/>
    </row>
    <row r="3953" spans="3:3" x14ac:dyDescent="0.25">
      <c r="C3953" s="5"/>
    </row>
    <row r="3954" spans="3:3" x14ac:dyDescent="0.25">
      <c r="C3954" s="5"/>
    </row>
    <row r="3955" spans="3:3" x14ac:dyDescent="0.25">
      <c r="C3955" s="5"/>
    </row>
    <row r="3956" spans="3:3" x14ac:dyDescent="0.25">
      <c r="C3956" s="5"/>
    </row>
    <row r="3957" spans="3:3" x14ac:dyDescent="0.25">
      <c r="C3957" s="5"/>
    </row>
    <row r="3958" spans="3:3" x14ac:dyDescent="0.25">
      <c r="C3958" s="5"/>
    </row>
    <row r="3959" spans="3:3" x14ac:dyDescent="0.25">
      <c r="C3959" s="5"/>
    </row>
    <row r="3960" spans="3:3" x14ac:dyDescent="0.25">
      <c r="C3960" s="5"/>
    </row>
    <row r="3961" spans="3:3" x14ac:dyDescent="0.25">
      <c r="C3961" s="5"/>
    </row>
    <row r="3962" spans="3:3" x14ac:dyDescent="0.25">
      <c r="C3962" s="5"/>
    </row>
    <row r="3963" spans="3:3" x14ac:dyDescent="0.25">
      <c r="C3963" s="5"/>
    </row>
    <row r="3964" spans="3:3" x14ac:dyDescent="0.25">
      <c r="C3964" s="5"/>
    </row>
    <row r="3965" spans="3:3" x14ac:dyDescent="0.25">
      <c r="C3965" s="5"/>
    </row>
    <row r="3966" spans="3:3" x14ac:dyDescent="0.25">
      <c r="C3966" s="5"/>
    </row>
    <row r="3967" spans="3:3" x14ac:dyDescent="0.25">
      <c r="C3967" s="5"/>
    </row>
    <row r="3968" spans="3:3" x14ac:dyDescent="0.25">
      <c r="C3968" s="5"/>
    </row>
    <row r="3969" spans="3:3" x14ac:dyDescent="0.25">
      <c r="C3969" s="5"/>
    </row>
    <row r="3970" spans="3:3" x14ac:dyDescent="0.25">
      <c r="C3970" s="5"/>
    </row>
    <row r="3971" spans="3:3" x14ac:dyDescent="0.25">
      <c r="C3971" s="5"/>
    </row>
    <row r="3972" spans="3:3" x14ac:dyDescent="0.25">
      <c r="C3972" s="5"/>
    </row>
    <row r="3973" spans="3:3" x14ac:dyDescent="0.25">
      <c r="C3973" s="5"/>
    </row>
    <row r="3974" spans="3:3" x14ac:dyDescent="0.25">
      <c r="C3974" s="5"/>
    </row>
    <row r="3975" spans="3:3" x14ac:dyDescent="0.25">
      <c r="C3975" s="5"/>
    </row>
    <row r="3976" spans="3:3" x14ac:dyDescent="0.25">
      <c r="C3976" s="5"/>
    </row>
    <row r="3977" spans="3:3" x14ac:dyDescent="0.25">
      <c r="C3977" s="5"/>
    </row>
    <row r="3978" spans="3:3" x14ac:dyDescent="0.25">
      <c r="C3978" s="5"/>
    </row>
    <row r="3979" spans="3:3" x14ac:dyDescent="0.25">
      <c r="C3979" s="5"/>
    </row>
    <row r="3980" spans="3:3" x14ac:dyDescent="0.25">
      <c r="C3980" s="5"/>
    </row>
    <row r="3981" spans="3:3" x14ac:dyDescent="0.25">
      <c r="C3981" s="5"/>
    </row>
    <row r="3982" spans="3:3" x14ac:dyDescent="0.25">
      <c r="C3982" s="5"/>
    </row>
    <row r="3983" spans="3:3" x14ac:dyDescent="0.25">
      <c r="C3983" s="5"/>
    </row>
    <row r="3984" spans="3:3" x14ac:dyDescent="0.25">
      <c r="C3984" s="5"/>
    </row>
    <row r="3985" spans="3:3" x14ac:dyDescent="0.25">
      <c r="C3985" s="5"/>
    </row>
    <row r="3986" spans="3:3" x14ac:dyDescent="0.25">
      <c r="C3986" s="5"/>
    </row>
    <row r="3987" spans="3:3" x14ac:dyDescent="0.25">
      <c r="C3987" s="5"/>
    </row>
    <row r="3988" spans="3:3" x14ac:dyDescent="0.25">
      <c r="C3988" s="5"/>
    </row>
    <row r="3989" spans="3:3" x14ac:dyDescent="0.25">
      <c r="C3989" s="5"/>
    </row>
    <row r="3990" spans="3:3" x14ac:dyDescent="0.25">
      <c r="C3990" s="5"/>
    </row>
    <row r="3991" spans="3:3" x14ac:dyDescent="0.25">
      <c r="C3991" s="5"/>
    </row>
    <row r="3992" spans="3:3" x14ac:dyDescent="0.25">
      <c r="C3992" s="5"/>
    </row>
    <row r="3993" spans="3:3" x14ac:dyDescent="0.25">
      <c r="C3993" s="5"/>
    </row>
    <row r="3994" spans="3:3" x14ac:dyDescent="0.25">
      <c r="C3994" s="5"/>
    </row>
    <row r="3995" spans="3:3" x14ac:dyDescent="0.25">
      <c r="C3995" s="5"/>
    </row>
    <row r="3996" spans="3:3" x14ac:dyDescent="0.25">
      <c r="C3996" s="5"/>
    </row>
    <row r="3997" spans="3:3" x14ac:dyDescent="0.25">
      <c r="C3997" s="5"/>
    </row>
    <row r="3998" spans="3:3" x14ac:dyDescent="0.25">
      <c r="C3998" s="5"/>
    </row>
    <row r="3999" spans="3:3" x14ac:dyDescent="0.25">
      <c r="C3999" s="5"/>
    </row>
    <row r="4000" spans="3:3" x14ac:dyDescent="0.25">
      <c r="C4000" s="5"/>
    </row>
    <row r="4001" spans="3:21" x14ac:dyDescent="0.25">
      <c r="C4001" s="5"/>
    </row>
    <row r="4002" spans="3:21" x14ac:dyDescent="0.25">
      <c r="C4002" s="5"/>
    </row>
    <row r="4003" spans="3:21" x14ac:dyDescent="0.25">
      <c r="C4003" s="5"/>
      <c r="O4003"/>
      <c r="P4003"/>
      <c r="Q4003"/>
      <c r="R4003"/>
      <c r="S4003"/>
      <c r="T4003"/>
      <c r="U4003"/>
    </row>
    <row r="4004" spans="3:21" x14ac:dyDescent="0.25">
      <c r="C4004" s="5"/>
    </row>
    <row r="4005" spans="3:21" x14ac:dyDescent="0.25">
      <c r="C4005" s="5"/>
    </row>
    <row r="4006" spans="3:21" x14ac:dyDescent="0.25">
      <c r="C4006" s="5"/>
    </row>
    <row r="4007" spans="3:21" x14ac:dyDescent="0.25">
      <c r="C4007" s="5"/>
    </row>
    <row r="4008" spans="3:21" x14ac:dyDescent="0.25">
      <c r="C4008" s="5"/>
    </row>
    <row r="4009" spans="3:21" x14ac:dyDescent="0.25">
      <c r="C4009" s="5"/>
    </row>
    <row r="4010" spans="3:21" x14ac:dyDescent="0.25">
      <c r="C4010" s="5"/>
    </row>
    <row r="4011" spans="3:21" x14ac:dyDescent="0.25">
      <c r="C4011" s="5"/>
    </row>
    <row r="4012" spans="3:21" x14ac:dyDescent="0.25">
      <c r="C4012" s="5"/>
    </row>
    <row r="4013" spans="3:21" x14ac:dyDescent="0.25">
      <c r="C4013" s="5"/>
    </row>
    <row r="4014" spans="3:21" x14ac:dyDescent="0.25">
      <c r="C4014" s="5"/>
    </row>
    <row r="4015" spans="3:21" x14ac:dyDescent="0.25">
      <c r="C4015" s="5"/>
    </row>
    <row r="4016" spans="3:21" x14ac:dyDescent="0.25">
      <c r="C4016" s="5"/>
    </row>
    <row r="4017" spans="3:3" x14ac:dyDescent="0.25">
      <c r="C4017" s="5"/>
    </row>
    <row r="4018" spans="3:3" x14ac:dyDescent="0.25">
      <c r="C4018" s="5"/>
    </row>
    <row r="4019" spans="3:3" x14ac:dyDescent="0.25">
      <c r="C4019" s="5"/>
    </row>
    <row r="4020" spans="3:3" x14ac:dyDescent="0.25">
      <c r="C4020" s="5"/>
    </row>
    <row r="4021" spans="3:3" x14ac:dyDescent="0.25">
      <c r="C4021" s="5"/>
    </row>
    <row r="4022" spans="3:3" x14ac:dyDescent="0.25">
      <c r="C4022" s="5"/>
    </row>
    <row r="4023" spans="3:3" x14ac:dyDescent="0.25">
      <c r="C4023" s="5"/>
    </row>
    <row r="4024" spans="3:3" x14ac:dyDescent="0.25">
      <c r="C4024" s="5"/>
    </row>
    <row r="4025" spans="3:3" x14ac:dyDescent="0.25">
      <c r="C4025" s="5"/>
    </row>
    <row r="4026" spans="3:3" x14ac:dyDescent="0.25">
      <c r="C4026" s="5"/>
    </row>
    <row r="4027" spans="3:3" x14ac:dyDescent="0.25">
      <c r="C4027" s="5"/>
    </row>
    <row r="4028" spans="3:3" x14ac:dyDescent="0.25">
      <c r="C4028" s="5"/>
    </row>
    <row r="4029" spans="3:3" x14ac:dyDescent="0.25">
      <c r="C4029" s="5"/>
    </row>
    <row r="4030" spans="3:3" x14ac:dyDescent="0.25">
      <c r="C4030" s="5"/>
    </row>
    <row r="4031" spans="3:3" x14ac:dyDescent="0.25">
      <c r="C4031" s="5"/>
    </row>
    <row r="4032" spans="3:3" x14ac:dyDescent="0.25">
      <c r="C4032" s="5"/>
    </row>
    <row r="4033" spans="3:3" x14ac:dyDescent="0.25">
      <c r="C4033" s="5"/>
    </row>
    <row r="4034" spans="3:3" x14ac:dyDescent="0.25">
      <c r="C4034" s="5"/>
    </row>
    <row r="4035" spans="3:3" x14ac:dyDescent="0.25">
      <c r="C4035" s="5"/>
    </row>
    <row r="4036" spans="3:3" x14ac:dyDescent="0.25">
      <c r="C4036" s="5"/>
    </row>
    <row r="4037" spans="3:3" x14ac:dyDescent="0.25">
      <c r="C4037" s="5"/>
    </row>
    <row r="4038" spans="3:3" x14ac:dyDescent="0.25">
      <c r="C4038" s="5"/>
    </row>
    <row r="4039" spans="3:3" x14ac:dyDescent="0.25">
      <c r="C4039" s="5"/>
    </row>
    <row r="4040" spans="3:3" x14ac:dyDescent="0.25">
      <c r="C4040" s="5"/>
    </row>
    <row r="4041" spans="3:3" x14ac:dyDescent="0.25">
      <c r="C4041" s="5"/>
    </row>
    <row r="4042" spans="3:3" x14ac:dyDescent="0.25">
      <c r="C4042" s="5"/>
    </row>
    <row r="4043" spans="3:3" x14ac:dyDescent="0.25">
      <c r="C4043" s="5"/>
    </row>
    <row r="4044" spans="3:3" x14ac:dyDescent="0.25">
      <c r="C4044" s="5"/>
    </row>
    <row r="4045" spans="3:3" x14ac:dyDescent="0.25">
      <c r="C4045" s="5"/>
    </row>
    <row r="4046" spans="3:3" x14ac:dyDescent="0.25">
      <c r="C4046" s="5"/>
    </row>
    <row r="4047" spans="3:3" x14ac:dyDescent="0.25">
      <c r="C4047" s="5"/>
    </row>
    <row r="4048" spans="3:3" x14ac:dyDescent="0.25">
      <c r="C4048" s="5"/>
    </row>
    <row r="4049" spans="3:21" x14ac:dyDescent="0.25">
      <c r="C4049" s="5"/>
    </row>
    <row r="4050" spans="3:21" x14ac:dyDescent="0.25">
      <c r="C4050" s="5"/>
    </row>
    <row r="4051" spans="3:21" x14ac:dyDescent="0.25">
      <c r="C4051" s="5"/>
    </row>
    <row r="4052" spans="3:21" x14ac:dyDescent="0.25">
      <c r="C4052" s="5"/>
    </row>
    <row r="4053" spans="3:21" x14ac:dyDescent="0.25">
      <c r="C4053" s="5"/>
    </row>
    <row r="4054" spans="3:21" x14ac:dyDescent="0.25">
      <c r="C4054" s="5"/>
    </row>
    <row r="4055" spans="3:21" x14ac:dyDescent="0.25">
      <c r="C4055" s="5"/>
      <c r="O4055"/>
      <c r="P4055"/>
      <c r="Q4055"/>
      <c r="R4055"/>
      <c r="S4055"/>
      <c r="T4055"/>
      <c r="U4055"/>
    </row>
    <row r="4056" spans="3:21" x14ac:dyDescent="0.25">
      <c r="C4056" s="5"/>
    </row>
    <row r="4057" spans="3:21" x14ac:dyDescent="0.25">
      <c r="C4057" s="5"/>
    </row>
    <row r="4058" spans="3:21" x14ac:dyDescent="0.25">
      <c r="C4058" s="5"/>
    </row>
    <row r="4059" spans="3:21" x14ac:dyDescent="0.25">
      <c r="C4059" s="5"/>
    </row>
    <row r="4060" spans="3:21" x14ac:dyDescent="0.25">
      <c r="C4060" s="5"/>
    </row>
    <row r="4061" spans="3:21" x14ac:dyDescent="0.25">
      <c r="C4061" s="5"/>
    </row>
    <row r="4062" spans="3:21" x14ac:dyDescent="0.25">
      <c r="C4062" s="5"/>
    </row>
    <row r="4063" spans="3:21" x14ac:dyDescent="0.25">
      <c r="C4063" s="5"/>
    </row>
    <row r="4064" spans="3:21" x14ac:dyDescent="0.25">
      <c r="C4064" s="5"/>
    </row>
    <row r="4065" spans="3:21" x14ac:dyDescent="0.25">
      <c r="C4065" s="5"/>
    </row>
    <row r="4066" spans="3:21" x14ac:dyDescent="0.25">
      <c r="C4066" s="5"/>
    </row>
    <row r="4067" spans="3:21" x14ac:dyDescent="0.25">
      <c r="C4067" s="5"/>
    </row>
    <row r="4068" spans="3:21" x14ac:dyDescent="0.25">
      <c r="C4068" s="5"/>
    </row>
    <row r="4069" spans="3:21" x14ac:dyDescent="0.25">
      <c r="C4069" s="5"/>
    </row>
    <row r="4070" spans="3:21" x14ac:dyDescent="0.25">
      <c r="C4070" s="5"/>
    </row>
    <row r="4071" spans="3:21" x14ac:dyDescent="0.25">
      <c r="C4071" s="5"/>
      <c r="O4071"/>
      <c r="P4071"/>
      <c r="Q4071"/>
      <c r="R4071"/>
      <c r="S4071"/>
      <c r="T4071"/>
      <c r="U4071"/>
    </row>
    <row r="4072" spans="3:21" x14ac:dyDescent="0.25">
      <c r="C4072" s="5"/>
    </row>
    <row r="4073" spans="3:21" x14ac:dyDescent="0.25">
      <c r="C4073" s="5"/>
    </row>
    <row r="4074" spans="3:21" x14ac:dyDescent="0.25">
      <c r="C4074" s="5"/>
      <c r="O4074"/>
      <c r="P4074"/>
      <c r="Q4074"/>
      <c r="R4074"/>
      <c r="S4074"/>
      <c r="T4074"/>
      <c r="U4074"/>
    </row>
    <row r="4075" spans="3:21" x14ac:dyDescent="0.25">
      <c r="C4075" s="5"/>
    </row>
    <row r="4076" spans="3:21" x14ac:dyDescent="0.25">
      <c r="C4076" s="5"/>
    </row>
    <row r="4077" spans="3:21" x14ac:dyDescent="0.25">
      <c r="C4077" s="5"/>
    </row>
    <row r="4078" spans="3:21" x14ac:dyDescent="0.25">
      <c r="C4078" s="5"/>
    </row>
    <row r="4079" spans="3:21" x14ac:dyDescent="0.25">
      <c r="C4079" s="5"/>
    </row>
    <row r="4080" spans="3:21" x14ac:dyDescent="0.25">
      <c r="C4080" s="5"/>
    </row>
    <row r="4081" spans="3:21" x14ac:dyDescent="0.25">
      <c r="C4081" s="5"/>
    </row>
    <row r="4082" spans="3:21" x14ac:dyDescent="0.25">
      <c r="C4082" s="5"/>
    </row>
    <row r="4083" spans="3:21" x14ac:dyDescent="0.25">
      <c r="C4083" s="5"/>
    </row>
    <row r="4084" spans="3:21" x14ac:dyDescent="0.25">
      <c r="C4084" s="5"/>
    </row>
    <row r="4085" spans="3:21" x14ac:dyDescent="0.25">
      <c r="C4085" s="5"/>
    </row>
    <row r="4086" spans="3:21" x14ac:dyDescent="0.25">
      <c r="C4086" s="5"/>
    </row>
    <row r="4087" spans="3:21" x14ac:dyDescent="0.25">
      <c r="C4087" s="5"/>
    </row>
    <row r="4088" spans="3:21" x14ac:dyDescent="0.25">
      <c r="C4088" s="5"/>
    </row>
    <row r="4089" spans="3:21" x14ac:dyDescent="0.25">
      <c r="C4089" s="5"/>
      <c r="O4089"/>
      <c r="P4089"/>
      <c r="Q4089"/>
      <c r="R4089"/>
      <c r="S4089"/>
      <c r="T4089"/>
      <c r="U4089"/>
    </row>
    <row r="4090" spans="3:21" x14ac:dyDescent="0.25">
      <c r="C4090" s="5"/>
    </row>
    <row r="4091" spans="3:21" x14ac:dyDescent="0.25">
      <c r="C4091" s="5"/>
    </row>
    <row r="4092" spans="3:21" x14ac:dyDescent="0.25">
      <c r="C4092" s="5"/>
    </row>
    <row r="4093" spans="3:21" x14ac:dyDescent="0.25">
      <c r="C4093" s="5"/>
    </row>
    <row r="4094" spans="3:21" x14ac:dyDescent="0.25">
      <c r="C4094" s="5"/>
    </row>
    <row r="4095" spans="3:21" x14ac:dyDescent="0.25">
      <c r="C4095" s="5"/>
    </row>
    <row r="4096" spans="3:21" x14ac:dyDescent="0.25">
      <c r="C4096" s="5"/>
    </row>
    <row r="4097" spans="3:3" x14ac:dyDescent="0.25">
      <c r="C4097" s="5"/>
    </row>
    <row r="4098" spans="3:3" x14ac:dyDescent="0.25">
      <c r="C4098" s="5"/>
    </row>
    <row r="4099" spans="3:3" x14ac:dyDescent="0.25">
      <c r="C4099" s="5"/>
    </row>
    <row r="4100" spans="3:3" x14ac:dyDescent="0.25">
      <c r="C4100" s="5"/>
    </row>
    <row r="4101" spans="3:3" x14ac:dyDescent="0.25">
      <c r="C4101" s="5"/>
    </row>
    <row r="4102" spans="3:3" x14ac:dyDescent="0.25">
      <c r="C4102" s="5"/>
    </row>
    <row r="4103" spans="3:3" x14ac:dyDescent="0.25">
      <c r="C4103" s="5"/>
    </row>
    <row r="4104" spans="3:3" x14ac:dyDescent="0.25">
      <c r="C4104" s="5"/>
    </row>
    <row r="4105" spans="3:3" x14ac:dyDescent="0.25">
      <c r="C4105" s="5"/>
    </row>
    <row r="4106" spans="3:3" x14ac:dyDescent="0.25">
      <c r="C4106" s="5"/>
    </row>
    <row r="4107" spans="3:3" x14ac:dyDescent="0.25">
      <c r="C4107" s="5"/>
    </row>
    <row r="4108" spans="3:3" x14ac:dyDescent="0.25">
      <c r="C4108" s="5"/>
    </row>
    <row r="4109" spans="3:3" x14ac:dyDescent="0.25">
      <c r="C4109" s="5"/>
    </row>
    <row r="4110" spans="3:3" x14ac:dyDescent="0.25">
      <c r="C4110" s="5"/>
    </row>
    <row r="4111" spans="3:3" x14ac:dyDescent="0.25">
      <c r="C4111" s="5"/>
    </row>
    <row r="4112" spans="3:3" x14ac:dyDescent="0.25">
      <c r="C4112" s="5"/>
    </row>
    <row r="4113" spans="3:21" x14ac:dyDescent="0.25">
      <c r="C4113" s="5"/>
    </row>
    <row r="4114" spans="3:21" x14ac:dyDescent="0.25">
      <c r="C4114" s="5"/>
    </row>
    <row r="4115" spans="3:21" x14ac:dyDescent="0.25">
      <c r="C4115" s="5"/>
    </row>
    <row r="4116" spans="3:21" x14ac:dyDescent="0.25">
      <c r="C4116" s="5"/>
    </row>
    <row r="4117" spans="3:21" x14ac:dyDescent="0.25">
      <c r="C4117" s="5"/>
    </row>
    <row r="4118" spans="3:21" x14ac:dyDescent="0.25">
      <c r="C4118" s="5"/>
    </row>
    <row r="4119" spans="3:21" x14ac:dyDescent="0.25">
      <c r="C4119" s="5"/>
    </row>
    <row r="4120" spans="3:21" x14ac:dyDescent="0.25">
      <c r="C4120" s="5"/>
    </row>
    <row r="4121" spans="3:21" x14ac:dyDescent="0.25">
      <c r="C4121" s="5"/>
    </row>
    <row r="4122" spans="3:21" x14ac:dyDescent="0.25">
      <c r="C4122" s="5"/>
    </row>
    <row r="4123" spans="3:21" x14ac:dyDescent="0.25">
      <c r="C4123" s="5"/>
    </row>
    <row r="4124" spans="3:21" x14ac:dyDescent="0.25">
      <c r="C4124" s="5"/>
    </row>
    <row r="4125" spans="3:21" x14ac:dyDescent="0.25">
      <c r="C4125" s="5"/>
    </row>
    <row r="4126" spans="3:21" x14ac:dyDescent="0.25">
      <c r="C4126" s="5"/>
    </row>
    <row r="4127" spans="3:21" x14ac:dyDescent="0.25">
      <c r="C4127" s="5"/>
    </row>
    <row r="4128" spans="3:21" x14ac:dyDescent="0.25">
      <c r="C4128" s="5"/>
      <c r="O4128"/>
      <c r="P4128"/>
      <c r="Q4128"/>
      <c r="R4128"/>
      <c r="S4128"/>
      <c r="T4128"/>
      <c r="U4128"/>
    </row>
    <row r="4129" spans="3:3" x14ac:dyDescent="0.25">
      <c r="C4129" s="5"/>
    </row>
    <row r="4130" spans="3:3" x14ac:dyDescent="0.25">
      <c r="C4130" s="5"/>
    </row>
    <row r="4131" spans="3:3" x14ac:dyDescent="0.25">
      <c r="C4131" s="5"/>
    </row>
    <row r="4132" spans="3:3" x14ac:dyDescent="0.25">
      <c r="C4132" s="5"/>
    </row>
    <row r="4133" spans="3:3" x14ac:dyDescent="0.25">
      <c r="C4133" s="5"/>
    </row>
    <row r="4134" spans="3:3" x14ac:dyDescent="0.25">
      <c r="C4134" s="5"/>
    </row>
    <row r="4135" spans="3:3" x14ac:dyDescent="0.25">
      <c r="C4135" s="5"/>
    </row>
    <row r="4136" spans="3:3" x14ac:dyDescent="0.25">
      <c r="C4136" s="5"/>
    </row>
    <row r="4137" spans="3:3" x14ac:dyDescent="0.25">
      <c r="C4137" s="5"/>
    </row>
    <row r="4138" spans="3:3" x14ac:dyDescent="0.25">
      <c r="C4138" s="5"/>
    </row>
    <row r="4139" spans="3:3" x14ac:dyDescent="0.25">
      <c r="C4139" s="5"/>
    </row>
    <row r="4140" spans="3:3" x14ac:dyDescent="0.25">
      <c r="C4140" s="5"/>
    </row>
    <row r="4141" spans="3:3" x14ac:dyDescent="0.25">
      <c r="C4141" s="5"/>
    </row>
    <row r="4142" spans="3:3" x14ac:dyDescent="0.25">
      <c r="C4142" s="5"/>
    </row>
    <row r="4143" spans="3:3" x14ac:dyDescent="0.25">
      <c r="C4143" s="5"/>
    </row>
    <row r="4144" spans="3:3" x14ac:dyDescent="0.25">
      <c r="C4144" s="5"/>
    </row>
    <row r="4145" spans="3:3" x14ac:dyDescent="0.25">
      <c r="C4145" s="5"/>
    </row>
    <row r="4146" spans="3:3" x14ac:dyDescent="0.25">
      <c r="C4146" s="5"/>
    </row>
    <row r="4147" spans="3:3" x14ac:dyDescent="0.25">
      <c r="C4147" s="5"/>
    </row>
    <row r="4148" spans="3:3" x14ac:dyDescent="0.25">
      <c r="C4148" s="5"/>
    </row>
    <row r="4149" spans="3:3" x14ac:dyDescent="0.25">
      <c r="C4149" s="5"/>
    </row>
    <row r="4150" spans="3:3" x14ac:dyDescent="0.25">
      <c r="C4150" s="5"/>
    </row>
    <row r="4151" spans="3:3" x14ac:dyDescent="0.25">
      <c r="C4151" s="5"/>
    </row>
    <row r="4152" spans="3:3" x14ac:dyDescent="0.25">
      <c r="C4152" s="5"/>
    </row>
    <row r="4153" spans="3:3" x14ac:dyDescent="0.25">
      <c r="C4153" s="5"/>
    </row>
    <row r="4154" spans="3:3" x14ac:dyDescent="0.25">
      <c r="C4154" s="5"/>
    </row>
    <row r="4155" spans="3:3" x14ac:dyDescent="0.25">
      <c r="C4155" s="5"/>
    </row>
    <row r="4156" spans="3:3" x14ac:dyDescent="0.25">
      <c r="C4156" s="5"/>
    </row>
    <row r="4157" spans="3:3" x14ac:dyDescent="0.25">
      <c r="C4157" s="5"/>
    </row>
    <row r="4158" spans="3:3" x14ac:dyDescent="0.25">
      <c r="C4158" s="5"/>
    </row>
    <row r="4159" spans="3:3" x14ac:dyDescent="0.25">
      <c r="C4159" s="5"/>
    </row>
    <row r="4160" spans="3:3" x14ac:dyDescent="0.25">
      <c r="C4160" s="5"/>
    </row>
    <row r="4161" spans="3:3" x14ac:dyDescent="0.25">
      <c r="C4161" s="5"/>
    </row>
    <row r="4162" spans="3:3" x14ac:dyDescent="0.25">
      <c r="C4162" s="5"/>
    </row>
    <row r="4163" spans="3:3" x14ac:dyDescent="0.25">
      <c r="C4163" s="5"/>
    </row>
    <row r="4164" spans="3:3" x14ac:dyDescent="0.25">
      <c r="C4164" s="5"/>
    </row>
    <row r="4165" spans="3:3" x14ac:dyDescent="0.25">
      <c r="C4165" s="5"/>
    </row>
    <row r="4166" spans="3:3" x14ac:dyDescent="0.25">
      <c r="C4166" s="5"/>
    </row>
    <row r="4167" spans="3:3" x14ac:dyDescent="0.25">
      <c r="C4167" s="5"/>
    </row>
    <row r="4168" spans="3:3" x14ac:dyDescent="0.25">
      <c r="C4168" s="5"/>
    </row>
    <row r="4169" spans="3:3" x14ac:dyDescent="0.25">
      <c r="C4169" s="5"/>
    </row>
    <row r="4170" spans="3:3" x14ac:dyDescent="0.25">
      <c r="C4170" s="5"/>
    </row>
    <row r="4171" spans="3:3" x14ac:dyDescent="0.25">
      <c r="C4171" s="5"/>
    </row>
    <row r="4172" spans="3:3" x14ac:dyDescent="0.25">
      <c r="C4172" s="5"/>
    </row>
    <row r="4173" spans="3:3" x14ac:dyDescent="0.25">
      <c r="C4173" s="5"/>
    </row>
    <row r="4174" spans="3:3" x14ac:dyDescent="0.25">
      <c r="C4174" s="5"/>
    </row>
    <row r="4175" spans="3:3" x14ac:dyDescent="0.25">
      <c r="C4175" s="5"/>
    </row>
    <row r="4176" spans="3:3" x14ac:dyDescent="0.25">
      <c r="C4176" s="5"/>
    </row>
    <row r="4177" spans="3:3" x14ac:dyDescent="0.25">
      <c r="C4177" s="5"/>
    </row>
    <row r="4178" spans="3:3" x14ac:dyDescent="0.25">
      <c r="C4178" s="5"/>
    </row>
    <row r="4179" spans="3:3" x14ac:dyDescent="0.25">
      <c r="C4179" s="5"/>
    </row>
    <row r="4180" spans="3:3" x14ac:dyDescent="0.25">
      <c r="C4180" s="5"/>
    </row>
    <row r="4181" spans="3:3" x14ac:dyDescent="0.25">
      <c r="C4181" s="5"/>
    </row>
    <row r="4182" spans="3:3" x14ac:dyDescent="0.25">
      <c r="C4182" s="5"/>
    </row>
    <row r="4183" spans="3:3" x14ac:dyDescent="0.25">
      <c r="C4183" s="5"/>
    </row>
    <row r="4184" spans="3:3" x14ac:dyDescent="0.25">
      <c r="C4184" s="5"/>
    </row>
    <row r="4185" spans="3:3" x14ac:dyDescent="0.25">
      <c r="C4185" s="5"/>
    </row>
    <row r="4186" spans="3:3" x14ac:dyDescent="0.25">
      <c r="C4186" s="5"/>
    </row>
    <row r="4187" spans="3:3" x14ac:dyDescent="0.25">
      <c r="C4187" s="5"/>
    </row>
    <row r="4188" spans="3:3" x14ac:dyDescent="0.25">
      <c r="C4188" s="5"/>
    </row>
    <row r="4189" spans="3:3" x14ac:dyDescent="0.25">
      <c r="C4189" s="5"/>
    </row>
    <row r="4190" spans="3:3" x14ac:dyDescent="0.25">
      <c r="C4190" s="5"/>
    </row>
    <row r="4191" spans="3:3" x14ac:dyDescent="0.25">
      <c r="C4191" s="5"/>
    </row>
    <row r="4192" spans="3:3" x14ac:dyDescent="0.25">
      <c r="C4192" s="5"/>
    </row>
    <row r="4193" spans="3:21" x14ac:dyDescent="0.25">
      <c r="C4193" s="5"/>
    </row>
    <row r="4194" spans="3:21" x14ac:dyDescent="0.25">
      <c r="C4194" s="5"/>
    </row>
    <row r="4195" spans="3:21" x14ac:dyDescent="0.25">
      <c r="C4195" s="5"/>
    </row>
    <row r="4196" spans="3:21" x14ac:dyDescent="0.25">
      <c r="C4196" s="5"/>
    </row>
    <row r="4197" spans="3:21" x14ac:dyDescent="0.25">
      <c r="C4197" s="5"/>
    </row>
    <row r="4198" spans="3:21" x14ac:dyDescent="0.25">
      <c r="C4198" s="5"/>
      <c r="O4198"/>
      <c r="P4198"/>
      <c r="Q4198"/>
      <c r="R4198"/>
      <c r="S4198"/>
      <c r="T4198"/>
      <c r="U4198"/>
    </row>
    <row r="4199" spans="3:21" x14ac:dyDescent="0.25">
      <c r="C4199" s="5"/>
    </row>
    <row r="4200" spans="3:21" x14ac:dyDescent="0.25">
      <c r="C4200" s="5"/>
    </row>
    <row r="4201" spans="3:21" x14ac:dyDescent="0.25">
      <c r="C4201" s="5"/>
    </row>
    <row r="4202" spans="3:21" x14ac:dyDescent="0.25">
      <c r="C4202" s="5"/>
    </row>
    <row r="4203" spans="3:21" x14ac:dyDescent="0.25">
      <c r="C4203" s="5"/>
    </row>
    <row r="4204" spans="3:21" x14ac:dyDescent="0.25">
      <c r="C4204" s="5"/>
      <c r="O4204"/>
      <c r="P4204"/>
      <c r="Q4204"/>
      <c r="R4204"/>
      <c r="S4204"/>
      <c r="T4204"/>
      <c r="U4204"/>
    </row>
    <row r="4205" spans="3:21" x14ac:dyDescent="0.25">
      <c r="C4205" s="5"/>
    </row>
    <row r="4206" spans="3:21" x14ac:dyDescent="0.25">
      <c r="C4206" s="5"/>
    </row>
    <row r="4207" spans="3:21" x14ac:dyDescent="0.25">
      <c r="C4207" s="5"/>
    </row>
    <row r="4208" spans="3:21" x14ac:dyDescent="0.25">
      <c r="C4208" s="5"/>
    </row>
    <row r="4209" spans="3:21" x14ac:dyDescent="0.25">
      <c r="C4209" s="5"/>
    </row>
    <row r="4210" spans="3:21" x14ac:dyDescent="0.25">
      <c r="C4210" s="5"/>
    </row>
    <row r="4211" spans="3:21" x14ac:dyDescent="0.25">
      <c r="C4211" s="5"/>
    </row>
    <row r="4212" spans="3:21" x14ac:dyDescent="0.25">
      <c r="C4212" s="5"/>
    </row>
    <row r="4213" spans="3:21" x14ac:dyDescent="0.25">
      <c r="C4213" s="5"/>
    </row>
    <row r="4214" spans="3:21" x14ac:dyDescent="0.25">
      <c r="C4214" s="5"/>
    </row>
    <row r="4215" spans="3:21" x14ac:dyDescent="0.25">
      <c r="C4215" s="5"/>
      <c r="O4215"/>
      <c r="P4215"/>
      <c r="Q4215"/>
      <c r="R4215"/>
      <c r="S4215"/>
      <c r="T4215"/>
      <c r="U4215"/>
    </row>
    <row r="4216" spans="3:21" x14ac:dyDescent="0.25">
      <c r="C4216" s="5"/>
    </row>
    <row r="4217" spans="3:21" x14ac:dyDescent="0.25">
      <c r="C4217" s="5"/>
    </row>
    <row r="4218" spans="3:21" x14ac:dyDescent="0.25">
      <c r="C4218" s="5"/>
    </row>
    <row r="4219" spans="3:21" x14ac:dyDescent="0.25">
      <c r="C4219" s="5"/>
    </row>
    <row r="4220" spans="3:21" x14ac:dyDescent="0.25">
      <c r="C4220" s="5"/>
    </row>
    <row r="4221" spans="3:21" x14ac:dyDescent="0.25">
      <c r="C4221" s="5"/>
    </row>
    <row r="4222" spans="3:21" x14ac:dyDescent="0.25">
      <c r="C4222" s="5"/>
    </row>
    <row r="4223" spans="3:21" x14ac:dyDescent="0.25">
      <c r="C4223" s="5"/>
    </row>
    <row r="4224" spans="3:21" x14ac:dyDescent="0.25">
      <c r="C4224" s="5"/>
    </row>
    <row r="4225" spans="3:3" x14ac:dyDescent="0.25">
      <c r="C4225" s="5"/>
    </row>
    <row r="4226" spans="3:3" x14ac:dyDescent="0.25">
      <c r="C4226" s="5"/>
    </row>
    <row r="4227" spans="3:3" x14ac:dyDescent="0.25">
      <c r="C4227" s="5"/>
    </row>
    <row r="4228" spans="3:3" x14ac:dyDescent="0.25">
      <c r="C4228" s="5"/>
    </row>
    <row r="4229" spans="3:3" x14ac:dyDescent="0.25">
      <c r="C4229" s="5"/>
    </row>
    <row r="4230" spans="3:3" x14ac:dyDescent="0.25">
      <c r="C4230" s="5"/>
    </row>
    <row r="4231" spans="3:3" x14ac:dyDescent="0.25">
      <c r="C4231" s="5"/>
    </row>
    <row r="4232" spans="3:3" x14ac:dyDescent="0.25">
      <c r="C4232" s="5"/>
    </row>
    <row r="4233" spans="3:3" x14ac:dyDescent="0.25">
      <c r="C4233" s="5"/>
    </row>
    <row r="4234" spans="3:3" x14ac:dyDescent="0.25">
      <c r="C4234" s="5"/>
    </row>
    <row r="4235" spans="3:3" x14ac:dyDescent="0.25">
      <c r="C4235" s="5"/>
    </row>
    <row r="4236" spans="3:3" x14ac:dyDescent="0.25">
      <c r="C4236" s="5"/>
    </row>
    <row r="4237" spans="3:3" x14ac:dyDescent="0.25">
      <c r="C4237" s="5"/>
    </row>
    <row r="4238" spans="3:3" x14ac:dyDescent="0.25">
      <c r="C4238" s="5"/>
    </row>
    <row r="4239" spans="3:3" x14ac:dyDescent="0.25">
      <c r="C4239" s="5"/>
    </row>
    <row r="4240" spans="3:3" x14ac:dyDescent="0.25">
      <c r="C4240" s="5"/>
    </row>
    <row r="4241" spans="3:3" x14ac:dyDescent="0.25">
      <c r="C4241" s="5"/>
    </row>
    <row r="4242" spans="3:3" x14ac:dyDescent="0.25">
      <c r="C4242" s="5"/>
    </row>
    <row r="4243" spans="3:3" x14ac:dyDescent="0.25">
      <c r="C4243" s="5"/>
    </row>
    <row r="4244" spans="3:3" x14ac:dyDescent="0.25">
      <c r="C4244" s="5"/>
    </row>
    <row r="4245" spans="3:3" x14ac:dyDescent="0.25">
      <c r="C4245" s="5"/>
    </row>
    <row r="4246" spans="3:3" x14ac:dyDescent="0.25">
      <c r="C4246" s="5"/>
    </row>
    <row r="4247" spans="3:3" x14ac:dyDescent="0.25">
      <c r="C4247" s="5"/>
    </row>
    <row r="4248" spans="3:3" x14ac:dyDescent="0.25">
      <c r="C4248" s="5"/>
    </row>
    <row r="4249" spans="3:3" x14ac:dyDescent="0.25">
      <c r="C4249" s="5"/>
    </row>
    <row r="4250" spans="3:3" x14ac:dyDescent="0.25">
      <c r="C4250" s="5"/>
    </row>
    <row r="4251" spans="3:3" x14ac:dyDescent="0.25">
      <c r="C4251" s="5"/>
    </row>
    <row r="4252" spans="3:3" x14ac:dyDescent="0.25">
      <c r="C4252" s="5"/>
    </row>
    <row r="4253" spans="3:3" x14ac:dyDescent="0.25">
      <c r="C4253" s="5"/>
    </row>
    <row r="4254" spans="3:3" x14ac:dyDescent="0.25">
      <c r="C4254" s="5"/>
    </row>
    <row r="4255" spans="3:3" x14ac:dyDescent="0.25">
      <c r="C4255" s="5"/>
    </row>
    <row r="4256" spans="3:3" x14ac:dyDescent="0.25">
      <c r="C4256" s="5"/>
    </row>
    <row r="4257" spans="3:3" x14ac:dyDescent="0.25">
      <c r="C4257" s="5"/>
    </row>
    <row r="4258" spans="3:3" x14ac:dyDescent="0.25">
      <c r="C4258" s="5"/>
    </row>
    <row r="4259" spans="3:3" x14ac:dyDescent="0.25">
      <c r="C4259" s="5"/>
    </row>
    <row r="4260" spans="3:3" x14ac:dyDescent="0.25">
      <c r="C4260" s="5"/>
    </row>
    <row r="4261" spans="3:3" x14ac:dyDescent="0.25">
      <c r="C4261" s="5"/>
    </row>
    <row r="4262" spans="3:3" x14ac:dyDescent="0.25">
      <c r="C4262" s="5"/>
    </row>
    <row r="4263" spans="3:3" x14ac:dyDescent="0.25">
      <c r="C4263" s="5"/>
    </row>
    <row r="4264" spans="3:3" x14ac:dyDescent="0.25">
      <c r="C4264" s="5"/>
    </row>
    <row r="4265" spans="3:3" x14ac:dyDescent="0.25">
      <c r="C4265" s="5"/>
    </row>
    <row r="4266" spans="3:3" x14ac:dyDescent="0.25">
      <c r="C4266" s="5"/>
    </row>
    <row r="4267" spans="3:3" x14ac:dyDescent="0.25">
      <c r="C4267" s="5"/>
    </row>
    <row r="4268" spans="3:3" x14ac:dyDescent="0.25">
      <c r="C4268" s="5"/>
    </row>
    <row r="4269" spans="3:3" x14ac:dyDescent="0.25">
      <c r="C4269" s="5"/>
    </row>
    <row r="4270" spans="3:3" x14ac:dyDescent="0.25">
      <c r="C4270" s="5"/>
    </row>
    <row r="4271" spans="3:3" x14ac:dyDescent="0.25">
      <c r="C4271" s="5"/>
    </row>
    <row r="4272" spans="3:3" x14ac:dyDescent="0.25">
      <c r="C4272" s="5"/>
    </row>
    <row r="4273" spans="3:3" x14ac:dyDescent="0.25">
      <c r="C4273" s="5"/>
    </row>
    <row r="4274" spans="3:3" x14ac:dyDescent="0.25">
      <c r="C4274" s="5"/>
    </row>
    <row r="4275" spans="3:3" x14ac:dyDescent="0.25">
      <c r="C4275" s="5"/>
    </row>
    <row r="4276" spans="3:3" x14ac:dyDescent="0.25">
      <c r="C4276" s="5"/>
    </row>
    <row r="4277" spans="3:3" x14ac:dyDescent="0.25">
      <c r="C4277" s="5"/>
    </row>
    <row r="4278" spans="3:3" x14ac:dyDescent="0.25">
      <c r="C4278" s="5"/>
    </row>
    <row r="4279" spans="3:3" x14ac:dyDescent="0.25">
      <c r="C4279" s="5"/>
    </row>
    <row r="4280" spans="3:3" x14ac:dyDescent="0.25">
      <c r="C4280" s="5"/>
    </row>
    <row r="4281" spans="3:3" x14ac:dyDescent="0.25">
      <c r="C4281" s="5"/>
    </row>
    <row r="4282" spans="3:3" x14ac:dyDescent="0.25">
      <c r="C4282" s="5"/>
    </row>
    <row r="4283" spans="3:3" x14ac:dyDescent="0.25">
      <c r="C4283" s="5"/>
    </row>
    <row r="4284" spans="3:3" x14ac:dyDescent="0.25">
      <c r="C4284" s="5"/>
    </row>
    <row r="4285" spans="3:3" x14ac:dyDescent="0.25">
      <c r="C4285" s="5"/>
    </row>
    <row r="4286" spans="3:3" x14ac:dyDescent="0.25">
      <c r="C4286" s="5"/>
    </row>
    <row r="4287" spans="3:3" x14ac:dyDescent="0.25">
      <c r="C4287" s="5"/>
    </row>
    <row r="4288" spans="3:3" x14ac:dyDescent="0.25">
      <c r="C4288" s="5"/>
    </row>
    <row r="4289" spans="3:3" x14ac:dyDescent="0.25">
      <c r="C4289" s="5"/>
    </row>
    <row r="4290" spans="3:3" x14ac:dyDescent="0.25">
      <c r="C4290" s="5"/>
    </row>
    <row r="4291" spans="3:3" x14ac:dyDescent="0.25">
      <c r="C4291" s="5"/>
    </row>
    <row r="4292" spans="3:3" x14ac:dyDescent="0.25">
      <c r="C4292" s="5"/>
    </row>
    <row r="4293" spans="3:3" x14ac:dyDescent="0.25">
      <c r="C4293" s="5"/>
    </row>
    <row r="4294" spans="3:3" x14ac:dyDescent="0.25">
      <c r="C4294" s="5"/>
    </row>
    <row r="4295" spans="3:3" x14ac:dyDescent="0.25">
      <c r="C4295" s="5"/>
    </row>
    <row r="4296" spans="3:3" x14ac:dyDescent="0.25">
      <c r="C4296" s="5"/>
    </row>
    <row r="4297" spans="3:3" x14ac:dyDescent="0.25">
      <c r="C4297" s="5"/>
    </row>
    <row r="4298" spans="3:3" x14ac:dyDescent="0.25">
      <c r="C4298" s="5"/>
    </row>
    <row r="4299" spans="3:3" x14ac:dyDescent="0.25">
      <c r="C4299" s="5"/>
    </row>
    <row r="4300" spans="3:3" x14ac:dyDescent="0.25">
      <c r="C4300" s="5"/>
    </row>
    <row r="4301" spans="3:3" x14ac:dyDescent="0.25">
      <c r="C4301" s="5"/>
    </row>
    <row r="4302" spans="3:3" x14ac:dyDescent="0.25">
      <c r="C4302" s="5"/>
    </row>
    <row r="4303" spans="3:3" x14ac:dyDescent="0.25">
      <c r="C4303" s="5"/>
    </row>
    <row r="4304" spans="3:3" x14ac:dyDescent="0.25">
      <c r="C4304" s="5"/>
    </row>
    <row r="4305" spans="3:3" x14ac:dyDescent="0.25">
      <c r="C4305" s="5"/>
    </row>
    <row r="4306" spans="3:3" x14ac:dyDescent="0.25">
      <c r="C4306" s="5"/>
    </row>
    <row r="4307" spans="3:3" x14ac:dyDescent="0.25">
      <c r="C4307" s="5"/>
    </row>
    <row r="4308" spans="3:3" x14ac:dyDescent="0.25">
      <c r="C4308" s="5"/>
    </row>
    <row r="4309" spans="3:3" x14ac:dyDescent="0.25">
      <c r="C4309" s="5"/>
    </row>
    <row r="4310" spans="3:3" x14ac:dyDescent="0.25">
      <c r="C4310" s="5"/>
    </row>
    <row r="4311" spans="3:3" x14ac:dyDescent="0.25">
      <c r="C4311" s="5"/>
    </row>
    <row r="4312" spans="3:3" x14ac:dyDescent="0.25">
      <c r="C4312" s="5"/>
    </row>
    <row r="4313" spans="3:3" x14ac:dyDescent="0.25">
      <c r="C4313" s="5"/>
    </row>
    <row r="4314" spans="3:3" x14ac:dyDescent="0.25">
      <c r="C4314" s="5"/>
    </row>
    <row r="4315" spans="3:3" x14ac:dyDescent="0.25">
      <c r="C4315" s="5"/>
    </row>
    <row r="4316" spans="3:3" x14ac:dyDescent="0.25">
      <c r="C4316" s="5"/>
    </row>
    <row r="4317" spans="3:3" x14ac:dyDescent="0.25">
      <c r="C4317" s="5"/>
    </row>
    <row r="4318" spans="3:3" x14ac:dyDescent="0.25">
      <c r="C4318" s="5"/>
    </row>
    <row r="4319" spans="3:3" x14ac:dyDescent="0.25">
      <c r="C4319" s="5"/>
    </row>
    <row r="4320" spans="3:3" x14ac:dyDescent="0.25">
      <c r="C4320" s="5"/>
    </row>
    <row r="4321" spans="3:3" x14ac:dyDescent="0.25">
      <c r="C4321" s="5"/>
    </row>
    <row r="4322" spans="3:3" x14ac:dyDescent="0.25">
      <c r="C4322" s="5"/>
    </row>
    <row r="4323" spans="3:3" x14ac:dyDescent="0.25">
      <c r="C4323" s="5"/>
    </row>
    <row r="4324" spans="3:3" x14ac:dyDescent="0.25">
      <c r="C4324" s="5"/>
    </row>
    <row r="4325" spans="3:3" x14ac:dyDescent="0.25">
      <c r="C4325" s="5"/>
    </row>
    <row r="4326" spans="3:3" x14ac:dyDescent="0.25">
      <c r="C4326" s="5"/>
    </row>
    <row r="4327" spans="3:3" x14ac:dyDescent="0.25">
      <c r="C4327" s="5"/>
    </row>
    <row r="4328" spans="3:3" x14ac:dyDescent="0.25">
      <c r="C4328" s="5"/>
    </row>
    <row r="4329" spans="3:3" x14ac:dyDescent="0.25">
      <c r="C4329" s="5"/>
    </row>
    <row r="4330" spans="3:3" x14ac:dyDescent="0.25">
      <c r="C4330" s="5"/>
    </row>
    <row r="4331" spans="3:3" x14ac:dyDescent="0.25">
      <c r="C4331" s="5"/>
    </row>
    <row r="4332" spans="3:3" x14ac:dyDescent="0.25">
      <c r="C4332" s="5"/>
    </row>
    <row r="4333" spans="3:3" x14ac:dyDescent="0.25">
      <c r="C4333" s="5"/>
    </row>
    <row r="4334" spans="3:3" x14ac:dyDescent="0.25">
      <c r="C4334" s="5"/>
    </row>
    <row r="4335" spans="3:3" x14ac:dyDescent="0.25">
      <c r="C4335" s="5"/>
    </row>
    <row r="4336" spans="3:3" x14ac:dyDescent="0.25">
      <c r="C4336" s="5"/>
    </row>
    <row r="4337" spans="3:21" x14ac:dyDescent="0.25">
      <c r="C4337" s="5"/>
    </row>
    <row r="4338" spans="3:21" x14ac:dyDescent="0.25">
      <c r="C4338" s="5"/>
    </row>
    <row r="4339" spans="3:21" x14ac:dyDescent="0.25">
      <c r="C4339" s="5"/>
      <c r="O4339"/>
      <c r="P4339"/>
      <c r="Q4339"/>
      <c r="R4339"/>
      <c r="S4339"/>
      <c r="T4339"/>
      <c r="U4339"/>
    </row>
    <row r="4340" spans="3:21" x14ac:dyDescent="0.25">
      <c r="C4340" s="5"/>
    </row>
    <row r="4341" spans="3:21" x14ac:dyDescent="0.25">
      <c r="C4341" s="5"/>
    </row>
    <row r="4342" spans="3:21" x14ac:dyDescent="0.25">
      <c r="C4342" s="5"/>
    </row>
    <row r="4343" spans="3:21" x14ac:dyDescent="0.25">
      <c r="C4343" s="5"/>
    </row>
    <row r="4344" spans="3:21" x14ac:dyDescent="0.25">
      <c r="C4344" s="5"/>
    </row>
    <row r="4345" spans="3:21" x14ac:dyDescent="0.25">
      <c r="C4345" s="5"/>
    </row>
    <row r="4346" spans="3:21" x14ac:dyDescent="0.25">
      <c r="C4346" s="5"/>
    </row>
    <row r="4347" spans="3:21" x14ac:dyDescent="0.25">
      <c r="C4347" s="5"/>
    </row>
    <row r="4348" spans="3:21" x14ac:dyDescent="0.25">
      <c r="C4348" s="5"/>
    </row>
    <row r="4349" spans="3:21" x14ac:dyDescent="0.25">
      <c r="C4349" s="5"/>
    </row>
    <row r="4350" spans="3:21" x14ac:dyDescent="0.25">
      <c r="C4350" s="5"/>
    </row>
    <row r="4351" spans="3:21" x14ac:dyDescent="0.25">
      <c r="C4351" s="5"/>
    </row>
    <row r="4352" spans="3:21" x14ac:dyDescent="0.25">
      <c r="C4352" s="5"/>
    </row>
    <row r="4353" spans="3:21" x14ac:dyDescent="0.25">
      <c r="C4353" s="5"/>
    </row>
    <row r="4354" spans="3:21" x14ac:dyDescent="0.25">
      <c r="C4354" s="5"/>
      <c r="O4354"/>
      <c r="P4354"/>
      <c r="Q4354"/>
      <c r="R4354"/>
      <c r="S4354"/>
      <c r="T4354"/>
      <c r="U4354"/>
    </row>
    <row r="4355" spans="3:21" x14ac:dyDescent="0.25">
      <c r="C4355" s="5"/>
    </row>
    <row r="4356" spans="3:21" x14ac:dyDescent="0.25">
      <c r="C4356" s="5"/>
    </row>
    <row r="4357" spans="3:21" x14ac:dyDescent="0.25">
      <c r="C4357" s="5"/>
    </row>
    <row r="4358" spans="3:21" x14ac:dyDescent="0.25">
      <c r="C4358" s="5"/>
    </row>
    <row r="4359" spans="3:21" x14ac:dyDescent="0.25">
      <c r="C4359" s="5"/>
    </row>
    <row r="4360" spans="3:21" x14ac:dyDescent="0.25">
      <c r="C4360" s="5"/>
    </row>
    <row r="4361" spans="3:21" x14ac:dyDescent="0.25">
      <c r="C4361" s="5"/>
    </row>
    <row r="4362" spans="3:21" x14ac:dyDescent="0.25">
      <c r="C4362" s="5"/>
    </row>
    <row r="4363" spans="3:21" x14ac:dyDescent="0.25">
      <c r="C4363" s="5"/>
    </row>
    <row r="4364" spans="3:21" x14ac:dyDescent="0.25">
      <c r="C4364" s="5"/>
    </row>
    <row r="4365" spans="3:21" x14ac:dyDescent="0.25">
      <c r="C4365" s="5"/>
    </row>
    <row r="4366" spans="3:21" x14ac:dyDescent="0.25">
      <c r="C4366" s="5"/>
    </row>
    <row r="4367" spans="3:21" x14ac:dyDescent="0.25">
      <c r="C4367" s="5"/>
    </row>
    <row r="4368" spans="3:21" x14ac:dyDescent="0.25">
      <c r="C4368" s="5"/>
    </row>
    <row r="4369" spans="3:3" x14ac:dyDescent="0.25">
      <c r="C4369" s="5"/>
    </row>
    <row r="4370" spans="3:3" x14ac:dyDescent="0.25">
      <c r="C4370" s="5"/>
    </row>
    <row r="4371" spans="3:3" x14ac:dyDescent="0.25">
      <c r="C4371" s="5"/>
    </row>
    <row r="4372" spans="3:3" x14ac:dyDescent="0.25">
      <c r="C4372" s="5"/>
    </row>
    <row r="4373" spans="3:3" x14ac:dyDescent="0.25">
      <c r="C4373" s="5"/>
    </row>
    <row r="4374" spans="3:3" x14ac:dyDescent="0.25">
      <c r="C4374" s="5"/>
    </row>
    <row r="4375" spans="3:3" x14ac:dyDescent="0.25">
      <c r="C4375" s="5"/>
    </row>
    <row r="4376" spans="3:3" x14ac:dyDescent="0.25">
      <c r="C4376" s="5"/>
    </row>
    <row r="4377" spans="3:3" x14ac:dyDescent="0.25">
      <c r="C4377" s="5"/>
    </row>
    <row r="4378" spans="3:3" x14ac:dyDescent="0.25">
      <c r="C4378" s="5"/>
    </row>
    <row r="4379" spans="3:3" x14ac:dyDescent="0.25">
      <c r="C4379" s="5"/>
    </row>
    <row r="4380" spans="3:3" x14ac:dyDescent="0.25">
      <c r="C4380" s="5"/>
    </row>
    <row r="4381" spans="3:3" x14ac:dyDescent="0.25">
      <c r="C4381" s="5"/>
    </row>
    <row r="4382" spans="3:3" x14ac:dyDescent="0.25">
      <c r="C4382" s="5"/>
    </row>
    <row r="4383" spans="3:3" x14ac:dyDescent="0.25">
      <c r="C4383" s="5"/>
    </row>
    <row r="4384" spans="3:3" x14ac:dyDescent="0.25">
      <c r="C4384" s="5"/>
    </row>
    <row r="4385" spans="3:3" x14ac:dyDescent="0.25">
      <c r="C4385" s="5"/>
    </row>
    <row r="4386" spans="3:3" x14ac:dyDescent="0.25">
      <c r="C4386" s="5"/>
    </row>
    <row r="4387" spans="3:3" x14ac:dyDescent="0.25">
      <c r="C4387" s="5"/>
    </row>
    <row r="4388" spans="3:3" x14ac:dyDescent="0.25">
      <c r="C4388" s="5"/>
    </row>
    <row r="4389" spans="3:3" x14ac:dyDescent="0.25">
      <c r="C4389" s="5"/>
    </row>
    <row r="4390" spans="3:3" x14ac:dyDescent="0.25">
      <c r="C4390" s="5"/>
    </row>
    <row r="4391" spans="3:3" x14ac:dyDescent="0.25">
      <c r="C4391" s="5"/>
    </row>
    <row r="4392" spans="3:3" x14ac:dyDescent="0.25">
      <c r="C4392" s="5"/>
    </row>
    <row r="4393" spans="3:3" x14ac:dyDescent="0.25">
      <c r="C4393" s="5"/>
    </row>
    <row r="4394" spans="3:3" x14ac:dyDescent="0.25">
      <c r="C4394" s="5"/>
    </row>
    <row r="4395" spans="3:3" x14ac:dyDescent="0.25">
      <c r="C4395" s="5"/>
    </row>
    <row r="4396" spans="3:3" x14ac:dyDescent="0.25">
      <c r="C4396" s="5"/>
    </row>
    <row r="4397" spans="3:3" x14ac:dyDescent="0.25">
      <c r="C4397" s="5"/>
    </row>
    <row r="4398" spans="3:3" x14ac:dyDescent="0.25">
      <c r="C4398" s="5"/>
    </row>
    <row r="4399" spans="3:3" x14ac:dyDescent="0.25">
      <c r="C4399" s="5"/>
    </row>
    <row r="4400" spans="3:3" x14ac:dyDescent="0.25">
      <c r="C4400" s="5"/>
    </row>
    <row r="4401" spans="3:21" x14ac:dyDescent="0.25">
      <c r="C4401" s="5"/>
    </row>
    <row r="4402" spans="3:21" x14ac:dyDescent="0.25">
      <c r="C4402" s="5"/>
    </row>
    <row r="4403" spans="3:21" x14ac:dyDescent="0.25">
      <c r="C4403" s="5"/>
    </row>
    <row r="4404" spans="3:21" x14ac:dyDescent="0.25">
      <c r="C4404" s="5"/>
    </row>
    <row r="4405" spans="3:21" x14ac:dyDescent="0.25">
      <c r="C4405" s="5"/>
    </row>
    <row r="4406" spans="3:21" x14ac:dyDescent="0.25">
      <c r="C4406" s="5"/>
    </row>
    <row r="4407" spans="3:21" x14ac:dyDescent="0.25">
      <c r="C4407" s="5"/>
    </row>
    <row r="4408" spans="3:21" x14ac:dyDescent="0.25">
      <c r="C4408" s="5"/>
    </row>
    <row r="4409" spans="3:21" x14ac:dyDescent="0.25">
      <c r="C4409" s="5"/>
    </row>
    <row r="4410" spans="3:21" x14ac:dyDescent="0.25">
      <c r="C4410" s="5"/>
    </row>
    <row r="4411" spans="3:21" x14ac:dyDescent="0.25">
      <c r="C4411" s="5"/>
    </row>
    <row r="4412" spans="3:21" x14ac:dyDescent="0.25">
      <c r="C4412" s="5"/>
    </row>
    <row r="4413" spans="3:21" x14ac:dyDescent="0.25">
      <c r="C4413" s="5"/>
    </row>
    <row r="4414" spans="3:21" x14ac:dyDescent="0.25">
      <c r="C4414" s="5"/>
    </row>
    <row r="4415" spans="3:21" x14ac:dyDescent="0.25">
      <c r="C4415" s="5"/>
    </row>
    <row r="4416" spans="3:21" x14ac:dyDescent="0.25">
      <c r="C4416" s="5"/>
      <c r="O4416"/>
      <c r="P4416"/>
      <c r="Q4416"/>
      <c r="R4416"/>
      <c r="S4416"/>
      <c r="T4416"/>
      <c r="U4416"/>
    </row>
    <row r="4417" spans="3:21" x14ac:dyDescent="0.25">
      <c r="C4417" s="5"/>
    </row>
    <row r="4418" spans="3:21" x14ac:dyDescent="0.25">
      <c r="C4418" s="5"/>
    </row>
    <row r="4419" spans="3:21" x14ac:dyDescent="0.25">
      <c r="C4419" s="5"/>
    </row>
    <row r="4420" spans="3:21" x14ac:dyDescent="0.25">
      <c r="C4420" s="5"/>
    </row>
    <row r="4421" spans="3:21" x14ac:dyDescent="0.25">
      <c r="C4421" s="5"/>
    </row>
    <row r="4422" spans="3:21" x14ac:dyDescent="0.25">
      <c r="C4422" s="5"/>
    </row>
    <row r="4423" spans="3:21" x14ac:dyDescent="0.25">
      <c r="C4423" s="5"/>
    </row>
    <row r="4424" spans="3:21" x14ac:dyDescent="0.25">
      <c r="C4424" s="5"/>
    </row>
    <row r="4425" spans="3:21" x14ac:dyDescent="0.25">
      <c r="C4425" s="5"/>
      <c r="O4425"/>
      <c r="P4425"/>
      <c r="Q4425"/>
      <c r="R4425"/>
      <c r="S4425"/>
      <c r="T4425"/>
      <c r="U4425"/>
    </row>
    <row r="4426" spans="3:21" x14ac:dyDescent="0.25">
      <c r="C4426" s="5"/>
      <c r="O4426"/>
      <c r="P4426"/>
      <c r="Q4426"/>
      <c r="R4426"/>
      <c r="S4426"/>
      <c r="T4426"/>
      <c r="U4426"/>
    </row>
    <row r="4427" spans="3:21" x14ac:dyDescent="0.25">
      <c r="C4427" s="5"/>
    </row>
    <row r="4428" spans="3:21" x14ac:dyDescent="0.25">
      <c r="C4428" s="5"/>
    </row>
    <row r="4429" spans="3:21" x14ac:dyDescent="0.25">
      <c r="C4429" s="5"/>
    </row>
    <row r="4430" spans="3:21" x14ac:dyDescent="0.25">
      <c r="C4430" s="5"/>
    </row>
    <row r="4431" spans="3:21" x14ac:dyDescent="0.25">
      <c r="C4431" s="5"/>
    </row>
    <row r="4432" spans="3:21" x14ac:dyDescent="0.25">
      <c r="C4432" s="5"/>
    </row>
    <row r="4433" spans="3:3" x14ac:dyDescent="0.25">
      <c r="C4433" s="5"/>
    </row>
    <row r="4434" spans="3:3" x14ac:dyDescent="0.25">
      <c r="C4434" s="5"/>
    </row>
    <row r="4435" spans="3:3" x14ac:dyDescent="0.25">
      <c r="C4435" s="5"/>
    </row>
    <row r="4436" spans="3:3" x14ac:dyDescent="0.25">
      <c r="C4436" s="5"/>
    </row>
    <row r="4437" spans="3:3" x14ac:dyDescent="0.25">
      <c r="C4437" s="5"/>
    </row>
    <row r="4438" spans="3:3" x14ac:dyDescent="0.25">
      <c r="C4438" s="5"/>
    </row>
    <row r="4439" spans="3:3" x14ac:dyDescent="0.25">
      <c r="C4439" s="5"/>
    </row>
    <row r="4440" spans="3:3" x14ac:dyDescent="0.25">
      <c r="C4440" s="5"/>
    </row>
    <row r="4441" spans="3:3" x14ac:dyDescent="0.25">
      <c r="C4441" s="5"/>
    </row>
    <row r="4442" spans="3:3" x14ac:dyDescent="0.25">
      <c r="C4442" s="5"/>
    </row>
    <row r="4443" spans="3:3" x14ac:dyDescent="0.25">
      <c r="C4443" s="5"/>
    </row>
    <row r="4444" spans="3:3" x14ac:dyDescent="0.25">
      <c r="C4444" s="5"/>
    </row>
    <row r="4445" spans="3:3" x14ac:dyDescent="0.25">
      <c r="C4445" s="5"/>
    </row>
    <row r="4446" spans="3:3" x14ac:dyDescent="0.25">
      <c r="C4446" s="5"/>
    </row>
    <row r="4447" spans="3:3" x14ac:dyDescent="0.25">
      <c r="C4447" s="5"/>
    </row>
    <row r="4448" spans="3:3" x14ac:dyDescent="0.25">
      <c r="C4448" s="5"/>
    </row>
    <row r="4449" spans="3:3" x14ac:dyDescent="0.25">
      <c r="C4449" s="5"/>
    </row>
    <row r="4450" spans="3:3" x14ac:dyDescent="0.25">
      <c r="C4450" s="5"/>
    </row>
    <row r="4451" spans="3:3" x14ac:dyDescent="0.25">
      <c r="C4451" s="5"/>
    </row>
    <row r="4452" spans="3:3" x14ac:dyDescent="0.25">
      <c r="C4452" s="5"/>
    </row>
    <row r="4453" spans="3:3" x14ac:dyDescent="0.25">
      <c r="C4453" s="5"/>
    </row>
    <row r="4454" spans="3:3" x14ac:dyDescent="0.25">
      <c r="C4454" s="5"/>
    </row>
    <row r="4455" spans="3:3" x14ac:dyDescent="0.25">
      <c r="C4455" s="5"/>
    </row>
    <row r="4456" spans="3:3" x14ac:dyDescent="0.25">
      <c r="C4456" s="5"/>
    </row>
    <row r="4457" spans="3:3" x14ac:dyDescent="0.25">
      <c r="C4457" s="5"/>
    </row>
    <row r="4458" spans="3:3" x14ac:dyDescent="0.25">
      <c r="C4458" s="5"/>
    </row>
    <row r="4459" spans="3:3" x14ac:dyDescent="0.25">
      <c r="C4459" s="5"/>
    </row>
    <row r="4460" spans="3:3" x14ac:dyDescent="0.25">
      <c r="C4460" s="5"/>
    </row>
    <row r="4461" spans="3:3" x14ac:dyDescent="0.25">
      <c r="C4461" s="5"/>
    </row>
    <row r="4462" spans="3:3" x14ac:dyDescent="0.25">
      <c r="C4462" s="5"/>
    </row>
    <row r="4463" spans="3:3" x14ac:dyDescent="0.25">
      <c r="C4463" s="5"/>
    </row>
    <row r="4464" spans="3:3" x14ac:dyDescent="0.25">
      <c r="C4464" s="5"/>
    </row>
    <row r="4465" spans="3:3" x14ac:dyDescent="0.25">
      <c r="C4465" s="5"/>
    </row>
    <row r="4466" spans="3:3" x14ac:dyDescent="0.25">
      <c r="C4466" s="5"/>
    </row>
    <row r="4467" spans="3:3" x14ac:dyDescent="0.25">
      <c r="C4467" s="5"/>
    </row>
    <row r="4468" spans="3:3" x14ac:dyDescent="0.25">
      <c r="C4468" s="5"/>
    </row>
    <row r="4469" spans="3:3" x14ac:dyDescent="0.25">
      <c r="C4469" s="5"/>
    </row>
    <row r="4470" spans="3:3" x14ac:dyDescent="0.25">
      <c r="C4470" s="5"/>
    </row>
    <row r="4471" spans="3:3" x14ac:dyDescent="0.25">
      <c r="C4471" s="5"/>
    </row>
    <row r="4472" spans="3:3" x14ac:dyDescent="0.25">
      <c r="C4472" s="5"/>
    </row>
    <row r="4473" spans="3:3" x14ac:dyDescent="0.25">
      <c r="C4473" s="5"/>
    </row>
    <row r="4474" spans="3:3" x14ac:dyDescent="0.25">
      <c r="C4474" s="5"/>
    </row>
    <row r="4475" spans="3:3" x14ac:dyDescent="0.25">
      <c r="C4475" s="5"/>
    </row>
    <row r="4476" spans="3:3" x14ac:dyDescent="0.25">
      <c r="C4476" s="5"/>
    </row>
    <row r="4477" spans="3:3" x14ac:dyDescent="0.25">
      <c r="C4477" s="5"/>
    </row>
    <row r="4478" spans="3:3" x14ac:dyDescent="0.25">
      <c r="C4478" s="5"/>
    </row>
    <row r="4479" spans="3:3" x14ac:dyDescent="0.25">
      <c r="C4479" s="5"/>
    </row>
    <row r="4480" spans="3:3" x14ac:dyDescent="0.25">
      <c r="C4480" s="5"/>
    </row>
    <row r="4481" spans="3:3" x14ac:dyDescent="0.25">
      <c r="C4481" s="5"/>
    </row>
    <row r="4482" spans="3:3" x14ac:dyDescent="0.25">
      <c r="C4482" s="5"/>
    </row>
    <row r="4483" spans="3:3" x14ac:dyDescent="0.25">
      <c r="C4483" s="5"/>
    </row>
    <row r="4484" spans="3:3" x14ac:dyDescent="0.25">
      <c r="C4484" s="5"/>
    </row>
    <row r="4485" spans="3:3" x14ac:dyDescent="0.25">
      <c r="C4485" s="5"/>
    </row>
    <row r="4486" spans="3:3" x14ac:dyDescent="0.25">
      <c r="C4486" s="5"/>
    </row>
    <row r="4487" spans="3:3" x14ac:dyDescent="0.25">
      <c r="C4487" s="5"/>
    </row>
    <row r="4488" spans="3:3" x14ac:dyDescent="0.25">
      <c r="C4488" s="5"/>
    </row>
    <row r="4489" spans="3:3" x14ac:dyDescent="0.25">
      <c r="C4489" s="5"/>
    </row>
    <row r="4490" spans="3:3" x14ac:dyDescent="0.25">
      <c r="C4490" s="5"/>
    </row>
    <row r="4491" spans="3:3" x14ac:dyDescent="0.25">
      <c r="C4491" s="5"/>
    </row>
    <row r="4492" spans="3:3" x14ac:dyDescent="0.25">
      <c r="C4492" s="5"/>
    </row>
    <row r="4493" spans="3:3" x14ac:dyDescent="0.25">
      <c r="C4493" s="5"/>
    </row>
    <row r="4494" spans="3:3" x14ac:dyDescent="0.25">
      <c r="C4494" s="5"/>
    </row>
    <row r="4495" spans="3:3" x14ac:dyDescent="0.25">
      <c r="C4495" s="5"/>
    </row>
    <row r="4496" spans="3:3" x14ac:dyDescent="0.25">
      <c r="C4496" s="5"/>
    </row>
    <row r="4497" spans="3:3" x14ac:dyDescent="0.25">
      <c r="C4497" s="5"/>
    </row>
    <row r="4498" spans="3:3" x14ac:dyDescent="0.25">
      <c r="C4498" s="5"/>
    </row>
    <row r="4499" spans="3:3" x14ac:dyDescent="0.25">
      <c r="C4499" s="5"/>
    </row>
    <row r="4500" spans="3:3" x14ac:dyDescent="0.25">
      <c r="C4500" s="5"/>
    </row>
    <row r="4501" spans="3:3" x14ac:dyDescent="0.25">
      <c r="C4501" s="5"/>
    </row>
    <row r="4502" spans="3:3" x14ac:dyDescent="0.25">
      <c r="C4502" s="5"/>
    </row>
    <row r="4503" spans="3:3" x14ac:dyDescent="0.25">
      <c r="C4503" s="5"/>
    </row>
    <row r="4504" spans="3:3" x14ac:dyDescent="0.25">
      <c r="C4504" s="5"/>
    </row>
    <row r="4505" spans="3:3" x14ac:dyDescent="0.25">
      <c r="C4505" s="5"/>
    </row>
    <row r="4506" spans="3:3" x14ac:dyDescent="0.25">
      <c r="C4506" s="5"/>
    </row>
    <row r="4507" spans="3:3" x14ac:dyDescent="0.25">
      <c r="C4507" s="5"/>
    </row>
    <row r="4508" spans="3:3" x14ac:dyDescent="0.25">
      <c r="C4508" s="5"/>
    </row>
    <row r="4509" spans="3:3" x14ac:dyDescent="0.25">
      <c r="C4509" s="5"/>
    </row>
    <row r="4510" spans="3:3" x14ac:dyDescent="0.25">
      <c r="C4510" s="5"/>
    </row>
    <row r="4511" spans="3:3" x14ac:dyDescent="0.25">
      <c r="C4511" s="5"/>
    </row>
    <row r="4512" spans="3:3" x14ac:dyDescent="0.25">
      <c r="C4512" s="5"/>
    </row>
    <row r="4513" spans="3:3" x14ac:dyDescent="0.25">
      <c r="C4513" s="5"/>
    </row>
    <row r="4514" spans="3:3" x14ac:dyDescent="0.25">
      <c r="C4514" s="5"/>
    </row>
    <row r="4515" spans="3:3" x14ac:dyDescent="0.25">
      <c r="C4515" s="5"/>
    </row>
    <row r="4516" spans="3:3" x14ac:dyDescent="0.25">
      <c r="C4516" s="5"/>
    </row>
    <row r="4517" spans="3:3" x14ac:dyDescent="0.25">
      <c r="C4517" s="5"/>
    </row>
    <row r="4518" spans="3:3" x14ac:dyDescent="0.25">
      <c r="C4518" s="5"/>
    </row>
    <row r="4519" spans="3:3" x14ac:dyDescent="0.25">
      <c r="C4519" s="5"/>
    </row>
    <row r="4520" spans="3:3" x14ac:dyDescent="0.25">
      <c r="C4520" s="5"/>
    </row>
    <row r="4521" spans="3:3" x14ac:dyDescent="0.25">
      <c r="C4521" s="5"/>
    </row>
    <row r="4522" spans="3:3" x14ac:dyDescent="0.25">
      <c r="C4522" s="5"/>
    </row>
    <row r="4523" spans="3:3" x14ac:dyDescent="0.25">
      <c r="C4523" s="5"/>
    </row>
    <row r="4524" spans="3:3" x14ac:dyDescent="0.25">
      <c r="C4524" s="5"/>
    </row>
    <row r="4525" spans="3:3" x14ac:dyDescent="0.25">
      <c r="C4525" s="5"/>
    </row>
    <row r="4526" spans="3:3" x14ac:dyDescent="0.25">
      <c r="C4526" s="5"/>
    </row>
    <row r="4527" spans="3:3" x14ac:dyDescent="0.25">
      <c r="C4527" s="5"/>
    </row>
    <row r="4528" spans="3:3" x14ac:dyDescent="0.25">
      <c r="C4528" s="5"/>
    </row>
    <row r="4529" spans="3:3" x14ac:dyDescent="0.25">
      <c r="C4529" s="5"/>
    </row>
    <row r="4530" spans="3:3" x14ac:dyDescent="0.25">
      <c r="C4530" s="5"/>
    </row>
    <row r="4531" spans="3:3" x14ac:dyDescent="0.25">
      <c r="C4531" s="5"/>
    </row>
    <row r="4532" spans="3:3" x14ac:dyDescent="0.25">
      <c r="C4532" s="5"/>
    </row>
    <row r="4533" spans="3:3" x14ac:dyDescent="0.25">
      <c r="C4533" s="5"/>
    </row>
    <row r="4534" spans="3:3" x14ac:dyDescent="0.25">
      <c r="C4534" s="5"/>
    </row>
    <row r="4535" spans="3:3" x14ac:dyDescent="0.25">
      <c r="C4535" s="5"/>
    </row>
    <row r="4536" spans="3:3" x14ac:dyDescent="0.25">
      <c r="C4536" s="5"/>
    </row>
    <row r="4537" spans="3:3" x14ac:dyDescent="0.25">
      <c r="C4537" s="5"/>
    </row>
    <row r="4538" spans="3:3" x14ac:dyDescent="0.25">
      <c r="C4538" s="5"/>
    </row>
    <row r="4539" spans="3:3" x14ac:dyDescent="0.25">
      <c r="C4539" s="5"/>
    </row>
    <row r="4540" spans="3:3" x14ac:dyDescent="0.25">
      <c r="C4540" s="5"/>
    </row>
    <row r="4541" spans="3:3" x14ac:dyDescent="0.25">
      <c r="C4541" s="5"/>
    </row>
    <row r="4542" spans="3:3" x14ac:dyDescent="0.25">
      <c r="C4542" s="5"/>
    </row>
    <row r="4543" spans="3:3" x14ac:dyDescent="0.25">
      <c r="C4543" s="5"/>
    </row>
    <row r="4544" spans="3:3" x14ac:dyDescent="0.25">
      <c r="C4544" s="5"/>
    </row>
    <row r="4545" spans="3:3" x14ac:dyDescent="0.25">
      <c r="C4545" s="5"/>
    </row>
    <row r="4546" spans="3:3" x14ac:dyDescent="0.25">
      <c r="C4546" s="5"/>
    </row>
    <row r="4547" spans="3:3" x14ac:dyDescent="0.25">
      <c r="C4547" s="5"/>
    </row>
    <row r="4548" spans="3:3" x14ac:dyDescent="0.25">
      <c r="C4548" s="5"/>
    </row>
    <row r="4549" spans="3:3" x14ac:dyDescent="0.25">
      <c r="C4549" s="5"/>
    </row>
    <row r="4550" spans="3:3" x14ac:dyDescent="0.25">
      <c r="C4550" s="5"/>
    </row>
    <row r="4551" spans="3:3" x14ac:dyDescent="0.25">
      <c r="C4551" s="5"/>
    </row>
    <row r="4552" spans="3:3" x14ac:dyDescent="0.25">
      <c r="C4552" s="5"/>
    </row>
    <row r="4553" spans="3:3" x14ac:dyDescent="0.25">
      <c r="C4553" s="5"/>
    </row>
    <row r="4554" spans="3:3" x14ac:dyDescent="0.25">
      <c r="C4554" s="5"/>
    </row>
    <row r="4555" spans="3:3" x14ac:dyDescent="0.25">
      <c r="C4555" s="5"/>
    </row>
    <row r="4556" spans="3:3" x14ac:dyDescent="0.25">
      <c r="C4556" s="5"/>
    </row>
    <row r="4557" spans="3:3" x14ac:dyDescent="0.25">
      <c r="C4557" s="5"/>
    </row>
    <row r="4558" spans="3:3" x14ac:dyDescent="0.25">
      <c r="C4558" s="5"/>
    </row>
    <row r="4559" spans="3:3" x14ac:dyDescent="0.25">
      <c r="C4559" s="5"/>
    </row>
    <row r="4560" spans="3:3" x14ac:dyDescent="0.25">
      <c r="C4560" s="5"/>
    </row>
    <row r="4561" spans="3:3" x14ac:dyDescent="0.25">
      <c r="C4561" s="5"/>
    </row>
    <row r="4562" spans="3:3" x14ac:dyDescent="0.25">
      <c r="C4562" s="5"/>
    </row>
    <row r="4563" spans="3:3" x14ac:dyDescent="0.25">
      <c r="C4563" s="5"/>
    </row>
    <row r="4564" spans="3:3" x14ac:dyDescent="0.25">
      <c r="C4564" s="5"/>
    </row>
    <row r="4565" spans="3:3" x14ac:dyDescent="0.25">
      <c r="C4565" s="5"/>
    </row>
    <row r="4566" spans="3:3" x14ac:dyDescent="0.25">
      <c r="C4566" s="5"/>
    </row>
    <row r="4567" spans="3:3" x14ac:dyDescent="0.25">
      <c r="C4567" s="5"/>
    </row>
    <row r="4568" spans="3:3" x14ac:dyDescent="0.25">
      <c r="C4568" s="5"/>
    </row>
    <row r="4569" spans="3:3" x14ac:dyDescent="0.25">
      <c r="C4569" s="5"/>
    </row>
    <row r="4570" spans="3:3" x14ac:dyDescent="0.25">
      <c r="C4570" s="5"/>
    </row>
    <row r="4571" spans="3:3" x14ac:dyDescent="0.25">
      <c r="C4571" s="5"/>
    </row>
    <row r="4572" spans="3:3" x14ac:dyDescent="0.25">
      <c r="C4572" s="5"/>
    </row>
    <row r="4573" spans="3:3" x14ac:dyDescent="0.25">
      <c r="C4573" s="5"/>
    </row>
    <row r="4574" spans="3:3" x14ac:dyDescent="0.25">
      <c r="C4574" s="5"/>
    </row>
    <row r="4575" spans="3:3" x14ac:dyDescent="0.25">
      <c r="C4575" s="5"/>
    </row>
    <row r="4576" spans="3:3" x14ac:dyDescent="0.25">
      <c r="C4576" s="5"/>
    </row>
    <row r="4577" spans="3:3" x14ac:dyDescent="0.25">
      <c r="C4577" s="5"/>
    </row>
    <row r="4578" spans="3:3" x14ac:dyDescent="0.25">
      <c r="C4578" s="5"/>
    </row>
    <row r="4579" spans="3:3" x14ac:dyDescent="0.25">
      <c r="C4579" s="5"/>
    </row>
    <row r="4580" spans="3:3" x14ac:dyDescent="0.25">
      <c r="C4580" s="5"/>
    </row>
    <row r="4581" spans="3:3" x14ac:dyDescent="0.25">
      <c r="C4581" s="5"/>
    </row>
    <row r="4582" spans="3:3" x14ac:dyDescent="0.25">
      <c r="C4582" s="5"/>
    </row>
    <row r="4583" spans="3:3" x14ac:dyDescent="0.25">
      <c r="C4583" s="5"/>
    </row>
    <row r="4584" spans="3:3" x14ac:dyDescent="0.25">
      <c r="C4584" s="5"/>
    </row>
    <row r="4585" spans="3:3" x14ac:dyDescent="0.25">
      <c r="C4585" s="5"/>
    </row>
    <row r="4586" spans="3:3" x14ac:dyDescent="0.25">
      <c r="C4586" s="5"/>
    </row>
    <row r="4587" spans="3:3" x14ac:dyDescent="0.25">
      <c r="C4587" s="5"/>
    </row>
    <row r="4588" spans="3:3" x14ac:dyDescent="0.25">
      <c r="C4588" s="5"/>
    </row>
    <row r="4589" spans="3:3" x14ac:dyDescent="0.25">
      <c r="C4589" s="5"/>
    </row>
    <row r="4590" spans="3:3" x14ac:dyDescent="0.25">
      <c r="C4590" s="5"/>
    </row>
    <row r="4591" spans="3:3" x14ac:dyDescent="0.25">
      <c r="C4591" s="5"/>
    </row>
    <row r="4592" spans="3:3" x14ac:dyDescent="0.25">
      <c r="C4592" s="5"/>
    </row>
    <row r="4593" spans="3:3" x14ac:dyDescent="0.25">
      <c r="C4593" s="5"/>
    </row>
    <row r="4594" spans="3:3" x14ac:dyDescent="0.25">
      <c r="C4594" s="5"/>
    </row>
    <row r="4595" spans="3:3" x14ac:dyDescent="0.25">
      <c r="C4595" s="5"/>
    </row>
    <row r="4596" spans="3:3" x14ac:dyDescent="0.25">
      <c r="C4596" s="5"/>
    </row>
    <row r="4597" spans="3:3" x14ac:dyDescent="0.25">
      <c r="C4597" s="5"/>
    </row>
    <row r="4598" spans="3:3" x14ac:dyDescent="0.25">
      <c r="C4598" s="5"/>
    </row>
    <row r="4599" spans="3:3" x14ac:dyDescent="0.25">
      <c r="C4599" s="5"/>
    </row>
    <row r="4600" spans="3:3" x14ac:dyDescent="0.25">
      <c r="C4600" s="5"/>
    </row>
    <row r="4601" spans="3:3" x14ac:dyDescent="0.25">
      <c r="C4601" s="5"/>
    </row>
    <row r="4602" spans="3:3" x14ac:dyDescent="0.25">
      <c r="C4602" s="5"/>
    </row>
    <row r="4603" spans="3:3" x14ac:dyDescent="0.25">
      <c r="C4603" s="5"/>
    </row>
    <row r="4604" spans="3:3" x14ac:dyDescent="0.25">
      <c r="C4604" s="5"/>
    </row>
    <row r="4605" spans="3:3" x14ac:dyDescent="0.25">
      <c r="C4605" s="5"/>
    </row>
    <row r="4606" spans="3:3" x14ac:dyDescent="0.25">
      <c r="C4606" s="5"/>
    </row>
    <row r="4607" spans="3:3" x14ac:dyDescent="0.25">
      <c r="C4607" s="5"/>
    </row>
    <row r="4608" spans="3:3" x14ac:dyDescent="0.25">
      <c r="C4608" s="5"/>
    </row>
    <row r="4609" spans="3:3" x14ac:dyDescent="0.25">
      <c r="C4609" s="5"/>
    </row>
    <row r="4610" spans="3:3" x14ac:dyDescent="0.25">
      <c r="C4610" s="5"/>
    </row>
    <row r="4611" spans="3:3" x14ac:dyDescent="0.25">
      <c r="C4611" s="5"/>
    </row>
    <row r="4612" spans="3:3" x14ac:dyDescent="0.25">
      <c r="C4612" s="5"/>
    </row>
    <row r="4613" spans="3:3" x14ac:dyDescent="0.25">
      <c r="C4613" s="5"/>
    </row>
    <row r="4614" spans="3:3" x14ac:dyDescent="0.25">
      <c r="C4614" s="5"/>
    </row>
    <row r="4615" spans="3:3" x14ac:dyDescent="0.25">
      <c r="C4615" s="5"/>
    </row>
    <row r="4616" spans="3:3" x14ac:dyDescent="0.25">
      <c r="C4616" s="5"/>
    </row>
    <row r="4617" spans="3:3" x14ac:dyDescent="0.25">
      <c r="C4617" s="5"/>
    </row>
    <row r="4618" spans="3:3" x14ac:dyDescent="0.25">
      <c r="C4618" s="5"/>
    </row>
    <row r="4619" spans="3:3" x14ac:dyDescent="0.25">
      <c r="C4619" s="5"/>
    </row>
    <row r="4620" spans="3:3" x14ac:dyDescent="0.25">
      <c r="C4620" s="5"/>
    </row>
    <row r="4621" spans="3:3" x14ac:dyDescent="0.25">
      <c r="C4621" s="5"/>
    </row>
    <row r="4622" spans="3:3" x14ac:dyDescent="0.25">
      <c r="C4622" s="5"/>
    </row>
    <row r="4623" spans="3:3" x14ac:dyDescent="0.25">
      <c r="C4623" s="5"/>
    </row>
    <row r="4624" spans="3:3" x14ac:dyDescent="0.25">
      <c r="C4624" s="5"/>
    </row>
    <row r="4625" spans="3:3" x14ac:dyDescent="0.25">
      <c r="C4625" s="5"/>
    </row>
    <row r="4626" spans="3:3" x14ac:dyDescent="0.25">
      <c r="C4626" s="5"/>
    </row>
    <row r="4627" spans="3:3" x14ac:dyDescent="0.25">
      <c r="C4627" s="5"/>
    </row>
    <row r="4628" spans="3:3" x14ac:dyDescent="0.25">
      <c r="C4628" s="5"/>
    </row>
    <row r="4629" spans="3:3" x14ac:dyDescent="0.25">
      <c r="C4629" s="5"/>
    </row>
    <row r="4630" spans="3:3" x14ac:dyDescent="0.25">
      <c r="C4630" s="5"/>
    </row>
    <row r="4631" spans="3:3" x14ac:dyDescent="0.25">
      <c r="C4631" s="5"/>
    </row>
    <row r="4632" spans="3:3" x14ac:dyDescent="0.25">
      <c r="C4632" s="5"/>
    </row>
    <row r="4633" spans="3:3" x14ac:dyDescent="0.25">
      <c r="C4633" s="5"/>
    </row>
    <row r="4634" spans="3:3" x14ac:dyDescent="0.25">
      <c r="C4634" s="5"/>
    </row>
    <row r="4635" spans="3:3" x14ac:dyDescent="0.25">
      <c r="C4635" s="5"/>
    </row>
    <row r="4636" spans="3:3" x14ac:dyDescent="0.25">
      <c r="C4636" s="5"/>
    </row>
    <row r="4637" spans="3:3" x14ac:dyDescent="0.25">
      <c r="C4637" s="5"/>
    </row>
    <row r="4638" spans="3:3" x14ac:dyDescent="0.25">
      <c r="C4638" s="5"/>
    </row>
    <row r="4639" spans="3:3" x14ac:dyDescent="0.25">
      <c r="C4639" s="5"/>
    </row>
    <row r="4640" spans="3:3" x14ac:dyDescent="0.25">
      <c r="C4640" s="5"/>
    </row>
    <row r="4641" spans="3:3" x14ac:dyDescent="0.25">
      <c r="C4641" s="5"/>
    </row>
    <row r="4642" spans="3:3" x14ac:dyDescent="0.25">
      <c r="C4642" s="5"/>
    </row>
    <row r="4643" spans="3:3" x14ac:dyDescent="0.25">
      <c r="C4643" s="5"/>
    </row>
    <row r="4644" spans="3:3" x14ac:dyDescent="0.25">
      <c r="C4644" s="5"/>
    </row>
    <row r="4645" spans="3:3" x14ac:dyDescent="0.25">
      <c r="C4645" s="5"/>
    </row>
    <row r="4646" spans="3:3" x14ac:dyDescent="0.25">
      <c r="C4646" s="5"/>
    </row>
    <row r="4647" spans="3:3" x14ac:dyDescent="0.25">
      <c r="C4647" s="5"/>
    </row>
    <row r="4648" spans="3:3" x14ac:dyDescent="0.25">
      <c r="C4648" s="5"/>
    </row>
    <row r="4649" spans="3:3" x14ac:dyDescent="0.25">
      <c r="C4649" s="5"/>
    </row>
    <row r="4650" spans="3:3" x14ac:dyDescent="0.25">
      <c r="C4650" s="5"/>
    </row>
    <row r="4651" spans="3:3" x14ac:dyDescent="0.25">
      <c r="C4651" s="5"/>
    </row>
    <row r="4652" spans="3:3" x14ac:dyDescent="0.25">
      <c r="C4652" s="5"/>
    </row>
    <row r="4653" spans="3:3" x14ac:dyDescent="0.25">
      <c r="C4653" s="5"/>
    </row>
    <row r="4654" spans="3:3" x14ac:dyDescent="0.25">
      <c r="C4654" s="5"/>
    </row>
    <row r="4655" spans="3:3" x14ac:dyDescent="0.25">
      <c r="C4655" s="5"/>
    </row>
    <row r="4656" spans="3:3" x14ac:dyDescent="0.25">
      <c r="C4656" s="5"/>
    </row>
    <row r="4657" spans="3:3" x14ac:dyDescent="0.25">
      <c r="C4657" s="5"/>
    </row>
    <row r="4658" spans="3:3" x14ac:dyDescent="0.25">
      <c r="C4658" s="5"/>
    </row>
    <row r="4659" spans="3:3" x14ac:dyDescent="0.25">
      <c r="C4659" s="5"/>
    </row>
    <row r="4660" spans="3:3" x14ac:dyDescent="0.25">
      <c r="C4660" s="5"/>
    </row>
    <row r="4661" spans="3:3" x14ac:dyDescent="0.25">
      <c r="C4661" s="5"/>
    </row>
    <row r="4662" spans="3:3" x14ac:dyDescent="0.25">
      <c r="C4662" s="5"/>
    </row>
    <row r="4663" spans="3:3" x14ac:dyDescent="0.25">
      <c r="C4663" s="5"/>
    </row>
    <row r="4664" spans="3:3" x14ac:dyDescent="0.25">
      <c r="C4664" s="5"/>
    </row>
    <row r="4665" spans="3:3" x14ac:dyDescent="0.25">
      <c r="C4665" s="5"/>
    </row>
    <row r="4666" spans="3:3" x14ac:dyDescent="0.25">
      <c r="C4666" s="5"/>
    </row>
    <row r="4667" spans="3:3" x14ac:dyDescent="0.25">
      <c r="C4667" s="5"/>
    </row>
    <row r="4668" spans="3:3" x14ac:dyDescent="0.25">
      <c r="C4668" s="5"/>
    </row>
    <row r="4669" spans="3:3" x14ac:dyDescent="0.25">
      <c r="C4669" s="5"/>
    </row>
    <row r="4670" spans="3:3" x14ac:dyDescent="0.25">
      <c r="C4670" s="5"/>
    </row>
    <row r="4671" spans="3:3" x14ac:dyDescent="0.25">
      <c r="C4671" s="5"/>
    </row>
    <row r="4672" spans="3:3" x14ac:dyDescent="0.25">
      <c r="C4672" s="5"/>
    </row>
    <row r="4673" spans="3:3" x14ac:dyDescent="0.25">
      <c r="C4673" s="5"/>
    </row>
    <row r="4674" spans="3:3" x14ac:dyDescent="0.25">
      <c r="C4674" s="5"/>
    </row>
    <row r="4675" spans="3:3" x14ac:dyDescent="0.25">
      <c r="C4675" s="5"/>
    </row>
    <row r="4676" spans="3:3" x14ac:dyDescent="0.25">
      <c r="C4676" s="5"/>
    </row>
    <row r="4677" spans="3:3" x14ac:dyDescent="0.25">
      <c r="C4677" s="5"/>
    </row>
    <row r="4678" spans="3:3" x14ac:dyDescent="0.25">
      <c r="C4678" s="5"/>
    </row>
    <row r="4679" spans="3:3" x14ac:dyDescent="0.25">
      <c r="C4679" s="5"/>
    </row>
    <row r="4680" spans="3:3" x14ac:dyDescent="0.25">
      <c r="C4680" s="5"/>
    </row>
    <row r="4681" spans="3:3" x14ac:dyDescent="0.25">
      <c r="C4681" s="5"/>
    </row>
    <row r="4682" spans="3:3" x14ac:dyDescent="0.25">
      <c r="C4682" s="5"/>
    </row>
    <row r="4683" spans="3:3" x14ac:dyDescent="0.25">
      <c r="C4683" s="5"/>
    </row>
    <row r="4684" spans="3:3" x14ac:dyDescent="0.25">
      <c r="C4684" s="5"/>
    </row>
    <row r="4685" spans="3:3" x14ac:dyDescent="0.25">
      <c r="C4685" s="5"/>
    </row>
    <row r="4686" spans="3:3" x14ac:dyDescent="0.25">
      <c r="C4686" s="5"/>
    </row>
    <row r="4687" spans="3:3" x14ac:dyDescent="0.25">
      <c r="C4687" s="5"/>
    </row>
    <row r="4688" spans="3:3" x14ac:dyDescent="0.25">
      <c r="C4688" s="5"/>
    </row>
    <row r="4689" spans="3:3" x14ac:dyDescent="0.25">
      <c r="C4689" s="5"/>
    </row>
    <row r="4690" spans="3:3" x14ac:dyDescent="0.25">
      <c r="C4690" s="5"/>
    </row>
    <row r="4691" spans="3:3" x14ac:dyDescent="0.25">
      <c r="C4691" s="5"/>
    </row>
    <row r="4692" spans="3:3" x14ac:dyDescent="0.25">
      <c r="C4692" s="5"/>
    </row>
    <row r="4693" spans="3:3" x14ac:dyDescent="0.25">
      <c r="C4693" s="5"/>
    </row>
    <row r="4694" spans="3:3" x14ac:dyDescent="0.25">
      <c r="C4694" s="5"/>
    </row>
    <row r="4695" spans="3:3" x14ac:dyDescent="0.25">
      <c r="C4695" s="5"/>
    </row>
    <row r="4696" spans="3:3" x14ac:dyDescent="0.25">
      <c r="C4696" s="5"/>
    </row>
    <row r="4697" spans="3:3" x14ac:dyDescent="0.25">
      <c r="C4697" s="5"/>
    </row>
    <row r="4698" spans="3:3" x14ac:dyDescent="0.25">
      <c r="C4698" s="5"/>
    </row>
    <row r="4699" spans="3:3" x14ac:dyDescent="0.25">
      <c r="C4699" s="5"/>
    </row>
    <row r="4700" spans="3:3" x14ac:dyDescent="0.25">
      <c r="C4700" s="5"/>
    </row>
    <row r="4701" spans="3:3" x14ac:dyDescent="0.25">
      <c r="C4701" s="5"/>
    </row>
    <row r="4702" spans="3:3" x14ac:dyDescent="0.25">
      <c r="C4702" s="5"/>
    </row>
    <row r="4703" spans="3:3" x14ac:dyDescent="0.25">
      <c r="C4703" s="5"/>
    </row>
    <row r="4704" spans="3:3" x14ac:dyDescent="0.25">
      <c r="C4704" s="5"/>
    </row>
    <row r="4705" spans="3:3" x14ac:dyDescent="0.25">
      <c r="C4705" s="5"/>
    </row>
    <row r="4706" spans="3:3" x14ac:dyDescent="0.25">
      <c r="C4706" s="5"/>
    </row>
    <row r="4707" spans="3:3" x14ac:dyDescent="0.25">
      <c r="C4707" s="5"/>
    </row>
    <row r="4708" spans="3:3" x14ac:dyDescent="0.25">
      <c r="C4708" s="5"/>
    </row>
    <row r="4709" spans="3:3" x14ac:dyDescent="0.25">
      <c r="C4709" s="5"/>
    </row>
    <row r="4710" spans="3:3" x14ac:dyDescent="0.25">
      <c r="C4710" s="5"/>
    </row>
    <row r="4711" spans="3:3" x14ac:dyDescent="0.25">
      <c r="C4711" s="5"/>
    </row>
    <row r="4712" spans="3:3" x14ac:dyDescent="0.25">
      <c r="C4712" s="5"/>
    </row>
    <row r="4713" spans="3:3" x14ac:dyDescent="0.25">
      <c r="C4713" s="5"/>
    </row>
    <row r="4714" spans="3:3" x14ac:dyDescent="0.25">
      <c r="C4714" s="5"/>
    </row>
    <row r="4715" spans="3:3" x14ac:dyDescent="0.25">
      <c r="C4715" s="5"/>
    </row>
    <row r="4716" spans="3:3" x14ac:dyDescent="0.25">
      <c r="C4716" s="5"/>
    </row>
    <row r="4717" spans="3:3" x14ac:dyDescent="0.25">
      <c r="C4717" s="5"/>
    </row>
    <row r="4718" spans="3:3" x14ac:dyDescent="0.25">
      <c r="C4718" s="5"/>
    </row>
    <row r="4719" spans="3:3" x14ac:dyDescent="0.25">
      <c r="C4719" s="5"/>
    </row>
    <row r="4720" spans="3:3" x14ac:dyDescent="0.25">
      <c r="C4720" s="5"/>
    </row>
    <row r="4721" spans="3:3" x14ac:dyDescent="0.25">
      <c r="C4721" s="5"/>
    </row>
    <row r="4722" spans="3:3" x14ac:dyDescent="0.25">
      <c r="C4722" s="5"/>
    </row>
    <row r="4723" spans="3:3" x14ac:dyDescent="0.25">
      <c r="C4723" s="5"/>
    </row>
    <row r="4724" spans="3:3" x14ac:dyDescent="0.25">
      <c r="C4724" s="5"/>
    </row>
    <row r="4725" spans="3:3" x14ac:dyDescent="0.25">
      <c r="C4725" s="5"/>
    </row>
    <row r="4726" spans="3:3" x14ac:dyDescent="0.25">
      <c r="C4726" s="5"/>
    </row>
    <row r="4727" spans="3:3" x14ac:dyDescent="0.25">
      <c r="C4727" s="5"/>
    </row>
    <row r="4728" spans="3:3" x14ac:dyDescent="0.25">
      <c r="C4728" s="5"/>
    </row>
    <row r="4729" spans="3:3" x14ac:dyDescent="0.25">
      <c r="C4729" s="5"/>
    </row>
    <row r="4730" spans="3:3" x14ac:dyDescent="0.25">
      <c r="C4730" s="5"/>
    </row>
    <row r="4731" spans="3:3" x14ac:dyDescent="0.25">
      <c r="C4731" s="5"/>
    </row>
    <row r="4732" spans="3:3" x14ac:dyDescent="0.25">
      <c r="C4732" s="5"/>
    </row>
    <row r="4733" spans="3:3" x14ac:dyDescent="0.25">
      <c r="C4733" s="5"/>
    </row>
    <row r="4734" spans="3:3" x14ac:dyDescent="0.25">
      <c r="C4734" s="5"/>
    </row>
    <row r="4735" spans="3:3" x14ac:dyDescent="0.25">
      <c r="C4735" s="5"/>
    </row>
    <row r="4736" spans="3:3" x14ac:dyDescent="0.25">
      <c r="C4736" s="5"/>
    </row>
    <row r="4737" spans="3:3" x14ac:dyDescent="0.25">
      <c r="C4737" s="5"/>
    </row>
    <row r="4738" spans="3:3" x14ac:dyDescent="0.25">
      <c r="C4738" s="5"/>
    </row>
    <row r="4739" spans="3:3" x14ac:dyDescent="0.25">
      <c r="C4739" s="5"/>
    </row>
    <row r="4740" spans="3:3" x14ac:dyDescent="0.25">
      <c r="C4740" s="5"/>
    </row>
    <row r="4741" spans="3:3" x14ac:dyDescent="0.25">
      <c r="C4741" s="5"/>
    </row>
    <row r="4742" spans="3:3" x14ac:dyDescent="0.25">
      <c r="C4742" s="5"/>
    </row>
    <row r="4743" spans="3:3" x14ac:dyDescent="0.25">
      <c r="C4743" s="5"/>
    </row>
    <row r="4744" spans="3:3" x14ac:dyDescent="0.25">
      <c r="C4744" s="5"/>
    </row>
    <row r="4745" spans="3:3" x14ac:dyDescent="0.25">
      <c r="C4745" s="5"/>
    </row>
    <row r="4746" spans="3:3" x14ac:dyDescent="0.25">
      <c r="C4746" s="5"/>
    </row>
    <row r="4747" spans="3:3" x14ac:dyDescent="0.25">
      <c r="C4747" s="5"/>
    </row>
    <row r="4748" spans="3:3" x14ac:dyDescent="0.25">
      <c r="C4748" s="5"/>
    </row>
    <row r="4749" spans="3:3" x14ac:dyDescent="0.25">
      <c r="C4749" s="5"/>
    </row>
    <row r="4750" spans="3:3" x14ac:dyDescent="0.25">
      <c r="C4750" s="5"/>
    </row>
    <row r="4751" spans="3:3" x14ac:dyDescent="0.25">
      <c r="C4751" s="5"/>
    </row>
    <row r="4752" spans="3:3" x14ac:dyDescent="0.25">
      <c r="C4752" s="5"/>
    </row>
    <row r="4753" spans="3:3" x14ac:dyDescent="0.25">
      <c r="C4753" s="5"/>
    </row>
    <row r="4754" spans="3:3" x14ac:dyDescent="0.25">
      <c r="C4754" s="5"/>
    </row>
    <row r="4755" spans="3:3" x14ac:dyDescent="0.25">
      <c r="C4755" s="5"/>
    </row>
    <row r="4756" spans="3:3" x14ac:dyDescent="0.25">
      <c r="C4756" s="5"/>
    </row>
    <row r="4757" spans="3:3" x14ac:dyDescent="0.25">
      <c r="C4757" s="5"/>
    </row>
    <row r="4758" spans="3:3" x14ac:dyDescent="0.25">
      <c r="C4758" s="5"/>
    </row>
    <row r="4759" spans="3:3" x14ac:dyDescent="0.25">
      <c r="C4759" s="5"/>
    </row>
    <row r="4760" spans="3:3" x14ac:dyDescent="0.25">
      <c r="C4760" s="5"/>
    </row>
    <row r="4761" spans="3:3" x14ac:dyDescent="0.25">
      <c r="C4761" s="5"/>
    </row>
    <row r="4762" spans="3:3" x14ac:dyDescent="0.25">
      <c r="C4762" s="5"/>
    </row>
    <row r="4763" spans="3:3" x14ac:dyDescent="0.25">
      <c r="C4763" s="5"/>
    </row>
    <row r="4764" spans="3:3" x14ac:dyDescent="0.25">
      <c r="C4764" s="5"/>
    </row>
    <row r="4765" spans="3:3" x14ac:dyDescent="0.25">
      <c r="C4765" s="5"/>
    </row>
    <row r="4766" spans="3:3" x14ac:dyDescent="0.25">
      <c r="C4766" s="5"/>
    </row>
    <row r="4767" spans="3:3" x14ac:dyDescent="0.25">
      <c r="C4767" s="5"/>
    </row>
    <row r="4768" spans="3:3" x14ac:dyDescent="0.25">
      <c r="C4768" s="5"/>
    </row>
    <row r="4769" spans="3:3" x14ac:dyDescent="0.25">
      <c r="C4769" s="5"/>
    </row>
    <row r="4770" spans="3:3" x14ac:dyDescent="0.25">
      <c r="C4770" s="5"/>
    </row>
    <row r="4771" spans="3:3" x14ac:dyDescent="0.25">
      <c r="C4771" s="5"/>
    </row>
    <row r="4772" spans="3:3" x14ac:dyDescent="0.25">
      <c r="C4772" s="5"/>
    </row>
    <row r="4773" spans="3:3" x14ac:dyDescent="0.25">
      <c r="C4773" s="5"/>
    </row>
    <row r="4774" spans="3:3" x14ac:dyDescent="0.25">
      <c r="C4774" s="5"/>
    </row>
    <row r="4775" spans="3:3" x14ac:dyDescent="0.25">
      <c r="C4775" s="5"/>
    </row>
    <row r="4776" spans="3:3" x14ac:dyDescent="0.25">
      <c r="C4776" s="5"/>
    </row>
    <row r="4777" spans="3:3" x14ac:dyDescent="0.25">
      <c r="C4777" s="5"/>
    </row>
    <row r="4778" spans="3:3" x14ac:dyDescent="0.25">
      <c r="C4778" s="5"/>
    </row>
    <row r="4779" spans="3:3" x14ac:dyDescent="0.25">
      <c r="C4779" s="5"/>
    </row>
    <row r="4780" spans="3:3" x14ac:dyDescent="0.25">
      <c r="C4780" s="5"/>
    </row>
    <row r="4781" spans="3:3" x14ac:dyDescent="0.25">
      <c r="C4781" s="5"/>
    </row>
    <row r="4782" spans="3:3" x14ac:dyDescent="0.25">
      <c r="C4782" s="5"/>
    </row>
    <row r="4783" spans="3:3" x14ac:dyDescent="0.25">
      <c r="C4783" s="5"/>
    </row>
    <row r="4784" spans="3:3" x14ac:dyDescent="0.25">
      <c r="C4784" s="5"/>
    </row>
    <row r="4785" spans="3:3" x14ac:dyDescent="0.25">
      <c r="C4785" s="5"/>
    </row>
    <row r="4786" spans="3:3" x14ac:dyDescent="0.25">
      <c r="C4786" s="5"/>
    </row>
    <row r="4787" spans="3:3" x14ac:dyDescent="0.25">
      <c r="C4787" s="5"/>
    </row>
    <row r="4788" spans="3:3" x14ac:dyDescent="0.25">
      <c r="C4788" s="5"/>
    </row>
    <row r="4789" spans="3:3" x14ac:dyDescent="0.25">
      <c r="C4789" s="5"/>
    </row>
    <row r="4790" spans="3:3" x14ac:dyDescent="0.25">
      <c r="C4790" s="5"/>
    </row>
    <row r="4791" spans="3:3" x14ac:dyDescent="0.25">
      <c r="C4791" s="5"/>
    </row>
    <row r="4792" spans="3:3" x14ac:dyDescent="0.25">
      <c r="C4792" s="5"/>
    </row>
    <row r="4793" spans="3:3" x14ac:dyDescent="0.25">
      <c r="C4793" s="5"/>
    </row>
    <row r="4794" spans="3:3" x14ac:dyDescent="0.25">
      <c r="C4794" s="5"/>
    </row>
    <row r="4795" spans="3:3" x14ac:dyDescent="0.25">
      <c r="C4795" s="5"/>
    </row>
    <row r="4796" spans="3:3" x14ac:dyDescent="0.25">
      <c r="C4796" s="5"/>
    </row>
    <row r="4797" spans="3:3" x14ac:dyDescent="0.25">
      <c r="C4797" s="5"/>
    </row>
    <row r="4798" spans="3:3" x14ac:dyDescent="0.25">
      <c r="C4798" s="5"/>
    </row>
    <row r="4799" spans="3:3" x14ac:dyDescent="0.25">
      <c r="C4799" s="5"/>
    </row>
    <row r="4800" spans="3:3" x14ac:dyDescent="0.25">
      <c r="C4800" s="5"/>
    </row>
    <row r="4801" spans="3:3" x14ac:dyDescent="0.25">
      <c r="C4801" s="5"/>
    </row>
    <row r="4802" spans="3:3" x14ac:dyDescent="0.25">
      <c r="C4802" s="5"/>
    </row>
    <row r="4803" spans="3:3" x14ac:dyDescent="0.25">
      <c r="C4803" s="5"/>
    </row>
    <row r="4804" spans="3:3" x14ac:dyDescent="0.25">
      <c r="C4804" s="5"/>
    </row>
    <row r="4805" spans="3:3" x14ac:dyDescent="0.25">
      <c r="C4805" s="5"/>
    </row>
    <row r="4806" spans="3:3" x14ac:dyDescent="0.25">
      <c r="C4806" s="5"/>
    </row>
    <row r="4807" spans="3:3" x14ac:dyDescent="0.25">
      <c r="C4807" s="5"/>
    </row>
    <row r="4808" spans="3:3" x14ac:dyDescent="0.25">
      <c r="C4808" s="5"/>
    </row>
    <row r="4809" spans="3:3" x14ac:dyDescent="0.25">
      <c r="C4809" s="5"/>
    </row>
    <row r="4810" spans="3:3" x14ac:dyDescent="0.25">
      <c r="C4810" s="5"/>
    </row>
    <row r="4811" spans="3:3" x14ac:dyDescent="0.25">
      <c r="C4811" s="5"/>
    </row>
    <row r="4812" spans="3:3" x14ac:dyDescent="0.25">
      <c r="C4812" s="5"/>
    </row>
    <row r="4813" spans="3:3" x14ac:dyDescent="0.25">
      <c r="C4813" s="5"/>
    </row>
    <row r="4814" spans="3:3" x14ac:dyDescent="0.25">
      <c r="C4814" s="5"/>
    </row>
    <row r="4815" spans="3:3" x14ac:dyDescent="0.25">
      <c r="C4815" s="5"/>
    </row>
    <row r="4816" spans="3:3" x14ac:dyDescent="0.25">
      <c r="C4816" s="5"/>
    </row>
    <row r="4817" spans="3:3" x14ac:dyDescent="0.25">
      <c r="C4817" s="5"/>
    </row>
    <row r="4818" spans="3:3" x14ac:dyDescent="0.25">
      <c r="C4818" s="5"/>
    </row>
    <row r="4819" spans="3:3" x14ac:dyDescent="0.25">
      <c r="C4819" s="5"/>
    </row>
    <row r="4820" spans="3:3" x14ac:dyDescent="0.25">
      <c r="C4820" s="5"/>
    </row>
    <row r="4821" spans="3:3" x14ac:dyDescent="0.25">
      <c r="C4821" s="5"/>
    </row>
    <row r="4822" spans="3:3" x14ac:dyDescent="0.25">
      <c r="C4822" s="5"/>
    </row>
    <row r="4823" spans="3:3" x14ac:dyDescent="0.25">
      <c r="C4823" s="5"/>
    </row>
    <row r="4824" spans="3:3" x14ac:dyDescent="0.25">
      <c r="C4824" s="5"/>
    </row>
    <row r="4825" spans="3:3" x14ac:dyDescent="0.25">
      <c r="C4825" s="5"/>
    </row>
    <row r="4826" spans="3:3" x14ac:dyDescent="0.25">
      <c r="C4826" s="5"/>
    </row>
    <row r="4827" spans="3:3" x14ac:dyDescent="0.25">
      <c r="C4827" s="5"/>
    </row>
    <row r="4828" spans="3:3" x14ac:dyDescent="0.25">
      <c r="C4828" s="5"/>
    </row>
    <row r="4829" spans="3:3" x14ac:dyDescent="0.25">
      <c r="C4829" s="5"/>
    </row>
    <row r="4830" spans="3:3" x14ac:dyDescent="0.25">
      <c r="C4830" s="5"/>
    </row>
    <row r="4831" spans="3:3" x14ac:dyDescent="0.25">
      <c r="C4831" s="5"/>
    </row>
    <row r="4832" spans="3:3" x14ac:dyDescent="0.25">
      <c r="C4832" s="5"/>
    </row>
    <row r="4833" spans="3:3" x14ac:dyDescent="0.25">
      <c r="C4833" s="5"/>
    </row>
    <row r="4834" spans="3:3" x14ac:dyDescent="0.25">
      <c r="C4834" s="5"/>
    </row>
    <row r="4835" spans="3:3" x14ac:dyDescent="0.25">
      <c r="C4835" s="5"/>
    </row>
    <row r="4836" spans="3:3" x14ac:dyDescent="0.25">
      <c r="C4836" s="5"/>
    </row>
    <row r="4837" spans="3:3" x14ac:dyDescent="0.25">
      <c r="C4837" s="5"/>
    </row>
    <row r="4838" spans="3:3" x14ac:dyDescent="0.25">
      <c r="C4838" s="5"/>
    </row>
    <row r="4839" spans="3:3" x14ac:dyDescent="0.25">
      <c r="C4839" s="5"/>
    </row>
    <row r="4840" spans="3:3" x14ac:dyDescent="0.25">
      <c r="C4840" s="5"/>
    </row>
    <row r="4841" spans="3:3" x14ac:dyDescent="0.25">
      <c r="C4841" s="5"/>
    </row>
    <row r="4842" spans="3:3" x14ac:dyDescent="0.25">
      <c r="C4842" s="5"/>
    </row>
    <row r="4843" spans="3:3" x14ac:dyDescent="0.25">
      <c r="C4843" s="5"/>
    </row>
    <row r="4844" spans="3:3" x14ac:dyDescent="0.25">
      <c r="C4844" s="5"/>
    </row>
    <row r="4845" spans="3:3" x14ac:dyDescent="0.25">
      <c r="C4845" s="5"/>
    </row>
    <row r="4846" spans="3:3" x14ac:dyDescent="0.25">
      <c r="C4846" s="5"/>
    </row>
    <row r="4847" spans="3:3" x14ac:dyDescent="0.25">
      <c r="C4847" s="5"/>
    </row>
    <row r="4848" spans="3:3" x14ac:dyDescent="0.25">
      <c r="C4848" s="5"/>
    </row>
    <row r="4849" spans="3:3" x14ac:dyDescent="0.25">
      <c r="C4849" s="5"/>
    </row>
    <row r="4850" spans="3:3" x14ac:dyDescent="0.25">
      <c r="C4850" s="5"/>
    </row>
    <row r="4851" spans="3:3" x14ac:dyDescent="0.25">
      <c r="C4851" s="5"/>
    </row>
    <row r="4852" spans="3:3" x14ac:dyDescent="0.25">
      <c r="C4852" s="5"/>
    </row>
    <row r="4853" spans="3:3" x14ac:dyDescent="0.25">
      <c r="C4853" s="5"/>
    </row>
    <row r="4854" spans="3:3" x14ac:dyDescent="0.25">
      <c r="C4854" s="5"/>
    </row>
    <row r="4855" spans="3:3" x14ac:dyDescent="0.25">
      <c r="C4855" s="5"/>
    </row>
    <row r="4856" spans="3:3" x14ac:dyDescent="0.25">
      <c r="C4856" s="5"/>
    </row>
    <row r="4857" spans="3:3" x14ac:dyDescent="0.25">
      <c r="C4857" s="5"/>
    </row>
    <row r="4858" spans="3:3" x14ac:dyDescent="0.25">
      <c r="C4858" s="5"/>
    </row>
    <row r="4859" spans="3:3" x14ac:dyDescent="0.25">
      <c r="C4859" s="5"/>
    </row>
    <row r="4860" spans="3:3" x14ac:dyDescent="0.25">
      <c r="C4860" s="5"/>
    </row>
    <row r="4861" spans="3:3" x14ac:dyDescent="0.25">
      <c r="C4861" s="5"/>
    </row>
    <row r="4862" spans="3:3" x14ac:dyDescent="0.25">
      <c r="C4862" s="5"/>
    </row>
    <row r="4863" spans="3:3" x14ac:dyDescent="0.25">
      <c r="C4863" s="5"/>
    </row>
    <row r="4864" spans="3:3" x14ac:dyDescent="0.25">
      <c r="C4864" s="5"/>
    </row>
    <row r="4865" spans="3:3" x14ac:dyDescent="0.25">
      <c r="C4865" s="5"/>
    </row>
    <row r="4866" spans="3:3" x14ac:dyDescent="0.25">
      <c r="C4866" s="5"/>
    </row>
    <row r="4867" spans="3:3" x14ac:dyDescent="0.25">
      <c r="C4867" s="5"/>
    </row>
    <row r="4868" spans="3:3" x14ac:dyDescent="0.25">
      <c r="C4868" s="5"/>
    </row>
    <row r="4869" spans="3:3" x14ac:dyDescent="0.25">
      <c r="C4869" s="5"/>
    </row>
    <row r="4870" spans="3:3" x14ac:dyDescent="0.25">
      <c r="C4870" s="5"/>
    </row>
    <row r="4871" spans="3:3" x14ac:dyDescent="0.25">
      <c r="C4871" s="5"/>
    </row>
    <row r="4872" spans="3:3" x14ac:dyDescent="0.25">
      <c r="C4872" s="5"/>
    </row>
    <row r="4873" spans="3:3" x14ac:dyDescent="0.25">
      <c r="C4873" s="5"/>
    </row>
    <row r="4874" spans="3:3" x14ac:dyDescent="0.25">
      <c r="C4874" s="5"/>
    </row>
    <row r="4875" spans="3:3" x14ac:dyDescent="0.25">
      <c r="C4875" s="5"/>
    </row>
    <row r="4876" spans="3:3" x14ac:dyDescent="0.25">
      <c r="C4876" s="5"/>
    </row>
    <row r="4877" spans="3:3" x14ac:dyDescent="0.25">
      <c r="C4877" s="5"/>
    </row>
    <row r="4878" spans="3:3" x14ac:dyDescent="0.25">
      <c r="C4878" s="5"/>
    </row>
    <row r="4879" spans="3:3" x14ac:dyDescent="0.25">
      <c r="C4879" s="5"/>
    </row>
    <row r="4880" spans="3:3" x14ac:dyDescent="0.25">
      <c r="C4880" s="5"/>
    </row>
    <row r="4881" spans="3:3" x14ac:dyDescent="0.25">
      <c r="C4881" s="5"/>
    </row>
    <row r="4882" spans="3:3" x14ac:dyDescent="0.25">
      <c r="C4882" s="5"/>
    </row>
    <row r="4883" spans="3:3" x14ac:dyDescent="0.25">
      <c r="C4883" s="5"/>
    </row>
    <row r="4884" spans="3:3" x14ac:dyDescent="0.25">
      <c r="C4884" s="5"/>
    </row>
    <row r="4885" spans="3:3" x14ac:dyDescent="0.25">
      <c r="C4885" s="5"/>
    </row>
    <row r="4886" spans="3:3" x14ac:dyDescent="0.25">
      <c r="C4886" s="5"/>
    </row>
    <row r="4887" spans="3:3" x14ac:dyDescent="0.25">
      <c r="C4887" s="5"/>
    </row>
    <row r="4888" spans="3:3" x14ac:dyDescent="0.25">
      <c r="C4888" s="5"/>
    </row>
    <row r="4889" spans="3:3" x14ac:dyDescent="0.25">
      <c r="C4889" s="5"/>
    </row>
    <row r="4890" spans="3:3" x14ac:dyDescent="0.25">
      <c r="C4890" s="5"/>
    </row>
    <row r="4891" spans="3:3" x14ac:dyDescent="0.25">
      <c r="C4891" s="5"/>
    </row>
    <row r="4892" spans="3:3" x14ac:dyDescent="0.25">
      <c r="C4892" s="5"/>
    </row>
    <row r="4893" spans="3:3" x14ac:dyDescent="0.25">
      <c r="C4893" s="5"/>
    </row>
    <row r="4894" spans="3:3" x14ac:dyDescent="0.25">
      <c r="C4894" s="5"/>
    </row>
    <row r="4895" spans="3:3" x14ac:dyDescent="0.25">
      <c r="C4895" s="5"/>
    </row>
    <row r="4896" spans="3:3" x14ac:dyDescent="0.25">
      <c r="C4896" s="5"/>
    </row>
    <row r="4897" spans="3:3" x14ac:dyDescent="0.25">
      <c r="C4897" s="5"/>
    </row>
    <row r="4898" spans="3:3" x14ac:dyDescent="0.25">
      <c r="C4898" s="5"/>
    </row>
    <row r="4899" spans="3:3" x14ac:dyDescent="0.25">
      <c r="C4899" s="5"/>
    </row>
    <row r="4900" spans="3:3" x14ac:dyDescent="0.25">
      <c r="C4900" s="5"/>
    </row>
    <row r="4901" spans="3:3" x14ac:dyDescent="0.25">
      <c r="C4901" s="5"/>
    </row>
    <row r="4902" spans="3:3" x14ac:dyDescent="0.25">
      <c r="C4902" s="5"/>
    </row>
    <row r="4903" spans="3:3" x14ac:dyDescent="0.25">
      <c r="C4903" s="5"/>
    </row>
    <row r="4904" spans="3:3" x14ac:dyDescent="0.25">
      <c r="C4904" s="5"/>
    </row>
    <row r="4905" spans="3:3" x14ac:dyDescent="0.25">
      <c r="C4905" s="5"/>
    </row>
    <row r="4906" spans="3:3" x14ac:dyDescent="0.25">
      <c r="C4906" s="5"/>
    </row>
    <row r="4907" spans="3:3" x14ac:dyDescent="0.25">
      <c r="C4907" s="5"/>
    </row>
    <row r="4908" spans="3:3" x14ac:dyDescent="0.25">
      <c r="C4908" s="5"/>
    </row>
    <row r="4909" spans="3:3" x14ac:dyDescent="0.25">
      <c r="C4909" s="5"/>
    </row>
    <row r="4910" spans="3:3" x14ac:dyDescent="0.25">
      <c r="C4910" s="5"/>
    </row>
    <row r="4911" spans="3:3" x14ac:dyDescent="0.25">
      <c r="C4911" s="5"/>
    </row>
    <row r="4912" spans="3:3" x14ac:dyDescent="0.25">
      <c r="C4912" s="5"/>
    </row>
    <row r="4913" spans="3:3" x14ac:dyDescent="0.25">
      <c r="C4913" s="5"/>
    </row>
    <row r="4914" spans="3:3" x14ac:dyDescent="0.25">
      <c r="C4914" s="5"/>
    </row>
    <row r="4915" spans="3:3" x14ac:dyDescent="0.25">
      <c r="C4915" s="5"/>
    </row>
    <row r="4916" spans="3:3" x14ac:dyDescent="0.25">
      <c r="C4916" s="5"/>
    </row>
    <row r="4917" spans="3:3" x14ac:dyDescent="0.25">
      <c r="C4917" s="5"/>
    </row>
    <row r="4918" spans="3:3" x14ac:dyDescent="0.25">
      <c r="C4918" s="5"/>
    </row>
    <row r="4919" spans="3:3" x14ac:dyDescent="0.25">
      <c r="C4919" s="5"/>
    </row>
    <row r="4920" spans="3:3" x14ac:dyDescent="0.25">
      <c r="C4920" s="5"/>
    </row>
    <row r="4921" spans="3:3" x14ac:dyDescent="0.25">
      <c r="C4921" s="5"/>
    </row>
    <row r="4922" spans="3:3" x14ac:dyDescent="0.25">
      <c r="C4922" s="5"/>
    </row>
    <row r="4923" spans="3:3" x14ac:dyDescent="0.25">
      <c r="C4923" s="5"/>
    </row>
    <row r="4924" spans="3:3" x14ac:dyDescent="0.25">
      <c r="C4924" s="5"/>
    </row>
    <row r="4925" spans="3:3" x14ac:dyDescent="0.25">
      <c r="C4925" s="5"/>
    </row>
    <row r="4926" spans="3:3" x14ac:dyDescent="0.25">
      <c r="C4926" s="5"/>
    </row>
    <row r="4927" spans="3:3" x14ac:dyDescent="0.25">
      <c r="C4927" s="5"/>
    </row>
    <row r="4928" spans="3:3" x14ac:dyDescent="0.25">
      <c r="C4928" s="5"/>
    </row>
    <row r="4929" spans="3:3" x14ac:dyDescent="0.25">
      <c r="C4929" s="5"/>
    </row>
    <row r="4930" spans="3:3" x14ac:dyDescent="0.25">
      <c r="C4930" s="5"/>
    </row>
    <row r="4931" spans="3:3" x14ac:dyDescent="0.25">
      <c r="C4931" s="5"/>
    </row>
    <row r="4932" spans="3:3" x14ac:dyDescent="0.25">
      <c r="C4932" s="5"/>
    </row>
    <row r="4933" spans="3:3" x14ac:dyDescent="0.25">
      <c r="C4933" s="5"/>
    </row>
    <row r="4934" spans="3:3" x14ac:dyDescent="0.25">
      <c r="C4934" s="5"/>
    </row>
    <row r="4935" spans="3:3" x14ac:dyDescent="0.25">
      <c r="C4935" s="5"/>
    </row>
    <row r="4936" spans="3:3" x14ac:dyDescent="0.25">
      <c r="C4936" s="5"/>
    </row>
    <row r="4937" spans="3:3" x14ac:dyDescent="0.25">
      <c r="C4937" s="5"/>
    </row>
    <row r="4938" spans="3:3" x14ac:dyDescent="0.25">
      <c r="C4938" s="5"/>
    </row>
    <row r="4939" spans="3:3" x14ac:dyDescent="0.25">
      <c r="C4939" s="5"/>
    </row>
    <row r="4940" spans="3:3" x14ac:dyDescent="0.25">
      <c r="C4940" s="5"/>
    </row>
    <row r="4941" spans="3:3" x14ac:dyDescent="0.25">
      <c r="C4941" s="5"/>
    </row>
    <row r="4942" spans="3:3" x14ac:dyDescent="0.25">
      <c r="C4942" s="5"/>
    </row>
    <row r="4943" spans="3:3" x14ac:dyDescent="0.25">
      <c r="C4943" s="5"/>
    </row>
    <row r="4944" spans="3:3" x14ac:dyDescent="0.25">
      <c r="C4944" s="5"/>
    </row>
    <row r="4945" spans="3:3" x14ac:dyDescent="0.25">
      <c r="C4945" s="5"/>
    </row>
    <row r="4946" spans="3:3" x14ac:dyDescent="0.25">
      <c r="C4946" s="5"/>
    </row>
    <row r="4947" spans="3:3" x14ac:dyDescent="0.25">
      <c r="C4947" s="5"/>
    </row>
    <row r="4948" spans="3:3" x14ac:dyDescent="0.25">
      <c r="C4948" s="5"/>
    </row>
    <row r="4949" spans="3:3" x14ac:dyDescent="0.25">
      <c r="C4949" s="5"/>
    </row>
    <row r="4950" spans="3:3" x14ac:dyDescent="0.25">
      <c r="C4950" s="5"/>
    </row>
    <row r="4951" spans="3:3" x14ac:dyDescent="0.25">
      <c r="C4951" s="5"/>
    </row>
    <row r="4952" spans="3:3" x14ac:dyDescent="0.25">
      <c r="C4952" s="5"/>
    </row>
    <row r="4953" spans="3:3" x14ac:dyDescent="0.25">
      <c r="C4953" s="5"/>
    </row>
    <row r="4954" spans="3:3" x14ac:dyDescent="0.25">
      <c r="C4954" s="5"/>
    </row>
    <row r="4955" spans="3:3" x14ac:dyDescent="0.25">
      <c r="C4955" s="5"/>
    </row>
    <row r="4956" spans="3:3" x14ac:dyDescent="0.25">
      <c r="C4956" s="5"/>
    </row>
    <row r="4957" spans="3:3" x14ac:dyDescent="0.25">
      <c r="C4957" s="5"/>
    </row>
    <row r="4958" spans="3:3" x14ac:dyDescent="0.25">
      <c r="C4958" s="5"/>
    </row>
    <row r="4959" spans="3:3" x14ac:dyDescent="0.25">
      <c r="C4959" s="5"/>
    </row>
    <row r="4960" spans="3:3" x14ac:dyDescent="0.25">
      <c r="C4960" s="5"/>
    </row>
    <row r="4961" spans="3:3" x14ac:dyDescent="0.25">
      <c r="C4961" s="5"/>
    </row>
    <row r="4962" spans="3:3" x14ac:dyDescent="0.25">
      <c r="C4962" s="5"/>
    </row>
    <row r="4963" spans="3:3" x14ac:dyDescent="0.25">
      <c r="C4963" s="5"/>
    </row>
    <row r="4964" spans="3:3" x14ac:dyDescent="0.25">
      <c r="C4964" s="5"/>
    </row>
    <row r="4965" spans="3:3" x14ac:dyDescent="0.25">
      <c r="C4965" s="5"/>
    </row>
    <row r="4966" spans="3:3" x14ac:dyDescent="0.25">
      <c r="C4966" s="5"/>
    </row>
    <row r="4967" spans="3:3" x14ac:dyDescent="0.25">
      <c r="C4967" s="5"/>
    </row>
    <row r="4968" spans="3:3" x14ac:dyDescent="0.25">
      <c r="C4968" s="5"/>
    </row>
    <row r="4969" spans="3:3" x14ac:dyDescent="0.25">
      <c r="C4969" s="5"/>
    </row>
    <row r="4970" spans="3:3" x14ac:dyDescent="0.25">
      <c r="C4970" s="5"/>
    </row>
    <row r="4971" spans="3:3" x14ac:dyDescent="0.25">
      <c r="C4971" s="5"/>
    </row>
    <row r="4972" spans="3:3" x14ac:dyDescent="0.25">
      <c r="C4972" s="5"/>
    </row>
    <row r="4973" spans="3:3" x14ac:dyDescent="0.25">
      <c r="C4973" s="5"/>
    </row>
    <row r="4974" spans="3:3" x14ac:dyDescent="0.25">
      <c r="C4974" s="5"/>
    </row>
    <row r="4975" spans="3:3" x14ac:dyDescent="0.25">
      <c r="C4975" s="5"/>
    </row>
    <row r="4976" spans="3:3" x14ac:dyDescent="0.25">
      <c r="C4976" s="5"/>
    </row>
    <row r="4977" spans="3:3" x14ac:dyDescent="0.25">
      <c r="C4977" s="5"/>
    </row>
    <row r="4978" spans="3:3" x14ac:dyDescent="0.25">
      <c r="C4978" s="5"/>
    </row>
    <row r="4979" spans="3:3" x14ac:dyDescent="0.25">
      <c r="C4979" s="5"/>
    </row>
    <row r="4980" spans="3:3" x14ac:dyDescent="0.25">
      <c r="C4980" s="5"/>
    </row>
    <row r="4981" spans="3:3" x14ac:dyDescent="0.25">
      <c r="C4981" s="5"/>
    </row>
    <row r="4982" spans="3:3" x14ac:dyDescent="0.25">
      <c r="C4982" s="5"/>
    </row>
    <row r="4983" spans="3:3" x14ac:dyDescent="0.25">
      <c r="C4983" s="5"/>
    </row>
    <row r="4984" spans="3:3" x14ac:dyDescent="0.25">
      <c r="C4984" s="5"/>
    </row>
    <row r="4985" spans="3:3" x14ac:dyDescent="0.25">
      <c r="C4985" s="5"/>
    </row>
    <row r="4986" spans="3:3" x14ac:dyDescent="0.25">
      <c r="C4986" s="5"/>
    </row>
    <row r="4987" spans="3:3" x14ac:dyDescent="0.25">
      <c r="C4987" s="5"/>
    </row>
    <row r="4988" spans="3:3" x14ac:dyDescent="0.25">
      <c r="C4988" s="5"/>
    </row>
    <row r="4989" spans="3:3" x14ac:dyDescent="0.25">
      <c r="C4989" s="5"/>
    </row>
    <row r="4990" spans="3:3" x14ac:dyDescent="0.25">
      <c r="C4990" s="5"/>
    </row>
    <row r="4991" spans="3:3" x14ac:dyDescent="0.25">
      <c r="C4991" s="5"/>
    </row>
    <row r="4992" spans="3:3" x14ac:dyDescent="0.25">
      <c r="C4992" s="5"/>
    </row>
    <row r="4993" spans="3:3" x14ac:dyDescent="0.25">
      <c r="C4993" s="5"/>
    </row>
    <row r="4994" spans="3:3" x14ac:dyDescent="0.25">
      <c r="C4994" s="5"/>
    </row>
    <row r="4995" spans="3:3" x14ac:dyDescent="0.25">
      <c r="C4995" s="5"/>
    </row>
    <row r="4996" spans="3:3" x14ac:dyDescent="0.25">
      <c r="C4996" s="5"/>
    </row>
    <row r="4997" spans="3:3" x14ac:dyDescent="0.25">
      <c r="C4997" s="5"/>
    </row>
    <row r="4998" spans="3:3" x14ac:dyDescent="0.25">
      <c r="C4998" s="5"/>
    </row>
    <row r="4999" spans="3:3" x14ac:dyDescent="0.25">
      <c r="C4999" s="5"/>
    </row>
    <row r="5000" spans="3:3" x14ac:dyDescent="0.25">
      <c r="C5000" s="5"/>
    </row>
    <row r="5001" spans="3:3" x14ac:dyDescent="0.25">
      <c r="C5001" s="5"/>
    </row>
    <row r="5002" spans="3:3" x14ac:dyDescent="0.25">
      <c r="C5002" s="5"/>
    </row>
    <row r="5003" spans="3:3" x14ac:dyDescent="0.25">
      <c r="C5003" s="5"/>
    </row>
    <row r="5004" spans="3:3" x14ac:dyDescent="0.25">
      <c r="C5004" s="5"/>
    </row>
    <row r="5005" spans="3:3" x14ac:dyDescent="0.25">
      <c r="C5005" s="5"/>
    </row>
    <row r="5006" spans="3:3" x14ac:dyDescent="0.25">
      <c r="C5006" s="5"/>
    </row>
    <row r="5007" spans="3:3" x14ac:dyDescent="0.25">
      <c r="C5007" s="5"/>
    </row>
    <row r="5008" spans="3:3" x14ac:dyDescent="0.25">
      <c r="C5008" s="5"/>
    </row>
    <row r="5009" spans="3:3" x14ac:dyDescent="0.25">
      <c r="C5009" s="5"/>
    </row>
    <row r="5010" spans="3:3" x14ac:dyDescent="0.25">
      <c r="C5010" s="5"/>
    </row>
    <row r="5011" spans="3:3" x14ac:dyDescent="0.25">
      <c r="C5011" s="5"/>
    </row>
    <row r="5012" spans="3:3" x14ac:dyDescent="0.25">
      <c r="C5012" s="5"/>
    </row>
    <row r="5013" spans="3:3" x14ac:dyDescent="0.25">
      <c r="C5013" s="5"/>
    </row>
    <row r="5014" spans="3:3" x14ac:dyDescent="0.25">
      <c r="C5014" s="5"/>
    </row>
    <row r="5015" spans="3:3" x14ac:dyDescent="0.25">
      <c r="C5015" s="5"/>
    </row>
    <row r="5016" spans="3:3" x14ac:dyDescent="0.25">
      <c r="C5016" s="5"/>
    </row>
    <row r="5017" spans="3:3" x14ac:dyDescent="0.25">
      <c r="C5017" s="5"/>
    </row>
    <row r="5018" spans="3:3" x14ac:dyDescent="0.25">
      <c r="C5018" s="5"/>
    </row>
    <row r="5019" spans="3:3" x14ac:dyDescent="0.25">
      <c r="C5019" s="5"/>
    </row>
    <row r="5020" spans="3:3" x14ac:dyDescent="0.25">
      <c r="C5020" s="5"/>
    </row>
    <row r="5021" spans="3:3" x14ac:dyDescent="0.25">
      <c r="C5021" s="5"/>
    </row>
    <row r="5022" spans="3:3" x14ac:dyDescent="0.25">
      <c r="C5022" s="5"/>
    </row>
    <row r="5023" spans="3:3" x14ac:dyDescent="0.25">
      <c r="C5023" s="5"/>
    </row>
    <row r="5024" spans="3:3" x14ac:dyDescent="0.25">
      <c r="C5024" s="5"/>
    </row>
    <row r="5025" spans="3:3" x14ac:dyDescent="0.25">
      <c r="C5025" s="5"/>
    </row>
    <row r="5026" spans="3:3" x14ac:dyDescent="0.25">
      <c r="C5026" s="5"/>
    </row>
  </sheetData>
  <autoFilter ref="A1:W502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868"/>
  <sheetViews>
    <sheetView workbookViewId="0">
      <selection activeCell="C6" sqref="C6"/>
    </sheetView>
  </sheetViews>
  <sheetFormatPr baseColWidth="10" defaultRowHeight="15" x14ac:dyDescent="0.25"/>
  <cols>
    <col min="1" max="1" width="28" customWidth="1"/>
    <col min="2" max="2" width="20.42578125" bestFit="1" customWidth="1"/>
    <col min="3" max="3" width="4.140625" bestFit="1" customWidth="1"/>
    <col min="4" max="4" width="5.42578125" bestFit="1" customWidth="1"/>
    <col min="5" max="5" width="12.7109375" bestFit="1" customWidth="1"/>
    <col min="6" max="7" width="12.5703125" bestFit="1" customWidth="1"/>
  </cols>
  <sheetData>
    <row r="1" spans="1:4" x14ac:dyDescent="0.25">
      <c r="A1" s="10" t="s">
        <v>17</v>
      </c>
      <c r="B1" t="s">
        <v>946</v>
      </c>
    </row>
    <row r="2" spans="1:4" x14ac:dyDescent="0.25">
      <c r="A2" s="10" t="s">
        <v>629</v>
      </c>
      <c r="B2" t="s">
        <v>629</v>
      </c>
    </row>
    <row r="3" spans="1:4" x14ac:dyDescent="0.25">
      <c r="A3" s="10" t="s">
        <v>4</v>
      </c>
      <c r="B3" t="s">
        <v>947</v>
      </c>
    </row>
    <row r="5" spans="1:4" x14ac:dyDescent="0.25">
      <c r="A5" s="10" t="s">
        <v>467</v>
      </c>
    </row>
    <row r="6" spans="1:4" x14ac:dyDescent="0.25">
      <c r="A6" s="10" t="s">
        <v>2</v>
      </c>
      <c r="B6" s="10" t="s">
        <v>26</v>
      </c>
      <c r="C6" s="10" t="s">
        <v>630</v>
      </c>
      <c r="D6" t="s">
        <v>451</v>
      </c>
    </row>
    <row r="7" spans="1:4" x14ac:dyDescent="0.25">
      <c r="A7" t="s">
        <v>466</v>
      </c>
      <c r="D7" s="6"/>
    </row>
    <row r="27" spans="5:5" x14ac:dyDescent="0.25">
      <c r="E27" s="2">
        <f>+GETPIVOTDATA("VENTA TOTAL",$A$5)/1.13</f>
        <v>0</v>
      </c>
    </row>
    <row r="39" spans="5:6" x14ac:dyDescent="0.25">
      <c r="E39" s="2"/>
      <c r="F39" s="2"/>
    </row>
    <row r="106" spans="5:7" x14ac:dyDescent="0.25">
      <c r="E106" s="2"/>
      <c r="F106" s="6"/>
      <c r="G106" s="6"/>
    </row>
    <row r="107" spans="5:7" x14ac:dyDescent="0.25">
      <c r="E107" s="2"/>
      <c r="F107" s="6"/>
      <c r="G107" s="6"/>
    </row>
    <row r="108" spans="5:7" x14ac:dyDescent="0.25">
      <c r="E108" s="2"/>
      <c r="F108" s="6"/>
      <c r="G108" s="6"/>
    </row>
    <row r="109" spans="5:7" x14ac:dyDescent="0.25">
      <c r="E109" s="2"/>
      <c r="F109" s="6"/>
      <c r="G109" s="6"/>
    </row>
    <row r="110" spans="5:7" x14ac:dyDescent="0.25">
      <c r="E110" s="2"/>
      <c r="F110" s="6"/>
      <c r="G110" s="6"/>
    </row>
    <row r="111" spans="5:7" x14ac:dyDescent="0.25">
      <c r="E111" s="2"/>
      <c r="F111" s="6"/>
      <c r="G111" s="6"/>
    </row>
    <row r="112" spans="5:7" x14ac:dyDescent="0.25">
      <c r="E112" s="2"/>
      <c r="F112" s="6"/>
      <c r="G112" s="6"/>
    </row>
    <row r="113" spans="5:7" x14ac:dyDescent="0.25">
      <c r="E113" s="2"/>
      <c r="F113" s="6"/>
      <c r="G113" s="6"/>
    </row>
    <row r="114" spans="5:7" x14ac:dyDescent="0.25">
      <c r="E114" s="2"/>
      <c r="F114" s="6"/>
      <c r="G114" s="6"/>
    </row>
    <row r="115" spans="5:7" x14ac:dyDescent="0.25">
      <c r="E115" s="2"/>
      <c r="F115" s="6"/>
      <c r="G115" s="6"/>
    </row>
    <row r="116" spans="5:7" x14ac:dyDescent="0.25">
      <c r="E116" s="2"/>
      <c r="F116" s="6"/>
      <c r="G116" s="6"/>
    </row>
    <row r="117" spans="5:7" x14ac:dyDescent="0.25">
      <c r="E117" s="2"/>
      <c r="F117" s="6"/>
      <c r="G117" s="6"/>
    </row>
    <row r="118" spans="5:7" x14ac:dyDescent="0.25">
      <c r="E118" s="2"/>
      <c r="F118" s="6"/>
      <c r="G118" s="6"/>
    </row>
    <row r="119" spans="5:7" x14ac:dyDescent="0.25">
      <c r="E119" s="2"/>
      <c r="F119" s="6"/>
      <c r="G119" s="6"/>
    </row>
    <row r="120" spans="5:7" x14ac:dyDescent="0.25">
      <c r="E120" s="2"/>
      <c r="F120" s="6"/>
      <c r="G120" s="6"/>
    </row>
    <row r="121" spans="5:7" x14ac:dyDescent="0.25">
      <c r="E121" s="2"/>
      <c r="F121" s="6"/>
      <c r="G121" s="6"/>
    </row>
    <row r="122" spans="5:7" x14ac:dyDescent="0.25">
      <c r="E122" s="2"/>
      <c r="F122" s="6"/>
      <c r="G122" s="6"/>
    </row>
    <row r="123" spans="5:7" x14ac:dyDescent="0.25">
      <c r="E123" s="2"/>
      <c r="F123" s="6"/>
      <c r="G123" s="6"/>
    </row>
    <row r="124" spans="5:7" x14ac:dyDescent="0.25">
      <c r="E124" s="2"/>
      <c r="F124" s="6"/>
      <c r="G124" s="6"/>
    </row>
    <row r="125" spans="5:7" x14ac:dyDescent="0.25">
      <c r="E125" s="2"/>
      <c r="F125" s="6"/>
      <c r="G125" s="6"/>
    </row>
    <row r="126" spans="5:7" x14ac:dyDescent="0.25">
      <c r="E126" s="2"/>
      <c r="F126" s="6"/>
      <c r="G126" s="6"/>
    </row>
    <row r="127" spans="5:7" x14ac:dyDescent="0.25">
      <c r="E127" s="2"/>
      <c r="F127" s="6"/>
      <c r="G127" s="6"/>
    </row>
    <row r="128" spans="5:7" x14ac:dyDescent="0.25">
      <c r="E128" s="2"/>
      <c r="F128" s="6"/>
      <c r="G128" s="6"/>
    </row>
    <row r="129" spans="5:8" x14ac:dyDescent="0.25">
      <c r="E129" s="2"/>
      <c r="F129" s="6"/>
      <c r="G129" s="6"/>
    </row>
    <row r="130" spans="5:8" x14ac:dyDescent="0.25">
      <c r="E130" s="2"/>
      <c r="F130" s="6"/>
      <c r="G130" s="6"/>
    </row>
    <row r="131" spans="5:8" x14ac:dyDescent="0.25">
      <c r="E131" s="2"/>
      <c r="F131" s="6"/>
      <c r="G131" s="6"/>
    </row>
    <row r="132" spans="5:8" x14ac:dyDescent="0.25">
      <c r="E132" s="2"/>
      <c r="F132" s="6"/>
      <c r="G132" s="6"/>
      <c r="H132" s="6" t="e">
        <f>+GETPIVOTDATA("VENTA TOTAL",$A$5,"FECHA",DATE(2022,6,7),"N° DOC",2727,"  ","FARMACIAS SAN NICOLAS, S.A.")-G132</f>
        <v>#REF!</v>
      </c>
    </row>
    <row r="133" spans="5:8" x14ac:dyDescent="0.25">
      <c r="E133" s="2"/>
      <c r="F133" s="6"/>
      <c r="G133" s="6"/>
    </row>
    <row r="134" spans="5:8" x14ac:dyDescent="0.25">
      <c r="E134" s="2"/>
      <c r="F134" s="6"/>
      <c r="G134" s="6"/>
    </row>
    <row r="135" spans="5:8" x14ac:dyDescent="0.25">
      <c r="E135" s="2"/>
      <c r="F135" s="6"/>
      <c r="G135" s="6"/>
    </row>
    <row r="136" spans="5:8" x14ac:dyDescent="0.25">
      <c r="E136" s="2"/>
      <c r="F136" s="6"/>
      <c r="G136" s="6"/>
    </row>
    <row r="137" spans="5:8" x14ac:dyDescent="0.25">
      <c r="E137" s="2"/>
      <c r="F137" s="6"/>
      <c r="G137" s="6"/>
    </row>
    <row r="138" spans="5:8" x14ac:dyDescent="0.25">
      <c r="E138" s="2"/>
      <c r="F138" s="6"/>
      <c r="G138" s="6"/>
    </row>
    <row r="139" spans="5:8" x14ac:dyDescent="0.25">
      <c r="E139" s="2"/>
      <c r="F139" s="6"/>
      <c r="G139" s="6"/>
    </row>
    <row r="140" spans="5:8" x14ac:dyDescent="0.25">
      <c r="E140" s="2"/>
      <c r="F140" s="6"/>
      <c r="G140" s="6"/>
    </row>
    <row r="141" spans="5:8" x14ac:dyDescent="0.25">
      <c r="E141" s="2"/>
      <c r="F141" s="6"/>
      <c r="G141" s="6"/>
    </row>
    <row r="142" spans="5:8" x14ac:dyDescent="0.25">
      <c r="E142" s="2"/>
      <c r="F142" s="6"/>
      <c r="G142" s="6"/>
    </row>
    <row r="143" spans="5:8" x14ac:dyDescent="0.25">
      <c r="E143" s="2"/>
      <c r="F143" s="6"/>
      <c r="G143" s="6"/>
    </row>
    <row r="144" spans="5:8" x14ac:dyDescent="0.25">
      <c r="E144" s="2"/>
      <c r="F144" s="6"/>
      <c r="G144" s="6"/>
    </row>
    <row r="145" spans="5:7" x14ac:dyDescent="0.25">
      <c r="E145" s="2"/>
      <c r="F145" s="6"/>
      <c r="G145" s="6"/>
    </row>
    <row r="146" spans="5:7" x14ac:dyDescent="0.25">
      <c r="E146" s="2"/>
      <c r="F146" s="6"/>
      <c r="G146" s="6"/>
    </row>
    <row r="147" spans="5:7" x14ac:dyDescent="0.25">
      <c r="E147" s="2"/>
      <c r="F147" s="6"/>
      <c r="G147" s="6"/>
    </row>
    <row r="148" spans="5:7" x14ac:dyDescent="0.25">
      <c r="E148" s="2"/>
      <c r="F148" s="6"/>
      <c r="G148" s="6"/>
    </row>
    <row r="149" spans="5:7" x14ac:dyDescent="0.25">
      <c r="E149" s="2"/>
      <c r="F149" s="6"/>
      <c r="G149" s="6"/>
    </row>
    <row r="150" spans="5:7" x14ac:dyDescent="0.25">
      <c r="E150" s="2"/>
      <c r="F150" s="6"/>
      <c r="G150" s="6"/>
    </row>
    <row r="151" spans="5:7" x14ac:dyDescent="0.25">
      <c r="E151" s="2"/>
      <c r="F151" s="6"/>
      <c r="G151" s="6"/>
    </row>
    <row r="152" spans="5:7" x14ac:dyDescent="0.25">
      <c r="E152" s="2"/>
      <c r="F152" s="6"/>
      <c r="G152" s="6"/>
    </row>
    <row r="153" spans="5:7" x14ac:dyDescent="0.25">
      <c r="E153" s="2"/>
      <c r="F153" s="6"/>
      <c r="G153" s="6"/>
    </row>
    <row r="154" spans="5:7" x14ac:dyDescent="0.25">
      <c r="E154" s="2"/>
      <c r="F154" s="6"/>
      <c r="G154" s="6"/>
    </row>
    <row r="155" spans="5:7" x14ac:dyDescent="0.25">
      <c r="E155" s="2"/>
      <c r="F155" s="6"/>
      <c r="G155" s="6"/>
    </row>
    <row r="156" spans="5:7" x14ac:dyDescent="0.25">
      <c r="E156" s="2"/>
      <c r="F156" s="6"/>
      <c r="G156" s="6"/>
    </row>
    <row r="157" spans="5:7" x14ac:dyDescent="0.25">
      <c r="E157" s="2"/>
      <c r="F157" s="6"/>
      <c r="G157" s="6"/>
    </row>
    <row r="158" spans="5:7" x14ac:dyDescent="0.25">
      <c r="E158" s="2"/>
      <c r="F158" s="6"/>
      <c r="G158" s="6"/>
    </row>
    <row r="159" spans="5:7" x14ac:dyDescent="0.25">
      <c r="E159" s="2"/>
      <c r="F159" s="6"/>
      <c r="G159" s="6"/>
    </row>
    <row r="160" spans="5:7" x14ac:dyDescent="0.25">
      <c r="E160" s="2"/>
      <c r="F160" s="6"/>
      <c r="G160" s="6"/>
    </row>
    <row r="161" spans="5:7" x14ac:dyDescent="0.25">
      <c r="E161" s="2"/>
      <c r="F161" s="6"/>
      <c r="G161" s="6"/>
    </row>
    <row r="162" spans="5:7" x14ac:dyDescent="0.25">
      <c r="E162" s="2"/>
      <c r="F162" s="6"/>
      <c r="G162" s="6"/>
    </row>
    <row r="163" spans="5:7" x14ac:dyDescent="0.25">
      <c r="E163" s="2"/>
      <c r="F163" s="6"/>
      <c r="G163" s="6"/>
    </row>
    <row r="164" spans="5:7" x14ac:dyDescent="0.25">
      <c r="E164" s="2"/>
      <c r="F164" s="6"/>
      <c r="G164" s="6"/>
    </row>
    <row r="165" spans="5:7" x14ac:dyDescent="0.25">
      <c r="E165" s="2"/>
      <c r="F165" s="6"/>
      <c r="G165" s="6"/>
    </row>
    <row r="166" spans="5:7" x14ac:dyDescent="0.25">
      <c r="E166" s="2"/>
      <c r="F166" s="6"/>
      <c r="G166" s="6"/>
    </row>
    <row r="167" spans="5:7" x14ac:dyDescent="0.25">
      <c r="E167" s="2"/>
      <c r="F167" s="6"/>
      <c r="G167" s="6"/>
    </row>
    <row r="168" spans="5:7" x14ac:dyDescent="0.25">
      <c r="E168" s="2"/>
      <c r="F168" s="6"/>
      <c r="G168" s="6"/>
    </row>
    <row r="169" spans="5:7" x14ac:dyDescent="0.25">
      <c r="E169" s="2"/>
      <c r="F169" s="6"/>
      <c r="G169" s="6"/>
    </row>
    <row r="170" spans="5:7" x14ac:dyDescent="0.25">
      <c r="E170" s="2"/>
      <c r="F170" s="6"/>
      <c r="G170" s="6"/>
    </row>
    <row r="171" spans="5:7" x14ac:dyDescent="0.25">
      <c r="E171" s="2"/>
      <c r="F171" s="6"/>
      <c r="G171" s="6"/>
    </row>
    <row r="172" spans="5:7" x14ac:dyDescent="0.25">
      <c r="E172" s="2"/>
      <c r="F172" s="6"/>
      <c r="G172" s="6"/>
    </row>
    <row r="173" spans="5:7" x14ac:dyDescent="0.25">
      <c r="E173" s="2"/>
      <c r="F173" s="6"/>
      <c r="G173" s="6"/>
    </row>
    <row r="174" spans="5:7" x14ac:dyDescent="0.25">
      <c r="E174" s="2"/>
      <c r="F174" s="6"/>
      <c r="G174" s="6"/>
    </row>
    <row r="175" spans="5:7" x14ac:dyDescent="0.25">
      <c r="E175" s="2"/>
      <c r="F175" s="6"/>
      <c r="G175" s="6"/>
    </row>
    <row r="176" spans="5:7" x14ac:dyDescent="0.25">
      <c r="E176" s="2"/>
      <c r="F176" s="6"/>
      <c r="G176" s="6"/>
    </row>
    <row r="177" spans="5:7" x14ac:dyDescent="0.25">
      <c r="E177" s="2"/>
      <c r="F177" s="6"/>
      <c r="G177" s="6"/>
    </row>
    <row r="178" spans="5:7" x14ac:dyDescent="0.25">
      <c r="E178" s="2"/>
      <c r="F178" s="6"/>
      <c r="G178" s="6"/>
    </row>
    <row r="179" spans="5:7" x14ac:dyDescent="0.25">
      <c r="E179" s="2"/>
      <c r="F179" s="6"/>
      <c r="G179" s="6"/>
    </row>
    <row r="180" spans="5:7" x14ac:dyDescent="0.25">
      <c r="E180" s="2"/>
      <c r="F180" s="6"/>
      <c r="G180" s="6"/>
    </row>
    <row r="181" spans="5:7" x14ac:dyDescent="0.25">
      <c r="E181" s="2"/>
      <c r="F181" s="6"/>
      <c r="G181" s="6"/>
    </row>
    <row r="182" spans="5:7" x14ac:dyDescent="0.25">
      <c r="E182" s="2"/>
      <c r="F182" s="6"/>
      <c r="G182" s="6"/>
    </row>
    <row r="183" spans="5:7" x14ac:dyDescent="0.25">
      <c r="E183" s="2"/>
      <c r="F183" s="6"/>
      <c r="G183" s="6"/>
    </row>
    <row r="184" spans="5:7" x14ac:dyDescent="0.25">
      <c r="E184" s="2"/>
      <c r="F184" s="6"/>
      <c r="G184" s="6"/>
    </row>
    <row r="185" spans="5:7" x14ac:dyDescent="0.25">
      <c r="E185" s="2"/>
      <c r="F185" s="6"/>
      <c r="G185" s="6"/>
    </row>
    <row r="186" spans="5:7" x14ac:dyDescent="0.25">
      <c r="E186" s="2"/>
      <c r="F186" s="6"/>
      <c r="G186" s="6"/>
    </row>
    <row r="187" spans="5:7" x14ac:dyDescent="0.25">
      <c r="E187" s="2"/>
      <c r="F187" s="6"/>
      <c r="G187" s="6"/>
    </row>
    <row r="188" spans="5:7" x14ac:dyDescent="0.25">
      <c r="E188" s="2"/>
      <c r="F188" s="6"/>
      <c r="G188" s="6"/>
    </row>
    <row r="189" spans="5:7" x14ac:dyDescent="0.25">
      <c r="E189" s="2"/>
      <c r="F189" s="6"/>
      <c r="G189" s="6"/>
    </row>
    <row r="190" spans="5:7" x14ac:dyDescent="0.25">
      <c r="E190" s="2"/>
      <c r="G190" s="6"/>
    </row>
    <row r="559" spans="5:5" x14ac:dyDescent="0.25">
      <c r="E559" s="2">
        <f>GETPIVOTDATA("VENTA TOTAL",$A$5)/1.13</f>
        <v>0</v>
      </c>
    </row>
    <row r="608" spans="5:5" x14ac:dyDescent="0.25">
      <c r="E608" s="2"/>
    </row>
    <row r="749" spans="5:9" x14ac:dyDescent="0.25">
      <c r="E749" s="2"/>
      <c r="G749" s="6"/>
      <c r="I749" s="6"/>
    </row>
    <row r="782" spans="5:5" x14ac:dyDescent="0.25">
      <c r="E782" s="2"/>
    </row>
    <row r="792" spans="5:5" x14ac:dyDescent="0.25">
      <c r="E792" s="2"/>
    </row>
    <row r="868" spans="5:5" x14ac:dyDescent="0.25">
      <c r="E868">
        <f>GETPIVOTDATA("VENTA TOTAL",$A$5)/1.13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3399FF"/>
  </sheetPr>
  <dimension ref="A2:V336"/>
  <sheetViews>
    <sheetView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44</v>
      </c>
      <c r="F2" t="s">
        <v>43</v>
      </c>
      <c r="G2" t="s">
        <v>42</v>
      </c>
      <c r="H2" t="s">
        <v>41</v>
      </c>
      <c r="I2" t="s">
        <v>52</v>
      </c>
      <c r="J2" t="s">
        <v>53</v>
      </c>
      <c r="K2" t="s">
        <v>40</v>
      </c>
      <c r="L2" s="2" t="s">
        <v>39</v>
      </c>
      <c r="M2" s="2" t="s">
        <v>38</v>
      </c>
      <c r="N2" s="2" t="s">
        <v>37</v>
      </c>
      <c r="O2" s="2" t="s">
        <v>36</v>
      </c>
      <c r="P2" s="2" t="s">
        <v>35</v>
      </c>
      <c r="Q2" s="2" t="s">
        <v>34</v>
      </c>
      <c r="R2" s="2" t="s">
        <v>33</v>
      </c>
      <c r="S2" s="2" t="s">
        <v>32</v>
      </c>
      <c r="T2" s="2" t="s">
        <v>31</v>
      </c>
      <c r="U2" s="2" t="s">
        <v>19</v>
      </c>
      <c r="V2" t="s">
        <v>18</v>
      </c>
    </row>
    <row r="3" spans="1:22" x14ac:dyDescent="0.25">
      <c r="A3" t="s">
        <v>554</v>
      </c>
      <c r="B3" t="s">
        <v>1274</v>
      </c>
      <c r="C3" t="s">
        <v>1</v>
      </c>
      <c r="D3" t="s">
        <v>440</v>
      </c>
      <c r="E3" t="s">
        <v>1192</v>
      </c>
      <c r="F3" t="s">
        <v>1191</v>
      </c>
      <c r="G3">
        <v>217</v>
      </c>
      <c r="H3">
        <v>217</v>
      </c>
      <c r="I3">
        <v>217</v>
      </c>
      <c r="J3">
        <v>217</v>
      </c>
      <c r="K3">
        <v>0</v>
      </c>
      <c r="L3" s="2">
        <v>0</v>
      </c>
      <c r="M3" s="2">
        <v>0</v>
      </c>
      <c r="N3" s="2">
        <v>0</v>
      </c>
      <c r="O3" s="2">
        <v>10.35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10.35</v>
      </c>
      <c r="V3" t="s">
        <v>30</v>
      </c>
    </row>
    <row r="4" spans="1:22" x14ac:dyDescent="0.25">
      <c r="A4" t="s">
        <v>554</v>
      </c>
      <c r="B4" t="s">
        <v>1274</v>
      </c>
      <c r="C4" t="s">
        <v>1</v>
      </c>
      <c r="D4" t="s">
        <v>440</v>
      </c>
      <c r="E4" t="s">
        <v>1192</v>
      </c>
      <c r="F4" t="s">
        <v>1191</v>
      </c>
      <c r="G4">
        <v>216</v>
      </c>
      <c r="H4">
        <v>216</v>
      </c>
      <c r="I4">
        <v>216</v>
      </c>
      <c r="J4">
        <v>216</v>
      </c>
      <c r="K4">
        <v>0</v>
      </c>
      <c r="L4" s="2">
        <v>0</v>
      </c>
      <c r="M4" s="2">
        <v>0</v>
      </c>
      <c r="N4" s="2">
        <v>0</v>
      </c>
      <c r="O4" s="2">
        <v>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5</v>
      </c>
      <c r="V4" t="s">
        <v>30</v>
      </c>
    </row>
    <row r="5" spans="1:22" x14ac:dyDescent="0.25">
      <c r="A5" t="s">
        <v>554</v>
      </c>
      <c r="B5" t="s">
        <v>1274</v>
      </c>
      <c r="C5" t="s">
        <v>1</v>
      </c>
      <c r="D5" t="s">
        <v>440</v>
      </c>
      <c r="E5" t="s">
        <v>1192</v>
      </c>
      <c r="F5" t="s">
        <v>1191</v>
      </c>
      <c r="G5">
        <v>225</v>
      </c>
      <c r="H5">
        <v>225</v>
      </c>
      <c r="I5">
        <v>225</v>
      </c>
      <c r="J5">
        <v>225</v>
      </c>
      <c r="K5">
        <v>0</v>
      </c>
      <c r="L5" s="2">
        <v>0</v>
      </c>
      <c r="M5" s="2">
        <v>0</v>
      </c>
      <c r="N5" s="2">
        <v>0</v>
      </c>
      <c r="O5" s="2">
        <v>3.62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3.62</v>
      </c>
      <c r="V5" t="s">
        <v>30</v>
      </c>
    </row>
    <row r="6" spans="1:22" x14ac:dyDescent="0.25">
      <c r="A6" t="s">
        <v>554</v>
      </c>
      <c r="B6" t="s">
        <v>1274</v>
      </c>
      <c r="C6" t="s">
        <v>1</v>
      </c>
      <c r="D6" t="s">
        <v>440</v>
      </c>
      <c r="E6" t="s">
        <v>1192</v>
      </c>
      <c r="F6" t="s">
        <v>1191</v>
      </c>
      <c r="G6">
        <v>224</v>
      </c>
      <c r="H6">
        <v>224</v>
      </c>
      <c r="I6">
        <v>224</v>
      </c>
      <c r="J6">
        <v>224</v>
      </c>
      <c r="K6">
        <v>0</v>
      </c>
      <c r="L6" s="2">
        <v>0</v>
      </c>
      <c r="M6" s="2">
        <v>0</v>
      </c>
      <c r="N6" s="2">
        <v>0</v>
      </c>
      <c r="O6" s="2">
        <v>37.549999999999997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37.549999999999997</v>
      </c>
      <c r="V6" t="s">
        <v>30</v>
      </c>
    </row>
    <row r="7" spans="1:22" x14ac:dyDescent="0.25">
      <c r="A7" t="s">
        <v>554</v>
      </c>
      <c r="B7" t="s">
        <v>1274</v>
      </c>
      <c r="C7" t="s">
        <v>1</v>
      </c>
      <c r="D7" t="s">
        <v>440</v>
      </c>
      <c r="E7" t="s">
        <v>1192</v>
      </c>
      <c r="F7" t="s">
        <v>1191</v>
      </c>
      <c r="G7">
        <v>222</v>
      </c>
      <c r="H7">
        <v>222</v>
      </c>
      <c r="I7">
        <v>222</v>
      </c>
      <c r="J7">
        <v>222</v>
      </c>
      <c r="K7">
        <v>0</v>
      </c>
      <c r="L7" s="2">
        <v>0</v>
      </c>
      <c r="M7" s="2">
        <v>0</v>
      </c>
      <c r="N7" s="2">
        <v>0</v>
      </c>
      <c r="O7" s="2">
        <v>8.6999999999999993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8.6999999999999993</v>
      </c>
      <c r="V7" t="s">
        <v>30</v>
      </c>
    </row>
    <row r="8" spans="1:22" x14ac:dyDescent="0.25">
      <c r="A8" t="s">
        <v>554</v>
      </c>
      <c r="B8" t="s">
        <v>1274</v>
      </c>
      <c r="C8" t="s">
        <v>1</v>
      </c>
      <c r="D8" t="s">
        <v>440</v>
      </c>
      <c r="E8" t="s">
        <v>1192</v>
      </c>
      <c r="F8" t="s">
        <v>1191</v>
      </c>
      <c r="G8">
        <v>221</v>
      </c>
      <c r="H8">
        <v>221</v>
      </c>
      <c r="I8">
        <v>221</v>
      </c>
      <c r="J8">
        <v>221</v>
      </c>
      <c r="K8">
        <v>0</v>
      </c>
      <c r="L8" s="2">
        <v>0</v>
      </c>
      <c r="M8" s="2">
        <v>0</v>
      </c>
      <c r="N8" s="2">
        <v>0</v>
      </c>
      <c r="O8" s="2">
        <v>64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64</v>
      </c>
      <c r="V8" t="s">
        <v>30</v>
      </c>
    </row>
    <row r="9" spans="1:22" x14ac:dyDescent="0.25">
      <c r="A9" t="s">
        <v>554</v>
      </c>
      <c r="B9" t="s">
        <v>1274</v>
      </c>
      <c r="C9" t="s">
        <v>1</v>
      </c>
      <c r="D9" t="s">
        <v>440</v>
      </c>
      <c r="E9" t="s">
        <v>1192</v>
      </c>
      <c r="F9" t="s">
        <v>1191</v>
      </c>
      <c r="G9">
        <v>220</v>
      </c>
      <c r="H9">
        <v>220</v>
      </c>
      <c r="I9">
        <v>220</v>
      </c>
      <c r="J9">
        <v>220</v>
      </c>
      <c r="K9">
        <v>0</v>
      </c>
      <c r="L9" s="2">
        <v>0</v>
      </c>
      <c r="M9" s="2">
        <v>0</v>
      </c>
      <c r="N9" s="2">
        <v>0</v>
      </c>
      <c r="O9" s="2">
        <v>7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7</v>
      </c>
      <c r="V9" t="s">
        <v>30</v>
      </c>
    </row>
    <row r="10" spans="1:22" x14ac:dyDescent="0.25">
      <c r="A10" t="s">
        <v>554</v>
      </c>
      <c r="B10" t="s">
        <v>1274</v>
      </c>
      <c r="C10" t="s">
        <v>1</v>
      </c>
      <c r="D10" t="s">
        <v>440</v>
      </c>
      <c r="E10" t="s">
        <v>1192</v>
      </c>
      <c r="F10" t="s">
        <v>1191</v>
      </c>
      <c r="G10">
        <v>219</v>
      </c>
      <c r="H10">
        <v>219</v>
      </c>
      <c r="I10">
        <v>219</v>
      </c>
      <c r="J10">
        <v>219</v>
      </c>
      <c r="K10">
        <v>0</v>
      </c>
      <c r="L10" s="2">
        <v>0</v>
      </c>
      <c r="M10" s="2">
        <v>0</v>
      </c>
      <c r="N10" s="2">
        <v>0</v>
      </c>
      <c r="O10" s="2">
        <v>932.25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932.25</v>
      </c>
      <c r="V10" t="s">
        <v>30</v>
      </c>
    </row>
    <row r="11" spans="1:22" x14ac:dyDescent="0.25">
      <c r="A11" t="s">
        <v>554</v>
      </c>
      <c r="B11" t="s">
        <v>1274</v>
      </c>
      <c r="C11" t="s">
        <v>1</v>
      </c>
      <c r="D11" t="s">
        <v>440</v>
      </c>
      <c r="E11" t="s">
        <v>1192</v>
      </c>
      <c r="F11" t="s">
        <v>1191</v>
      </c>
      <c r="G11">
        <v>218</v>
      </c>
      <c r="H11">
        <v>218</v>
      </c>
      <c r="I11">
        <v>218</v>
      </c>
      <c r="J11">
        <v>218</v>
      </c>
      <c r="K11">
        <v>0</v>
      </c>
      <c r="L11" s="2">
        <v>0</v>
      </c>
      <c r="M11" s="2">
        <v>0</v>
      </c>
      <c r="N11" s="2">
        <v>0</v>
      </c>
      <c r="O11" s="2">
        <v>14.03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14.03</v>
      </c>
      <c r="V11" t="s">
        <v>30</v>
      </c>
    </row>
    <row r="12" spans="1:22" x14ac:dyDescent="0.25">
      <c r="A12" t="s">
        <v>554</v>
      </c>
      <c r="B12" t="s">
        <v>1274</v>
      </c>
      <c r="C12" t="s">
        <v>1</v>
      </c>
      <c r="D12" t="s">
        <v>440</v>
      </c>
      <c r="E12" t="s">
        <v>1192</v>
      </c>
      <c r="F12" t="s">
        <v>1191</v>
      </c>
      <c r="G12">
        <v>215</v>
      </c>
      <c r="H12">
        <v>215</v>
      </c>
      <c r="I12">
        <v>215</v>
      </c>
      <c r="J12">
        <v>215</v>
      </c>
      <c r="K12">
        <v>0</v>
      </c>
      <c r="L12" s="2">
        <v>0</v>
      </c>
      <c r="M12" s="2">
        <v>0</v>
      </c>
      <c r="N12" s="2">
        <v>0</v>
      </c>
      <c r="O12" s="2">
        <v>0.5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0.5</v>
      </c>
      <c r="V12" t="s">
        <v>30</v>
      </c>
    </row>
    <row r="13" spans="1:22" x14ac:dyDescent="0.25">
      <c r="A13" t="s">
        <v>554</v>
      </c>
      <c r="B13" t="s">
        <v>1274</v>
      </c>
      <c r="C13" t="s">
        <v>1</v>
      </c>
      <c r="D13" t="s">
        <v>440</v>
      </c>
      <c r="E13" t="s">
        <v>1192</v>
      </c>
      <c r="F13" t="s">
        <v>1191</v>
      </c>
      <c r="G13">
        <v>210</v>
      </c>
      <c r="H13">
        <v>210</v>
      </c>
      <c r="I13">
        <v>210</v>
      </c>
      <c r="J13">
        <v>210</v>
      </c>
      <c r="K13">
        <v>0</v>
      </c>
      <c r="L13" s="2">
        <v>0</v>
      </c>
      <c r="M13" s="2">
        <v>0</v>
      </c>
      <c r="N13" s="2">
        <v>0</v>
      </c>
      <c r="O13" s="2">
        <v>6.16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6.16</v>
      </c>
      <c r="V13" t="s">
        <v>30</v>
      </c>
    </row>
    <row r="14" spans="1:22" x14ac:dyDescent="0.25">
      <c r="A14" t="s">
        <v>554</v>
      </c>
      <c r="B14" t="s">
        <v>1274</v>
      </c>
      <c r="C14" t="s">
        <v>1</v>
      </c>
      <c r="D14" t="s">
        <v>440</v>
      </c>
      <c r="E14" t="s">
        <v>1192</v>
      </c>
      <c r="F14" t="s">
        <v>1191</v>
      </c>
      <c r="G14">
        <v>207</v>
      </c>
      <c r="H14">
        <v>207</v>
      </c>
      <c r="I14">
        <v>207</v>
      </c>
      <c r="J14">
        <v>207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30</v>
      </c>
    </row>
    <row r="15" spans="1:22" x14ac:dyDescent="0.25">
      <c r="A15" t="s">
        <v>554</v>
      </c>
      <c r="B15" t="s">
        <v>1274</v>
      </c>
      <c r="C15" t="s">
        <v>1</v>
      </c>
      <c r="D15" t="s">
        <v>440</v>
      </c>
      <c r="E15" t="s">
        <v>1192</v>
      </c>
      <c r="F15" t="s">
        <v>1191</v>
      </c>
      <c r="G15">
        <v>206</v>
      </c>
      <c r="H15">
        <v>206</v>
      </c>
      <c r="I15">
        <v>206</v>
      </c>
      <c r="J15">
        <v>206</v>
      </c>
      <c r="K15">
        <v>0</v>
      </c>
      <c r="L15" s="2">
        <v>0</v>
      </c>
      <c r="M15" s="2">
        <v>0</v>
      </c>
      <c r="N15" s="2">
        <v>0</v>
      </c>
      <c r="O15" s="2">
        <v>5.7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5.7</v>
      </c>
      <c r="V15" t="s">
        <v>30</v>
      </c>
    </row>
    <row r="16" spans="1:22" x14ac:dyDescent="0.25">
      <c r="A16" t="s">
        <v>554</v>
      </c>
      <c r="B16" t="s">
        <v>1274</v>
      </c>
      <c r="C16" t="s">
        <v>1</v>
      </c>
      <c r="D16" t="s">
        <v>440</v>
      </c>
      <c r="E16" t="s">
        <v>1192</v>
      </c>
      <c r="F16" t="s">
        <v>1191</v>
      </c>
      <c r="G16">
        <v>205</v>
      </c>
      <c r="H16">
        <v>205</v>
      </c>
      <c r="I16">
        <v>205</v>
      </c>
      <c r="J16">
        <v>205</v>
      </c>
      <c r="K16">
        <v>0</v>
      </c>
      <c r="L16" s="2">
        <v>0</v>
      </c>
      <c r="M16" s="2">
        <v>0</v>
      </c>
      <c r="N16" s="2">
        <v>0</v>
      </c>
      <c r="O16" s="2">
        <v>30.15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30.15</v>
      </c>
      <c r="V16" t="s">
        <v>30</v>
      </c>
    </row>
    <row r="17" spans="1:22" x14ac:dyDescent="0.25">
      <c r="A17" t="s">
        <v>554</v>
      </c>
      <c r="B17" t="s">
        <v>1274</v>
      </c>
      <c r="C17" t="s">
        <v>1</v>
      </c>
      <c r="D17" t="s">
        <v>440</v>
      </c>
      <c r="E17" t="s">
        <v>1199</v>
      </c>
      <c r="F17" t="s">
        <v>1200</v>
      </c>
      <c r="G17">
        <v>4438</v>
      </c>
      <c r="H17">
        <v>4438</v>
      </c>
      <c r="I17">
        <v>4438</v>
      </c>
      <c r="J17">
        <v>4438</v>
      </c>
      <c r="K17">
        <v>0</v>
      </c>
      <c r="L17" s="2">
        <v>0</v>
      </c>
      <c r="M17" s="2">
        <v>0</v>
      </c>
      <c r="N17" s="2">
        <v>0</v>
      </c>
      <c r="O17" s="2">
        <v>64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64</v>
      </c>
      <c r="V17" t="s">
        <v>30</v>
      </c>
    </row>
    <row r="18" spans="1:22" x14ac:dyDescent="0.25">
      <c r="A18" t="s">
        <v>554</v>
      </c>
      <c r="B18" t="s">
        <v>1274</v>
      </c>
      <c r="C18" t="s">
        <v>1</v>
      </c>
      <c r="D18" t="s">
        <v>440</v>
      </c>
      <c r="E18" t="s">
        <v>1199</v>
      </c>
      <c r="F18" t="s">
        <v>1200</v>
      </c>
      <c r="G18">
        <v>4439</v>
      </c>
      <c r="H18">
        <v>4439</v>
      </c>
      <c r="I18">
        <v>4439</v>
      </c>
      <c r="J18">
        <v>4439</v>
      </c>
      <c r="K18">
        <v>0</v>
      </c>
      <c r="L18" s="2">
        <v>0</v>
      </c>
      <c r="M18" s="2">
        <v>0</v>
      </c>
      <c r="N18" s="2">
        <v>0</v>
      </c>
      <c r="O18" s="2">
        <v>281.5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281.5</v>
      </c>
      <c r="V18" t="s">
        <v>30</v>
      </c>
    </row>
    <row r="19" spans="1:22" x14ac:dyDescent="0.25">
      <c r="A19" t="s">
        <v>554</v>
      </c>
      <c r="B19" t="s">
        <v>1274</v>
      </c>
      <c r="C19" t="s">
        <v>1</v>
      </c>
      <c r="D19" t="s">
        <v>440</v>
      </c>
      <c r="E19" t="s">
        <v>1199</v>
      </c>
      <c r="F19" t="s">
        <v>1200</v>
      </c>
      <c r="G19">
        <v>4440</v>
      </c>
      <c r="H19">
        <v>4440</v>
      </c>
      <c r="I19">
        <v>4440</v>
      </c>
      <c r="J19">
        <v>4440</v>
      </c>
      <c r="K19">
        <v>0</v>
      </c>
      <c r="L19" s="2">
        <v>0</v>
      </c>
      <c r="M19" s="2">
        <v>0</v>
      </c>
      <c r="N19" s="2">
        <v>0</v>
      </c>
      <c r="O19" s="2">
        <v>11.62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11.62</v>
      </c>
      <c r="V19" t="s">
        <v>30</v>
      </c>
    </row>
    <row r="20" spans="1:22" x14ac:dyDescent="0.25">
      <c r="A20" t="s">
        <v>554</v>
      </c>
      <c r="B20" t="s">
        <v>1274</v>
      </c>
      <c r="C20" t="s">
        <v>1</v>
      </c>
      <c r="D20" t="s">
        <v>440</v>
      </c>
      <c r="E20" t="s">
        <v>1199</v>
      </c>
      <c r="F20" t="s">
        <v>1200</v>
      </c>
      <c r="G20">
        <v>4441</v>
      </c>
      <c r="H20">
        <v>4441</v>
      </c>
      <c r="I20">
        <v>4441</v>
      </c>
      <c r="J20">
        <v>4441</v>
      </c>
      <c r="K20">
        <v>0</v>
      </c>
      <c r="L20" s="2">
        <v>0</v>
      </c>
      <c r="M20" s="2">
        <v>0</v>
      </c>
      <c r="N20" s="2">
        <v>0</v>
      </c>
      <c r="O20" s="2">
        <v>279.51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279.51</v>
      </c>
      <c r="V20" t="s">
        <v>30</v>
      </c>
    </row>
    <row r="21" spans="1:22" x14ac:dyDescent="0.25">
      <c r="A21" t="s">
        <v>554</v>
      </c>
      <c r="B21" t="s">
        <v>1291</v>
      </c>
      <c r="C21" t="s">
        <v>1</v>
      </c>
      <c r="D21" t="s">
        <v>440</v>
      </c>
      <c r="E21" t="s">
        <v>1199</v>
      </c>
      <c r="F21" t="s">
        <v>1200</v>
      </c>
      <c r="G21">
        <v>4444</v>
      </c>
      <c r="H21">
        <v>4444</v>
      </c>
      <c r="I21">
        <v>4444</v>
      </c>
      <c r="J21">
        <v>4444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t="s">
        <v>30</v>
      </c>
    </row>
    <row r="22" spans="1:22" x14ac:dyDescent="0.25">
      <c r="A22" t="s">
        <v>554</v>
      </c>
      <c r="B22" t="s">
        <v>1290</v>
      </c>
      <c r="C22" t="s">
        <v>1</v>
      </c>
      <c r="D22" t="s">
        <v>440</v>
      </c>
      <c r="E22" t="s">
        <v>1199</v>
      </c>
      <c r="F22" t="s">
        <v>1200</v>
      </c>
      <c r="G22">
        <v>4445</v>
      </c>
      <c r="H22">
        <v>4445</v>
      </c>
      <c r="I22">
        <v>4445</v>
      </c>
      <c r="J22">
        <v>4445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30</v>
      </c>
    </row>
    <row r="23" spans="1:22" x14ac:dyDescent="0.25">
      <c r="A23" t="s">
        <v>554</v>
      </c>
      <c r="B23" t="s">
        <v>1290</v>
      </c>
      <c r="C23" t="s">
        <v>1</v>
      </c>
      <c r="D23" t="s">
        <v>440</v>
      </c>
      <c r="E23" t="s">
        <v>1199</v>
      </c>
      <c r="F23" t="s">
        <v>1200</v>
      </c>
      <c r="G23">
        <v>4446</v>
      </c>
      <c r="H23">
        <v>4446</v>
      </c>
      <c r="I23">
        <v>4446</v>
      </c>
      <c r="J23">
        <v>4446</v>
      </c>
      <c r="K23">
        <v>0</v>
      </c>
      <c r="L23" s="2">
        <v>0</v>
      </c>
      <c r="M23" s="2">
        <v>0</v>
      </c>
      <c r="N23" s="2">
        <v>0</v>
      </c>
      <c r="O23" s="2">
        <v>2196.88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2196.88</v>
      </c>
      <c r="V23" t="s">
        <v>30</v>
      </c>
    </row>
    <row r="24" spans="1:22" x14ac:dyDescent="0.25">
      <c r="A24" t="s">
        <v>554</v>
      </c>
      <c r="B24" t="s">
        <v>1290</v>
      </c>
      <c r="C24" t="s">
        <v>1</v>
      </c>
      <c r="D24" t="s">
        <v>440</v>
      </c>
      <c r="E24" t="s">
        <v>1199</v>
      </c>
      <c r="F24" t="s">
        <v>1200</v>
      </c>
      <c r="G24">
        <v>4447</v>
      </c>
      <c r="H24">
        <v>4447</v>
      </c>
      <c r="I24">
        <v>4447</v>
      </c>
      <c r="J24">
        <v>4447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t="s">
        <v>30</v>
      </c>
    </row>
    <row r="25" spans="1:22" x14ac:dyDescent="0.25">
      <c r="A25" t="s">
        <v>554</v>
      </c>
      <c r="B25" t="s">
        <v>1290</v>
      </c>
      <c r="C25" t="s">
        <v>1</v>
      </c>
      <c r="D25" t="s">
        <v>440</v>
      </c>
      <c r="E25" t="s">
        <v>1199</v>
      </c>
      <c r="F25" t="s">
        <v>1200</v>
      </c>
      <c r="G25">
        <v>4448</v>
      </c>
      <c r="H25">
        <v>4448</v>
      </c>
      <c r="I25">
        <v>4448</v>
      </c>
      <c r="J25">
        <v>4448</v>
      </c>
      <c r="K25">
        <v>0</v>
      </c>
      <c r="L25" s="2">
        <v>0</v>
      </c>
      <c r="M25" s="2">
        <v>0</v>
      </c>
      <c r="N25" s="2">
        <v>0</v>
      </c>
      <c r="O25" s="2">
        <v>483.28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483.28</v>
      </c>
      <c r="V25" t="s">
        <v>30</v>
      </c>
    </row>
    <row r="26" spans="1:22" x14ac:dyDescent="0.25">
      <c r="A26" t="s">
        <v>554</v>
      </c>
      <c r="B26" t="s">
        <v>1290</v>
      </c>
      <c r="C26" t="s">
        <v>1</v>
      </c>
      <c r="D26" t="s">
        <v>440</v>
      </c>
      <c r="E26" t="s">
        <v>1199</v>
      </c>
      <c r="F26" t="s">
        <v>1200</v>
      </c>
      <c r="G26">
        <v>4449</v>
      </c>
      <c r="H26">
        <v>4449</v>
      </c>
      <c r="I26">
        <v>4449</v>
      </c>
      <c r="J26">
        <v>4449</v>
      </c>
      <c r="K26">
        <v>0</v>
      </c>
      <c r="L26" s="2">
        <v>0</v>
      </c>
      <c r="M26" s="2">
        <v>0</v>
      </c>
      <c r="N26" s="2">
        <v>0</v>
      </c>
      <c r="O26" s="2">
        <v>406.8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406.8</v>
      </c>
      <c r="V26" t="s">
        <v>30</v>
      </c>
    </row>
    <row r="27" spans="1:22" x14ac:dyDescent="0.25">
      <c r="A27" t="s">
        <v>554</v>
      </c>
      <c r="B27" t="s">
        <v>1289</v>
      </c>
      <c r="C27" t="s">
        <v>1</v>
      </c>
      <c r="D27" t="s">
        <v>440</v>
      </c>
      <c r="E27" t="s">
        <v>1199</v>
      </c>
      <c r="F27" t="s">
        <v>1200</v>
      </c>
      <c r="G27">
        <v>4450</v>
      </c>
      <c r="H27">
        <v>4450</v>
      </c>
      <c r="I27">
        <v>4450</v>
      </c>
      <c r="J27">
        <v>4450</v>
      </c>
      <c r="K27">
        <v>0</v>
      </c>
      <c r="L27" s="2">
        <v>0</v>
      </c>
      <c r="M27" s="2">
        <v>0</v>
      </c>
      <c r="N27" s="2">
        <v>0</v>
      </c>
      <c r="O27" s="2">
        <v>317.35000000000002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317.35000000000002</v>
      </c>
      <c r="V27" t="s">
        <v>30</v>
      </c>
    </row>
    <row r="28" spans="1:22" x14ac:dyDescent="0.25">
      <c r="A28" t="s">
        <v>554</v>
      </c>
      <c r="B28" t="s">
        <v>1289</v>
      </c>
      <c r="C28" t="s">
        <v>1</v>
      </c>
      <c r="D28" t="s">
        <v>440</v>
      </c>
      <c r="E28" t="s">
        <v>1199</v>
      </c>
      <c r="F28" t="s">
        <v>1200</v>
      </c>
      <c r="G28">
        <v>4451</v>
      </c>
      <c r="H28">
        <v>4451</v>
      </c>
      <c r="I28">
        <v>4451</v>
      </c>
      <c r="J28">
        <v>4451</v>
      </c>
      <c r="K28">
        <v>0</v>
      </c>
      <c r="L28" s="2">
        <v>0</v>
      </c>
      <c r="M28" s="2">
        <v>0</v>
      </c>
      <c r="N28" s="2">
        <v>0</v>
      </c>
      <c r="O28" s="2">
        <v>36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36</v>
      </c>
      <c r="V28" t="s">
        <v>30</v>
      </c>
    </row>
    <row r="29" spans="1:22" x14ac:dyDescent="0.25">
      <c r="A29" t="s">
        <v>554</v>
      </c>
      <c r="B29" t="s">
        <v>1289</v>
      </c>
      <c r="C29" t="s">
        <v>1</v>
      </c>
      <c r="D29" t="s">
        <v>440</v>
      </c>
      <c r="E29" t="s">
        <v>1199</v>
      </c>
      <c r="F29" t="s">
        <v>1200</v>
      </c>
      <c r="G29">
        <v>4452</v>
      </c>
      <c r="H29">
        <v>4452</v>
      </c>
      <c r="I29">
        <v>4452</v>
      </c>
      <c r="J29">
        <v>4452</v>
      </c>
      <c r="K29">
        <v>0</v>
      </c>
      <c r="L29" s="2">
        <v>0</v>
      </c>
      <c r="M29" s="2">
        <v>0</v>
      </c>
      <c r="N29" s="2">
        <v>0</v>
      </c>
      <c r="O29" s="2">
        <v>64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64</v>
      </c>
      <c r="V29" t="s">
        <v>30</v>
      </c>
    </row>
    <row r="30" spans="1:22" x14ac:dyDescent="0.25">
      <c r="A30" t="s">
        <v>554</v>
      </c>
      <c r="B30" t="s">
        <v>1289</v>
      </c>
      <c r="C30" t="s">
        <v>1</v>
      </c>
      <c r="D30" t="s">
        <v>440</v>
      </c>
      <c r="E30" t="s">
        <v>1199</v>
      </c>
      <c r="F30" t="s">
        <v>1200</v>
      </c>
      <c r="G30">
        <v>4453</v>
      </c>
      <c r="H30">
        <v>4453</v>
      </c>
      <c r="I30">
        <v>4453</v>
      </c>
      <c r="J30">
        <v>4453</v>
      </c>
      <c r="K30">
        <v>0</v>
      </c>
      <c r="L30" s="2">
        <v>0</v>
      </c>
      <c r="M30" s="2">
        <v>0</v>
      </c>
      <c r="N30" s="2">
        <v>0</v>
      </c>
      <c r="O30" s="2">
        <v>219.22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219.22</v>
      </c>
      <c r="V30" t="s">
        <v>30</v>
      </c>
    </row>
    <row r="31" spans="1:22" x14ac:dyDescent="0.25">
      <c r="A31" t="s">
        <v>554</v>
      </c>
      <c r="B31" t="s">
        <v>1289</v>
      </c>
      <c r="C31" t="s">
        <v>1</v>
      </c>
      <c r="D31" t="s">
        <v>440</v>
      </c>
      <c r="E31" t="s">
        <v>1199</v>
      </c>
      <c r="F31" t="s">
        <v>1200</v>
      </c>
      <c r="G31">
        <v>4454</v>
      </c>
      <c r="H31">
        <v>4454</v>
      </c>
      <c r="I31">
        <v>4454</v>
      </c>
      <c r="J31">
        <v>4454</v>
      </c>
      <c r="K31">
        <v>0</v>
      </c>
      <c r="L31" s="2">
        <v>0</v>
      </c>
      <c r="M31" s="2">
        <v>0</v>
      </c>
      <c r="N31" s="2">
        <v>0</v>
      </c>
      <c r="O31" s="2">
        <v>158.75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158.75</v>
      </c>
      <c r="V31" t="s">
        <v>30</v>
      </c>
    </row>
    <row r="32" spans="1:22" x14ac:dyDescent="0.25">
      <c r="A32" t="s">
        <v>554</v>
      </c>
      <c r="B32" t="s">
        <v>1289</v>
      </c>
      <c r="C32" t="s">
        <v>1</v>
      </c>
      <c r="D32" t="s">
        <v>440</v>
      </c>
      <c r="E32" t="s">
        <v>1199</v>
      </c>
      <c r="F32" t="s">
        <v>1200</v>
      </c>
      <c r="G32">
        <v>4455</v>
      </c>
      <c r="H32">
        <v>4455</v>
      </c>
      <c r="I32">
        <v>4455</v>
      </c>
      <c r="J32">
        <v>4455</v>
      </c>
      <c r="K32">
        <v>0</v>
      </c>
      <c r="L32" s="2">
        <v>0</v>
      </c>
      <c r="M32" s="2">
        <v>0</v>
      </c>
      <c r="N32" s="2">
        <v>0</v>
      </c>
      <c r="O32" s="2">
        <v>22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22</v>
      </c>
      <c r="V32" t="s">
        <v>30</v>
      </c>
    </row>
    <row r="33" spans="1:22" x14ac:dyDescent="0.25">
      <c r="A33" t="s">
        <v>554</v>
      </c>
      <c r="B33" t="s">
        <v>1289</v>
      </c>
      <c r="C33" t="s">
        <v>1</v>
      </c>
      <c r="D33" t="s">
        <v>440</v>
      </c>
      <c r="E33" t="s">
        <v>1199</v>
      </c>
      <c r="F33" t="s">
        <v>1200</v>
      </c>
      <c r="G33">
        <v>4456</v>
      </c>
      <c r="H33">
        <v>4456</v>
      </c>
      <c r="I33">
        <v>4456</v>
      </c>
      <c r="J33">
        <v>4456</v>
      </c>
      <c r="K33">
        <v>0</v>
      </c>
      <c r="L33" s="2">
        <v>0</v>
      </c>
      <c r="M33" s="2">
        <v>0</v>
      </c>
      <c r="N33" s="2">
        <v>0</v>
      </c>
      <c r="O33" s="2">
        <v>201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201</v>
      </c>
      <c r="V33" t="s">
        <v>30</v>
      </c>
    </row>
    <row r="34" spans="1:22" x14ac:dyDescent="0.25">
      <c r="A34" t="s">
        <v>554</v>
      </c>
      <c r="B34" t="s">
        <v>1289</v>
      </c>
      <c r="C34" t="s">
        <v>1</v>
      </c>
      <c r="D34" t="s">
        <v>440</v>
      </c>
      <c r="E34" t="s">
        <v>1199</v>
      </c>
      <c r="F34" t="s">
        <v>1200</v>
      </c>
      <c r="G34">
        <v>4457</v>
      </c>
      <c r="H34">
        <v>4457</v>
      </c>
      <c r="I34">
        <v>4457</v>
      </c>
      <c r="J34">
        <v>4457</v>
      </c>
      <c r="K34">
        <v>0</v>
      </c>
      <c r="L34" s="2">
        <v>0</v>
      </c>
      <c r="M34" s="2">
        <v>0</v>
      </c>
      <c r="N34" s="2">
        <v>0</v>
      </c>
      <c r="O34" s="2">
        <v>15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15</v>
      </c>
      <c r="V34" t="s">
        <v>30</v>
      </c>
    </row>
    <row r="35" spans="1:22" x14ac:dyDescent="0.25">
      <c r="A35" t="s">
        <v>554</v>
      </c>
      <c r="B35" t="s">
        <v>1288</v>
      </c>
      <c r="C35" t="s">
        <v>1</v>
      </c>
      <c r="D35" t="s">
        <v>440</v>
      </c>
      <c r="E35" t="s">
        <v>1199</v>
      </c>
      <c r="F35" t="s">
        <v>1200</v>
      </c>
      <c r="G35">
        <v>4458</v>
      </c>
      <c r="H35">
        <v>4458</v>
      </c>
      <c r="I35">
        <v>4458</v>
      </c>
      <c r="J35">
        <v>4458</v>
      </c>
      <c r="K35">
        <v>0</v>
      </c>
      <c r="L35" s="2">
        <v>0</v>
      </c>
      <c r="M35" s="2">
        <v>0</v>
      </c>
      <c r="N35" s="2">
        <v>0</v>
      </c>
      <c r="O35" s="2">
        <v>298.76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298.76</v>
      </c>
      <c r="V35" t="s">
        <v>30</v>
      </c>
    </row>
    <row r="36" spans="1:22" x14ac:dyDescent="0.25">
      <c r="A36" t="s">
        <v>554</v>
      </c>
      <c r="B36" t="s">
        <v>1288</v>
      </c>
      <c r="C36" t="s">
        <v>1</v>
      </c>
      <c r="D36" t="s">
        <v>440</v>
      </c>
      <c r="E36" t="s">
        <v>1199</v>
      </c>
      <c r="F36" t="s">
        <v>1200</v>
      </c>
      <c r="G36">
        <v>4459</v>
      </c>
      <c r="H36">
        <v>4459</v>
      </c>
      <c r="I36">
        <v>4459</v>
      </c>
      <c r="J36">
        <v>4459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30</v>
      </c>
    </row>
    <row r="37" spans="1:22" x14ac:dyDescent="0.25">
      <c r="A37" t="s">
        <v>554</v>
      </c>
      <c r="B37" t="s">
        <v>1288</v>
      </c>
      <c r="C37" t="s">
        <v>1</v>
      </c>
      <c r="D37" t="s">
        <v>440</v>
      </c>
      <c r="E37" t="s">
        <v>1199</v>
      </c>
      <c r="F37" t="s">
        <v>1200</v>
      </c>
      <c r="G37">
        <v>4460</v>
      </c>
      <c r="H37">
        <v>4460</v>
      </c>
      <c r="I37">
        <v>4460</v>
      </c>
      <c r="J37">
        <v>4460</v>
      </c>
      <c r="K37">
        <v>0</v>
      </c>
      <c r="L37" s="2">
        <v>0</v>
      </c>
      <c r="M37" s="2">
        <v>0</v>
      </c>
      <c r="N37" s="2">
        <v>0</v>
      </c>
      <c r="O37" s="2">
        <v>29.06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29.06</v>
      </c>
      <c r="V37" t="s">
        <v>30</v>
      </c>
    </row>
    <row r="38" spans="1:22" x14ac:dyDescent="0.25">
      <c r="A38" t="s">
        <v>554</v>
      </c>
      <c r="B38" t="s">
        <v>1288</v>
      </c>
      <c r="C38" t="s">
        <v>1</v>
      </c>
      <c r="D38" t="s">
        <v>440</v>
      </c>
      <c r="E38" t="s">
        <v>1199</v>
      </c>
      <c r="F38" t="s">
        <v>1200</v>
      </c>
      <c r="G38">
        <v>4461</v>
      </c>
      <c r="H38">
        <v>4461</v>
      </c>
      <c r="I38">
        <v>4461</v>
      </c>
      <c r="J38">
        <v>4461</v>
      </c>
      <c r="K38">
        <v>0</v>
      </c>
      <c r="L38" s="2">
        <v>0</v>
      </c>
      <c r="M38" s="2">
        <v>0</v>
      </c>
      <c r="N38" s="2">
        <v>0</v>
      </c>
      <c r="O38" s="2">
        <v>161.5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161.5</v>
      </c>
      <c r="V38" t="s">
        <v>30</v>
      </c>
    </row>
    <row r="39" spans="1:22" x14ac:dyDescent="0.25">
      <c r="A39" t="s">
        <v>554</v>
      </c>
      <c r="B39" t="s">
        <v>1288</v>
      </c>
      <c r="C39" t="s">
        <v>1</v>
      </c>
      <c r="D39" t="s">
        <v>440</v>
      </c>
      <c r="E39" t="s">
        <v>1199</v>
      </c>
      <c r="F39" t="s">
        <v>1200</v>
      </c>
      <c r="G39">
        <v>4462</v>
      </c>
      <c r="H39">
        <v>4462</v>
      </c>
      <c r="I39">
        <v>4462</v>
      </c>
      <c r="J39">
        <v>4462</v>
      </c>
      <c r="K39">
        <v>0</v>
      </c>
      <c r="L39" s="2">
        <v>0</v>
      </c>
      <c r="M39" s="2">
        <v>0</v>
      </c>
      <c r="N39" s="2">
        <v>0</v>
      </c>
      <c r="O39" s="2">
        <v>9.15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9.15</v>
      </c>
      <c r="V39" t="s">
        <v>30</v>
      </c>
    </row>
    <row r="40" spans="1:22" x14ac:dyDescent="0.25">
      <c r="A40" t="s">
        <v>554</v>
      </c>
      <c r="B40" t="s">
        <v>1287</v>
      </c>
      <c r="C40" t="s">
        <v>1</v>
      </c>
      <c r="D40" t="s">
        <v>440</v>
      </c>
      <c r="E40" t="s">
        <v>1199</v>
      </c>
      <c r="F40" t="s">
        <v>1200</v>
      </c>
      <c r="G40">
        <v>4463</v>
      </c>
      <c r="H40">
        <v>4463</v>
      </c>
      <c r="I40">
        <v>4463</v>
      </c>
      <c r="J40">
        <v>4463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t="s">
        <v>30</v>
      </c>
    </row>
    <row r="41" spans="1:22" x14ac:dyDescent="0.25">
      <c r="A41" t="s">
        <v>554</v>
      </c>
      <c r="B41" t="s">
        <v>1287</v>
      </c>
      <c r="C41" t="s">
        <v>1</v>
      </c>
      <c r="D41" t="s">
        <v>440</v>
      </c>
      <c r="E41" t="s">
        <v>1199</v>
      </c>
      <c r="F41" t="s">
        <v>1200</v>
      </c>
      <c r="G41">
        <v>4464</v>
      </c>
      <c r="H41">
        <v>4464</v>
      </c>
      <c r="I41">
        <v>4464</v>
      </c>
      <c r="J41">
        <v>4464</v>
      </c>
      <c r="K41">
        <v>0</v>
      </c>
      <c r="L41" s="2">
        <v>0</v>
      </c>
      <c r="M41" s="2">
        <v>0</v>
      </c>
      <c r="N41" s="2">
        <v>0</v>
      </c>
      <c r="O41" s="2">
        <v>115.26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115.26</v>
      </c>
      <c r="V41" t="s">
        <v>30</v>
      </c>
    </row>
    <row r="42" spans="1:22" x14ac:dyDescent="0.25">
      <c r="A42" t="s">
        <v>554</v>
      </c>
      <c r="B42" t="s">
        <v>1287</v>
      </c>
      <c r="C42" t="s">
        <v>1</v>
      </c>
      <c r="D42" t="s">
        <v>440</v>
      </c>
      <c r="E42" t="s">
        <v>1199</v>
      </c>
      <c r="F42" t="s">
        <v>1200</v>
      </c>
      <c r="G42">
        <v>4465</v>
      </c>
      <c r="H42">
        <v>4465</v>
      </c>
      <c r="I42">
        <v>4465</v>
      </c>
      <c r="J42">
        <v>4465</v>
      </c>
      <c r="K42">
        <v>0</v>
      </c>
      <c r="L42" s="2">
        <v>0</v>
      </c>
      <c r="M42" s="2">
        <v>0</v>
      </c>
      <c r="N42" s="2">
        <v>0</v>
      </c>
      <c r="O42" s="2">
        <v>151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151</v>
      </c>
      <c r="V42" t="s">
        <v>30</v>
      </c>
    </row>
    <row r="43" spans="1:22" x14ac:dyDescent="0.25">
      <c r="A43" t="s">
        <v>554</v>
      </c>
      <c r="B43" t="s">
        <v>1287</v>
      </c>
      <c r="C43" t="s">
        <v>1</v>
      </c>
      <c r="D43" t="s">
        <v>440</v>
      </c>
      <c r="E43" t="s">
        <v>1199</v>
      </c>
      <c r="F43" t="s">
        <v>1200</v>
      </c>
      <c r="G43">
        <v>4466</v>
      </c>
      <c r="H43">
        <v>4466</v>
      </c>
      <c r="I43">
        <v>4466</v>
      </c>
      <c r="J43">
        <v>4466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t="s">
        <v>30</v>
      </c>
    </row>
    <row r="44" spans="1:22" x14ac:dyDescent="0.25">
      <c r="A44" t="s">
        <v>554</v>
      </c>
      <c r="B44" t="s">
        <v>1287</v>
      </c>
      <c r="C44" t="s">
        <v>1</v>
      </c>
      <c r="D44" t="s">
        <v>440</v>
      </c>
      <c r="E44" t="s">
        <v>1199</v>
      </c>
      <c r="F44" t="s">
        <v>1200</v>
      </c>
      <c r="G44">
        <v>4467</v>
      </c>
      <c r="H44">
        <v>4467</v>
      </c>
      <c r="I44">
        <v>4467</v>
      </c>
      <c r="J44">
        <v>4467</v>
      </c>
      <c r="K44">
        <v>0</v>
      </c>
      <c r="L44" s="2">
        <v>0</v>
      </c>
      <c r="M44" s="2">
        <v>0</v>
      </c>
      <c r="N44" s="2">
        <v>0</v>
      </c>
      <c r="O44" s="2">
        <v>1618.57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1618.57</v>
      </c>
      <c r="V44" t="s">
        <v>30</v>
      </c>
    </row>
    <row r="45" spans="1:22" x14ac:dyDescent="0.25">
      <c r="A45" t="s">
        <v>554</v>
      </c>
      <c r="B45" t="s">
        <v>1287</v>
      </c>
      <c r="C45" t="s">
        <v>1</v>
      </c>
      <c r="D45" t="s">
        <v>440</v>
      </c>
      <c r="E45" t="s">
        <v>1199</v>
      </c>
      <c r="F45" t="s">
        <v>1200</v>
      </c>
      <c r="G45">
        <v>4468</v>
      </c>
      <c r="H45">
        <v>4468</v>
      </c>
      <c r="I45">
        <v>4468</v>
      </c>
      <c r="J45">
        <v>4468</v>
      </c>
      <c r="K45">
        <v>0</v>
      </c>
      <c r="L45" s="2">
        <v>0</v>
      </c>
      <c r="M45" s="2">
        <v>0</v>
      </c>
      <c r="N45" s="2">
        <v>0</v>
      </c>
      <c r="O45" s="2">
        <v>2416.98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2416.98</v>
      </c>
      <c r="V45" t="s">
        <v>30</v>
      </c>
    </row>
    <row r="46" spans="1:22" x14ac:dyDescent="0.25">
      <c r="A46" t="s">
        <v>554</v>
      </c>
      <c r="B46" t="s">
        <v>1287</v>
      </c>
      <c r="C46" t="s">
        <v>1</v>
      </c>
      <c r="D46" t="s">
        <v>440</v>
      </c>
      <c r="E46" t="s">
        <v>1199</v>
      </c>
      <c r="F46" t="s">
        <v>1200</v>
      </c>
      <c r="G46">
        <v>4469</v>
      </c>
      <c r="H46">
        <v>4469</v>
      </c>
      <c r="I46">
        <v>4469</v>
      </c>
      <c r="J46">
        <v>4469</v>
      </c>
      <c r="K46">
        <v>0</v>
      </c>
      <c r="L46" s="2">
        <v>0</v>
      </c>
      <c r="M46" s="2">
        <v>0</v>
      </c>
      <c r="N46" s="2">
        <v>0</v>
      </c>
      <c r="O46" s="2">
        <v>20.399999999999999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20.399999999999999</v>
      </c>
      <c r="V46" t="s">
        <v>30</v>
      </c>
    </row>
    <row r="47" spans="1:22" x14ac:dyDescent="0.25">
      <c r="A47" t="s">
        <v>554</v>
      </c>
      <c r="B47" t="s">
        <v>1273</v>
      </c>
      <c r="C47" t="s">
        <v>1</v>
      </c>
      <c r="D47" t="s">
        <v>440</v>
      </c>
      <c r="E47" t="s">
        <v>1199</v>
      </c>
      <c r="F47" t="s">
        <v>1200</v>
      </c>
      <c r="G47">
        <v>4470</v>
      </c>
      <c r="H47">
        <v>4470</v>
      </c>
      <c r="I47">
        <v>4470</v>
      </c>
      <c r="J47">
        <v>4470</v>
      </c>
      <c r="K47">
        <v>0</v>
      </c>
      <c r="L47" s="2">
        <v>0</v>
      </c>
      <c r="M47" s="2">
        <v>0</v>
      </c>
      <c r="N47" s="2">
        <v>0</v>
      </c>
      <c r="O47" s="2">
        <v>201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201</v>
      </c>
      <c r="V47" t="s">
        <v>30</v>
      </c>
    </row>
    <row r="48" spans="1:22" x14ac:dyDescent="0.25">
      <c r="A48" t="s">
        <v>554</v>
      </c>
      <c r="B48" t="s">
        <v>1273</v>
      </c>
      <c r="C48" t="s">
        <v>1</v>
      </c>
      <c r="D48" t="s">
        <v>440</v>
      </c>
      <c r="E48" t="s">
        <v>1199</v>
      </c>
      <c r="F48" t="s">
        <v>1200</v>
      </c>
      <c r="G48">
        <v>4471</v>
      </c>
      <c r="H48">
        <v>4471</v>
      </c>
      <c r="I48">
        <v>4471</v>
      </c>
      <c r="J48">
        <v>4471</v>
      </c>
      <c r="K48">
        <v>0</v>
      </c>
      <c r="L48" s="2">
        <v>0</v>
      </c>
      <c r="M48" s="2">
        <v>0</v>
      </c>
      <c r="N48" s="2">
        <v>0</v>
      </c>
      <c r="O48" s="2">
        <v>2.2999999999999998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2.2999999999999998</v>
      </c>
      <c r="V48" t="s">
        <v>30</v>
      </c>
    </row>
    <row r="49" spans="1:22" x14ac:dyDescent="0.25">
      <c r="A49" t="s">
        <v>554</v>
      </c>
      <c r="B49" t="s">
        <v>1273</v>
      </c>
      <c r="C49" t="s">
        <v>1</v>
      </c>
      <c r="D49" t="s">
        <v>440</v>
      </c>
      <c r="E49" t="s">
        <v>1199</v>
      </c>
      <c r="F49" t="s">
        <v>1200</v>
      </c>
      <c r="G49">
        <v>4472</v>
      </c>
      <c r="H49">
        <v>4472</v>
      </c>
      <c r="I49">
        <v>4472</v>
      </c>
      <c r="J49">
        <v>4472</v>
      </c>
      <c r="K49">
        <v>0</v>
      </c>
      <c r="L49" s="2">
        <v>0</v>
      </c>
      <c r="M49" s="2">
        <v>0</v>
      </c>
      <c r="N49" s="2">
        <v>0</v>
      </c>
      <c r="O49" s="2">
        <v>10.85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10.85</v>
      </c>
      <c r="V49" t="s">
        <v>30</v>
      </c>
    </row>
    <row r="50" spans="1:22" x14ac:dyDescent="0.25">
      <c r="A50" t="s">
        <v>554</v>
      </c>
      <c r="B50" t="s">
        <v>1273</v>
      </c>
      <c r="C50" t="s">
        <v>1</v>
      </c>
      <c r="D50" t="s">
        <v>440</v>
      </c>
      <c r="E50" t="s">
        <v>1199</v>
      </c>
      <c r="F50" t="s">
        <v>1200</v>
      </c>
      <c r="G50">
        <v>4473</v>
      </c>
      <c r="H50">
        <v>4473</v>
      </c>
      <c r="I50">
        <v>4473</v>
      </c>
      <c r="J50">
        <v>4473</v>
      </c>
      <c r="K50">
        <v>0</v>
      </c>
      <c r="L50" s="2">
        <v>0</v>
      </c>
      <c r="M50" s="2">
        <v>0</v>
      </c>
      <c r="N50" s="2">
        <v>0</v>
      </c>
      <c r="O50" s="2">
        <v>312.01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312.01</v>
      </c>
      <c r="V50" t="s">
        <v>30</v>
      </c>
    </row>
    <row r="51" spans="1:22" x14ac:dyDescent="0.25">
      <c r="A51" t="s">
        <v>554</v>
      </c>
      <c r="B51" t="s">
        <v>1273</v>
      </c>
      <c r="C51" t="s">
        <v>1</v>
      </c>
      <c r="D51" t="s">
        <v>440</v>
      </c>
      <c r="E51" t="s">
        <v>1199</v>
      </c>
      <c r="F51" t="s">
        <v>1200</v>
      </c>
      <c r="G51">
        <v>4474</v>
      </c>
      <c r="H51">
        <v>4474</v>
      </c>
      <c r="I51">
        <v>4474</v>
      </c>
      <c r="J51">
        <v>4474</v>
      </c>
      <c r="K51">
        <v>0</v>
      </c>
      <c r="L51" s="2">
        <v>0</v>
      </c>
      <c r="M51" s="2">
        <v>0</v>
      </c>
      <c r="N51" s="2">
        <v>0</v>
      </c>
      <c r="O51" s="2">
        <v>102.83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102.83</v>
      </c>
      <c r="V51" t="s">
        <v>30</v>
      </c>
    </row>
    <row r="52" spans="1:22" x14ac:dyDescent="0.25">
      <c r="A52" t="s">
        <v>554</v>
      </c>
      <c r="B52" t="s">
        <v>1286</v>
      </c>
      <c r="C52" t="s">
        <v>1</v>
      </c>
      <c r="D52" t="s">
        <v>440</v>
      </c>
      <c r="E52" t="s">
        <v>1199</v>
      </c>
      <c r="F52" t="s">
        <v>1200</v>
      </c>
      <c r="G52">
        <v>4475</v>
      </c>
      <c r="H52">
        <v>4475</v>
      </c>
      <c r="I52">
        <v>4475</v>
      </c>
      <c r="J52">
        <v>4475</v>
      </c>
      <c r="K52">
        <v>0</v>
      </c>
      <c r="L52" s="2">
        <v>0</v>
      </c>
      <c r="M52" s="2">
        <v>0</v>
      </c>
      <c r="N52" s="2">
        <v>0</v>
      </c>
      <c r="O52" s="2">
        <v>246.5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246.5</v>
      </c>
      <c r="V52" t="s">
        <v>30</v>
      </c>
    </row>
    <row r="53" spans="1:22" x14ac:dyDescent="0.25">
      <c r="A53" t="s">
        <v>554</v>
      </c>
      <c r="B53" t="s">
        <v>1286</v>
      </c>
      <c r="C53" t="s">
        <v>1</v>
      </c>
      <c r="D53" t="s">
        <v>440</v>
      </c>
      <c r="E53" t="s">
        <v>1199</v>
      </c>
      <c r="F53" t="s">
        <v>1200</v>
      </c>
      <c r="G53">
        <v>4476</v>
      </c>
      <c r="H53">
        <v>4476</v>
      </c>
      <c r="I53">
        <v>4476</v>
      </c>
      <c r="J53">
        <v>4476</v>
      </c>
      <c r="K53">
        <v>0</v>
      </c>
      <c r="L53" s="2">
        <v>0</v>
      </c>
      <c r="M53" s="2">
        <v>0</v>
      </c>
      <c r="N53" s="2">
        <v>0</v>
      </c>
      <c r="O53" s="2">
        <v>82.11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82.11</v>
      </c>
      <c r="V53" t="s">
        <v>30</v>
      </c>
    </row>
    <row r="54" spans="1:22" x14ac:dyDescent="0.25">
      <c r="A54" t="s">
        <v>554</v>
      </c>
      <c r="B54" t="s">
        <v>1285</v>
      </c>
      <c r="C54" t="s">
        <v>1</v>
      </c>
      <c r="D54" t="s">
        <v>440</v>
      </c>
      <c r="E54" t="s">
        <v>1199</v>
      </c>
      <c r="F54" t="s">
        <v>1200</v>
      </c>
      <c r="G54">
        <v>4477</v>
      </c>
      <c r="H54">
        <v>4477</v>
      </c>
      <c r="I54">
        <v>4477</v>
      </c>
      <c r="J54">
        <v>4477</v>
      </c>
      <c r="K54">
        <v>0</v>
      </c>
      <c r="L54" s="2">
        <v>0</v>
      </c>
      <c r="M54" s="2">
        <v>0</v>
      </c>
      <c r="N54" s="2">
        <v>0</v>
      </c>
      <c r="O54" s="2">
        <v>501.93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501.93</v>
      </c>
      <c r="V54" t="s">
        <v>30</v>
      </c>
    </row>
    <row r="55" spans="1:22" x14ac:dyDescent="0.25">
      <c r="A55" t="s">
        <v>554</v>
      </c>
      <c r="B55" t="s">
        <v>1285</v>
      </c>
      <c r="C55" t="s">
        <v>1</v>
      </c>
      <c r="D55" t="s">
        <v>440</v>
      </c>
      <c r="E55" t="s">
        <v>1199</v>
      </c>
      <c r="F55" t="s">
        <v>1200</v>
      </c>
      <c r="G55">
        <v>4478</v>
      </c>
      <c r="H55">
        <v>4478</v>
      </c>
      <c r="I55">
        <v>4478</v>
      </c>
      <c r="J55">
        <v>4478</v>
      </c>
      <c r="K55">
        <v>0</v>
      </c>
      <c r="L55" s="2">
        <v>0</v>
      </c>
      <c r="M55" s="2">
        <v>0</v>
      </c>
      <c r="N55" s="2">
        <v>0</v>
      </c>
      <c r="O55" s="2">
        <v>60.89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60.89</v>
      </c>
      <c r="V55" t="s">
        <v>30</v>
      </c>
    </row>
    <row r="56" spans="1:22" x14ac:dyDescent="0.25">
      <c r="A56" t="s">
        <v>554</v>
      </c>
      <c r="B56" t="s">
        <v>1285</v>
      </c>
      <c r="C56" t="s">
        <v>1</v>
      </c>
      <c r="D56" t="s">
        <v>440</v>
      </c>
      <c r="E56" t="s">
        <v>1199</v>
      </c>
      <c r="F56" t="s">
        <v>1200</v>
      </c>
      <c r="G56">
        <v>4479</v>
      </c>
      <c r="H56">
        <v>4479</v>
      </c>
      <c r="I56">
        <v>4479</v>
      </c>
      <c r="J56">
        <v>4479</v>
      </c>
      <c r="K56">
        <v>0</v>
      </c>
      <c r="L56" s="2">
        <v>0</v>
      </c>
      <c r="M56" s="2">
        <v>0</v>
      </c>
      <c r="N56" s="2">
        <v>0</v>
      </c>
      <c r="O56" s="2">
        <v>81.599999999999994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81.599999999999994</v>
      </c>
      <c r="V56" t="s">
        <v>30</v>
      </c>
    </row>
    <row r="57" spans="1:22" x14ac:dyDescent="0.25">
      <c r="A57" t="s">
        <v>554</v>
      </c>
      <c r="B57" t="s">
        <v>1285</v>
      </c>
      <c r="C57" t="s">
        <v>1</v>
      </c>
      <c r="D57" t="s">
        <v>440</v>
      </c>
      <c r="E57" t="s">
        <v>1199</v>
      </c>
      <c r="F57" t="s">
        <v>1200</v>
      </c>
      <c r="G57">
        <v>4480</v>
      </c>
      <c r="H57">
        <v>4480</v>
      </c>
      <c r="I57">
        <v>4480</v>
      </c>
      <c r="J57">
        <v>4480</v>
      </c>
      <c r="K57">
        <v>0</v>
      </c>
      <c r="L57" s="2">
        <v>0</v>
      </c>
      <c r="M57" s="2">
        <v>0</v>
      </c>
      <c r="N57" s="2">
        <v>0</v>
      </c>
      <c r="O57" s="2">
        <v>100.77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100.77</v>
      </c>
      <c r="V57" t="s">
        <v>30</v>
      </c>
    </row>
    <row r="58" spans="1:22" x14ac:dyDescent="0.25">
      <c r="A58" t="s">
        <v>554</v>
      </c>
      <c r="B58" t="s">
        <v>1285</v>
      </c>
      <c r="C58" t="s">
        <v>1</v>
      </c>
      <c r="D58" t="s">
        <v>440</v>
      </c>
      <c r="E58" t="s">
        <v>1199</v>
      </c>
      <c r="F58" t="s">
        <v>1200</v>
      </c>
      <c r="G58">
        <v>4481</v>
      </c>
      <c r="H58">
        <v>4481</v>
      </c>
      <c r="I58">
        <v>4481</v>
      </c>
      <c r="J58">
        <v>4481</v>
      </c>
      <c r="K58">
        <v>0</v>
      </c>
      <c r="L58" s="2">
        <v>0</v>
      </c>
      <c r="M58" s="2">
        <v>0</v>
      </c>
      <c r="N58" s="2">
        <v>0</v>
      </c>
      <c r="O58" s="2">
        <v>149.25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149.25</v>
      </c>
      <c r="V58" t="s">
        <v>30</v>
      </c>
    </row>
    <row r="59" spans="1:22" x14ac:dyDescent="0.25">
      <c r="A59" t="s">
        <v>554</v>
      </c>
      <c r="B59" t="s">
        <v>1285</v>
      </c>
      <c r="C59" t="s">
        <v>1</v>
      </c>
      <c r="D59" t="s">
        <v>440</v>
      </c>
      <c r="E59" t="s">
        <v>1199</v>
      </c>
      <c r="F59" t="s">
        <v>1200</v>
      </c>
      <c r="G59">
        <v>4482</v>
      </c>
      <c r="H59">
        <v>4482</v>
      </c>
      <c r="I59">
        <v>4482</v>
      </c>
      <c r="J59">
        <v>4482</v>
      </c>
      <c r="K59">
        <v>0</v>
      </c>
      <c r="L59" s="2">
        <v>0</v>
      </c>
      <c r="M59" s="2">
        <v>0</v>
      </c>
      <c r="N59" s="2">
        <v>0</v>
      </c>
      <c r="O59" s="2">
        <v>170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170</v>
      </c>
      <c r="V59" t="s">
        <v>30</v>
      </c>
    </row>
    <row r="60" spans="1:22" x14ac:dyDescent="0.25">
      <c r="A60" t="s">
        <v>554</v>
      </c>
      <c r="B60" t="s">
        <v>1285</v>
      </c>
      <c r="C60" t="s">
        <v>1</v>
      </c>
      <c r="D60" t="s">
        <v>440</v>
      </c>
      <c r="E60" t="s">
        <v>1199</v>
      </c>
      <c r="F60" t="s">
        <v>1200</v>
      </c>
      <c r="G60">
        <v>4483</v>
      </c>
      <c r="H60">
        <v>4483</v>
      </c>
      <c r="I60">
        <v>4483</v>
      </c>
      <c r="J60">
        <v>4483</v>
      </c>
      <c r="K60">
        <v>0</v>
      </c>
      <c r="L60" s="2">
        <v>0</v>
      </c>
      <c r="M60" s="2">
        <v>0</v>
      </c>
      <c r="N60" s="2">
        <v>0</v>
      </c>
      <c r="O60" s="2">
        <v>104.66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104.66</v>
      </c>
      <c r="V60" t="s">
        <v>30</v>
      </c>
    </row>
    <row r="61" spans="1:22" x14ac:dyDescent="0.25">
      <c r="A61" t="s">
        <v>554</v>
      </c>
      <c r="B61" t="s">
        <v>1285</v>
      </c>
      <c r="C61" t="s">
        <v>1</v>
      </c>
      <c r="D61" t="s">
        <v>440</v>
      </c>
      <c r="E61" t="s">
        <v>1199</v>
      </c>
      <c r="F61" t="s">
        <v>1200</v>
      </c>
      <c r="G61">
        <v>4484</v>
      </c>
      <c r="H61">
        <v>4484</v>
      </c>
      <c r="I61">
        <v>4484</v>
      </c>
      <c r="J61">
        <v>4484</v>
      </c>
      <c r="K61">
        <v>0</v>
      </c>
      <c r="L61" s="2">
        <v>0</v>
      </c>
      <c r="M61" s="2">
        <v>0</v>
      </c>
      <c r="N61" s="2">
        <v>0</v>
      </c>
      <c r="O61" s="2">
        <v>960.99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960.99</v>
      </c>
      <c r="V61" t="s">
        <v>30</v>
      </c>
    </row>
    <row r="62" spans="1:22" x14ac:dyDescent="0.25">
      <c r="A62" t="s">
        <v>554</v>
      </c>
      <c r="B62" t="s">
        <v>1285</v>
      </c>
      <c r="C62" t="s">
        <v>1</v>
      </c>
      <c r="D62" t="s">
        <v>440</v>
      </c>
      <c r="E62" t="s">
        <v>1199</v>
      </c>
      <c r="F62" t="s">
        <v>1200</v>
      </c>
      <c r="G62">
        <v>4485</v>
      </c>
      <c r="H62">
        <v>4485</v>
      </c>
      <c r="I62">
        <v>4485</v>
      </c>
      <c r="J62">
        <v>4485</v>
      </c>
      <c r="K62">
        <v>0</v>
      </c>
      <c r="L62" s="2">
        <v>0</v>
      </c>
      <c r="M62" s="2">
        <v>0</v>
      </c>
      <c r="N62" s="2">
        <v>0</v>
      </c>
      <c r="O62" s="2">
        <v>120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120</v>
      </c>
      <c r="V62" t="s">
        <v>30</v>
      </c>
    </row>
    <row r="63" spans="1:22" x14ac:dyDescent="0.25">
      <c r="A63" t="s">
        <v>554</v>
      </c>
      <c r="B63" t="s">
        <v>1284</v>
      </c>
      <c r="C63" t="s">
        <v>1</v>
      </c>
      <c r="D63" t="s">
        <v>440</v>
      </c>
      <c r="E63" t="s">
        <v>1199</v>
      </c>
      <c r="F63" t="s">
        <v>1200</v>
      </c>
      <c r="G63">
        <v>4486</v>
      </c>
      <c r="H63">
        <v>4486</v>
      </c>
      <c r="I63">
        <v>4486</v>
      </c>
      <c r="J63">
        <v>4486</v>
      </c>
      <c r="K63">
        <v>0</v>
      </c>
      <c r="L63" s="2">
        <v>0</v>
      </c>
      <c r="M63" s="2">
        <v>0</v>
      </c>
      <c r="N63" s="2">
        <v>0</v>
      </c>
      <c r="O63" s="2">
        <v>1416.78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1416.78</v>
      </c>
      <c r="V63" t="s">
        <v>30</v>
      </c>
    </row>
    <row r="64" spans="1:22" x14ac:dyDescent="0.25">
      <c r="A64" t="s">
        <v>554</v>
      </c>
      <c r="B64" t="s">
        <v>1284</v>
      </c>
      <c r="C64" t="s">
        <v>1</v>
      </c>
      <c r="D64" t="s">
        <v>440</v>
      </c>
      <c r="E64" t="s">
        <v>1199</v>
      </c>
      <c r="F64" t="s">
        <v>1200</v>
      </c>
      <c r="G64">
        <v>4487</v>
      </c>
      <c r="H64">
        <v>4487</v>
      </c>
      <c r="I64">
        <v>4487</v>
      </c>
      <c r="J64">
        <v>4487</v>
      </c>
      <c r="K64">
        <v>0</v>
      </c>
      <c r="L64" s="2">
        <v>0</v>
      </c>
      <c r="M64" s="2">
        <v>0</v>
      </c>
      <c r="N64" s="2">
        <v>0</v>
      </c>
      <c r="O64" s="2">
        <v>1384.25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1384.25</v>
      </c>
      <c r="V64" t="s">
        <v>30</v>
      </c>
    </row>
    <row r="65" spans="1:22" x14ac:dyDescent="0.25">
      <c r="A65" t="s">
        <v>554</v>
      </c>
      <c r="B65" t="s">
        <v>1284</v>
      </c>
      <c r="C65" t="s">
        <v>1</v>
      </c>
      <c r="D65" t="s">
        <v>440</v>
      </c>
      <c r="E65" t="s">
        <v>1199</v>
      </c>
      <c r="F65" t="s">
        <v>1200</v>
      </c>
      <c r="G65">
        <v>4488</v>
      </c>
      <c r="H65">
        <v>4488</v>
      </c>
      <c r="I65">
        <v>4488</v>
      </c>
      <c r="J65">
        <v>4488</v>
      </c>
      <c r="K65">
        <v>0</v>
      </c>
      <c r="L65" s="2">
        <v>0</v>
      </c>
      <c r="M65" s="2">
        <v>0</v>
      </c>
      <c r="N65" s="2">
        <v>0</v>
      </c>
      <c r="O65" s="2">
        <v>17.600000000000001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17.600000000000001</v>
      </c>
      <c r="V65" t="s">
        <v>30</v>
      </c>
    </row>
    <row r="66" spans="1:22" x14ac:dyDescent="0.25">
      <c r="A66" t="s">
        <v>554</v>
      </c>
      <c r="B66" t="s">
        <v>1272</v>
      </c>
      <c r="C66" t="s">
        <v>1</v>
      </c>
      <c r="D66" t="s">
        <v>440</v>
      </c>
      <c r="E66" t="s">
        <v>1199</v>
      </c>
      <c r="F66" t="s">
        <v>1200</v>
      </c>
      <c r="G66">
        <v>4489</v>
      </c>
      <c r="H66">
        <v>4489</v>
      </c>
      <c r="I66">
        <v>4489</v>
      </c>
      <c r="J66">
        <v>4489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t="s">
        <v>30</v>
      </c>
    </row>
    <row r="67" spans="1:22" x14ac:dyDescent="0.25">
      <c r="A67" t="s">
        <v>554</v>
      </c>
      <c r="B67" t="s">
        <v>1272</v>
      </c>
      <c r="C67" t="s">
        <v>1</v>
      </c>
      <c r="D67" t="s">
        <v>440</v>
      </c>
      <c r="E67" t="s">
        <v>1199</v>
      </c>
      <c r="F67" t="s">
        <v>1200</v>
      </c>
      <c r="G67">
        <v>4490</v>
      </c>
      <c r="H67">
        <v>4490</v>
      </c>
      <c r="I67">
        <v>4490</v>
      </c>
      <c r="J67">
        <v>4490</v>
      </c>
      <c r="K67">
        <v>0</v>
      </c>
      <c r="L67" s="2">
        <v>0</v>
      </c>
      <c r="M67" s="2">
        <v>0</v>
      </c>
      <c r="N67" s="2">
        <v>0</v>
      </c>
      <c r="O67" s="2">
        <v>83.74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83.74</v>
      </c>
      <c r="V67" t="s">
        <v>30</v>
      </c>
    </row>
    <row r="68" spans="1:22" x14ac:dyDescent="0.25">
      <c r="A68" t="s">
        <v>554</v>
      </c>
      <c r="B68" t="s">
        <v>1272</v>
      </c>
      <c r="C68" t="s">
        <v>1</v>
      </c>
      <c r="D68" t="s">
        <v>440</v>
      </c>
      <c r="E68" t="s">
        <v>1199</v>
      </c>
      <c r="F68" t="s">
        <v>1200</v>
      </c>
      <c r="G68">
        <v>4491</v>
      </c>
      <c r="H68">
        <v>4491</v>
      </c>
      <c r="I68">
        <v>4491</v>
      </c>
      <c r="J68">
        <v>4491</v>
      </c>
      <c r="K68">
        <v>0</v>
      </c>
      <c r="L68" s="2">
        <v>0</v>
      </c>
      <c r="M68" s="2">
        <v>0</v>
      </c>
      <c r="N68" s="2">
        <v>0</v>
      </c>
      <c r="O68" s="2">
        <v>498.73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498.73</v>
      </c>
      <c r="V68" t="s">
        <v>30</v>
      </c>
    </row>
    <row r="69" spans="1:22" x14ac:dyDescent="0.25">
      <c r="A69" t="s">
        <v>554</v>
      </c>
      <c r="B69" t="s">
        <v>1272</v>
      </c>
      <c r="C69" t="s">
        <v>1</v>
      </c>
      <c r="D69" t="s">
        <v>440</v>
      </c>
      <c r="E69" t="s">
        <v>1199</v>
      </c>
      <c r="F69" t="s">
        <v>1200</v>
      </c>
      <c r="G69">
        <v>4492</v>
      </c>
      <c r="H69">
        <v>4492</v>
      </c>
      <c r="I69">
        <v>4492</v>
      </c>
      <c r="J69">
        <v>4492</v>
      </c>
      <c r="K69">
        <v>0</v>
      </c>
      <c r="L69" s="2">
        <v>0</v>
      </c>
      <c r="M69" s="2">
        <v>0</v>
      </c>
      <c r="N69" s="2">
        <v>0</v>
      </c>
      <c r="O69" s="2">
        <v>176.51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176.51</v>
      </c>
      <c r="V69" t="s">
        <v>30</v>
      </c>
    </row>
    <row r="70" spans="1:22" x14ac:dyDescent="0.25">
      <c r="A70" t="s">
        <v>554</v>
      </c>
      <c r="B70" t="s">
        <v>1272</v>
      </c>
      <c r="C70" t="s">
        <v>1</v>
      </c>
      <c r="D70" t="s">
        <v>440</v>
      </c>
      <c r="E70" t="s">
        <v>1199</v>
      </c>
      <c r="F70" t="s">
        <v>1200</v>
      </c>
      <c r="G70">
        <v>4493</v>
      </c>
      <c r="H70">
        <v>4493</v>
      </c>
      <c r="I70">
        <v>4493</v>
      </c>
      <c r="J70">
        <v>4493</v>
      </c>
      <c r="K70">
        <v>0</v>
      </c>
      <c r="L70" s="2">
        <v>0</v>
      </c>
      <c r="M70" s="2">
        <v>0</v>
      </c>
      <c r="N70" s="2">
        <v>0</v>
      </c>
      <c r="O70" s="2">
        <v>1324.79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1324.79</v>
      </c>
      <c r="V70" t="s">
        <v>30</v>
      </c>
    </row>
    <row r="71" spans="1:22" x14ac:dyDescent="0.25">
      <c r="A71" t="s">
        <v>554</v>
      </c>
      <c r="B71" t="s">
        <v>1272</v>
      </c>
      <c r="C71" t="s">
        <v>1</v>
      </c>
      <c r="D71" t="s">
        <v>440</v>
      </c>
      <c r="E71" t="s">
        <v>1199</v>
      </c>
      <c r="F71" t="s">
        <v>1200</v>
      </c>
      <c r="G71">
        <v>4494</v>
      </c>
      <c r="H71">
        <v>4494</v>
      </c>
      <c r="I71">
        <v>4494</v>
      </c>
      <c r="J71">
        <v>4494</v>
      </c>
      <c r="K71">
        <v>0</v>
      </c>
      <c r="L71" s="2">
        <v>0</v>
      </c>
      <c r="M71" s="2">
        <v>0</v>
      </c>
      <c r="N71" s="2">
        <v>0</v>
      </c>
      <c r="O71" s="2">
        <v>467.83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467.83</v>
      </c>
      <c r="V71" t="s">
        <v>30</v>
      </c>
    </row>
    <row r="72" spans="1:22" x14ac:dyDescent="0.25">
      <c r="A72" t="s">
        <v>554</v>
      </c>
      <c r="B72" t="s">
        <v>1283</v>
      </c>
      <c r="C72" t="s">
        <v>1</v>
      </c>
      <c r="D72" t="s">
        <v>440</v>
      </c>
      <c r="E72" t="s">
        <v>1199</v>
      </c>
      <c r="F72" t="s">
        <v>1200</v>
      </c>
      <c r="G72">
        <v>4495</v>
      </c>
      <c r="H72">
        <v>4495</v>
      </c>
      <c r="I72">
        <v>4495</v>
      </c>
      <c r="J72">
        <v>4495</v>
      </c>
      <c r="K72">
        <v>0</v>
      </c>
      <c r="L72" s="2">
        <v>0</v>
      </c>
      <c r="M72" s="2">
        <v>0</v>
      </c>
      <c r="N72" s="2">
        <v>0</v>
      </c>
      <c r="O72" s="2">
        <v>12.58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12.58</v>
      </c>
      <c r="V72" t="s">
        <v>30</v>
      </c>
    </row>
    <row r="73" spans="1:22" x14ac:dyDescent="0.25">
      <c r="A73" t="s">
        <v>554</v>
      </c>
      <c r="B73" t="s">
        <v>1283</v>
      </c>
      <c r="C73" t="s">
        <v>1</v>
      </c>
      <c r="D73" t="s">
        <v>440</v>
      </c>
      <c r="E73" t="s">
        <v>1199</v>
      </c>
      <c r="F73" t="s">
        <v>1200</v>
      </c>
      <c r="G73">
        <v>4496</v>
      </c>
      <c r="H73">
        <v>4496</v>
      </c>
      <c r="I73">
        <v>4496</v>
      </c>
      <c r="J73">
        <v>4496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t="s">
        <v>30</v>
      </c>
    </row>
    <row r="74" spans="1:22" x14ac:dyDescent="0.25">
      <c r="A74" t="s">
        <v>554</v>
      </c>
      <c r="B74" t="s">
        <v>1283</v>
      </c>
      <c r="C74" t="s">
        <v>1</v>
      </c>
      <c r="D74" t="s">
        <v>440</v>
      </c>
      <c r="E74" t="s">
        <v>1199</v>
      </c>
      <c r="F74" t="s">
        <v>1200</v>
      </c>
      <c r="G74">
        <v>4497</v>
      </c>
      <c r="H74">
        <v>4497</v>
      </c>
      <c r="I74">
        <v>4497</v>
      </c>
      <c r="J74">
        <v>4497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t="s">
        <v>30</v>
      </c>
    </row>
    <row r="75" spans="1:22" x14ac:dyDescent="0.25">
      <c r="A75" t="s">
        <v>554</v>
      </c>
      <c r="B75" t="s">
        <v>1283</v>
      </c>
      <c r="C75" t="s">
        <v>1</v>
      </c>
      <c r="D75" t="s">
        <v>440</v>
      </c>
      <c r="E75" t="s">
        <v>1199</v>
      </c>
      <c r="F75" t="s">
        <v>1200</v>
      </c>
      <c r="G75">
        <v>4498</v>
      </c>
      <c r="H75">
        <v>4498</v>
      </c>
      <c r="I75">
        <v>4498</v>
      </c>
      <c r="J75">
        <v>4498</v>
      </c>
      <c r="K75">
        <v>0</v>
      </c>
      <c r="L75" s="2">
        <v>0</v>
      </c>
      <c r="M75" s="2">
        <v>0</v>
      </c>
      <c r="N75" s="2">
        <v>0</v>
      </c>
      <c r="O75" s="2">
        <v>820.12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820.12</v>
      </c>
      <c r="V75" t="s">
        <v>30</v>
      </c>
    </row>
    <row r="76" spans="1:22" x14ac:dyDescent="0.25">
      <c r="A76" t="s">
        <v>554</v>
      </c>
      <c r="B76" t="s">
        <v>1282</v>
      </c>
      <c r="C76" t="s">
        <v>1</v>
      </c>
      <c r="D76" t="s">
        <v>440</v>
      </c>
      <c r="E76" t="s">
        <v>1199</v>
      </c>
      <c r="F76" t="s">
        <v>1200</v>
      </c>
      <c r="G76">
        <v>4499</v>
      </c>
      <c r="H76">
        <v>4499</v>
      </c>
      <c r="I76">
        <v>4499</v>
      </c>
      <c r="J76">
        <v>4499</v>
      </c>
      <c r="K76">
        <v>0</v>
      </c>
      <c r="L76" s="2">
        <v>0</v>
      </c>
      <c r="M76" s="2">
        <v>0</v>
      </c>
      <c r="N76" s="2">
        <v>0</v>
      </c>
      <c r="O76" s="2">
        <v>89.76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89.76</v>
      </c>
      <c r="V76" t="s">
        <v>30</v>
      </c>
    </row>
    <row r="77" spans="1:22" x14ac:dyDescent="0.25">
      <c r="A77" t="s">
        <v>554</v>
      </c>
      <c r="B77" t="s">
        <v>1281</v>
      </c>
      <c r="C77" t="s">
        <v>1</v>
      </c>
      <c r="D77" t="s">
        <v>440</v>
      </c>
      <c r="E77" t="s">
        <v>1199</v>
      </c>
      <c r="F77" t="s">
        <v>1200</v>
      </c>
      <c r="G77">
        <v>4500</v>
      </c>
      <c r="H77">
        <v>4500</v>
      </c>
      <c r="I77">
        <v>4500</v>
      </c>
      <c r="J77">
        <v>4500</v>
      </c>
      <c r="K77">
        <v>0</v>
      </c>
      <c r="L77" s="2">
        <v>0</v>
      </c>
      <c r="M77" s="2">
        <v>0</v>
      </c>
      <c r="N77" s="2">
        <v>0</v>
      </c>
      <c r="O77" s="2">
        <v>364.76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364.76</v>
      </c>
      <c r="V77" t="s">
        <v>30</v>
      </c>
    </row>
    <row r="78" spans="1:22" x14ac:dyDescent="0.25">
      <c r="A78" t="s">
        <v>554</v>
      </c>
      <c r="B78" t="s">
        <v>1281</v>
      </c>
      <c r="C78" t="s">
        <v>1</v>
      </c>
      <c r="D78" t="s">
        <v>440</v>
      </c>
      <c r="E78" t="s">
        <v>1199</v>
      </c>
      <c r="F78" t="s">
        <v>1200</v>
      </c>
      <c r="G78">
        <v>4501</v>
      </c>
      <c r="H78">
        <v>4501</v>
      </c>
      <c r="I78">
        <v>4501</v>
      </c>
      <c r="J78">
        <v>4501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t="s">
        <v>30</v>
      </c>
    </row>
    <row r="79" spans="1:22" x14ac:dyDescent="0.25">
      <c r="A79" t="s">
        <v>554</v>
      </c>
      <c r="B79" t="s">
        <v>1281</v>
      </c>
      <c r="C79" t="s">
        <v>1</v>
      </c>
      <c r="D79" t="s">
        <v>440</v>
      </c>
      <c r="E79" t="s">
        <v>1199</v>
      </c>
      <c r="F79" t="s">
        <v>1200</v>
      </c>
      <c r="G79">
        <v>4502</v>
      </c>
      <c r="H79">
        <v>4502</v>
      </c>
      <c r="I79">
        <v>4502</v>
      </c>
      <c r="J79">
        <v>4502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t="s">
        <v>30</v>
      </c>
    </row>
    <row r="80" spans="1:22" x14ac:dyDescent="0.25">
      <c r="A80" t="s">
        <v>554</v>
      </c>
      <c r="B80" s="5">
        <v>45007</v>
      </c>
      <c r="C80" t="s">
        <v>1</v>
      </c>
      <c r="D80" t="s">
        <v>440</v>
      </c>
      <c r="E80" t="s">
        <v>1199</v>
      </c>
      <c r="F80" t="s">
        <v>1200</v>
      </c>
      <c r="G80">
        <v>4503</v>
      </c>
      <c r="H80">
        <v>4503</v>
      </c>
      <c r="I80">
        <v>4503</v>
      </c>
      <c r="J80">
        <v>4503</v>
      </c>
      <c r="K80">
        <v>0</v>
      </c>
      <c r="L80" s="2">
        <v>0</v>
      </c>
      <c r="M80" s="2">
        <v>0</v>
      </c>
      <c r="N80" s="2">
        <v>0</v>
      </c>
      <c r="O80" s="2">
        <v>3.22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3.22</v>
      </c>
      <c r="V80" t="s">
        <v>30</v>
      </c>
    </row>
    <row r="81" spans="1:22" x14ac:dyDescent="0.25">
      <c r="A81" t="s">
        <v>554</v>
      </c>
      <c r="B81" s="5">
        <v>45007</v>
      </c>
      <c r="C81" t="s">
        <v>1</v>
      </c>
      <c r="D81" t="s">
        <v>440</v>
      </c>
      <c r="E81" t="s">
        <v>1199</v>
      </c>
      <c r="F81" t="s">
        <v>1200</v>
      </c>
      <c r="G81">
        <v>4504</v>
      </c>
      <c r="H81">
        <v>4504</v>
      </c>
      <c r="I81">
        <v>4504</v>
      </c>
      <c r="J81">
        <v>4504</v>
      </c>
      <c r="K81">
        <v>0</v>
      </c>
      <c r="L81" s="2">
        <v>0</v>
      </c>
      <c r="M81" s="2">
        <v>0</v>
      </c>
      <c r="N81" s="2">
        <v>0</v>
      </c>
      <c r="O81" s="2">
        <v>184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184</v>
      </c>
      <c r="V81" t="s">
        <v>30</v>
      </c>
    </row>
    <row r="82" spans="1:22" x14ac:dyDescent="0.25">
      <c r="A82" t="s">
        <v>554</v>
      </c>
      <c r="B82" s="5">
        <v>45007</v>
      </c>
      <c r="C82" t="s">
        <v>1</v>
      </c>
      <c r="D82" t="s">
        <v>440</v>
      </c>
      <c r="E82" t="s">
        <v>1199</v>
      </c>
      <c r="F82" t="s">
        <v>1200</v>
      </c>
      <c r="G82">
        <v>4505</v>
      </c>
      <c r="H82">
        <v>4505</v>
      </c>
      <c r="I82">
        <v>4505</v>
      </c>
      <c r="J82">
        <v>4505</v>
      </c>
      <c r="K82">
        <v>0</v>
      </c>
      <c r="L82" s="2">
        <v>0</v>
      </c>
      <c r="M82" s="2">
        <v>0</v>
      </c>
      <c r="N82" s="2">
        <v>0</v>
      </c>
      <c r="O82" s="2">
        <v>37.94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37.94</v>
      </c>
      <c r="V82" t="s">
        <v>30</v>
      </c>
    </row>
    <row r="83" spans="1:22" x14ac:dyDescent="0.25">
      <c r="A83" t="s">
        <v>554</v>
      </c>
      <c r="B83" s="5">
        <v>45007</v>
      </c>
      <c r="C83" t="s">
        <v>1</v>
      </c>
      <c r="D83" t="s">
        <v>440</v>
      </c>
      <c r="E83" t="s">
        <v>1199</v>
      </c>
      <c r="F83" t="s">
        <v>1200</v>
      </c>
      <c r="G83">
        <v>4506</v>
      </c>
      <c r="H83">
        <v>4506</v>
      </c>
      <c r="I83">
        <v>4506</v>
      </c>
      <c r="J83">
        <v>4506</v>
      </c>
      <c r="K83">
        <v>0</v>
      </c>
      <c r="L83" s="2">
        <v>0</v>
      </c>
      <c r="M83" s="2">
        <v>0</v>
      </c>
      <c r="N83" s="2">
        <v>0</v>
      </c>
      <c r="O83" s="2">
        <v>110.26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110.26</v>
      </c>
      <c r="V83" t="s">
        <v>30</v>
      </c>
    </row>
    <row r="84" spans="1:22" x14ac:dyDescent="0.25">
      <c r="A84" t="s">
        <v>554</v>
      </c>
      <c r="B84" s="5">
        <v>45007</v>
      </c>
      <c r="C84" t="s">
        <v>1</v>
      </c>
      <c r="D84" t="s">
        <v>440</v>
      </c>
      <c r="E84" t="s">
        <v>1199</v>
      </c>
      <c r="F84" t="s">
        <v>1200</v>
      </c>
      <c r="G84">
        <v>4507</v>
      </c>
      <c r="H84">
        <v>4507</v>
      </c>
      <c r="I84">
        <v>4507</v>
      </c>
      <c r="J84">
        <v>4507</v>
      </c>
      <c r="K84">
        <v>0</v>
      </c>
      <c r="L84" s="2">
        <v>0</v>
      </c>
      <c r="M84" s="2">
        <v>0</v>
      </c>
      <c r="N84" s="2">
        <v>0</v>
      </c>
      <c r="O84" s="2">
        <v>63.53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63.53</v>
      </c>
      <c r="V84" t="s">
        <v>30</v>
      </c>
    </row>
    <row r="85" spans="1:22" x14ac:dyDescent="0.25">
      <c r="A85" t="s">
        <v>554</v>
      </c>
      <c r="B85" s="5">
        <v>45007</v>
      </c>
      <c r="C85" t="s">
        <v>1</v>
      </c>
      <c r="D85" t="s">
        <v>440</v>
      </c>
      <c r="E85" t="s">
        <v>1199</v>
      </c>
      <c r="F85" t="s">
        <v>1200</v>
      </c>
      <c r="G85">
        <v>4508</v>
      </c>
      <c r="H85">
        <v>4508</v>
      </c>
      <c r="I85">
        <v>4508</v>
      </c>
      <c r="J85">
        <v>4508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t="s">
        <v>30</v>
      </c>
    </row>
    <row r="86" spans="1:22" x14ac:dyDescent="0.25">
      <c r="A86" t="s">
        <v>554</v>
      </c>
      <c r="B86" s="5">
        <v>45007</v>
      </c>
      <c r="C86" t="s">
        <v>1</v>
      </c>
      <c r="D86" t="s">
        <v>440</v>
      </c>
      <c r="E86" t="s">
        <v>1199</v>
      </c>
      <c r="F86" t="s">
        <v>1200</v>
      </c>
      <c r="G86">
        <v>4509</v>
      </c>
      <c r="H86">
        <v>4509</v>
      </c>
      <c r="I86">
        <v>4509</v>
      </c>
      <c r="J86">
        <v>4509</v>
      </c>
      <c r="K86">
        <v>0</v>
      </c>
      <c r="L86" s="2">
        <v>0</v>
      </c>
      <c r="M86" s="2">
        <v>0</v>
      </c>
      <c r="N86" s="2">
        <v>0</v>
      </c>
      <c r="O86" s="2">
        <v>2175.25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2175.25</v>
      </c>
      <c r="V86" t="s">
        <v>30</v>
      </c>
    </row>
    <row r="87" spans="1:22" x14ac:dyDescent="0.25">
      <c r="A87" t="s">
        <v>554</v>
      </c>
      <c r="B87" t="s">
        <v>1280</v>
      </c>
      <c r="C87" t="s">
        <v>1</v>
      </c>
      <c r="D87" t="s">
        <v>440</v>
      </c>
      <c r="E87" t="s">
        <v>1199</v>
      </c>
      <c r="F87" t="s">
        <v>1200</v>
      </c>
      <c r="G87">
        <v>4510</v>
      </c>
      <c r="H87">
        <v>4510</v>
      </c>
      <c r="I87">
        <v>4510</v>
      </c>
      <c r="J87">
        <v>4510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t="s">
        <v>30</v>
      </c>
    </row>
    <row r="88" spans="1:22" x14ac:dyDescent="0.25">
      <c r="A88" t="s">
        <v>554</v>
      </c>
      <c r="B88" t="s">
        <v>1280</v>
      </c>
      <c r="C88" t="s">
        <v>1</v>
      </c>
      <c r="D88" t="s">
        <v>440</v>
      </c>
      <c r="E88" t="s">
        <v>1199</v>
      </c>
      <c r="F88" t="s">
        <v>1200</v>
      </c>
      <c r="G88">
        <v>4511</v>
      </c>
      <c r="H88">
        <v>4511</v>
      </c>
      <c r="I88">
        <v>4511</v>
      </c>
      <c r="J88">
        <v>4511</v>
      </c>
      <c r="K88">
        <v>0</v>
      </c>
      <c r="L88" s="2">
        <v>0</v>
      </c>
      <c r="M88" s="2">
        <v>0</v>
      </c>
      <c r="N88" s="2">
        <v>0</v>
      </c>
      <c r="O88" s="2">
        <v>708.01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708.01</v>
      </c>
      <c r="V88" t="s">
        <v>30</v>
      </c>
    </row>
    <row r="89" spans="1:22" x14ac:dyDescent="0.25">
      <c r="A89" t="s">
        <v>554</v>
      </c>
      <c r="B89" t="s">
        <v>1279</v>
      </c>
      <c r="C89" t="s">
        <v>1</v>
      </c>
      <c r="D89" t="s">
        <v>440</v>
      </c>
      <c r="E89" t="s">
        <v>1199</v>
      </c>
      <c r="F89" t="s">
        <v>1200</v>
      </c>
      <c r="G89">
        <v>4512</v>
      </c>
      <c r="H89">
        <v>4512</v>
      </c>
      <c r="I89">
        <v>4512</v>
      </c>
      <c r="J89">
        <v>4512</v>
      </c>
      <c r="K89">
        <v>0</v>
      </c>
      <c r="L89" s="2">
        <v>0</v>
      </c>
      <c r="M89" s="2">
        <v>0</v>
      </c>
      <c r="N89" s="2">
        <v>0</v>
      </c>
      <c r="O89" s="2">
        <v>120.46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120.46</v>
      </c>
      <c r="V89" t="s">
        <v>30</v>
      </c>
    </row>
    <row r="90" spans="1:22" x14ac:dyDescent="0.25">
      <c r="A90" t="s">
        <v>554</v>
      </c>
      <c r="B90" t="s">
        <v>1279</v>
      </c>
      <c r="C90" t="s">
        <v>1</v>
      </c>
      <c r="D90" t="s">
        <v>440</v>
      </c>
      <c r="E90" t="s">
        <v>1199</v>
      </c>
      <c r="F90" t="s">
        <v>1200</v>
      </c>
      <c r="G90">
        <v>4513</v>
      </c>
      <c r="H90">
        <v>4513</v>
      </c>
      <c r="I90">
        <v>4513</v>
      </c>
      <c r="J90">
        <v>4513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t="s">
        <v>30</v>
      </c>
    </row>
    <row r="91" spans="1:22" x14ac:dyDescent="0.25">
      <c r="A91" t="s">
        <v>554</v>
      </c>
      <c r="B91" t="s">
        <v>1279</v>
      </c>
      <c r="C91" t="s">
        <v>1</v>
      </c>
      <c r="D91" t="s">
        <v>440</v>
      </c>
      <c r="E91" t="s">
        <v>1199</v>
      </c>
      <c r="F91" t="s">
        <v>1200</v>
      </c>
      <c r="G91">
        <v>4514</v>
      </c>
      <c r="H91">
        <v>4514</v>
      </c>
      <c r="I91">
        <v>4514</v>
      </c>
      <c r="J91">
        <v>4514</v>
      </c>
      <c r="K91">
        <v>0</v>
      </c>
      <c r="L91" s="2">
        <v>0</v>
      </c>
      <c r="M91" s="2">
        <v>0</v>
      </c>
      <c r="N91" s="2">
        <v>0</v>
      </c>
      <c r="O91" s="2">
        <v>80.59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80.59</v>
      </c>
      <c r="V91" t="s">
        <v>30</v>
      </c>
    </row>
    <row r="92" spans="1:22" x14ac:dyDescent="0.25">
      <c r="A92" t="s">
        <v>554</v>
      </c>
      <c r="B92" t="s">
        <v>1279</v>
      </c>
      <c r="C92" t="s">
        <v>1</v>
      </c>
      <c r="D92" t="s">
        <v>440</v>
      </c>
      <c r="E92" t="s">
        <v>1199</v>
      </c>
      <c r="F92" t="s">
        <v>1200</v>
      </c>
      <c r="G92">
        <v>4515</v>
      </c>
      <c r="H92">
        <v>4515</v>
      </c>
      <c r="I92">
        <v>4515</v>
      </c>
      <c r="J92">
        <v>4515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t="s">
        <v>30</v>
      </c>
    </row>
    <row r="93" spans="1:22" x14ac:dyDescent="0.25">
      <c r="A93" t="s">
        <v>554</v>
      </c>
      <c r="B93" t="s">
        <v>1279</v>
      </c>
      <c r="C93" t="s">
        <v>1</v>
      </c>
      <c r="D93" t="s">
        <v>440</v>
      </c>
      <c r="E93" t="s">
        <v>1199</v>
      </c>
      <c r="F93" t="s">
        <v>1200</v>
      </c>
      <c r="G93">
        <v>4516</v>
      </c>
      <c r="H93">
        <v>4516</v>
      </c>
      <c r="I93">
        <v>4516</v>
      </c>
      <c r="J93">
        <v>4516</v>
      </c>
      <c r="K93">
        <v>0</v>
      </c>
      <c r="L93" s="2">
        <v>0</v>
      </c>
      <c r="M93" s="2">
        <v>0</v>
      </c>
      <c r="N93" s="2">
        <v>0</v>
      </c>
      <c r="O93" s="2">
        <v>1324.79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1324.79</v>
      </c>
      <c r="V93" t="s">
        <v>30</v>
      </c>
    </row>
    <row r="94" spans="1:22" x14ac:dyDescent="0.25">
      <c r="A94" t="s">
        <v>554</v>
      </c>
      <c r="B94" t="s">
        <v>1279</v>
      </c>
      <c r="C94" t="s">
        <v>1</v>
      </c>
      <c r="D94" t="s">
        <v>440</v>
      </c>
      <c r="E94" t="s">
        <v>1199</v>
      </c>
      <c r="F94" t="s">
        <v>1200</v>
      </c>
      <c r="G94">
        <v>4515</v>
      </c>
      <c r="H94">
        <v>4515</v>
      </c>
      <c r="I94">
        <v>4515</v>
      </c>
      <c r="J94">
        <v>4515</v>
      </c>
      <c r="K94">
        <v>0</v>
      </c>
      <c r="L94" s="2">
        <v>0</v>
      </c>
      <c r="M94" s="2">
        <v>0</v>
      </c>
      <c r="N94" s="2">
        <v>0</v>
      </c>
      <c r="O94" s="2">
        <v>80.59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80.59</v>
      </c>
      <c r="V94" t="s">
        <v>30</v>
      </c>
    </row>
    <row r="95" spans="1:22" x14ac:dyDescent="0.25">
      <c r="A95" t="s">
        <v>554</v>
      </c>
      <c r="B95" t="s">
        <v>1271</v>
      </c>
      <c r="C95" t="s">
        <v>1</v>
      </c>
      <c r="D95" t="s">
        <v>440</v>
      </c>
      <c r="E95" t="s">
        <v>1199</v>
      </c>
      <c r="F95" t="s">
        <v>1200</v>
      </c>
      <c r="G95">
        <v>4517</v>
      </c>
      <c r="H95">
        <v>4517</v>
      </c>
      <c r="I95">
        <v>4517</v>
      </c>
      <c r="J95">
        <v>4517</v>
      </c>
      <c r="K95">
        <v>0</v>
      </c>
      <c r="L95" s="2">
        <v>0</v>
      </c>
      <c r="M95" s="2">
        <v>0</v>
      </c>
      <c r="N95" s="2">
        <v>0</v>
      </c>
      <c r="O95" s="2">
        <v>195.99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195.99</v>
      </c>
      <c r="V95" t="s">
        <v>30</v>
      </c>
    </row>
    <row r="96" spans="1:22" x14ac:dyDescent="0.25">
      <c r="A96" t="s">
        <v>554</v>
      </c>
      <c r="B96" t="s">
        <v>1271</v>
      </c>
      <c r="C96" t="s">
        <v>1</v>
      </c>
      <c r="D96" t="s">
        <v>440</v>
      </c>
      <c r="E96" t="s">
        <v>1199</v>
      </c>
      <c r="F96" t="s">
        <v>1200</v>
      </c>
      <c r="G96">
        <v>4518</v>
      </c>
      <c r="H96">
        <v>4518</v>
      </c>
      <c r="I96">
        <v>4518</v>
      </c>
      <c r="J96">
        <v>4518</v>
      </c>
      <c r="K96">
        <v>0</v>
      </c>
      <c r="L96" s="2">
        <v>0</v>
      </c>
      <c r="M96" s="2">
        <v>0</v>
      </c>
      <c r="N96" s="2">
        <v>0</v>
      </c>
      <c r="O96" s="2">
        <v>170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170</v>
      </c>
      <c r="V96" t="s">
        <v>30</v>
      </c>
    </row>
    <row r="97" spans="1:22" x14ac:dyDescent="0.25">
      <c r="A97" t="s">
        <v>554</v>
      </c>
      <c r="B97" t="s">
        <v>1271</v>
      </c>
      <c r="C97" t="s">
        <v>1</v>
      </c>
      <c r="D97" t="s">
        <v>440</v>
      </c>
      <c r="E97" t="s">
        <v>1199</v>
      </c>
      <c r="F97" t="s">
        <v>1200</v>
      </c>
      <c r="G97">
        <v>4519</v>
      </c>
      <c r="H97">
        <v>4519</v>
      </c>
      <c r="I97">
        <v>4519</v>
      </c>
      <c r="J97">
        <v>4519</v>
      </c>
      <c r="K97">
        <v>0</v>
      </c>
      <c r="L97" s="2">
        <v>0</v>
      </c>
      <c r="M97" s="2">
        <v>0</v>
      </c>
      <c r="N97" s="2">
        <v>0</v>
      </c>
      <c r="O97" s="2">
        <v>16.73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16.73</v>
      </c>
      <c r="V97" t="s">
        <v>30</v>
      </c>
    </row>
    <row r="98" spans="1:22" x14ac:dyDescent="0.25">
      <c r="A98" t="s">
        <v>554</v>
      </c>
      <c r="B98" t="s">
        <v>1271</v>
      </c>
      <c r="C98" t="s">
        <v>1</v>
      </c>
      <c r="D98" t="s">
        <v>440</v>
      </c>
      <c r="E98" t="s">
        <v>1199</v>
      </c>
      <c r="F98" t="s">
        <v>1200</v>
      </c>
      <c r="G98">
        <v>4520</v>
      </c>
      <c r="H98">
        <v>4520</v>
      </c>
      <c r="I98">
        <v>4520</v>
      </c>
      <c r="J98">
        <v>4520</v>
      </c>
      <c r="K98">
        <v>0</v>
      </c>
      <c r="L98" s="2">
        <v>0</v>
      </c>
      <c r="M98" s="2">
        <v>0</v>
      </c>
      <c r="N98" s="2">
        <v>0</v>
      </c>
      <c r="O98" s="2">
        <v>44.56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44.56</v>
      </c>
      <c r="V98" t="s">
        <v>30</v>
      </c>
    </row>
    <row r="99" spans="1:22" x14ac:dyDescent="0.25">
      <c r="A99" t="s">
        <v>554</v>
      </c>
      <c r="B99" t="s">
        <v>1271</v>
      </c>
      <c r="C99" t="s">
        <v>1</v>
      </c>
      <c r="D99" t="s">
        <v>440</v>
      </c>
      <c r="E99" t="s">
        <v>1199</v>
      </c>
      <c r="F99" t="s">
        <v>1200</v>
      </c>
      <c r="G99">
        <v>4521</v>
      </c>
      <c r="H99">
        <v>4521</v>
      </c>
      <c r="I99">
        <v>4521</v>
      </c>
      <c r="J99">
        <v>4521</v>
      </c>
      <c r="K99">
        <v>0</v>
      </c>
      <c r="L99" s="2">
        <v>0</v>
      </c>
      <c r="M99" s="2">
        <v>0</v>
      </c>
      <c r="N99" s="2">
        <v>0</v>
      </c>
      <c r="O99" s="2">
        <v>11.2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11.2</v>
      </c>
      <c r="V99" t="s">
        <v>30</v>
      </c>
    </row>
    <row r="100" spans="1:22" x14ac:dyDescent="0.25">
      <c r="A100" t="s">
        <v>554</v>
      </c>
      <c r="B100" t="s">
        <v>1271</v>
      </c>
      <c r="C100" t="s">
        <v>1</v>
      </c>
      <c r="D100" t="s">
        <v>440</v>
      </c>
      <c r="E100" t="s">
        <v>1199</v>
      </c>
      <c r="F100" t="s">
        <v>1200</v>
      </c>
      <c r="G100">
        <v>4522</v>
      </c>
      <c r="H100">
        <v>4522</v>
      </c>
      <c r="I100">
        <v>4522</v>
      </c>
      <c r="J100">
        <v>4522</v>
      </c>
      <c r="K100">
        <v>0</v>
      </c>
      <c r="L100" s="2">
        <v>0</v>
      </c>
      <c r="M100" s="2">
        <v>0</v>
      </c>
      <c r="N100" s="2">
        <v>0</v>
      </c>
      <c r="O100" s="2">
        <v>224.01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224.01</v>
      </c>
      <c r="V100" t="s">
        <v>30</v>
      </c>
    </row>
    <row r="101" spans="1:22" x14ac:dyDescent="0.25">
      <c r="A101" t="s">
        <v>554</v>
      </c>
      <c r="B101" t="s">
        <v>1271</v>
      </c>
      <c r="C101" t="s">
        <v>1</v>
      </c>
      <c r="D101" t="s">
        <v>440</v>
      </c>
      <c r="E101" t="s">
        <v>1199</v>
      </c>
      <c r="F101" t="s">
        <v>1200</v>
      </c>
      <c r="G101">
        <v>4523</v>
      </c>
      <c r="H101">
        <v>4523</v>
      </c>
      <c r="I101">
        <v>4523</v>
      </c>
      <c r="J101">
        <v>4523</v>
      </c>
      <c r="K101">
        <v>0</v>
      </c>
      <c r="L101" s="2">
        <v>0</v>
      </c>
      <c r="M101" s="2">
        <v>0</v>
      </c>
      <c r="N101" s="2">
        <v>0</v>
      </c>
      <c r="O101" s="2">
        <v>706.25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706.25</v>
      </c>
      <c r="V101" t="s">
        <v>30</v>
      </c>
    </row>
    <row r="102" spans="1:22" x14ac:dyDescent="0.25">
      <c r="A102" t="s">
        <v>554</v>
      </c>
      <c r="B102" t="s">
        <v>1278</v>
      </c>
      <c r="C102" t="s">
        <v>1</v>
      </c>
      <c r="D102" t="s">
        <v>440</v>
      </c>
      <c r="E102" t="s">
        <v>1199</v>
      </c>
      <c r="F102" t="s">
        <v>1200</v>
      </c>
      <c r="G102">
        <v>4524</v>
      </c>
      <c r="H102">
        <v>4524</v>
      </c>
      <c r="I102">
        <v>4524</v>
      </c>
      <c r="J102">
        <v>4524</v>
      </c>
      <c r="K102">
        <v>0</v>
      </c>
      <c r="L102" s="2">
        <v>0</v>
      </c>
      <c r="M102" s="2">
        <v>0</v>
      </c>
      <c r="N102" s="2">
        <v>0</v>
      </c>
      <c r="O102" s="2">
        <v>1111.83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1111.83</v>
      </c>
      <c r="V102" t="s">
        <v>30</v>
      </c>
    </row>
    <row r="103" spans="1:22" x14ac:dyDescent="0.25">
      <c r="A103" t="s">
        <v>554</v>
      </c>
      <c r="B103" t="s">
        <v>1278</v>
      </c>
      <c r="C103" t="s">
        <v>1</v>
      </c>
      <c r="D103" t="s">
        <v>440</v>
      </c>
      <c r="E103" t="s">
        <v>1199</v>
      </c>
      <c r="F103" t="s">
        <v>1200</v>
      </c>
      <c r="G103">
        <v>4525</v>
      </c>
      <c r="H103">
        <v>4525</v>
      </c>
      <c r="I103">
        <v>4525</v>
      </c>
      <c r="J103">
        <v>4525</v>
      </c>
      <c r="K103">
        <v>0</v>
      </c>
      <c r="L103" s="2">
        <v>0</v>
      </c>
      <c r="M103" s="2">
        <v>0</v>
      </c>
      <c r="N103" s="2">
        <v>0</v>
      </c>
      <c r="O103" s="2">
        <v>13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13</v>
      </c>
      <c r="V103" t="s">
        <v>30</v>
      </c>
    </row>
    <row r="104" spans="1:22" x14ac:dyDescent="0.25">
      <c r="A104" t="s">
        <v>554</v>
      </c>
      <c r="B104" t="s">
        <v>1278</v>
      </c>
      <c r="C104" t="s">
        <v>1</v>
      </c>
      <c r="D104" t="s">
        <v>440</v>
      </c>
      <c r="E104" t="s">
        <v>1199</v>
      </c>
      <c r="F104" t="s">
        <v>1200</v>
      </c>
      <c r="G104">
        <v>4526</v>
      </c>
      <c r="H104">
        <v>4526</v>
      </c>
      <c r="I104">
        <v>4526</v>
      </c>
      <c r="J104">
        <v>4526</v>
      </c>
      <c r="K104">
        <v>0</v>
      </c>
      <c r="L104" s="2">
        <v>0</v>
      </c>
      <c r="M104" s="2">
        <v>0</v>
      </c>
      <c r="N104" s="2">
        <v>0</v>
      </c>
      <c r="O104" s="2">
        <v>160.69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160.69</v>
      </c>
      <c r="V104" t="s">
        <v>30</v>
      </c>
    </row>
    <row r="105" spans="1:22" x14ac:dyDescent="0.25">
      <c r="A105" t="s">
        <v>554</v>
      </c>
      <c r="B105" t="s">
        <v>1278</v>
      </c>
      <c r="C105" t="s">
        <v>1</v>
      </c>
      <c r="D105" t="s">
        <v>440</v>
      </c>
      <c r="E105" t="s">
        <v>1199</v>
      </c>
      <c r="F105" t="s">
        <v>1200</v>
      </c>
      <c r="G105">
        <v>4527</v>
      </c>
      <c r="H105">
        <v>4527</v>
      </c>
      <c r="I105">
        <v>4527</v>
      </c>
      <c r="J105">
        <v>4527</v>
      </c>
      <c r="K105">
        <v>0</v>
      </c>
      <c r="L105" s="2">
        <v>0</v>
      </c>
      <c r="M105" s="2">
        <v>0</v>
      </c>
      <c r="N105" s="2">
        <v>0</v>
      </c>
      <c r="O105" s="2">
        <v>109.65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109.65</v>
      </c>
      <c r="V105" t="s">
        <v>30</v>
      </c>
    </row>
    <row r="106" spans="1:22" x14ac:dyDescent="0.25">
      <c r="A106" t="s">
        <v>554</v>
      </c>
      <c r="B106" t="s">
        <v>1278</v>
      </c>
      <c r="C106" t="s">
        <v>1</v>
      </c>
      <c r="D106" t="s">
        <v>440</v>
      </c>
      <c r="E106" t="s">
        <v>1199</v>
      </c>
      <c r="F106" t="s">
        <v>1200</v>
      </c>
      <c r="G106">
        <v>4528</v>
      </c>
      <c r="H106">
        <v>4528</v>
      </c>
      <c r="I106">
        <v>4528</v>
      </c>
      <c r="J106">
        <v>4528</v>
      </c>
      <c r="K106">
        <v>0</v>
      </c>
      <c r="L106" s="2">
        <v>0</v>
      </c>
      <c r="M106" s="2">
        <v>0</v>
      </c>
      <c r="N106" s="2">
        <v>0</v>
      </c>
      <c r="O106" s="2">
        <v>35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35</v>
      </c>
      <c r="V106" t="s">
        <v>30</v>
      </c>
    </row>
    <row r="107" spans="1:22" x14ac:dyDescent="0.25">
      <c r="A107" t="s">
        <v>554</v>
      </c>
      <c r="B107" t="s">
        <v>1277</v>
      </c>
      <c r="C107" t="s">
        <v>1</v>
      </c>
      <c r="D107" t="s">
        <v>440</v>
      </c>
      <c r="E107" t="s">
        <v>1199</v>
      </c>
      <c r="F107" t="s">
        <v>1200</v>
      </c>
      <c r="G107">
        <v>4529</v>
      </c>
      <c r="H107">
        <v>4529</v>
      </c>
      <c r="I107">
        <v>4529</v>
      </c>
      <c r="J107">
        <v>4529</v>
      </c>
      <c r="K107">
        <v>0</v>
      </c>
      <c r="L107" s="2">
        <v>0</v>
      </c>
      <c r="M107" s="2">
        <v>0</v>
      </c>
      <c r="N107" s="2">
        <v>0</v>
      </c>
      <c r="O107" s="2">
        <v>35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35</v>
      </c>
      <c r="V107" t="s">
        <v>30</v>
      </c>
    </row>
    <row r="108" spans="1:22" x14ac:dyDescent="0.25">
      <c r="A108" t="s">
        <v>554</v>
      </c>
      <c r="B108" t="s">
        <v>1277</v>
      </c>
      <c r="C108" t="s">
        <v>1</v>
      </c>
      <c r="D108" t="s">
        <v>440</v>
      </c>
      <c r="E108" t="s">
        <v>1199</v>
      </c>
      <c r="F108" t="s">
        <v>1200</v>
      </c>
      <c r="G108">
        <v>4530</v>
      </c>
      <c r="H108">
        <v>4530</v>
      </c>
      <c r="I108">
        <v>4530</v>
      </c>
      <c r="J108">
        <v>4530</v>
      </c>
      <c r="K108">
        <v>0</v>
      </c>
      <c r="L108" s="2">
        <v>0</v>
      </c>
      <c r="M108" s="2">
        <v>0</v>
      </c>
      <c r="N108" s="2">
        <v>0</v>
      </c>
      <c r="O108" s="2">
        <v>1076.53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1076.53</v>
      </c>
      <c r="V108" t="s">
        <v>30</v>
      </c>
    </row>
    <row r="109" spans="1:22" x14ac:dyDescent="0.25">
      <c r="A109" t="s">
        <v>554</v>
      </c>
      <c r="B109" t="s">
        <v>1277</v>
      </c>
      <c r="C109" t="s">
        <v>1</v>
      </c>
      <c r="D109" t="s">
        <v>440</v>
      </c>
      <c r="E109" t="s">
        <v>1199</v>
      </c>
      <c r="F109" t="s">
        <v>1200</v>
      </c>
      <c r="G109">
        <v>4531</v>
      </c>
      <c r="H109">
        <v>4531</v>
      </c>
      <c r="I109">
        <v>4531</v>
      </c>
      <c r="J109">
        <v>4531</v>
      </c>
      <c r="K109">
        <v>0</v>
      </c>
      <c r="L109" s="2">
        <v>0</v>
      </c>
      <c r="M109" s="2">
        <v>0</v>
      </c>
      <c r="N109" s="2">
        <v>0</v>
      </c>
      <c r="O109" s="2">
        <v>68.760000000000005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68.760000000000005</v>
      </c>
      <c r="V109" t="s">
        <v>30</v>
      </c>
    </row>
    <row r="110" spans="1:22" x14ac:dyDescent="0.25">
      <c r="A110" t="s">
        <v>554</v>
      </c>
      <c r="B110" t="s">
        <v>1277</v>
      </c>
      <c r="C110" t="s">
        <v>1</v>
      </c>
      <c r="D110" t="s">
        <v>440</v>
      </c>
      <c r="E110" t="s">
        <v>1199</v>
      </c>
      <c r="F110" t="s">
        <v>1200</v>
      </c>
      <c r="G110">
        <v>4532</v>
      </c>
      <c r="H110">
        <v>4532</v>
      </c>
      <c r="I110">
        <v>4532</v>
      </c>
      <c r="J110">
        <v>4532</v>
      </c>
      <c r="K110">
        <v>0</v>
      </c>
      <c r="L110" s="2">
        <v>0</v>
      </c>
      <c r="M110" s="2">
        <v>0</v>
      </c>
      <c r="N110" s="2">
        <v>0</v>
      </c>
      <c r="O110" s="2">
        <v>92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92</v>
      </c>
      <c r="V110" t="s">
        <v>30</v>
      </c>
    </row>
    <row r="111" spans="1:22" x14ac:dyDescent="0.25">
      <c r="A111" t="s">
        <v>554</v>
      </c>
      <c r="B111" t="s">
        <v>1277</v>
      </c>
      <c r="C111" t="s">
        <v>1</v>
      </c>
      <c r="D111" t="s">
        <v>440</v>
      </c>
      <c r="E111" t="s">
        <v>1199</v>
      </c>
      <c r="F111" t="s">
        <v>1200</v>
      </c>
      <c r="G111">
        <v>4533</v>
      </c>
      <c r="H111">
        <v>4533</v>
      </c>
      <c r="I111">
        <v>4533</v>
      </c>
      <c r="J111">
        <v>4533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t="s">
        <v>30</v>
      </c>
    </row>
    <row r="112" spans="1:22" x14ac:dyDescent="0.25">
      <c r="A112" t="s">
        <v>554</v>
      </c>
      <c r="B112" t="s">
        <v>1277</v>
      </c>
      <c r="C112" t="s">
        <v>1</v>
      </c>
      <c r="D112" t="s">
        <v>440</v>
      </c>
      <c r="E112" t="s">
        <v>1199</v>
      </c>
      <c r="F112" t="s">
        <v>1200</v>
      </c>
      <c r="G112">
        <v>4534</v>
      </c>
      <c r="H112">
        <v>4534</v>
      </c>
      <c r="I112">
        <v>4534</v>
      </c>
      <c r="J112">
        <v>4534</v>
      </c>
      <c r="K112">
        <v>0</v>
      </c>
      <c r="L112" s="2">
        <v>0</v>
      </c>
      <c r="M112" s="2">
        <v>0</v>
      </c>
      <c r="N112" s="2">
        <v>0</v>
      </c>
      <c r="O112" s="2">
        <v>1103.5999999999999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1103.5999999999999</v>
      </c>
      <c r="V112" t="s">
        <v>30</v>
      </c>
    </row>
    <row r="113" spans="1:22" x14ac:dyDescent="0.25">
      <c r="A113" t="s">
        <v>554</v>
      </c>
      <c r="B113" t="s">
        <v>1277</v>
      </c>
      <c r="C113" t="s">
        <v>1</v>
      </c>
      <c r="D113" t="s">
        <v>440</v>
      </c>
      <c r="E113" t="s">
        <v>1199</v>
      </c>
      <c r="F113" t="s">
        <v>1200</v>
      </c>
      <c r="G113">
        <v>4535</v>
      </c>
      <c r="H113">
        <v>4535</v>
      </c>
      <c r="I113">
        <v>4535</v>
      </c>
      <c r="J113">
        <v>4535</v>
      </c>
      <c r="K113">
        <v>0</v>
      </c>
      <c r="L113" s="2">
        <v>0</v>
      </c>
      <c r="M113" s="2">
        <v>0</v>
      </c>
      <c r="N113" s="2">
        <v>0</v>
      </c>
      <c r="O113" s="2">
        <v>40.799999999999997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40.799999999999997</v>
      </c>
      <c r="V113" t="s">
        <v>30</v>
      </c>
    </row>
    <row r="114" spans="1:22" x14ac:dyDescent="0.25">
      <c r="A114" t="s">
        <v>554</v>
      </c>
      <c r="B114" t="s">
        <v>1276</v>
      </c>
      <c r="C114" t="s">
        <v>1</v>
      </c>
      <c r="D114" t="s">
        <v>440</v>
      </c>
      <c r="E114" t="s">
        <v>1199</v>
      </c>
      <c r="F114" t="s">
        <v>1200</v>
      </c>
      <c r="G114">
        <v>4536</v>
      </c>
      <c r="H114">
        <v>4536</v>
      </c>
      <c r="I114">
        <v>4536</v>
      </c>
      <c r="J114">
        <v>4536</v>
      </c>
      <c r="K114">
        <v>0</v>
      </c>
      <c r="L114" s="2">
        <v>0</v>
      </c>
      <c r="M114" s="2">
        <v>0</v>
      </c>
      <c r="N114" s="2">
        <v>0</v>
      </c>
      <c r="O114" s="2">
        <v>255.65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255.65</v>
      </c>
      <c r="V114" t="s">
        <v>30</v>
      </c>
    </row>
    <row r="115" spans="1:22" x14ac:dyDescent="0.25">
      <c r="A115" t="s">
        <v>554</v>
      </c>
      <c r="B115" t="s">
        <v>1276</v>
      </c>
      <c r="C115" t="s">
        <v>1</v>
      </c>
      <c r="D115" t="s">
        <v>440</v>
      </c>
      <c r="E115" t="s">
        <v>1199</v>
      </c>
      <c r="F115" t="s">
        <v>1200</v>
      </c>
      <c r="G115">
        <v>4537</v>
      </c>
      <c r="H115">
        <v>4537</v>
      </c>
      <c r="I115">
        <v>4537</v>
      </c>
      <c r="J115">
        <v>4537</v>
      </c>
      <c r="K115">
        <v>0</v>
      </c>
      <c r="L115" s="2">
        <v>0</v>
      </c>
      <c r="M115" s="2">
        <v>0</v>
      </c>
      <c r="N115" s="2">
        <v>0</v>
      </c>
      <c r="O115" s="2">
        <v>27.12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27.12</v>
      </c>
      <c r="V115" t="s">
        <v>30</v>
      </c>
    </row>
    <row r="116" spans="1:22" x14ac:dyDescent="0.25">
      <c r="A116" t="s">
        <v>554</v>
      </c>
      <c r="B116" t="s">
        <v>1276</v>
      </c>
      <c r="C116" t="s">
        <v>1</v>
      </c>
      <c r="D116" t="s">
        <v>440</v>
      </c>
      <c r="E116" t="s">
        <v>1199</v>
      </c>
      <c r="F116" t="s">
        <v>1200</v>
      </c>
      <c r="G116">
        <v>4538</v>
      </c>
      <c r="H116">
        <v>4538</v>
      </c>
      <c r="I116">
        <v>4538</v>
      </c>
      <c r="J116">
        <v>4538</v>
      </c>
      <c r="K116">
        <v>0</v>
      </c>
      <c r="L116" s="2">
        <v>0</v>
      </c>
      <c r="M116" s="2">
        <v>0</v>
      </c>
      <c r="N116" s="2">
        <v>0</v>
      </c>
      <c r="O116" s="2">
        <v>85.04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85.04</v>
      </c>
      <c r="V116" t="s">
        <v>30</v>
      </c>
    </row>
    <row r="117" spans="1:22" x14ac:dyDescent="0.25">
      <c r="A117" t="s">
        <v>554</v>
      </c>
      <c r="B117" t="s">
        <v>1276</v>
      </c>
      <c r="C117" t="s">
        <v>1</v>
      </c>
      <c r="D117" t="s">
        <v>440</v>
      </c>
      <c r="E117" t="s">
        <v>1199</v>
      </c>
      <c r="F117" t="s">
        <v>1200</v>
      </c>
      <c r="G117">
        <v>4539</v>
      </c>
      <c r="H117">
        <v>4539</v>
      </c>
      <c r="I117">
        <v>4539</v>
      </c>
      <c r="J117">
        <v>4539</v>
      </c>
      <c r="K117">
        <v>0</v>
      </c>
      <c r="L117" s="2">
        <v>0</v>
      </c>
      <c r="M117" s="2">
        <v>0</v>
      </c>
      <c r="N117" s="2">
        <v>0</v>
      </c>
      <c r="O117" s="2">
        <v>6.78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6.78</v>
      </c>
      <c r="V117" t="s">
        <v>30</v>
      </c>
    </row>
    <row r="118" spans="1:22" x14ac:dyDescent="0.25">
      <c r="A118" t="s">
        <v>554</v>
      </c>
      <c r="B118" t="s">
        <v>1276</v>
      </c>
      <c r="C118" t="s">
        <v>1</v>
      </c>
      <c r="D118" t="s">
        <v>440</v>
      </c>
      <c r="E118" t="s">
        <v>1199</v>
      </c>
      <c r="F118" t="s">
        <v>1200</v>
      </c>
      <c r="G118">
        <v>4540</v>
      </c>
      <c r="H118">
        <v>4540</v>
      </c>
      <c r="I118">
        <v>4540</v>
      </c>
      <c r="J118">
        <v>4540</v>
      </c>
      <c r="K118">
        <v>0</v>
      </c>
      <c r="L118" s="2">
        <v>0</v>
      </c>
      <c r="M118" s="2">
        <v>0</v>
      </c>
      <c r="N118" s="2">
        <v>0</v>
      </c>
      <c r="O118" s="2">
        <v>306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306</v>
      </c>
      <c r="V118" t="s">
        <v>30</v>
      </c>
    </row>
    <row r="119" spans="1:22" x14ac:dyDescent="0.25">
      <c r="A119" t="s">
        <v>554</v>
      </c>
      <c r="B119" t="s">
        <v>1276</v>
      </c>
      <c r="C119" t="s">
        <v>1</v>
      </c>
      <c r="D119" t="s">
        <v>440</v>
      </c>
      <c r="E119" t="s">
        <v>1199</v>
      </c>
      <c r="F119" t="s">
        <v>1200</v>
      </c>
      <c r="G119">
        <v>4541</v>
      </c>
      <c r="H119">
        <v>4541</v>
      </c>
      <c r="I119">
        <v>4541</v>
      </c>
      <c r="J119">
        <v>4541</v>
      </c>
      <c r="K119">
        <v>0</v>
      </c>
      <c r="L119" s="2">
        <v>0</v>
      </c>
      <c r="M119" s="2">
        <v>0</v>
      </c>
      <c r="N119" s="2">
        <v>0</v>
      </c>
      <c r="O119" s="2">
        <v>212.5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212.5</v>
      </c>
      <c r="V119" t="s">
        <v>30</v>
      </c>
    </row>
    <row r="120" spans="1:22" x14ac:dyDescent="0.25">
      <c r="A120" t="s">
        <v>554</v>
      </c>
      <c r="B120" t="s">
        <v>1276</v>
      </c>
      <c r="C120" t="s">
        <v>1</v>
      </c>
      <c r="D120" t="s">
        <v>440</v>
      </c>
      <c r="E120" t="s">
        <v>1199</v>
      </c>
      <c r="F120" t="s">
        <v>1200</v>
      </c>
      <c r="G120">
        <v>4542</v>
      </c>
      <c r="H120">
        <v>4542</v>
      </c>
      <c r="I120">
        <v>4542</v>
      </c>
      <c r="J120">
        <v>4542</v>
      </c>
      <c r="K120">
        <v>0</v>
      </c>
      <c r="L120" s="2">
        <v>0</v>
      </c>
      <c r="M120" s="2">
        <v>0</v>
      </c>
      <c r="N120" s="2">
        <v>0</v>
      </c>
      <c r="O120" s="2">
        <v>109.65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109.65</v>
      </c>
      <c r="V120" t="s">
        <v>30</v>
      </c>
    </row>
    <row r="121" spans="1:22" x14ac:dyDescent="0.25">
      <c r="A121" t="s">
        <v>554</v>
      </c>
      <c r="B121" t="s">
        <v>1275</v>
      </c>
      <c r="C121" t="s">
        <v>1</v>
      </c>
      <c r="D121" t="s">
        <v>440</v>
      </c>
      <c r="E121" t="s">
        <v>1199</v>
      </c>
      <c r="F121" t="s">
        <v>1200</v>
      </c>
      <c r="G121">
        <v>4543</v>
      </c>
      <c r="H121">
        <v>4543</v>
      </c>
      <c r="I121">
        <v>4543</v>
      </c>
      <c r="J121">
        <v>4543</v>
      </c>
      <c r="K121">
        <v>0</v>
      </c>
      <c r="L121" s="2">
        <v>0</v>
      </c>
      <c r="M121" s="2">
        <v>0</v>
      </c>
      <c r="N121" s="2">
        <v>0</v>
      </c>
      <c r="O121" s="2">
        <v>130.54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130.54</v>
      </c>
      <c r="V121" t="s">
        <v>30</v>
      </c>
    </row>
    <row r="122" spans="1:22" x14ac:dyDescent="0.25">
      <c r="A122" t="s">
        <v>554</v>
      </c>
      <c r="B122" t="s">
        <v>1275</v>
      </c>
      <c r="C122" t="s">
        <v>1</v>
      </c>
      <c r="D122" t="s">
        <v>440</v>
      </c>
      <c r="E122" t="s">
        <v>1199</v>
      </c>
      <c r="F122" t="s">
        <v>1200</v>
      </c>
      <c r="G122">
        <v>4544</v>
      </c>
      <c r="H122">
        <v>4544</v>
      </c>
      <c r="I122">
        <v>4544</v>
      </c>
      <c r="J122">
        <v>4544</v>
      </c>
      <c r="K122">
        <v>0</v>
      </c>
      <c r="L122" s="2">
        <v>0</v>
      </c>
      <c r="M122" s="2">
        <v>0</v>
      </c>
      <c r="N122" s="2">
        <v>0</v>
      </c>
      <c r="O122" s="2">
        <v>382.05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382.05</v>
      </c>
      <c r="V122" t="s">
        <v>30</v>
      </c>
    </row>
    <row r="123" spans="1:22" x14ac:dyDescent="0.25">
      <c r="A123" t="s">
        <v>554</v>
      </c>
      <c r="B123" t="s">
        <v>1274</v>
      </c>
      <c r="C123" t="s">
        <v>1</v>
      </c>
      <c r="D123" t="s">
        <v>1193</v>
      </c>
      <c r="E123" t="s">
        <v>1186</v>
      </c>
      <c r="F123" t="s">
        <v>1198</v>
      </c>
      <c r="G123">
        <v>275</v>
      </c>
      <c r="H123">
        <v>275</v>
      </c>
      <c r="I123">
        <v>275</v>
      </c>
      <c r="J123">
        <v>275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221</v>
      </c>
      <c r="Q123" s="2">
        <v>0</v>
      </c>
      <c r="R123" s="2">
        <v>0</v>
      </c>
      <c r="S123" s="2">
        <v>0</v>
      </c>
      <c r="T123" s="2">
        <v>0</v>
      </c>
      <c r="U123" s="2">
        <v>221</v>
      </c>
      <c r="V123" t="s">
        <v>30</v>
      </c>
    </row>
    <row r="124" spans="1:22" x14ac:dyDescent="0.25">
      <c r="A124" t="s">
        <v>554</v>
      </c>
      <c r="B124" t="s">
        <v>1273</v>
      </c>
      <c r="C124" t="s">
        <v>1</v>
      </c>
      <c r="D124" t="s">
        <v>1193</v>
      </c>
      <c r="E124" t="s">
        <v>1186</v>
      </c>
      <c r="F124" t="s">
        <v>1198</v>
      </c>
      <c r="G124">
        <v>276</v>
      </c>
      <c r="H124">
        <v>276</v>
      </c>
      <c r="I124">
        <v>276</v>
      </c>
      <c r="J124">
        <v>276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t="s">
        <v>30</v>
      </c>
    </row>
    <row r="125" spans="1:22" x14ac:dyDescent="0.25">
      <c r="A125" t="s">
        <v>554</v>
      </c>
      <c r="B125" t="s">
        <v>1272</v>
      </c>
      <c r="C125" t="s">
        <v>1</v>
      </c>
      <c r="D125" t="s">
        <v>1193</v>
      </c>
      <c r="E125" t="s">
        <v>1186</v>
      </c>
      <c r="F125" t="s">
        <v>1198</v>
      </c>
      <c r="G125">
        <v>277</v>
      </c>
      <c r="H125">
        <v>277</v>
      </c>
      <c r="I125">
        <v>277</v>
      </c>
      <c r="J125">
        <v>277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200.84</v>
      </c>
      <c r="Q125" s="2">
        <v>0</v>
      </c>
      <c r="R125" s="2">
        <v>0</v>
      </c>
      <c r="S125" s="2">
        <v>0</v>
      </c>
      <c r="T125" s="2">
        <v>0</v>
      </c>
      <c r="U125" s="2">
        <v>200.84</v>
      </c>
      <c r="V125" t="s">
        <v>30</v>
      </c>
    </row>
    <row r="126" spans="1:22" x14ac:dyDescent="0.25">
      <c r="A126" t="s">
        <v>554</v>
      </c>
      <c r="B126" t="s">
        <v>1271</v>
      </c>
      <c r="C126" t="s">
        <v>1</v>
      </c>
      <c r="D126" t="s">
        <v>1193</v>
      </c>
      <c r="E126" t="s">
        <v>1186</v>
      </c>
      <c r="F126" t="s">
        <v>1198</v>
      </c>
      <c r="G126">
        <v>278</v>
      </c>
      <c r="H126">
        <v>278</v>
      </c>
      <c r="I126">
        <v>278</v>
      </c>
      <c r="J126">
        <v>278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669.03</v>
      </c>
      <c r="Q126" s="2">
        <v>0</v>
      </c>
      <c r="R126" s="2">
        <v>0</v>
      </c>
      <c r="S126" s="2">
        <v>0</v>
      </c>
      <c r="T126" s="2">
        <v>0</v>
      </c>
      <c r="U126" s="2">
        <v>669.03</v>
      </c>
      <c r="V126" t="s">
        <v>30</v>
      </c>
    </row>
    <row r="127" spans="1:22" x14ac:dyDescent="0.25">
      <c r="A127" t="s">
        <v>554</v>
      </c>
      <c r="B127" t="s">
        <v>1271</v>
      </c>
      <c r="C127" t="s">
        <v>1</v>
      </c>
      <c r="D127" t="s">
        <v>1193</v>
      </c>
      <c r="E127" t="s">
        <v>1186</v>
      </c>
      <c r="F127" t="s">
        <v>1198</v>
      </c>
      <c r="G127">
        <v>279</v>
      </c>
      <c r="H127">
        <v>279</v>
      </c>
      <c r="I127">
        <v>279</v>
      </c>
      <c r="J127">
        <v>279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130.46</v>
      </c>
      <c r="Q127" s="2">
        <v>0</v>
      </c>
      <c r="R127" s="2">
        <v>0</v>
      </c>
      <c r="S127" s="2">
        <v>0</v>
      </c>
      <c r="T127" s="2">
        <v>0</v>
      </c>
      <c r="U127" s="2">
        <v>130.46</v>
      </c>
      <c r="V127" t="s">
        <v>30</v>
      </c>
    </row>
    <row r="128" spans="1:22" x14ac:dyDescent="0.25">
      <c r="A128" t="s">
        <v>508</v>
      </c>
      <c r="B128" t="s">
        <v>1239</v>
      </c>
      <c r="C128" t="s">
        <v>1</v>
      </c>
      <c r="D128" t="s">
        <v>440</v>
      </c>
      <c r="E128" t="s">
        <v>1192</v>
      </c>
      <c r="F128" t="s">
        <v>1191</v>
      </c>
      <c r="G128">
        <v>214</v>
      </c>
      <c r="H128">
        <v>214</v>
      </c>
      <c r="I128">
        <v>214</v>
      </c>
      <c r="J128">
        <v>214</v>
      </c>
      <c r="K128">
        <v>0</v>
      </c>
      <c r="L128" s="2">
        <v>0</v>
      </c>
      <c r="M128" s="2">
        <v>0</v>
      </c>
      <c r="N128" s="2">
        <v>0</v>
      </c>
      <c r="O128" s="2">
        <v>409.46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409.46</v>
      </c>
      <c r="V128" t="s">
        <v>30</v>
      </c>
    </row>
    <row r="129" spans="1:22" x14ac:dyDescent="0.25">
      <c r="A129" t="s">
        <v>508</v>
      </c>
      <c r="B129" t="s">
        <v>1239</v>
      </c>
      <c r="C129" t="s">
        <v>1</v>
      </c>
      <c r="D129" t="s">
        <v>440</v>
      </c>
      <c r="E129" t="s">
        <v>1192</v>
      </c>
      <c r="F129" t="s">
        <v>1191</v>
      </c>
      <c r="G129">
        <v>213</v>
      </c>
      <c r="H129">
        <v>213</v>
      </c>
      <c r="I129">
        <v>213</v>
      </c>
      <c r="J129">
        <v>213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t="s">
        <v>30</v>
      </c>
    </row>
    <row r="130" spans="1:22" x14ac:dyDescent="0.25">
      <c r="A130" t="s">
        <v>508</v>
      </c>
      <c r="B130" t="s">
        <v>1241</v>
      </c>
      <c r="C130" t="s">
        <v>1</v>
      </c>
      <c r="D130" t="s">
        <v>440</v>
      </c>
      <c r="E130" t="s">
        <v>1192</v>
      </c>
      <c r="F130" t="s">
        <v>1191</v>
      </c>
      <c r="G130">
        <v>212</v>
      </c>
      <c r="H130">
        <v>212</v>
      </c>
      <c r="I130">
        <v>212</v>
      </c>
      <c r="J130">
        <v>212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t="s">
        <v>30</v>
      </c>
    </row>
    <row r="131" spans="1:22" x14ac:dyDescent="0.25">
      <c r="A131" t="s">
        <v>508</v>
      </c>
      <c r="B131" t="s">
        <v>1241</v>
      </c>
      <c r="C131" t="s">
        <v>1</v>
      </c>
      <c r="D131" t="s">
        <v>440</v>
      </c>
      <c r="E131" t="s">
        <v>1192</v>
      </c>
      <c r="F131" t="s">
        <v>1191</v>
      </c>
      <c r="G131">
        <v>211</v>
      </c>
      <c r="H131">
        <v>211</v>
      </c>
      <c r="I131">
        <v>211</v>
      </c>
      <c r="J131">
        <v>211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t="s">
        <v>30</v>
      </c>
    </row>
    <row r="132" spans="1:22" x14ac:dyDescent="0.25">
      <c r="A132" t="s">
        <v>508</v>
      </c>
      <c r="B132" t="s">
        <v>1255</v>
      </c>
      <c r="C132" t="s">
        <v>1</v>
      </c>
      <c r="D132" t="s">
        <v>440</v>
      </c>
      <c r="E132" t="s">
        <v>1192</v>
      </c>
      <c r="F132" t="s">
        <v>1191</v>
      </c>
      <c r="G132">
        <v>209</v>
      </c>
      <c r="H132">
        <v>209</v>
      </c>
      <c r="I132">
        <v>209</v>
      </c>
      <c r="J132">
        <v>209</v>
      </c>
      <c r="K132">
        <v>0</v>
      </c>
      <c r="L132" s="2">
        <v>0</v>
      </c>
      <c r="M132" s="2">
        <v>0</v>
      </c>
      <c r="N132" s="2">
        <v>0</v>
      </c>
      <c r="O132" s="2">
        <v>69.459999999999994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69.459999999999994</v>
      </c>
      <c r="V132" t="s">
        <v>30</v>
      </c>
    </row>
    <row r="133" spans="1:22" x14ac:dyDescent="0.25">
      <c r="A133" t="s">
        <v>508</v>
      </c>
      <c r="B133" t="s">
        <v>1255</v>
      </c>
      <c r="C133" t="s">
        <v>1</v>
      </c>
      <c r="D133" t="s">
        <v>440</v>
      </c>
      <c r="E133" t="s">
        <v>1192</v>
      </c>
      <c r="F133" t="s">
        <v>1191</v>
      </c>
      <c r="G133">
        <v>208</v>
      </c>
      <c r="H133">
        <v>208</v>
      </c>
      <c r="I133">
        <v>208</v>
      </c>
      <c r="J133">
        <v>208</v>
      </c>
      <c r="K133">
        <v>0</v>
      </c>
      <c r="L133" s="2">
        <v>0</v>
      </c>
      <c r="M133" s="2">
        <v>0</v>
      </c>
      <c r="N133" s="2">
        <v>0</v>
      </c>
      <c r="O133" s="2">
        <v>9.5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9.5</v>
      </c>
      <c r="V133" t="s">
        <v>30</v>
      </c>
    </row>
    <row r="134" spans="1:22" x14ac:dyDescent="0.25">
      <c r="A134" t="s">
        <v>508</v>
      </c>
      <c r="B134" t="s">
        <v>1248</v>
      </c>
      <c r="C134" t="s">
        <v>1</v>
      </c>
      <c r="D134" t="s">
        <v>1193</v>
      </c>
      <c r="E134" t="s">
        <v>1186</v>
      </c>
      <c r="F134" t="s">
        <v>1198</v>
      </c>
      <c r="G134">
        <v>270</v>
      </c>
      <c r="H134">
        <v>270</v>
      </c>
      <c r="I134">
        <v>270</v>
      </c>
      <c r="J134">
        <v>270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t="s">
        <v>30</v>
      </c>
    </row>
    <row r="135" spans="1:22" x14ac:dyDescent="0.25">
      <c r="A135" t="s">
        <v>508</v>
      </c>
      <c r="B135" t="s">
        <v>1248</v>
      </c>
      <c r="C135" t="s">
        <v>1</v>
      </c>
      <c r="D135" t="s">
        <v>1193</v>
      </c>
      <c r="E135" t="s">
        <v>1186</v>
      </c>
      <c r="F135" t="s">
        <v>1198</v>
      </c>
      <c r="G135">
        <v>271</v>
      </c>
      <c r="H135">
        <v>271</v>
      </c>
      <c r="I135">
        <v>271</v>
      </c>
      <c r="J135">
        <v>271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799.83</v>
      </c>
      <c r="Q135" s="2">
        <v>0</v>
      </c>
      <c r="R135" s="2">
        <v>0</v>
      </c>
      <c r="S135" s="2">
        <v>0</v>
      </c>
      <c r="T135" s="2">
        <v>0</v>
      </c>
      <c r="U135" s="2">
        <v>799.83</v>
      </c>
      <c r="V135" t="s">
        <v>30</v>
      </c>
    </row>
    <row r="136" spans="1:22" x14ac:dyDescent="0.25">
      <c r="A136" t="s">
        <v>508</v>
      </c>
      <c r="B136" t="s">
        <v>1254</v>
      </c>
      <c r="C136" t="s">
        <v>1</v>
      </c>
      <c r="D136" t="s">
        <v>1193</v>
      </c>
      <c r="E136" t="s">
        <v>1186</v>
      </c>
      <c r="F136" t="s">
        <v>1198</v>
      </c>
      <c r="G136">
        <v>272</v>
      </c>
      <c r="H136">
        <v>272</v>
      </c>
      <c r="I136">
        <v>272</v>
      </c>
      <c r="J136">
        <v>272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t="s">
        <v>30</v>
      </c>
    </row>
    <row r="137" spans="1:22" x14ac:dyDescent="0.25">
      <c r="A137" t="s">
        <v>508</v>
      </c>
      <c r="B137" t="s">
        <v>1254</v>
      </c>
      <c r="C137" t="s">
        <v>1</v>
      </c>
      <c r="D137" t="s">
        <v>1193</v>
      </c>
      <c r="E137" t="s">
        <v>1186</v>
      </c>
      <c r="F137" t="s">
        <v>1198</v>
      </c>
      <c r="G137">
        <v>272</v>
      </c>
      <c r="H137">
        <v>272</v>
      </c>
      <c r="I137">
        <v>272</v>
      </c>
      <c r="J137">
        <v>272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293.13</v>
      </c>
      <c r="Q137" s="2">
        <v>0</v>
      </c>
      <c r="R137" s="2">
        <v>0</v>
      </c>
      <c r="S137" s="2">
        <v>0</v>
      </c>
      <c r="T137" s="2">
        <v>0</v>
      </c>
      <c r="U137" s="2">
        <v>293.13</v>
      </c>
      <c r="V137" t="s">
        <v>30</v>
      </c>
    </row>
    <row r="138" spans="1:22" x14ac:dyDescent="0.25">
      <c r="A138" t="s">
        <v>508</v>
      </c>
      <c r="B138" t="s">
        <v>1242</v>
      </c>
      <c r="C138" t="s">
        <v>1</v>
      </c>
      <c r="D138" t="s">
        <v>1193</v>
      </c>
      <c r="E138" t="s">
        <v>1186</v>
      </c>
      <c r="F138" t="s">
        <v>1198</v>
      </c>
      <c r="G138">
        <v>273</v>
      </c>
      <c r="H138">
        <v>273</v>
      </c>
      <c r="I138">
        <v>273</v>
      </c>
      <c r="J138">
        <v>273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233.13</v>
      </c>
      <c r="Q138" s="2">
        <v>0</v>
      </c>
      <c r="R138" s="2">
        <v>0</v>
      </c>
      <c r="S138" s="2">
        <v>0</v>
      </c>
      <c r="T138" s="2">
        <v>0</v>
      </c>
      <c r="U138" s="2">
        <v>233.13</v>
      </c>
      <c r="V138" t="s">
        <v>30</v>
      </c>
    </row>
    <row r="139" spans="1:22" x14ac:dyDescent="0.25">
      <c r="A139" t="s">
        <v>508</v>
      </c>
      <c r="B139" t="s">
        <v>1237</v>
      </c>
      <c r="C139" t="s">
        <v>1</v>
      </c>
      <c r="D139" t="s">
        <v>1193</v>
      </c>
      <c r="E139" t="s">
        <v>1186</v>
      </c>
      <c r="F139" t="s">
        <v>1198</v>
      </c>
      <c r="G139">
        <v>274</v>
      </c>
      <c r="H139">
        <v>274</v>
      </c>
      <c r="I139">
        <v>274</v>
      </c>
      <c r="J139">
        <v>274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113.3</v>
      </c>
      <c r="Q139" s="2">
        <v>0</v>
      </c>
      <c r="R139" s="2">
        <v>0</v>
      </c>
      <c r="S139" s="2">
        <v>0</v>
      </c>
      <c r="T139" s="2">
        <v>0</v>
      </c>
      <c r="U139" s="2">
        <v>113.3</v>
      </c>
      <c r="V139" t="s">
        <v>30</v>
      </c>
    </row>
    <row r="140" spans="1:22" x14ac:dyDescent="0.25">
      <c r="A140" t="s">
        <v>508</v>
      </c>
      <c r="B140" t="s">
        <v>1253</v>
      </c>
      <c r="C140" t="s">
        <v>1</v>
      </c>
      <c r="D140" t="s">
        <v>440</v>
      </c>
      <c r="E140" t="s">
        <v>1199</v>
      </c>
      <c r="F140" t="s">
        <v>1200</v>
      </c>
      <c r="G140">
        <v>4337</v>
      </c>
      <c r="H140">
        <v>4337</v>
      </c>
      <c r="I140">
        <v>4337</v>
      </c>
      <c r="J140">
        <v>4337</v>
      </c>
      <c r="K140">
        <v>0</v>
      </c>
      <c r="L140" s="2">
        <v>0</v>
      </c>
      <c r="M140" s="2">
        <v>0</v>
      </c>
      <c r="N140" s="2">
        <v>0</v>
      </c>
      <c r="O140" s="2">
        <v>302.02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302.02</v>
      </c>
      <c r="V140" t="s">
        <v>30</v>
      </c>
    </row>
    <row r="141" spans="1:22" x14ac:dyDescent="0.25">
      <c r="A141" t="s">
        <v>508</v>
      </c>
      <c r="B141" t="s">
        <v>1253</v>
      </c>
      <c r="C141" t="s">
        <v>1</v>
      </c>
      <c r="D141" t="s">
        <v>440</v>
      </c>
      <c r="E141" t="s">
        <v>1199</v>
      </c>
      <c r="F141" t="s">
        <v>1200</v>
      </c>
      <c r="G141">
        <v>4338</v>
      </c>
      <c r="H141">
        <v>4338</v>
      </c>
      <c r="I141">
        <v>4338</v>
      </c>
      <c r="J141">
        <v>4338</v>
      </c>
      <c r="K141">
        <v>0</v>
      </c>
      <c r="L141" s="2">
        <v>0</v>
      </c>
      <c r="M141" s="2">
        <v>0</v>
      </c>
      <c r="N141" s="2">
        <v>0</v>
      </c>
      <c r="O141" s="2">
        <v>67.790000000000006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67.790000000000006</v>
      </c>
      <c r="V141" t="s">
        <v>30</v>
      </c>
    </row>
    <row r="142" spans="1:22" x14ac:dyDescent="0.25">
      <c r="A142" t="s">
        <v>508</v>
      </c>
      <c r="B142" t="s">
        <v>1253</v>
      </c>
      <c r="C142" t="s">
        <v>1</v>
      </c>
      <c r="D142" t="s">
        <v>440</v>
      </c>
      <c r="E142" t="s">
        <v>1199</v>
      </c>
      <c r="F142" t="s">
        <v>1200</v>
      </c>
      <c r="G142">
        <v>4339</v>
      </c>
      <c r="H142">
        <v>4339</v>
      </c>
      <c r="I142">
        <v>4339</v>
      </c>
      <c r="J142">
        <v>4339</v>
      </c>
      <c r="K142">
        <v>0</v>
      </c>
      <c r="L142" s="2">
        <v>0</v>
      </c>
      <c r="M142" s="2">
        <v>0</v>
      </c>
      <c r="N142" s="2">
        <v>0</v>
      </c>
      <c r="O142" s="2">
        <v>175.8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175.8</v>
      </c>
      <c r="V142" t="s">
        <v>30</v>
      </c>
    </row>
    <row r="143" spans="1:22" x14ac:dyDescent="0.25">
      <c r="A143" t="s">
        <v>508</v>
      </c>
      <c r="B143" t="s">
        <v>1252</v>
      </c>
      <c r="C143" t="s">
        <v>1</v>
      </c>
      <c r="D143" t="s">
        <v>440</v>
      </c>
      <c r="E143" t="s">
        <v>1199</v>
      </c>
      <c r="F143" t="s">
        <v>1200</v>
      </c>
      <c r="G143">
        <v>4340</v>
      </c>
      <c r="H143">
        <v>4340</v>
      </c>
      <c r="I143">
        <v>4340</v>
      </c>
      <c r="J143">
        <v>4340</v>
      </c>
      <c r="K143">
        <v>0</v>
      </c>
      <c r="L143" s="2">
        <v>0</v>
      </c>
      <c r="M143" s="2">
        <v>0</v>
      </c>
      <c r="N143" s="2">
        <v>0</v>
      </c>
      <c r="O143" s="2">
        <v>110.26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110.26</v>
      </c>
      <c r="V143" t="s">
        <v>30</v>
      </c>
    </row>
    <row r="144" spans="1:22" x14ac:dyDescent="0.25">
      <c r="A144" t="s">
        <v>508</v>
      </c>
      <c r="B144" t="s">
        <v>1252</v>
      </c>
      <c r="C144" t="s">
        <v>1</v>
      </c>
      <c r="D144" t="s">
        <v>440</v>
      </c>
      <c r="E144" t="s">
        <v>1199</v>
      </c>
      <c r="F144" t="s">
        <v>1200</v>
      </c>
      <c r="G144">
        <v>4341</v>
      </c>
      <c r="H144">
        <v>4341</v>
      </c>
      <c r="I144">
        <v>4341</v>
      </c>
      <c r="J144">
        <v>4341</v>
      </c>
      <c r="K144">
        <v>0</v>
      </c>
      <c r="L144" s="2">
        <v>0</v>
      </c>
      <c r="M144" s="2">
        <v>0</v>
      </c>
      <c r="N144" s="2">
        <v>0</v>
      </c>
      <c r="O144" s="2">
        <v>118.75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118.75</v>
      </c>
      <c r="V144" t="s">
        <v>30</v>
      </c>
    </row>
    <row r="145" spans="1:22" x14ac:dyDescent="0.25">
      <c r="A145" t="s">
        <v>508</v>
      </c>
      <c r="B145" t="s">
        <v>1252</v>
      </c>
      <c r="C145" t="s">
        <v>1</v>
      </c>
      <c r="D145" t="s">
        <v>440</v>
      </c>
      <c r="E145" t="s">
        <v>1199</v>
      </c>
      <c r="F145" t="s">
        <v>1200</v>
      </c>
      <c r="G145">
        <v>4342</v>
      </c>
      <c r="H145">
        <v>4342</v>
      </c>
      <c r="I145">
        <v>4342</v>
      </c>
      <c r="J145">
        <v>4342</v>
      </c>
      <c r="K145">
        <v>0</v>
      </c>
      <c r="L145" s="2">
        <v>0</v>
      </c>
      <c r="M145" s="2">
        <v>0</v>
      </c>
      <c r="N145" s="2">
        <v>0</v>
      </c>
      <c r="O145" s="2">
        <v>8.92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8.92</v>
      </c>
      <c r="V145" t="s">
        <v>30</v>
      </c>
    </row>
    <row r="146" spans="1:22" x14ac:dyDescent="0.25">
      <c r="A146" t="s">
        <v>508</v>
      </c>
      <c r="B146" t="s">
        <v>1252</v>
      </c>
      <c r="C146" t="s">
        <v>1</v>
      </c>
      <c r="D146" t="s">
        <v>440</v>
      </c>
      <c r="E146" t="s">
        <v>1199</v>
      </c>
      <c r="F146" t="s">
        <v>1200</v>
      </c>
      <c r="G146">
        <v>4343</v>
      </c>
      <c r="H146">
        <v>4343</v>
      </c>
      <c r="I146">
        <v>4343</v>
      </c>
      <c r="J146">
        <v>4343</v>
      </c>
      <c r="K146">
        <v>0</v>
      </c>
      <c r="L146" s="2">
        <v>0</v>
      </c>
      <c r="M146" s="2">
        <v>0</v>
      </c>
      <c r="N146" s="2">
        <v>0</v>
      </c>
      <c r="O146" s="2">
        <v>58.59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58.59</v>
      </c>
      <c r="V146" t="s">
        <v>30</v>
      </c>
    </row>
    <row r="147" spans="1:22" x14ac:dyDescent="0.25">
      <c r="A147" t="s">
        <v>508</v>
      </c>
      <c r="B147" t="s">
        <v>1252</v>
      </c>
      <c r="C147" t="s">
        <v>1</v>
      </c>
      <c r="D147" t="s">
        <v>440</v>
      </c>
      <c r="E147" t="s">
        <v>1199</v>
      </c>
      <c r="F147" t="s">
        <v>1200</v>
      </c>
      <c r="G147">
        <v>4344</v>
      </c>
      <c r="H147">
        <v>4344</v>
      </c>
      <c r="I147">
        <v>4344</v>
      </c>
      <c r="J147">
        <v>4344</v>
      </c>
      <c r="K147">
        <v>0</v>
      </c>
      <c r="L147" s="2">
        <v>0</v>
      </c>
      <c r="M147" s="2">
        <v>0</v>
      </c>
      <c r="N147" s="2">
        <v>0</v>
      </c>
      <c r="O147" s="2">
        <v>1324.79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1324.79</v>
      </c>
      <c r="V147" t="s">
        <v>30</v>
      </c>
    </row>
    <row r="148" spans="1:22" x14ac:dyDescent="0.25">
      <c r="A148" t="s">
        <v>508</v>
      </c>
      <c r="B148" t="s">
        <v>1252</v>
      </c>
      <c r="C148" t="s">
        <v>1</v>
      </c>
      <c r="D148" t="s">
        <v>440</v>
      </c>
      <c r="E148" t="s">
        <v>1199</v>
      </c>
      <c r="F148" t="s">
        <v>1200</v>
      </c>
      <c r="G148">
        <v>4345</v>
      </c>
      <c r="H148">
        <v>4345</v>
      </c>
      <c r="I148">
        <v>4345</v>
      </c>
      <c r="J148">
        <v>4345</v>
      </c>
      <c r="K148">
        <v>0</v>
      </c>
      <c r="L148" s="2">
        <v>0</v>
      </c>
      <c r="M148" s="2">
        <v>0</v>
      </c>
      <c r="N148" s="2">
        <v>0</v>
      </c>
      <c r="O148" s="2">
        <v>95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95</v>
      </c>
      <c r="V148" t="s">
        <v>30</v>
      </c>
    </row>
    <row r="149" spans="1:22" x14ac:dyDescent="0.25">
      <c r="A149" t="s">
        <v>508</v>
      </c>
      <c r="B149" t="s">
        <v>1252</v>
      </c>
      <c r="C149" t="s">
        <v>1</v>
      </c>
      <c r="D149" t="s">
        <v>440</v>
      </c>
      <c r="E149" t="s">
        <v>1199</v>
      </c>
      <c r="F149" t="s">
        <v>1200</v>
      </c>
      <c r="G149">
        <v>4346</v>
      </c>
      <c r="H149">
        <v>4346</v>
      </c>
      <c r="I149">
        <v>4346</v>
      </c>
      <c r="J149">
        <v>4346</v>
      </c>
      <c r="K149">
        <v>0</v>
      </c>
      <c r="L149" s="2">
        <v>0</v>
      </c>
      <c r="M149" s="2">
        <v>0</v>
      </c>
      <c r="N149" s="2">
        <v>0</v>
      </c>
      <c r="O149" s="2">
        <v>3.75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3.75</v>
      </c>
      <c r="V149" t="s">
        <v>30</v>
      </c>
    </row>
    <row r="150" spans="1:22" x14ac:dyDescent="0.25">
      <c r="A150" t="s">
        <v>508</v>
      </c>
      <c r="B150" t="s">
        <v>1252</v>
      </c>
      <c r="C150" t="s">
        <v>1</v>
      </c>
      <c r="D150" t="s">
        <v>440</v>
      </c>
      <c r="E150" t="s">
        <v>1199</v>
      </c>
      <c r="F150" t="s">
        <v>1200</v>
      </c>
      <c r="G150">
        <v>4347</v>
      </c>
      <c r="H150">
        <v>4347</v>
      </c>
      <c r="I150">
        <v>4347</v>
      </c>
      <c r="J150">
        <v>4347</v>
      </c>
      <c r="K150">
        <v>0</v>
      </c>
      <c r="L150" s="2">
        <v>0</v>
      </c>
      <c r="M150" s="2">
        <v>0</v>
      </c>
      <c r="N150" s="2">
        <v>0</v>
      </c>
      <c r="O150" s="2">
        <v>1575.73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1575.73</v>
      </c>
      <c r="V150" t="s">
        <v>30</v>
      </c>
    </row>
    <row r="151" spans="1:22" x14ac:dyDescent="0.25">
      <c r="A151" t="s">
        <v>508</v>
      </c>
      <c r="B151" t="s">
        <v>1252</v>
      </c>
      <c r="C151" t="s">
        <v>1</v>
      </c>
      <c r="D151" t="s">
        <v>440</v>
      </c>
      <c r="E151" t="s">
        <v>1199</v>
      </c>
      <c r="F151" t="s">
        <v>1200</v>
      </c>
      <c r="G151">
        <v>4348</v>
      </c>
      <c r="H151">
        <v>4348</v>
      </c>
      <c r="I151">
        <v>4348</v>
      </c>
      <c r="J151">
        <v>4348</v>
      </c>
      <c r="K151">
        <v>0</v>
      </c>
      <c r="L151" s="2">
        <v>0</v>
      </c>
      <c r="M151" s="2">
        <v>0</v>
      </c>
      <c r="N151" s="2">
        <v>0</v>
      </c>
      <c r="O151" s="2">
        <v>56.1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56.1</v>
      </c>
      <c r="V151" t="s">
        <v>30</v>
      </c>
    </row>
    <row r="152" spans="1:22" x14ac:dyDescent="0.25">
      <c r="A152" t="s">
        <v>508</v>
      </c>
      <c r="B152" t="s">
        <v>1251</v>
      </c>
      <c r="C152" t="s">
        <v>1</v>
      </c>
      <c r="D152" t="s">
        <v>440</v>
      </c>
      <c r="E152" t="s">
        <v>1199</v>
      </c>
      <c r="F152" t="s">
        <v>1200</v>
      </c>
      <c r="G152">
        <v>4349</v>
      </c>
      <c r="H152">
        <v>4349</v>
      </c>
      <c r="I152">
        <v>4349</v>
      </c>
      <c r="J152">
        <v>4349</v>
      </c>
      <c r="K152">
        <v>0</v>
      </c>
      <c r="L152" s="2">
        <v>0</v>
      </c>
      <c r="M152" s="2">
        <v>0</v>
      </c>
      <c r="N152" s="2">
        <v>0</v>
      </c>
      <c r="O152" s="2">
        <v>362.36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362.36</v>
      </c>
      <c r="V152" t="s">
        <v>30</v>
      </c>
    </row>
    <row r="153" spans="1:22" x14ac:dyDescent="0.25">
      <c r="A153" t="s">
        <v>508</v>
      </c>
      <c r="B153" t="s">
        <v>1251</v>
      </c>
      <c r="C153" t="s">
        <v>1</v>
      </c>
      <c r="D153" t="s">
        <v>440</v>
      </c>
      <c r="E153" t="s">
        <v>1199</v>
      </c>
      <c r="F153" t="s">
        <v>1200</v>
      </c>
      <c r="G153">
        <v>4350</v>
      </c>
      <c r="H153">
        <v>4350</v>
      </c>
      <c r="I153">
        <v>4350</v>
      </c>
      <c r="J153">
        <v>4350</v>
      </c>
      <c r="K153">
        <v>0</v>
      </c>
      <c r="L153" s="2">
        <v>0</v>
      </c>
      <c r="M153" s="2">
        <v>0</v>
      </c>
      <c r="N153" s="2">
        <v>0</v>
      </c>
      <c r="O153" s="2">
        <v>56.99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56.99</v>
      </c>
      <c r="V153" t="s">
        <v>30</v>
      </c>
    </row>
    <row r="154" spans="1:22" x14ac:dyDescent="0.25">
      <c r="A154" t="s">
        <v>508</v>
      </c>
      <c r="B154" t="s">
        <v>1251</v>
      </c>
      <c r="C154" t="s">
        <v>1</v>
      </c>
      <c r="D154" t="s">
        <v>440</v>
      </c>
      <c r="E154" t="s">
        <v>1199</v>
      </c>
      <c r="F154" t="s">
        <v>1200</v>
      </c>
      <c r="G154">
        <v>4351</v>
      </c>
      <c r="H154">
        <v>4351</v>
      </c>
      <c r="I154">
        <v>4351</v>
      </c>
      <c r="J154">
        <v>4351</v>
      </c>
      <c r="K154">
        <v>0</v>
      </c>
      <c r="L154" s="2">
        <v>0</v>
      </c>
      <c r="M154" s="2">
        <v>0</v>
      </c>
      <c r="N154" s="2">
        <v>0</v>
      </c>
      <c r="O154" s="2">
        <v>224.6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224.6</v>
      </c>
      <c r="V154" t="s">
        <v>30</v>
      </c>
    </row>
    <row r="155" spans="1:22" x14ac:dyDescent="0.25">
      <c r="A155" t="s">
        <v>508</v>
      </c>
      <c r="B155" t="s">
        <v>1250</v>
      </c>
      <c r="C155" t="s">
        <v>1</v>
      </c>
      <c r="D155" t="s">
        <v>440</v>
      </c>
      <c r="E155" t="s">
        <v>1199</v>
      </c>
      <c r="F155" t="s">
        <v>1200</v>
      </c>
      <c r="G155">
        <v>4352</v>
      </c>
      <c r="H155">
        <v>4352</v>
      </c>
      <c r="I155">
        <v>4352</v>
      </c>
      <c r="J155">
        <v>4352</v>
      </c>
      <c r="K155">
        <v>0</v>
      </c>
      <c r="L155" s="2">
        <v>0</v>
      </c>
      <c r="M155" s="2">
        <v>0</v>
      </c>
      <c r="N155" s="2">
        <v>0</v>
      </c>
      <c r="O155" s="2">
        <v>167.84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167.84</v>
      </c>
      <c r="V155" t="s">
        <v>30</v>
      </c>
    </row>
    <row r="156" spans="1:22" x14ac:dyDescent="0.25">
      <c r="A156" t="s">
        <v>508</v>
      </c>
      <c r="B156" t="s">
        <v>1250</v>
      </c>
      <c r="C156" t="s">
        <v>1</v>
      </c>
      <c r="D156" t="s">
        <v>440</v>
      </c>
      <c r="E156" t="s">
        <v>1199</v>
      </c>
      <c r="F156" t="s">
        <v>1200</v>
      </c>
      <c r="G156">
        <v>4353</v>
      </c>
      <c r="H156">
        <v>4353</v>
      </c>
      <c r="I156">
        <v>4353</v>
      </c>
      <c r="J156">
        <v>4353</v>
      </c>
      <c r="K156">
        <v>0</v>
      </c>
      <c r="L156" s="2">
        <v>0</v>
      </c>
      <c r="M156" s="2">
        <v>0</v>
      </c>
      <c r="N156" s="2">
        <v>0</v>
      </c>
      <c r="O156" s="2">
        <v>14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14</v>
      </c>
      <c r="V156" t="s">
        <v>30</v>
      </c>
    </row>
    <row r="157" spans="1:22" x14ac:dyDescent="0.25">
      <c r="A157" t="s">
        <v>508</v>
      </c>
      <c r="B157" t="s">
        <v>1250</v>
      </c>
      <c r="C157" t="s">
        <v>1</v>
      </c>
      <c r="D157" t="s">
        <v>440</v>
      </c>
      <c r="E157" t="s">
        <v>1199</v>
      </c>
      <c r="F157" t="s">
        <v>1200</v>
      </c>
      <c r="G157">
        <v>4354</v>
      </c>
      <c r="H157">
        <v>4354</v>
      </c>
      <c r="I157">
        <v>4354</v>
      </c>
      <c r="J157">
        <v>4354</v>
      </c>
      <c r="K157">
        <v>0</v>
      </c>
      <c r="L157" s="2">
        <v>0</v>
      </c>
      <c r="M157" s="2">
        <v>0</v>
      </c>
      <c r="N157" s="2">
        <v>0</v>
      </c>
      <c r="O157" s="2">
        <v>64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64</v>
      </c>
      <c r="V157" t="s">
        <v>30</v>
      </c>
    </row>
    <row r="158" spans="1:22" x14ac:dyDescent="0.25">
      <c r="A158" t="s">
        <v>508</v>
      </c>
      <c r="B158" t="s">
        <v>1250</v>
      </c>
      <c r="C158" t="s">
        <v>1</v>
      </c>
      <c r="D158" t="s">
        <v>440</v>
      </c>
      <c r="E158" t="s">
        <v>1199</v>
      </c>
      <c r="F158" t="s">
        <v>1200</v>
      </c>
      <c r="G158">
        <v>4355</v>
      </c>
      <c r="H158">
        <v>4355</v>
      </c>
      <c r="I158">
        <v>4355</v>
      </c>
      <c r="J158">
        <v>4355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t="s">
        <v>30</v>
      </c>
    </row>
    <row r="159" spans="1:22" x14ac:dyDescent="0.25">
      <c r="A159" t="s">
        <v>508</v>
      </c>
      <c r="B159" t="s">
        <v>1250</v>
      </c>
      <c r="C159" t="s">
        <v>1</v>
      </c>
      <c r="D159" t="s">
        <v>440</v>
      </c>
      <c r="E159" t="s">
        <v>1199</v>
      </c>
      <c r="F159" t="s">
        <v>1200</v>
      </c>
      <c r="G159">
        <v>4356</v>
      </c>
      <c r="H159">
        <v>4356</v>
      </c>
      <c r="I159">
        <v>4356</v>
      </c>
      <c r="J159">
        <v>4356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t="s">
        <v>30</v>
      </c>
    </row>
    <row r="160" spans="1:22" x14ac:dyDescent="0.25">
      <c r="A160" t="s">
        <v>508</v>
      </c>
      <c r="B160" t="s">
        <v>1250</v>
      </c>
      <c r="C160" t="s">
        <v>1</v>
      </c>
      <c r="D160" t="s">
        <v>440</v>
      </c>
      <c r="E160" t="s">
        <v>1199</v>
      </c>
      <c r="F160" t="s">
        <v>1200</v>
      </c>
      <c r="G160">
        <v>4357</v>
      </c>
      <c r="H160">
        <v>4357</v>
      </c>
      <c r="I160">
        <v>4357</v>
      </c>
      <c r="J160">
        <v>4357</v>
      </c>
      <c r="K160">
        <v>0</v>
      </c>
      <c r="L160" s="2">
        <v>0</v>
      </c>
      <c r="M160" s="2">
        <v>0</v>
      </c>
      <c r="N160" s="2">
        <v>0</v>
      </c>
      <c r="O160" s="2">
        <v>540.29999999999995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540.29999999999995</v>
      </c>
      <c r="V160" t="s">
        <v>30</v>
      </c>
    </row>
    <row r="161" spans="1:22" x14ac:dyDescent="0.25">
      <c r="A161" t="s">
        <v>508</v>
      </c>
      <c r="B161" t="s">
        <v>1250</v>
      </c>
      <c r="C161" t="s">
        <v>1</v>
      </c>
      <c r="D161" t="s">
        <v>440</v>
      </c>
      <c r="E161" t="s">
        <v>1199</v>
      </c>
      <c r="F161" t="s">
        <v>1200</v>
      </c>
      <c r="G161">
        <v>4358</v>
      </c>
      <c r="H161">
        <v>4358</v>
      </c>
      <c r="I161">
        <v>4358</v>
      </c>
      <c r="J161">
        <v>4358</v>
      </c>
      <c r="K161">
        <v>0</v>
      </c>
      <c r="L161" s="2">
        <v>0</v>
      </c>
      <c r="M161" s="2">
        <v>0</v>
      </c>
      <c r="N161" s="2">
        <v>0</v>
      </c>
      <c r="O161" s="2">
        <v>961.77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961.77</v>
      </c>
      <c r="V161" t="s">
        <v>30</v>
      </c>
    </row>
    <row r="162" spans="1:22" x14ac:dyDescent="0.25">
      <c r="A162" t="s">
        <v>508</v>
      </c>
      <c r="B162" t="s">
        <v>1250</v>
      </c>
      <c r="C162" t="s">
        <v>1</v>
      </c>
      <c r="D162" t="s">
        <v>440</v>
      </c>
      <c r="E162" t="s">
        <v>1199</v>
      </c>
      <c r="F162" t="s">
        <v>1200</v>
      </c>
      <c r="G162">
        <v>4359</v>
      </c>
      <c r="H162">
        <v>4359</v>
      </c>
      <c r="I162">
        <v>4359</v>
      </c>
      <c r="J162">
        <v>4359</v>
      </c>
      <c r="K162">
        <v>0</v>
      </c>
      <c r="L162" s="2">
        <v>0</v>
      </c>
      <c r="M162" s="2">
        <v>0</v>
      </c>
      <c r="N162" s="2">
        <v>0</v>
      </c>
      <c r="O162" s="2">
        <v>273.12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273.12</v>
      </c>
      <c r="V162" t="s">
        <v>30</v>
      </c>
    </row>
    <row r="163" spans="1:22" x14ac:dyDescent="0.25">
      <c r="A163" t="s">
        <v>508</v>
      </c>
      <c r="B163" t="s">
        <v>1250</v>
      </c>
      <c r="C163" t="s">
        <v>1</v>
      </c>
      <c r="D163" t="s">
        <v>440</v>
      </c>
      <c r="E163" t="s">
        <v>1199</v>
      </c>
      <c r="F163" t="s">
        <v>1200</v>
      </c>
      <c r="G163">
        <v>4360</v>
      </c>
      <c r="H163">
        <v>4360</v>
      </c>
      <c r="I163">
        <v>4360</v>
      </c>
      <c r="J163">
        <v>4360</v>
      </c>
      <c r="K163">
        <v>0</v>
      </c>
      <c r="L163" s="2">
        <v>0</v>
      </c>
      <c r="M163" s="2">
        <v>0</v>
      </c>
      <c r="N163" s="2">
        <v>0</v>
      </c>
      <c r="O163" s="2">
        <v>1010.55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1010.55</v>
      </c>
      <c r="V163" t="s">
        <v>30</v>
      </c>
    </row>
    <row r="164" spans="1:22" x14ac:dyDescent="0.25">
      <c r="A164" t="s">
        <v>508</v>
      </c>
      <c r="B164" t="s">
        <v>1250</v>
      </c>
      <c r="C164" t="s">
        <v>1</v>
      </c>
      <c r="D164" t="s">
        <v>440</v>
      </c>
      <c r="E164" t="s">
        <v>1199</v>
      </c>
      <c r="F164" t="s">
        <v>1200</v>
      </c>
      <c r="G164">
        <v>4361</v>
      </c>
      <c r="H164">
        <v>4361</v>
      </c>
      <c r="I164">
        <v>4361</v>
      </c>
      <c r="J164">
        <v>4361</v>
      </c>
      <c r="K164">
        <v>0</v>
      </c>
      <c r="L164" s="2">
        <v>0</v>
      </c>
      <c r="M164" s="2">
        <v>0</v>
      </c>
      <c r="N164" s="2">
        <v>0</v>
      </c>
      <c r="O164" s="2">
        <v>71.98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71.98</v>
      </c>
      <c r="V164" t="s">
        <v>30</v>
      </c>
    </row>
    <row r="165" spans="1:22" x14ac:dyDescent="0.25">
      <c r="A165" t="s">
        <v>508</v>
      </c>
      <c r="B165" t="s">
        <v>1250</v>
      </c>
      <c r="C165" t="s">
        <v>1</v>
      </c>
      <c r="D165" t="s">
        <v>440</v>
      </c>
      <c r="E165" t="s">
        <v>1199</v>
      </c>
      <c r="F165" t="s">
        <v>1200</v>
      </c>
      <c r="G165">
        <v>4362</v>
      </c>
      <c r="H165">
        <v>4362</v>
      </c>
      <c r="I165">
        <v>4362</v>
      </c>
      <c r="J165">
        <v>4362</v>
      </c>
      <c r="K165">
        <v>0</v>
      </c>
      <c r="L165" s="2">
        <v>0</v>
      </c>
      <c r="M165" s="2">
        <v>0</v>
      </c>
      <c r="N165" s="2">
        <v>0</v>
      </c>
      <c r="O165" s="2">
        <v>404.73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404.73</v>
      </c>
      <c r="V165" t="s">
        <v>30</v>
      </c>
    </row>
    <row r="166" spans="1:22" x14ac:dyDescent="0.25">
      <c r="A166" t="s">
        <v>508</v>
      </c>
      <c r="B166" t="s">
        <v>1250</v>
      </c>
      <c r="C166" t="s">
        <v>1</v>
      </c>
      <c r="D166" t="s">
        <v>440</v>
      </c>
      <c r="E166" t="s">
        <v>1199</v>
      </c>
      <c r="F166" t="s">
        <v>1200</v>
      </c>
      <c r="G166">
        <v>4362</v>
      </c>
      <c r="H166">
        <v>4362</v>
      </c>
      <c r="I166">
        <v>4362</v>
      </c>
      <c r="J166">
        <v>4362</v>
      </c>
      <c r="K166">
        <v>0</v>
      </c>
      <c r="L166" s="2">
        <v>0</v>
      </c>
      <c r="M166" s="2">
        <v>0</v>
      </c>
      <c r="N166" s="2">
        <v>0</v>
      </c>
      <c r="O166" s="2">
        <v>404.73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404.73</v>
      </c>
      <c r="V166" t="s">
        <v>30</v>
      </c>
    </row>
    <row r="167" spans="1:22" x14ac:dyDescent="0.25">
      <c r="A167" t="s">
        <v>508</v>
      </c>
      <c r="B167" t="s">
        <v>1250</v>
      </c>
      <c r="C167" t="s">
        <v>1</v>
      </c>
      <c r="D167" t="s">
        <v>440</v>
      </c>
      <c r="E167" t="s">
        <v>1199</v>
      </c>
      <c r="F167" t="s">
        <v>1200</v>
      </c>
      <c r="G167">
        <v>4363</v>
      </c>
      <c r="H167">
        <v>4363</v>
      </c>
      <c r="I167">
        <v>4363</v>
      </c>
      <c r="J167">
        <v>4363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t="s">
        <v>30</v>
      </c>
    </row>
    <row r="168" spans="1:22" x14ac:dyDescent="0.25">
      <c r="A168" t="s">
        <v>508</v>
      </c>
      <c r="B168" t="s">
        <v>1250</v>
      </c>
      <c r="C168" t="s">
        <v>1</v>
      </c>
      <c r="D168" t="s">
        <v>440</v>
      </c>
      <c r="E168" t="s">
        <v>1199</v>
      </c>
      <c r="F168" t="s">
        <v>1200</v>
      </c>
      <c r="G168">
        <v>4364</v>
      </c>
      <c r="H168">
        <v>4364</v>
      </c>
      <c r="I168">
        <v>4364</v>
      </c>
      <c r="J168">
        <v>4364</v>
      </c>
      <c r="K168">
        <v>0</v>
      </c>
      <c r="L168" s="2">
        <v>0</v>
      </c>
      <c r="M168" s="2">
        <v>0</v>
      </c>
      <c r="N168" s="2">
        <v>0</v>
      </c>
      <c r="O168" s="2">
        <v>89.65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89.65</v>
      </c>
      <c r="V168" t="s">
        <v>30</v>
      </c>
    </row>
    <row r="169" spans="1:22" x14ac:dyDescent="0.25">
      <c r="A169" t="s">
        <v>508</v>
      </c>
      <c r="B169" t="s">
        <v>1250</v>
      </c>
      <c r="C169" t="s">
        <v>1</v>
      </c>
      <c r="D169" t="s">
        <v>440</v>
      </c>
      <c r="E169" t="s">
        <v>1199</v>
      </c>
      <c r="F169" t="s">
        <v>1200</v>
      </c>
      <c r="G169">
        <v>4365</v>
      </c>
      <c r="H169">
        <v>4365</v>
      </c>
      <c r="I169">
        <v>4365</v>
      </c>
      <c r="J169">
        <v>4365</v>
      </c>
      <c r="K169">
        <v>0</v>
      </c>
      <c r="L169" s="2">
        <v>0</v>
      </c>
      <c r="M169" s="2">
        <v>0</v>
      </c>
      <c r="N169" s="2">
        <v>0</v>
      </c>
      <c r="O169" s="2">
        <v>29.62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29.62</v>
      </c>
      <c r="V169" t="s">
        <v>30</v>
      </c>
    </row>
    <row r="170" spans="1:22" x14ac:dyDescent="0.25">
      <c r="A170" t="s">
        <v>508</v>
      </c>
      <c r="B170" t="s">
        <v>1249</v>
      </c>
      <c r="C170" t="s">
        <v>1</v>
      </c>
      <c r="D170" t="s">
        <v>440</v>
      </c>
      <c r="E170" t="s">
        <v>1199</v>
      </c>
      <c r="F170" t="s">
        <v>1200</v>
      </c>
      <c r="G170">
        <v>4366</v>
      </c>
      <c r="H170">
        <v>4366</v>
      </c>
      <c r="I170">
        <v>4366</v>
      </c>
      <c r="J170">
        <v>4366</v>
      </c>
      <c r="K170">
        <v>0</v>
      </c>
      <c r="L170" s="2">
        <v>0</v>
      </c>
      <c r="M170" s="2">
        <v>0</v>
      </c>
      <c r="N170" s="2">
        <v>0</v>
      </c>
      <c r="O170" s="2">
        <v>229.74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229.74</v>
      </c>
      <c r="V170" t="s">
        <v>30</v>
      </c>
    </row>
    <row r="171" spans="1:22" x14ac:dyDescent="0.25">
      <c r="A171" t="s">
        <v>508</v>
      </c>
      <c r="B171" t="s">
        <v>1249</v>
      </c>
      <c r="C171" t="s">
        <v>1</v>
      </c>
      <c r="D171" t="s">
        <v>440</v>
      </c>
      <c r="E171" t="s">
        <v>1199</v>
      </c>
      <c r="F171" t="s">
        <v>1200</v>
      </c>
      <c r="G171">
        <v>4367</v>
      </c>
      <c r="H171">
        <v>4367</v>
      </c>
      <c r="I171">
        <v>4367</v>
      </c>
      <c r="J171">
        <v>4367</v>
      </c>
      <c r="K171">
        <v>0</v>
      </c>
      <c r="L171" s="2">
        <v>0</v>
      </c>
      <c r="M171" s="2">
        <v>0</v>
      </c>
      <c r="N171" s="2">
        <v>0</v>
      </c>
      <c r="O171" s="2">
        <v>460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460</v>
      </c>
      <c r="V171" t="s">
        <v>30</v>
      </c>
    </row>
    <row r="172" spans="1:22" x14ac:dyDescent="0.25">
      <c r="A172" t="s">
        <v>508</v>
      </c>
      <c r="B172" t="s">
        <v>1248</v>
      </c>
      <c r="C172" t="s">
        <v>1</v>
      </c>
      <c r="D172" t="s">
        <v>440</v>
      </c>
      <c r="E172" t="s">
        <v>1199</v>
      </c>
      <c r="F172" t="s">
        <v>1200</v>
      </c>
      <c r="G172">
        <v>4368</v>
      </c>
      <c r="H172">
        <v>4368</v>
      </c>
      <c r="I172">
        <v>4368</v>
      </c>
      <c r="J172">
        <v>4368</v>
      </c>
      <c r="K172">
        <v>0</v>
      </c>
      <c r="L172" s="2">
        <v>0</v>
      </c>
      <c r="M172" s="2">
        <v>0</v>
      </c>
      <c r="N172" s="2">
        <v>0</v>
      </c>
      <c r="O172" s="2">
        <v>224.4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224.4</v>
      </c>
      <c r="V172" t="s">
        <v>30</v>
      </c>
    </row>
    <row r="173" spans="1:22" x14ac:dyDescent="0.25">
      <c r="A173" t="s">
        <v>508</v>
      </c>
      <c r="B173" t="s">
        <v>1248</v>
      </c>
      <c r="C173" t="s">
        <v>1</v>
      </c>
      <c r="D173" t="s">
        <v>440</v>
      </c>
      <c r="E173" t="s">
        <v>1199</v>
      </c>
      <c r="F173" t="s">
        <v>1200</v>
      </c>
      <c r="G173">
        <v>4369</v>
      </c>
      <c r="H173">
        <v>4369</v>
      </c>
      <c r="I173">
        <v>4369</v>
      </c>
      <c r="J173">
        <v>4369</v>
      </c>
      <c r="K173">
        <v>0</v>
      </c>
      <c r="L173" s="2">
        <v>0</v>
      </c>
      <c r="M173" s="2">
        <v>0</v>
      </c>
      <c r="N173" s="2">
        <v>0</v>
      </c>
      <c r="O173" s="2">
        <v>74.55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74.55</v>
      </c>
      <c r="V173" t="s">
        <v>30</v>
      </c>
    </row>
    <row r="174" spans="1:22" x14ac:dyDescent="0.25">
      <c r="A174" t="s">
        <v>508</v>
      </c>
      <c r="B174" t="s">
        <v>1248</v>
      </c>
      <c r="C174" t="s">
        <v>1</v>
      </c>
      <c r="D174" t="s">
        <v>440</v>
      </c>
      <c r="E174" t="s">
        <v>1199</v>
      </c>
      <c r="F174" t="s">
        <v>1200</v>
      </c>
      <c r="G174">
        <v>4370</v>
      </c>
      <c r="H174">
        <v>4370</v>
      </c>
      <c r="I174">
        <v>4370</v>
      </c>
      <c r="J174">
        <v>4370</v>
      </c>
      <c r="K174">
        <v>0</v>
      </c>
      <c r="L174" s="2">
        <v>0</v>
      </c>
      <c r="M174" s="2">
        <v>0</v>
      </c>
      <c r="N174" s="2">
        <v>0</v>
      </c>
      <c r="O174" s="2">
        <v>40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40</v>
      </c>
      <c r="V174" t="s">
        <v>30</v>
      </c>
    </row>
    <row r="175" spans="1:22" x14ac:dyDescent="0.25">
      <c r="A175" t="s">
        <v>508</v>
      </c>
      <c r="B175" t="s">
        <v>1248</v>
      </c>
      <c r="C175" t="s">
        <v>1</v>
      </c>
      <c r="D175" t="s">
        <v>440</v>
      </c>
      <c r="E175" t="s">
        <v>1199</v>
      </c>
      <c r="F175" t="s">
        <v>1200</v>
      </c>
      <c r="G175">
        <v>4371</v>
      </c>
      <c r="H175">
        <v>4371</v>
      </c>
      <c r="I175">
        <v>4371</v>
      </c>
      <c r="J175">
        <v>4371</v>
      </c>
      <c r="K175">
        <v>0</v>
      </c>
      <c r="L175" s="2">
        <v>0</v>
      </c>
      <c r="M175" s="2">
        <v>0</v>
      </c>
      <c r="N175" s="2">
        <v>0</v>
      </c>
      <c r="O175" s="2">
        <v>110.85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110.85</v>
      </c>
      <c r="V175" t="s">
        <v>30</v>
      </c>
    </row>
    <row r="176" spans="1:22" x14ac:dyDescent="0.25">
      <c r="A176" t="s">
        <v>508</v>
      </c>
      <c r="B176" t="s">
        <v>1248</v>
      </c>
      <c r="C176" t="s">
        <v>1</v>
      </c>
      <c r="D176" t="s">
        <v>440</v>
      </c>
      <c r="E176" t="s">
        <v>1199</v>
      </c>
      <c r="F176" t="s">
        <v>1200</v>
      </c>
      <c r="G176">
        <v>4372</v>
      </c>
      <c r="H176">
        <v>4372</v>
      </c>
      <c r="I176">
        <v>4372</v>
      </c>
      <c r="J176">
        <v>4372</v>
      </c>
      <c r="K176">
        <v>0</v>
      </c>
      <c r="L176" s="2">
        <v>0</v>
      </c>
      <c r="M176" s="2">
        <v>0</v>
      </c>
      <c r="N176" s="2">
        <v>0</v>
      </c>
      <c r="O176" s="2">
        <v>282.5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282.5</v>
      </c>
      <c r="V176" t="s">
        <v>30</v>
      </c>
    </row>
    <row r="177" spans="1:22" x14ac:dyDescent="0.25">
      <c r="A177" t="s">
        <v>508</v>
      </c>
      <c r="B177" t="s">
        <v>1248</v>
      </c>
      <c r="C177" t="s">
        <v>1</v>
      </c>
      <c r="D177" t="s">
        <v>440</v>
      </c>
      <c r="E177" t="s">
        <v>1199</v>
      </c>
      <c r="F177" t="s">
        <v>1200</v>
      </c>
      <c r="G177">
        <v>4373</v>
      </c>
      <c r="H177">
        <v>4373</v>
      </c>
      <c r="I177">
        <v>4373</v>
      </c>
      <c r="J177">
        <v>4373</v>
      </c>
      <c r="K177">
        <v>0</v>
      </c>
      <c r="L177" s="2">
        <v>0</v>
      </c>
      <c r="M177" s="2">
        <v>0</v>
      </c>
      <c r="N177" s="2">
        <v>0</v>
      </c>
      <c r="O177" s="2">
        <v>170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170</v>
      </c>
      <c r="V177" t="s">
        <v>30</v>
      </c>
    </row>
    <row r="178" spans="1:22" x14ac:dyDescent="0.25">
      <c r="A178" t="s">
        <v>508</v>
      </c>
      <c r="B178" t="s">
        <v>1247</v>
      </c>
      <c r="C178" t="s">
        <v>1</v>
      </c>
      <c r="D178" t="s">
        <v>440</v>
      </c>
      <c r="E178" t="s">
        <v>1199</v>
      </c>
      <c r="F178" t="s">
        <v>1200</v>
      </c>
      <c r="G178">
        <v>4374</v>
      </c>
      <c r="H178">
        <v>4374</v>
      </c>
      <c r="I178">
        <v>4374</v>
      </c>
      <c r="J178">
        <v>4374</v>
      </c>
      <c r="K178">
        <v>0</v>
      </c>
      <c r="L178" s="2">
        <v>0</v>
      </c>
      <c r="M178" s="2">
        <v>0</v>
      </c>
      <c r="N178" s="2">
        <v>0</v>
      </c>
      <c r="O178" s="2">
        <v>31.07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31.07</v>
      </c>
      <c r="V178" t="s">
        <v>30</v>
      </c>
    </row>
    <row r="179" spans="1:22" x14ac:dyDescent="0.25">
      <c r="A179" t="s">
        <v>508</v>
      </c>
      <c r="B179" t="s">
        <v>1247</v>
      </c>
      <c r="C179" t="s">
        <v>1</v>
      </c>
      <c r="D179" t="s">
        <v>440</v>
      </c>
      <c r="E179" t="s">
        <v>1199</v>
      </c>
      <c r="F179" t="s">
        <v>1200</v>
      </c>
      <c r="G179">
        <v>4375</v>
      </c>
      <c r="H179">
        <v>4375</v>
      </c>
      <c r="I179">
        <v>4375</v>
      </c>
      <c r="J179">
        <v>4375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t="s">
        <v>30</v>
      </c>
    </row>
    <row r="180" spans="1:22" x14ac:dyDescent="0.25">
      <c r="A180" t="s">
        <v>508</v>
      </c>
      <c r="B180" t="s">
        <v>1247</v>
      </c>
      <c r="C180" t="s">
        <v>1</v>
      </c>
      <c r="D180" t="s">
        <v>440</v>
      </c>
      <c r="E180" t="s">
        <v>1199</v>
      </c>
      <c r="F180" t="s">
        <v>1200</v>
      </c>
      <c r="G180">
        <v>4376</v>
      </c>
      <c r="H180">
        <v>4376</v>
      </c>
      <c r="I180">
        <v>4376</v>
      </c>
      <c r="J180">
        <v>4376</v>
      </c>
      <c r="K180">
        <v>0</v>
      </c>
      <c r="L180" s="2">
        <v>0</v>
      </c>
      <c r="M180" s="2">
        <v>0</v>
      </c>
      <c r="N180" s="2">
        <v>0</v>
      </c>
      <c r="O180" s="2">
        <v>68.760000000000005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68.760000000000005</v>
      </c>
      <c r="V180" t="s">
        <v>30</v>
      </c>
    </row>
    <row r="181" spans="1:22" x14ac:dyDescent="0.25">
      <c r="A181" t="s">
        <v>508</v>
      </c>
      <c r="B181" t="s">
        <v>1247</v>
      </c>
      <c r="C181" t="s">
        <v>1</v>
      </c>
      <c r="D181" t="s">
        <v>440</v>
      </c>
      <c r="E181" t="s">
        <v>1199</v>
      </c>
      <c r="F181" t="s">
        <v>1200</v>
      </c>
      <c r="G181">
        <v>4377</v>
      </c>
      <c r="H181">
        <v>4377</v>
      </c>
      <c r="I181">
        <v>4377</v>
      </c>
      <c r="J181">
        <v>4377</v>
      </c>
      <c r="K181">
        <v>0</v>
      </c>
      <c r="L181" s="2">
        <v>0</v>
      </c>
      <c r="M181" s="2">
        <v>0</v>
      </c>
      <c r="N181" s="2">
        <v>0</v>
      </c>
      <c r="O181" s="2">
        <v>22.04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22.04</v>
      </c>
      <c r="V181" t="s">
        <v>30</v>
      </c>
    </row>
    <row r="182" spans="1:22" x14ac:dyDescent="0.25">
      <c r="A182" t="s">
        <v>508</v>
      </c>
      <c r="B182" t="s">
        <v>1247</v>
      </c>
      <c r="C182" t="s">
        <v>1</v>
      </c>
      <c r="D182" t="s">
        <v>440</v>
      </c>
      <c r="E182" t="s">
        <v>1199</v>
      </c>
      <c r="F182" t="s">
        <v>1200</v>
      </c>
      <c r="G182">
        <v>4378</v>
      </c>
      <c r="H182">
        <v>4378</v>
      </c>
      <c r="I182">
        <v>4378</v>
      </c>
      <c r="J182">
        <v>4378</v>
      </c>
      <c r="K182">
        <v>0</v>
      </c>
      <c r="L182" s="2">
        <v>0</v>
      </c>
      <c r="M182" s="2">
        <v>0</v>
      </c>
      <c r="N182" s="2">
        <v>0</v>
      </c>
      <c r="O182" s="2">
        <v>25.5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25.5</v>
      </c>
      <c r="V182" t="s">
        <v>30</v>
      </c>
    </row>
    <row r="183" spans="1:22" x14ac:dyDescent="0.25">
      <c r="A183" t="s">
        <v>508</v>
      </c>
      <c r="B183" t="s">
        <v>1246</v>
      </c>
      <c r="C183" t="s">
        <v>1</v>
      </c>
      <c r="D183" t="s">
        <v>440</v>
      </c>
      <c r="E183" t="s">
        <v>1199</v>
      </c>
      <c r="F183" t="s">
        <v>1200</v>
      </c>
      <c r="G183">
        <v>4379</v>
      </c>
      <c r="H183">
        <v>4379</v>
      </c>
      <c r="I183">
        <v>4379</v>
      </c>
      <c r="J183">
        <v>4379</v>
      </c>
      <c r="K183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t="s">
        <v>30</v>
      </c>
    </row>
    <row r="184" spans="1:22" x14ac:dyDescent="0.25">
      <c r="A184" t="s">
        <v>508</v>
      </c>
      <c r="B184" t="s">
        <v>1246</v>
      </c>
      <c r="C184" t="s">
        <v>1</v>
      </c>
      <c r="D184" t="s">
        <v>440</v>
      </c>
      <c r="E184" t="s">
        <v>1199</v>
      </c>
      <c r="F184" t="s">
        <v>1200</v>
      </c>
      <c r="G184">
        <v>4380</v>
      </c>
      <c r="H184">
        <v>4380</v>
      </c>
      <c r="I184">
        <v>4380</v>
      </c>
      <c r="J184">
        <v>4380</v>
      </c>
      <c r="K184">
        <v>0</v>
      </c>
      <c r="L184" s="2">
        <v>0</v>
      </c>
      <c r="M184" s="2">
        <v>0</v>
      </c>
      <c r="N184" s="2">
        <v>0</v>
      </c>
      <c r="O184" s="2">
        <v>113.23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113.23</v>
      </c>
      <c r="V184" t="s">
        <v>30</v>
      </c>
    </row>
    <row r="185" spans="1:22" x14ac:dyDescent="0.25">
      <c r="A185" t="s">
        <v>508</v>
      </c>
      <c r="B185" t="s">
        <v>1246</v>
      </c>
      <c r="C185" t="s">
        <v>1</v>
      </c>
      <c r="D185" t="s">
        <v>440</v>
      </c>
      <c r="E185" t="s">
        <v>1199</v>
      </c>
      <c r="F185" t="s">
        <v>1200</v>
      </c>
      <c r="G185">
        <v>4381</v>
      </c>
      <c r="H185">
        <v>4381</v>
      </c>
      <c r="I185">
        <v>4381</v>
      </c>
      <c r="J185">
        <v>4381</v>
      </c>
      <c r="K185">
        <v>0</v>
      </c>
      <c r="L185" s="2">
        <v>0</v>
      </c>
      <c r="M185" s="2">
        <v>0</v>
      </c>
      <c r="N185" s="2">
        <v>0</v>
      </c>
      <c r="O185" s="2">
        <v>287.02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287.02</v>
      </c>
      <c r="V185" t="s">
        <v>30</v>
      </c>
    </row>
    <row r="186" spans="1:22" x14ac:dyDescent="0.25">
      <c r="A186" t="s">
        <v>508</v>
      </c>
      <c r="B186" t="s">
        <v>1246</v>
      </c>
      <c r="C186" t="s">
        <v>1</v>
      </c>
      <c r="D186" t="s">
        <v>440</v>
      </c>
      <c r="E186" t="s">
        <v>1199</v>
      </c>
      <c r="F186" t="s">
        <v>1200</v>
      </c>
      <c r="G186">
        <v>4382</v>
      </c>
      <c r="H186">
        <v>4382</v>
      </c>
      <c r="I186">
        <v>4382</v>
      </c>
      <c r="J186">
        <v>4382</v>
      </c>
      <c r="K186">
        <v>0</v>
      </c>
      <c r="L186" s="2">
        <v>0</v>
      </c>
      <c r="M186" s="2">
        <v>0</v>
      </c>
      <c r="N186" s="2">
        <v>0</v>
      </c>
      <c r="O186" s="2">
        <v>1096.32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1096.32</v>
      </c>
      <c r="V186" t="s">
        <v>30</v>
      </c>
    </row>
    <row r="187" spans="1:22" x14ac:dyDescent="0.25">
      <c r="A187" t="s">
        <v>508</v>
      </c>
      <c r="B187" t="s">
        <v>1246</v>
      </c>
      <c r="C187" t="s">
        <v>1</v>
      </c>
      <c r="D187" t="s">
        <v>440</v>
      </c>
      <c r="E187" t="s">
        <v>1199</v>
      </c>
      <c r="F187" t="s">
        <v>1200</v>
      </c>
      <c r="G187">
        <v>4383</v>
      </c>
      <c r="H187">
        <v>4383</v>
      </c>
      <c r="I187">
        <v>4383</v>
      </c>
      <c r="J187">
        <v>4383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t="s">
        <v>30</v>
      </c>
    </row>
    <row r="188" spans="1:22" x14ac:dyDescent="0.25">
      <c r="A188" t="s">
        <v>508</v>
      </c>
      <c r="B188" t="s">
        <v>1246</v>
      </c>
      <c r="C188" t="s">
        <v>1</v>
      </c>
      <c r="D188" t="s">
        <v>440</v>
      </c>
      <c r="E188" t="s">
        <v>1199</v>
      </c>
      <c r="F188" t="s">
        <v>1200</v>
      </c>
      <c r="G188">
        <v>4384</v>
      </c>
      <c r="H188">
        <v>4384</v>
      </c>
      <c r="I188">
        <v>4384</v>
      </c>
      <c r="J188">
        <v>4384</v>
      </c>
      <c r="K188">
        <v>0</v>
      </c>
      <c r="L188" s="2">
        <v>0</v>
      </c>
      <c r="M188" s="2">
        <v>0</v>
      </c>
      <c r="N188" s="2">
        <v>0</v>
      </c>
      <c r="O188" s="2">
        <v>25.2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25.2</v>
      </c>
      <c r="V188" t="s">
        <v>30</v>
      </c>
    </row>
    <row r="189" spans="1:22" x14ac:dyDescent="0.25">
      <c r="A189" t="s">
        <v>508</v>
      </c>
      <c r="B189" t="s">
        <v>1245</v>
      </c>
      <c r="C189" t="s">
        <v>1</v>
      </c>
      <c r="D189" t="s">
        <v>440</v>
      </c>
      <c r="E189" t="s">
        <v>1199</v>
      </c>
      <c r="F189" t="s">
        <v>1200</v>
      </c>
      <c r="G189">
        <v>4385</v>
      </c>
      <c r="H189">
        <v>4385</v>
      </c>
      <c r="I189">
        <v>4385</v>
      </c>
      <c r="J189">
        <v>4385</v>
      </c>
      <c r="K189">
        <v>0</v>
      </c>
      <c r="L189" s="2">
        <v>0</v>
      </c>
      <c r="M189" s="2">
        <v>0</v>
      </c>
      <c r="N189" s="2">
        <v>0</v>
      </c>
      <c r="O189" s="2">
        <v>1223.92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1223.92</v>
      </c>
      <c r="V189" t="s">
        <v>30</v>
      </c>
    </row>
    <row r="190" spans="1:22" x14ac:dyDescent="0.25">
      <c r="A190" t="s">
        <v>508</v>
      </c>
      <c r="B190" t="s">
        <v>1244</v>
      </c>
      <c r="C190" t="s">
        <v>1</v>
      </c>
      <c r="D190" t="s">
        <v>440</v>
      </c>
      <c r="E190" t="s">
        <v>1199</v>
      </c>
      <c r="F190" t="s">
        <v>1200</v>
      </c>
      <c r="G190">
        <v>4386</v>
      </c>
      <c r="H190">
        <v>4386</v>
      </c>
      <c r="I190">
        <v>4386</v>
      </c>
      <c r="J190">
        <v>4386</v>
      </c>
      <c r="K190">
        <v>0</v>
      </c>
      <c r="L190" s="2">
        <v>0</v>
      </c>
      <c r="M190" s="2">
        <v>0</v>
      </c>
      <c r="N190" s="2">
        <v>0</v>
      </c>
      <c r="O190" s="2">
        <v>507.44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507.44</v>
      </c>
      <c r="V190" t="s">
        <v>30</v>
      </c>
    </row>
    <row r="191" spans="1:22" x14ac:dyDescent="0.25">
      <c r="A191" t="s">
        <v>508</v>
      </c>
      <c r="B191" t="s">
        <v>1244</v>
      </c>
      <c r="C191" t="s">
        <v>1</v>
      </c>
      <c r="D191" t="s">
        <v>440</v>
      </c>
      <c r="E191" t="s">
        <v>1199</v>
      </c>
      <c r="F191" t="s">
        <v>1200</v>
      </c>
      <c r="G191">
        <v>4387</v>
      </c>
      <c r="H191">
        <v>4387</v>
      </c>
      <c r="I191">
        <v>4387</v>
      </c>
      <c r="J191">
        <v>4387</v>
      </c>
      <c r="K191">
        <v>0</v>
      </c>
      <c r="L191" s="2">
        <v>0</v>
      </c>
      <c r="M191" s="2">
        <v>0</v>
      </c>
      <c r="N191" s="2">
        <v>0</v>
      </c>
      <c r="O191" s="2">
        <v>111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111</v>
      </c>
      <c r="V191" t="s">
        <v>30</v>
      </c>
    </row>
    <row r="192" spans="1:22" x14ac:dyDescent="0.25">
      <c r="A192" t="s">
        <v>508</v>
      </c>
      <c r="B192" t="s">
        <v>1243</v>
      </c>
      <c r="C192" t="s">
        <v>1</v>
      </c>
      <c r="D192" t="s">
        <v>440</v>
      </c>
      <c r="E192" t="s">
        <v>1199</v>
      </c>
      <c r="F192" t="s">
        <v>1200</v>
      </c>
      <c r="G192">
        <v>4388</v>
      </c>
      <c r="H192">
        <v>4388</v>
      </c>
      <c r="I192">
        <v>4388</v>
      </c>
      <c r="J192">
        <v>4388</v>
      </c>
      <c r="K192">
        <v>0</v>
      </c>
      <c r="L192" s="2">
        <v>0</v>
      </c>
      <c r="M192" s="2">
        <v>0</v>
      </c>
      <c r="N192" s="2">
        <v>0</v>
      </c>
      <c r="O192" s="2">
        <v>343.8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343.8</v>
      </c>
      <c r="V192" t="s">
        <v>30</v>
      </c>
    </row>
    <row r="193" spans="1:22" x14ac:dyDescent="0.25">
      <c r="A193" t="s">
        <v>508</v>
      </c>
      <c r="B193" t="s">
        <v>1243</v>
      </c>
      <c r="C193" t="s">
        <v>1</v>
      </c>
      <c r="D193" t="s">
        <v>440</v>
      </c>
      <c r="E193" t="s">
        <v>1199</v>
      </c>
      <c r="F193" t="s">
        <v>1200</v>
      </c>
      <c r="G193">
        <v>4389</v>
      </c>
      <c r="H193">
        <v>4389</v>
      </c>
      <c r="I193">
        <v>4389</v>
      </c>
      <c r="J193">
        <v>4389</v>
      </c>
      <c r="K193">
        <v>0</v>
      </c>
      <c r="L193" s="2">
        <v>0</v>
      </c>
      <c r="M193" s="2">
        <v>0</v>
      </c>
      <c r="N193" s="2">
        <v>0</v>
      </c>
      <c r="O193" s="2">
        <v>166.5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166.5</v>
      </c>
      <c r="V193" t="s">
        <v>30</v>
      </c>
    </row>
    <row r="194" spans="1:22" x14ac:dyDescent="0.25">
      <c r="A194" t="s">
        <v>508</v>
      </c>
      <c r="B194" t="s">
        <v>1242</v>
      </c>
      <c r="C194" t="s">
        <v>1</v>
      </c>
      <c r="D194" t="s">
        <v>440</v>
      </c>
      <c r="E194" t="s">
        <v>1199</v>
      </c>
      <c r="F194" t="s">
        <v>1200</v>
      </c>
      <c r="G194">
        <v>4390</v>
      </c>
      <c r="H194">
        <v>4390</v>
      </c>
      <c r="I194">
        <v>4390</v>
      </c>
      <c r="J194">
        <v>4390</v>
      </c>
      <c r="K194">
        <v>0</v>
      </c>
      <c r="L194" s="2">
        <v>0</v>
      </c>
      <c r="M194" s="2">
        <v>0</v>
      </c>
      <c r="N194" s="2">
        <v>0</v>
      </c>
      <c r="O194" s="2">
        <v>56.18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56.18</v>
      </c>
      <c r="V194" t="s">
        <v>30</v>
      </c>
    </row>
    <row r="195" spans="1:22" x14ac:dyDescent="0.25">
      <c r="A195" t="s">
        <v>508</v>
      </c>
      <c r="B195" t="s">
        <v>1242</v>
      </c>
      <c r="C195" t="s">
        <v>1</v>
      </c>
      <c r="D195" t="s">
        <v>440</v>
      </c>
      <c r="E195" t="s">
        <v>1199</v>
      </c>
      <c r="F195" t="s">
        <v>1200</v>
      </c>
      <c r="G195">
        <v>4391</v>
      </c>
      <c r="H195">
        <v>4391</v>
      </c>
      <c r="I195">
        <v>4391</v>
      </c>
      <c r="J195">
        <v>4391</v>
      </c>
      <c r="K195">
        <v>0</v>
      </c>
      <c r="L195" s="2">
        <v>0</v>
      </c>
      <c r="M195" s="2">
        <v>0</v>
      </c>
      <c r="N195" s="2">
        <v>0</v>
      </c>
      <c r="O195" s="2">
        <v>770.16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770.16</v>
      </c>
      <c r="V195" t="s">
        <v>30</v>
      </c>
    </row>
    <row r="196" spans="1:22" x14ac:dyDescent="0.25">
      <c r="A196" t="s">
        <v>508</v>
      </c>
      <c r="B196" t="s">
        <v>1242</v>
      </c>
      <c r="C196" t="s">
        <v>1</v>
      </c>
      <c r="D196" t="s">
        <v>440</v>
      </c>
      <c r="E196" t="s">
        <v>1199</v>
      </c>
      <c r="F196" t="s">
        <v>1200</v>
      </c>
      <c r="G196">
        <v>4392</v>
      </c>
      <c r="H196">
        <v>4392</v>
      </c>
      <c r="I196">
        <v>4392</v>
      </c>
      <c r="J196">
        <v>4392</v>
      </c>
      <c r="K196">
        <v>0</v>
      </c>
      <c r="L196" s="2">
        <v>0</v>
      </c>
      <c r="M196" s="2">
        <v>0</v>
      </c>
      <c r="N196" s="2">
        <v>0</v>
      </c>
      <c r="O196" s="2">
        <v>115.26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115.26</v>
      </c>
      <c r="V196" t="s">
        <v>30</v>
      </c>
    </row>
    <row r="197" spans="1:22" x14ac:dyDescent="0.25">
      <c r="A197" t="s">
        <v>508</v>
      </c>
      <c r="B197" t="s">
        <v>1242</v>
      </c>
      <c r="C197" t="s">
        <v>1</v>
      </c>
      <c r="D197" t="s">
        <v>440</v>
      </c>
      <c r="E197" t="s">
        <v>1199</v>
      </c>
      <c r="F197" t="s">
        <v>1200</v>
      </c>
      <c r="G197">
        <v>4393</v>
      </c>
      <c r="H197">
        <v>4393</v>
      </c>
      <c r="I197">
        <v>4393</v>
      </c>
      <c r="J197">
        <v>4393</v>
      </c>
      <c r="K197">
        <v>0</v>
      </c>
      <c r="L197" s="2">
        <v>0</v>
      </c>
      <c r="M197" s="2">
        <v>0</v>
      </c>
      <c r="N197" s="2">
        <v>0</v>
      </c>
      <c r="O197" s="2">
        <v>40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40</v>
      </c>
      <c r="V197" t="s">
        <v>30</v>
      </c>
    </row>
    <row r="198" spans="1:22" x14ac:dyDescent="0.25">
      <c r="A198" t="s">
        <v>508</v>
      </c>
      <c r="B198" t="s">
        <v>1242</v>
      </c>
      <c r="C198" t="s">
        <v>1</v>
      </c>
      <c r="D198" t="s">
        <v>440</v>
      </c>
      <c r="E198" t="s">
        <v>1199</v>
      </c>
      <c r="F198" t="s">
        <v>1200</v>
      </c>
      <c r="G198">
        <v>4394</v>
      </c>
      <c r="H198">
        <v>4394</v>
      </c>
      <c r="I198">
        <v>4394</v>
      </c>
      <c r="J198">
        <v>4394</v>
      </c>
      <c r="K198">
        <v>0</v>
      </c>
      <c r="L198" s="2">
        <v>0</v>
      </c>
      <c r="M198" s="2">
        <v>0</v>
      </c>
      <c r="N198" s="2">
        <v>0</v>
      </c>
      <c r="O198" s="2">
        <v>1006.54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1006.54</v>
      </c>
      <c r="V198" t="s">
        <v>30</v>
      </c>
    </row>
    <row r="199" spans="1:22" x14ac:dyDescent="0.25">
      <c r="A199" t="s">
        <v>508</v>
      </c>
      <c r="B199" t="s">
        <v>1242</v>
      </c>
      <c r="C199" t="s">
        <v>1</v>
      </c>
      <c r="D199" t="s">
        <v>440</v>
      </c>
      <c r="E199" t="s">
        <v>1199</v>
      </c>
      <c r="F199" t="s">
        <v>1200</v>
      </c>
      <c r="G199">
        <v>4395</v>
      </c>
      <c r="H199">
        <v>4395</v>
      </c>
      <c r="I199">
        <v>4395</v>
      </c>
      <c r="J199">
        <v>4395</v>
      </c>
      <c r="K199">
        <v>0</v>
      </c>
      <c r="L199" s="2">
        <v>0</v>
      </c>
      <c r="M199" s="2">
        <v>0</v>
      </c>
      <c r="N199" s="2">
        <v>0</v>
      </c>
      <c r="O199" s="2">
        <v>11.3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11.3</v>
      </c>
      <c r="V199" t="s">
        <v>30</v>
      </c>
    </row>
    <row r="200" spans="1:22" x14ac:dyDescent="0.25">
      <c r="A200" t="s">
        <v>508</v>
      </c>
      <c r="B200" t="s">
        <v>1242</v>
      </c>
      <c r="C200" t="s">
        <v>1</v>
      </c>
      <c r="D200" t="s">
        <v>440</v>
      </c>
      <c r="E200" t="s">
        <v>1199</v>
      </c>
      <c r="F200" t="s">
        <v>1200</v>
      </c>
      <c r="G200">
        <v>4396</v>
      </c>
      <c r="H200">
        <v>4396</v>
      </c>
      <c r="I200">
        <v>4396</v>
      </c>
      <c r="J200">
        <v>4396</v>
      </c>
      <c r="K200">
        <v>0</v>
      </c>
      <c r="L200" s="2">
        <v>0</v>
      </c>
      <c r="M200" s="2">
        <v>0</v>
      </c>
      <c r="N200" s="2">
        <v>0</v>
      </c>
      <c r="O200" s="2">
        <v>266.2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266.2</v>
      </c>
      <c r="V200" t="s">
        <v>30</v>
      </c>
    </row>
    <row r="201" spans="1:22" x14ac:dyDescent="0.25">
      <c r="A201" t="s">
        <v>508</v>
      </c>
      <c r="B201" t="s">
        <v>1241</v>
      </c>
      <c r="C201" t="s">
        <v>1</v>
      </c>
      <c r="D201" t="s">
        <v>440</v>
      </c>
      <c r="E201" t="s">
        <v>1199</v>
      </c>
      <c r="F201" t="s">
        <v>1200</v>
      </c>
      <c r="G201">
        <v>4397</v>
      </c>
      <c r="H201">
        <v>4397</v>
      </c>
      <c r="I201">
        <v>4397</v>
      </c>
      <c r="J201">
        <v>4397</v>
      </c>
      <c r="K201">
        <v>0</v>
      </c>
      <c r="L201" s="2">
        <v>0</v>
      </c>
      <c r="M201" s="2">
        <v>0</v>
      </c>
      <c r="N201" s="2">
        <v>0</v>
      </c>
      <c r="O201" s="2">
        <v>565.24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565.24</v>
      </c>
      <c r="V201" t="s">
        <v>30</v>
      </c>
    </row>
    <row r="202" spans="1:22" x14ac:dyDescent="0.25">
      <c r="A202" t="s">
        <v>508</v>
      </c>
      <c r="B202" t="s">
        <v>1241</v>
      </c>
      <c r="C202" t="s">
        <v>1</v>
      </c>
      <c r="D202" t="s">
        <v>440</v>
      </c>
      <c r="E202" t="s">
        <v>1199</v>
      </c>
      <c r="F202" t="s">
        <v>1200</v>
      </c>
      <c r="G202">
        <v>4398</v>
      </c>
      <c r="H202">
        <v>4398</v>
      </c>
      <c r="I202">
        <v>4398</v>
      </c>
      <c r="J202">
        <v>4398</v>
      </c>
      <c r="K202">
        <v>0</v>
      </c>
      <c r="L202" s="2">
        <v>0</v>
      </c>
      <c r="M202" s="2">
        <v>0</v>
      </c>
      <c r="N202" s="2">
        <v>0</v>
      </c>
      <c r="O202" s="2">
        <v>448.8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448.8</v>
      </c>
      <c r="V202" t="s">
        <v>30</v>
      </c>
    </row>
    <row r="203" spans="1:22" x14ac:dyDescent="0.25">
      <c r="A203" t="s">
        <v>508</v>
      </c>
      <c r="B203" t="s">
        <v>1241</v>
      </c>
      <c r="C203" t="s">
        <v>1</v>
      </c>
      <c r="D203" t="s">
        <v>440</v>
      </c>
      <c r="E203" t="s">
        <v>1199</v>
      </c>
      <c r="F203" t="s">
        <v>1200</v>
      </c>
      <c r="G203">
        <v>4399</v>
      </c>
      <c r="H203">
        <v>4399</v>
      </c>
      <c r="I203">
        <v>4399</v>
      </c>
      <c r="J203">
        <v>4399</v>
      </c>
      <c r="K203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t="s">
        <v>30</v>
      </c>
    </row>
    <row r="204" spans="1:22" x14ac:dyDescent="0.25">
      <c r="A204" t="s">
        <v>508</v>
      </c>
      <c r="B204" t="s">
        <v>1241</v>
      </c>
      <c r="C204" t="s">
        <v>1</v>
      </c>
      <c r="D204" t="s">
        <v>440</v>
      </c>
      <c r="E204" t="s">
        <v>1199</v>
      </c>
      <c r="F204" t="s">
        <v>1200</v>
      </c>
      <c r="G204">
        <v>4400</v>
      </c>
      <c r="H204">
        <v>4400</v>
      </c>
      <c r="I204">
        <v>4400</v>
      </c>
      <c r="J204">
        <v>4400</v>
      </c>
      <c r="K204">
        <v>0</v>
      </c>
      <c r="L204" s="2">
        <v>0</v>
      </c>
      <c r="M204" s="2">
        <v>0</v>
      </c>
      <c r="N204" s="2">
        <v>0</v>
      </c>
      <c r="O204" s="2">
        <v>12.49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12.49</v>
      </c>
      <c r="V204" t="s">
        <v>30</v>
      </c>
    </row>
    <row r="205" spans="1:22" x14ac:dyDescent="0.25">
      <c r="A205" t="s">
        <v>508</v>
      </c>
      <c r="B205" t="s">
        <v>1241</v>
      </c>
      <c r="C205" t="s">
        <v>1</v>
      </c>
      <c r="D205" t="s">
        <v>440</v>
      </c>
      <c r="E205" t="s">
        <v>1199</v>
      </c>
      <c r="F205" t="s">
        <v>1200</v>
      </c>
      <c r="G205">
        <v>4401</v>
      </c>
      <c r="H205">
        <v>4401</v>
      </c>
      <c r="I205">
        <v>4401</v>
      </c>
      <c r="J205">
        <v>4401</v>
      </c>
      <c r="K205">
        <v>0</v>
      </c>
      <c r="L205" s="2">
        <v>0</v>
      </c>
      <c r="M205" s="2">
        <v>0</v>
      </c>
      <c r="N205" s="2">
        <v>0</v>
      </c>
      <c r="O205" s="2">
        <v>3.02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3.02</v>
      </c>
      <c r="V205" t="s">
        <v>30</v>
      </c>
    </row>
    <row r="206" spans="1:22" x14ac:dyDescent="0.25">
      <c r="A206" t="s">
        <v>508</v>
      </c>
      <c r="B206" t="s">
        <v>1241</v>
      </c>
      <c r="C206" t="s">
        <v>1</v>
      </c>
      <c r="D206" t="s">
        <v>440</v>
      </c>
      <c r="E206" t="s">
        <v>1199</v>
      </c>
      <c r="F206" t="s">
        <v>1200</v>
      </c>
      <c r="G206">
        <v>4402</v>
      </c>
      <c r="H206">
        <v>4402</v>
      </c>
      <c r="I206">
        <v>4402</v>
      </c>
      <c r="J206">
        <v>4402</v>
      </c>
      <c r="K206">
        <v>0</v>
      </c>
      <c r="L206" s="2">
        <v>0</v>
      </c>
      <c r="M206" s="2">
        <v>0</v>
      </c>
      <c r="N206" s="2">
        <v>0</v>
      </c>
      <c r="O206" s="2">
        <v>46.38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46.38</v>
      </c>
      <c r="V206" t="s">
        <v>30</v>
      </c>
    </row>
    <row r="207" spans="1:22" x14ac:dyDescent="0.25">
      <c r="A207" t="s">
        <v>508</v>
      </c>
      <c r="B207" t="s">
        <v>1241</v>
      </c>
      <c r="C207" t="s">
        <v>1</v>
      </c>
      <c r="D207" t="s">
        <v>440</v>
      </c>
      <c r="E207" t="s">
        <v>1199</v>
      </c>
      <c r="F207" t="s">
        <v>1200</v>
      </c>
      <c r="G207">
        <v>4403</v>
      </c>
      <c r="H207">
        <v>4403</v>
      </c>
      <c r="I207">
        <v>4403</v>
      </c>
      <c r="J207">
        <v>4403</v>
      </c>
      <c r="K207">
        <v>0</v>
      </c>
      <c r="L207" s="2">
        <v>0</v>
      </c>
      <c r="M207" s="2">
        <v>0</v>
      </c>
      <c r="N207" s="2">
        <v>0</v>
      </c>
      <c r="O207" s="2">
        <v>92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92</v>
      </c>
      <c r="V207" t="s">
        <v>30</v>
      </c>
    </row>
    <row r="208" spans="1:22" x14ac:dyDescent="0.25">
      <c r="A208" t="s">
        <v>508</v>
      </c>
      <c r="B208" t="s">
        <v>1241</v>
      </c>
      <c r="C208" t="s">
        <v>1</v>
      </c>
      <c r="D208" t="s">
        <v>440</v>
      </c>
      <c r="E208" t="s">
        <v>1199</v>
      </c>
      <c r="F208" t="s">
        <v>1200</v>
      </c>
      <c r="G208">
        <v>4404</v>
      </c>
      <c r="H208">
        <v>4404</v>
      </c>
      <c r="I208">
        <v>4404</v>
      </c>
      <c r="J208">
        <v>4404</v>
      </c>
      <c r="K208">
        <v>0</v>
      </c>
      <c r="L208" s="2">
        <v>0</v>
      </c>
      <c r="M208" s="2">
        <v>0</v>
      </c>
      <c r="N208" s="2">
        <v>0</v>
      </c>
      <c r="O208" s="2">
        <v>1221.1500000000001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1221.1500000000001</v>
      </c>
      <c r="V208" t="s">
        <v>30</v>
      </c>
    </row>
    <row r="209" spans="1:22" x14ac:dyDescent="0.25">
      <c r="A209" t="s">
        <v>508</v>
      </c>
      <c r="B209" t="s">
        <v>1241</v>
      </c>
      <c r="C209" t="s">
        <v>1</v>
      </c>
      <c r="D209" t="s">
        <v>440</v>
      </c>
      <c r="E209" t="s">
        <v>1199</v>
      </c>
      <c r="F209" t="s">
        <v>1200</v>
      </c>
      <c r="G209">
        <v>4405</v>
      </c>
      <c r="H209">
        <v>4405</v>
      </c>
      <c r="I209">
        <v>4405</v>
      </c>
      <c r="J209">
        <v>4405</v>
      </c>
      <c r="K209">
        <v>0</v>
      </c>
      <c r="L209" s="2">
        <v>0</v>
      </c>
      <c r="M209" s="2">
        <v>0</v>
      </c>
      <c r="N209" s="2">
        <v>0</v>
      </c>
      <c r="O209" s="2">
        <v>51.62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51.62</v>
      </c>
      <c r="V209" t="s">
        <v>30</v>
      </c>
    </row>
    <row r="210" spans="1:22" x14ac:dyDescent="0.25">
      <c r="A210" t="s">
        <v>508</v>
      </c>
      <c r="B210" t="s">
        <v>1241</v>
      </c>
      <c r="C210" t="s">
        <v>1</v>
      </c>
      <c r="D210" t="s">
        <v>440</v>
      </c>
      <c r="E210" t="s">
        <v>1199</v>
      </c>
      <c r="F210" t="s">
        <v>1200</v>
      </c>
      <c r="G210">
        <v>4406</v>
      </c>
      <c r="H210">
        <v>4406</v>
      </c>
      <c r="I210">
        <v>4406</v>
      </c>
      <c r="J210">
        <v>4406</v>
      </c>
      <c r="K210">
        <v>0</v>
      </c>
      <c r="L210" s="2">
        <v>0</v>
      </c>
      <c r="M210" s="2">
        <v>0</v>
      </c>
      <c r="N210" s="2">
        <v>0</v>
      </c>
      <c r="O210" s="2">
        <v>75.03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75.03</v>
      </c>
      <c r="V210" t="s">
        <v>30</v>
      </c>
    </row>
    <row r="211" spans="1:22" x14ac:dyDescent="0.25">
      <c r="A211" t="s">
        <v>508</v>
      </c>
      <c r="B211" t="s">
        <v>1241</v>
      </c>
      <c r="C211" t="s">
        <v>1</v>
      </c>
      <c r="D211" t="s">
        <v>440</v>
      </c>
      <c r="E211" t="s">
        <v>1199</v>
      </c>
      <c r="F211" t="s">
        <v>1200</v>
      </c>
      <c r="G211">
        <v>4407</v>
      </c>
      <c r="H211">
        <v>4407</v>
      </c>
      <c r="I211">
        <v>4407</v>
      </c>
      <c r="J211">
        <v>4407</v>
      </c>
      <c r="K211">
        <v>0</v>
      </c>
      <c r="L211" s="2">
        <v>0</v>
      </c>
      <c r="M211" s="2">
        <v>0</v>
      </c>
      <c r="N211" s="2">
        <v>0</v>
      </c>
      <c r="O211" s="2">
        <v>266.2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266.2</v>
      </c>
      <c r="V211" t="s">
        <v>30</v>
      </c>
    </row>
    <row r="212" spans="1:22" x14ac:dyDescent="0.25">
      <c r="A212" t="s">
        <v>508</v>
      </c>
      <c r="B212" t="s">
        <v>1240</v>
      </c>
      <c r="C212" t="s">
        <v>1</v>
      </c>
      <c r="D212" t="s">
        <v>440</v>
      </c>
      <c r="E212" t="s">
        <v>1199</v>
      </c>
      <c r="F212" t="s">
        <v>1200</v>
      </c>
      <c r="G212">
        <v>4408</v>
      </c>
      <c r="H212">
        <v>4408</v>
      </c>
      <c r="I212">
        <v>4408</v>
      </c>
      <c r="J212">
        <v>4408</v>
      </c>
      <c r="K212">
        <v>0</v>
      </c>
      <c r="L212" s="2">
        <v>0</v>
      </c>
      <c r="M212" s="2">
        <v>0</v>
      </c>
      <c r="N212" s="2">
        <v>0</v>
      </c>
      <c r="O212" s="2">
        <v>42.5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42.5</v>
      </c>
      <c r="V212" t="s">
        <v>30</v>
      </c>
    </row>
    <row r="213" spans="1:22" x14ac:dyDescent="0.25">
      <c r="A213" t="s">
        <v>508</v>
      </c>
      <c r="B213" t="s">
        <v>1240</v>
      </c>
      <c r="C213" t="s">
        <v>1</v>
      </c>
      <c r="D213" t="s">
        <v>440</v>
      </c>
      <c r="E213" t="s">
        <v>1199</v>
      </c>
      <c r="F213" t="s">
        <v>1200</v>
      </c>
      <c r="G213">
        <v>4409</v>
      </c>
      <c r="H213">
        <v>4409</v>
      </c>
      <c r="I213">
        <v>4409</v>
      </c>
      <c r="J213">
        <v>4409</v>
      </c>
      <c r="K213">
        <v>0</v>
      </c>
      <c r="L213" s="2">
        <v>0</v>
      </c>
      <c r="M213" s="2">
        <v>0</v>
      </c>
      <c r="N213" s="2">
        <v>0</v>
      </c>
      <c r="O213" s="2">
        <v>14.51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14.51</v>
      </c>
      <c r="V213" t="s">
        <v>30</v>
      </c>
    </row>
    <row r="214" spans="1:22" x14ac:dyDescent="0.25">
      <c r="A214" t="s">
        <v>508</v>
      </c>
      <c r="B214" t="s">
        <v>1240</v>
      </c>
      <c r="C214" t="s">
        <v>1</v>
      </c>
      <c r="D214" t="s">
        <v>440</v>
      </c>
      <c r="E214" t="s">
        <v>1199</v>
      </c>
      <c r="F214" t="s">
        <v>1200</v>
      </c>
      <c r="G214">
        <v>4410</v>
      </c>
      <c r="H214">
        <v>4410</v>
      </c>
      <c r="I214">
        <v>4410</v>
      </c>
      <c r="J214">
        <v>4410</v>
      </c>
      <c r="K214">
        <v>0</v>
      </c>
      <c r="L214" s="2">
        <v>0</v>
      </c>
      <c r="M214" s="2">
        <v>0</v>
      </c>
      <c r="N214" s="2">
        <v>0</v>
      </c>
      <c r="O214" s="2">
        <v>469.21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469.21</v>
      </c>
      <c r="V214" t="s">
        <v>30</v>
      </c>
    </row>
    <row r="215" spans="1:22" x14ac:dyDescent="0.25">
      <c r="A215" t="s">
        <v>508</v>
      </c>
      <c r="B215" t="s">
        <v>1240</v>
      </c>
      <c r="C215" t="s">
        <v>1</v>
      </c>
      <c r="D215" t="s">
        <v>440</v>
      </c>
      <c r="E215" t="s">
        <v>1199</v>
      </c>
      <c r="F215" t="s">
        <v>1200</v>
      </c>
      <c r="G215">
        <v>4411</v>
      </c>
      <c r="H215">
        <v>4411</v>
      </c>
      <c r="I215">
        <v>4411</v>
      </c>
      <c r="J215">
        <v>4411</v>
      </c>
      <c r="K215">
        <v>0</v>
      </c>
      <c r="L215" s="2">
        <v>0</v>
      </c>
      <c r="M215" s="2">
        <v>0</v>
      </c>
      <c r="N215" s="2">
        <v>0</v>
      </c>
      <c r="O215" s="2">
        <v>63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63</v>
      </c>
      <c r="V215" t="s">
        <v>30</v>
      </c>
    </row>
    <row r="216" spans="1:22" x14ac:dyDescent="0.25">
      <c r="A216" t="s">
        <v>508</v>
      </c>
      <c r="B216" t="s">
        <v>1240</v>
      </c>
      <c r="C216" t="s">
        <v>1</v>
      </c>
      <c r="D216" t="s">
        <v>440</v>
      </c>
      <c r="E216" t="s">
        <v>1199</v>
      </c>
      <c r="F216" t="s">
        <v>1200</v>
      </c>
      <c r="G216">
        <v>4412</v>
      </c>
      <c r="H216">
        <v>4412</v>
      </c>
      <c r="I216">
        <v>4412</v>
      </c>
      <c r="J216">
        <v>4412</v>
      </c>
      <c r="K216">
        <v>0</v>
      </c>
      <c r="L216" s="2">
        <v>0</v>
      </c>
      <c r="M216" s="2">
        <v>0</v>
      </c>
      <c r="N216" s="2">
        <v>0</v>
      </c>
      <c r="O216" s="2">
        <v>115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115</v>
      </c>
      <c r="V216" t="s">
        <v>30</v>
      </c>
    </row>
    <row r="217" spans="1:22" x14ac:dyDescent="0.25">
      <c r="A217" t="s">
        <v>508</v>
      </c>
      <c r="B217" t="s">
        <v>1240</v>
      </c>
      <c r="C217" t="s">
        <v>1</v>
      </c>
      <c r="D217" t="s">
        <v>440</v>
      </c>
      <c r="E217" t="s">
        <v>1199</v>
      </c>
      <c r="F217" t="s">
        <v>1200</v>
      </c>
      <c r="G217">
        <v>4413</v>
      </c>
      <c r="H217">
        <v>4413</v>
      </c>
      <c r="I217">
        <v>4413</v>
      </c>
      <c r="J217">
        <v>4413</v>
      </c>
      <c r="K217">
        <v>0</v>
      </c>
      <c r="L217" s="2">
        <v>0</v>
      </c>
      <c r="M217" s="2">
        <v>0</v>
      </c>
      <c r="N217" s="2">
        <v>0</v>
      </c>
      <c r="O217" s="2">
        <v>10.66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10.66</v>
      </c>
      <c r="V217" t="s">
        <v>30</v>
      </c>
    </row>
    <row r="218" spans="1:22" x14ac:dyDescent="0.25">
      <c r="A218" t="s">
        <v>508</v>
      </c>
      <c r="B218" t="s">
        <v>1239</v>
      </c>
      <c r="C218" t="s">
        <v>1</v>
      </c>
      <c r="D218" t="s">
        <v>440</v>
      </c>
      <c r="E218" t="s">
        <v>1199</v>
      </c>
      <c r="F218" t="s">
        <v>1200</v>
      </c>
      <c r="G218">
        <v>4414</v>
      </c>
      <c r="H218">
        <v>4414</v>
      </c>
      <c r="I218">
        <v>4414</v>
      </c>
      <c r="J218">
        <v>4414</v>
      </c>
      <c r="K218">
        <v>0</v>
      </c>
      <c r="L218" s="2">
        <v>0</v>
      </c>
      <c r="M218" s="2">
        <v>0</v>
      </c>
      <c r="N218" s="2">
        <v>0</v>
      </c>
      <c r="O218" s="2">
        <v>226.85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226.85</v>
      </c>
      <c r="V218" t="s">
        <v>30</v>
      </c>
    </row>
    <row r="219" spans="1:22" x14ac:dyDescent="0.25">
      <c r="A219" t="s">
        <v>508</v>
      </c>
      <c r="B219" t="s">
        <v>1239</v>
      </c>
      <c r="C219" t="s">
        <v>1</v>
      </c>
      <c r="D219" t="s">
        <v>440</v>
      </c>
      <c r="E219" t="s">
        <v>1199</v>
      </c>
      <c r="F219" t="s">
        <v>1200</v>
      </c>
      <c r="G219">
        <v>4415</v>
      </c>
      <c r="H219">
        <v>4415</v>
      </c>
      <c r="I219">
        <v>4415</v>
      </c>
      <c r="J219">
        <v>4415</v>
      </c>
      <c r="K219">
        <v>0</v>
      </c>
      <c r="L219" s="2">
        <v>0</v>
      </c>
      <c r="M219" s="2">
        <v>0</v>
      </c>
      <c r="N219" s="2">
        <v>0</v>
      </c>
      <c r="O219" s="2">
        <v>47.34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47.34</v>
      </c>
      <c r="V219" t="s">
        <v>30</v>
      </c>
    </row>
    <row r="220" spans="1:22" x14ac:dyDescent="0.25">
      <c r="A220" t="s">
        <v>508</v>
      </c>
      <c r="B220" t="s">
        <v>1239</v>
      </c>
      <c r="C220" t="s">
        <v>1</v>
      </c>
      <c r="D220" t="s">
        <v>440</v>
      </c>
      <c r="E220" t="s">
        <v>1199</v>
      </c>
      <c r="F220" t="s">
        <v>1200</v>
      </c>
      <c r="G220">
        <v>4416</v>
      </c>
      <c r="H220">
        <v>4416</v>
      </c>
      <c r="I220">
        <v>4416</v>
      </c>
      <c r="J220">
        <v>4416</v>
      </c>
      <c r="K220">
        <v>0</v>
      </c>
      <c r="L220" s="2">
        <v>0</v>
      </c>
      <c r="M220" s="2">
        <v>0</v>
      </c>
      <c r="N220" s="2">
        <v>0</v>
      </c>
      <c r="O220" s="2">
        <v>89.65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89.65</v>
      </c>
      <c r="V220" t="s">
        <v>30</v>
      </c>
    </row>
    <row r="221" spans="1:22" x14ac:dyDescent="0.25">
      <c r="A221" t="s">
        <v>508</v>
      </c>
      <c r="B221" t="s">
        <v>1239</v>
      </c>
      <c r="C221" t="s">
        <v>1</v>
      </c>
      <c r="D221" t="s">
        <v>440</v>
      </c>
      <c r="E221" t="s">
        <v>1199</v>
      </c>
      <c r="F221" t="s">
        <v>1200</v>
      </c>
      <c r="G221">
        <v>4417</v>
      </c>
      <c r="H221">
        <v>4417</v>
      </c>
      <c r="I221">
        <v>4417</v>
      </c>
      <c r="J221">
        <v>4417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t="s">
        <v>30</v>
      </c>
    </row>
    <row r="222" spans="1:22" x14ac:dyDescent="0.25">
      <c r="A222" t="s">
        <v>508</v>
      </c>
      <c r="B222" t="s">
        <v>1239</v>
      </c>
      <c r="C222" t="s">
        <v>1</v>
      </c>
      <c r="D222" t="s">
        <v>440</v>
      </c>
      <c r="E222" t="s">
        <v>1199</v>
      </c>
      <c r="F222" t="s">
        <v>1200</v>
      </c>
      <c r="G222">
        <v>4418</v>
      </c>
      <c r="H222">
        <v>4418</v>
      </c>
      <c r="I222">
        <v>4418</v>
      </c>
      <c r="J222">
        <v>4418</v>
      </c>
      <c r="K222">
        <v>0</v>
      </c>
      <c r="L222" s="2">
        <v>0</v>
      </c>
      <c r="M222" s="2">
        <v>0</v>
      </c>
      <c r="N222" s="2">
        <v>0</v>
      </c>
      <c r="O222" s="2">
        <v>114.44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114.44</v>
      </c>
      <c r="V222" t="s">
        <v>30</v>
      </c>
    </row>
    <row r="223" spans="1:22" x14ac:dyDescent="0.25">
      <c r="A223" t="s">
        <v>508</v>
      </c>
      <c r="B223" t="s">
        <v>1238</v>
      </c>
      <c r="C223" t="s">
        <v>1</v>
      </c>
      <c r="D223" t="s">
        <v>440</v>
      </c>
      <c r="E223" t="s">
        <v>1199</v>
      </c>
      <c r="F223" t="s">
        <v>1200</v>
      </c>
      <c r="G223">
        <v>4419</v>
      </c>
      <c r="H223">
        <v>4419</v>
      </c>
      <c r="I223">
        <v>4419</v>
      </c>
      <c r="J223">
        <v>4419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t="s">
        <v>30</v>
      </c>
    </row>
    <row r="224" spans="1:22" x14ac:dyDescent="0.25">
      <c r="A224" t="s">
        <v>508</v>
      </c>
      <c r="B224" t="s">
        <v>1238</v>
      </c>
      <c r="C224" t="s">
        <v>1</v>
      </c>
      <c r="D224" t="s">
        <v>440</v>
      </c>
      <c r="E224" t="s">
        <v>1199</v>
      </c>
      <c r="F224" t="s">
        <v>1200</v>
      </c>
      <c r="G224">
        <v>4420</v>
      </c>
      <c r="H224">
        <v>4420</v>
      </c>
      <c r="I224">
        <v>4420</v>
      </c>
      <c r="J224">
        <v>4420</v>
      </c>
      <c r="K224">
        <v>0</v>
      </c>
      <c r="L224" s="2">
        <v>0</v>
      </c>
      <c r="M224" s="2">
        <v>0</v>
      </c>
      <c r="N224" s="2">
        <v>0</v>
      </c>
      <c r="O224" s="2">
        <v>250.18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250.18</v>
      </c>
      <c r="V224" t="s">
        <v>30</v>
      </c>
    </row>
    <row r="225" spans="1:22" x14ac:dyDescent="0.25">
      <c r="A225" t="s">
        <v>508</v>
      </c>
      <c r="B225" t="s">
        <v>1238</v>
      </c>
      <c r="C225" t="s">
        <v>1</v>
      </c>
      <c r="D225" t="s">
        <v>440</v>
      </c>
      <c r="E225" t="s">
        <v>1199</v>
      </c>
      <c r="F225" t="s">
        <v>1200</v>
      </c>
      <c r="G225">
        <v>4421</v>
      </c>
      <c r="H225">
        <v>4421</v>
      </c>
      <c r="I225">
        <v>4421</v>
      </c>
      <c r="J225">
        <v>4421</v>
      </c>
      <c r="K225">
        <v>0</v>
      </c>
      <c r="L225" s="2">
        <v>0</v>
      </c>
      <c r="M225" s="2">
        <v>0</v>
      </c>
      <c r="N225" s="2">
        <v>0</v>
      </c>
      <c r="O225" s="2">
        <v>175.8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175.8</v>
      </c>
      <c r="V225" t="s">
        <v>30</v>
      </c>
    </row>
    <row r="226" spans="1:22" x14ac:dyDescent="0.25">
      <c r="A226" t="s">
        <v>508</v>
      </c>
      <c r="B226" t="s">
        <v>1238</v>
      </c>
      <c r="C226" t="s">
        <v>1</v>
      </c>
      <c r="D226" t="s">
        <v>440</v>
      </c>
      <c r="E226" t="s">
        <v>1199</v>
      </c>
      <c r="F226" t="s">
        <v>1200</v>
      </c>
      <c r="G226">
        <v>4422</v>
      </c>
      <c r="H226">
        <v>4422</v>
      </c>
      <c r="I226">
        <v>4422</v>
      </c>
      <c r="J226">
        <v>4422</v>
      </c>
      <c r="K226">
        <v>0</v>
      </c>
      <c r="L226" s="2">
        <v>0</v>
      </c>
      <c r="M226" s="2">
        <v>0</v>
      </c>
      <c r="N226" s="2">
        <v>0</v>
      </c>
      <c r="O226" s="2">
        <v>919.99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919.99</v>
      </c>
      <c r="V226" t="s">
        <v>30</v>
      </c>
    </row>
    <row r="227" spans="1:22" x14ac:dyDescent="0.25">
      <c r="A227" t="s">
        <v>508</v>
      </c>
      <c r="B227" t="s">
        <v>1238</v>
      </c>
      <c r="C227" t="s">
        <v>1</v>
      </c>
      <c r="D227" t="s">
        <v>440</v>
      </c>
      <c r="E227" t="s">
        <v>1199</v>
      </c>
      <c r="F227" t="s">
        <v>1200</v>
      </c>
      <c r="G227">
        <v>4423</v>
      </c>
      <c r="H227">
        <v>4423</v>
      </c>
      <c r="I227">
        <v>4423</v>
      </c>
      <c r="J227">
        <v>4423</v>
      </c>
      <c r="K227">
        <v>0</v>
      </c>
      <c r="L227" s="2">
        <v>0</v>
      </c>
      <c r="M227" s="2">
        <v>0</v>
      </c>
      <c r="N227" s="2">
        <v>0</v>
      </c>
      <c r="O227" s="2">
        <v>240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240</v>
      </c>
      <c r="V227" t="s">
        <v>30</v>
      </c>
    </row>
    <row r="228" spans="1:22" x14ac:dyDescent="0.25">
      <c r="A228" t="s">
        <v>508</v>
      </c>
      <c r="B228" t="s">
        <v>1237</v>
      </c>
      <c r="C228" t="s">
        <v>1</v>
      </c>
      <c r="D228" t="s">
        <v>440</v>
      </c>
      <c r="E228" t="s">
        <v>1199</v>
      </c>
      <c r="F228" t="s">
        <v>1200</v>
      </c>
      <c r="G228">
        <v>4424</v>
      </c>
      <c r="H228">
        <v>4424</v>
      </c>
      <c r="I228">
        <v>4424</v>
      </c>
      <c r="J228">
        <v>4424</v>
      </c>
      <c r="K228">
        <v>0</v>
      </c>
      <c r="L228" s="2">
        <v>0</v>
      </c>
      <c r="M228" s="2">
        <v>0</v>
      </c>
      <c r="N228" s="2">
        <v>0</v>
      </c>
      <c r="O228" s="2">
        <v>115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115</v>
      </c>
      <c r="V228" t="s">
        <v>30</v>
      </c>
    </row>
    <row r="229" spans="1:22" x14ac:dyDescent="0.25">
      <c r="A229" t="s">
        <v>508</v>
      </c>
      <c r="B229" t="s">
        <v>1237</v>
      </c>
      <c r="C229" t="s">
        <v>1</v>
      </c>
      <c r="D229" t="s">
        <v>440</v>
      </c>
      <c r="E229" t="s">
        <v>1199</v>
      </c>
      <c r="F229" t="s">
        <v>1200</v>
      </c>
      <c r="G229">
        <v>4425</v>
      </c>
      <c r="H229">
        <v>4425</v>
      </c>
      <c r="I229">
        <v>4425</v>
      </c>
      <c r="J229">
        <v>4425</v>
      </c>
      <c r="K229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t="s">
        <v>30</v>
      </c>
    </row>
    <row r="230" spans="1:22" x14ac:dyDescent="0.25">
      <c r="A230" t="s">
        <v>508</v>
      </c>
      <c r="B230" t="s">
        <v>1237</v>
      </c>
      <c r="C230" t="s">
        <v>1</v>
      </c>
      <c r="D230" t="s">
        <v>440</v>
      </c>
      <c r="E230" t="s">
        <v>1199</v>
      </c>
      <c r="F230" t="s">
        <v>1200</v>
      </c>
      <c r="G230">
        <v>4426</v>
      </c>
      <c r="H230">
        <v>4426</v>
      </c>
      <c r="I230">
        <v>4426</v>
      </c>
      <c r="J230">
        <v>4426</v>
      </c>
      <c r="K230">
        <v>0</v>
      </c>
      <c r="L230" s="2">
        <v>0</v>
      </c>
      <c r="M230" s="2">
        <v>0</v>
      </c>
      <c r="N230" s="2">
        <v>0</v>
      </c>
      <c r="O230" s="2">
        <v>518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518</v>
      </c>
      <c r="V230" t="s">
        <v>30</v>
      </c>
    </row>
    <row r="231" spans="1:22" x14ac:dyDescent="0.25">
      <c r="A231" t="s">
        <v>508</v>
      </c>
      <c r="B231" t="s">
        <v>1237</v>
      </c>
      <c r="C231" t="s">
        <v>1</v>
      </c>
      <c r="D231" t="s">
        <v>440</v>
      </c>
      <c r="E231" t="s">
        <v>1199</v>
      </c>
      <c r="F231" t="s">
        <v>1200</v>
      </c>
      <c r="G231">
        <v>4427</v>
      </c>
      <c r="H231">
        <v>4427</v>
      </c>
      <c r="I231">
        <v>4427</v>
      </c>
      <c r="J231">
        <v>4427</v>
      </c>
      <c r="K231">
        <v>0</v>
      </c>
      <c r="L231" s="2">
        <v>0</v>
      </c>
      <c r="M231" s="2">
        <v>0</v>
      </c>
      <c r="N231" s="2">
        <v>0</v>
      </c>
      <c r="O231" s="2">
        <v>194.55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194.55</v>
      </c>
      <c r="V231" t="s">
        <v>30</v>
      </c>
    </row>
    <row r="232" spans="1:22" x14ac:dyDescent="0.25">
      <c r="A232" t="s">
        <v>508</v>
      </c>
      <c r="B232" t="s">
        <v>1237</v>
      </c>
      <c r="C232" t="s">
        <v>1</v>
      </c>
      <c r="D232" t="s">
        <v>440</v>
      </c>
      <c r="E232" t="s">
        <v>1199</v>
      </c>
      <c r="F232" t="s">
        <v>1200</v>
      </c>
      <c r="G232">
        <v>4428</v>
      </c>
      <c r="H232">
        <v>4428</v>
      </c>
      <c r="I232">
        <v>4428</v>
      </c>
      <c r="J232">
        <v>4428</v>
      </c>
      <c r="K232">
        <v>0</v>
      </c>
      <c r="L232" s="2">
        <v>0</v>
      </c>
      <c r="M232" s="2">
        <v>0</v>
      </c>
      <c r="N232" s="2">
        <v>0</v>
      </c>
      <c r="O232" s="2">
        <v>54.24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54.24</v>
      </c>
      <c r="V232" t="s">
        <v>30</v>
      </c>
    </row>
    <row r="233" spans="1:22" x14ac:dyDescent="0.25">
      <c r="A233" t="s">
        <v>508</v>
      </c>
      <c r="B233" t="s">
        <v>1237</v>
      </c>
      <c r="C233" t="s">
        <v>1</v>
      </c>
      <c r="D233" t="s">
        <v>440</v>
      </c>
      <c r="E233" t="s">
        <v>1199</v>
      </c>
      <c r="F233" t="s">
        <v>1200</v>
      </c>
      <c r="G233">
        <v>4429</v>
      </c>
      <c r="H233">
        <v>4429</v>
      </c>
      <c r="I233">
        <v>4429</v>
      </c>
      <c r="J233">
        <v>4429</v>
      </c>
      <c r="K233">
        <v>0</v>
      </c>
      <c r="L233" s="2">
        <v>0</v>
      </c>
      <c r="M233" s="2">
        <v>0</v>
      </c>
      <c r="N233" s="2">
        <v>0</v>
      </c>
      <c r="O233" s="2">
        <v>63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63</v>
      </c>
      <c r="V233" t="s">
        <v>30</v>
      </c>
    </row>
    <row r="234" spans="1:22" x14ac:dyDescent="0.25">
      <c r="A234" t="s">
        <v>508</v>
      </c>
      <c r="B234" t="s">
        <v>1236</v>
      </c>
      <c r="C234" t="s">
        <v>1</v>
      </c>
      <c r="D234" t="s">
        <v>440</v>
      </c>
      <c r="E234" t="s">
        <v>1199</v>
      </c>
      <c r="F234" t="s">
        <v>1200</v>
      </c>
      <c r="G234">
        <v>4430</v>
      </c>
      <c r="H234">
        <v>4430</v>
      </c>
      <c r="I234">
        <v>4430</v>
      </c>
      <c r="J234">
        <v>4430</v>
      </c>
      <c r="K234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t="s">
        <v>30</v>
      </c>
    </row>
    <row r="235" spans="1:22" x14ac:dyDescent="0.25">
      <c r="A235" t="s">
        <v>508</v>
      </c>
      <c r="B235" t="s">
        <v>1236</v>
      </c>
      <c r="C235" t="s">
        <v>1</v>
      </c>
      <c r="D235" t="s">
        <v>440</v>
      </c>
      <c r="E235" t="s">
        <v>1199</v>
      </c>
      <c r="F235" t="s">
        <v>1200</v>
      </c>
      <c r="G235">
        <v>4431</v>
      </c>
      <c r="H235">
        <v>4431</v>
      </c>
      <c r="I235">
        <v>4431</v>
      </c>
      <c r="J235">
        <v>4431</v>
      </c>
      <c r="K235">
        <v>0</v>
      </c>
      <c r="L235" s="2">
        <v>0</v>
      </c>
      <c r="M235" s="2">
        <v>0</v>
      </c>
      <c r="N235" s="2">
        <v>0</v>
      </c>
      <c r="O235" s="2">
        <v>27.6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27.6</v>
      </c>
      <c r="V235" t="s">
        <v>30</v>
      </c>
    </row>
    <row r="236" spans="1:22" x14ac:dyDescent="0.25">
      <c r="A236" t="s">
        <v>508</v>
      </c>
      <c r="B236" t="s">
        <v>1236</v>
      </c>
      <c r="C236" t="s">
        <v>1</v>
      </c>
      <c r="D236" t="s">
        <v>440</v>
      </c>
      <c r="E236" t="s">
        <v>1199</v>
      </c>
      <c r="F236" t="s">
        <v>1200</v>
      </c>
      <c r="G236">
        <v>4432</v>
      </c>
      <c r="H236">
        <v>4432</v>
      </c>
      <c r="I236">
        <v>4432</v>
      </c>
      <c r="J236">
        <v>4432</v>
      </c>
      <c r="K236">
        <v>0</v>
      </c>
      <c r="L236" s="2">
        <v>0</v>
      </c>
      <c r="M236" s="2">
        <v>0</v>
      </c>
      <c r="N236" s="2">
        <v>0</v>
      </c>
      <c r="O236" s="2">
        <v>189.52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189.52</v>
      </c>
      <c r="V236" t="s">
        <v>30</v>
      </c>
    </row>
    <row r="237" spans="1:22" x14ac:dyDescent="0.25">
      <c r="A237" t="s">
        <v>508</v>
      </c>
      <c r="B237" t="s">
        <v>1235</v>
      </c>
      <c r="C237" t="s">
        <v>1</v>
      </c>
      <c r="D237" t="s">
        <v>440</v>
      </c>
      <c r="E237" t="s">
        <v>1199</v>
      </c>
      <c r="F237" t="s">
        <v>1200</v>
      </c>
      <c r="G237">
        <v>4433</v>
      </c>
      <c r="H237">
        <v>4433</v>
      </c>
      <c r="I237">
        <v>4433</v>
      </c>
      <c r="J237">
        <v>4433</v>
      </c>
      <c r="K237">
        <v>0</v>
      </c>
      <c r="L237" s="2">
        <v>0</v>
      </c>
      <c r="M237" s="2">
        <v>0</v>
      </c>
      <c r="N237" s="2">
        <v>0</v>
      </c>
      <c r="O237" s="2">
        <v>304.25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304.25</v>
      </c>
      <c r="V237" t="s">
        <v>30</v>
      </c>
    </row>
    <row r="238" spans="1:22" x14ac:dyDescent="0.25">
      <c r="A238" t="s">
        <v>508</v>
      </c>
      <c r="B238" t="s">
        <v>1235</v>
      </c>
      <c r="C238" t="s">
        <v>1</v>
      </c>
      <c r="D238" t="s">
        <v>440</v>
      </c>
      <c r="E238" t="s">
        <v>1199</v>
      </c>
      <c r="F238" t="s">
        <v>1200</v>
      </c>
      <c r="G238">
        <v>4434</v>
      </c>
      <c r="H238">
        <v>4434</v>
      </c>
      <c r="I238">
        <v>4434</v>
      </c>
      <c r="J238">
        <v>4434</v>
      </c>
      <c r="K238">
        <v>0</v>
      </c>
      <c r="L238" s="2">
        <v>0</v>
      </c>
      <c r="M238" s="2">
        <v>0</v>
      </c>
      <c r="N238" s="2">
        <v>0</v>
      </c>
      <c r="O238" s="2">
        <v>224.36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224.36</v>
      </c>
      <c r="V238" t="s">
        <v>30</v>
      </c>
    </row>
    <row r="239" spans="1:22" x14ac:dyDescent="0.25">
      <c r="A239" t="s">
        <v>508</v>
      </c>
      <c r="B239" t="s">
        <v>1235</v>
      </c>
      <c r="C239" t="s">
        <v>1</v>
      </c>
      <c r="D239" t="s">
        <v>440</v>
      </c>
      <c r="E239" t="s">
        <v>1199</v>
      </c>
      <c r="F239" t="s">
        <v>1200</v>
      </c>
      <c r="G239">
        <v>4436</v>
      </c>
      <c r="H239">
        <v>4436</v>
      </c>
      <c r="I239">
        <v>4436</v>
      </c>
      <c r="J239">
        <v>4436</v>
      </c>
      <c r="K239">
        <v>0</v>
      </c>
      <c r="L239" s="2">
        <v>0</v>
      </c>
      <c r="M239" s="2">
        <v>0</v>
      </c>
      <c r="N239" s="2">
        <v>0</v>
      </c>
      <c r="O239" s="2">
        <v>225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225</v>
      </c>
      <c r="V239" t="s">
        <v>30</v>
      </c>
    </row>
    <row r="240" spans="1:22" x14ac:dyDescent="0.25">
      <c r="A240" t="s">
        <v>508</v>
      </c>
      <c r="B240" t="s">
        <v>1235</v>
      </c>
      <c r="C240" t="s">
        <v>1</v>
      </c>
      <c r="D240" t="s">
        <v>440</v>
      </c>
      <c r="E240" t="s">
        <v>1199</v>
      </c>
      <c r="F240" t="s">
        <v>1200</v>
      </c>
      <c r="G240">
        <v>4437</v>
      </c>
      <c r="H240">
        <v>4437</v>
      </c>
      <c r="I240">
        <v>4437</v>
      </c>
      <c r="J240">
        <v>4437</v>
      </c>
      <c r="K240">
        <v>0</v>
      </c>
      <c r="L240" s="2">
        <v>0</v>
      </c>
      <c r="M240" s="2">
        <v>0</v>
      </c>
      <c r="N240" s="2">
        <v>0</v>
      </c>
      <c r="O240" s="2">
        <v>2127.63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2127.63</v>
      </c>
      <c r="V240" t="s">
        <v>30</v>
      </c>
    </row>
    <row r="241" spans="1:22" x14ac:dyDescent="0.25">
      <c r="A241" t="s">
        <v>480</v>
      </c>
      <c r="B241" t="s">
        <v>1215</v>
      </c>
      <c r="C241" t="s">
        <v>1</v>
      </c>
      <c r="D241" t="s">
        <v>440</v>
      </c>
      <c r="E241" t="s">
        <v>1199</v>
      </c>
      <c r="F241" t="s">
        <v>1200</v>
      </c>
      <c r="G241">
        <v>4255</v>
      </c>
      <c r="H241">
        <v>4255</v>
      </c>
      <c r="I241">
        <v>4255</v>
      </c>
      <c r="J241">
        <v>4255</v>
      </c>
      <c r="K241">
        <v>0</v>
      </c>
      <c r="L241" s="2">
        <v>0</v>
      </c>
      <c r="M241" s="2">
        <v>0</v>
      </c>
      <c r="N241" s="2">
        <v>0</v>
      </c>
      <c r="O241" s="2">
        <v>112.2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112.2</v>
      </c>
      <c r="V241" t="s">
        <v>30</v>
      </c>
    </row>
    <row r="242" spans="1:22" x14ac:dyDescent="0.25">
      <c r="A242" t="s">
        <v>480</v>
      </c>
      <c r="B242" t="s">
        <v>1215</v>
      </c>
      <c r="C242" t="s">
        <v>1</v>
      </c>
      <c r="D242" t="s">
        <v>440</v>
      </c>
      <c r="E242" t="s">
        <v>1199</v>
      </c>
      <c r="F242" t="s">
        <v>1200</v>
      </c>
      <c r="G242">
        <v>4256</v>
      </c>
      <c r="H242">
        <v>4256</v>
      </c>
      <c r="I242">
        <v>4256</v>
      </c>
      <c r="J242">
        <v>4256</v>
      </c>
      <c r="K24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t="s">
        <v>30</v>
      </c>
    </row>
    <row r="243" spans="1:22" x14ac:dyDescent="0.25">
      <c r="A243" t="s">
        <v>480</v>
      </c>
      <c r="B243" t="s">
        <v>1215</v>
      </c>
      <c r="C243" t="s">
        <v>1</v>
      </c>
      <c r="D243" t="s">
        <v>440</v>
      </c>
      <c r="E243" t="s">
        <v>1199</v>
      </c>
      <c r="F243" t="s">
        <v>1200</v>
      </c>
      <c r="G243">
        <v>4257</v>
      </c>
      <c r="H243">
        <v>4257</v>
      </c>
      <c r="I243">
        <v>4257</v>
      </c>
      <c r="J243">
        <v>4257</v>
      </c>
      <c r="K243">
        <v>0</v>
      </c>
      <c r="L243" s="2">
        <v>0</v>
      </c>
      <c r="M243" s="2">
        <v>0</v>
      </c>
      <c r="N243" s="2">
        <v>0</v>
      </c>
      <c r="O243" s="2">
        <v>10.69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10.69</v>
      </c>
      <c r="V243" t="s">
        <v>30</v>
      </c>
    </row>
    <row r="244" spans="1:22" x14ac:dyDescent="0.25">
      <c r="A244" t="s">
        <v>480</v>
      </c>
      <c r="B244" t="s">
        <v>1190</v>
      </c>
      <c r="C244" t="s">
        <v>1</v>
      </c>
      <c r="D244" t="s">
        <v>440</v>
      </c>
      <c r="E244" t="s">
        <v>1199</v>
      </c>
      <c r="F244" t="s">
        <v>1200</v>
      </c>
      <c r="G244">
        <v>4258</v>
      </c>
      <c r="H244">
        <v>4258</v>
      </c>
      <c r="I244">
        <v>4258</v>
      </c>
      <c r="J244">
        <v>4258</v>
      </c>
      <c r="K244">
        <v>0</v>
      </c>
      <c r="L244" s="2">
        <v>0</v>
      </c>
      <c r="M244" s="2">
        <v>0</v>
      </c>
      <c r="N244" s="2">
        <v>0</v>
      </c>
      <c r="O244" s="2">
        <v>217.77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217.77</v>
      </c>
      <c r="V244" t="s">
        <v>30</v>
      </c>
    </row>
    <row r="245" spans="1:22" x14ac:dyDescent="0.25">
      <c r="A245" t="s">
        <v>480</v>
      </c>
      <c r="B245" t="s">
        <v>1190</v>
      </c>
      <c r="C245" t="s">
        <v>1</v>
      </c>
      <c r="D245" t="s">
        <v>440</v>
      </c>
      <c r="E245" t="s">
        <v>1199</v>
      </c>
      <c r="F245" t="s">
        <v>1200</v>
      </c>
      <c r="G245">
        <v>4259</v>
      </c>
      <c r="H245">
        <v>4259</v>
      </c>
      <c r="I245">
        <v>4259</v>
      </c>
      <c r="J245">
        <v>4259</v>
      </c>
      <c r="K245">
        <v>0</v>
      </c>
      <c r="L245" s="2">
        <v>0</v>
      </c>
      <c r="M245" s="2">
        <v>0</v>
      </c>
      <c r="N245" s="2">
        <v>0</v>
      </c>
      <c r="O245" s="2">
        <v>96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96</v>
      </c>
      <c r="V245" t="s">
        <v>30</v>
      </c>
    </row>
    <row r="246" spans="1:22" x14ac:dyDescent="0.25">
      <c r="A246" t="s">
        <v>480</v>
      </c>
      <c r="B246" t="s">
        <v>1190</v>
      </c>
      <c r="C246" t="s">
        <v>1</v>
      </c>
      <c r="D246" t="s">
        <v>440</v>
      </c>
      <c r="E246" t="s">
        <v>1199</v>
      </c>
      <c r="F246" t="s">
        <v>1200</v>
      </c>
      <c r="G246">
        <v>4260</v>
      </c>
      <c r="H246">
        <v>4260</v>
      </c>
      <c r="I246">
        <v>4260</v>
      </c>
      <c r="J246">
        <v>4260</v>
      </c>
      <c r="K246">
        <v>0</v>
      </c>
      <c r="L246" s="2">
        <v>0</v>
      </c>
      <c r="M246" s="2">
        <v>0</v>
      </c>
      <c r="N246" s="2">
        <v>0</v>
      </c>
      <c r="O246" s="2">
        <v>295.8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295.8</v>
      </c>
      <c r="V246" t="s">
        <v>30</v>
      </c>
    </row>
    <row r="247" spans="1:22" x14ac:dyDescent="0.25">
      <c r="A247" t="s">
        <v>480</v>
      </c>
      <c r="B247" t="s">
        <v>1190</v>
      </c>
      <c r="C247" t="s">
        <v>1</v>
      </c>
      <c r="D247" t="s">
        <v>440</v>
      </c>
      <c r="E247" t="s">
        <v>1199</v>
      </c>
      <c r="F247" t="s">
        <v>1200</v>
      </c>
      <c r="G247">
        <v>4261</v>
      </c>
      <c r="H247">
        <v>4261</v>
      </c>
      <c r="I247">
        <v>4261</v>
      </c>
      <c r="J247">
        <v>4261</v>
      </c>
      <c r="K247">
        <v>0</v>
      </c>
      <c r="L247" s="2">
        <v>0</v>
      </c>
      <c r="M247" s="2">
        <v>0</v>
      </c>
      <c r="N247" s="2">
        <v>0</v>
      </c>
      <c r="O247" s="2">
        <v>225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225</v>
      </c>
      <c r="V247" t="s">
        <v>30</v>
      </c>
    </row>
    <row r="248" spans="1:22" x14ac:dyDescent="0.25">
      <c r="A248" t="s">
        <v>480</v>
      </c>
      <c r="B248" t="s">
        <v>1190</v>
      </c>
      <c r="C248" t="s">
        <v>1</v>
      </c>
      <c r="D248" t="s">
        <v>440</v>
      </c>
      <c r="E248" t="s">
        <v>1199</v>
      </c>
      <c r="F248" t="s">
        <v>1200</v>
      </c>
      <c r="G248">
        <v>4262</v>
      </c>
      <c r="H248">
        <v>4262</v>
      </c>
      <c r="I248">
        <v>4262</v>
      </c>
      <c r="J248">
        <v>4262</v>
      </c>
      <c r="K248">
        <v>0</v>
      </c>
      <c r="L248" s="2">
        <v>0</v>
      </c>
      <c r="M248" s="2">
        <v>0</v>
      </c>
      <c r="N248" s="2">
        <v>0</v>
      </c>
      <c r="O248" s="2">
        <v>295.51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295.51</v>
      </c>
      <c r="V248" t="s">
        <v>30</v>
      </c>
    </row>
    <row r="249" spans="1:22" x14ac:dyDescent="0.25">
      <c r="A249" t="s">
        <v>480</v>
      </c>
      <c r="B249" t="s">
        <v>948</v>
      </c>
      <c r="C249" t="s">
        <v>1</v>
      </c>
      <c r="D249" t="s">
        <v>440</v>
      </c>
      <c r="E249" t="s">
        <v>1199</v>
      </c>
      <c r="F249" t="s">
        <v>1200</v>
      </c>
      <c r="G249">
        <v>4263</v>
      </c>
      <c r="H249">
        <v>4263</v>
      </c>
      <c r="I249">
        <v>4263</v>
      </c>
      <c r="J249">
        <v>4263</v>
      </c>
      <c r="K249">
        <v>0</v>
      </c>
      <c r="L249" s="2">
        <v>0</v>
      </c>
      <c r="M249" s="2">
        <v>0</v>
      </c>
      <c r="N249" s="2">
        <v>0</v>
      </c>
      <c r="O249" s="2">
        <v>115.28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115.28</v>
      </c>
      <c r="V249" t="s">
        <v>30</v>
      </c>
    </row>
    <row r="250" spans="1:22" x14ac:dyDescent="0.25">
      <c r="A250" t="s">
        <v>480</v>
      </c>
      <c r="B250" t="s">
        <v>948</v>
      </c>
      <c r="C250" t="s">
        <v>1</v>
      </c>
      <c r="D250" t="s">
        <v>440</v>
      </c>
      <c r="E250" t="s">
        <v>1199</v>
      </c>
      <c r="F250" t="s">
        <v>1200</v>
      </c>
      <c r="G250">
        <v>4264</v>
      </c>
      <c r="H250">
        <v>4264</v>
      </c>
      <c r="I250">
        <v>4264</v>
      </c>
      <c r="J250">
        <v>4264</v>
      </c>
      <c r="K250">
        <v>0</v>
      </c>
      <c r="L250" s="2">
        <v>0</v>
      </c>
      <c r="M250" s="2">
        <v>0</v>
      </c>
      <c r="N250" s="2">
        <v>0</v>
      </c>
      <c r="O250" s="2">
        <v>46.09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46.09</v>
      </c>
      <c r="V250" t="s">
        <v>30</v>
      </c>
    </row>
    <row r="251" spans="1:22" x14ac:dyDescent="0.25">
      <c r="A251" t="s">
        <v>480</v>
      </c>
      <c r="B251" t="s">
        <v>948</v>
      </c>
      <c r="C251" t="s">
        <v>1</v>
      </c>
      <c r="D251" t="s">
        <v>440</v>
      </c>
      <c r="E251" t="s">
        <v>1199</v>
      </c>
      <c r="F251" t="s">
        <v>1200</v>
      </c>
      <c r="G251">
        <v>4265</v>
      </c>
      <c r="H251">
        <v>4265</v>
      </c>
      <c r="I251">
        <v>4265</v>
      </c>
      <c r="J251">
        <v>4265</v>
      </c>
      <c r="K251">
        <v>0</v>
      </c>
      <c r="L251" s="2">
        <v>0</v>
      </c>
      <c r="M251" s="2">
        <v>0</v>
      </c>
      <c r="N251" s="2">
        <v>0</v>
      </c>
      <c r="O251" s="2">
        <v>30.6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30.6</v>
      </c>
      <c r="V251" t="s">
        <v>30</v>
      </c>
    </row>
    <row r="252" spans="1:22" x14ac:dyDescent="0.25">
      <c r="A252" t="s">
        <v>480</v>
      </c>
      <c r="B252" t="s">
        <v>948</v>
      </c>
      <c r="C252" t="s">
        <v>1</v>
      </c>
      <c r="D252" t="s">
        <v>440</v>
      </c>
      <c r="E252" t="s">
        <v>1199</v>
      </c>
      <c r="F252" t="s">
        <v>1200</v>
      </c>
      <c r="G252">
        <v>4266</v>
      </c>
      <c r="H252">
        <v>4266</v>
      </c>
      <c r="I252">
        <v>4266</v>
      </c>
      <c r="J252">
        <v>4266</v>
      </c>
      <c r="K252">
        <v>0</v>
      </c>
      <c r="L252" s="2">
        <v>0</v>
      </c>
      <c r="M252" s="2">
        <v>0</v>
      </c>
      <c r="N252" s="2">
        <v>0</v>
      </c>
      <c r="O252" s="2">
        <v>80.73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80.73</v>
      </c>
      <c r="V252" t="s">
        <v>30</v>
      </c>
    </row>
    <row r="253" spans="1:22" x14ac:dyDescent="0.25">
      <c r="A253" t="s">
        <v>480</v>
      </c>
      <c r="B253" t="s">
        <v>948</v>
      </c>
      <c r="C253" t="s">
        <v>1</v>
      </c>
      <c r="D253" t="s">
        <v>440</v>
      </c>
      <c r="E253" t="s">
        <v>1199</v>
      </c>
      <c r="F253" t="s">
        <v>1200</v>
      </c>
      <c r="G253">
        <v>4267</v>
      </c>
      <c r="H253">
        <v>4267</v>
      </c>
      <c r="I253">
        <v>4267</v>
      </c>
      <c r="J253">
        <v>4267</v>
      </c>
      <c r="K253">
        <v>0</v>
      </c>
      <c r="L253" s="2">
        <v>0</v>
      </c>
      <c r="M253" s="2">
        <v>0</v>
      </c>
      <c r="N253" s="2">
        <v>0</v>
      </c>
      <c r="O253" s="2">
        <v>689.51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689.51</v>
      </c>
      <c r="V253" t="s">
        <v>30</v>
      </c>
    </row>
    <row r="254" spans="1:22" x14ac:dyDescent="0.25">
      <c r="A254" t="s">
        <v>480</v>
      </c>
      <c r="B254" t="s">
        <v>948</v>
      </c>
      <c r="C254" t="s">
        <v>1</v>
      </c>
      <c r="D254" t="s">
        <v>440</v>
      </c>
      <c r="E254" t="s">
        <v>1199</v>
      </c>
      <c r="F254" t="s">
        <v>1200</v>
      </c>
      <c r="G254">
        <v>4268</v>
      </c>
      <c r="H254">
        <v>4268</v>
      </c>
      <c r="I254">
        <v>4268</v>
      </c>
      <c r="J254">
        <v>4268</v>
      </c>
      <c r="K254">
        <v>0</v>
      </c>
      <c r="L254" s="2">
        <v>0</v>
      </c>
      <c r="M254" s="2">
        <v>0</v>
      </c>
      <c r="N254" s="2">
        <v>0</v>
      </c>
      <c r="O254" s="2">
        <v>230.01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230.01</v>
      </c>
      <c r="V254" t="s">
        <v>30</v>
      </c>
    </row>
    <row r="255" spans="1:22" x14ac:dyDescent="0.25">
      <c r="A255" t="s">
        <v>480</v>
      </c>
      <c r="B255" t="s">
        <v>1214</v>
      </c>
      <c r="C255" t="s">
        <v>1</v>
      </c>
      <c r="D255" t="s">
        <v>440</v>
      </c>
      <c r="E255" t="s">
        <v>1199</v>
      </c>
      <c r="F255" t="s">
        <v>1200</v>
      </c>
      <c r="G255">
        <v>4269</v>
      </c>
      <c r="H255">
        <v>4269</v>
      </c>
      <c r="I255">
        <v>4269</v>
      </c>
      <c r="J255">
        <v>4269</v>
      </c>
      <c r="K255">
        <v>0</v>
      </c>
      <c r="L255" s="2">
        <v>0</v>
      </c>
      <c r="M255" s="2">
        <v>0</v>
      </c>
      <c r="N255" s="2">
        <v>0</v>
      </c>
      <c r="O255" s="2">
        <v>43.2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43.2</v>
      </c>
      <c r="V255" t="s">
        <v>30</v>
      </c>
    </row>
    <row r="256" spans="1:22" x14ac:dyDescent="0.25">
      <c r="A256" t="s">
        <v>480</v>
      </c>
      <c r="B256" t="s">
        <v>1214</v>
      </c>
      <c r="C256" t="s">
        <v>1</v>
      </c>
      <c r="D256" t="s">
        <v>440</v>
      </c>
      <c r="E256" t="s">
        <v>1199</v>
      </c>
      <c r="F256" t="s">
        <v>1200</v>
      </c>
      <c r="G256">
        <v>4270</v>
      </c>
      <c r="H256">
        <v>4270</v>
      </c>
      <c r="I256">
        <v>4270</v>
      </c>
      <c r="J256">
        <v>4270</v>
      </c>
      <c r="K256">
        <v>0</v>
      </c>
      <c r="L256" s="2">
        <v>0</v>
      </c>
      <c r="M256" s="2">
        <v>0</v>
      </c>
      <c r="N256" s="2">
        <v>0</v>
      </c>
      <c r="O256" s="2">
        <v>70.67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70.67</v>
      </c>
      <c r="V256" t="s">
        <v>30</v>
      </c>
    </row>
    <row r="257" spans="1:22" x14ac:dyDescent="0.25">
      <c r="A257" t="s">
        <v>480</v>
      </c>
      <c r="B257" t="s">
        <v>1214</v>
      </c>
      <c r="C257" t="s">
        <v>1</v>
      </c>
      <c r="D257" t="s">
        <v>440</v>
      </c>
      <c r="E257" t="s">
        <v>1199</v>
      </c>
      <c r="F257" t="s">
        <v>1200</v>
      </c>
      <c r="G257">
        <v>4271</v>
      </c>
      <c r="H257">
        <v>4271</v>
      </c>
      <c r="I257">
        <v>4271</v>
      </c>
      <c r="J257">
        <v>4271</v>
      </c>
      <c r="K257">
        <v>0</v>
      </c>
      <c r="L257" s="2">
        <v>0</v>
      </c>
      <c r="M257" s="2">
        <v>0</v>
      </c>
      <c r="N257" s="2">
        <v>0</v>
      </c>
      <c r="O257" s="2">
        <v>212.5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212.5</v>
      </c>
      <c r="V257" t="s">
        <v>30</v>
      </c>
    </row>
    <row r="258" spans="1:22" x14ac:dyDescent="0.25">
      <c r="A258" t="s">
        <v>480</v>
      </c>
      <c r="B258" t="s">
        <v>1214</v>
      </c>
      <c r="C258" t="s">
        <v>1</v>
      </c>
      <c r="D258" t="s">
        <v>440</v>
      </c>
      <c r="E258" t="s">
        <v>1199</v>
      </c>
      <c r="F258" t="s">
        <v>1200</v>
      </c>
      <c r="G258">
        <v>4272</v>
      </c>
      <c r="H258">
        <v>4272</v>
      </c>
      <c r="I258">
        <v>4272</v>
      </c>
      <c r="J258">
        <v>4272</v>
      </c>
      <c r="K258">
        <v>0</v>
      </c>
      <c r="L258" s="2">
        <v>0</v>
      </c>
      <c r="M258" s="2">
        <v>0</v>
      </c>
      <c r="N258" s="2">
        <v>0</v>
      </c>
      <c r="O258" s="2">
        <v>14.48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14.48</v>
      </c>
      <c r="V258" t="s">
        <v>30</v>
      </c>
    </row>
    <row r="259" spans="1:22" x14ac:dyDescent="0.25">
      <c r="A259" t="s">
        <v>480</v>
      </c>
      <c r="B259" t="s">
        <v>1214</v>
      </c>
      <c r="C259" t="s">
        <v>1</v>
      </c>
      <c r="D259" t="s">
        <v>440</v>
      </c>
      <c r="E259" t="s">
        <v>1199</v>
      </c>
      <c r="F259" t="s">
        <v>1200</v>
      </c>
      <c r="G259">
        <v>4273</v>
      </c>
      <c r="H259">
        <v>4273</v>
      </c>
      <c r="I259">
        <v>4273</v>
      </c>
      <c r="J259">
        <v>4273</v>
      </c>
      <c r="K259">
        <v>0</v>
      </c>
      <c r="L259" s="2">
        <v>0</v>
      </c>
      <c r="M259" s="2">
        <v>0</v>
      </c>
      <c r="N259" s="2">
        <v>0</v>
      </c>
      <c r="O259" s="2">
        <v>320.92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320.92</v>
      </c>
      <c r="V259" t="s">
        <v>30</v>
      </c>
    </row>
    <row r="260" spans="1:22" x14ac:dyDescent="0.25">
      <c r="A260" t="s">
        <v>480</v>
      </c>
      <c r="B260" t="s">
        <v>1213</v>
      </c>
      <c r="C260" t="s">
        <v>1</v>
      </c>
      <c r="D260" t="s">
        <v>440</v>
      </c>
      <c r="E260" t="s">
        <v>1199</v>
      </c>
      <c r="F260" t="s">
        <v>1200</v>
      </c>
      <c r="G260">
        <v>4274</v>
      </c>
      <c r="H260">
        <v>4274</v>
      </c>
      <c r="I260">
        <v>4274</v>
      </c>
      <c r="J260">
        <v>4274</v>
      </c>
      <c r="K260">
        <v>0</v>
      </c>
      <c r="L260" s="2">
        <v>0</v>
      </c>
      <c r="M260" s="2">
        <v>0</v>
      </c>
      <c r="N260" s="2">
        <v>0</v>
      </c>
      <c r="O260" s="2">
        <v>25.78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25.78</v>
      </c>
      <c r="V260" t="s">
        <v>30</v>
      </c>
    </row>
    <row r="261" spans="1:22" x14ac:dyDescent="0.25">
      <c r="A261" t="s">
        <v>480</v>
      </c>
      <c r="B261" t="s">
        <v>1213</v>
      </c>
      <c r="C261" t="s">
        <v>1</v>
      </c>
      <c r="D261" t="s">
        <v>440</v>
      </c>
      <c r="E261" t="s">
        <v>1199</v>
      </c>
      <c r="F261" t="s">
        <v>1200</v>
      </c>
      <c r="G261">
        <v>4275</v>
      </c>
      <c r="H261">
        <v>4275</v>
      </c>
      <c r="I261">
        <v>4275</v>
      </c>
      <c r="J261">
        <v>4275</v>
      </c>
      <c r="K261">
        <v>0</v>
      </c>
      <c r="L261" s="2">
        <v>0</v>
      </c>
      <c r="M261" s="2">
        <v>0</v>
      </c>
      <c r="N261" s="2">
        <v>0</v>
      </c>
      <c r="O261" s="2">
        <v>51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51</v>
      </c>
      <c r="V261" t="s">
        <v>30</v>
      </c>
    </row>
    <row r="262" spans="1:22" x14ac:dyDescent="0.25">
      <c r="A262" t="s">
        <v>480</v>
      </c>
      <c r="B262" t="s">
        <v>1213</v>
      </c>
      <c r="C262" t="s">
        <v>1</v>
      </c>
      <c r="D262" t="s">
        <v>440</v>
      </c>
      <c r="E262" t="s">
        <v>1199</v>
      </c>
      <c r="F262" t="s">
        <v>1200</v>
      </c>
      <c r="G262">
        <v>4276</v>
      </c>
      <c r="H262">
        <v>4276</v>
      </c>
      <c r="I262">
        <v>4276</v>
      </c>
      <c r="J262">
        <v>4276</v>
      </c>
      <c r="K262">
        <v>0</v>
      </c>
      <c r="L262" s="2">
        <v>0</v>
      </c>
      <c r="M262" s="2">
        <v>0</v>
      </c>
      <c r="N262" s="2">
        <v>0</v>
      </c>
      <c r="O262" s="2">
        <v>77.97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77.97</v>
      </c>
      <c r="V262" t="s">
        <v>30</v>
      </c>
    </row>
    <row r="263" spans="1:22" x14ac:dyDescent="0.25">
      <c r="A263" t="s">
        <v>480</v>
      </c>
      <c r="B263" t="s">
        <v>1213</v>
      </c>
      <c r="C263" t="s">
        <v>1</v>
      </c>
      <c r="D263" t="s">
        <v>440</v>
      </c>
      <c r="E263" t="s">
        <v>1199</v>
      </c>
      <c r="F263" t="s">
        <v>1200</v>
      </c>
      <c r="G263">
        <v>4277</v>
      </c>
      <c r="H263">
        <v>4277</v>
      </c>
      <c r="I263">
        <v>4277</v>
      </c>
      <c r="J263">
        <v>4277</v>
      </c>
      <c r="K263">
        <v>0</v>
      </c>
      <c r="L263" s="2">
        <v>0</v>
      </c>
      <c r="M263" s="2">
        <v>0</v>
      </c>
      <c r="N263" s="2">
        <v>0</v>
      </c>
      <c r="O263" s="2">
        <v>740.72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740.72</v>
      </c>
      <c r="V263" t="s">
        <v>30</v>
      </c>
    </row>
    <row r="264" spans="1:22" x14ac:dyDescent="0.25">
      <c r="A264" t="s">
        <v>480</v>
      </c>
      <c r="B264" t="s">
        <v>1213</v>
      </c>
      <c r="C264" t="s">
        <v>1</v>
      </c>
      <c r="D264" t="s">
        <v>440</v>
      </c>
      <c r="E264" t="s">
        <v>1199</v>
      </c>
      <c r="F264" t="s">
        <v>1200</v>
      </c>
      <c r="G264">
        <v>4278</v>
      </c>
      <c r="H264">
        <v>4278</v>
      </c>
      <c r="I264">
        <v>4278</v>
      </c>
      <c r="J264">
        <v>4278</v>
      </c>
      <c r="K264">
        <v>0</v>
      </c>
      <c r="L264" s="2">
        <v>0</v>
      </c>
      <c r="M264" s="2">
        <v>0</v>
      </c>
      <c r="N264" s="2">
        <v>0</v>
      </c>
      <c r="O264" s="2">
        <v>46.43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46.43</v>
      </c>
      <c r="V264" t="s">
        <v>30</v>
      </c>
    </row>
    <row r="265" spans="1:22" x14ac:dyDescent="0.25">
      <c r="A265" t="s">
        <v>480</v>
      </c>
      <c r="B265" t="s">
        <v>1212</v>
      </c>
      <c r="C265" t="s">
        <v>1</v>
      </c>
      <c r="D265" t="s">
        <v>440</v>
      </c>
      <c r="E265" t="s">
        <v>1199</v>
      </c>
      <c r="F265" t="s">
        <v>1200</v>
      </c>
      <c r="G265">
        <v>4279</v>
      </c>
      <c r="H265">
        <v>4279</v>
      </c>
      <c r="I265">
        <v>4279</v>
      </c>
      <c r="J265">
        <v>4279</v>
      </c>
      <c r="K265">
        <v>0</v>
      </c>
      <c r="L265" s="2">
        <v>0</v>
      </c>
      <c r="M265" s="2">
        <v>0</v>
      </c>
      <c r="N265" s="2">
        <v>0</v>
      </c>
      <c r="O265" s="2">
        <v>64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64</v>
      </c>
      <c r="V265" t="s">
        <v>30</v>
      </c>
    </row>
    <row r="266" spans="1:22" x14ac:dyDescent="0.25">
      <c r="A266" t="s">
        <v>480</v>
      </c>
      <c r="B266" t="s">
        <v>1212</v>
      </c>
      <c r="C266" t="s">
        <v>1</v>
      </c>
      <c r="D266" t="s">
        <v>440</v>
      </c>
      <c r="E266" t="s">
        <v>1199</v>
      </c>
      <c r="F266" t="s">
        <v>1200</v>
      </c>
      <c r="G266">
        <v>4280</v>
      </c>
      <c r="H266">
        <v>4280</v>
      </c>
      <c r="I266">
        <v>4280</v>
      </c>
      <c r="J266">
        <v>4280</v>
      </c>
      <c r="K266">
        <v>0</v>
      </c>
      <c r="L266" s="2">
        <v>0</v>
      </c>
      <c r="M266" s="2">
        <v>0</v>
      </c>
      <c r="N266" s="2">
        <v>0</v>
      </c>
      <c r="O266" s="2">
        <v>212.5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212.5</v>
      </c>
      <c r="V266" t="s">
        <v>30</v>
      </c>
    </row>
    <row r="267" spans="1:22" x14ac:dyDescent="0.25">
      <c r="A267" t="s">
        <v>480</v>
      </c>
      <c r="B267" t="s">
        <v>1212</v>
      </c>
      <c r="C267" t="s">
        <v>1</v>
      </c>
      <c r="D267" t="s">
        <v>440</v>
      </c>
      <c r="E267" t="s">
        <v>1199</v>
      </c>
      <c r="F267" t="s">
        <v>1200</v>
      </c>
      <c r="G267">
        <v>4281</v>
      </c>
      <c r="H267">
        <v>4281</v>
      </c>
      <c r="I267">
        <v>4281</v>
      </c>
      <c r="J267">
        <v>4281</v>
      </c>
      <c r="K267">
        <v>0</v>
      </c>
      <c r="L267" s="2">
        <v>0</v>
      </c>
      <c r="M267" s="2">
        <v>0</v>
      </c>
      <c r="N267" s="2">
        <v>0</v>
      </c>
      <c r="O267" s="2">
        <v>550.14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550.14</v>
      </c>
      <c r="V267" t="s">
        <v>30</v>
      </c>
    </row>
    <row r="268" spans="1:22" x14ac:dyDescent="0.25">
      <c r="A268" t="s">
        <v>480</v>
      </c>
      <c r="B268" t="s">
        <v>1212</v>
      </c>
      <c r="C268" t="s">
        <v>1</v>
      </c>
      <c r="D268" t="s">
        <v>440</v>
      </c>
      <c r="E268" t="s">
        <v>1199</v>
      </c>
      <c r="F268" t="s">
        <v>1200</v>
      </c>
      <c r="G268">
        <v>4282</v>
      </c>
      <c r="H268">
        <v>4282</v>
      </c>
      <c r="I268">
        <v>4282</v>
      </c>
      <c r="J268">
        <v>4282</v>
      </c>
      <c r="K268">
        <v>0</v>
      </c>
      <c r="L268" s="2">
        <v>0</v>
      </c>
      <c r="M268" s="2">
        <v>0</v>
      </c>
      <c r="N268" s="2">
        <v>0</v>
      </c>
      <c r="O268" s="2">
        <v>343.8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343.8</v>
      </c>
      <c r="V268" t="s">
        <v>30</v>
      </c>
    </row>
    <row r="269" spans="1:22" x14ac:dyDescent="0.25">
      <c r="A269" t="s">
        <v>480</v>
      </c>
      <c r="B269" t="s">
        <v>1211</v>
      </c>
      <c r="C269" t="s">
        <v>1</v>
      </c>
      <c r="D269" t="s">
        <v>440</v>
      </c>
      <c r="E269" t="s">
        <v>1199</v>
      </c>
      <c r="F269" t="s">
        <v>1200</v>
      </c>
      <c r="G269">
        <v>4283</v>
      </c>
      <c r="H269">
        <v>4283</v>
      </c>
      <c r="I269">
        <v>4283</v>
      </c>
      <c r="J269">
        <v>4283</v>
      </c>
      <c r="K269">
        <v>0</v>
      </c>
      <c r="L269" s="2">
        <v>0</v>
      </c>
      <c r="M269" s="2">
        <v>0</v>
      </c>
      <c r="N269" s="2">
        <v>0</v>
      </c>
      <c r="O269" s="2">
        <v>43.99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43.99</v>
      </c>
      <c r="V269" t="s">
        <v>30</v>
      </c>
    </row>
    <row r="270" spans="1:22" x14ac:dyDescent="0.25">
      <c r="A270" t="s">
        <v>480</v>
      </c>
      <c r="B270" t="s">
        <v>1211</v>
      </c>
      <c r="C270" t="s">
        <v>1</v>
      </c>
      <c r="D270" t="s">
        <v>440</v>
      </c>
      <c r="E270" t="s">
        <v>1199</v>
      </c>
      <c r="F270" t="s">
        <v>1200</v>
      </c>
      <c r="G270">
        <v>4284</v>
      </c>
      <c r="H270">
        <v>4284</v>
      </c>
      <c r="I270">
        <v>4284</v>
      </c>
      <c r="J270">
        <v>4284</v>
      </c>
      <c r="K270">
        <v>0</v>
      </c>
      <c r="L270" s="2">
        <v>0</v>
      </c>
      <c r="M270" s="2">
        <v>0</v>
      </c>
      <c r="N270" s="2">
        <v>0</v>
      </c>
      <c r="O270" s="2">
        <v>30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30</v>
      </c>
      <c r="V270" t="s">
        <v>30</v>
      </c>
    </row>
    <row r="271" spans="1:22" x14ac:dyDescent="0.25">
      <c r="A271" t="s">
        <v>480</v>
      </c>
      <c r="B271" t="s">
        <v>1211</v>
      </c>
      <c r="C271" t="s">
        <v>1</v>
      </c>
      <c r="D271" t="s">
        <v>440</v>
      </c>
      <c r="E271" t="s">
        <v>1199</v>
      </c>
      <c r="F271" t="s">
        <v>1200</v>
      </c>
      <c r="G271">
        <v>4285</v>
      </c>
      <c r="H271">
        <v>4285</v>
      </c>
      <c r="I271">
        <v>4285</v>
      </c>
      <c r="J271">
        <v>4285</v>
      </c>
      <c r="K271">
        <v>0</v>
      </c>
      <c r="L271" s="2">
        <v>0</v>
      </c>
      <c r="M271" s="2">
        <v>0</v>
      </c>
      <c r="N271" s="2">
        <v>0</v>
      </c>
      <c r="O271" s="2">
        <v>115.26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115.26</v>
      </c>
      <c r="V271" t="s">
        <v>30</v>
      </c>
    </row>
    <row r="272" spans="1:22" x14ac:dyDescent="0.25">
      <c r="A272" t="s">
        <v>480</v>
      </c>
      <c r="B272" t="s">
        <v>1211</v>
      </c>
      <c r="C272" t="s">
        <v>1</v>
      </c>
      <c r="D272" t="s">
        <v>440</v>
      </c>
      <c r="E272" t="s">
        <v>1199</v>
      </c>
      <c r="F272" t="s">
        <v>1200</v>
      </c>
      <c r="G272">
        <v>4286</v>
      </c>
      <c r="H272">
        <v>4286</v>
      </c>
      <c r="I272">
        <v>4286</v>
      </c>
      <c r="J272">
        <v>4286</v>
      </c>
      <c r="K272">
        <v>0</v>
      </c>
      <c r="L272" s="2">
        <v>0</v>
      </c>
      <c r="M272" s="2">
        <v>0</v>
      </c>
      <c r="N272" s="2">
        <v>0</v>
      </c>
      <c r="O272" s="2">
        <v>1087.3699999999999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1087.3699999999999</v>
      </c>
      <c r="V272" t="s">
        <v>30</v>
      </c>
    </row>
    <row r="273" spans="1:22" x14ac:dyDescent="0.25">
      <c r="A273" t="s">
        <v>480</v>
      </c>
      <c r="B273" t="s">
        <v>1211</v>
      </c>
      <c r="C273" t="s">
        <v>1</v>
      </c>
      <c r="D273" t="s">
        <v>440</v>
      </c>
      <c r="E273" t="s">
        <v>1199</v>
      </c>
      <c r="F273" t="s">
        <v>1200</v>
      </c>
      <c r="G273">
        <v>4287</v>
      </c>
      <c r="H273">
        <v>4287</v>
      </c>
      <c r="I273">
        <v>4287</v>
      </c>
      <c r="J273">
        <v>4287</v>
      </c>
      <c r="K273">
        <v>0</v>
      </c>
      <c r="L273" s="2">
        <v>0</v>
      </c>
      <c r="M273" s="2">
        <v>0</v>
      </c>
      <c r="N273" s="2">
        <v>0</v>
      </c>
      <c r="O273" s="2">
        <v>11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11</v>
      </c>
      <c r="V273" t="s">
        <v>30</v>
      </c>
    </row>
    <row r="274" spans="1:22" x14ac:dyDescent="0.25">
      <c r="A274" t="s">
        <v>480</v>
      </c>
      <c r="B274" t="s">
        <v>1211</v>
      </c>
      <c r="C274" t="s">
        <v>1</v>
      </c>
      <c r="D274" t="s">
        <v>440</v>
      </c>
      <c r="E274" t="s">
        <v>1199</v>
      </c>
      <c r="F274" t="s">
        <v>1200</v>
      </c>
      <c r="G274">
        <v>4288</v>
      </c>
      <c r="H274">
        <v>4288</v>
      </c>
      <c r="I274">
        <v>4288</v>
      </c>
      <c r="J274">
        <v>4288</v>
      </c>
      <c r="K274">
        <v>0</v>
      </c>
      <c r="L274" s="2">
        <v>0</v>
      </c>
      <c r="M274" s="2">
        <v>0</v>
      </c>
      <c r="N274" s="2">
        <v>0</v>
      </c>
      <c r="O274" s="2">
        <v>121.55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121.55</v>
      </c>
      <c r="V274" t="s">
        <v>30</v>
      </c>
    </row>
    <row r="275" spans="1:22" x14ac:dyDescent="0.25">
      <c r="A275" t="s">
        <v>480</v>
      </c>
      <c r="B275" t="s">
        <v>1211</v>
      </c>
      <c r="C275" t="s">
        <v>1</v>
      </c>
      <c r="D275" t="s">
        <v>440</v>
      </c>
      <c r="E275" t="s">
        <v>1199</v>
      </c>
      <c r="F275" t="s">
        <v>1200</v>
      </c>
      <c r="G275">
        <v>4289</v>
      </c>
      <c r="H275">
        <v>4289</v>
      </c>
      <c r="I275">
        <v>4289</v>
      </c>
      <c r="J275">
        <v>4289</v>
      </c>
      <c r="K275">
        <v>0</v>
      </c>
      <c r="L275" s="2">
        <v>0</v>
      </c>
      <c r="M275" s="2">
        <v>0</v>
      </c>
      <c r="N275" s="2">
        <v>0</v>
      </c>
      <c r="O275" s="2">
        <v>381.75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381.75</v>
      </c>
      <c r="V275" t="s">
        <v>30</v>
      </c>
    </row>
    <row r="276" spans="1:22" x14ac:dyDescent="0.25">
      <c r="A276" t="s">
        <v>480</v>
      </c>
      <c r="B276" t="s">
        <v>1211</v>
      </c>
      <c r="C276" t="s">
        <v>1</v>
      </c>
      <c r="D276" t="s">
        <v>440</v>
      </c>
      <c r="E276" t="s">
        <v>1199</v>
      </c>
      <c r="F276" t="s">
        <v>1200</v>
      </c>
      <c r="G276">
        <v>4290</v>
      </c>
      <c r="H276">
        <v>4290</v>
      </c>
      <c r="I276">
        <v>4290</v>
      </c>
      <c r="J276">
        <v>4290</v>
      </c>
      <c r="K276">
        <v>0</v>
      </c>
      <c r="L276" s="2">
        <v>0</v>
      </c>
      <c r="M276" s="2">
        <v>0</v>
      </c>
      <c r="N276" s="2">
        <v>0</v>
      </c>
      <c r="O276" s="2">
        <v>552.01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552.01</v>
      </c>
      <c r="V276" t="s">
        <v>30</v>
      </c>
    </row>
    <row r="277" spans="1:22" x14ac:dyDescent="0.25">
      <c r="A277" t="s">
        <v>480</v>
      </c>
      <c r="B277" t="s">
        <v>1211</v>
      </c>
      <c r="C277" t="s">
        <v>1</v>
      </c>
      <c r="D277" t="s">
        <v>440</v>
      </c>
      <c r="E277" t="s">
        <v>1199</v>
      </c>
      <c r="F277" t="s">
        <v>1200</v>
      </c>
      <c r="G277">
        <v>4291</v>
      </c>
      <c r="H277">
        <v>4291</v>
      </c>
      <c r="I277">
        <v>4291</v>
      </c>
      <c r="J277">
        <v>4291</v>
      </c>
      <c r="K277">
        <v>0</v>
      </c>
      <c r="L277" s="2">
        <v>0</v>
      </c>
      <c r="M277" s="2">
        <v>0</v>
      </c>
      <c r="N277" s="2">
        <v>0</v>
      </c>
      <c r="O277" s="2">
        <v>67.75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67.75</v>
      </c>
      <c r="V277" t="s">
        <v>30</v>
      </c>
    </row>
    <row r="278" spans="1:22" x14ac:dyDescent="0.25">
      <c r="A278" t="s">
        <v>480</v>
      </c>
      <c r="B278" t="s">
        <v>1211</v>
      </c>
      <c r="C278" t="s">
        <v>1</v>
      </c>
      <c r="D278" t="s">
        <v>440</v>
      </c>
      <c r="E278" t="s">
        <v>1199</v>
      </c>
      <c r="F278" t="s">
        <v>1200</v>
      </c>
      <c r="G278">
        <v>4292</v>
      </c>
      <c r="H278">
        <v>4292</v>
      </c>
      <c r="I278">
        <v>4292</v>
      </c>
      <c r="J278">
        <v>4292</v>
      </c>
      <c r="K278">
        <v>0</v>
      </c>
      <c r="L278" s="2">
        <v>0</v>
      </c>
      <c r="M278" s="2">
        <v>0</v>
      </c>
      <c r="N278" s="2">
        <v>0</v>
      </c>
      <c r="O278" s="2">
        <v>35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35</v>
      </c>
      <c r="V278" t="s">
        <v>30</v>
      </c>
    </row>
    <row r="279" spans="1:22" x14ac:dyDescent="0.25">
      <c r="A279" t="s">
        <v>480</v>
      </c>
      <c r="B279" t="s">
        <v>1211</v>
      </c>
      <c r="C279" t="s">
        <v>1</v>
      </c>
      <c r="D279" t="s">
        <v>440</v>
      </c>
      <c r="E279" t="s">
        <v>1199</v>
      </c>
      <c r="F279" t="s">
        <v>1200</v>
      </c>
      <c r="G279">
        <v>4293</v>
      </c>
      <c r="H279">
        <v>4293</v>
      </c>
      <c r="I279">
        <v>4293</v>
      </c>
      <c r="J279">
        <v>4293</v>
      </c>
      <c r="K279">
        <v>0</v>
      </c>
      <c r="L279" s="2">
        <v>0</v>
      </c>
      <c r="M279" s="2">
        <v>0</v>
      </c>
      <c r="N279" s="2">
        <v>0</v>
      </c>
      <c r="O279" s="2">
        <v>551.99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551.99</v>
      </c>
      <c r="V279" t="s">
        <v>30</v>
      </c>
    </row>
    <row r="280" spans="1:22" x14ac:dyDescent="0.25">
      <c r="A280" t="s">
        <v>480</v>
      </c>
      <c r="B280" t="s">
        <v>1210</v>
      </c>
      <c r="C280" t="s">
        <v>1</v>
      </c>
      <c r="D280" t="s">
        <v>440</v>
      </c>
      <c r="E280" t="s">
        <v>1199</v>
      </c>
      <c r="F280" t="s">
        <v>1200</v>
      </c>
      <c r="G280">
        <v>4294</v>
      </c>
      <c r="H280">
        <v>4294</v>
      </c>
      <c r="I280">
        <v>4294</v>
      </c>
      <c r="J280">
        <v>4294</v>
      </c>
      <c r="K280">
        <v>0</v>
      </c>
      <c r="L280" s="2">
        <v>0</v>
      </c>
      <c r="M280" s="2">
        <v>0</v>
      </c>
      <c r="N280" s="2">
        <v>0</v>
      </c>
      <c r="O280" s="2">
        <v>82.26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82.26</v>
      </c>
      <c r="V280" t="s">
        <v>30</v>
      </c>
    </row>
    <row r="281" spans="1:22" x14ac:dyDescent="0.25">
      <c r="A281" t="s">
        <v>480</v>
      </c>
      <c r="B281" t="s">
        <v>1210</v>
      </c>
      <c r="C281" t="s">
        <v>1</v>
      </c>
      <c r="D281" t="s">
        <v>440</v>
      </c>
      <c r="E281" t="s">
        <v>1199</v>
      </c>
      <c r="F281" t="s">
        <v>1200</v>
      </c>
      <c r="G281">
        <v>4295</v>
      </c>
      <c r="H281">
        <v>4295</v>
      </c>
      <c r="I281">
        <v>4295</v>
      </c>
      <c r="J281">
        <v>4295</v>
      </c>
      <c r="K281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t="s">
        <v>30</v>
      </c>
    </row>
    <row r="282" spans="1:22" x14ac:dyDescent="0.25">
      <c r="A282" t="s">
        <v>480</v>
      </c>
      <c r="B282" t="s">
        <v>1210</v>
      </c>
      <c r="C282" t="s">
        <v>1</v>
      </c>
      <c r="D282" t="s">
        <v>440</v>
      </c>
      <c r="E282" t="s">
        <v>1199</v>
      </c>
      <c r="F282" t="s">
        <v>1200</v>
      </c>
      <c r="G282">
        <v>4296</v>
      </c>
      <c r="H282">
        <v>4296</v>
      </c>
      <c r="I282">
        <v>4296</v>
      </c>
      <c r="J282">
        <v>4296</v>
      </c>
      <c r="K282">
        <v>0</v>
      </c>
      <c r="L282" s="2">
        <v>0</v>
      </c>
      <c r="M282" s="2">
        <v>0</v>
      </c>
      <c r="N282" s="2">
        <v>0</v>
      </c>
      <c r="O282" s="2">
        <v>740.72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740.72</v>
      </c>
      <c r="V282" t="s">
        <v>30</v>
      </c>
    </row>
    <row r="283" spans="1:22" x14ac:dyDescent="0.25">
      <c r="A283" t="s">
        <v>480</v>
      </c>
      <c r="B283" t="s">
        <v>1210</v>
      </c>
      <c r="C283" t="s">
        <v>1</v>
      </c>
      <c r="D283" t="s">
        <v>440</v>
      </c>
      <c r="E283" t="s">
        <v>1199</v>
      </c>
      <c r="F283" t="s">
        <v>1200</v>
      </c>
      <c r="G283">
        <v>4297</v>
      </c>
      <c r="H283">
        <v>4297</v>
      </c>
      <c r="I283">
        <v>4297</v>
      </c>
      <c r="J283">
        <v>4297</v>
      </c>
      <c r="K283">
        <v>0</v>
      </c>
      <c r="L283" s="2">
        <v>0</v>
      </c>
      <c r="M283" s="2">
        <v>0</v>
      </c>
      <c r="N283" s="2">
        <v>0</v>
      </c>
      <c r="O283" s="2">
        <v>90.51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90.51</v>
      </c>
      <c r="V283" t="s">
        <v>30</v>
      </c>
    </row>
    <row r="284" spans="1:22" x14ac:dyDescent="0.25">
      <c r="A284" t="s">
        <v>480</v>
      </c>
      <c r="B284" t="s">
        <v>1210</v>
      </c>
      <c r="C284" t="s">
        <v>1</v>
      </c>
      <c r="D284" t="s">
        <v>440</v>
      </c>
      <c r="E284" t="s">
        <v>1199</v>
      </c>
      <c r="F284" t="s">
        <v>1200</v>
      </c>
      <c r="G284">
        <v>4298</v>
      </c>
      <c r="H284">
        <v>4298</v>
      </c>
      <c r="I284">
        <v>4298</v>
      </c>
      <c r="J284">
        <v>4298</v>
      </c>
      <c r="K284">
        <v>0</v>
      </c>
      <c r="L284" s="2">
        <v>0</v>
      </c>
      <c r="M284" s="2">
        <v>0</v>
      </c>
      <c r="N284" s="2">
        <v>0</v>
      </c>
      <c r="O284" s="2">
        <v>13.11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13.11</v>
      </c>
      <c r="V284" t="s">
        <v>30</v>
      </c>
    </row>
    <row r="285" spans="1:22" x14ac:dyDescent="0.25">
      <c r="A285" t="s">
        <v>480</v>
      </c>
      <c r="B285" t="s">
        <v>1209</v>
      </c>
      <c r="C285" t="s">
        <v>1</v>
      </c>
      <c r="D285" t="s">
        <v>440</v>
      </c>
      <c r="E285" t="s">
        <v>1199</v>
      </c>
      <c r="F285" t="s">
        <v>1200</v>
      </c>
      <c r="G285">
        <v>4299</v>
      </c>
      <c r="H285">
        <v>4299</v>
      </c>
      <c r="I285">
        <v>4299</v>
      </c>
      <c r="J285">
        <v>4299</v>
      </c>
      <c r="K285">
        <v>0</v>
      </c>
      <c r="L285" s="2">
        <v>0</v>
      </c>
      <c r="M285" s="2">
        <v>0</v>
      </c>
      <c r="N285" s="2">
        <v>0</v>
      </c>
      <c r="O285" s="2">
        <v>3.74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3.74</v>
      </c>
      <c r="V285" t="s">
        <v>30</v>
      </c>
    </row>
    <row r="286" spans="1:22" x14ac:dyDescent="0.25">
      <c r="A286" t="s">
        <v>480</v>
      </c>
      <c r="B286" t="s">
        <v>1209</v>
      </c>
      <c r="C286" t="s">
        <v>1</v>
      </c>
      <c r="D286" t="s">
        <v>440</v>
      </c>
      <c r="E286" t="s">
        <v>1199</v>
      </c>
      <c r="F286" t="s">
        <v>1200</v>
      </c>
      <c r="G286">
        <v>4300</v>
      </c>
      <c r="H286">
        <v>4300</v>
      </c>
      <c r="I286">
        <v>4300</v>
      </c>
      <c r="J286">
        <v>4300</v>
      </c>
      <c r="K286">
        <v>0</v>
      </c>
      <c r="L286" s="2">
        <v>0</v>
      </c>
      <c r="M286" s="2">
        <v>0</v>
      </c>
      <c r="N286" s="2">
        <v>0</v>
      </c>
      <c r="O286" s="2">
        <v>351.57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351.57</v>
      </c>
      <c r="V286" t="s">
        <v>30</v>
      </c>
    </row>
    <row r="287" spans="1:22" x14ac:dyDescent="0.25">
      <c r="A287" t="s">
        <v>480</v>
      </c>
      <c r="B287" t="s">
        <v>1209</v>
      </c>
      <c r="C287" t="s">
        <v>1</v>
      </c>
      <c r="D287" t="s">
        <v>440</v>
      </c>
      <c r="E287" t="s">
        <v>1199</v>
      </c>
      <c r="F287" t="s">
        <v>1200</v>
      </c>
      <c r="G287">
        <v>4301</v>
      </c>
      <c r="H287">
        <v>4301</v>
      </c>
      <c r="I287">
        <v>4301</v>
      </c>
      <c r="J287">
        <v>4301</v>
      </c>
      <c r="K287">
        <v>0</v>
      </c>
      <c r="L287" s="2">
        <v>0</v>
      </c>
      <c r="M287" s="2">
        <v>0</v>
      </c>
      <c r="N287" s="2">
        <v>0</v>
      </c>
      <c r="O287" s="2">
        <v>243.77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243.77</v>
      </c>
      <c r="V287" t="s">
        <v>30</v>
      </c>
    </row>
    <row r="288" spans="1:22" x14ac:dyDescent="0.25">
      <c r="A288" t="s">
        <v>480</v>
      </c>
      <c r="B288" t="s">
        <v>1209</v>
      </c>
      <c r="C288" t="s">
        <v>1</v>
      </c>
      <c r="D288" t="s">
        <v>440</v>
      </c>
      <c r="E288" t="s">
        <v>1199</v>
      </c>
      <c r="F288" t="s">
        <v>1200</v>
      </c>
      <c r="G288">
        <v>4302</v>
      </c>
      <c r="H288">
        <v>4302</v>
      </c>
      <c r="I288">
        <v>4302</v>
      </c>
      <c r="J288">
        <v>4302</v>
      </c>
      <c r="K288">
        <v>0</v>
      </c>
      <c r="L288" s="2">
        <v>0</v>
      </c>
      <c r="M288" s="2">
        <v>0</v>
      </c>
      <c r="N288" s="2">
        <v>0</v>
      </c>
      <c r="O288" s="2">
        <v>26.95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26.95</v>
      </c>
      <c r="V288" t="s">
        <v>30</v>
      </c>
    </row>
    <row r="289" spans="1:22" x14ac:dyDescent="0.25">
      <c r="A289" t="s">
        <v>480</v>
      </c>
      <c r="B289" t="s">
        <v>1209</v>
      </c>
      <c r="C289" t="s">
        <v>1</v>
      </c>
      <c r="D289" t="s">
        <v>440</v>
      </c>
      <c r="E289" t="s">
        <v>1199</v>
      </c>
      <c r="F289" t="s">
        <v>1200</v>
      </c>
      <c r="G289">
        <v>4303</v>
      </c>
      <c r="H289">
        <v>4303</v>
      </c>
      <c r="I289">
        <v>4303</v>
      </c>
      <c r="J289">
        <v>4303</v>
      </c>
      <c r="K289">
        <v>0</v>
      </c>
      <c r="L289" s="2">
        <v>0</v>
      </c>
      <c r="M289" s="2">
        <v>0</v>
      </c>
      <c r="N289" s="2">
        <v>0</v>
      </c>
      <c r="O289" s="2">
        <v>532.4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532.4</v>
      </c>
      <c r="V289" t="s">
        <v>30</v>
      </c>
    </row>
    <row r="290" spans="1:22" x14ac:dyDescent="0.25">
      <c r="A290" t="s">
        <v>480</v>
      </c>
      <c r="B290" t="s">
        <v>1209</v>
      </c>
      <c r="C290" t="s">
        <v>1</v>
      </c>
      <c r="D290" t="s">
        <v>440</v>
      </c>
      <c r="E290" t="s">
        <v>1199</v>
      </c>
      <c r="F290" t="s">
        <v>1200</v>
      </c>
      <c r="G290">
        <v>4304</v>
      </c>
      <c r="H290">
        <v>4304</v>
      </c>
      <c r="I290">
        <v>4304</v>
      </c>
      <c r="J290">
        <v>4304</v>
      </c>
      <c r="K290">
        <v>0</v>
      </c>
      <c r="L290" s="2">
        <v>0</v>
      </c>
      <c r="M290" s="2">
        <v>0</v>
      </c>
      <c r="N290" s="2">
        <v>0</v>
      </c>
      <c r="O290" s="2">
        <v>551.99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551.99</v>
      </c>
      <c r="V290" t="s">
        <v>30</v>
      </c>
    </row>
    <row r="291" spans="1:22" x14ac:dyDescent="0.25">
      <c r="A291" t="s">
        <v>480</v>
      </c>
      <c r="B291" t="s">
        <v>1209</v>
      </c>
      <c r="C291" t="s">
        <v>1</v>
      </c>
      <c r="D291" t="s">
        <v>440</v>
      </c>
      <c r="E291" t="s">
        <v>1199</v>
      </c>
      <c r="F291" t="s">
        <v>1200</v>
      </c>
      <c r="G291">
        <v>4305</v>
      </c>
      <c r="H291">
        <v>4305</v>
      </c>
      <c r="I291">
        <v>4305</v>
      </c>
      <c r="J291">
        <v>4305</v>
      </c>
      <c r="K291">
        <v>0</v>
      </c>
      <c r="L291" s="2">
        <v>0</v>
      </c>
      <c r="M291" s="2">
        <v>0</v>
      </c>
      <c r="N291" s="2">
        <v>0</v>
      </c>
      <c r="O291" s="2">
        <v>73.260000000000005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73.260000000000005</v>
      </c>
      <c r="V291" t="s">
        <v>30</v>
      </c>
    </row>
    <row r="292" spans="1:22" x14ac:dyDescent="0.25">
      <c r="A292" t="s">
        <v>480</v>
      </c>
      <c r="B292" t="s">
        <v>1209</v>
      </c>
      <c r="C292" t="s">
        <v>1</v>
      </c>
      <c r="D292" t="s">
        <v>440</v>
      </c>
      <c r="E292" t="s">
        <v>1199</v>
      </c>
      <c r="F292" t="s">
        <v>1200</v>
      </c>
      <c r="G292">
        <v>4306</v>
      </c>
      <c r="H292">
        <v>4306</v>
      </c>
      <c r="I292">
        <v>4306</v>
      </c>
      <c r="J292">
        <v>4306</v>
      </c>
      <c r="K292">
        <v>0</v>
      </c>
      <c r="L292" s="2">
        <v>0</v>
      </c>
      <c r="M292" s="2">
        <v>0</v>
      </c>
      <c r="N292" s="2">
        <v>0</v>
      </c>
      <c r="O292" s="2">
        <v>196.01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196.01</v>
      </c>
      <c r="V292" t="s">
        <v>30</v>
      </c>
    </row>
    <row r="293" spans="1:22" x14ac:dyDescent="0.25">
      <c r="A293" t="s">
        <v>480</v>
      </c>
      <c r="B293" t="s">
        <v>1209</v>
      </c>
      <c r="C293" t="s">
        <v>1</v>
      </c>
      <c r="D293" t="s">
        <v>440</v>
      </c>
      <c r="E293" t="s">
        <v>1199</v>
      </c>
      <c r="F293" t="s">
        <v>1200</v>
      </c>
      <c r="G293">
        <v>4307</v>
      </c>
      <c r="H293">
        <v>4307</v>
      </c>
      <c r="I293">
        <v>4307</v>
      </c>
      <c r="J293">
        <v>4307</v>
      </c>
      <c r="K293">
        <v>0</v>
      </c>
      <c r="L293" s="2">
        <v>0</v>
      </c>
      <c r="M293" s="2">
        <v>0</v>
      </c>
      <c r="N293" s="2">
        <v>0</v>
      </c>
      <c r="O293" s="2">
        <v>127.5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127.5</v>
      </c>
      <c r="V293" t="s">
        <v>30</v>
      </c>
    </row>
    <row r="294" spans="1:22" x14ac:dyDescent="0.25">
      <c r="A294" t="s">
        <v>480</v>
      </c>
      <c r="B294" t="s">
        <v>1208</v>
      </c>
      <c r="C294" t="s">
        <v>1</v>
      </c>
      <c r="D294" t="s">
        <v>440</v>
      </c>
      <c r="E294" t="s">
        <v>1199</v>
      </c>
      <c r="F294" t="s">
        <v>1200</v>
      </c>
      <c r="G294">
        <v>4308</v>
      </c>
      <c r="H294">
        <v>4308</v>
      </c>
      <c r="I294">
        <v>4308</v>
      </c>
      <c r="J294">
        <v>4308</v>
      </c>
      <c r="K294">
        <v>0</v>
      </c>
      <c r="L294" s="2">
        <v>0</v>
      </c>
      <c r="M294" s="2">
        <v>0</v>
      </c>
      <c r="N294" s="2">
        <v>0</v>
      </c>
      <c r="O294" s="2">
        <v>33.630000000000003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33.630000000000003</v>
      </c>
      <c r="V294" t="s">
        <v>30</v>
      </c>
    </row>
    <row r="295" spans="1:22" x14ac:dyDescent="0.25">
      <c r="A295" t="s">
        <v>480</v>
      </c>
      <c r="B295" t="s">
        <v>1208</v>
      </c>
      <c r="C295" t="s">
        <v>1</v>
      </c>
      <c r="D295" t="s">
        <v>440</v>
      </c>
      <c r="E295" t="s">
        <v>1199</v>
      </c>
      <c r="F295" t="s">
        <v>1200</v>
      </c>
      <c r="G295">
        <v>4309</v>
      </c>
      <c r="H295">
        <v>4309</v>
      </c>
      <c r="I295">
        <v>4309</v>
      </c>
      <c r="J295">
        <v>4309</v>
      </c>
      <c r="K295">
        <v>0</v>
      </c>
      <c r="L295" s="2">
        <v>0</v>
      </c>
      <c r="M295" s="2">
        <v>0</v>
      </c>
      <c r="N295" s="2">
        <v>0</v>
      </c>
      <c r="O295" s="2">
        <v>82.38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82.38</v>
      </c>
      <c r="V295" t="s">
        <v>30</v>
      </c>
    </row>
    <row r="296" spans="1:22" x14ac:dyDescent="0.25">
      <c r="A296" t="s">
        <v>480</v>
      </c>
      <c r="B296" t="s">
        <v>1207</v>
      </c>
      <c r="C296" t="s">
        <v>1</v>
      </c>
      <c r="D296" t="s">
        <v>440</v>
      </c>
      <c r="E296" t="s">
        <v>1199</v>
      </c>
      <c r="F296" t="s">
        <v>1200</v>
      </c>
      <c r="G296">
        <v>4310</v>
      </c>
      <c r="H296">
        <v>4310</v>
      </c>
      <c r="I296">
        <v>4310</v>
      </c>
      <c r="J296">
        <v>4310</v>
      </c>
      <c r="K296">
        <v>0</v>
      </c>
      <c r="L296" s="2">
        <v>0</v>
      </c>
      <c r="M296" s="2">
        <v>0</v>
      </c>
      <c r="N296" s="2">
        <v>0</v>
      </c>
      <c r="O296" s="2">
        <v>266.92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266.92</v>
      </c>
      <c r="V296" t="s">
        <v>30</v>
      </c>
    </row>
    <row r="297" spans="1:22" x14ac:dyDescent="0.25">
      <c r="A297" t="s">
        <v>480</v>
      </c>
      <c r="B297" t="s">
        <v>1207</v>
      </c>
      <c r="C297" t="s">
        <v>1</v>
      </c>
      <c r="D297" t="s">
        <v>440</v>
      </c>
      <c r="E297" t="s">
        <v>1199</v>
      </c>
      <c r="F297" t="s">
        <v>1200</v>
      </c>
      <c r="G297">
        <v>4311</v>
      </c>
      <c r="H297">
        <v>4311</v>
      </c>
      <c r="I297">
        <v>4311</v>
      </c>
      <c r="J297">
        <v>4311</v>
      </c>
      <c r="K297">
        <v>0</v>
      </c>
      <c r="L297" s="2">
        <v>0</v>
      </c>
      <c r="M297" s="2">
        <v>0</v>
      </c>
      <c r="N297" s="2">
        <v>0</v>
      </c>
      <c r="O297" s="2">
        <v>82.43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82.43</v>
      </c>
      <c r="V297" t="s">
        <v>30</v>
      </c>
    </row>
    <row r="298" spans="1:22" x14ac:dyDescent="0.25">
      <c r="A298" t="s">
        <v>480</v>
      </c>
      <c r="B298" t="s">
        <v>1207</v>
      </c>
      <c r="C298" t="s">
        <v>1</v>
      </c>
      <c r="D298" t="s">
        <v>440</v>
      </c>
      <c r="E298" t="s">
        <v>1199</v>
      </c>
      <c r="F298" t="s">
        <v>1200</v>
      </c>
      <c r="G298">
        <v>4312</v>
      </c>
      <c r="H298">
        <v>4312</v>
      </c>
      <c r="I298">
        <v>4312</v>
      </c>
      <c r="J298">
        <v>4312</v>
      </c>
      <c r="K298">
        <v>0</v>
      </c>
      <c r="L298" s="2">
        <v>0</v>
      </c>
      <c r="M298" s="2">
        <v>0</v>
      </c>
      <c r="N298" s="2">
        <v>0</v>
      </c>
      <c r="O298" s="2">
        <v>18.690000000000001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18.690000000000001</v>
      </c>
      <c r="V298" t="s">
        <v>30</v>
      </c>
    </row>
    <row r="299" spans="1:22" x14ac:dyDescent="0.25">
      <c r="A299" t="s">
        <v>480</v>
      </c>
      <c r="B299" t="s">
        <v>1206</v>
      </c>
      <c r="C299" t="s">
        <v>1</v>
      </c>
      <c r="D299" t="s">
        <v>440</v>
      </c>
      <c r="E299" t="s">
        <v>1199</v>
      </c>
      <c r="F299" t="s">
        <v>1200</v>
      </c>
      <c r="G299">
        <v>4313</v>
      </c>
      <c r="H299">
        <v>4313</v>
      </c>
      <c r="I299">
        <v>4313</v>
      </c>
      <c r="J299">
        <v>4313</v>
      </c>
      <c r="K299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t="s">
        <v>30</v>
      </c>
    </row>
    <row r="300" spans="1:22" x14ac:dyDescent="0.25">
      <c r="A300" t="s">
        <v>480</v>
      </c>
      <c r="B300" t="s">
        <v>1206</v>
      </c>
      <c r="C300" t="s">
        <v>1</v>
      </c>
      <c r="D300" t="s">
        <v>440</v>
      </c>
      <c r="E300" t="s">
        <v>1199</v>
      </c>
      <c r="F300" t="s">
        <v>1200</v>
      </c>
      <c r="G300">
        <v>4314</v>
      </c>
      <c r="H300">
        <v>4314</v>
      </c>
      <c r="I300">
        <v>4314</v>
      </c>
      <c r="J300">
        <v>4314</v>
      </c>
      <c r="K300">
        <v>0</v>
      </c>
      <c r="L300" s="2">
        <v>0</v>
      </c>
      <c r="M300" s="2">
        <v>0</v>
      </c>
      <c r="N300" s="2">
        <v>0</v>
      </c>
      <c r="O300" s="2">
        <v>394.81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394.81</v>
      </c>
      <c r="V300" t="s">
        <v>30</v>
      </c>
    </row>
    <row r="301" spans="1:22" x14ac:dyDescent="0.25">
      <c r="A301" t="s">
        <v>480</v>
      </c>
      <c r="B301" t="s">
        <v>1205</v>
      </c>
      <c r="C301" t="s">
        <v>1</v>
      </c>
      <c r="D301" t="s">
        <v>440</v>
      </c>
      <c r="E301" t="s">
        <v>1199</v>
      </c>
      <c r="F301" t="s">
        <v>1200</v>
      </c>
      <c r="G301">
        <v>4315</v>
      </c>
      <c r="H301">
        <v>4315</v>
      </c>
      <c r="I301">
        <v>4315</v>
      </c>
      <c r="J301">
        <v>4315</v>
      </c>
      <c r="K301">
        <v>0</v>
      </c>
      <c r="L301" s="2">
        <v>0</v>
      </c>
      <c r="M301" s="2">
        <v>0</v>
      </c>
      <c r="N301" s="2">
        <v>0</v>
      </c>
      <c r="O301" s="2">
        <v>24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24</v>
      </c>
      <c r="V301" t="s">
        <v>30</v>
      </c>
    </row>
    <row r="302" spans="1:22" x14ac:dyDescent="0.25">
      <c r="A302" t="s">
        <v>480</v>
      </c>
      <c r="B302" t="s">
        <v>1205</v>
      </c>
      <c r="C302" t="s">
        <v>1</v>
      </c>
      <c r="D302" t="s">
        <v>440</v>
      </c>
      <c r="E302" t="s">
        <v>1199</v>
      </c>
      <c r="F302" t="s">
        <v>1200</v>
      </c>
      <c r="G302">
        <v>4316</v>
      </c>
      <c r="H302">
        <v>4316</v>
      </c>
      <c r="I302">
        <v>4316</v>
      </c>
      <c r="J302">
        <v>4316</v>
      </c>
      <c r="K302">
        <v>0</v>
      </c>
      <c r="L302" s="2">
        <v>0</v>
      </c>
      <c r="M302" s="2">
        <v>0</v>
      </c>
      <c r="N302" s="2">
        <v>0</v>
      </c>
      <c r="O302" s="2">
        <v>24.31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24.31</v>
      </c>
      <c r="V302" t="s">
        <v>30</v>
      </c>
    </row>
    <row r="303" spans="1:22" x14ac:dyDescent="0.25">
      <c r="A303" t="s">
        <v>480</v>
      </c>
      <c r="B303" t="s">
        <v>1204</v>
      </c>
      <c r="C303" t="s">
        <v>1</v>
      </c>
      <c r="D303" t="s">
        <v>440</v>
      </c>
      <c r="E303" t="s">
        <v>1199</v>
      </c>
      <c r="F303" t="s">
        <v>1200</v>
      </c>
      <c r="G303">
        <v>4317</v>
      </c>
      <c r="H303">
        <v>4317</v>
      </c>
      <c r="I303">
        <v>4317</v>
      </c>
      <c r="J303">
        <v>4317</v>
      </c>
      <c r="K303">
        <v>0</v>
      </c>
      <c r="L303" s="2">
        <v>0</v>
      </c>
      <c r="M303" s="2">
        <v>0</v>
      </c>
      <c r="N303" s="2">
        <v>0</v>
      </c>
      <c r="O303" s="2">
        <v>114.54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114.54</v>
      </c>
      <c r="V303" t="s">
        <v>30</v>
      </c>
    </row>
    <row r="304" spans="1:22" x14ac:dyDescent="0.25">
      <c r="A304" t="s">
        <v>480</v>
      </c>
      <c r="B304" t="s">
        <v>1204</v>
      </c>
      <c r="C304" t="s">
        <v>1</v>
      </c>
      <c r="D304" t="s">
        <v>440</v>
      </c>
      <c r="E304" t="s">
        <v>1199</v>
      </c>
      <c r="F304" t="s">
        <v>1200</v>
      </c>
      <c r="G304">
        <v>4318</v>
      </c>
      <c r="H304">
        <v>4318</v>
      </c>
      <c r="I304">
        <v>4318</v>
      </c>
      <c r="J304">
        <v>4318</v>
      </c>
      <c r="K304">
        <v>0</v>
      </c>
      <c r="L304" s="2">
        <v>0</v>
      </c>
      <c r="M304" s="2">
        <v>0</v>
      </c>
      <c r="N304" s="2">
        <v>0</v>
      </c>
      <c r="O304" s="2">
        <v>780.25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780.25</v>
      </c>
      <c r="V304" t="s">
        <v>30</v>
      </c>
    </row>
    <row r="305" spans="1:22" x14ac:dyDescent="0.25">
      <c r="A305" t="s">
        <v>480</v>
      </c>
      <c r="B305" t="s">
        <v>1204</v>
      </c>
      <c r="C305" t="s">
        <v>1</v>
      </c>
      <c r="D305" t="s">
        <v>440</v>
      </c>
      <c r="E305" t="s">
        <v>1199</v>
      </c>
      <c r="F305" t="s">
        <v>1200</v>
      </c>
      <c r="G305">
        <v>4319</v>
      </c>
      <c r="H305">
        <v>4319</v>
      </c>
      <c r="I305">
        <v>4319</v>
      </c>
      <c r="J305">
        <v>4319</v>
      </c>
      <c r="K305">
        <v>0</v>
      </c>
      <c r="L305" s="2">
        <v>0</v>
      </c>
      <c r="M305" s="2">
        <v>0</v>
      </c>
      <c r="N305" s="2">
        <v>0</v>
      </c>
      <c r="O305" s="2">
        <v>184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184</v>
      </c>
      <c r="V305" t="s">
        <v>30</v>
      </c>
    </row>
    <row r="306" spans="1:22" x14ac:dyDescent="0.25">
      <c r="A306" t="s">
        <v>480</v>
      </c>
      <c r="B306" t="s">
        <v>1204</v>
      </c>
      <c r="C306" t="s">
        <v>1</v>
      </c>
      <c r="D306" t="s">
        <v>440</v>
      </c>
      <c r="E306" t="s">
        <v>1199</v>
      </c>
      <c r="F306" t="s">
        <v>1200</v>
      </c>
      <c r="G306">
        <v>4320</v>
      </c>
      <c r="H306">
        <v>4320</v>
      </c>
      <c r="I306">
        <v>4320</v>
      </c>
      <c r="J306">
        <v>4320</v>
      </c>
      <c r="K306">
        <v>0</v>
      </c>
      <c r="L306" s="2">
        <v>0</v>
      </c>
      <c r="M306" s="2">
        <v>0</v>
      </c>
      <c r="N306" s="2">
        <v>0</v>
      </c>
      <c r="O306" s="2">
        <v>29.91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29.91</v>
      </c>
      <c r="V306" t="s">
        <v>30</v>
      </c>
    </row>
    <row r="307" spans="1:22" x14ac:dyDescent="0.25">
      <c r="A307" t="s">
        <v>480</v>
      </c>
      <c r="B307" s="40" t="s">
        <v>1204</v>
      </c>
      <c r="C307" t="s">
        <v>1</v>
      </c>
      <c r="D307" t="s">
        <v>440</v>
      </c>
      <c r="E307" t="s">
        <v>1199</v>
      </c>
      <c r="F307" t="s">
        <v>1200</v>
      </c>
      <c r="G307">
        <v>4321</v>
      </c>
      <c r="H307">
        <v>4321</v>
      </c>
      <c r="I307">
        <v>4321</v>
      </c>
      <c r="J307">
        <v>4321</v>
      </c>
      <c r="K307">
        <v>0</v>
      </c>
      <c r="L307" s="2">
        <v>0</v>
      </c>
      <c r="M307" s="2">
        <v>0</v>
      </c>
      <c r="N307" s="2">
        <v>0</v>
      </c>
      <c r="O307" s="2">
        <v>204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204</v>
      </c>
      <c r="V307" t="s">
        <v>30</v>
      </c>
    </row>
    <row r="308" spans="1:22" x14ac:dyDescent="0.25">
      <c r="A308" t="s">
        <v>480</v>
      </c>
      <c r="B308" t="s">
        <v>1187</v>
      </c>
      <c r="C308" t="s">
        <v>1</v>
      </c>
      <c r="D308" t="s">
        <v>440</v>
      </c>
      <c r="E308" t="s">
        <v>1199</v>
      </c>
      <c r="F308" t="s">
        <v>1200</v>
      </c>
      <c r="G308">
        <v>4322</v>
      </c>
      <c r="H308">
        <v>4322</v>
      </c>
      <c r="I308">
        <v>4322</v>
      </c>
      <c r="J308">
        <v>4322</v>
      </c>
      <c r="K308">
        <v>0</v>
      </c>
      <c r="L308" s="2">
        <v>0</v>
      </c>
      <c r="M308" s="2">
        <v>0</v>
      </c>
      <c r="N308" s="2">
        <v>0</v>
      </c>
      <c r="O308" s="2">
        <v>119.25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119.25</v>
      </c>
      <c r="V308" t="s">
        <v>30</v>
      </c>
    </row>
    <row r="309" spans="1:22" x14ac:dyDescent="0.25">
      <c r="A309" t="s">
        <v>480</v>
      </c>
      <c r="B309" t="s">
        <v>1189</v>
      </c>
      <c r="C309" t="s">
        <v>1</v>
      </c>
      <c r="D309" t="s">
        <v>440</v>
      </c>
      <c r="E309" t="s">
        <v>1199</v>
      </c>
      <c r="F309" t="s">
        <v>1200</v>
      </c>
      <c r="G309">
        <v>4323</v>
      </c>
      <c r="H309">
        <v>4323</v>
      </c>
      <c r="I309">
        <v>4323</v>
      </c>
      <c r="J309">
        <v>4323</v>
      </c>
      <c r="K309">
        <v>0</v>
      </c>
      <c r="L309" s="2">
        <v>0</v>
      </c>
      <c r="M309" s="2">
        <v>0</v>
      </c>
      <c r="N309" s="2">
        <v>0</v>
      </c>
      <c r="O309" s="2">
        <v>103.75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103.75</v>
      </c>
      <c r="V309" t="s">
        <v>30</v>
      </c>
    </row>
    <row r="310" spans="1:22" x14ac:dyDescent="0.25">
      <c r="A310" t="s">
        <v>480</v>
      </c>
      <c r="B310" t="s">
        <v>1189</v>
      </c>
      <c r="C310" t="s">
        <v>1</v>
      </c>
      <c r="D310" t="s">
        <v>440</v>
      </c>
      <c r="E310" t="s">
        <v>1199</v>
      </c>
      <c r="F310" t="s">
        <v>1200</v>
      </c>
      <c r="G310">
        <v>4324</v>
      </c>
      <c r="H310">
        <v>4324</v>
      </c>
      <c r="I310">
        <v>4324</v>
      </c>
      <c r="J310">
        <v>4324</v>
      </c>
      <c r="K310">
        <v>0</v>
      </c>
      <c r="L310" s="2">
        <v>0</v>
      </c>
      <c r="M310" s="2">
        <v>0</v>
      </c>
      <c r="N310" s="2">
        <v>0</v>
      </c>
      <c r="O310" s="2">
        <v>1332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1332</v>
      </c>
      <c r="V310" t="s">
        <v>30</v>
      </c>
    </row>
    <row r="311" spans="1:22" x14ac:dyDescent="0.25">
      <c r="A311" t="s">
        <v>480</v>
      </c>
      <c r="B311" t="s">
        <v>1189</v>
      </c>
      <c r="C311" t="s">
        <v>1</v>
      </c>
      <c r="D311" t="s">
        <v>440</v>
      </c>
      <c r="E311" t="s">
        <v>1199</v>
      </c>
      <c r="F311" t="s">
        <v>1200</v>
      </c>
      <c r="G311">
        <v>4325</v>
      </c>
      <c r="H311">
        <v>4325</v>
      </c>
      <c r="I311">
        <v>4325</v>
      </c>
      <c r="J311">
        <v>4325</v>
      </c>
      <c r="K311">
        <v>0</v>
      </c>
      <c r="L311" s="2">
        <v>0</v>
      </c>
      <c r="M311" s="2">
        <v>0</v>
      </c>
      <c r="N311" s="2">
        <v>0</v>
      </c>
      <c r="O311" s="2">
        <v>706.26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706.26</v>
      </c>
      <c r="V311" t="s">
        <v>30</v>
      </c>
    </row>
    <row r="312" spans="1:22" x14ac:dyDescent="0.25">
      <c r="A312" t="s">
        <v>480</v>
      </c>
      <c r="B312" t="s">
        <v>1189</v>
      </c>
      <c r="C312" t="s">
        <v>1</v>
      </c>
      <c r="D312" t="s">
        <v>440</v>
      </c>
      <c r="E312" t="s">
        <v>1199</v>
      </c>
      <c r="F312" t="s">
        <v>1200</v>
      </c>
      <c r="G312">
        <v>4326</v>
      </c>
      <c r="H312">
        <v>4326</v>
      </c>
      <c r="I312">
        <v>4326</v>
      </c>
      <c r="J312">
        <v>4326</v>
      </c>
      <c r="K31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t="s">
        <v>30</v>
      </c>
    </row>
    <row r="313" spans="1:22" x14ac:dyDescent="0.25">
      <c r="A313" t="s">
        <v>480</v>
      </c>
      <c r="B313" t="s">
        <v>1189</v>
      </c>
      <c r="C313" t="s">
        <v>1</v>
      </c>
      <c r="D313" t="s">
        <v>440</v>
      </c>
      <c r="E313" t="s">
        <v>1199</v>
      </c>
      <c r="F313" t="s">
        <v>1200</v>
      </c>
      <c r="G313">
        <v>4327</v>
      </c>
      <c r="H313">
        <v>4327</v>
      </c>
      <c r="I313">
        <v>4327</v>
      </c>
      <c r="J313">
        <v>4327</v>
      </c>
      <c r="K313">
        <v>0</v>
      </c>
      <c r="L313" s="2">
        <v>0</v>
      </c>
      <c r="M313" s="2">
        <v>0</v>
      </c>
      <c r="N313" s="2">
        <v>0</v>
      </c>
      <c r="O313" s="2">
        <v>1324.79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1324.79</v>
      </c>
      <c r="V313" t="s">
        <v>30</v>
      </c>
    </row>
    <row r="314" spans="1:22" x14ac:dyDescent="0.25">
      <c r="A314" t="s">
        <v>480</v>
      </c>
      <c r="B314" t="s">
        <v>1189</v>
      </c>
      <c r="C314" t="s">
        <v>1</v>
      </c>
      <c r="D314" t="s">
        <v>440</v>
      </c>
      <c r="E314" t="s">
        <v>1199</v>
      </c>
      <c r="F314" t="s">
        <v>1200</v>
      </c>
      <c r="G314">
        <v>4328</v>
      </c>
      <c r="H314">
        <v>4328</v>
      </c>
      <c r="I314">
        <v>4328</v>
      </c>
      <c r="J314">
        <v>4328</v>
      </c>
      <c r="K314">
        <v>0</v>
      </c>
      <c r="L314" s="2">
        <v>0</v>
      </c>
      <c r="M314" s="2">
        <v>0</v>
      </c>
      <c r="N314" s="2">
        <v>0</v>
      </c>
      <c r="O314" s="2">
        <v>1324.79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1324.79</v>
      </c>
      <c r="V314" t="s">
        <v>30</v>
      </c>
    </row>
    <row r="315" spans="1:22" x14ac:dyDescent="0.25">
      <c r="A315" t="s">
        <v>480</v>
      </c>
      <c r="B315" t="s">
        <v>1203</v>
      </c>
      <c r="C315" t="s">
        <v>1</v>
      </c>
      <c r="D315" t="s">
        <v>440</v>
      </c>
      <c r="E315" t="s">
        <v>1199</v>
      </c>
      <c r="F315" t="s">
        <v>1200</v>
      </c>
      <c r="G315">
        <v>4329</v>
      </c>
      <c r="H315">
        <v>4329</v>
      </c>
      <c r="I315">
        <v>4329</v>
      </c>
      <c r="J315">
        <v>4329</v>
      </c>
      <c r="K315">
        <v>0</v>
      </c>
      <c r="L315" s="2">
        <v>0</v>
      </c>
      <c r="M315" s="2">
        <v>0</v>
      </c>
      <c r="N315" s="2">
        <v>0</v>
      </c>
      <c r="O315" s="2">
        <v>218.27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218.27</v>
      </c>
      <c r="V315" t="s">
        <v>30</v>
      </c>
    </row>
    <row r="316" spans="1:22" x14ac:dyDescent="0.25">
      <c r="A316" t="s">
        <v>480</v>
      </c>
      <c r="B316" t="s">
        <v>1202</v>
      </c>
      <c r="C316" t="s">
        <v>1</v>
      </c>
      <c r="D316" t="s">
        <v>440</v>
      </c>
      <c r="E316" t="s">
        <v>1199</v>
      </c>
      <c r="F316" t="s">
        <v>1200</v>
      </c>
      <c r="G316">
        <v>4330</v>
      </c>
      <c r="H316">
        <v>4330</v>
      </c>
      <c r="I316">
        <v>4330</v>
      </c>
      <c r="J316">
        <v>4330</v>
      </c>
      <c r="K316">
        <v>0</v>
      </c>
      <c r="L316" s="2">
        <v>0</v>
      </c>
      <c r="M316" s="2">
        <v>0</v>
      </c>
      <c r="N316" s="2">
        <v>0</v>
      </c>
      <c r="O316" s="2">
        <v>742.04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742.04</v>
      </c>
      <c r="V316" t="s">
        <v>30</v>
      </c>
    </row>
    <row r="317" spans="1:22" x14ac:dyDescent="0.25">
      <c r="A317" t="s">
        <v>480</v>
      </c>
      <c r="B317" t="s">
        <v>1202</v>
      </c>
      <c r="C317" t="s">
        <v>1</v>
      </c>
      <c r="D317" t="s">
        <v>440</v>
      </c>
      <c r="E317" t="s">
        <v>1199</v>
      </c>
      <c r="F317" t="s">
        <v>1200</v>
      </c>
      <c r="G317">
        <v>4331</v>
      </c>
      <c r="H317">
        <v>4331</v>
      </c>
      <c r="I317">
        <v>4331</v>
      </c>
      <c r="J317">
        <v>4331</v>
      </c>
      <c r="K317">
        <v>0</v>
      </c>
      <c r="L317" s="2">
        <v>0</v>
      </c>
      <c r="M317" s="2">
        <v>0</v>
      </c>
      <c r="N317" s="2">
        <v>0</v>
      </c>
      <c r="O317" s="2">
        <v>137.52000000000001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137.52000000000001</v>
      </c>
      <c r="V317" t="s">
        <v>30</v>
      </c>
    </row>
    <row r="318" spans="1:22" x14ac:dyDescent="0.25">
      <c r="A318" t="s">
        <v>480</v>
      </c>
      <c r="B318" t="s">
        <v>1202</v>
      </c>
      <c r="C318" t="s">
        <v>1</v>
      </c>
      <c r="D318" t="s">
        <v>440</v>
      </c>
      <c r="E318" t="s">
        <v>1199</v>
      </c>
      <c r="F318" t="s">
        <v>1200</v>
      </c>
      <c r="G318">
        <v>4332</v>
      </c>
      <c r="H318">
        <v>4332</v>
      </c>
      <c r="I318">
        <v>4332</v>
      </c>
      <c r="J318">
        <v>4332</v>
      </c>
      <c r="K318">
        <v>0</v>
      </c>
      <c r="L318" s="2">
        <v>0</v>
      </c>
      <c r="M318" s="2">
        <v>0</v>
      </c>
      <c r="N318" s="2">
        <v>0</v>
      </c>
      <c r="O318" s="2">
        <v>27.06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27.06</v>
      </c>
      <c r="V318" t="s">
        <v>30</v>
      </c>
    </row>
    <row r="319" spans="1:22" x14ac:dyDescent="0.25">
      <c r="A319" t="s">
        <v>480</v>
      </c>
      <c r="B319" t="s">
        <v>1201</v>
      </c>
      <c r="C319" t="s">
        <v>1</v>
      </c>
      <c r="D319" t="s">
        <v>440</v>
      </c>
      <c r="E319" t="s">
        <v>1199</v>
      </c>
      <c r="F319" t="s">
        <v>1200</v>
      </c>
      <c r="G319">
        <v>4333</v>
      </c>
      <c r="H319">
        <v>4333</v>
      </c>
      <c r="I319">
        <v>4333</v>
      </c>
      <c r="J319">
        <v>4333</v>
      </c>
      <c r="K319">
        <v>0</v>
      </c>
      <c r="L319" s="2">
        <v>0</v>
      </c>
      <c r="M319" s="2">
        <v>0</v>
      </c>
      <c r="N319" s="2">
        <v>0</v>
      </c>
      <c r="O319" s="2">
        <v>28.87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28.87</v>
      </c>
      <c r="V319" t="s">
        <v>30</v>
      </c>
    </row>
    <row r="320" spans="1:22" x14ac:dyDescent="0.25">
      <c r="A320" t="s">
        <v>480</v>
      </c>
      <c r="B320" t="s">
        <v>1201</v>
      </c>
      <c r="C320" t="s">
        <v>1</v>
      </c>
      <c r="D320" t="s">
        <v>440</v>
      </c>
      <c r="E320" t="s">
        <v>1199</v>
      </c>
      <c r="F320" t="s">
        <v>1200</v>
      </c>
      <c r="G320">
        <v>4334</v>
      </c>
      <c r="H320">
        <v>4334</v>
      </c>
      <c r="I320">
        <v>4334</v>
      </c>
      <c r="J320">
        <v>4334</v>
      </c>
      <c r="K320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t="s">
        <v>30</v>
      </c>
    </row>
    <row r="321" spans="1:22" x14ac:dyDescent="0.25">
      <c r="A321" t="s">
        <v>480</v>
      </c>
      <c r="B321" t="s">
        <v>1201</v>
      </c>
      <c r="C321" t="s">
        <v>1</v>
      </c>
      <c r="D321" t="s">
        <v>440</v>
      </c>
      <c r="E321" t="s">
        <v>1199</v>
      </c>
      <c r="F321" t="s">
        <v>1200</v>
      </c>
      <c r="G321">
        <v>4335</v>
      </c>
      <c r="H321">
        <v>4335</v>
      </c>
      <c r="I321">
        <v>4335</v>
      </c>
      <c r="J321">
        <v>4335</v>
      </c>
      <c r="K321">
        <v>0</v>
      </c>
      <c r="L321" s="2">
        <v>0</v>
      </c>
      <c r="M321" s="2">
        <v>0</v>
      </c>
      <c r="N321" s="2">
        <v>0</v>
      </c>
      <c r="O321" s="2">
        <v>212.5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212.5</v>
      </c>
      <c r="V321" t="s">
        <v>30</v>
      </c>
    </row>
    <row r="322" spans="1:22" x14ac:dyDescent="0.25">
      <c r="A322" t="s">
        <v>480</v>
      </c>
      <c r="B322" t="s">
        <v>1201</v>
      </c>
      <c r="C322" t="s">
        <v>1</v>
      </c>
      <c r="D322" t="s">
        <v>440</v>
      </c>
      <c r="E322" t="s">
        <v>1199</v>
      </c>
      <c r="F322" t="s">
        <v>1200</v>
      </c>
      <c r="G322">
        <v>4336</v>
      </c>
      <c r="H322">
        <v>4336</v>
      </c>
      <c r="I322">
        <v>4336</v>
      </c>
      <c r="J322">
        <v>4336</v>
      </c>
      <c r="K322">
        <v>0</v>
      </c>
      <c r="L322" s="2">
        <v>0</v>
      </c>
      <c r="M322" s="2">
        <v>0</v>
      </c>
      <c r="N322" s="2">
        <v>0</v>
      </c>
      <c r="O322" s="2">
        <v>168.51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168.51</v>
      </c>
      <c r="V322" t="s">
        <v>30</v>
      </c>
    </row>
    <row r="323" spans="1:22" x14ac:dyDescent="0.25">
      <c r="A323" t="s">
        <v>480</v>
      </c>
      <c r="B323" t="s">
        <v>1190</v>
      </c>
      <c r="C323" t="s">
        <v>1</v>
      </c>
      <c r="D323" t="s">
        <v>440</v>
      </c>
      <c r="E323" t="s">
        <v>1192</v>
      </c>
      <c r="F323" t="s">
        <v>1191</v>
      </c>
      <c r="G323">
        <v>197</v>
      </c>
      <c r="H323">
        <v>197</v>
      </c>
      <c r="I323">
        <v>197</v>
      </c>
      <c r="J323">
        <v>197</v>
      </c>
      <c r="K323">
        <v>0</v>
      </c>
      <c r="L323" s="2">
        <v>0</v>
      </c>
      <c r="M323" s="2">
        <v>0</v>
      </c>
      <c r="N323" s="2">
        <v>0</v>
      </c>
      <c r="O323" s="2">
        <v>223.12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223.12</v>
      </c>
      <c r="V323" t="s">
        <v>30</v>
      </c>
    </row>
    <row r="324" spans="1:22" x14ac:dyDescent="0.25">
      <c r="A324" t="s">
        <v>480</v>
      </c>
      <c r="B324" t="s">
        <v>1189</v>
      </c>
      <c r="C324" t="s">
        <v>1</v>
      </c>
      <c r="D324" t="s">
        <v>440</v>
      </c>
      <c r="E324" t="s">
        <v>1192</v>
      </c>
      <c r="F324" t="s">
        <v>1191</v>
      </c>
      <c r="G324">
        <v>204</v>
      </c>
      <c r="H324">
        <v>204</v>
      </c>
      <c r="I324">
        <v>204</v>
      </c>
      <c r="J324">
        <v>204</v>
      </c>
      <c r="K324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t="s">
        <v>30</v>
      </c>
    </row>
    <row r="325" spans="1:22" x14ac:dyDescent="0.25">
      <c r="A325" t="s">
        <v>480</v>
      </c>
      <c r="B325" t="s">
        <v>1188</v>
      </c>
      <c r="C325" t="s">
        <v>1</v>
      </c>
      <c r="D325" t="s">
        <v>440</v>
      </c>
      <c r="E325" t="s">
        <v>1192</v>
      </c>
      <c r="F325" t="s">
        <v>1191</v>
      </c>
      <c r="G325">
        <v>199</v>
      </c>
      <c r="H325">
        <v>199</v>
      </c>
      <c r="I325">
        <v>199</v>
      </c>
      <c r="J325">
        <v>199</v>
      </c>
      <c r="K325">
        <v>0</v>
      </c>
      <c r="L325" s="2">
        <v>0</v>
      </c>
      <c r="M325" s="2">
        <v>0</v>
      </c>
      <c r="N325" s="2">
        <v>0</v>
      </c>
      <c r="O325" s="2">
        <v>34.04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34.04</v>
      </c>
      <c r="V325" t="s">
        <v>30</v>
      </c>
    </row>
    <row r="326" spans="1:22" x14ac:dyDescent="0.25">
      <c r="A326" t="s">
        <v>480</v>
      </c>
      <c r="B326" t="s">
        <v>1188</v>
      </c>
      <c r="C326" t="s">
        <v>1</v>
      </c>
      <c r="D326" t="s">
        <v>440</v>
      </c>
      <c r="E326" t="s">
        <v>1192</v>
      </c>
      <c r="F326" t="s">
        <v>1191</v>
      </c>
      <c r="G326">
        <v>198</v>
      </c>
      <c r="H326">
        <v>198</v>
      </c>
      <c r="I326">
        <v>198</v>
      </c>
      <c r="J326">
        <v>198</v>
      </c>
      <c r="K326">
        <v>0</v>
      </c>
      <c r="L326" s="2">
        <v>0</v>
      </c>
      <c r="M326" s="2">
        <v>0</v>
      </c>
      <c r="N326" s="2">
        <v>0</v>
      </c>
      <c r="O326" s="2">
        <v>297.99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297.99</v>
      </c>
      <c r="V326" t="s">
        <v>30</v>
      </c>
    </row>
    <row r="327" spans="1:22" x14ac:dyDescent="0.25">
      <c r="A327" t="s">
        <v>480</v>
      </c>
      <c r="B327" t="s">
        <v>1187</v>
      </c>
      <c r="C327" t="s">
        <v>1</v>
      </c>
      <c r="D327" t="s">
        <v>440</v>
      </c>
      <c r="E327" t="s">
        <v>1192</v>
      </c>
      <c r="F327" t="s">
        <v>1191</v>
      </c>
      <c r="G327">
        <v>200</v>
      </c>
      <c r="H327">
        <v>200</v>
      </c>
      <c r="I327">
        <v>200</v>
      </c>
      <c r="J327">
        <v>200</v>
      </c>
      <c r="K327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t="s">
        <v>30</v>
      </c>
    </row>
    <row r="328" spans="1:22" x14ac:dyDescent="0.25">
      <c r="A328" t="s">
        <v>480</v>
      </c>
      <c r="B328" t="s">
        <v>1187</v>
      </c>
      <c r="C328" t="s">
        <v>1</v>
      </c>
      <c r="D328" s="11" t="s">
        <v>1193</v>
      </c>
      <c r="E328" t="s">
        <v>1186</v>
      </c>
      <c r="F328" t="s">
        <v>1198</v>
      </c>
      <c r="G328">
        <v>265</v>
      </c>
      <c r="H328">
        <v>265</v>
      </c>
      <c r="I328">
        <v>265</v>
      </c>
      <c r="J328">
        <v>265</v>
      </c>
      <c r="K328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t="s">
        <v>30</v>
      </c>
    </row>
    <row r="329" spans="1:22" x14ac:dyDescent="0.25">
      <c r="A329" t="s">
        <v>480</v>
      </c>
      <c r="B329" t="s">
        <v>1187</v>
      </c>
      <c r="C329" t="s">
        <v>1</v>
      </c>
      <c r="D329" s="11" t="s">
        <v>1193</v>
      </c>
      <c r="E329" t="s">
        <v>1186</v>
      </c>
      <c r="F329" t="s">
        <v>1198</v>
      </c>
      <c r="G329">
        <v>266</v>
      </c>
      <c r="H329">
        <v>266</v>
      </c>
      <c r="I329">
        <v>266</v>
      </c>
      <c r="J329">
        <v>266</v>
      </c>
      <c r="K329">
        <v>0</v>
      </c>
      <c r="L329" s="2">
        <v>0</v>
      </c>
      <c r="M329" s="2">
        <v>0</v>
      </c>
      <c r="N329" s="2">
        <v>0</v>
      </c>
      <c r="O329" s="2">
        <v>0</v>
      </c>
      <c r="P329" s="2">
        <v>166.41</v>
      </c>
      <c r="Q329" s="2">
        <v>0</v>
      </c>
      <c r="R329" s="2">
        <v>0</v>
      </c>
      <c r="S329" s="2">
        <v>0</v>
      </c>
      <c r="T329" s="2">
        <v>0</v>
      </c>
      <c r="U329" s="2">
        <v>166.41</v>
      </c>
      <c r="V329" t="s">
        <v>30</v>
      </c>
    </row>
    <row r="330" spans="1:22" x14ac:dyDescent="0.25">
      <c r="A330" t="s">
        <v>480</v>
      </c>
      <c r="B330" t="s">
        <v>1187</v>
      </c>
      <c r="C330" t="s">
        <v>1</v>
      </c>
      <c r="D330" s="11" t="s">
        <v>1193</v>
      </c>
      <c r="E330" t="s">
        <v>1186</v>
      </c>
      <c r="F330" t="s">
        <v>1198</v>
      </c>
      <c r="G330">
        <v>267</v>
      </c>
      <c r="H330">
        <v>267</v>
      </c>
      <c r="I330">
        <v>267</v>
      </c>
      <c r="J330">
        <v>267</v>
      </c>
      <c r="K330">
        <v>0</v>
      </c>
      <c r="L330" s="2">
        <v>0</v>
      </c>
      <c r="M330" s="2">
        <v>0</v>
      </c>
      <c r="N330" s="2">
        <v>0</v>
      </c>
      <c r="O330" s="2">
        <v>0</v>
      </c>
      <c r="P330" s="2">
        <v>100</v>
      </c>
      <c r="Q330" s="2">
        <v>0</v>
      </c>
      <c r="R330" s="2">
        <v>0</v>
      </c>
      <c r="S330" s="2">
        <v>0</v>
      </c>
      <c r="T330" s="2">
        <v>0</v>
      </c>
      <c r="U330" s="2">
        <v>100</v>
      </c>
      <c r="V330" t="s">
        <v>30</v>
      </c>
    </row>
    <row r="331" spans="1:22" x14ac:dyDescent="0.25">
      <c r="A331" t="s">
        <v>480</v>
      </c>
      <c r="B331" t="s">
        <v>1187</v>
      </c>
      <c r="C331" t="s">
        <v>1</v>
      </c>
      <c r="D331" s="11" t="s">
        <v>1193</v>
      </c>
      <c r="E331" t="s">
        <v>1186</v>
      </c>
      <c r="F331" t="s">
        <v>1198</v>
      </c>
      <c r="G331">
        <v>268</v>
      </c>
      <c r="H331">
        <v>268</v>
      </c>
      <c r="I331">
        <v>268</v>
      </c>
      <c r="J331">
        <v>268</v>
      </c>
      <c r="K331">
        <v>0</v>
      </c>
      <c r="L331" s="2">
        <v>0</v>
      </c>
      <c r="M331" s="2">
        <v>0</v>
      </c>
      <c r="N331" s="2">
        <v>0</v>
      </c>
      <c r="O331" s="2">
        <v>0</v>
      </c>
      <c r="P331" s="2">
        <v>100</v>
      </c>
      <c r="Q331" s="2">
        <v>0</v>
      </c>
      <c r="R331" s="2">
        <v>0</v>
      </c>
      <c r="S331" s="2">
        <v>0</v>
      </c>
      <c r="T331" s="2">
        <v>0</v>
      </c>
      <c r="U331" s="2">
        <v>100</v>
      </c>
      <c r="V331" t="s">
        <v>30</v>
      </c>
    </row>
    <row r="332" spans="1:22" x14ac:dyDescent="0.25">
      <c r="A332" t="s">
        <v>480</v>
      </c>
      <c r="B332" t="s">
        <v>1187</v>
      </c>
      <c r="C332" t="s">
        <v>1</v>
      </c>
      <c r="D332" s="11" t="s">
        <v>1193</v>
      </c>
      <c r="E332" t="s">
        <v>1186</v>
      </c>
      <c r="F332" t="s">
        <v>1198</v>
      </c>
      <c r="G332">
        <v>269</v>
      </c>
      <c r="H332">
        <v>269</v>
      </c>
      <c r="I332">
        <v>269</v>
      </c>
      <c r="J332">
        <v>269</v>
      </c>
      <c r="K33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1824.14</v>
      </c>
      <c r="Q332" s="2">
        <v>0</v>
      </c>
      <c r="R332" s="2">
        <v>0</v>
      </c>
      <c r="S332" s="2">
        <v>0</v>
      </c>
      <c r="T332" s="2">
        <v>0</v>
      </c>
      <c r="U332" s="2">
        <v>1824.14</v>
      </c>
      <c r="V332" t="s">
        <v>30</v>
      </c>
    </row>
    <row r="333" spans="1:22" ht="15.75" thickBot="1" x14ac:dyDescent="0.3"/>
    <row r="334" spans="1:22" ht="15.75" thickBot="1" x14ac:dyDescent="0.3">
      <c r="A334" s="42" t="s">
        <v>51</v>
      </c>
      <c r="B334" s="43"/>
      <c r="C334" s="43"/>
      <c r="D334" s="43"/>
      <c r="E334" s="43"/>
      <c r="F334" s="43"/>
      <c r="G334" s="43"/>
      <c r="H334" s="43"/>
      <c r="I334" s="43"/>
      <c r="J334" s="43"/>
      <c r="K334" s="44"/>
      <c r="L334" s="4">
        <f>+SUBTOTAL(9,Tabla3[V EXENTA])</f>
        <v>0</v>
      </c>
      <c r="M334" s="4">
        <f>+SUBTOTAL(9,Tabla3[VENTAS NO])</f>
        <v>0</v>
      </c>
      <c r="N334" s="4">
        <f>+SUBTOTAL(9,Tabla3[V NO SUJETAS])</f>
        <v>0</v>
      </c>
      <c r="O334" s="4">
        <f>+SUBTOTAL(9,Tabla3[V GRAVADAS])</f>
        <v>79224.549999999974</v>
      </c>
      <c r="P334" s="4">
        <f>+SUBTOTAL(9,Tabla3[EX IN CA])</f>
        <v>4851.2700000000004</v>
      </c>
      <c r="Q334" s="4">
        <f>+SUBTOTAL(9,Tabla3[EX OUT CA])</f>
        <v>0</v>
      </c>
      <c r="R334" s="4">
        <f>+SUBTOTAL(9,Tabla3[EX SERVICE])</f>
        <v>0</v>
      </c>
      <c r="S334" s="4">
        <f>+SUBTOTAL(9,Tabla3[V ZONA FRAN])</f>
        <v>0</v>
      </c>
      <c r="T334" s="4">
        <f>+SUBTOTAL(9,Tabla3[V CTA A 3ERO])</f>
        <v>0</v>
      </c>
      <c r="U334" s="4">
        <f>+SUBTOTAL(9,Tabla3[TOTAL VENTA])</f>
        <v>84075.819999999963</v>
      </c>
    </row>
    <row r="335" spans="1:22" x14ac:dyDescent="0.25">
      <c r="O335" s="2">
        <f>O334/1.13</f>
        <v>70110.221238938029</v>
      </c>
    </row>
    <row r="336" spans="1:22" x14ac:dyDescent="0.25">
      <c r="O336" s="2">
        <f>O335*0.13</f>
        <v>9114.3287610619445</v>
      </c>
    </row>
  </sheetData>
  <mergeCells count="1">
    <mergeCell ref="A334:K334"/>
  </mergeCells>
  <phoneticPr fontId="5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26" t="s">
        <v>677</v>
      </c>
      <c r="B1" s="27" t="s">
        <v>678</v>
      </c>
      <c r="C1" s="27" t="s">
        <v>679</v>
      </c>
      <c r="D1" s="28" t="s">
        <v>680</v>
      </c>
      <c r="E1" s="30" t="s">
        <v>681</v>
      </c>
      <c r="F1" s="31" t="s">
        <v>459</v>
      </c>
    </row>
    <row r="2" spans="1:6" x14ac:dyDescent="0.25">
      <c r="A2" t="s">
        <v>481</v>
      </c>
      <c r="B2" t="s">
        <v>675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482</v>
      </c>
      <c r="B3" t="s">
        <v>675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483</v>
      </c>
      <c r="B4" t="s">
        <v>675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497</v>
      </c>
      <c r="B5" t="s">
        <v>675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498</v>
      </c>
      <c r="B6" t="s">
        <v>675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507</v>
      </c>
      <c r="B7" t="s">
        <v>675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484</v>
      </c>
      <c r="B8" t="s">
        <v>675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486</v>
      </c>
      <c r="B9" t="s">
        <v>675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499</v>
      </c>
      <c r="B10" t="s">
        <v>675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500</v>
      </c>
      <c r="B11" t="s">
        <v>675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501</v>
      </c>
      <c r="B12" t="s">
        <v>675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502</v>
      </c>
      <c r="B13" t="s">
        <v>675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485</v>
      </c>
      <c r="B14" t="s">
        <v>675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503</v>
      </c>
      <c r="B15" t="s">
        <v>675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487</v>
      </c>
      <c r="B16" t="s">
        <v>675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488</v>
      </c>
      <c r="B17" t="s">
        <v>675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489</v>
      </c>
      <c r="B18" t="s">
        <v>675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490</v>
      </c>
      <c r="B19" t="s">
        <v>675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491</v>
      </c>
      <c r="B20" t="s">
        <v>675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504</v>
      </c>
      <c r="B21" t="s">
        <v>675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492</v>
      </c>
      <c r="B22" t="s">
        <v>675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493</v>
      </c>
      <c r="B23" t="s">
        <v>675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494</v>
      </c>
      <c r="B24" t="s">
        <v>675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505</v>
      </c>
      <c r="B25" t="s">
        <v>675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495</v>
      </c>
      <c r="B26" t="s">
        <v>675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506</v>
      </c>
      <c r="B27" t="s">
        <v>675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496</v>
      </c>
      <c r="B28" t="s">
        <v>675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509</v>
      </c>
      <c r="B29" t="s">
        <v>670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534</v>
      </c>
      <c r="B30" t="s">
        <v>670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541</v>
      </c>
      <c r="B31" t="s">
        <v>670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533</v>
      </c>
      <c r="B32" t="s">
        <v>670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542</v>
      </c>
      <c r="B33" t="s">
        <v>670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531</v>
      </c>
      <c r="B34" t="s">
        <v>670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532</v>
      </c>
      <c r="B35" t="s">
        <v>670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530</v>
      </c>
      <c r="B36" t="s">
        <v>670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540</v>
      </c>
      <c r="B37" t="s">
        <v>670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529</v>
      </c>
      <c r="B38" t="s">
        <v>670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539</v>
      </c>
      <c r="B39" t="s">
        <v>670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538</v>
      </c>
      <c r="B40" t="s">
        <v>670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537</v>
      </c>
      <c r="B41" t="s">
        <v>670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543</v>
      </c>
      <c r="B42" t="s">
        <v>670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528</v>
      </c>
      <c r="B43" t="s">
        <v>670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544</v>
      </c>
      <c r="B44" t="s">
        <v>670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535</v>
      </c>
      <c r="B45" t="s">
        <v>670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527</v>
      </c>
      <c r="B46" t="s">
        <v>670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526</v>
      </c>
      <c r="B47" t="s">
        <v>670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525</v>
      </c>
      <c r="B48" t="s">
        <v>670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524</v>
      </c>
      <c r="B49" t="s">
        <v>670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545</v>
      </c>
      <c r="B50" t="s">
        <v>670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523</v>
      </c>
      <c r="B51" t="s">
        <v>670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575</v>
      </c>
      <c r="B52" t="s">
        <v>671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574</v>
      </c>
      <c r="B53" t="s">
        <v>671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573</v>
      </c>
      <c r="B54" t="s">
        <v>671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572</v>
      </c>
      <c r="B55" t="s">
        <v>671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571</v>
      </c>
      <c r="B56" t="s">
        <v>671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581</v>
      </c>
      <c r="B57" t="s">
        <v>671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570</v>
      </c>
      <c r="B58" t="s">
        <v>671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569</v>
      </c>
      <c r="B59" t="s">
        <v>671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568</v>
      </c>
      <c r="B60" t="s">
        <v>671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565</v>
      </c>
      <c r="B61" t="s">
        <v>671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564</v>
      </c>
      <c r="B62" t="s">
        <v>671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563</v>
      </c>
      <c r="B63" t="s">
        <v>671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560</v>
      </c>
      <c r="B64" t="s">
        <v>671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559</v>
      </c>
      <c r="B65" t="s">
        <v>671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558</v>
      </c>
      <c r="B66" t="s">
        <v>671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580</v>
      </c>
      <c r="B67" t="s">
        <v>671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557</v>
      </c>
      <c r="B68" t="s">
        <v>671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556</v>
      </c>
      <c r="B69" t="s">
        <v>671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555</v>
      </c>
      <c r="B70" t="s">
        <v>671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594</v>
      </c>
      <c r="B71" t="s">
        <v>672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593</v>
      </c>
      <c r="B72" t="s">
        <v>672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592</v>
      </c>
      <c r="B73" t="s">
        <v>672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591</v>
      </c>
      <c r="B74" t="s">
        <v>672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590</v>
      </c>
      <c r="B75" t="s">
        <v>672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589</v>
      </c>
      <c r="B76" t="s">
        <v>672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588</v>
      </c>
      <c r="B77" t="s">
        <v>672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587</v>
      </c>
      <c r="B78" t="s">
        <v>672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586</v>
      </c>
      <c r="B79" t="s">
        <v>672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583</v>
      </c>
      <c r="B80" t="s">
        <v>672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585</v>
      </c>
      <c r="B81" t="s">
        <v>672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595</v>
      </c>
      <c r="B82" t="s">
        <v>672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584</v>
      </c>
      <c r="B83" t="s">
        <v>672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582</v>
      </c>
      <c r="B84" t="s">
        <v>672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622</v>
      </c>
      <c r="B85" t="s">
        <v>674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621</v>
      </c>
      <c r="B86" t="s">
        <v>674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620</v>
      </c>
      <c r="B87" t="s">
        <v>674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625</v>
      </c>
      <c r="B88" t="s">
        <v>674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619</v>
      </c>
      <c r="B89" t="s">
        <v>674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618</v>
      </c>
      <c r="B90" t="s">
        <v>674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617</v>
      </c>
      <c r="B91" t="s">
        <v>674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616</v>
      </c>
      <c r="B92" t="s">
        <v>674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626</v>
      </c>
      <c r="B93" t="s">
        <v>674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615</v>
      </c>
      <c r="B94" t="s">
        <v>674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614</v>
      </c>
      <c r="B95" t="s">
        <v>674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613</v>
      </c>
      <c r="B96" t="s">
        <v>674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612</v>
      </c>
      <c r="B97" t="s">
        <v>674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627</v>
      </c>
      <c r="B98" t="s">
        <v>674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611</v>
      </c>
      <c r="B99" t="s">
        <v>674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610</v>
      </c>
      <c r="B100" t="s">
        <v>674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609</v>
      </c>
      <c r="B101" t="s">
        <v>674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608</v>
      </c>
      <c r="B102" t="s">
        <v>674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607</v>
      </c>
      <c r="B103" t="s">
        <v>674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638</v>
      </c>
      <c r="B104" t="s">
        <v>673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637</v>
      </c>
      <c r="B105" t="s">
        <v>673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649</v>
      </c>
      <c r="B106" t="s">
        <v>673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662</v>
      </c>
      <c r="B107" t="s">
        <v>673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648</v>
      </c>
      <c r="B108" t="s">
        <v>673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647</v>
      </c>
      <c r="B109" t="s">
        <v>673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646</v>
      </c>
      <c r="B110" t="s">
        <v>673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636</v>
      </c>
      <c r="B111" t="s">
        <v>673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645</v>
      </c>
      <c r="B112" t="s">
        <v>673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663</v>
      </c>
      <c r="B113" t="s">
        <v>673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644</v>
      </c>
      <c r="B114" t="s">
        <v>673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656</v>
      </c>
      <c r="B115" t="s">
        <v>673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643</v>
      </c>
      <c r="B116" t="s">
        <v>673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642</v>
      </c>
      <c r="B117" t="s">
        <v>673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641</v>
      </c>
      <c r="B118" t="s">
        <v>673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660</v>
      </c>
      <c r="B119" t="s">
        <v>673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640</v>
      </c>
      <c r="B120" t="s">
        <v>673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635</v>
      </c>
      <c r="B121" t="s">
        <v>673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661</v>
      </c>
      <c r="B122" t="s">
        <v>673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664</v>
      </c>
      <c r="B123" t="s">
        <v>673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639</v>
      </c>
      <c r="B124" t="s">
        <v>673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631</v>
      </c>
      <c r="B125" t="s">
        <v>673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634</v>
      </c>
      <c r="B126" t="s">
        <v>673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633</v>
      </c>
      <c r="B127" t="s">
        <v>673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32" t="s">
        <v>683</v>
      </c>
      <c r="B1" s="27" t="s">
        <v>684</v>
      </c>
      <c r="C1" s="27" t="s">
        <v>685</v>
      </c>
      <c r="D1" s="27" t="s">
        <v>686</v>
      </c>
      <c r="E1" s="27" t="s">
        <v>687</v>
      </c>
      <c r="F1" s="33" t="s">
        <v>688</v>
      </c>
      <c r="G1" s="27" t="s">
        <v>678</v>
      </c>
      <c r="H1" s="28" t="s">
        <v>680</v>
      </c>
      <c r="I1" s="28" t="s">
        <v>14</v>
      </c>
      <c r="J1" s="29" t="s">
        <v>459</v>
      </c>
      <c r="K1" s="29" t="s">
        <v>459</v>
      </c>
    </row>
    <row r="2" spans="1:11" x14ac:dyDescent="0.25">
      <c r="E2">
        <v>17</v>
      </c>
      <c r="F2" t="s">
        <v>490</v>
      </c>
      <c r="G2" t="s">
        <v>675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485</v>
      </c>
      <c r="G3" t="s">
        <v>675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483</v>
      </c>
      <c r="G4" t="s">
        <v>675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498</v>
      </c>
      <c r="G5" t="s">
        <v>675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486</v>
      </c>
      <c r="G6" t="s">
        <v>675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502</v>
      </c>
      <c r="G7" t="s">
        <v>675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503</v>
      </c>
      <c r="G8" t="s">
        <v>675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487</v>
      </c>
      <c r="G9" t="s">
        <v>675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503</v>
      </c>
      <c r="G10" t="s">
        <v>675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489</v>
      </c>
      <c r="G11" t="s">
        <v>675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489</v>
      </c>
      <c r="G12" t="s">
        <v>675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490</v>
      </c>
      <c r="G13" t="s">
        <v>675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504</v>
      </c>
      <c r="G14" t="s">
        <v>675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494</v>
      </c>
      <c r="G15" t="s">
        <v>675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504</v>
      </c>
      <c r="G16" t="s">
        <v>675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493</v>
      </c>
      <c r="G17" t="s">
        <v>675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493</v>
      </c>
      <c r="G18" t="s">
        <v>675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493</v>
      </c>
      <c r="G19" t="s">
        <v>675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494</v>
      </c>
      <c r="G20" t="s">
        <v>675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496</v>
      </c>
      <c r="G21" t="s">
        <v>675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496</v>
      </c>
      <c r="G22" t="s">
        <v>675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537</v>
      </c>
      <c r="G23" t="s">
        <v>670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526</v>
      </c>
      <c r="G24" t="s">
        <v>670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534</v>
      </c>
      <c r="G25" t="s">
        <v>670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530</v>
      </c>
      <c r="G26" t="s">
        <v>670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530</v>
      </c>
      <c r="G27" t="s">
        <v>670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539</v>
      </c>
      <c r="G28" t="s">
        <v>670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539</v>
      </c>
      <c r="G29" t="s">
        <v>670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539</v>
      </c>
      <c r="G30" t="s">
        <v>670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539</v>
      </c>
      <c r="G31" t="s">
        <v>670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539</v>
      </c>
      <c r="G32" t="s">
        <v>670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528</v>
      </c>
      <c r="G33" t="s">
        <v>670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525</v>
      </c>
      <c r="G34" t="s">
        <v>670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525</v>
      </c>
      <c r="G35" t="s">
        <v>670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574</v>
      </c>
      <c r="G36" t="s">
        <v>671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573</v>
      </c>
      <c r="G37" t="s">
        <v>671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555</v>
      </c>
      <c r="G38" t="s">
        <v>671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565</v>
      </c>
      <c r="G39" t="s">
        <v>671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565</v>
      </c>
      <c r="G40" t="s">
        <v>671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556</v>
      </c>
      <c r="G41" t="s">
        <v>671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575</v>
      </c>
      <c r="G42" t="s">
        <v>671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575</v>
      </c>
      <c r="G43" t="s">
        <v>671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574</v>
      </c>
      <c r="G44" t="s">
        <v>671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581</v>
      </c>
      <c r="G45" t="s">
        <v>671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569</v>
      </c>
      <c r="G46" t="s">
        <v>671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565</v>
      </c>
      <c r="G47" t="s">
        <v>671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565</v>
      </c>
      <c r="G48" t="s">
        <v>671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565</v>
      </c>
      <c r="G49" t="s">
        <v>671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563</v>
      </c>
      <c r="G50" t="s">
        <v>671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558</v>
      </c>
      <c r="G51" t="s">
        <v>671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580</v>
      </c>
      <c r="G52" t="s">
        <v>671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580</v>
      </c>
      <c r="G53" t="s">
        <v>671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594</v>
      </c>
      <c r="G54" t="s">
        <v>672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594</v>
      </c>
      <c r="G55" t="s">
        <v>672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592</v>
      </c>
      <c r="G56" t="s">
        <v>672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589</v>
      </c>
      <c r="G57" t="s">
        <v>672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588</v>
      </c>
      <c r="G58" t="s">
        <v>672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588</v>
      </c>
      <c r="G59" t="s">
        <v>672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587</v>
      </c>
      <c r="G60" t="s">
        <v>672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587</v>
      </c>
      <c r="G61" t="s">
        <v>672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583</v>
      </c>
      <c r="G62" t="s">
        <v>672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584</v>
      </c>
      <c r="G63" t="s">
        <v>672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584</v>
      </c>
      <c r="G64" t="s">
        <v>672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625</v>
      </c>
      <c r="G65" t="s">
        <v>674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621</v>
      </c>
      <c r="G66" t="s">
        <v>674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618</v>
      </c>
      <c r="G67" t="s">
        <v>674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615</v>
      </c>
      <c r="G68" t="s">
        <v>674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614</v>
      </c>
      <c r="G69" t="s">
        <v>674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614</v>
      </c>
      <c r="G70" t="s">
        <v>674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613</v>
      </c>
      <c r="G71" t="s">
        <v>674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611</v>
      </c>
      <c r="G72" t="s">
        <v>674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610</v>
      </c>
      <c r="G73" t="s">
        <v>674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608</v>
      </c>
      <c r="G74" t="s">
        <v>674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607</v>
      </c>
      <c r="G75" t="s">
        <v>674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647</v>
      </c>
      <c r="G76" t="s">
        <v>673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661</v>
      </c>
      <c r="G77" t="s">
        <v>673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637</v>
      </c>
      <c r="G78" t="s">
        <v>673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648</v>
      </c>
      <c r="G79" t="s">
        <v>673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646</v>
      </c>
      <c r="G80" t="s">
        <v>673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646</v>
      </c>
      <c r="G81" t="s">
        <v>673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645</v>
      </c>
      <c r="G82" t="s">
        <v>673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644</v>
      </c>
      <c r="G83" t="s">
        <v>673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641</v>
      </c>
      <c r="G84" t="s">
        <v>673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641</v>
      </c>
      <c r="G85" t="s">
        <v>673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640</v>
      </c>
      <c r="G86" t="s">
        <v>673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639</v>
      </c>
      <c r="G87" t="s">
        <v>673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631</v>
      </c>
      <c r="G88" t="s">
        <v>673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633</v>
      </c>
      <c r="G89" t="s">
        <v>673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0" t="s">
        <v>17</v>
      </c>
      <c r="C2" t="s">
        <v>599</v>
      </c>
    </row>
    <row r="4" spans="2:7" x14ac:dyDescent="0.25">
      <c r="D4" s="35" t="s">
        <v>667</v>
      </c>
      <c r="F4"/>
      <c r="G4"/>
    </row>
    <row r="5" spans="2:7" x14ac:dyDescent="0.25">
      <c r="B5" s="10" t="s">
        <v>42</v>
      </c>
      <c r="C5" s="10" t="s">
        <v>2</v>
      </c>
      <c r="D5" s="2" t="s">
        <v>682</v>
      </c>
      <c r="E5" s="2" t="s">
        <v>668</v>
      </c>
      <c r="F5"/>
      <c r="G5"/>
    </row>
    <row r="6" spans="2:7" x14ac:dyDescent="0.25">
      <c r="B6">
        <v>89</v>
      </c>
      <c r="C6" t="s">
        <v>806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809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808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808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808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797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797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796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794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819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819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819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819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819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819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819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819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819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819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819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794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794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794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794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794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794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794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794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794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794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794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794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795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795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795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810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810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810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810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810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828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823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823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823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823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823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823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823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823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819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819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819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819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819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819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819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819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819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819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819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819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819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819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819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819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819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819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819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819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819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819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819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819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819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819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819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819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819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819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819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807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807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807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806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806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806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806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805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805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804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804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803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803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803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802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802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802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801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801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801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801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800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800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799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799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798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798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797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797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796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796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795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795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794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794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794</v>
      </c>
      <c r="D121" s="2">
        <v>0</v>
      </c>
      <c r="E121" s="2">
        <v>0</v>
      </c>
      <c r="F121"/>
      <c r="G121"/>
    </row>
    <row r="122" spans="2:7" x14ac:dyDescent="0.25">
      <c r="B122" t="s">
        <v>466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22" t="s">
        <v>666</v>
      </c>
      <c r="B1" s="22" t="s">
        <v>17</v>
      </c>
      <c r="C1" s="23" t="s">
        <v>669</v>
      </c>
      <c r="D1" s="23" t="s">
        <v>676</v>
      </c>
      <c r="E1" s="23" t="s">
        <v>2</v>
      </c>
      <c r="F1" s="23" t="s">
        <v>3</v>
      </c>
      <c r="G1" s="23" t="s">
        <v>4</v>
      </c>
      <c r="H1" s="23" t="s">
        <v>44</v>
      </c>
      <c r="I1" s="23" t="s">
        <v>43</v>
      </c>
      <c r="J1" s="23" t="s">
        <v>42</v>
      </c>
      <c r="K1" s="23" t="s">
        <v>41</v>
      </c>
      <c r="L1" s="23" t="s">
        <v>52</v>
      </c>
      <c r="M1" s="23" t="s">
        <v>53</v>
      </c>
      <c r="N1" s="25" t="s">
        <v>40</v>
      </c>
      <c r="O1" s="25" t="s">
        <v>39</v>
      </c>
      <c r="P1" s="25" t="s">
        <v>38</v>
      </c>
      <c r="Q1" s="25" t="s">
        <v>37</v>
      </c>
      <c r="R1" s="25" t="s">
        <v>36</v>
      </c>
      <c r="S1" s="25" t="s">
        <v>35</v>
      </c>
      <c r="T1" s="25" t="s">
        <v>34</v>
      </c>
      <c r="U1" s="25" t="s">
        <v>33</v>
      </c>
      <c r="V1" s="25" t="s">
        <v>32</v>
      </c>
      <c r="W1" s="25" t="s">
        <v>31</v>
      </c>
      <c r="X1" s="25" t="s">
        <v>19</v>
      </c>
      <c r="Y1" s="24" t="s">
        <v>18</v>
      </c>
      <c r="Z1" s="24">
        <v>200</v>
      </c>
    </row>
    <row r="2" spans="1:26" x14ac:dyDescent="0.25">
      <c r="A2">
        <v>2022</v>
      </c>
      <c r="B2" t="s">
        <v>601</v>
      </c>
      <c r="C2" t="str">
        <f>SUBSTITUTE(B2,"ICIEMBRE","iciembre")</f>
        <v>Diciembre</v>
      </c>
      <c r="D2">
        <f t="shared" ref="D2:D3" si="0">MONTH(E2)</f>
        <v>12</v>
      </c>
      <c r="E2" t="s">
        <v>929</v>
      </c>
      <c r="F2" t="s">
        <v>1</v>
      </c>
      <c r="G2" t="s">
        <v>440</v>
      </c>
      <c r="H2" t="s">
        <v>550</v>
      </c>
      <c r="I2" t="s">
        <v>551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11" t="s">
        <v>665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601</v>
      </c>
      <c r="C3" t="str">
        <f t="shared" ref="C3" si="1">SUBSTITUTE(B3,"ICIEMBRE","iciembre")</f>
        <v>Diciembre</v>
      </c>
      <c r="D3">
        <f t="shared" si="0"/>
        <v>12</v>
      </c>
      <c r="E3" t="s">
        <v>929</v>
      </c>
      <c r="F3" t="s">
        <v>1</v>
      </c>
      <c r="G3" t="s">
        <v>440</v>
      </c>
      <c r="H3" t="s">
        <v>550</v>
      </c>
      <c r="I3" t="s">
        <v>551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11" t="s">
        <v>665</v>
      </c>
      <c r="Z3" t="str">
        <f t="shared" ref="Z3" si="5">IF(U3&lt;=200,"menor a 200","mayor a 200")</f>
        <v>menor a 200</v>
      </c>
    </row>
    <row r="4" spans="1:26" x14ac:dyDescent="0.25">
      <c r="Y4" s="11"/>
    </row>
    <row r="5" spans="1:26" x14ac:dyDescent="0.25">
      <c r="Y5" s="11"/>
    </row>
    <row r="6" spans="1:26" x14ac:dyDescent="0.25">
      <c r="Y6" s="11"/>
    </row>
    <row r="7" spans="1:26" x14ac:dyDescent="0.25">
      <c r="Y7" s="11"/>
    </row>
    <row r="8" spans="1:26" x14ac:dyDescent="0.25">
      <c r="Y8" s="11"/>
    </row>
    <row r="9" spans="1:26" x14ac:dyDescent="0.25">
      <c r="Y9" s="11"/>
    </row>
    <row r="10" spans="1:26" x14ac:dyDescent="0.25">
      <c r="Y10" s="11"/>
    </row>
    <row r="11" spans="1:26" x14ac:dyDescent="0.25">
      <c r="Y11" s="11"/>
    </row>
    <row r="12" spans="1:26" x14ac:dyDescent="0.25">
      <c r="Y12" s="11"/>
    </row>
    <row r="13" spans="1:26" x14ac:dyDescent="0.25">
      <c r="Y13" s="11"/>
    </row>
    <row r="14" spans="1:26" x14ac:dyDescent="0.25">
      <c r="Y14" s="11"/>
    </row>
    <row r="15" spans="1:26" x14ac:dyDescent="0.25">
      <c r="Y15" s="11"/>
    </row>
    <row r="16" spans="1:26" x14ac:dyDescent="0.25">
      <c r="Y16" s="11"/>
    </row>
    <row r="17" spans="25:25" x14ac:dyDescent="0.25">
      <c r="Y17" s="11"/>
    </row>
    <row r="18" spans="25:25" x14ac:dyDescent="0.25">
      <c r="Y18" s="11"/>
    </row>
    <row r="19" spans="25:25" x14ac:dyDescent="0.25">
      <c r="Y19" s="11"/>
    </row>
    <row r="20" spans="25:25" x14ac:dyDescent="0.25">
      <c r="Y20" s="11"/>
    </row>
    <row r="21" spans="25:25" x14ac:dyDescent="0.25">
      <c r="Y21" s="11"/>
    </row>
    <row r="22" spans="25:25" x14ac:dyDescent="0.25">
      <c r="Y22" s="11"/>
    </row>
    <row r="23" spans="25:25" x14ac:dyDescent="0.25">
      <c r="Y23" s="11"/>
    </row>
    <row r="24" spans="25:25" x14ac:dyDescent="0.25">
      <c r="Y24" s="11"/>
    </row>
    <row r="25" spans="25:25" x14ac:dyDescent="0.25">
      <c r="Y25" s="11"/>
    </row>
    <row r="26" spans="25:25" x14ac:dyDescent="0.25">
      <c r="Y26" s="11"/>
    </row>
    <row r="27" spans="25:25" x14ac:dyDescent="0.25">
      <c r="Y27" s="11"/>
    </row>
    <row r="28" spans="25:25" x14ac:dyDescent="0.25">
      <c r="Y28" s="11"/>
    </row>
    <row r="29" spans="25:25" x14ac:dyDescent="0.25">
      <c r="Y29" s="11"/>
    </row>
    <row r="30" spans="25:25" x14ac:dyDescent="0.25">
      <c r="Y30" s="11"/>
    </row>
    <row r="31" spans="25:25" x14ac:dyDescent="0.25">
      <c r="Y31" s="11"/>
    </row>
    <row r="32" spans="25:25" x14ac:dyDescent="0.25">
      <c r="Y32" s="11"/>
    </row>
    <row r="33" spans="25:25" x14ac:dyDescent="0.25">
      <c r="Y33" s="11"/>
    </row>
    <row r="34" spans="25:25" x14ac:dyDescent="0.25">
      <c r="Y34" s="11"/>
    </row>
    <row r="35" spans="25:25" x14ac:dyDescent="0.25">
      <c r="Y35" s="11"/>
    </row>
    <row r="36" spans="25:25" x14ac:dyDescent="0.25">
      <c r="Y36" s="11"/>
    </row>
    <row r="37" spans="25:25" x14ac:dyDescent="0.25">
      <c r="Y37" s="11"/>
    </row>
    <row r="38" spans="25:25" x14ac:dyDescent="0.25">
      <c r="Y38" s="11"/>
    </row>
    <row r="39" spans="25:25" x14ac:dyDescent="0.25">
      <c r="Y39" s="11"/>
    </row>
    <row r="40" spans="25:25" x14ac:dyDescent="0.25">
      <c r="Y40" s="11"/>
    </row>
    <row r="41" spans="25:25" x14ac:dyDescent="0.25">
      <c r="Y41" s="11"/>
    </row>
    <row r="42" spans="25:25" x14ac:dyDescent="0.25">
      <c r="Y42" s="11"/>
    </row>
    <row r="43" spans="25:25" x14ac:dyDescent="0.25">
      <c r="Y43" s="11"/>
    </row>
    <row r="44" spans="25:25" x14ac:dyDescent="0.25">
      <c r="Y44" s="11"/>
    </row>
    <row r="45" spans="25:25" x14ac:dyDescent="0.25">
      <c r="Y45" s="11"/>
    </row>
    <row r="46" spans="25:25" x14ac:dyDescent="0.25">
      <c r="Y46" s="11"/>
    </row>
    <row r="47" spans="25:25" x14ac:dyDescent="0.25">
      <c r="Y47" s="11"/>
    </row>
    <row r="48" spans="25:25" x14ac:dyDescent="0.25">
      <c r="Y48" s="11"/>
    </row>
    <row r="49" spans="25:25" x14ac:dyDescent="0.25">
      <c r="Y49" s="11"/>
    </row>
    <row r="50" spans="25:25" x14ac:dyDescent="0.25">
      <c r="Y50" s="11"/>
    </row>
    <row r="51" spans="25:25" x14ac:dyDescent="0.25">
      <c r="Y51" s="11"/>
    </row>
    <row r="52" spans="25:25" x14ac:dyDescent="0.25">
      <c r="Y52" s="11"/>
    </row>
    <row r="53" spans="25:25" x14ac:dyDescent="0.25">
      <c r="Y53" s="11"/>
    </row>
    <row r="54" spans="25:25" x14ac:dyDescent="0.25">
      <c r="Y54" s="11"/>
    </row>
    <row r="55" spans="25:25" x14ac:dyDescent="0.25">
      <c r="Y55" s="11"/>
    </row>
    <row r="56" spans="25:25" x14ac:dyDescent="0.25">
      <c r="Y56" s="11"/>
    </row>
    <row r="57" spans="25:25" x14ac:dyDescent="0.25">
      <c r="Y57" s="11"/>
    </row>
    <row r="58" spans="25:25" x14ac:dyDescent="0.25">
      <c r="Y58" s="11"/>
    </row>
    <row r="59" spans="25:25" x14ac:dyDescent="0.25">
      <c r="Y59" s="11"/>
    </row>
    <row r="60" spans="25:25" x14ac:dyDescent="0.25">
      <c r="Y60" s="11"/>
    </row>
    <row r="61" spans="25:25" x14ac:dyDescent="0.25">
      <c r="Y61" s="11"/>
    </row>
    <row r="62" spans="25:25" x14ac:dyDescent="0.25">
      <c r="Y62" s="11"/>
    </row>
    <row r="63" spans="25:25" x14ac:dyDescent="0.25">
      <c r="Y63" s="11"/>
    </row>
    <row r="64" spans="25:25" x14ac:dyDescent="0.25">
      <c r="Y64" s="11"/>
    </row>
    <row r="65" spans="25:25" x14ac:dyDescent="0.25">
      <c r="Y65" s="11"/>
    </row>
    <row r="66" spans="25:25" x14ac:dyDescent="0.25">
      <c r="Y66" s="11"/>
    </row>
    <row r="67" spans="25:25" x14ac:dyDescent="0.25">
      <c r="Y67" s="11"/>
    </row>
    <row r="68" spans="25:25" x14ac:dyDescent="0.25">
      <c r="Y68" s="11"/>
    </row>
    <row r="69" spans="25:25" x14ac:dyDescent="0.25">
      <c r="Y69" s="11"/>
    </row>
    <row r="70" spans="25:25" x14ac:dyDescent="0.25">
      <c r="Y70" s="11"/>
    </row>
    <row r="71" spans="25:25" x14ac:dyDescent="0.25">
      <c r="Y71" s="11"/>
    </row>
    <row r="72" spans="25:25" x14ac:dyDescent="0.25">
      <c r="Y72" s="11"/>
    </row>
    <row r="73" spans="25:25" x14ac:dyDescent="0.25">
      <c r="Y73" s="11"/>
    </row>
    <row r="74" spans="25:25" x14ac:dyDescent="0.25">
      <c r="Y74" s="11"/>
    </row>
    <row r="75" spans="25:25" x14ac:dyDescent="0.25">
      <c r="Y75" s="11"/>
    </row>
    <row r="76" spans="25:25" x14ac:dyDescent="0.25">
      <c r="Y76" s="11"/>
    </row>
    <row r="77" spans="25:25" x14ac:dyDescent="0.25">
      <c r="Y77" s="11"/>
    </row>
    <row r="78" spans="25:25" x14ac:dyDescent="0.25">
      <c r="Y78" s="11"/>
    </row>
    <row r="79" spans="25:25" x14ac:dyDescent="0.25">
      <c r="Y79" s="11"/>
    </row>
    <row r="80" spans="25:25" x14ac:dyDescent="0.25">
      <c r="Y80" s="11"/>
    </row>
    <row r="81" spans="25:25" x14ac:dyDescent="0.25">
      <c r="Y81" s="11"/>
    </row>
    <row r="82" spans="25:25" x14ac:dyDescent="0.25">
      <c r="Y82" s="11"/>
    </row>
    <row r="83" spans="25:25" x14ac:dyDescent="0.25">
      <c r="Y83" s="11"/>
    </row>
    <row r="84" spans="25:25" x14ac:dyDescent="0.25">
      <c r="Y84" s="11"/>
    </row>
    <row r="85" spans="25:25" x14ac:dyDescent="0.25">
      <c r="Y85" s="11"/>
    </row>
    <row r="86" spans="25:25" x14ac:dyDescent="0.25">
      <c r="Y86" s="11"/>
    </row>
    <row r="87" spans="25:25" x14ac:dyDescent="0.25">
      <c r="Y87" s="11"/>
    </row>
    <row r="88" spans="25:25" x14ac:dyDescent="0.25">
      <c r="Y88" s="11"/>
    </row>
    <row r="89" spans="25:25" x14ac:dyDescent="0.25">
      <c r="Y89" s="11"/>
    </row>
    <row r="90" spans="25:25" x14ac:dyDescent="0.25">
      <c r="Y90" s="11"/>
    </row>
    <row r="91" spans="25:25" x14ac:dyDescent="0.25">
      <c r="Y91" s="11"/>
    </row>
    <row r="92" spans="25:25" x14ac:dyDescent="0.25">
      <c r="Y92" s="11"/>
    </row>
    <row r="93" spans="25:25" x14ac:dyDescent="0.25">
      <c r="Y93" s="11"/>
    </row>
    <row r="94" spans="25:25" x14ac:dyDescent="0.25">
      <c r="Y94" s="11"/>
    </row>
    <row r="95" spans="25:25" x14ac:dyDescent="0.25">
      <c r="Y95" s="11"/>
    </row>
    <row r="96" spans="25:25" x14ac:dyDescent="0.25">
      <c r="Y96" s="11"/>
    </row>
    <row r="97" spans="25:25" x14ac:dyDescent="0.25">
      <c r="Y97" s="11"/>
    </row>
    <row r="98" spans="25:25" x14ac:dyDescent="0.25">
      <c r="Y98" s="11"/>
    </row>
    <row r="99" spans="25:25" x14ac:dyDescent="0.25">
      <c r="Y99" s="11"/>
    </row>
    <row r="100" spans="25:25" x14ac:dyDescent="0.25">
      <c r="Y100" s="11"/>
    </row>
    <row r="101" spans="25:25" x14ac:dyDescent="0.25">
      <c r="Y101" s="11"/>
    </row>
    <row r="102" spans="25:25" x14ac:dyDescent="0.25">
      <c r="Y102" s="11"/>
    </row>
    <row r="103" spans="25:25" x14ac:dyDescent="0.25">
      <c r="Y103" s="11"/>
    </row>
    <row r="104" spans="25:25" x14ac:dyDescent="0.25">
      <c r="Y104" s="11"/>
    </row>
    <row r="105" spans="25:25" x14ac:dyDescent="0.25">
      <c r="Y105" s="11"/>
    </row>
    <row r="106" spans="25:25" x14ac:dyDescent="0.25">
      <c r="Y106" s="11"/>
    </row>
    <row r="107" spans="25:25" x14ac:dyDescent="0.25">
      <c r="Y107" s="11"/>
    </row>
    <row r="108" spans="25:25" x14ac:dyDescent="0.25">
      <c r="Y108" s="11"/>
    </row>
    <row r="109" spans="25:25" x14ac:dyDescent="0.25">
      <c r="Y109" s="11"/>
    </row>
    <row r="110" spans="25:25" x14ac:dyDescent="0.25">
      <c r="Y110" s="11"/>
    </row>
    <row r="111" spans="25:25" x14ac:dyDescent="0.25">
      <c r="Y111" s="11"/>
    </row>
    <row r="112" spans="25:25" x14ac:dyDescent="0.25">
      <c r="Y112" s="11"/>
    </row>
    <row r="113" spans="25:25" x14ac:dyDescent="0.25">
      <c r="Y113" s="11"/>
    </row>
    <row r="114" spans="25:25" x14ac:dyDescent="0.25">
      <c r="Y114" s="11"/>
    </row>
    <row r="115" spans="25:25" x14ac:dyDescent="0.25">
      <c r="Y115" s="11"/>
    </row>
    <row r="116" spans="25:25" x14ac:dyDescent="0.25">
      <c r="Y116" s="11"/>
    </row>
    <row r="117" spans="25:25" x14ac:dyDescent="0.25">
      <c r="Y117" s="11"/>
    </row>
    <row r="118" spans="25:25" x14ac:dyDescent="0.25">
      <c r="Y118" s="11"/>
    </row>
    <row r="119" spans="25:25" x14ac:dyDescent="0.25">
      <c r="Y119" s="11"/>
    </row>
    <row r="120" spans="25:25" x14ac:dyDescent="0.25">
      <c r="Y120" s="11"/>
    </row>
    <row r="121" spans="25:25" x14ac:dyDescent="0.25">
      <c r="Y121" s="11"/>
    </row>
    <row r="122" spans="25:25" x14ac:dyDescent="0.25">
      <c r="Y122" s="11"/>
    </row>
    <row r="123" spans="25:25" x14ac:dyDescent="0.25">
      <c r="Y123" s="11"/>
    </row>
    <row r="124" spans="25:25" x14ac:dyDescent="0.25">
      <c r="Y124" s="11"/>
    </row>
    <row r="125" spans="25:25" x14ac:dyDescent="0.25">
      <c r="Y125" s="11"/>
    </row>
    <row r="126" spans="25:25" x14ac:dyDescent="0.25">
      <c r="Y126" s="11"/>
    </row>
    <row r="127" spans="25:25" x14ac:dyDescent="0.25">
      <c r="Y127" s="11"/>
    </row>
    <row r="128" spans="25:25" x14ac:dyDescent="0.25">
      <c r="Y128" s="11"/>
    </row>
    <row r="129" spans="25:25" x14ac:dyDescent="0.25">
      <c r="Y129" s="11"/>
    </row>
    <row r="130" spans="25:25" x14ac:dyDescent="0.25">
      <c r="Y130" s="11"/>
    </row>
    <row r="131" spans="25:25" x14ac:dyDescent="0.25">
      <c r="Y131" s="11"/>
    </row>
    <row r="132" spans="25:25" x14ac:dyDescent="0.25">
      <c r="Y132" s="11"/>
    </row>
    <row r="133" spans="25:25" x14ac:dyDescent="0.25">
      <c r="Y133" s="11"/>
    </row>
    <row r="134" spans="25:25" x14ac:dyDescent="0.25">
      <c r="Y134" s="11"/>
    </row>
    <row r="135" spans="25:25" x14ac:dyDescent="0.25">
      <c r="Y135" s="11"/>
    </row>
    <row r="136" spans="25:25" x14ac:dyDescent="0.25">
      <c r="Y136" s="11"/>
    </row>
    <row r="137" spans="25:25" x14ac:dyDescent="0.25">
      <c r="Y137" s="11"/>
    </row>
    <row r="138" spans="25:25" x14ac:dyDescent="0.25">
      <c r="Y138" s="11"/>
    </row>
    <row r="139" spans="25:25" x14ac:dyDescent="0.25">
      <c r="Y139" s="11"/>
    </row>
    <row r="140" spans="25:25" x14ac:dyDescent="0.25">
      <c r="Y140" s="11"/>
    </row>
    <row r="141" spans="25:25" x14ac:dyDescent="0.25">
      <c r="Y141" s="11"/>
    </row>
    <row r="142" spans="25:25" x14ac:dyDescent="0.25">
      <c r="Y142" s="11"/>
    </row>
    <row r="143" spans="25:25" x14ac:dyDescent="0.25">
      <c r="Y143" s="11"/>
    </row>
    <row r="144" spans="25:25" x14ac:dyDescent="0.25">
      <c r="Y144" s="11"/>
    </row>
    <row r="145" spans="25:25" x14ac:dyDescent="0.25">
      <c r="Y145" s="11"/>
    </row>
    <row r="146" spans="25:25" x14ac:dyDescent="0.25">
      <c r="Y146" s="11"/>
    </row>
    <row r="147" spans="25:25" x14ac:dyDescent="0.25">
      <c r="Y147" s="11"/>
    </row>
    <row r="148" spans="25:25" x14ac:dyDescent="0.25">
      <c r="Y148" s="11"/>
    </row>
    <row r="149" spans="25:25" x14ac:dyDescent="0.25">
      <c r="Y149" s="11"/>
    </row>
    <row r="150" spans="25:25" x14ac:dyDescent="0.25">
      <c r="Y150" s="11"/>
    </row>
    <row r="151" spans="25:25" x14ac:dyDescent="0.25">
      <c r="Y151" s="11"/>
    </row>
    <row r="152" spans="25:25" x14ac:dyDescent="0.25">
      <c r="Y152" s="11"/>
    </row>
    <row r="153" spans="25:25" x14ac:dyDescent="0.25">
      <c r="Y153" s="11"/>
    </row>
    <row r="154" spans="25:25" x14ac:dyDescent="0.25">
      <c r="Y154" s="11"/>
    </row>
    <row r="155" spans="25:25" x14ac:dyDescent="0.25">
      <c r="Y155" s="11"/>
    </row>
    <row r="156" spans="25:25" x14ac:dyDescent="0.25">
      <c r="Y156" s="11"/>
    </row>
    <row r="157" spans="25:25" x14ac:dyDescent="0.25">
      <c r="Y157" s="11"/>
    </row>
    <row r="158" spans="25:25" x14ac:dyDescent="0.25">
      <c r="Y158" s="11"/>
    </row>
    <row r="159" spans="25:25" x14ac:dyDescent="0.25">
      <c r="Y159" s="11"/>
    </row>
    <row r="160" spans="25:25" x14ac:dyDescent="0.25">
      <c r="Y160" s="11"/>
    </row>
    <row r="161" spans="25:25" x14ac:dyDescent="0.25">
      <c r="Y161" s="11"/>
    </row>
    <row r="162" spans="25:25" x14ac:dyDescent="0.25">
      <c r="Y162" s="11"/>
    </row>
    <row r="163" spans="25:25" x14ac:dyDescent="0.25">
      <c r="Y163" s="11"/>
    </row>
    <row r="164" spans="25:25" x14ac:dyDescent="0.25">
      <c r="Y164" s="11"/>
    </row>
    <row r="165" spans="25:25" x14ac:dyDescent="0.25">
      <c r="Y165" s="11"/>
    </row>
    <row r="166" spans="25:25" x14ac:dyDescent="0.25">
      <c r="Y166" s="11"/>
    </row>
    <row r="167" spans="25:25" x14ac:dyDescent="0.25">
      <c r="Y167" s="11"/>
    </row>
    <row r="168" spans="25:25" x14ac:dyDescent="0.25">
      <c r="Y168" s="11"/>
    </row>
    <row r="169" spans="25:25" x14ac:dyDescent="0.25">
      <c r="Y169" s="11"/>
    </row>
    <row r="170" spans="25:25" x14ac:dyDescent="0.25">
      <c r="Y170" s="11"/>
    </row>
    <row r="171" spans="25:25" x14ac:dyDescent="0.25">
      <c r="Y171" s="11"/>
    </row>
    <row r="172" spans="25:25" x14ac:dyDescent="0.25">
      <c r="Y172" s="11"/>
    </row>
    <row r="173" spans="25:25" x14ac:dyDescent="0.25">
      <c r="Y173" s="11"/>
    </row>
    <row r="174" spans="25:25" x14ac:dyDescent="0.25">
      <c r="Y174" s="11"/>
    </row>
    <row r="175" spans="25:25" x14ac:dyDescent="0.25">
      <c r="Y175" s="11"/>
    </row>
    <row r="176" spans="25:25" x14ac:dyDescent="0.25">
      <c r="Y176" s="11"/>
    </row>
    <row r="177" spans="25:25" x14ac:dyDescent="0.25">
      <c r="Y177" s="11"/>
    </row>
    <row r="178" spans="25:25" x14ac:dyDescent="0.25">
      <c r="Y178" s="11"/>
    </row>
    <row r="179" spans="25:25" x14ac:dyDescent="0.25">
      <c r="Y179" s="11"/>
    </row>
    <row r="180" spans="25:25" x14ac:dyDescent="0.25">
      <c r="Y180" s="11"/>
    </row>
    <row r="181" spans="25:25" x14ac:dyDescent="0.25">
      <c r="Y181" s="11"/>
    </row>
    <row r="182" spans="25:25" x14ac:dyDescent="0.25">
      <c r="Y182" s="11"/>
    </row>
    <row r="183" spans="25:25" x14ac:dyDescent="0.25">
      <c r="Y183" s="11"/>
    </row>
    <row r="184" spans="25:25" x14ac:dyDescent="0.25">
      <c r="Y184" s="11"/>
    </row>
    <row r="185" spans="25:25" x14ac:dyDescent="0.25">
      <c r="Y185" s="11"/>
    </row>
    <row r="186" spans="25:25" x14ac:dyDescent="0.25">
      <c r="Y186" s="11"/>
    </row>
    <row r="187" spans="25:25" x14ac:dyDescent="0.25">
      <c r="Y187" s="11"/>
    </row>
    <row r="188" spans="25:25" x14ac:dyDescent="0.25">
      <c r="Y188" s="11"/>
    </row>
    <row r="189" spans="25:25" x14ac:dyDescent="0.25">
      <c r="Y189" s="11"/>
    </row>
    <row r="190" spans="25:25" x14ac:dyDescent="0.25">
      <c r="Y190" s="11"/>
    </row>
    <row r="191" spans="25:25" x14ac:dyDescent="0.25">
      <c r="Y191" s="11"/>
    </row>
    <row r="192" spans="25:25" x14ac:dyDescent="0.25">
      <c r="Y192" s="11"/>
    </row>
    <row r="193" spans="25:25" x14ac:dyDescent="0.25">
      <c r="Y193" s="11"/>
    </row>
    <row r="194" spans="25:25" x14ac:dyDescent="0.25">
      <c r="Y194" s="11"/>
    </row>
    <row r="195" spans="25:25" x14ac:dyDescent="0.25">
      <c r="Y195" s="11"/>
    </row>
    <row r="196" spans="25:25" x14ac:dyDescent="0.25">
      <c r="Y196" s="11"/>
    </row>
    <row r="197" spans="25:25" x14ac:dyDescent="0.25">
      <c r="Y197" s="11"/>
    </row>
    <row r="198" spans="25:25" x14ac:dyDescent="0.25">
      <c r="Y198" s="11"/>
    </row>
    <row r="199" spans="25:25" x14ac:dyDescent="0.25">
      <c r="Y199" s="11"/>
    </row>
    <row r="200" spans="25:25" x14ac:dyDescent="0.25">
      <c r="Y200" s="11"/>
    </row>
    <row r="201" spans="25:25" x14ac:dyDescent="0.25">
      <c r="Y201" s="11"/>
    </row>
    <row r="202" spans="25:25" x14ac:dyDescent="0.25">
      <c r="Y202" s="11"/>
    </row>
    <row r="203" spans="25:25" x14ac:dyDescent="0.25">
      <c r="Y203" s="11"/>
    </row>
    <row r="204" spans="25:25" x14ac:dyDescent="0.25">
      <c r="Y204" s="11"/>
    </row>
    <row r="205" spans="25:25" x14ac:dyDescent="0.25">
      <c r="Y205" s="11"/>
    </row>
    <row r="206" spans="25:25" x14ac:dyDescent="0.25">
      <c r="Y206" s="11"/>
    </row>
    <row r="207" spans="25:25" x14ac:dyDescent="0.25">
      <c r="Y207" s="11"/>
    </row>
    <row r="208" spans="25:25" x14ac:dyDescent="0.25">
      <c r="Y208" s="11"/>
    </row>
    <row r="209" spans="25:25" x14ac:dyDescent="0.25">
      <c r="Y209" s="11"/>
    </row>
    <row r="210" spans="25:25" x14ac:dyDescent="0.25">
      <c r="Y210" s="11"/>
    </row>
    <row r="211" spans="25:25" x14ac:dyDescent="0.25">
      <c r="Y211" s="11"/>
    </row>
    <row r="212" spans="25:25" x14ac:dyDescent="0.25">
      <c r="Y212" s="11"/>
    </row>
    <row r="213" spans="25:25" x14ac:dyDescent="0.25">
      <c r="Y213" s="11"/>
    </row>
    <row r="214" spans="25:25" x14ac:dyDescent="0.25">
      <c r="Y214" s="11"/>
    </row>
    <row r="215" spans="25:25" x14ac:dyDescent="0.25">
      <c r="Y215" s="11"/>
    </row>
    <row r="216" spans="25:25" x14ac:dyDescent="0.25">
      <c r="Y216" s="11"/>
    </row>
    <row r="217" spans="25:25" x14ac:dyDescent="0.25">
      <c r="Y217" s="11"/>
    </row>
    <row r="218" spans="25:25" x14ac:dyDescent="0.25">
      <c r="Y218" s="11"/>
    </row>
    <row r="219" spans="25:25" x14ac:dyDescent="0.25">
      <c r="Y219" s="11"/>
    </row>
    <row r="220" spans="25:25" x14ac:dyDescent="0.25">
      <c r="Y220" s="11"/>
    </row>
    <row r="221" spans="25:25" x14ac:dyDescent="0.25">
      <c r="Y221" s="11"/>
    </row>
    <row r="222" spans="25:25" x14ac:dyDescent="0.25">
      <c r="Y222" s="11"/>
    </row>
    <row r="223" spans="25:25" x14ac:dyDescent="0.25">
      <c r="Y223" s="11"/>
    </row>
    <row r="224" spans="25:25" x14ac:dyDescent="0.25">
      <c r="Y224" s="11"/>
    </row>
    <row r="225" spans="25:25" x14ac:dyDescent="0.25">
      <c r="Y225" s="11"/>
    </row>
    <row r="226" spans="25:25" x14ac:dyDescent="0.25">
      <c r="Y226" s="11"/>
    </row>
    <row r="227" spans="25:25" x14ac:dyDescent="0.25">
      <c r="Y227" s="11"/>
    </row>
    <row r="228" spans="25:25" x14ac:dyDescent="0.25">
      <c r="Y228" s="11"/>
    </row>
    <row r="229" spans="25:25" x14ac:dyDescent="0.25">
      <c r="Y229" s="11"/>
    </row>
    <row r="230" spans="25:25" x14ac:dyDescent="0.25">
      <c r="Y230" s="11"/>
    </row>
    <row r="231" spans="25:25" x14ac:dyDescent="0.25">
      <c r="Y231" s="11"/>
    </row>
    <row r="232" spans="25:25" x14ac:dyDescent="0.25">
      <c r="Y232" s="11"/>
    </row>
    <row r="233" spans="25:25" x14ac:dyDescent="0.25">
      <c r="Y233" s="11"/>
    </row>
    <row r="234" spans="25:25" x14ac:dyDescent="0.25">
      <c r="Y234" s="11"/>
    </row>
    <row r="235" spans="25:25" x14ac:dyDescent="0.25">
      <c r="Y235" s="11"/>
    </row>
    <row r="236" spans="25:25" x14ac:dyDescent="0.25">
      <c r="Y236" s="11"/>
    </row>
    <row r="237" spans="25:25" x14ac:dyDescent="0.25">
      <c r="Y237" s="11"/>
    </row>
    <row r="238" spans="25:25" x14ac:dyDescent="0.25">
      <c r="Y238" s="11"/>
    </row>
    <row r="239" spans="25:25" x14ac:dyDescent="0.25">
      <c r="Y239" s="11"/>
    </row>
    <row r="240" spans="25:25" x14ac:dyDescent="0.25">
      <c r="Y240" s="11"/>
    </row>
    <row r="241" spans="25:25" x14ac:dyDescent="0.25">
      <c r="Y241" s="11"/>
    </row>
    <row r="242" spans="25:25" x14ac:dyDescent="0.25">
      <c r="Y242" s="11"/>
    </row>
    <row r="243" spans="25:25" x14ac:dyDescent="0.25">
      <c r="Y243" s="11"/>
    </row>
    <row r="244" spans="25:25" x14ac:dyDescent="0.25">
      <c r="Y244" s="11"/>
    </row>
    <row r="245" spans="25:25" x14ac:dyDescent="0.25">
      <c r="Y245" s="11"/>
    </row>
    <row r="246" spans="25:25" x14ac:dyDescent="0.25">
      <c r="Y246" s="11"/>
    </row>
    <row r="247" spans="25:25" x14ac:dyDescent="0.25">
      <c r="Y247" s="11"/>
    </row>
    <row r="248" spans="25:25" x14ac:dyDescent="0.25">
      <c r="Y248" s="11"/>
    </row>
    <row r="249" spans="25:25" x14ac:dyDescent="0.25">
      <c r="Y249" s="11"/>
    </row>
    <row r="250" spans="25:25" x14ac:dyDescent="0.25">
      <c r="Y250" s="11"/>
    </row>
    <row r="251" spans="25:25" x14ac:dyDescent="0.25">
      <c r="Y251" s="11"/>
    </row>
    <row r="252" spans="25:25" x14ac:dyDescent="0.25">
      <c r="Y252" s="11"/>
    </row>
    <row r="253" spans="25:25" x14ac:dyDescent="0.25">
      <c r="Y253" s="11"/>
    </row>
    <row r="254" spans="25:25" x14ac:dyDescent="0.25">
      <c r="Y254" s="11"/>
    </row>
    <row r="255" spans="25:25" x14ac:dyDescent="0.25">
      <c r="Y255" s="11"/>
    </row>
    <row r="256" spans="25:25" x14ac:dyDescent="0.25">
      <c r="Y256" s="11"/>
    </row>
    <row r="257" spans="25:25" x14ac:dyDescent="0.25">
      <c r="Y257" s="11"/>
    </row>
    <row r="258" spans="25:25" x14ac:dyDescent="0.25">
      <c r="Y258" s="11"/>
    </row>
    <row r="259" spans="25:25" x14ac:dyDescent="0.25">
      <c r="Y259" s="11"/>
    </row>
    <row r="260" spans="25:25" x14ac:dyDescent="0.25">
      <c r="Y260" s="11"/>
    </row>
    <row r="261" spans="25:25" x14ac:dyDescent="0.25">
      <c r="Y261" s="11"/>
    </row>
    <row r="262" spans="25:25" x14ac:dyDescent="0.25">
      <c r="Y262" s="11"/>
    </row>
    <row r="263" spans="25:25" x14ac:dyDescent="0.25">
      <c r="Y263" s="11"/>
    </row>
    <row r="264" spans="25:25" x14ac:dyDescent="0.25">
      <c r="Y264" s="11"/>
    </row>
    <row r="265" spans="25:25" x14ac:dyDescent="0.25">
      <c r="Y265" s="11"/>
    </row>
    <row r="266" spans="25:25" x14ac:dyDescent="0.25">
      <c r="Y266" s="11"/>
    </row>
    <row r="267" spans="25:25" x14ac:dyDescent="0.25">
      <c r="Y267" s="11"/>
    </row>
    <row r="268" spans="25:25" x14ac:dyDescent="0.25">
      <c r="Y268" s="11"/>
    </row>
    <row r="269" spans="25:25" x14ac:dyDescent="0.25">
      <c r="Y269" s="11"/>
    </row>
    <row r="270" spans="25:25" x14ac:dyDescent="0.25">
      <c r="Y270" s="11"/>
    </row>
    <row r="271" spans="25:25" x14ac:dyDescent="0.25">
      <c r="Y271" s="11"/>
    </row>
    <row r="272" spans="25:25" x14ac:dyDescent="0.25">
      <c r="Y272" s="11"/>
    </row>
    <row r="273" spans="25:25" x14ac:dyDescent="0.25">
      <c r="Y273" s="11"/>
    </row>
    <row r="274" spans="25:25" x14ac:dyDescent="0.25">
      <c r="Y274" s="11"/>
    </row>
    <row r="275" spans="25:25" x14ac:dyDescent="0.25">
      <c r="Y275" s="11"/>
    </row>
    <row r="276" spans="25:25" x14ac:dyDescent="0.25">
      <c r="Y276" s="11"/>
    </row>
    <row r="277" spans="25:25" x14ac:dyDescent="0.25">
      <c r="Y277" s="11"/>
    </row>
    <row r="278" spans="25:25" x14ac:dyDescent="0.25">
      <c r="Y278" s="11"/>
    </row>
    <row r="279" spans="25:25" x14ac:dyDescent="0.25">
      <c r="Y279" s="11"/>
    </row>
    <row r="280" spans="25:25" x14ac:dyDescent="0.25">
      <c r="Y280" s="11"/>
    </row>
    <row r="281" spans="25:25" x14ac:dyDescent="0.25">
      <c r="Y281" s="11"/>
    </row>
    <row r="282" spans="25:25" x14ac:dyDescent="0.25">
      <c r="Y282" s="11"/>
    </row>
    <row r="283" spans="25:25" x14ac:dyDescent="0.25">
      <c r="Y283" s="11"/>
    </row>
    <row r="284" spans="25:25" x14ac:dyDescent="0.25">
      <c r="Y284" s="11"/>
    </row>
    <row r="285" spans="25:25" x14ac:dyDescent="0.25">
      <c r="Y285" s="11"/>
    </row>
    <row r="286" spans="25:25" x14ac:dyDescent="0.25">
      <c r="Y286" s="11"/>
    </row>
    <row r="287" spans="25:25" x14ac:dyDescent="0.25">
      <c r="Y287" s="11"/>
    </row>
    <row r="288" spans="25:25" x14ac:dyDescent="0.25">
      <c r="Y288" s="11"/>
    </row>
    <row r="289" spans="25:25" x14ac:dyDescent="0.25">
      <c r="Y289" s="11"/>
    </row>
    <row r="290" spans="25:25" x14ac:dyDescent="0.25">
      <c r="Y290" s="11"/>
    </row>
    <row r="291" spans="25:25" x14ac:dyDescent="0.25">
      <c r="Y291" s="11"/>
    </row>
    <row r="292" spans="25:25" x14ac:dyDescent="0.25">
      <c r="Y292" s="11"/>
    </row>
    <row r="293" spans="25:25" x14ac:dyDescent="0.25">
      <c r="Y293" s="11"/>
    </row>
    <row r="294" spans="25:25" x14ac:dyDescent="0.25">
      <c r="Y294" s="11"/>
    </row>
    <row r="295" spans="25:25" x14ac:dyDescent="0.25">
      <c r="Y295" s="11"/>
    </row>
    <row r="296" spans="25:25" x14ac:dyDescent="0.25">
      <c r="Y296" s="11"/>
    </row>
    <row r="297" spans="25:25" x14ac:dyDescent="0.25">
      <c r="Y297" s="11"/>
    </row>
    <row r="298" spans="25:25" x14ac:dyDescent="0.25">
      <c r="Y298" s="11"/>
    </row>
    <row r="299" spans="25:25" x14ac:dyDescent="0.25">
      <c r="Y299" s="11"/>
    </row>
    <row r="300" spans="25:25" x14ac:dyDescent="0.25">
      <c r="Y300" s="11"/>
    </row>
    <row r="301" spans="25:25" x14ac:dyDescent="0.25">
      <c r="Y301" s="11"/>
    </row>
    <row r="302" spans="25:25" x14ac:dyDescent="0.25">
      <c r="Y302" s="11"/>
    </row>
    <row r="303" spans="25:25" x14ac:dyDescent="0.25">
      <c r="Y303" s="11"/>
    </row>
    <row r="304" spans="25:25" x14ac:dyDescent="0.25">
      <c r="Y304" s="11"/>
    </row>
    <row r="305" spans="25:25" x14ac:dyDescent="0.25">
      <c r="Y305" s="11"/>
    </row>
    <row r="306" spans="25:25" x14ac:dyDescent="0.25">
      <c r="Y306" s="11"/>
    </row>
    <row r="307" spans="25:25" x14ac:dyDescent="0.25">
      <c r="Y307" s="11"/>
    </row>
    <row r="308" spans="25:25" x14ac:dyDescent="0.25">
      <c r="Y308" s="11"/>
    </row>
    <row r="309" spans="25:25" x14ac:dyDescent="0.25">
      <c r="Y309" s="11"/>
    </row>
    <row r="310" spans="25:25" x14ac:dyDescent="0.25">
      <c r="Y310" s="11"/>
    </row>
    <row r="311" spans="25:25" x14ac:dyDescent="0.25">
      <c r="Y311" s="11"/>
    </row>
    <row r="312" spans="25:25" x14ac:dyDescent="0.25">
      <c r="Y312" s="11"/>
    </row>
    <row r="313" spans="25:25" x14ac:dyDescent="0.25">
      <c r="Y313" s="11"/>
    </row>
    <row r="314" spans="25:25" x14ac:dyDescent="0.25">
      <c r="Y314" s="11"/>
    </row>
    <row r="315" spans="25:25" x14ac:dyDescent="0.25">
      <c r="Y315" s="11"/>
    </row>
    <row r="316" spans="25:25" x14ac:dyDescent="0.25">
      <c r="Y316" s="11"/>
    </row>
    <row r="317" spans="25:25" x14ac:dyDescent="0.25">
      <c r="Y317" s="11"/>
    </row>
    <row r="318" spans="25:25" x14ac:dyDescent="0.25">
      <c r="Y318" s="11"/>
    </row>
    <row r="319" spans="25:25" x14ac:dyDescent="0.25">
      <c r="Y319" s="11"/>
    </row>
    <row r="320" spans="25:25" x14ac:dyDescent="0.25">
      <c r="Y320" s="11"/>
    </row>
    <row r="321" spans="25:25" x14ac:dyDescent="0.25">
      <c r="Y321" s="11"/>
    </row>
    <row r="322" spans="25:25" x14ac:dyDescent="0.25">
      <c r="Y322" s="11"/>
    </row>
    <row r="323" spans="25:25" x14ac:dyDescent="0.25">
      <c r="Y323" s="11"/>
    </row>
    <row r="324" spans="25:25" x14ac:dyDescent="0.25">
      <c r="Y324" s="11"/>
    </row>
    <row r="325" spans="25:25" x14ac:dyDescent="0.25">
      <c r="Y325" s="11"/>
    </row>
    <row r="326" spans="25:25" x14ac:dyDescent="0.25">
      <c r="Y326" s="11"/>
    </row>
    <row r="327" spans="25:25" x14ac:dyDescent="0.25">
      <c r="Y327" s="11"/>
    </row>
    <row r="328" spans="25:25" x14ac:dyDescent="0.25">
      <c r="Y328" s="11"/>
    </row>
    <row r="329" spans="25:25" x14ac:dyDescent="0.25">
      <c r="Y329" s="11"/>
    </row>
    <row r="330" spans="25:25" x14ac:dyDescent="0.25">
      <c r="Y330" s="11"/>
    </row>
    <row r="331" spans="25:25" x14ac:dyDescent="0.25">
      <c r="Y331" s="11"/>
    </row>
    <row r="332" spans="25:25" x14ac:dyDescent="0.25">
      <c r="Y332" s="11"/>
    </row>
    <row r="333" spans="25:25" x14ac:dyDescent="0.25">
      <c r="Y333" s="11"/>
    </row>
    <row r="334" spans="25:25" x14ac:dyDescent="0.25">
      <c r="Y334" s="11"/>
    </row>
    <row r="335" spans="25:25" x14ac:dyDescent="0.25">
      <c r="Y335" s="11"/>
    </row>
    <row r="336" spans="25:25" x14ac:dyDescent="0.25">
      <c r="Y336" s="11"/>
    </row>
    <row r="337" spans="25:25" x14ac:dyDescent="0.25">
      <c r="Y337" s="11"/>
    </row>
    <row r="338" spans="25:25" x14ac:dyDescent="0.25">
      <c r="Y338" s="11"/>
    </row>
    <row r="339" spans="25:25" x14ac:dyDescent="0.25">
      <c r="Y339" s="11"/>
    </row>
    <row r="340" spans="25:25" x14ac:dyDescent="0.25">
      <c r="Y340" s="11"/>
    </row>
    <row r="341" spans="25:25" x14ac:dyDescent="0.25">
      <c r="Y341" s="11"/>
    </row>
    <row r="342" spans="25:25" x14ac:dyDescent="0.25">
      <c r="Y342" s="11"/>
    </row>
    <row r="343" spans="25:25" x14ac:dyDescent="0.25">
      <c r="Y343" s="11"/>
    </row>
    <row r="344" spans="25:25" x14ac:dyDescent="0.25">
      <c r="Y344" s="11"/>
    </row>
    <row r="345" spans="25:25" x14ac:dyDescent="0.25">
      <c r="Y345" s="11"/>
    </row>
    <row r="346" spans="25:25" x14ac:dyDescent="0.25">
      <c r="Y346" s="11"/>
    </row>
    <row r="347" spans="25:25" x14ac:dyDescent="0.25">
      <c r="Y347" s="11"/>
    </row>
    <row r="348" spans="25:25" x14ac:dyDescent="0.25">
      <c r="Y348" s="11"/>
    </row>
    <row r="349" spans="25:25" x14ac:dyDescent="0.25">
      <c r="Y349" s="11"/>
    </row>
    <row r="350" spans="25:25" x14ac:dyDescent="0.25">
      <c r="Y350" s="11"/>
    </row>
    <row r="351" spans="25:25" x14ac:dyDescent="0.25">
      <c r="Y351" s="11"/>
    </row>
    <row r="352" spans="25:25" x14ac:dyDescent="0.25">
      <c r="Y352" s="11"/>
    </row>
    <row r="353" spans="25:25" x14ac:dyDescent="0.25">
      <c r="Y353" s="11"/>
    </row>
    <row r="354" spans="25:25" x14ac:dyDescent="0.25">
      <c r="Y354" s="11"/>
    </row>
    <row r="355" spans="25:25" x14ac:dyDescent="0.25">
      <c r="Y355" s="11"/>
    </row>
    <row r="356" spans="25:25" x14ac:dyDescent="0.25">
      <c r="Y356" s="11"/>
    </row>
    <row r="357" spans="25:25" x14ac:dyDescent="0.25">
      <c r="Y357" s="11"/>
    </row>
    <row r="358" spans="25:25" x14ac:dyDescent="0.25">
      <c r="Y358" s="11"/>
    </row>
    <row r="359" spans="25:25" x14ac:dyDescent="0.25">
      <c r="Y359" s="11"/>
    </row>
    <row r="360" spans="25:25" x14ac:dyDescent="0.25">
      <c r="Y360" s="11"/>
    </row>
    <row r="361" spans="25:25" x14ac:dyDescent="0.25">
      <c r="Y361" s="11"/>
    </row>
    <row r="362" spans="25:25" x14ac:dyDescent="0.25">
      <c r="Y362" s="11"/>
    </row>
    <row r="363" spans="25:25" x14ac:dyDescent="0.25">
      <c r="Y363" s="11"/>
    </row>
    <row r="364" spans="25:25" x14ac:dyDescent="0.25">
      <c r="Y364" s="11"/>
    </row>
    <row r="365" spans="25:25" x14ac:dyDescent="0.25">
      <c r="Y365" s="11"/>
    </row>
    <row r="366" spans="25:25" x14ac:dyDescent="0.25">
      <c r="Y366" s="11"/>
    </row>
    <row r="367" spans="25:25" x14ac:dyDescent="0.25">
      <c r="Y367" s="11"/>
    </row>
    <row r="368" spans="25:25" x14ac:dyDescent="0.25">
      <c r="Y368" s="11"/>
    </row>
    <row r="369" spans="25:25" x14ac:dyDescent="0.25">
      <c r="Y369" s="11"/>
    </row>
    <row r="370" spans="25:25" x14ac:dyDescent="0.25">
      <c r="Y370" s="11"/>
    </row>
    <row r="371" spans="25:25" x14ac:dyDescent="0.25">
      <c r="Y371" s="11"/>
    </row>
    <row r="372" spans="25:25" x14ac:dyDescent="0.25">
      <c r="Y372" s="11"/>
    </row>
    <row r="373" spans="25:25" x14ac:dyDescent="0.25">
      <c r="Y373" s="11"/>
    </row>
    <row r="374" spans="25:25" x14ac:dyDescent="0.25">
      <c r="Y374" s="11"/>
    </row>
    <row r="375" spans="25:25" x14ac:dyDescent="0.25">
      <c r="Y375" s="11"/>
    </row>
    <row r="376" spans="25:25" x14ac:dyDescent="0.25">
      <c r="Y376" s="11"/>
    </row>
    <row r="377" spans="25:25" x14ac:dyDescent="0.25">
      <c r="Y377" s="11"/>
    </row>
    <row r="378" spans="25:25" x14ac:dyDescent="0.25">
      <c r="Y378" s="11"/>
    </row>
    <row r="379" spans="25:25" x14ac:dyDescent="0.25">
      <c r="Y379" s="11"/>
    </row>
    <row r="380" spans="25:25" x14ac:dyDescent="0.25">
      <c r="Y380" s="11"/>
    </row>
    <row r="381" spans="25:25" x14ac:dyDescent="0.25">
      <c r="Y381" s="11"/>
    </row>
    <row r="382" spans="25:25" x14ac:dyDescent="0.25">
      <c r="Y382" s="11"/>
    </row>
    <row r="383" spans="25:25" x14ac:dyDescent="0.25">
      <c r="Y383" s="11"/>
    </row>
    <row r="384" spans="25:25" x14ac:dyDescent="0.25">
      <c r="Y384" s="11"/>
    </row>
    <row r="385" spans="25:25" x14ac:dyDescent="0.25">
      <c r="Y385" s="11"/>
    </row>
    <row r="386" spans="25:25" x14ac:dyDescent="0.25">
      <c r="Y386" s="11"/>
    </row>
    <row r="387" spans="25:25" x14ac:dyDescent="0.25">
      <c r="Y387" s="11"/>
    </row>
    <row r="388" spans="25:25" x14ac:dyDescent="0.25">
      <c r="Y388" s="11"/>
    </row>
    <row r="389" spans="25:25" x14ac:dyDescent="0.25">
      <c r="Y389" s="11"/>
    </row>
    <row r="390" spans="25:25" x14ac:dyDescent="0.25">
      <c r="Y390" s="11"/>
    </row>
    <row r="391" spans="25:25" x14ac:dyDescent="0.25">
      <c r="Y391" s="11"/>
    </row>
    <row r="392" spans="25:25" x14ac:dyDescent="0.25">
      <c r="Y392" s="11"/>
    </row>
    <row r="393" spans="25:25" x14ac:dyDescent="0.25">
      <c r="Y393" s="11"/>
    </row>
    <row r="394" spans="25:25" x14ac:dyDescent="0.25">
      <c r="Y394" s="11"/>
    </row>
    <row r="395" spans="25:25" x14ac:dyDescent="0.25">
      <c r="Y395" s="11"/>
    </row>
    <row r="396" spans="25:25" x14ac:dyDescent="0.25">
      <c r="Y396" s="11"/>
    </row>
    <row r="397" spans="25:25" x14ac:dyDescent="0.25">
      <c r="Y397" s="11"/>
    </row>
    <row r="398" spans="25:25" x14ac:dyDescent="0.25">
      <c r="Y398" s="11"/>
    </row>
    <row r="399" spans="25:25" x14ac:dyDescent="0.25">
      <c r="Y399" s="11"/>
    </row>
    <row r="400" spans="25:25" x14ac:dyDescent="0.25">
      <c r="Y400" s="11"/>
    </row>
    <row r="401" spans="25:25" x14ac:dyDescent="0.25">
      <c r="Y401" s="11"/>
    </row>
    <row r="402" spans="25:25" x14ac:dyDescent="0.25">
      <c r="Y402" s="11"/>
    </row>
    <row r="403" spans="25:25" x14ac:dyDescent="0.25">
      <c r="Y403" s="11"/>
    </row>
    <row r="404" spans="25:25" x14ac:dyDescent="0.25">
      <c r="Y404" s="11"/>
    </row>
    <row r="405" spans="25:25" x14ac:dyDescent="0.25">
      <c r="Y405" s="11"/>
    </row>
    <row r="406" spans="25:25" x14ac:dyDescent="0.25">
      <c r="Y406" s="11"/>
    </row>
    <row r="407" spans="25:25" x14ac:dyDescent="0.25">
      <c r="Y407" s="11"/>
    </row>
    <row r="408" spans="25:25" x14ac:dyDescent="0.25">
      <c r="Y408" s="11"/>
    </row>
    <row r="409" spans="25:25" x14ac:dyDescent="0.25">
      <c r="Y409" s="11"/>
    </row>
    <row r="410" spans="25:25" x14ac:dyDescent="0.25">
      <c r="Y410" s="11"/>
    </row>
    <row r="411" spans="25:25" x14ac:dyDescent="0.25">
      <c r="Y411" s="11"/>
    </row>
    <row r="412" spans="25:25" x14ac:dyDescent="0.25">
      <c r="Y412" s="11"/>
    </row>
    <row r="413" spans="25:25" x14ac:dyDescent="0.25">
      <c r="Y413" s="11"/>
    </row>
    <row r="414" spans="25:25" x14ac:dyDescent="0.25">
      <c r="Y414" s="11"/>
    </row>
    <row r="415" spans="25:25" x14ac:dyDescent="0.25">
      <c r="Y415" s="11"/>
    </row>
    <row r="416" spans="25:25" x14ac:dyDescent="0.25">
      <c r="Y416" s="11"/>
    </row>
    <row r="417" spans="25:25" x14ac:dyDescent="0.25">
      <c r="Y417" s="11"/>
    </row>
    <row r="418" spans="25:25" x14ac:dyDescent="0.25">
      <c r="Y418" s="11"/>
    </row>
    <row r="419" spans="25:25" x14ac:dyDescent="0.25">
      <c r="Y419" s="11"/>
    </row>
    <row r="420" spans="25:25" x14ac:dyDescent="0.25">
      <c r="Y420" s="11"/>
    </row>
    <row r="421" spans="25:25" x14ac:dyDescent="0.25">
      <c r="Y421" s="11"/>
    </row>
    <row r="422" spans="25:25" x14ac:dyDescent="0.25">
      <c r="Y422" s="11"/>
    </row>
    <row r="423" spans="25:25" x14ac:dyDescent="0.25">
      <c r="Y423" s="11"/>
    </row>
    <row r="424" spans="25:25" x14ac:dyDescent="0.25">
      <c r="Y424" s="11"/>
    </row>
    <row r="425" spans="25:25" x14ac:dyDescent="0.25">
      <c r="Y425" s="11"/>
    </row>
    <row r="426" spans="25:25" x14ac:dyDescent="0.25">
      <c r="Y426" s="11"/>
    </row>
    <row r="427" spans="25:25" x14ac:dyDescent="0.25">
      <c r="Y427" s="11"/>
    </row>
    <row r="428" spans="25:25" x14ac:dyDescent="0.25">
      <c r="Y428" s="11"/>
    </row>
    <row r="429" spans="25:25" x14ac:dyDescent="0.25">
      <c r="Y429" s="11"/>
    </row>
    <row r="430" spans="25:25" x14ac:dyDescent="0.25">
      <c r="Y430" s="11"/>
    </row>
    <row r="431" spans="25:25" x14ac:dyDescent="0.25">
      <c r="Y431" s="11"/>
    </row>
    <row r="432" spans="25:25" x14ac:dyDescent="0.25">
      <c r="Y432" s="11"/>
    </row>
    <row r="433" spans="25:25" x14ac:dyDescent="0.25">
      <c r="Y433" s="11"/>
    </row>
    <row r="434" spans="25:25" x14ac:dyDescent="0.25">
      <c r="Y434" s="11"/>
    </row>
    <row r="435" spans="25:25" x14ac:dyDescent="0.25">
      <c r="Y435" s="11"/>
    </row>
    <row r="436" spans="25:25" x14ac:dyDescent="0.25">
      <c r="Y436" s="11"/>
    </row>
    <row r="437" spans="25:25" x14ac:dyDescent="0.25">
      <c r="Y437" s="11"/>
    </row>
    <row r="438" spans="25:25" x14ac:dyDescent="0.25">
      <c r="Y438" s="11"/>
    </row>
    <row r="439" spans="25:25" x14ac:dyDescent="0.25">
      <c r="Y439" s="11"/>
    </row>
    <row r="440" spans="25:25" x14ac:dyDescent="0.25">
      <c r="Y440" s="11"/>
    </row>
    <row r="441" spans="25:25" x14ac:dyDescent="0.25">
      <c r="Y441" s="11"/>
    </row>
    <row r="442" spans="25:25" x14ac:dyDescent="0.25">
      <c r="Y442" s="11"/>
    </row>
    <row r="443" spans="25:25" x14ac:dyDescent="0.25">
      <c r="Y443" s="11"/>
    </row>
    <row r="444" spans="25:25" x14ac:dyDescent="0.25">
      <c r="Y444" s="11"/>
    </row>
    <row r="445" spans="25:25" x14ac:dyDescent="0.25">
      <c r="Y445" s="11"/>
    </row>
    <row r="446" spans="25:25" x14ac:dyDescent="0.25">
      <c r="Y446" s="11"/>
    </row>
    <row r="447" spans="25:25" x14ac:dyDescent="0.25">
      <c r="Y447" s="11"/>
    </row>
    <row r="448" spans="25:25" x14ac:dyDescent="0.25">
      <c r="Y448" s="11"/>
    </row>
    <row r="449" spans="25:25" x14ac:dyDescent="0.25">
      <c r="Y449" s="11"/>
    </row>
    <row r="450" spans="25:25" x14ac:dyDescent="0.25">
      <c r="Y450" s="11"/>
    </row>
    <row r="451" spans="25:25" x14ac:dyDescent="0.25">
      <c r="Y451" s="11"/>
    </row>
    <row r="452" spans="25:25" x14ac:dyDescent="0.25">
      <c r="Y452" s="11"/>
    </row>
    <row r="453" spans="25:25" x14ac:dyDescent="0.25">
      <c r="Y453" s="11"/>
    </row>
    <row r="454" spans="25:25" x14ac:dyDescent="0.25">
      <c r="Y454" s="11"/>
    </row>
    <row r="455" spans="25:25" x14ac:dyDescent="0.25">
      <c r="Y455" s="11"/>
    </row>
    <row r="456" spans="25:25" x14ac:dyDescent="0.25">
      <c r="Y456" s="11"/>
    </row>
    <row r="457" spans="25:25" x14ac:dyDescent="0.25">
      <c r="Y457" s="11"/>
    </row>
    <row r="458" spans="25:25" x14ac:dyDescent="0.25">
      <c r="Y458" s="11"/>
    </row>
    <row r="459" spans="25:25" x14ac:dyDescent="0.25">
      <c r="Y459" s="11"/>
    </row>
    <row r="460" spans="25:25" x14ac:dyDescent="0.25">
      <c r="Y460" s="11"/>
    </row>
    <row r="461" spans="25:25" x14ac:dyDescent="0.25">
      <c r="Y461" s="11"/>
    </row>
    <row r="462" spans="25:25" x14ac:dyDescent="0.25">
      <c r="Y462" s="11"/>
    </row>
    <row r="463" spans="25:25" x14ac:dyDescent="0.25">
      <c r="Y463" s="11"/>
    </row>
    <row r="464" spans="25:25" x14ac:dyDescent="0.25">
      <c r="Y464" s="11"/>
    </row>
    <row r="465" spans="25:25" x14ac:dyDescent="0.25">
      <c r="Y465" s="11"/>
    </row>
    <row r="466" spans="25:25" x14ac:dyDescent="0.25">
      <c r="Y466" s="11"/>
    </row>
    <row r="467" spans="25:25" x14ac:dyDescent="0.25">
      <c r="Y467" s="11"/>
    </row>
    <row r="468" spans="25:25" x14ac:dyDescent="0.25">
      <c r="Y468" s="11"/>
    </row>
    <row r="469" spans="25:25" x14ac:dyDescent="0.25">
      <c r="Y469" s="11"/>
    </row>
    <row r="470" spans="25:25" x14ac:dyDescent="0.25">
      <c r="Y470" s="11"/>
    </row>
    <row r="471" spans="25:25" x14ac:dyDescent="0.25">
      <c r="Y471" s="11"/>
    </row>
    <row r="472" spans="25:25" x14ac:dyDescent="0.25">
      <c r="Y472" s="11"/>
    </row>
    <row r="473" spans="25:25" x14ac:dyDescent="0.25">
      <c r="Y473" s="11"/>
    </row>
    <row r="474" spans="25:25" x14ac:dyDescent="0.25">
      <c r="Y474" s="11"/>
    </row>
    <row r="475" spans="25:25" x14ac:dyDescent="0.25">
      <c r="Y475" s="11"/>
    </row>
    <row r="476" spans="25:25" x14ac:dyDescent="0.25">
      <c r="Y476" s="11"/>
    </row>
    <row r="477" spans="25:25" x14ac:dyDescent="0.25">
      <c r="Y477" s="11"/>
    </row>
    <row r="478" spans="25:25" x14ac:dyDescent="0.25">
      <c r="Y478" s="11"/>
    </row>
    <row r="479" spans="25:25" x14ac:dyDescent="0.25">
      <c r="Y479" s="11"/>
    </row>
    <row r="480" spans="25:25" x14ac:dyDescent="0.25">
      <c r="Y480" s="11"/>
    </row>
    <row r="481" spans="25:25" x14ac:dyDescent="0.25">
      <c r="Y481" s="11"/>
    </row>
    <row r="482" spans="25:25" x14ac:dyDescent="0.25">
      <c r="Y482" s="11"/>
    </row>
    <row r="483" spans="25:25" x14ac:dyDescent="0.25">
      <c r="Y483" s="11"/>
    </row>
    <row r="484" spans="25:25" x14ac:dyDescent="0.25">
      <c r="Y484" s="11"/>
    </row>
    <row r="485" spans="25:25" x14ac:dyDescent="0.25">
      <c r="Y485" s="11"/>
    </row>
    <row r="486" spans="25:25" x14ac:dyDescent="0.25">
      <c r="Y486" s="11"/>
    </row>
    <row r="487" spans="25:25" x14ac:dyDescent="0.25">
      <c r="Y487" s="11"/>
    </row>
    <row r="488" spans="25:25" x14ac:dyDescent="0.25">
      <c r="Y488" s="11"/>
    </row>
    <row r="489" spans="25:25" x14ac:dyDescent="0.25">
      <c r="Y489" s="11"/>
    </row>
    <row r="490" spans="25:25" x14ac:dyDescent="0.25">
      <c r="Y490" s="11"/>
    </row>
    <row r="491" spans="25:25" x14ac:dyDescent="0.25">
      <c r="Y491" s="11"/>
    </row>
    <row r="492" spans="25:25" x14ac:dyDescent="0.25">
      <c r="Y492" s="11"/>
    </row>
    <row r="493" spans="25:25" x14ac:dyDescent="0.25">
      <c r="Y493" s="11"/>
    </row>
    <row r="494" spans="25:25" x14ac:dyDescent="0.25">
      <c r="Y494" s="11"/>
    </row>
    <row r="495" spans="25:25" x14ac:dyDescent="0.25">
      <c r="Y495" s="11"/>
    </row>
    <row r="496" spans="25:25" x14ac:dyDescent="0.25">
      <c r="Y496" s="11"/>
    </row>
    <row r="497" spans="25:25" x14ac:dyDescent="0.25">
      <c r="Y497" s="11"/>
    </row>
    <row r="498" spans="25:25" x14ac:dyDescent="0.25">
      <c r="Y498" s="11"/>
    </row>
    <row r="499" spans="25:25" x14ac:dyDescent="0.25">
      <c r="Y499" s="11"/>
    </row>
    <row r="500" spans="25:25" x14ac:dyDescent="0.25">
      <c r="Y500" s="11"/>
    </row>
    <row r="501" spans="25:25" x14ac:dyDescent="0.25">
      <c r="Y501" s="11"/>
    </row>
    <row r="502" spans="25:25" x14ac:dyDescent="0.25">
      <c r="Y502" s="11"/>
    </row>
    <row r="503" spans="25:25" x14ac:dyDescent="0.25">
      <c r="Y503" s="11"/>
    </row>
    <row r="504" spans="25:25" x14ac:dyDescent="0.25">
      <c r="Y504" s="11"/>
    </row>
    <row r="505" spans="25:25" x14ac:dyDescent="0.25">
      <c r="Y505" s="11"/>
    </row>
    <row r="506" spans="25:25" x14ac:dyDescent="0.25">
      <c r="Y506" s="11"/>
    </row>
    <row r="507" spans="25:25" x14ac:dyDescent="0.25">
      <c r="Y507" s="11"/>
    </row>
    <row r="508" spans="25:25" x14ac:dyDescent="0.25">
      <c r="Y508" s="11"/>
    </row>
    <row r="509" spans="25:25" x14ac:dyDescent="0.25">
      <c r="Y509" s="11"/>
    </row>
    <row r="510" spans="25:25" x14ac:dyDescent="0.25">
      <c r="Y510" s="11"/>
    </row>
    <row r="511" spans="25:25" x14ac:dyDescent="0.25">
      <c r="Y511" s="11"/>
    </row>
    <row r="512" spans="25:25" x14ac:dyDescent="0.25">
      <c r="Y512" s="11"/>
    </row>
    <row r="513" spans="25:25" x14ac:dyDescent="0.25">
      <c r="Y513" s="11"/>
    </row>
    <row r="514" spans="25:25" x14ac:dyDescent="0.25">
      <c r="Y514" s="11"/>
    </row>
    <row r="515" spans="25:25" x14ac:dyDescent="0.25">
      <c r="Y515" s="11"/>
    </row>
    <row r="516" spans="25:25" x14ac:dyDescent="0.25">
      <c r="Y516" s="11"/>
    </row>
    <row r="517" spans="25:25" x14ac:dyDescent="0.25">
      <c r="Y517" s="11"/>
    </row>
    <row r="518" spans="25:25" x14ac:dyDescent="0.25">
      <c r="Y518" s="11"/>
    </row>
    <row r="519" spans="25:25" x14ac:dyDescent="0.25">
      <c r="Y519" s="11"/>
    </row>
    <row r="520" spans="25:25" x14ac:dyDescent="0.25">
      <c r="Y520" s="11"/>
    </row>
    <row r="521" spans="25:25" x14ac:dyDescent="0.25">
      <c r="Y521" s="11"/>
    </row>
    <row r="522" spans="25:25" x14ac:dyDescent="0.25">
      <c r="Y522" s="11"/>
    </row>
    <row r="523" spans="25:25" x14ac:dyDescent="0.25">
      <c r="Y523" s="11"/>
    </row>
    <row r="524" spans="25:25" x14ac:dyDescent="0.25">
      <c r="Y524" s="11"/>
    </row>
    <row r="525" spans="25:25" x14ac:dyDescent="0.25">
      <c r="Y525" s="11"/>
    </row>
    <row r="526" spans="25:25" x14ac:dyDescent="0.25">
      <c r="Y526" s="11"/>
    </row>
    <row r="527" spans="25:25" x14ac:dyDescent="0.25">
      <c r="Y527" s="11"/>
    </row>
    <row r="528" spans="25:25" x14ac:dyDescent="0.25">
      <c r="Y528" s="11"/>
    </row>
    <row r="529" spans="25:25" x14ac:dyDescent="0.25">
      <c r="Y529" s="11"/>
    </row>
    <row r="530" spans="25:25" x14ac:dyDescent="0.25">
      <c r="Y530" s="11"/>
    </row>
    <row r="531" spans="25:25" x14ac:dyDescent="0.25">
      <c r="Y531" s="11"/>
    </row>
    <row r="532" spans="25:25" x14ac:dyDescent="0.25">
      <c r="Y532" s="11"/>
    </row>
    <row r="533" spans="25:25" x14ac:dyDescent="0.25">
      <c r="Y533" s="11"/>
    </row>
    <row r="534" spans="25:25" x14ac:dyDescent="0.25">
      <c r="Y534" s="11"/>
    </row>
    <row r="535" spans="25:25" x14ac:dyDescent="0.25">
      <c r="Y535" s="11"/>
    </row>
    <row r="536" spans="25:25" x14ac:dyDescent="0.25">
      <c r="Y536" s="11"/>
    </row>
    <row r="537" spans="25:25" x14ac:dyDescent="0.25">
      <c r="Y537" s="11"/>
    </row>
    <row r="538" spans="25:25" x14ac:dyDescent="0.25">
      <c r="Y538" s="11"/>
    </row>
    <row r="539" spans="25:25" x14ac:dyDescent="0.25">
      <c r="Y539" s="11"/>
    </row>
    <row r="540" spans="25:25" x14ac:dyDescent="0.25">
      <c r="Y540" s="11"/>
    </row>
    <row r="541" spans="25:25" x14ac:dyDescent="0.25">
      <c r="Y541" s="11"/>
    </row>
    <row r="542" spans="25:25" x14ac:dyDescent="0.25">
      <c r="Y542" s="11"/>
    </row>
    <row r="543" spans="25:25" x14ac:dyDescent="0.25">
      <c r="Y543" s="11"/>
    </row>
    <row r="544" spans="25:25" x14ac:dyDescent="0.25">
      <c r="Y544" s="11"/>
    </row>
    <row r="545" spans="25:25" x14ac:dyDescent="0.25">
      <c r="Y545" s="11"/>
    </row>
    <row r="546" spans="25:25" x14ac:dyDescent="0.25">
      <c r="Y546" s="11"/>
    </row>
    <row r="547" spans="25:25" x14ac:dyDescent="0.25">
      <c r="Y547" s="11"/>
    </row>
    <row r="548" spans="25:25" x14ac:dyDescent="0.25">
      <c r="Y548" s="11"/>
    </row>
    <row r="549" spans="25:25" x14ac:dyDescent="0.25">
      <c r="Y549" s="11"/>
    </row>
    <row r="550" spans="25:25" x14ac:dyDescent="0.25">
      <c r="Y550" s="11"/>
    </row>
    <row r="551" spans="25:25" x14ac:dyDescent="0.25">
      <c r="Y551" s="11"/>
    </row>
    <row r="552" spans="25:25" x14ac:dyDescent="0.25">
      <c r="Y552" s="11"/>
    </row>
    <row r="553" spans="25:25" x14ac:dyDescent="0.25">
      <c r="Y553" s="11"/>
    </row>
    <row r="554" spans="25:25" x14ac:dyDescent="0.25">
      <c r="Y554" s="11"/>
    </row>
    <row r="555" spans="25:25" x14ac:dyDescent="0.25">
      <c r="Y555" s="11"/>
    </row>
    <row r="556" spans="25:25" x14ac:dyDescent="0.25">
      <c r="Y556" s="11"/>
    </row>
    <row r="557" spans="25:25" x14ac:dyDescent="0.25">
      <c r="Y557" s="11"/>
    </row>
    <row r="558" spans="25:25" x14ac:dyDescent="0.25">
      <c r="Y558" s="11"/>
    </row>
    <row r="559" spans="25:25" x14ac:dyDescent="0.25">
      <c r="Y559" s="11"/>
    </row>
    <row r="560" spans="25:25" x14ac:dyDescent="0.25">
      <c r="Y560" s="11"/>
    </row>
    <row r="561" spans="25:25" x14ac:dyDescent="0.25">
      <c r="Y561" s="11"/>
    </row>
    <row r="562" spans="25:25" x14ac:dyDescent="0.25">
      <c r="Y562" s="11"/>
    </row>
    <row r="563" spans="25:25" x14ac:dyDescent="0.25">
      <c r="Y563" s="11"/>
    </row>
    <row r="564" spans="25:25" x14ac:dyDescent="0.25">
      <c r="Y564" s="11"/>
    </row>
    <row r="565" spans="25:25" x14ac:dyDescent="0.25">
      <c r="Y565" s="11"/>
    </row>
    <row r="566" spans="25:25" x14ac:dyDescent="0.25">
      <c r="Y566" s="11"/>
    </row>
    <row r="567" spans="25:25" x14ac:dyDescent="0.25">
      <c r="Y567" s="11"/>
    </row>
    <row r="568" spans="25:25" x14ac:dyDescent="0.25">
      <c r="Y568" s="11"/>
    </row>
    <row r="569" spans="25:25" x14ac:dyDescent="0.25">
      <c r="Y569" s="11"/>
    </row>
    <row r="570" spans="25:25" x14ac:dyDescent="0.25">
      <c r="Y570" s="11"/>
    </row>
    <row r="571" spans="25:25" x14ac:dyDescent="0.25">
      <c r="Y571" s="11"/>
    </row>
    <row r="572" spans="25:25" x14ac:dyDescent="0.25">
      <c r="Y572" s="11"/>
    </row>
    <row r="573" spans="25:25" x14ac:dyDescent="0.25">
      <c r="Y573" s="11"/>
    </row>
    <row r="574" spans="25:25" x14ac:dyDescent="0.25">
      <c r="Y574" s="11"/>
    </row>
    <row r="575" spans="25:25" x14ac:dyDescent="0.25">
      <c r="Y575" s="11"/>
    </row>
    <row r="576" spans="25:25" x14ac:dyDescent="0.25">
      <c r="Y576" s="11"/>
    </row>
    <row r="577" spans="25:25" x14ac:dyDescent="0.25">
      <c r="Y577" s="11"/>
    </row>
    <row r="578" spans="25:25" x14ac:dyDescent="0.25">
      <c r="Y578" s="11"/>
    </row>
    <row r="579" spans="25:25" x14ac:dyDescent="0.25">
      <c r="Y579" s="11"/>
    </row>
    <row r="580" spans="25:25" x14ac:dyDescent="0.25">
      <c r="Y580" s="11"/>
    </row>
    <row r="581" spans="25:25" x14ac:dyDescent="0.25">
      <c r="Y581" s="11"/>
    </row>
    <row r="582" spans="25:25" x14ac:dyDescent="0.25">
      <c r="Y582" s="11"/>
    </row>
    <row r="583" spans="25:25" x14ac:dyDescent="0.25">
      <c r="Y583" s="11"/>
    </row>
    <row r="584" spans="25:25" x14ac:dyDescent="0.25">
      <c r="Y584" s="11"/>
    </row>
    <row r="585" spans="25:25" x14ac:dyDescent="0.25">
      <c r="Y585" s="11"/>
    </row>
    <row r="586" spans="25:25" x14ac:dyDescent="0.25">
      <c r="Y586" s="11"/>
    </row>
    <row r="587" spans="25:25" x14ac:dyDescent="0.25">
      <c r="Y587" s="11"/>
    </row>
    <row r="588" spans="25:25" x14ac:dyDescent="0.25">
      <c r="Y588" s="11"/>
    </row>
    <row r="589" spans="25:25" x14ac:dyDescent="0.25">
      <c r="Y589" s="11"/>
    </row>
    <row r="590" spans="25:25" x14ac:dyDescent="0.25">
      <c r="Y590" s="11"/>
    </row>
    <row r="591" spans="25:25" x14ac:dyDescent="0.25">
      <c r="Y591" s="11"/>
    </row>
    <row r="592" spans="25:25" x14ac:dyDescent="0.25">
      <c r="Y592" s="11"/>
    </row>
    <row r="593" spans="25:25" x14ac:dyDescent="0.25">
      <c r="Y593" s="11"/>
    </row>
    <row r="594" spans="25:25" x14ac:dyDescent="0.25">
      <c r="Y594" s="11"/>
    </row>
    <row r="595" spans="25:25" x14ac:dyDescent="0.25">
      <c r="Y595" s="11"/>
    </row>
    <row r="596" spans="25:25" x14ac:dyDescent="0.25">
      <c r="Y596" s="11"/>
    </row>
    <row r="597" spans="25:25" x14ac:dyDescent="0.25">
      <c r="Y597" s="11"/>
    </row>
    <row r="598" spans="25:25" x14ac:dyDescent="0.25">
      <c r="Y598" s="11"/>
    </row>
    <row r="599" spans="25:25" x14ac:dyDescent="0.25">
      <c r="Y599" s="11"/>
    </row>
    <row r="600" spans="25:25" x14ac:dyDescent="0.25">
      <c r="Y600" s="11"/>
    </row>
    <row r="601" spans="25:25" x14ac:dyDescent="0.25">
      <c r="Y601" s="11"/>
    </row>
    <row r="602" spans="25:25" x14ac:dyDescent="0.25">
      <c r="Y602" s="11"/>
    </row>
    <row r="603" spans="25:25" x14ac:dyDescent="0.25">
      <c r="Y603" s="11"/>
    </row>
    <row r="604" spans="25:25" x14ac:dyDescent="0.25">
      <c r="Y604" s="11"/>
    </row>
    <row r="605" spans="25:25" x14ac:dyDescent="0.25">
      <c r="Y605" s="11"/>
    </row>
    <row r="606" spans="25:25" x14ac:dyDescent="0.25">
      <c r="Y606" s="11"/>
    </row>
    <row r="607" spans="25:25" x14ac:dyDescent="0.25">
      <c r="Y607" s="11"/>
    </row>
    <row r="608" spans="25:25" x14ac:dyDescent="0.25">
      <c r="Y608" s="11"/>
    </row>
    <row r="609" spans="25:25" x14ac:dyDescent="0.25">
      <c r="Y609" s="11"/>
    </row>
    <row r="610" spans="25:25" x14ac:dyDescent="0.25">
      <c r="Y610" s="11"/>
    </row>
    <row r="611" spans="25:25" x14ac:dyDescent="0.25">
      <c r="Y611" s="11"/>
    </row>
    <row r="612" spans="25:25" x14ac:dyDescent="0.25">
      <c r="Y612" s="11"/>
    </row>
    <row r="613" spans="25:25" x14ac:dyDescent="0.25">
      <c r="Y613" s="11"/>
    </row>
    <row r="614" spans="25:25" x14ac:dyDescent="0.25">
      <c r="Y614" s="11"/>
    </row>
    <row r="615" spans="25:25" x14ac:dyDescent="0.25">
      <c r="Y615" s="11"/>
    </row>
    <row r="616" spans="25:25" x14ac:dyDescent="0.25">
      <c r="Y616" s="11"/>
    </row>
    <row r="617" spans="25:25" x14ac:dyDescent="0.25">
      <c r="Y617" s="11"/>
    </row>
    <row r="618" spans="25:25" x14ac:dyDescent="0.25">
      <c r="Y618" s="11"/>
    </row>
    <row r="619" spans="25:25" x14ac:dyDescent="0.25">
      <c r="Y619" s="11"/>
    </row>
    <row r="620" spans="25:25" x14ac:dyDescent="0.25">
      <c r="Y620" s="11"/>
    </row>
    <row r="621" spans="25:25" x14ac:dyDescent="0.25">
      <c r="Y621" s="11"/>
    </row>
    <row r="622" spans="25:25" x14ac:dyDescent="0.25">
      <c r="Y622" s="11"/>
    </row>
    <row r="623" spans="25:25" x14ac:dyDescent="0.25">
      <c r="Y623" s="11"/>
    </row>
    <row r="624" spans="25:25" x14ac:dyDescent="0.25">
      <c r="Y624" s="11"/>
    </row>
    <row r="625" spans="25:25" x14ac:dyDescent="0.25">
      <c r="Y625" s="11"/>
    </row>
    <row r="626" spans="25:25" x14ac:dyDescent="0.25">
      <c r="Y626" s="11"/>
    </row>
    <row r="627" spans="25:25" x14ac:dyDescent="0.25">
      <c r="Y627" s="11"/>
    </row>
    <row r="628" spans="25:25" x14ac:dyDescent="0.25">
      <c r="Y628" s="11"/>
    </row>
    <row r="629" spans="25:25" x14ac:dyDescent="0.25">
      <c r="Y629" s="11"/>
    </row>
    <row r="630" spans="25:25" x14ac:dyDescent="0.25">
      <c r="Y630" s="11"/>
    </row>
    <row r="631" spans="25:25" x14ac:dyDescent="0.25">
      <c r="Y631" s="11"/>
    </row>
    <row r="632" spans="25:25" x14ac:dyDescent="0.25">
      <c r="Y632" s="11"/>
    </row>
    <row r="633" spans="25:25" x14ac:dyDescent="0.25">
      <c r="Y633" s="11"/>
    </row>
    <row r="634" spans="25:25" x14ac:dyDescent="0.25">
      <c r="Y634" s="11"/>
    </row>
    <row r="635" spans="25:25" x14ac:dyDescent="0.25">
      <c r="Y635" s="11"/>
    </row>
    <row r="636" spans="25:25" x14ac:dyDescent="0.25">
      <c r="Y636" s="11"/>
    </row>
    <row r="637" spans="25:25" x14ac:dyDescent="0.25">
      <c r="Y637" s="11"/>
    </row>
    <row r="638" spans="25:25" x14ac:dyDescent="0.25">
      <c r="Y638" s="11"/>
    </row>
    <row r="639" spans="25:25" x14ac:dyDescent="0.25">
      <c r="Y639" s="11"/>
    </row>
    <row r="640" spans="25:25" x14ac:dyDescent="0.25">
      <c r="Y640" s="11"/>
    </row>
    <row r="641" spans="25:25" x14ac:dyDescent="0.25">
      <c r="Y641" s="11"/>
    </row>
    <row r="642" spans="25:25" x14ac:dyDescent="0.25">
      <c r="Y642" s="11"/>
    </row>
    <row r="643" spans="25:25" x14ac:dyDescent="0.25">
      <c r="Y643" s="11"/>
    </row>
    <row r="644" spans="25:25" x14ac:dyDescent="0.25">
      <c r="Y644" s="11"/>
    </row>
    <row r="645" spans="25:25" x14ac:dyDescent="0.25">
      <c r="Y645" s="11"/>
    </row>
    <row r="646" spans="25:25" x14ac:dyDescent="0.25">
      <c r="Y646" s="11"/>
    </row>
    <row r="647" spans="25:25" x14ac:dyDescent="0.25">
      <c r="Y647" s="11"/>
    </row>
    <row r="648" spans="25:25" x14ac:dyDescent="0.25">
      <c r="Y648" s="11"/>
    </row>
    <row r="649" spans="25:25" x14ac:dyDescent="0.25">
      <c r="Y649" s="11"/>
    </row>
    <row r="650" spans="25:25" x14ac:dyDescent="0.25">
      <c r="Y650" s="11"/>
    </row>
    <row r="651" spans="25:25" x14ac:dyDescent="0.25">
      <c r="Y651" s="1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9" customWidth="1"/>
    <col min="10" max="11" width="21.5703125" style="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8" customFormat="1" ht="45" x14ac:dyDescent="0.25">
      <c r="A1" s="7" t="s">
        <v>456</v>
      </c>
      <c r="B1" s="7" t="s">
        <v>457</v>
      </c>
      <c r="C1" s="7" t="s">
        <v>445</v>
      </c>
      <c r="D1" s="7" t="s">
        <v>834</v>
      </c>
      <c r="E1" s="7" t="s">
        <v>835</v>
      </c>
      <c r="F1" s="7" t="s">
        <v>790</v>
      </c>
      <c r="G1" s="7" t="s">
        <v>791</v>
      </c>
      <c r="H1" s="7" t="s">
        <v>731</v>
      </c>
      <c r="I1" s="7" t="s">
        <v>730</v>
      </c>
      <c r="J1" s="7" t="s">
        <v>446</v>
      </c>
      <c r="K1" s="7" t="s">
        <v>447</v>
      </c>
      <c r="L1" s="7" t="s">
        <v>448</v>
      </c>
      <c r="M1" s="7" t="s">
        <v>449</v>
      </c>
      <c r="N1" s="7" t="s">
        <v>450</v>
      </c>
      <c r="O1" s="7" t="s">
        <v>732</v>
      </c>
      <c r="P1" s="7" t="s">
        <v>458</v>
      </c>
      <c r="Q1" s="7" t="s">
        <v>459</v>
      </c>
    </row>
    <row r="2" spans="1:17" s="8" customFormat="1" x14ac:dyDescent="0.25">
      <c r="A2" t="s">
        <v>600</v>
      </c>
      <c r="B2"/>
      <c r="C2" t="s">
        <v>97</v>
      </c>
      <c r="D2"/>
      <c r="E2"/>
      <c r="F2" t="e">
        <f>VLOOKUP(Tabla69[[#This Row],[Columna5]],'[1]LIBRO '!$A$1:$B$1007,2,FALSE)</f>
        <v>#REF!</v>
      </c>
      <c r="G2" t="e">
        <f>VLOOKUP(Tabla69[[#This Row],[NIT Agente]],#REF!,2,FALSE)</f>
        <v>#REF!</v>
      </c>
      <c r="H2" s="1" t="e">
        <f>VLOOKUP(Tabla69[[#This Row],[Columna1]],'[1]LIBRO '!$A$1:$B$902,2,FALSE)</f>
        <v>#REF!</v>
      </c>
      <c r="I2" t="e">
        <f>VLOOKUP(Tabla69[[#This Row],[NIT Agente]],#REF!,2,FALSE)</f>
        <v>#REF!</v>
      </c>
      <c r="J2" s="5"/>
      <c r="K2" s="1"/>
      <c r="L2" s="2"/>
      <c r="M2" s="2">
        <v>209.89570000000001</v>
      </c>
      <c r="N2"/>
    </row>
    <row r="3" spans="1:17" s="8" customFormat="1" x14ac:dyDescent="0.25">
      <c r="A3" t="s">
        <v>600</v>
      </c>
      <c r="B3"/>
      <c r="C3" t="s">
        <v>116</v>
      </c>
      <c r="D3"/>
      <c r="E3"/>
      <c r="F3" t="e">
        <f>VLOOKUP(Tabla69[[#This Row],[Columna5]],'[1]LIBRO '!$A$1:$B$1007,2,FALSE)</f>
        <v>#REF!</v>
      </c>
      <c r="G3" t="e">
        <f>VLOOKUP(Tabla69[[#This Row],[NIT Agente]],#REF!,2,FALSE)</f>
        <v>#REF!</v>
      </c>
      <c r="H3" s="1" t="e">
        <f>VLOOKUP(Tabla69[[#This Row],[Columna1]],'[1]LIBRO '!$A$1:$B$902,2,FALSE)</f>
        <v>#REF!</v>
      </c>
      <c r="I3" t="e">
        <f>VLOOKUP(Tabla69[[#This Row],[NIT Agente]],#REF!,2,FALSE)</f>
        <v>#REF!</v>
      </c>
      <c r="J3" s="5"/>
      <c r="K3" s="1"/>
      <c r="L3" s="2"/>
      <c r="M3" s="2">
        <v>112.4357</v>
      </c>
      <c r="N3"/>
    </row>
    <row r="4" spans="1:17" s="8" customFormat="1" x14ac:dyDescent="0.25">
      <c r="A4"/>
      <c r="B4"/>
      <c r="C4"/>
      <c r="D4"/>
      <c r="E4"/>
      <c r="F4"/>
      <c r="G4"/>
      <c r="H4" s="1"/>
      <c r="I4"/>
      <c r="J4" s="5"/>
      <c r="K4" s="1"/>
      <c r="L4" s="15"/>
      <c r="M4" s="15"/>
      <c r="N4" s="36"/>
      <c r="O4" s="2"/>
      <c r="P4" s="36"/>
    </row>
    <row r="5" spans="1:17" s="8" customFormat="1" x14ac:dyDescent="0.25">
      <c r="A5" t="s">
        <v>451</v>
      </c>
      <c r="B5"/>
      <c r="C5"/>
      <c r="D5"/>
      <c r="E5"/>
      <c r="F5"/>
      <c r="G5"/>
      <c r="H5" s="1"/>
      <c r="I5"/>
      <c r="J5"/>
      <c r="K5" s="6">
        <f>SUBTOTAL(109,Tabla69[Tipo de documento])</f>
        <v>0</v>
      </c>
      <c r="L5" s="6">
        <f>SUBTOTAL(109,Tabla69[Serie])</f>
        <v>0</v>
      </c>
      <c r="M5" s="6">
        <f>SUBTOTAL(109,Tabla69[Número de documento])</f>
        <v>322.33140000000003</v>
      </c>
      <c r="N5" s="16">
        <f>SUBTOTAL(109,Tabla69[Monto sujeto])</f>
        <v>0</v>
      </c>
      <c r="O5" s="16"/>
      <c r="P5" s="17">
        <f>SUBTOTAL(109,Tabla69[Monto Retención 1%])</f>
        <v>0</v>
      </c>
      <c r="Q5"/>
    </row>
    <row r="6" spans="1:17" s="8" customFormat="1" x14ac:dyDescent="0.25">
      <c r="A6" s="1"/>
      <c r="B6" s="1"/>
      <c r="C6" s="1"/>
      <c r="D6" s="1"/>
      <c r="E6" s="1"/>
      <c r="F6" s="1"/>
      <c r="G6" s="1"/>
      <c r="H6" s="1"/>
      <c r="I6" s="9"/>
      <c r="J6" s="9"/>
      <c r="K6" s="9"/>
      <c r="L6" s="1"/>
      <c r="M6"/>
    </row>
    <row r="7" spans="1:17" s="8" customFormat="1" x14ac:dyDescent="0.25">
      <c r="A7" s="1"/>
      <c r="B7" s="1"/>
      <c r="C7" s="1"/>
      <c r="D7" s="1"/>
      <c r="E7" s="1"/>
      <c r="F7" s="1"/>
      <c r="G7" s="1"/>
      <c r="H7" s="1"/>
      <c r="I7" s="9"/>
      <c r="J7" s="9"/>
      <c r="K7" s="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10"/>
  <sheetViews>
    <sheetView topLeftCell="H1" workbookViewId="0">
      <selection activeCell="I10" sqref="I10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836</v>
      </c>
      <c r="B2" t="s">
        <v>837</v>
      </c>
      <c r="C2" t="s">
        <v>838</v>
      </c>
      <c r="D2" t="s">
        <v>839</v>
      </c>
      <c r="E2" t="s">
        <v>840</v>
      </c>
      <c r="F2" t="s">
        <v>841</v>
      </c>
      <c r="G2" s="2" t="s">
        <v>842</v>
      </c>
      <c r="H2" s="2" t="s">
        <v>843</v>
      </c>
      <c r="I2" s="2" t="s">
        <v>844</v>
      </c>
      <c r="J2" s="2" t="s">
        <v>845</v>
      </c>
      <c r="K2" s="2" t="s">
        <v>846</v>
      </c>
      <c r="L2" s="2" t="s">
        <v>847</v>
      </c>
      <c r="M2" s="2" t="s">
        <v>848</v>
      </c>
      <c r="N2" s="2" t="s">
        <v>849</v>
      </c>
      <c r="O2" s="2" t="s">
        <v>850</v>
      </c>
      <c r="P2" s="2" t="s">
        <v>851</v>
      </c>
      <c r="Q2" s="2" t="s">
        <v>852</v>
      </c>
      <c r="R2" s="2" t="s">
        <v>853</v>
      </c>
      <c r="S2" t="s">
        <v>854</v>
      </c>
    </row>
    <row r="3" spans="1:19" x14ac:dyDescent="0.25">
      <c r="A3" t="s">
        <v>855</v>
      </c>
      <c r="B3" t="s">
        <v>856</v>
      </c>
      <c r="C3" t="s">
        <v>857</v>
      </c>
      <c r="D3" t="s">
        <v>858</v>
      </c>
      <c r="F3" t="s">
        <v>859</v>
      </c>
      <c r="G3" s="2">
        <v>2500</v>
      </c>
      <c r="H3" s="2">
        <v>0</v>
      </c>
      <c r="I3" s="2">
        <v>250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11" t="s">
        <v>942</v>
      </c>
    </row>
    <row r="4" spans="1:19" x14ac:dyDescent="0.25">
      <c r="A4" t="s">
        <v>855</v>
      </c>
      <c r="B4" t="s">
        <v>856</v>
      </c>
      <c r="C4" t="s">
        <v>861</v>
      </c>
      <c r="D4" t="s">
        <v>862</v>
      </c>
      <c r="F4" t="s">
        <v>859</v>
      </c>
      <c r="G4" s="2">
        <v>2500</v>
      </c>
      <c r="H4" s="2">
        <v>0</v>
      </c>
      <c r="I4" s="2">
        <v>250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11" t="s">
        <v>942</v>
      </c>
    </row>
    <row r="5" spans="1:19" x14ac:dyDescent="0.25">
      <c r="A5" t="s">
        <v>855</v>
      </c>
      <c r="B5" t="s">
        <v>856</v>
      </c>
      <c r="C5" t="s">
        <v>863</v>
      </c>
      <c r="D5" t="s">
        <v>864</v>
      </c>
      <c r="F5" t="s">
        <v>859</v>
      </c>
      <c r="G5" s="2">
        <v>2500</v>
      </c>
      <c r="H5" s="2">
        <v>0</v>
      </c>
      <c r="I5" s="2">
        <v>250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11" t="s">
        <v>942</v>
      </c>
    </row>
    <row r="6" spans="1:19" x14ac:dyDescent="0.25">
      <c r="A6" t="s">
        <v>855</v>
      </c>
      <c r="B6" t="s">
        <v>856</v>
      </c>
      <c r="C6" t="s">
        <v>943</v>
      </c>
      <c r="D6" s="11" t="s">
        <v>138</v>
      </c>
      <c r="F6" t="s">
        <v>859</v>
      </c>
      <c r="G6" s="2">
        <v>17500</v>
      </c>
      <c r="H6" s="2">
        <v>0</v>
      </c>
      <c r="I6" s="2">
        <v>1750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11" t="s">
        <v>942</v>
      </c>
    </row>
    <row r="7" spans="1:19" x14ac:dyDescent="0.25">
      <c r="A7" t="s">
        <v>855</v>
      </c>
      <c r="B7" t="s">
        <v>856</v>
      </c>
      <c r="C7" t="s">
        <v>865</v>
      </c>
      <c r="D7" t="s">
        <v>177</v>
      </c>
      <c r="F7" t="s">
        <v>859</v>
      </c>
      <c r="G7" s="2">
        <v>11149.21</v>
      </c>
      <c r="H7" s="2">
        <v>0</v>
      </c>
      <c r="I7" s="2">
        <v>1114.92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11" t="s">
        <v>942</v>
      </c>
    </row>
    <row r="8" spans="1:19" hidden="1" x14ac:dyDescent="0.25">
      <c r="A8" t="s">
        <v>855</v>
      </c>
      <c r="B8" t="s">
        <v>856</v>
      </c>
      <c r="C8" t="s">
        <v>866</v>
      </c>
      <c r="D8" t="s">
        <v>867</v>
      </c>
      <c r="F8" t="s">
        <v>868</v>
      </c>
      <c r="H8" s="2">
        <v>0</v>
      </c>
      <c r="I8" s="2">
        <v>150.43045250000003</v>
      </c>
      <c r="J8" s="2">
        <v>0</v>
      </c>
      <c r="K8" s="2">
        <v>0</v>
      </c>
      <c r="L8" s="2">
        <v>154.94627499999999</v>
      </c>
      <c r="M8" s="2">
        <v>58.649699999999996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860</v>
      </c>
    </row>
    <row r="9" spans="1:19" hidden="1" x14ac:dyDescent="0.25">
      <c r="A9" t="s">
        <v>855</v>
      </c>
      <c r="B9" t="s">
        <v>856</v>
      </c>
      <c r="C9" t="s">
        <v>869</v>
      </c>
      <c r="D9" t="s">
        <v>870</v>
      </c>
      <c r="F9" t="s">
        <v>868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163.125</v>
      </c>
      <c r="M9" s="2">
        <v>55.5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860</v>
      </c>
    </row>
    <row r="10" spans="1:19" x14ac:dyDescent="0.25">
      <c r="A10" t="s">
        <v>451</v>
      </c>
      <c r="G10"/>
      <c r="H10" s="6">
        <f>SUBTOTAL(109,Tabla9[[MONTO DEVENGADO POR BONIFICACIONES Y GRATIFICACIONES ]])</f>
        <v>0</v>
      </c>
      <c r="I10" s="6">
        <f>SUBTOTAL(109,Tabla9[[IMPUESTO RETENIDO ]])</f>
        <v>3614.92</v>
      </c>
      <c r="J10" s="6">
        <f>SUBTOTAL(109,Tabla9[[AGUINALDO EXENTO ]])</f>
        <v>0</v>
      </c>
      <c r="K10" s="6">
        <f>SUBTOTAL(109,Tabla9[[AGUINALDO GRAVADO ]])</f>
        <v>0</v>
      </c>
      <c r="L10" s="6">
        <f>SUBTOTAL(109,Tabla9[AFP])</f>
        <v>0</v>
      </c>
      <c r="M10" s="6">
        <f>SUBTOTAL(109,Tabla9[ISSS])</f>
        <v>0</v>
      </c>
      <c r="N10" s="6">
        <f>SUBTOTAL(109,Tabla9[INPEP])</f>
        <v>0</v>
      </c>
      <c r="O10" s="6">
        <f>SUBTOTAL(109,Tabla9[IPSFA])</f>
        <v>0</v>
      </c>
      <c r="P10" s="6">
        <f>SUBTOTAL(109,Tabla9[CEFAFA])</f>
        <v>0</v>
      </c>
      <c r="Q10"/>
      <c r="R10"/>
      <c r="S10">
        <f>SUBTOTAL(103,Tabla9[PERIODO])</f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PROINSCRITO</vt:lpstr>
      <vt:lpstr>Libro de Compras</vt:lpstr>
      <vt:lpstr>Libro de Contribuyente</vt:lpstr>
      <vt:lpstr>CLIENTE</vt:lpstr>
      <vt:lpstr>TABLA CONTRIBUYENTES</vt:lpstr>
      <vt:lpstr>Libro de Consumidor</vt:lpstr>
      <vt:lpstr>menor a 200</vt:lpstr>
      <vt:lpstr>mayor a 200</vt:lpstr>
      <vt:lpstr>TABLA CONSUMIDOR</vt:lpstr>
      <vt:lpstr>CLIENTE MENOR A 200</vt:lpstr>
      <vt:lpstr>RETENCIONES CONTA</vt:lpstr>
      <vt:lpstr>RETENCIONES 10%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pablo</cp:lastModifiedBy>
  <cp:lastPrinted>2022-12-13T14:09:17Z</cp:lastPrinted>
  <dcterms:created xsi:type="dcterms:W3CDTF">2021-04-05T22:54:25Z</dcterms:created>
  <dcterms:modified xsi:type="dcterms:W3CDTF">2023-06-16T17:53:36Z</dcterms:modified>
</cp:coreProperties>
</file>